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861" activeTab="4"/>
  </bookViews>
  <sheets>
    <sheet name="英德市各学校联系通信录（新）" sheetId="13" r:id="rId1"/>
    <sheet name="学生奶" sheetId="15" r:id="rId2"/>
    <sheet name="鲜奶" sheetId="23" r:id="rId3"/>
    <sheet name="教职工鲜奶领奶表（签领）" sheetId="17" r:id="rId4"/>
    <sheet name="鲜奶订购表（张贴冰箱）" sheetId="18" r:id="rId5"/>
    <sheet name="WpsReserved_CellImgList" sheetId="36" state="veryHidden" r:id="rId6"/>
  </sheets>
  <definedNames>
    <definedName name="_xlnm._FilterDatabase" localSheetId="2" hidden="1">鲜奶!$A$2:$XFB$254</definedName>
    <definedName name="_xlnm._FilterDatabase" localSheetId="1" hidden="1">学生奶!$2:$177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91386FA68324B45B0C8CE1083A1BAF7" descr="post_object_image_1950423638"/>
        <xdr:cNvPicPr/>
      </xdr:nvPicPr>
      <xdr:blipFill>
        <a:blip r:embed="rId1"/>
        <a:stretch>
          <a:fillRect/>
        </a:stretch>
      </xdr:blipFill>
      <xdr:spPr>
        <a:xfrm>
          <a:off x="0" y="0"/>
          <a:ext cx="1743075" cy="180975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Administrator</author>
    <author>Unknown User</author>
  </authors>
  <commentList>
    <comment ref="X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Y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曾主任1-3年级15807654130</t>
        </r>
      </text>
    </comment>
    <comment ref="AM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支</t>
        </r>
      </text>
    </comment>
    <comment ref="AB50" authorId="0">
      <text>
        <r>
          <rPr>
            <sz val="9"/>
            <rFont val="宋体"/>
            <charset val="134"/>
          </rPr>
          <t>线下21</t>
        </r>
      </text>
    </comment>
    <comment ref="AW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9月25日打单改30日配送</t>
        </r>
      </text>
    </comment>
    <comment ref="P10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初一估计有12个班
初二10个班
初三10个班</t>
        </r>
      </text>
    </comment>
    <comment ref="C119" authorId="1">
      <text>
        <r>
          <rPr>
            <b/>
            <sz val="9"/>
            <rFont val="宋体"/>
            <charset val="134"/>
          </rPr>
          <t>張榮強:</t>
        </r>
        <r>
          <rPr>
            <sz val="9"/>
            <rFont val="宋体"/>
            <charset val="134"/>
          </rPr>
          <t xml:space="preserve">
3.31 尹老师通知不要纯牛奶，多点乳酸口味</t>
        </r>
      </text>
    </comment>
    <comment ref="AV1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余10.5件未配送2025.10.11</t>
        </r>
      </text>
    </comment>
    <comment ref="AC150" authorId="0">
      <text>
        <r>
          <rPr>
            <sz val="7"/>
            <rFont val="宋体"/>
            <charset val="134"/>
          </rPr>
          <t>从3.9号开始发奶（套餐90支）
3月份发17天  4月份发21天
5月份发19天  6月份发21天 7月份发8天
7月10号当天发完剩余的奶（剩4支）</t>
        </r>
      </text>
    </comment>
    <comment ref="AC151" authorId="0">
      <text>
        <r>
          <rPr>
            <sz val="7"/>
            <rFont val="宋体"/>
            <charset val="134"/>
          </rPr>
          <t>从3.9号开始发奶（套餐90支）
3月份发17天
4月份发21天
5月份发19天
6月份发21天
7月份发8天
7月10号当天发完剩余的奶（剩4支）</t>
        </r>
      </text>
    </comment>
    <comment ref="AM1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支数</t>
        </r>
      </text>
    </comment>
    <comment ref="BC1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支数</t>
        </r>
      </text>
    </comment>
    <comment ref="BC157" authorId="1">
      <text>
        <r>
          <rPr>
            <b/>
            <sz val="9"/>
            <rFont val="宋体"/>
            <charset val="134"/>
          </rPr>
          <t>張榮強:</t>
        </r>
        <r>
          <rPr>
            <sz val="9"/>
            <rFont val="宋体"/>
            <charset val="134"/>
          </rPr>
          <t xml:space="preserve">
支数</t>
        </r>
      </text>
    </comment>
    <comment ref="P1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初一估计有12个班
初二10个班
初三10个班</t>
        </r>
      </text>
    </comment>
  </commentList>
</comments>
</file>

<file path=xl/comments2.xml><?xml version="1.0" encoding="utf-8"?>
<comments xmlns="http://schemas.openxmlformats.org/spreadsheetml/2006/main">
  <authors>
    <author>Unknown User</author>
    <author>Administrator</author>
  </authors>
  <commentList>
    <comment ref="AX20" authorId="0">
      <text>
        <r>
          <rPr>
            <b/>
            <sz val="9"/>
            <rFont val="宋体"/>
            <charset val="134"/>
          </rPr>
          <t>張榮強:</t>
        </r>
        <r>
          <rPr>
            <sz val="9"/>
            <rFont val="宋体"/>
            <charset val="134"/>
          </rPr>
          <t xml:space="preserve">
注意鲜酸不要再搞反</t>
        </r>
      </text>
    </comment>
    <comment ref="CW5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送齐</t>
        </r>
      </text>
    </comment>
    <comment ref="AV5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已送齐</t>
        </r>
      </text>
    </comment>
    <comment ref="CI5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订50支</t>
        </r>
      </text>
    </comment>
    <comment ref="CW5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送齐</t>
        </r>
      </text>
    </comment>
    <comment ref="CO5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送齐</t>
        </r>
      </text>
    </comment>
    <comment ref="BK6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已送完，续订</t>
        </r>
      </text>
    </comment>
    <comment ref="CW66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送齐</t>
        </r>
      </text>
    </comment>
    <comment ref="P7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初一估计有12个班
初二10个班
初三10个班</t>
        </r>
      </text>
    </comment>
    <comment ref="AQ10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补送20盒</t>
        </r>
      </text>
    </comment>
    <comment ref="C11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AO13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送完</t>
        </r>
      </text>
    </comment>
    <comment ref="AK155" authorId="0">
      <text>
        <r>
          <rPr>
            <b/>
            <sz val="9"/>
            <rFont val="宋体"/>
            <charset val="134"/>
          </rPr>
          <t>張榮強:</t>
        </r>
        <r>
          <rPr>
            <sz val="9"/>
            <rFont val="宋体"/>
            <charset val="134"/>
          </rPr>
          <t xml:space="preserve">
试饮</t>
        </r>
      </text>
    </comment>
    <comment ref="AL155" authorId="0">
      <text>
        <r>
          <rPr>
            <b/>
            <sz val="9"/>
            <rFont val="宋体"/>
            <charset val="134"/>
          </rPr>
          <t>張榮強:</t>
        </r>
        <r>
          <rPr>
            <sz val="9"/>
            <rFont val="宋体"/>
            <charset val="134"/>
          </rPr>
          <t xml:space="preserve">
试饮</t>
        </r>
      </text>
    </comment>
  </commentList>
</comments>
</file>

<file path=xl/sharedStrings.xml><?xml version="1.0" encoding="utf-8"?>
<sst xmlns="http://schemas.openxmlformats.org/spreadsheetml/2006/main" count="3147" uniqueCount="1437">
  <si>
    <t>更新时间：20250728</t>
  </si>
  <si>
    <t>总序</t>
  </si>
  <si>
    <t>学校</t>
  </si>
  <si>
    <t>办学性质</t>
  </si>
  <si>
    <t>类别</t>
  </si>
  <si>
    <t>书记</t>
  </si>
  <si>
    <t>校长</t>
  </si>
  <si>
    <t>备注</t>
  </si>
  <si>
    <t>姓名</t>
  </si>
  <si>
    <t>手机</t>
  </si>
  <si>
    <t>短号</t>
  </si>
  <si>
    <t>001</t>
  </si>
  <si>
    <t>英德市职业技术学校</t>
  </si>
  <si>
    <t>公办</t>
  </si>
  <si>
    <t>中职</t>
  </si>
  <si>
    <t>罗彬明</t>
  </si>
  <si>
    <t>华金授</t>
  </si>
  <si>
    <t>13926633510</t>
  </si>
  <si>
    <t>002</t>
  </si>
  <si>
    <t>广州大学附属中学英德实验学校</t>
  </si>
  <si>
    <t>完全中学</t>
  </si>
  <si>
    <t>王群雄</t>
  </si>
  <si>
    <t>韩智明</t>
  </si>
  <si>
    <t>003</t>
  </si>
  <si>
    <t>英德市英德中学</t>
  </si>
  <si>
    <t>杨堂伟</t>
  </si>
  <si>
    <t>朱育琼</t>
  </si>
  <si>
    <t>004</t>
  </si>
  <si>
    <t>英德市第一中学</t>
  </si>
  <si>
    <t>高中</t>
  </si>
  <si>
    <t>巫昌雄</t>
  </si>
  <si>
    <t>林建繁</t>
  </si>
  <si>
    <t>005</t>
  </si>
  <si>
    <t>英德市第二中学</t>
  </si>
  <si>
    <t>许向明</t>
  </si>
  <si>
    <t>卢元托</t>
  </si>
  <si>
    <t>006</t>
  </si>
  <si>
    <t>英德市田家炳中学</t>
  </si>
  <si>
    <t>陈神玉</t>
  </si>
  <si>
    <t>李苍彬</t>
  </si>
  <si>
    <t>007</t>
  </si>
  <si>
    <t>英德市英东中学</t>
  </si>
  <si>
    <t>徐立桥</t>
  </si>
  <si>
    <t>林才艺</t>
  </si>
  <si>
    <t>008</t>
  </si>
  <si>
    <t>英德市英西中学</t>
  </si>
  <si>
    <t>林宏志</t>
  </si>
  <si>
    <t>李汉强</t>
  </si>
  <si>
    <t>009</t>
  </si>
  <si>
    <t>英德市第八中学</t>
  </si>
  <si>
    <t>市直初中</t>
  </si>
  <si>
    <t>莫佳</t>
  </si>
  <si>
    <t>袁彩霞</t>
  </si>
  <si>
    <t>010</t>
  </si>
  <si>
    <t>英德市第一小学</t>
  </si>
  <si>
    <t>市直九年一贯</t>
  </si>
  <si>
    <t>邓方愿</t>
  </si>
  <si>
    <t>王晓娜</t>
  </si>
  <si>
    <t>011</t>
  </si>
  <si>
    <t>英德市第三小学</t>
  </si>
  <si>
    <t>市直小学</t>
  </si>
  <si>
    <t>朱文杰</t>
  </si>
  <si>
    <t>15218529000</t>
  </si>
  <si>
    <t>012</t>
  </si>
  <si>
    <t>英德市第四小学</t>
  </si>
  <si>
    <t>苏国栋</t>
  </si>
  <si>
    <t>13828510816</t>
  </si>
  <si>
    <t>余乃稳</t>
  </si>
  <si>
    <t>013</t>
  </si>
  <si>
    <t>英德市第五小学</t>
  </si>
  <si>
    <t>曾靖旺</t>
  </si>
  <si>
    <t>骆洁琼</t>
  </si>
  <si>
    <t>014</t>
  </si>
  <si>
    <t>英德市第六小学</t>
  </si>
  <si>
    <t>张邦展</t>
  </si>
  <si>
    <t>13413595530</t>
  </si>
  <si>
    <t>巫洁芳</t>
  </si>
  <si>
    <t>13927642272</t>
  </si>
  <si>
    <t>662272</t>
  </si>
  <si>
    <t>015</t>
  </si>
  <si>
    <t>英德市第七小学</t>
  </si>
  <si>
    <t>张文发</t>
  </si>
  <si>
    <t>郭艾</t>
  </si>
  <si>
    <t>13828520308</t>
  </si>
  <si>
    <t>016</t>
  </si>
  <si>
    <t>英德市八一希望小学</t>
  </si>
  <si>
    <t>曾祥忠</t>
  </si>
  <si>
    <t>017</t>
  </si>
  <si>
    <t>英德市第九小学</t>
  </si>
  <si>
    <t>王冬梅</t>
  </si>
  <si>
    <t>018</t>
  </si>
  <si>
    <t>英德市浈阳学校</t>
  </si>
  <si>
    <t>潘春梅</t>
  </si>
  <si>
    <t>019</t>
  </si>
  <si>
    <t>英德市城北小学</t>
  </si>
  <si>
    <t>许福龙</t>
  </si>
  <si>
    <t>020</t>
  </si>
  <si>
    <t>英德市智通学校</t>
  </si>
  <si>
    <t>特殊教育</t>
  </si>
  <si>
    <t>张光晋</t>
  </si>
  <si>
    <t>021</t>
  </si>
  <si>
    <t>英德市南华学校</t>
  </si>
  <si>
    <t>杨振武</t>
  </si>
  <si>
    <t>副校长代理</t>
  </si>
  <si>
    <t>022</t>
  </si>
  <si>
    <t>英德市百花实验幼儿园</t>
  </si>
  <si>
    <t>幼儿园</t>
  </si>
  <si>
    <t>邓雪玲</t>
  </si>
  <si>
    <t>023</t>
  </si>
  <si>
    <t>英德市英州实验幼儿园</t>
  </si>
  <si>
    <t>袁金顺</t>
  </si>
  <si>
    <t>024</t>
  </si>
  <si>
    <t>英德市峰光实验幼儿园</t>
  </si>
  <si>
    <t>张燕玲</t>
  </si>
  <si>
    <t>025</t>
  </si>
  <si>
    <t>英德市利民实验幼儿园</t>
  </si>
  <si>
    <t>刘蔓莹</t>
  </si>
  <si>
    <t>13620578251</t>
  </si>
  <si>
    <t>026</t>
  </si>
  <si>
    <t>英德市英城街中学</t>
  </si>
  <si>
    <t>初中</t>
  </si>
  <si>
    <t>黄伟星</t>
  </si>
  <si>
    <t>高文容</t>
  </si>
  <si>
    <t>027</t>
  </si>
  <si>
    <t>英德市英城街中心小学</t>
  </si>
  <si>
    <t>中心小学</t>
  </si>
  <si>
    <t>吴碧虹</t>
  </si>
  <si>
    <t>028</t>
  </si>
  <si>
    <t>英德市大站镇中心小学</t>
  </si>
  <si>
    <t>陈娘生</t>
  </si>
  <si>
    <t>13553996667</t>
  </si>
  <si>
    <t>黄淑娴</t>
  </si>
  <si>
    <t>029</t>
  </si>
  <si>
    <t>英德市望埠镇初级中学</t>
  </si>
  <si>
    <t>林先爱</t>
  </si>
  <si>
    <t>李胜带</t>
  </si>
  <si>
    <t>13729692967</t>
  </si>
  <si>
    <t>030</t>
  </si>
  <si>
    <t>英德市望埠镇中心小学</t>
  </si>
  <si>
    <t>张鉴雄</t>
  </si>
  <si>
    <t>13679515327</t>
  </si>
  <si>
    <t>郭美果</t>
  </si>
  <si>
    <t>031</t>
  </si>
  <si>
    <t>英德市沙口中学</t>
  </si>
  <si>
    <t>邓伟铭</t>
  </si>
  <si>
    <t>032</t>
  </si>
  <si>
    <t>英德市沙口中心小学</t>
  </si>
  <si>
    <t>彭水寿</t>
  </si>
  <si>
    <t>梁泽</t>
  </si>
  <si>
    <t>033</t>
  </si>
  <si>
    <t>英德市横石塘镇初级中学</t>
  </si>
  <si>
    <t>蓝兴起</t>
  </si>
  <si>
    <t>034</t>
  </si>
  <si>
    <t>英德市横石塘镇中心小学</t>
  </si>
  <si>
    <t>邓宗画</t>
  </si>
  <si>
    <t>王天明</t>
  </si>
  <si>
    <t>035</t>
  </si>
  <si>
    <t>英德市英红中学</t>
  </si>
  <si>
    <t>朱昌智</t>
  </si>
  <si>
    <t>036</t>
  </si>
  <si>
    <t>英德市英红镇中心小学</t>
  </si>
  <si>
    <t>邓小怀</t>
  </si>
  <si>
    <t>13924417974</t>
  </si>
  <si>
    <t>张宝箭</t>
  </si>
  <si>
    <t>13535983277</t>
  </si>
  <si>
    <t>037</t>
  </si>
  <si>
    <t>英德市下太学校</t>
  </si>
  <si>
    <t>九年一贯制</t>
  </si>
  <si>
    <t>吴开样</t>
  </si>
  <si>
    <t>13535983892</t>
  </si>
  <si>
    <t>蓝光荣</t>
  </si>
  <si>
    <t>13432709352</t>
  </si>
  <si>
    <t>038</t>
  </si>
  <si>
    <t>英德市连江中学</t>
  </si>
  <si>
    <t>刘启明</t>
  </si>
  <si>
    <t>039</t>
  </si>
  <si>
    <t>英德市连江口中心小学</t>
  </si>
  <si>
    <t>李颜绅</t>
  </si>
  <si>
    <t>13750171181</t>
  </si>
  <si>
    <t>付国存</t>
  </si>
  <si>
    <t>13431995222</t>
  </si>
  <si>
    <t>040</t>
  </si>
  <si>
    <t>英德市黎溪镇初级中学</t>
  </si>
  <si>
    <t>张廷琳</t>
  </si>
  <si>
    <t>041</t>
  </si>
  <si>
    <t>英德市黎溪镇中心小学</t>
  </si>
  <si>
    <t>罗春辉</t>
  </si>
  <si>
    <t>潘习智</t>
  </si>
  <si>
    <t>042</t>
  </si>
  <si>
    <t>英德市东华镇大镇中学</t>
  </si>
  <si>
    <t>丘少勇</t>
  </si>
  <si>
    <t>043</t>
  </si>
  <si>
    <t>英德市东华镇中心小学</t>
  </si>
  <si>
    <t>吴新艺</t>
  </si>
  <si>
    <t>13828512788</t>
  </si>
  <si>
    <t>曾永刚</t>
  </si>
  <si>
    <t>044</t>
  </si>
  <si>
    <t>英德市东华镇鱼湾中学</t>
  </si>
  <si>
    <t>万锦灵</t>
  </si>
  <si>
    <t>13553988842</t>
  </si>
  <si>
    <t>045</t>
  </si>
  <si>
    <t>英德市东华镇鱼湾小学</t>
  </si>
  <si>
    <t>李明锋</t>
  </si>
  <si>
    <t>13553919020</t>
  </si>
  <si>
    <t>成水波</t>
  </si>
  <si>
    <t>046</t>
  </si>
  <si>
    <t>英德市东华镇黄陂中学</t>
  </si>
  <si>
    <t>047</t>
  </si>
  <si>
    <t>英德市桥头镇中心小学</t>
  </si>
  <si>
    <t>林佰安</t>
  </si>
  <si>
    <t>赵建立</t>
  </si>
  <si>
    <t>13828520309</t>
  </si>
  <si>
    <t>048</t>
  </si>
  <si>
    <t>英德市白沙中学</t>
  </si>
  <si>
    <t>林永威</t>
  </si>
  <si>
    <t>13425218209</t>
  </si>
  <si>
    <t>049</t>
  </si>
  <si>
    <t>英德市白沙镇中心小学</t>
  </si>
  <si>
    <t>谢太铮</t>
  </si>
  <si>
    <t>13620593334</t>
  </si>
  <si>
    <t>张方钢</t>
  </si>
  <si>
    <t>050</t>
  </si>
  <si>
    <t>英德市青塘镇中学</t>
  </si>
  <si>
    <t>谢春锋</t>
  </si>
  <si>
    <t>051</t>
  </si>
  <si>
    <t>英德市青塘镇中心小学</t>
  </si>
  <si>
    <t>朱照展</t>
  </si>
  <si>
    <t>马早花</t>
  </si>
  <si>
    <t>15915194577</t>
  </si>
  <si>
    <t>052</t>
  </si>
  <si>
    <t>英德市横石水中学</t>
  </si>
  <si>
    <t>吴福星</t>
  </si>
  <si>
    <t>13824939398</t>
  </si>
  <si>
    <t>053</t>
  </si>
  <si>
    <t>英德市横石水中心小学</t>
  </si>
  <si>
    <t>郭成玺</t>
  </si>
  <si>
    <t>张武金</t>
  </si>
  <si>
    <t>13824919898</t>
  </si>
  <si>
    <t>054</t>
  </si>
  <si>
    <t>英德市石灰铺中学</t>
  </si>
  <si>
    <t>钟欢乐</t>
  </si>
  <si>
    <t>13927696345</t>
  </si>
  <si>
    <t>055</t>
  </si>
  <si>
    <t>英德市石灰铺中心小学</t>
  </si>
  <si>
    <t>杨光明</t>
  </si>
  <si>
    <t>林英雄</t>
  </si>
  <si>
    <t>13727172989</t>
  </si>
  <si>
    <t>056</t>
  </si>
  <si>
    <t>英德市石牯塘镇初级中学</t>
  </si>
  <si>
    <t>付嘉良</t>
  </si>
  <si>
    <t>057</t>
  </si>
  <si>
    <t>英德市石牯塘镇中心小学</t>
  </si>
  <si>
    <t>巫奕财</t>
  </si>
  <si>
    <t>058</t>
  </si>
  <si>
    <t>英德市浛洸镇初级中学</t>
  </si>
  <si>
    <t>朱科亮</t>
  </si>
  <si>
    <t>18922563986</t>
  </si>
  <si>
    <t>059</t>
  </si>
  <si>
    <t>英德市浛洸中心小学</t>
  </si>
  <si>
    <t>付日怀</t>
  </si>
  <si>
    <t>赖秋玲</t>
  </si>
  <si>
    <t>060</t>
  </si>
  <si>
    <t>英德市大湾中学</t>
  </si>
  <si>
    <t>植鹏</t>
  </si>
  <si>
    <t>林汉前</t>
  </si>
  <si>
    <t>061</t>
  </si>
  <si>
    <t>英德市大湾镇中心小学</t>
  </si>
  <si>
    <t>陈成汉</t>
  </si>
  <si>
    <t>13610569686</t>
  </si>
  <si>
    <t>李镜锋</t>
  </si>
  <si>
    <t>13726988308</t>
  </si>
  <si>
    <t>062</t>
  </si>
  <si>
    <t>英德市大湾镇青坑学校</t>
  </si>
  <si>
    <t>龙青</t>
  </si>
  <si>
    <t>李雪华</t>
  </si>
  <si>
    <t>13926628840</t>
  </si>
  <si>
    <t>063</t>
  </si>
  <si>
    <t>英德市波罗学校</t>
  </si>
  <si>
    <t>巫开栋</t>
  </si>
  <si>
    <t>15813274927</t>
  </si>
  <si>
    <t>064</t>
  </si>
  <si>
    <t>英德市九龙中学</t>
  </si>
  <si>
    <t>黎路金</t>
  </si>
  <si>
    <t>065</t>
  </si>
  <si>
    <t>英德市九龙镇第二初级中学</t>
  </si>
  <si>
    <t>林先发</t>
  </si>
  <si>
    <t>066</t>
  </si>
  <si>
    <t>英德市九龙镇中心小学</t>
  </si>
  <si>
    <t>黄师带</t>
  </si>
  <si>
    <t>谭晓文</t>
  </si>
  <si>
    <t>067</t>
  </si>
  <si>
    <t>英德市黄花镇黄花中学</t>
  </si>
  <si>
    <t>丘桂坚</t>
  </si>
  <si>
    <t>068</t>
  </si>
  <si>
    <t>英德市黄花镇中心小学</t>
  </si>
  <si>
    <t>李胜槐</t>
  </si>
  <si>
    <t>13729658183</t>
  </si>
  <si>
    <t>陈志强</t>
  </si>
  <si>
    <t>069</t>
  </si>
  <si>
    <t>英德市西牛中学</t>
  </si>
  <si>
    <t>吴丽萍</t>
  </si>
  <si>
    <t>070</t>
  </si>
  <si>
    <t>英德市西牛镇中心小学</t>
  </si>
  <si>
    <t>朱桂灵</t>
  </si>
  <si>
    <t>13500291081</t>
  </si>
  <si>
    <t>黎桂腾</t>
  </si>
  <si>
    <t>071</t>
  </si>
  <si>
    <t>英德市水边学校</t>
  </si>
  <si>
    <t>刘伟锋</t>
  </si>
  <si>
    <t>072</t>
  </si>
  <si>
    <t>英德市大洞学校</t>
  </si>
  <si>
    <t>丘永锋</t>
  </si>
  <si>
    <t>073</t>
  </si>
  <si>
    <t>英德市华粤艺术学校</t>
  </si>
  <si>
    <t>民办</t>
  </si>
  <si>
    <t>民办中职</t>
  </si>
  <si>
    <t>罗敏</t>
  </si>
  <si>
    <t>074</t>
  </si>
  <si>
    <t>英德市华粤中英文学校</t>
  </si>
  <si>
    <t>民办初中</t>
  </si>
  <si>
    <t>李小艳</t>
  </si>
  <si>
    <t>黄良太</t>
  </si>
  <si>
    <t>075</t>
  </si>
  <si>
    <t>英德市实验小学</t>
  </si>
  <si>
    <t>民办小学</t>
  </si>
  <si>
    <t>刘美香</t>
  </si>
  <si>
    <t>076</t>
  </si>
  <si>
    <t>英德市实验中学</t>
  </si>
  <si>
    <t>贺利辉</t>
  </si>
  <si>
    <t>077</t>
  </si>
  <si>
    <t>英德市清涟小学</t>
  </si>
  <si>
    <t>谢碧玉</t>
  </si>
  <si>
    <t>邓雅秋</t>
  </si>
  <si>
    <t>078</t>
  </si>
  <si>
    <t>英德市培贤实验学校</t>
  </si>
  <si>
    <t>江军</t>
  </si>
  <si>
    <t>079</t>
  </si>
  <si>
    <t>英德市博冠实验学校</t>
  </si>
  <si>
    <t>民办九年一贯</t>
  </si>
  <si>
    <t>夏循武</t>
  </si>
  <si>
    <t>080</t>
  </si>
  <si>
    <t>英德市北江学校</t>
  </si>
  <si>
    <t>刘敏</t>
  </si>
  <si>
    <t>081</t>
  </si>
  <si>
    <t>英德市崛起教育培训学院</t>
  </si>
  <si>
    <t>民办复读</t>
  </si>
  <si>
    <t>邓继坤</t>
  </si>
  <si>
    <t>路线分区</t>
  </si>
  <si>
    <t>序号</t>
  </si>
  <si>
    <t>办学
性质</t>
  </si>
  <si>
    <t>合作类型</t>
  </si>
  <si>
    <t>第二联系人</t>
  </si>
  <si>
    <t>2024春订奶人数</t>
  </si>
  <si>
    <t>班级</t>
  </si>
  <si>
    <t>派送传单</t>
  </si>
  <si>
    <t>班主任群</t>
  </si>
  <si>
    <t>班主任通讯录</t>
  </si>
  <si>
    <t>宣导教师订奶（工会主席）</t>
  </si>
  <si>
    <t>幼教处是否拉群</t>
  </si>
  <si>
    <t>对接人</t>
  </si>
  <si>
    <t>分发人</t>
  </si>
  <si>
    <t>派奶情况</t>
  </si>
  <si>
    <t>订奶规格</t>
  </si>
  <si>
    <t>学生奶订奶份数</t>
  </si>
  <si>
    <t>套餐名称（按人数）</t>
  </si>
  <si>
    <t>周供应量</t>
  </si>
  <si>
    <t>第一次（日期号）单位（箱）</t>
  </si>
  <si>
    <t>第二次</t>
  </si>
  <si>
    <t>第三次</t>
  </si>
  <si>
    <t>第四次</t>
  </si>
  <si>
    <t>第五次</t>
  </si>
  <si>
    <t>第六次</t>
  </si>
  <si>
    <t>第七次</t>
  </si>
  <si>
    <t>第八次</t>
  </si>
  <si>
    <t>第九次</t>
  </si>
  <si>
    <t>第十次</t>
  </si>
  <si>
    <t>第十一次</t>
  </si>
  <si>
    <t>第十二次</t>
  </si>
  <si>
    <t>合计</t>
  </si>
  <si>
    <t>陪饮奶</t>
  </si>
  <si>
    <t>节日备注</t>
  </si>
  <si>
    <t>配送备注</t>
  </si>
  <si>
    <t>期未放假备注</t>
  </si>
  <si>
    <t>125/200</t>
  </si>
  <si>
    <t>纯牛奶</t>
  </si>
  <si>
    <t>多口味</t>
  </si>
  <si>
    <t>鲜奶</t>
  </si>
  <si>
    <t>日期</t>
  </si>
  <si>
    <t>纯奶</t>
  </si>
  <si>
    <t>乳酸</t>
  </si>
  <si>
    <t>甜奶</t>
  </si>
  <si>
    <t>草莓</t>
  </si>
  <si>
    <t>麦香</t>
  </si>
  <si>
    <t>合计（箱）</t>
  </si>
  <si>
    <t>可派时长（周）</t>
  </si>
  <si>
    <t>总支数</t>
  </si>
  <si>
    <t>总箱数</t>
  </si>
  <si>
    <t>已送箱数</t>
  </si>
  <si>
    <t>未送箱数</t>
  </si>
  <si>
    <t>学生奶</t>
  </si>
  <si>
    <t>预配送奶已取回放到华售</t>
  </si>
  <si>
    <t>五一3天，六一3天，十.一5天，1.1，3天</t>
  </si>
  <si>
    <t>每天走的路线尽量不要周一，周四送常温奶，如果没有生鲜路线的，与鲜奶一同送，开单1.2到3周的量，一定要看司机当天的配送量</t>
  </si>
  <si>
    <t>建议，1.全部拿回家，由学校一次派送。2.我们派送到家里，顺带加家长微信拓展业务和下学期的征订回访。3.留给下学期配送。4.退款</t>
  </si>
  <si>
    <t>石灰铺</t>
  </si>
  <si>
    <t>是</t>
  </si>
  <si>
    <t>8</t>
  </si>
  <si>
    <t>23个班</t>
  </si>
  <si>
    <t>已派送</t>
  </si>
  <si>
    <t>无</t>
  </si>
  <si>
    <t>张祥稳</t>
  </si>
  <si>
    <t>吴老师</t>
  </si>
  <si>
    <t>华售</t>
  </si>
  <si>
    <t>五一3天，六一3天，十一5天，1.1，4天</t>
  </si>
  <si>
    <t>每天走的路线尽量不要周一，周四送常温奶，如果没有生鲜路线的，与鲜奶一同送，开单1.2到4周的量，一定要看司机当天的配送量</t>
  </si>
  <si>
    <t>建议，1.全部拿回家，由学校一次派送。2.我们派送到家里，顺带加家长微信拓展业务和下学期的征订回访。3.留给下学期配送。5.退款</t>
  </si>
  <si>
    <t>73</t>
  </si>
  <si>
    <t>42个班</t>
  </si>
  <si>
    <t>有</t>
  </si>
  <si>
    <t>李主任</t>
  </si>
  <si>
    <t>13553953189</t>
  </si>
  <si>
    <t>英姐</t>
  </si>
  <si>
    <t>人工</t>
  </si>
  <si>
    <t>五一3天，六一3天，十一5天，1.1，5天</t>
  </si>
  <si>
    <t>每天走的路线尽量不要周一，周四送常温奶，如果没有生鲜路线的，与鲜奶一同送，开单1.2到5周的量，一定要看司机当天的配送量</t>
  </si>
  <si>
    <t>建议，1.全部拿回家，由学校一次派送。2.我们派送到家里，顺带加家长微信拓展业务和下学期的征订回访。3.留给下学期配送。6.退款</t>
  </si>
  <si>
    <t>石灰铺中心幼儿园</t>
  </si>
  <si>
    <t>蓝园长</t>
  </si>
  <si>
    <t>3</t>
  </si>
  <si>
    <t>梁主任</t>
  </si>
  <si>
    <t>18125989808</t>
  </si>
  <si>
    <t>五一3天，六一3天，十一5天，1.1，6天</t>
  </si>
  <si>
    <t>每天走的路线尽量不要周一，周四送常温奶，如果没有生鲜路线的，与鲜奶一同送，开单1.2到6周的量，一定要看司机当天的配送量</t>
  </si>
  <si>
    <t>建议，1.全部拿回家，由学校一次派送。2.我们派送到家里，顺带加家长微信拓展业务和下学期的征订回访。3.留给下学期配送。7.退款</t>
  </si>
  <si>
    <t>石灰铺小宝宝幼儿园0082</t>
  </si>
  <si>
    <t>骆园长</t>
  </si>
  <si>
    <t>15816200899</t>
  </si>
  <si>
    <t>五一3天，六一3天，十一5天，1.1，7天</t>
  </si>
  <si>
    <t>每天走的路线尽量不要周一，周四送常温奶，如果没有生鲜路线的，与鲜奶一同送，开单1.2到7周的量，一定要看司机当天的配送量</t>
  </si>
  <si>
    <t>建议，1.全部拿回家，由学校一次派送。2.我们派送到家里，顺带加家长微信拓展业务和下学期的征订回访。3.留给下学期配送。8.退款</t>
  </si>
  <si>
    <t>石灰铺镇育儿幼儿园020
（3月30日开始派奶，3号配送的奶未用于派发，不计数）</t>
  </si>
  <si>
    <t>钟园长</t>
  </si>
  <si>
    <t>25</t>
  </si>
  <si>
    <t>马园</t>
  </si>
  <si>
    <t>15119798028</t>
  </si>
  <si>
    <t>19926317708</t>
  </si>
  <si>
    <t>五一3天，六一3天，十一5天，1.1，8天</t>
  </si>
  <si>
    <t>每天走的路线尽量不要周一，周四送常温奶，如果没有生鲜路线的，与鲜奶一同送，开单1.2到8周的量，一定要看司机当天的配送量</t>
  </si>
  <si>
    <t>建议，1.全部拿回家，由学校一次派送。2.我们派送到家里，顺带加家长微信拓展业务和下学期的征订回访。3.留给下学期配送。9.退款</t>
  </si>
  <si>
    <t>石牯塘</t>
  </si>
  <si>
    <t>英德市石牯塘镇初级中学（少开纯奶）</t>
  </si>
  <si>
    <t>102</t>
  </si>
  <si>
    <t>18个班</t>
  </si>
  <si>
    <t>成主任</t>
  </si>
  <si>
    <t>五一3天，六一3天，十一5天，1.1，9天</t>
  </si>
  <si>
    <t>每天走的路线尽量不要周一，周四送常温奶，如果没有生鲜路线的，与鲜奶一同送，开单1.2到9周的量，一定要看司机当天的配送量</t>
  </si>
  <si>
    <t>建议，1.全部拿回家，由学校一次派送。2.我们派送到家里，顺带加家长微信拓展业务和下学期的征订回访。3.留给下学期配送。10.退款</t>
  </si>
  <si>
    <t>256</t>
  </si>
  <si>
    <t>成校长</t>
  </si>
  <si>
    <t>13553996633</t>
  </si>
  <si>
    <t>黄桂花</t>
  </si>
  <si>
    <t>13535761675</t>
  </si>
  <si>
    <t>五一3天，六一3天，十一5天，1.1，10天</t>
  </si>
  <si>
    <t>每天走的路线尽量不要周一，周四送常温奶，如果没有生鲜路线的，与鲜奶一同送，开单1.2到10周的量，一定要看司机当天的配送量</t>
  </si>
  <si>
    <t>建议，1.全部拿回家，由学校一次派送。2.我们派送到家里，顺带加家长微信拓展业务和下学期的征订回访。3.留给下学期配送。11.退款</t>
  </si>
  <si>
    <t>浛洸</t>
  </si>
  <si>
    <t>浛洸镇英西中学</t>
  </si>
  <si>
    <t>张主任</t>
  </si>
  <si>
    <t>13620586130</t>
  </si>
  <si>
    <t>五一3天，六一3天，十一5天，1.1，11天</t>
  </si>
  <si>
    <t>每天走的路线尽量不要周一，周四送常温奶，如果没有生鲜路线的，与鲜奶一同送，开单1.2到11周的量，一定要看司机当天的配送量</t>
  </si>
  <si>
    <t>建议，1.全部拿回家，由学校一次派送。2.我们派送到家里，顺带加家长微信拓展业务和下学期的征订回访。3.留给下学期配送。12.退款</t>
  </si>
  <si>
    <t>英德市浛洸镇第二小学</t>
  </si>
  <si>
    <t>陈石湖</t>
  </si>
  <si>
    <t>陈石胡</t>
  </si>
  <si>
    <t>95</t>
  </si>
  <si>
    <t>76个班</t>
  </si>
  <si>
    <t>吴校长</t>
  </si>
  <si>
    <t>谢老师</t>
  </si>
  <si>
    <t>13432717507</t>
  </si>
  <si>
    <t>五一3天，六一3天，十一5天，1.1，12天</t>
  </si>
  <si>
    <t>每天走的路线尽量不要周一，周四送常温奶，如果没有生鲜路线的，与鲜奶一同送，开单1.2到12周的量，一定要看司机当天的配送量</t>
  </si>
  <si>
    <t>建议，1.全部拿回家，由学校一次派送。2.我们派送到家里，顺带加家长微信拓展业务和下学期的征订回访。3.留给下学期配送。13.退款</t>
  </si>
  <si>
    <t>浛洸中心小学</t>
  </si>
  <si>
    <t>78</t>
  </si>
  <si>
    <t>朱主任</t>
  </si>
  <si>
    <t>13680030583</t>
  </si>
  <si>
    <t>黄老师</t>
  </si>
  <si>
    <t>五一3天，六一3天，十一5天，1.1，13天</t>
  </si>
  <si>
    <t>每天走的路线尽量不要周一，周四送常温奶，如果没有生鲜路线的，与鲜奶一同送，开单1.2到13周的量，一定要看司机当天的配送量</t>
  </si>
  <si>
    <t>建议，1.全部拿回家，由学校一次派送。2.我们派送到家里，顺带加家长微信拓展业务和下学期的征订回访。3.留给下学期配送。14.退款</t>
  </si>
  <si>
    <t>浛洸镇德艺幼儿园</t>
  </si>
  <si>
    <t>私立</t>
  </si>
  <si>
    <t>麦丽桢园长</t>
  </si>
  <si>
    <t>15992049448</t>
  </si>
  <si>
    <t>400人左右</t>
  </si>
  <si>
    <t>黄园</t>
  </si>
  <si>
    <t>五一3天，六一3天，十一5天，1.1，14天</t>
  </si>
  <si>
    <t>每天走的路线尽量不要周一，周四送常温奶，如果没有生鲜路线的，与鲜奶一同送，开单1.2到14周的量，一定要看司机当天的配送量</t>
  </si>
  <si>
    <t>建议，1.全部拿回家，由学校一次派送。2.我们派送到家里，顺带加家长微信拓展业务和下学期的征订回访。3.留给下学期配送。15.退款</t>
  </si>
  <si>
    <t>浛洸镇小天使幼儿园0003</t>
  </si>
  <si>
    <t>邓园长</t>
  </si>
  <si>
    <t>五一3天，六一3天，十一5天，1.1，15天</t>
  </si>
  <si>
    <t>每天走的路线尽量不要周一，周四送常温奶，如果没有生鲜路线的，与鲜奶一同送，开单1.2到15周的量，一定要看司机当天的配送量</t>
  </si>
  <si>
    <t>建议，1.全部拿回家，由学校一次派送。2.我们派送到家里，顺带加家长微信拓展业务和下学期的征订回访。3.留给下学期配送。16.退款</t>
  </si>
  <si>
    <t>浛洸镇中心幼儿园</t>
  </si>
  <si>
    <t>林园长</t>
  </si>
  <si>
    <t>18938624254</t>
  </si>
  <si>
    <t>五一3天，六一3天，十一5天，1.1，16天</t>
  </si>
  <si>
    <t>每天走的路线尽量不要周一，周四送常温奶，如果没有生鲜路线的，与鲜奶一同送，开单1.2到16周的量，一定要看司机当天的配送量</t>
  </si>
  <si>
    <t>建议，1.全部拿回家，由学校一次派送。2.我们派送到家里，顺带加家长微信拓展业务和下学期的征订回访。3.留给下学期配送。17.退款</t>
  </si>
  <si>
    <r>
      <rPr>
        <sz val="8"/>
        <color rgb="FF000000"/>
        <rFont val="宋体"/>
        <charset val="134"/>
      </rPr>
      <t>浛洸张陂幼儿园（</t>
    </r>
    <r>
      <rPr>
        <sz val="8"/>
        <color rgb="FFFF0000"/>
        <rFont val="宋体"/>
        <charset val="134"/>
      </rPr>
      <t>少开纯奶</t>
    </r>
    <r>
      <rPr>
        <sz val="8"/>
        <color rgb="FF000000"/>
        <rFont val="宋体"/>
        <charset val="134"/>
      </rPr>
      <t>）</t>
    </r>
  </si>
  <si>
    <t>张园长</t>
  </si>
  <si>
    <t>100人左右</t>
  </si>
  <si>
    <t>五一3天，六一3天，十一5天，1.1，17天</t>
  </si>
  <si>
    <t>每天走的路线尽量不要周一，周四送常温奶，如果没有生鲜路线的，与鲜奶一同送，开单1.2到17周的量，一定要看司机当天的配送量</t>
  </si>
  <si>
    <t>建议，1.全部拿回家，由学校一次派送。2.我们派送到家里，顺带加家长微信拓展业务和下学期的征订回访。3.留给下学期配送。18.退款</t>
  </si>
  <si>
    <t>大湾/青坑/波罗</t>
  </si>
  <si>
    <t>11</t>
  </si>
  <si>
    <t>13413598414</t>
  </si>
  <si>
    <t>五一3天，六一3天，十一5天，1.1，18天</t>
  </si>
  <si>
    <t>每天走的路线尽量不要周一，周四送常温奶，如果没有生鲜路线的，与鲜奶一同送，开单1.2到18周的量，一定要看司机当天的配送量</t>
  </si>
  <si>
    <t>建议，1.全部拿回家，由学校一次派送。2.我们派送到家里，顺带加家长微信拓展业务和下学期的征订回访。3.留给下学期配送。19.退款</t>
  </si>
  <si>
    <t>英德市大湾镇中心小学4-6年级（内）</t>
  </si>
  <si>
    <t>64</t>
  </si>
  <si>
    <t>赖主任</t>
  </si>
  <si>
    <t>13535998954</t>
  </si>
  <si>
    <t>罗文英4-6年级</t>
  </si>
  <si>
    <t>五一3天，六一3天，十一5天，1.1，19天</t>
  </si>
  <si>
    <t>每天走的路线尽量不要周一，周四送常温奶，如果没有生鲜路线的，与鲜奶一同送，开单1.2到19周的量，一定要看司机当天的配送量</t>
  </si>
  <si>
    <t>建议，1.全部拿回家，由学校一次派送。2.我们派送到家里，顺带加家长微信拓展业务和下学期的征订回访。3.留给下学期配送。20.退款</t>
  </si>
  <si>
    <t>大湾中心小学分校1-3年级（外）</t>
  </si>
  <si>
    <t>48</t>
  </si>
  <si>
    <t>曾主任</t>
  </si>
  <si>
    <t>15807654130</t>
  </si>
  <si>
    <t>五一3天，六一3天，十一5天，1.1，20天</t>
  </si>
  <si>
    <t>每天走的路线尽量不要周一，周四送常温奶，如果没有生鲜路线的，与鲜奶一同送，开单1.2到20周的量，一定要看司机当天的配送量</t>
  </si>
  <si>
    <t>建议，1.全部拿回家，由学校一次派送。2.我们派送到家里，顺带加家长微信拓展业务和下学期的征订回访。3.留给下学期配送。21.退款</t>
  </si>
  <si>
    <t>大湾镇中心幼儿园</t>
  </si>
  <si>
    <t>谭美玲</t>
  </si>
  <si>
    <t>15915175837</t>
  </si>
  <si>
    <t>王老师</t>
  </si>
  <si>
    <t>13542491334</t>
  </si>
  <si>
    <t>五一3天，六一3天，十一5天，1.1，21天</t>
  </si>
  <si>
    <t>每天走的路线尽量不要周一，周四送常温奶，如果没有生鲜路线的，与鲜奶一同送，开单1.2到21周的量，一定要看司机当天的配送量</t>
  </si>
  <si>
    <t>建议，1.全部拿回家，由学校一次派送。2.我们派送到家里，顺带加家长微信拓展业务和下学期的征订回访。3.留给下学期配送。22.退款</t>
  </si>
  <si>
    <t>英德市大湾镇醒目仔幼儿园</t>
  </si>
  <si>
    <t>卓园长</t>
  </si>
  <si>
    <t>13416520170</t>
  </si>
  <si>
    <t>五一3天，六一3天，十一5天，1.1，22天</t>
  </si>
  <si>
    <t>每天走的路线尽量不要周一，周四送常温奶，如果没有生鲜路线的，与鲜奶一同送，开单1.2到22周的量，一定要看司机当天的配送量</t>
  </si>
  <si>
    <t>建议，1.全部拿回家，由学校一次派送。2.我们派送到家里，顺带加家长微信拓展业务和下学期的征订回访。3.留给下学期配送。23.退款</t>
  </si>
  <si>
    <t>大湾镇童心幼儿园（不要太多纯牛奶）
每次送8天量</t>
  </si>
  <si>
    <t>刘园长</t>
  </si>
  <si>
    <t>18998618932</t>
  </si>
  <si>
    <t>张燕主任</t>
  </si>
  <si>
    <t>18998612323</t>
  </si>
  <si>
    <t>刘园</t>
  </si>
  <si>
    <t>1899868932</t>
  </si>
  <si>
    <t>五一3天，六一3天，十一5天，1.1，23天</t>
  </si>
  <si>
    <t>每天走的路线尽量不要周一，周四送常温奶，如果没有生鲜路线的，与鲜奶一同送，开单1.2到23周的量，一定要看司机当天的配送量</t>
  </si>
  <si>
    <t>建议，1.全部拿回家，由学校一次派送。2.我们派送到家里，顺带加家长微信拓展业务和下学期的征订回访。3.留给下学期配送。24.退款</t>
  </si>
  <si>
    <t>英德市大湾镇启航幼儿园</t>
  </si>
  <si>
    <t>谢园</t>
  </si>
  <si>
    <t>230人左右</t>
  </si>
  <si>
    <t>13727134423</t>
  </si>
  <si>
    <t>五一3天，六一3天，十一5天，1.1，24天</t>
  </si>
  <si>
    <t>每天走的路线尽量不要周一，周四送常温奶，如果没有生鲜路线的，与鲜奶一同送，开单1.2到24周的量，一定要看司机当天的配送量</t>
  </si>
  <si>
    <t>建议，1.全部拿回家，由学校一次派送。2.我们派送到家里，顺带加家长微信拓展业务和下学期的征订回访。3.留给下学期配送。25.退款</t>
  </si>
  <si>
    <t>英德市大湾镇青坑培乐幼儿园</t>
  </si>
  <si>
    <t>杨艺</t>
  </si>
  <si>
    <t>五一3天，六一3天，十一5天，1.1，25天</t>
  </si>
  <si>
    <t>每天走的路线尽量不要周一，周四送常温奶，如果没有生鲜路线的，与鲜奶一同送，开单1.2到25周的量，一定要看司机当天的配送量</t>
  </si>
  <si>
    <t>建议，1.全部拿回家，由学校一次派送。2.我们派送到家里，顺带加家长微信拓展业务和下学期的征订回访。3.留给下学期配送。26.退款</t>
  </si>
  <si>
    <t>38</t>
  </si>
  <si>
    <t>熊老师</t>
  </si>
  <si>
    <t>五一3天，六一3天，十一5天，1.1，26天</t>
  </si>
  <si>
    <t>每天走的路线尽量不要周一，周四送常温奶，如果没有生鲜路线的，与鲜奶一同送，开单1.2到26周的量，一定要看司机当天的配送量</t>
  </si>
  <si>
    <t>建议，1.全部拿回家，由学校一次派送。2.我们派送到家里，顺带加家长微信拓展业务和下学期的征订回访。3.留给下学期配送。27.退款</t>
  </si>
  <si>
    <t>英德市大湾镇青坑学校（初中部）</t>
  </si>
  <si>
    <t>五一3天，六一3天，十一5天，1.1，27天</t>
  </si>
  <si>
    <t>每天走的路线尽量不要周一，周四送常温奶，如果没有生鲜路线的，与鲜奶一同送，开单1.2到27周的量，一定要看司机当天的配送量</t>
  </si>
  <si>
    <t>建议，1.全部拿回家，由学校一次派送。2.我们派送到家里，顺带加家长微信拓展业务和下学期的征订回访。3.留给下学期配送。28.退款</t>
  </si>
  <si>
    <t>英德市波罗学校（少开纯奶）</t>
  </si>
  <si>
    <t>伦阿姨</t>
  </si>
  <si>
    <t>五一3天，六一3天，十一5天，1.1，28天</t>
  </si>
  <si>
    <t>每天走的路线尽量不要周一，周四送常温奶，如果没有生鲜路线的，与鲜奶一同送，开单1.2到28周的量，一定要看司机当天的配送量</t>
  </si>
  <si>
    <t>建议，1.全部拿回家，由学校一次派送。2.我们派送到家里，顺带加家长微信拓展业务和下学期的征订回访。3.留给下学期配送。29.退款</t>
  </si>
  <si>
    <t>波罗镇中心幼儿园</t>
  </si>
  <si>
    <t>甘园长</t>
  </si>
  <si>
    <t>15816227552</t>
  </si>
  <si>
    <t>赖金水</t>
  </si>
  <si>
    <t>29</t>
  </si>
  <si>
    <t>陈校</t>
  </si>
  <si>
    <t>13926625332</t>
  </si>
  <si>
    <t>五一3天，六一3天，十一5天，1.1，29天</t>
  </si>
  <si>
    <t>每天走的路线尽量不要周一，周四送常温奶，如果没有生鲜路线的，与鲜奶一同送，开单1.2到29周的量，一定要看司机当天的配送量</t>
  </si>
  <si>
    <t>建议，1.全部拿回家，由学校一次派送。2.我们派送到家里，顺带加家长微信拓展业务和下学期的征订回访。3.留给下学期配送。30.退款</t>
  </si>
  <si>
    <t xml:space="preserve">黄花线
大洞
水边
九龙
西牛
</t>
  </si>
  <si>
    <t>英德市大洞学校0147</t>
  </si>
  <si>
    <t>21</t>
  </si>
  <si>
    <t>600人左右</t>
  </si>
  <si>
    <t>张校</t>
  </si>
  <si>
    <t>15907637778</t>
  </si>
  <si>
    <t>四叔</t>
  </si>
  <si>
    <t>13690809720</t>
  </si>
  <si>
    <t>五一3天，六一3天，十一5天，1.1，30天</t>
  </si>
  <si>
    <t>每天走的路线尽量不要周一，周四送常温奶，如果没有生鲜路线的，与鲜奶一同送，开单1.2到30周的量，一定要看司机当天的配送量</t>
  </si>
  <si>
    <t>建议，1.全部拿回家，由学校一次派送。2.我们派送到家里，顺带加家长微信拓展业务和下学期的征订回访。3.留给下学期配送。31.退款</t>
  </si>
  <si>
    <t>大洞镇中心幼儿园</t>
  </si>
  <si>
    <t>李园长</t>
  </si>
  <si>
    <t>51</t>
  </si>
  <si>
    <t>五一3天，六一3天，十一5天，1.1，31天</t>
  </si>
  <si>
    <t>每天走的路线尽量不要周一，周四送常温奶，如果没有生鲜路线的，与鲜奶一同送，开单1.2到31周的量，一定要看司机当天的配送量</t>
  </si>
  <si>
    <t>建议，1.全部拿回家，由学校一次派送。2.我们派送到家里，顺带加家长微信拓展业务和下学期的征订回访。3.留给下学期配送。32.退款</t>
  </si>
  <si>
    <t>水边学校（中、小学）</t>
  </si>
  <si>
    <t>朱主任
周老师</t>
  </si>
  <si>
    <t>13726965600
13425207133</t>
  </si>
  <si>
    <t>4.10增加线下订单23个，未收费，对接朱主任</t>
  </si>
  <si>
    <t>补了23人3月奶量，所以五一前需配送</t>
  </si>
  <si>
    <t>五一3天，六一3天，十一5天，1.1，32天</t>
  </si>
  <si>
    <t>每天走的路线尽量不要周一，周四送常温奶，如果没有生鲜路线的，与鲜奶一同送，开单1.2到32周的量，一定要看司机当天的配送量</t>
  </si>
  <si>
    <t>建议，1.全部拿回家，由学校一次派送。2.我们派送到家里，顺带加家长微信拓展业务和下学期的征订回访。3.留给下学期配送。33.退款</t>
  </si>
  <si>
    <t>水边中心幼儿园                           5.7号打单时差一套尺子一起开单送</t>
  </si>
  <si>
    <t>黄园长</t>
  </si>
  <si>
    <t>15811733898</t>
  </si>
  <si>
    <t>45</t>
  </si>
  <si>
    <t>肖园长</t>
  </si>
  <si>
    <t>13416568500</t>
  </si>
  <si>
    <t>五一3天，六一3天，十一5天，1.1，33天</t>
  </si>
  <si>
    <t>每天走的路线尽量不要周一，周四送常温奶，如果没有生鲜路线的，与鲜奶一同送，开单1.2到33周的量，一定要看司机当天的配送量</t>
  </si>
  <si>
    <t>建议，1.全部拿回家，由学校一次派送。2.我们派送到家里，顺带加家长微信拓展业务和下学期的征订回访。3.留给下学期配送。34.退款</t>
  </si>
  <si>
    <t>72</t>
  </si>
  <si>
    <t>陈主任</t>
  </si>
  <si>
    <t>五一3天，六一3天，十一5天，1.1，34天</t>
  </si>
  <si>
    <t>每天走的路线尽量不要周一，周四送常温奶，如果没有生鲜路线的，与鲜奶一同送，开单1.2到34周的量，一定要看司机当天的配送量</t>
  </si>
  <si>
    <t>建议，1.全部拿回家，由学校一次派送。2.我们派送到家里，顺带加家长微信拓展业务和下学期的征订回访。3.留给下学期配送。35.退款</t>
  </si>
  <si>
    <t>320</t>
  </si>
  <si>
    <t>13620572664</t>
  </si>
  <si>
    <t>五一3天，六一3天，十一5天，1.1，35天</t>
  </si>
  <si>
    <t>每天走的路线尽量不要周一，周四送常温奶，如果没有生鲜路线的，与鲜奶一同送，开单1.2到35周的量，一定要看司机当天的配送量</t>
  </si>
  <si>
    <t>建议，1.全部拿回家，由学校一次派送。2.我们派送到家里，顺带加家长微信拓展业务和下学期的征订回访。3.留给下学期配送。36.退款</t>
  </si>
  <si>
    <t>英德市黄花中心幼儿园</t>
  </si>
  <si>
    <t>冯雪红</t>
  </si>
  <si>
    <t>18023713663</t>
  </si>
  <si>
    <t>冯雪红（园长）</t>
  </si>
  <si>
    <t>五一3天，六一3天，十一5天，1.1，36天</t>
  </si>
  <si>
    <t>每天走的路线尽量不要周一，周四送常温奶，如果没有生鲜路线的，与鲜奶一同送，开单1.2到36周的量，一定要看司机当天的配送量</t>
  </si>
  <si>
    <t>建议，1.全部拿回家，由学校一次派送。2.我们派送到家里，顺带加家长微信拓展业务和下学期的征订回访。3.留给下学期配送。37.退款</t>
  </si>
  <si>
    <t>英德市九龙二小</t>
  </si>
  <si>
    <t>曾校长</t>
  </si>
  <si>
    <t>69</t>
  </si>
  <si>
    <t>刘主任</t>
  </si>
  <si>
    <t>13435268686</t>
  </si>
  <si>
    <t>罗老师</t>
  </si>
  <si>
    <t>五一3天，六一3天，十一5天，1.1，37天</t>
  </si>
  <si>
    <t>每天走的路线尽量不要周一，周四送常温奶，如果没有生鲜路线的，与鲜奶一同送，开单1.2到37周的量，一定要看司机当天的配送量</t>
  </si>
  <si>
    <t>建议，1.全部拿回家，由学校一次派送。2.我们派送到家里，顺带加家长微信拓展业务和下学期的征订回访。3.留给下学期配送。38.退款</t>
  </si>
  <si>
    <t>135</t>
  </si>
  <si>
    <t>刘老师</t>
  </si>
  <si>
    <t>五一3天，六一3天，十一5天，1.1，38天</t>
  </si>
  <si>
    <t>每天走的路线尽量不要周一，周四送常温奶，如果没有生鲜路线的，与鲜奶一同送，开单1.2到38周的量，一定要看司机当天的配送量</t>
  </si>
  <si>
    <t>建议，1.全部拿回家，由学校一次派送。2.我们派送到家里，顺带加家长微信拓展业务和下学期的征订回访。3.留给下学期配送。39.退款</t>
  </si>
  <si>
    <t>九龙中学（三周送一次，周四送，八点前到）</t>
  </si>
  <si>
    <t>4</t>
  </si>
  <si>
    <t>丘文斌主任</t>
  </si>
  <si>
    <t>13535186235</t>
  </si>
  <si>
    <t>丘主任</t>
  </si>
  <si>
    <t>五一3天，六一3天，十一5天，1.1，39天</t>
  </si>
  <si>
    <t>每天走的路线尽量不要周一，周四送常温奶，如果没有生鲜路线的，与鲜奶一同送，开单1.2到39周的量，一定要看司机当天的配送量</t>
  </si>
  <si>
    <t>建议，1.全部拿回家，由学校一次派送。2.我们派送到家里，顺带加家长微信拓展业务和下学期的征订回访。3.留给下学期配送。40.退款</t>
  </si>
  <si>
    <t>九龙二中（三周送一次，周四送，八点前到）</t>
  </si>
  <si>
    <t xml:space="preserve"> </t>
  </si>
  <si>
    <t>五一3天，六一3天，十一5天，1.1，40天</t>
  </si>
  <si>
    <t>每天走的路线尽量不要周一，周四送常温奶，如果没有生鲜路线的，与鲜奶一同送，开单1.2到40周的量，一定要看司机当天的配送量</t>
  </si>
  <si>
    <t>建议，1.全部拿回家，由学校一次派送。2.我们派送到家里，顺带加家长微信拓展业务和下学期的征订回访。3.留给下学期配送。41.退款</t>
  </si>
  <si>
    <t>九龙中心幼儿园</t>
  </si>
  <si>
    <t>刘素梅</t>
  </si>
  <si>
    <t>13417268317</t>
  </si>
  <si>
    <t>五一3天，六一3天，十一5天，1.1，41天</t>
  </si>
  <si>
    <t>每天走的路线尽量不要周一，周四送常温奶，如果没有生鲜路线的，与鲜奶一同送，开单1.2到41周的量，一定要看司机当天的配送量</t>
  </si>
  <si>
    <t>建议，1.全部拿回家，由学校一次派送。2.我们派送到家里，顺带加家长微信拓展业务和下学期的征订回访。3.留给下学期配送。42.退款</t>
  </si>
  <si>
    <t>九龙镇同乐幼儿园</t>
  </si>
  <si>
    <t>五一3天，六一3天，十一5天，1.1，42天</t>
  </si>
  <si>
    <t>每天走的路线尽量不要周一，周四送常温奶，如果没有生鲜路线的，与鲜奶一同送，开单1.2到42周的量，一定要看司机当天的配送量</t>
  </si>
  <si>
    <t>建议，1.全部拿回家，由学校一次派送。2.我们派送到家里，顺带加家长微信拓展业务和下学期的征订回访。3.留给下学期配送。43.退款</t>
  </si>
  <si>
    <t>九龙镇金种子幼儿园（多口味套餐全部不要纯奶，送其他口味）</t>
  </si>
  <si>
    <t>13620558410</t>
  </si>
  <si>
    <t>五一3天，六一3天，十一5天，1.1，43天</t>
  </si>
  <si>
    <t>每天走的路线尽量不要周一，周四送常温奶，如果没有生鲜路线的，与鲜奶一同送，开单1.2到43周的量，一定要看司机当天的配送量</t>
  </si>
  <si>
    <t>建议，1.全部拿回家，由学校一次派送。2.我们派送到家里，顺带加家长微信拓展业务和下学期的征订回访。3.留给下学期配送。44.退款</t>
  </si>
  <si>
    <t>九龙镇新蓝天幼儿园</t>
  </si>
  <si>
    <t>五一3天，六一3天，十一5天，1.1，44天</t>
  </si>
  <si>
    <t>每天走的路线尽量不要周一，周四送常温奶，如果没有生鲜路线的，与鲜奶一同送，开单1.2到44周的量，一定要看司机当天的配送量</t>
  </si>
  <si>
    <t>建议，1.全部拿回家，由学校一次派送。2.我们派送到家里，顺带加家长微信拓展业务和下学期的征订回访。3.留给下学期配送。45.退款</t>
  </si>
  <si>
    <t/>
  </si>
  <si>
    <t>郭主任</t>
  </si>
  <si>
    <t>五一3天，六一3天，十一5天，1.1，45天</t>
  </si>
  <si>
    <t>每天走的路线尽量不要周一，周四送常温奶，如果没有生鲜路线的，与鲜奶一同送，开单1.2到45周的量，一定要看司机当天的配送量</t>
  </si>
  <si>
    <t>建议，1.全部拿回家，由学校一次派送。2.我们派送到家里，顺带加家长微信拓展业务和下学期的征订回访。3.留给下学期配送。46.退款</t>
  </si>
  <si>
    <t>英德市西牛镇中心小学（少开纯，麦）</t>
  </si>
  <si>
    <t>112</t>
  </si>
  <si>
    <t>45个班</t>
  </si>
  <si>
    <t>李婷婷</t>
  </si>
  <si>
    <t>五一3天，六一3天，十一5天，1.1，46天</t>
  </si>
  <si>
    <t>每天走的路线尽量不要周一，周四送常温奶，如果没有生鲜路线的，与鲜奶一同送，开单1.2到46周的量，一定要看司机当天的配送量</t>
  </si>
  <si>
    <t>建议，1.全部拿回家，由学校一次派送。2.我们派送到家里，顺带加家长微信拓展业务和下学期的征订回访。3.留给下学期配送。47.退款</t>
  </si>
  <si>
    <t>西牛中心幼儿园</t>
  </si>
  <si>
    <t>陈国兴</t>
  </si>
  <si>
    <t>陈园</t>
  </si>
  <si>
    <t>五一3天，六一3天，十一5天，1.1，47天</t>
  </si>
  <si>
    <t>每天走的路线尽量不要周一，周四送常温奶，如果没有生鲜路线的，与鲜奶一同送，开单1.2到47周的量，一定要看司机当天的配送量</t>
  </si>
  <si>
    <t>建议，1.全部拿回家，由学校一次派送。2.我们派送到家里，顺带加家长微信拓展业务和下学期的征订回访。3.留给下学期配送。48.退款</t>
  </si>
  <si>
    <t>英中线（大站-下太）</t>
  </si>
  <si>
    <t>大站镇中心幼儿园</t>
  </si>
  <si>
    <t>13631052896</t>
  </si>
  <si>
    <t>23</t>
  </si>
  <si>
    <t>赖园长</t>
  </si>
  <si>
    <t>15767249048</t>
  </si>
  <si>
    <t>五一3天，六一3天，十一5天，1.1，48天</t>
  </si>
  <si>
    <t>每天走的路线尽量不要周一，周四送常温奶，如果没有生鲜路线的，与鲜奶一同送，开单1.2到48周的量，一定要看司机当天的配送量</t>
  </si>
  <si>
    <t>建议，1.全部拿回家，由学校一次派送。2.我们派送到家里，顺带加家长微信拓展业务和下学期的征订回访。3.留给下学期配送。49.退款</t>
  </si>
  <si>
    <t>大站镇中心小学</t>
  </si>
  <si>
    <t>166</t>
  </si>
  <si>
    <t>潘主任</t>
  </si>
  <si>
    <t>13416558182</t>
  </si>
  <si>
    <t>李老师</t>
  </si>
  <si>
    <t>13726977791</t>
  </si>
  <si>
    <t>五一3天，六一3天，十一5天，1.1，49天</t>
  </si>
  <si>
    <t>每天走的路线尽量不要周一，周四送常温奶，如果没有生鲜路线的，与鲜奶一同送，开单1.2到49周的量，一定要看司机当天的配送量</t>
  </si>
  <si>
    <t>建议，1.全部拿回家，由学校一次派送。2.我们派送到家里，顺带加家长微信拓展业务和下学期的征订回访。3.留给下学期配送。50.退款</t>
  </si>
  <si>
    <t>英德市望埠镇中心小学（多送纯牛奶）</t>
  </si>
  <si>
    <t>公办          是</t>
  </si>
  <si>
    <t>龙艳琳</t>
  </si>
  <si>
    <t>五一3天，六一3天，十一5天，1.1，50天</t>
  </si>
  <si>
    <t>每天走的路线尽量不要周一，周四送常温奶，如果没有生鲜路线的，与鲜奶一同送，开单1.2到50周的量，一定要看司机当天的配送量</t>
  </si>
  <si>
    <t>建议，1.全部拿回家，由学校一次派送。2.我们派送到家里，顺带加家长微信拓展业务和下学期的征订回访。3.留给下学期配送。51.退款</t>
  </si>
  <si>
    <t>英德市望埠镇第二小学</t>
  </si>
  <si>
    <t>邓校</t>
  </si>
  <si>
    <t>15089701088</t>
  </si>
  <si>
    <t>13642527285</t>
  </si>
  <si>
    <t>五一3天，六一3天，十一5天，1.1，51天</t>
  </si>
  <si>
    <t>每天走的路线尽量不要周一，周四送常温奶，如果没有生鲜路线的，与鲜奶一同送，开单1.2到51周的量，一定要看司机当天的配送量</t>
  </si>
  <si>
    <t>建议，1.全部拿回家，由学校一次派送。2.我们派送到家里，顺带加家长微信拓展业务和下学期的征订回访。3.留给下学期配送。52.退款</t>
  </si>
  <si>
    <t>英德市望埠镇育儿幼儿园</t>
  </si>
  <si>
    <t>邬少红</t>
  </si>
  <si>
    <t>15876358879</t>
  </si>
  <si>
    <t>五一3天，六一3天，十一5天，1.1，52天</t>
  </si>
  <si>
    <t>每天走的路线尽量不要周一，周四送常温奶，如果没有生鲜路线的，与鲜奶一同送，开单1.2到52周的量，一定要看司机当天的配送量</t>
  </si>
  <si>
    <t>建议，1.全部拿回家，由学校一次派送。2.我们派送到家里，顺带加家长微信拓展业务和下学期的征订回访。3.留给下学期配送。53.退款</t>
  </si>
  <si>
    <t>英德市望埠镇中心幼儿园</t>
  </si>
  <si>
    <t>曹玉华</t>
  </si>
  <si>
    <t>13727125494</t>
  </si>
  <si>
    <t>41</t>
  </si>
  <si>
    <t>邓老师</t>
  </si>
  <si>
    <t>13539505870</t>
  </si>
  <si>
    <t>五一3天，六一3天，十一5天，1.1，53天</t>
  </si>
  <si>
    <t>每天走的路线尽量不要周一，周四送常温奶，如果没有生鲜路线的，与鲜奶一同送，开单1.2到53周的量，一定要看司机当天的配送量</t>
  </si>
  <si>
    <t>建议，1.全部拿回家，由学校一次派送。2.我们派送到家里，顺带加家长微信拓展业务和下学期的征订回访。3.留给下学期配送。54.退款</t>
  </si>
  <si>
    <t>五一3天，六一3天，十一5天，1.1，54天</t>
  </si>
  <si>
    <t>每天走的路线尽量不要周一，周四送常温奶，如果没有生鲜路线的，与鲜奶一同送，开单1.2到54周的量，一定要看司机当天的配送量</t>
  </si>
  <si>
    <t>建议，1.全部拿回家，由学校一次派送。2.我们派送到家里，顺带加家长微信拓展业务和下学期的征订回访。3.留给下学期配送。55.退款</t>
  </si>
  <si>
    <t>英德市望埠镇中学</t>
  </si>
  <si>
    <t>江主任</t>
  </si>
  <si>
    <t>15813264484</t>
  </si>
  <si>
    <t>五一3天，六一3天，十一5天，1.1，55天</t>
  </si>
  <si>
    <t>每天走的路线尽量不要周一，周四送常温奶，如果没有生鲜路线的，与鲜奶一同送，开单1.2到55周的量，一定要看司机当天的配送量</t>
  </si>
  <si>
    <t>建议，1.全部拿回家，由学校一次派送。2.我们派送到家里，顺带加家长微信拓展业务和下学期的征订回访。3.留给下学期配送。56.退款</t>
  </si>
  <si>
    <t>沙口中学</t>
  </si>
  <si>
    <t>39</t>
  </si>
  <si>
    <t>24个班</t>
  </si>
  <si>
    <t>不拉</t>
  </si>
  <si>
    <t>谭教扬</t>
  </si>
  <si>
    <t>13416522731</t>
  </si>
  <si>
    <t>冯主任</t>
  </si>
  <si>
    <t>五一3天，六一3天，十一5天，1.1，56天</t>
  </si>
  <si>
    <t>每天走的路线尽量不要周一，周四送常温奶，如果没有生鲜路线的，与鲜奶一同送，开单1.2到56周的量，一定要看司机当天的配送量</t>
  </si>
  <si>
    <t>建议，1.全部拿回家，由学校一次派送。2.我们派送到家里，顺带加家长微信拓展业务和下学期的征订回访。3.留给下学期配送。57.退款</t>
  </si>
  <si>
    <t>沙口中心小学1-3年级</t>
  </si>
  <si>
    <t>168</t>
  </si>
  <si>
    <t>马姐</t>
  </si>
  <si>
    <t>15113718217</t>
  </si>
  <si>
    <t>五一3天，六一3天，十一5天，1.1，57天</t>
  </si>
  <si>
    <t>每天走的路线尽量不要周一，周四送常温奶，如果没有生鲜路线的，与鲜奶一同送，开单1.2到57周的量，一定要看司机当天的配送量</t>
  </si>
  <si>
    <t>建议，1.全部拿回家，由学校一次派送。2.我们派送到家里，顺带加家长微信拓展业务和下学期的征订回访。3.留给下学期配送。58.退款</t>
  </si>
  <si>
    <t>沙口中心小学分校4-6年级</t>
  </si>
  <si>
    <t>金娣</t>
  </si>
  <si>
    <t>13610575726</t>
  </si>
  <si>
    <t>五一3天，六一3天，十一5天，1.1，58天</t>
  </si>
  <si>
    <t>每天走的路线尽量不要周一，周四送常温奶，如果没有生鲜路线的，与鲜奶一同送，开单1.2到58周的量，一定要看司机当天的配送量</t>
  </si>
  <si>
    <t>建议，1.全部拿回家，由学校一次派送。2.我们派送到家里，顺带加家长微信拓展业务和下学期的征订回访。3.留给下学期配送。59.退款</t>
  </si>
  <si>
    <t>沙口中心幼儿园</t>
  </si>
  <si>
    <t>周园长</t>
  </si>
  <si>
    <t>潘老师</t>
  </si>
  <si>
    <t>13824915028</t>
  </si>
  <si>
    <t>五一3天，六一3天，十一5天，1.1，59天</t>
  </si>
  <si>
    <t>每天走的路线尽量不要周一，周四送常温奶，如果没有生鲜路线的，与鲜奶一同送，开单1.2到59周的量，一定要看司机当天的配送量</t>
  </si>
  <si>
    <t>建议，1.全部拿回家，由学校一次派送。2.我们派送到家里，顺带加家长微信拓展业务和下学期的征订回访。3.留给下学期配送。60.退款</t>
  </si>
  <si>
    <t>沙口镇开发区幼儿园</t>
  </si>
  <si>
    <t>张永红</t>
  </si>
  <si>
    <t>15207649297</t>
  </si>
  <si>
    <t>五一3天，六一3天，十一5天，1.1，60天</t>
  </si>
  <si>
    <t>每天走的路线尽量不要周一，周四送常温奶，如果没有生鲜路线的，与鲜奶一同送，开单1.2到60周的量，一定要看司机当天的配送量</t>
  </si>
  <si>
    <t>建议，1.全部拿回家，由学校一次派送。2.我们派送到家里，顺带加家长微信拓展业务和下学期的征订回访。3.留给下学期配送。61.退款</t>
  </si>
  <si>
    <t xml:space="preserve">连江口浈阳幼儿园
</t>
  </si>
  <si>
    <t>园长收单对接</t>
  </si>
  <si>
    <t>46</t>
  </si>
  <si>
    <t>肖园</t>
  </si>
  <si>
    <t>13828592885</t>
  </si>
  <si>
    <t>线下单</t>
  </si>
  <si>
    <t>五一3天，六一3天，十一5天，1.1，61天</t>
  </si>
  <si>
    <t>每天走的路线尽量不要周一，周四送常温奶，如果没有生鲜路线的，与鲜奶一同送，开单1.2到61周的量，一定要看司机当天的配送量</t>
  </si>
  <si>
    <t>建议，1.全部拿回家，由学校一次派送。2.我们派送到家里，顺带加家长微信拓展业务和下学期的征订回访。3.留给下学期配送。62.退款</t>
  </si>
  <si>
    <t>五一3天，六一3天，十一5天，1.1，62天</t>
  </si>
  <si>
    <t>每天走的路线尽量不要周一，周四送常温奶，如果没有生鲜路线的，与鲜奶一同送，开单1.2到62周的量，一定要看司机当天的配送量</t>
  </si>
  <si>
    <t>建议，1.全部拿回家，由学校一次派送。2.我们派送到家里，顺带加家长微信拓展业务和下学期的征订回访。3.留给下学期配送。63.退款</t>
  </si>
  <si>
    <t>连江口中心幼儿园</t>
  </si>
  <si>
    <t>黄主任</t>
  </si>
  <si>
    <t>18319897549</t>
  </si>
  <si>
    <t>18</t>
  </si>
  <si>
    <t>200人左右</t>
  </si>
  <si>
    <t>五一3天，六一3天，十一5天，1.1，63天</t>
  </si>
  <si>
    <t>每天走的路线尽量不要周一，周四送常温奶，如果没有生鲜路线的，与鲜奶一同送，开单1.2到63周的量，一定要看司机当天的配送量</t>
  </si>
  <si>
    <t>建议，1.全部拿回家，由学校一次派送。2.我们派送到家里，顺带加家长微信拓展业务和下学期的征订回访。3.留给下学期配送。64.退款</t>
  </si>
  <si>
    <t>连江口中心小学</t>
  </si>
  <si>
    <t>连江口中学</t>
  </si>
  <si>
    <t>黎溪中心小学</t>
  </si>
  <si>
    <t>李帮忠</t>
  </si>
  <si>
    <t>13729638820</t>
  </si>
  <si>
    <t>50个班</t>
  </si>
  <si>
    <t>卢主任</t>
  </si>
  <si>
    <t>18926631494</t>
  </si>
  <si>
    <t>娥姐</t>
  </si>
  <si>
    <t>黎溪镇中心幼儿园</t>
  </si>
  <si>
    <t>陆园长</t>
  </si>
  <si>
    <t>13620583533</t>
  </si>
  <si>
    <t>黎溪中学
（以后纯奶配12箱，共72箱）</t>
  </si>
  <si>
    <t>13631055854</t>
  </si>
  <si>
    <t>25个班</t>
  </si>
  <si>
    <t>黎溪镇府前幼儿园</t>
  </si>
  <si>
    <t>朱雪花</t>
  </si>
  <si>
    <t>朱秀珍</t>
  </si>
  <si>
    <t>骆主任</t>
  </si>
  <si>
    <t>18948935146</t>
  </si>
  <si>
    <t>32</t>
  </si>
  <si>
    <t>180人左右</t>
  </si>
  <si>
    <t>黎溪镇童乐幼儿园</t>
  </si>
  <si>
    <t>莫园长</t>
  </si>
  <si>
    <t>36</t>
  </si>
  <si>
    <t>莫老师</t>
  </si>
  <si>
    <t>13680016953</t>
  </si>
  <si>
    <t>黎溪镇小太阳幼儿园</t>
  </si>
  <si>
    <t>吴园长</t>
  </si>
  <si>
    <t>黎溪镇幸福幼儿园</t>
  </si>
  <si>
    <t>邝园长</t>
  </si>
  <si>
    <t>75</t>
  </si>
  <si>
    <t>300人左右</t>
  </si>
  <si>
    <t>邝园</t>
  </si>
  <si>
    <t>15816200780</t>
  </si>
  <si>
    <t>英德市黎溪镇湖溪村幼儿园</t>
  </si>
  <si>
    <t>覃雪琴</t>
  </si>
  <si>
    <t>曾老师</t>
  </si>
  <si>
    <t>15917617996</t>
  </si>
  <si>
    <t>下太中心幼儿园</t>
  </si>
  <si>
    <t>邝淑勤园长</t>
  </si>
  <si>
    <t>13539524123</t>
  </si>
  <si>
    <t>郑老师</t>
  </si>
  <si>
    <t>13620566621</t>
  </si>
  <si>
    <t>送齐</t>
  </si>
  <si>
    <t>东乡线（鱼湾
--东华）</t>
  </si>
  <si>
    <t>英德市东华镇鱼湾中学（多口味奶）</t>
  </si>
  <si>
    <t>林校长</t>
  </si>
  <si>
    <t>谢校长</t>
  </si>
  <si>
    <t>0167英德市东华镇鱼湾小学</t>
  </si>
  <si>
    <t>1</t>
  </si>
  <si>
    <t>黄校长</t>
  </si>
  <si>
    <t>705鱼湾旭日幼儿园</t>
  </si>
  <si>
    <t>金园长</t>
  </si>
  <si>
    <t>13680005514</t>
  </si>
  <si>
    <t>150人左右</t>
  </si>
  <si>
    <t>个人</t>
  </si>
  <si>
    <t>0186东华镇鱼湾育苗幼儿园</t>
  </si>
  <si>
    <t>珠珠园长</t>
  </si>
  <si>
    <t>英德市东华镇新蕾幼儿园</t>
  </si>
  <si>
    <t>赖燕姿</t>
  </si>
  <si>
    <t>13535996670</t>
  </si>
  <si>
    <t>英德市东华镇鱼湾朝阳幼儿园</t>
  </si>
  <si>
    <t>石祥俊</t>
  </si>
  <si>
    <t>809东华镇鱼湾英培幼儿园</t>
  </si>
  <si>
    <t>665东华大镇中学七、九年级</t>
  </si>
  <si>
    <t>792东华大镇中学八年级</t>
  </si>
  <si>
    <t>罗主任</t>
  </si>
  <si>
    <t>664东华镇中心小学</t>
  </si>
  <si>
    <t>15876350689</t>
  </si>
  <si>
    <t>692东华镇中心幼儿园（少开纯奶，等分发老师通知送奶）</t>
  </si>
  <si>
    <t>13535994253</t>
  </si>
  <si>
    <t>朱园长</t>
  </si>
  <si>
    <t>768东华镇东乡明珠幼儿园</t>
  </si>
  <si>
    <t>0119英德市桥头镇中心小学</t>
  </si>
  <si>
    <t>陈老师</t>
  </si>
  <si>
    <t>陈宝群老师</t>
  </si>
  <si>
    <r>
      <rPr>
        <sz val="8"/>
        <color rgb="FF000000"/>
        <rFont val="宋体"/>
        <charset val="134"/>
      </rPr>
      <t>804英德市桥头镇中心幼儿园</t>
    </r>
    <r>
      <rPr>
        <sz val="8"/>
        <color rgb="FFFF0000"/>
        <rFont val="宋体"/>
        <charset val="134"/>
      </rPr>
      <t>（每次送一周左右的量）</t>
    </r>
  </si>
  <si>
    <t>0185英德市白沙中学</t>
  </si>
  <si>
    <t>邓小娟</t>
  </si>
  <si>
    <t>胡主任</t>
  </si>
  <si>
    <t>0143白沙镇中心小学</t>
  </si>
  <si>
    <t>28</t>
  </si>
  <si>
    <t>胡校长</t>
  </si>
  <si>
    <t>621白沙镇白沙小学</t>
  </si>
  <si>
    <t>李巧清校长</t>
  </si>
  <si>
    <t>胡老师</t>
  </si>
  <si>
    <t>432白沙中心幼儿园</t>
  </si>
  <si>
    <t>姚园</t>
  </si>
  <si>
    <t>2</t>
  </si>
  <si>
    <t>160人</t>
  </si>
  <si>
    <t>潘园长</t>
  </si>
  <si>
    <t>姚园长</t>
  </si>
  <si>
    <t>627白沙致远幼儿园</t>
  </si>
  <si>
    <t>蓝园</t>
  </si>
  <si>
    <t>13727101530</t>
  </si>
  <si>
    <t>邓慧珊</t>
  </si>
  <si>
    <t>467白沙银河幼儿园</t>
  </si>
  <si>
    <t>青塘中学</t>
  </si>
  <si>
    <t>0062青塘镇中心小学</t>
  </si>
  <si>
    <t>35</t>
  </si>
  <si>
    <t>28个班</t>
  </si>
  <si>
    <t>13417259844</t>
  </si>
  <si>
    <t>0154青塘益海小学</t>
  </si>
  <si>
    <t>30个班</t>
  </si>
  <si>
    <t>蔡老师</t>
  </si>
  <si>
    <t>447青塘建新小学</t>
  </si>
  <si>
    <t>邓校长</t>
  </si>
  <si>
    <t>15975856302</t>
  </si>
  <si>
    <t>150人</t>
  </si>
  <si>
    <t>0181青塘建新附属幼儿园（不要纯奶）</t>
  </si>
  <si>
    <t>小清园长</t>
  </si>
  <si>
    <t>50人</t>
  </si>
  <si>
    <t>19878052960</t>
  </si>
  <si>
    <t>0180青塘镇中心幼儿园</t>
  </si>
  <si>
    <t>何园长</t>
  </si>
  <si>
    <t>青塘童真幼儿园</t>
  </si>
  <si>
    <t>代俐园长</t>
  </si>
  <si>
    <t>446横石水中学</t>
  </si>
  <si>
    <t>龙老师</t>
  </si>
  <si>
    <t>13927690928</t>
  </si>
  <si>
    <t>468横石水培幼幼儿园</t>
  </si>
  <si>
    <t>13825790610</t>
  </si>
  <si>
    <t>杨老师</t>
  </si>
  <si>
    <t>433横石水心灵幼儿园</t>
  </si>
  <si>
    <t>廖园长</t>
  </si>
  <si>
    <t>13413597555</t>
  </si>
  <si>
    <t>623横石水溪北小学</t>
  </si>
  <si>
    <t>罗俊星</t>
  </si>
  <si>
    <t>755横石水溪北小学附设幼儿园</t>
  </si>
  <si>
    <t>13415213033</t>
  </si>
  <si>
    <t>622横石水横岭小学（配乳，其他少送）</t>
  </si>
  <si>
    <t>龙伟兵</t>
  </si>
  <si>
    <t>13824937576</t>
  </si>
  <si>
    <t>626横石水横岭小学附设幼儿园</t>
  </si>
  <si>
    <t>曾园长</t>
  </si>
  <si>
    <t>625横石水江古山小学</t>
  </si>
  <si>
    <t>朱校长</t>
  </si>
  <si>
    <t>13828524902</t>
  </si>
  <si>
    <t>660横石水中心小学（1-3）</t>
  </si>
  <si>
    <t>刘伟记老师</t>
  </si>
  <si>
    <t>661横石水中心小学（4-6）</t>
  </si>
  <si>
    <t>朱明涛老师</t>
  </si>
  <si>
    <t>朱老师</t>
  </si>
  <si>
    <t>772横石水中心幼儿园（联系马园通知后配送）</t>
  </si>
  <si>
    <t>马园长</t>
  </si>
  <si>
    <t>620横石水联雄小学</t>
  </si>
  <si>
    <t>熊海盛</t>
  </si>
  <si>
    <t>朱小丽老师</t>
  </si>
  <si>
    <t>764横石水联雄小学附设幼儿园</t>
  </si>
  <si>
    <t>华丽红</t>
  </si>
  <si>
    <t>624横石水新街小学</t>
  </si>
  <si>
    <t>郭丽莉</t>
  </si>
  <si>
    <t>15019359669</t>
  </si>
  <si>
    <t>陈佩佩老师</t>
  </si>
  <si>
    <t>629英华忠新幼儿园</t>
  </si>
  <si>
    <t>曾永虾</t>
  </si>
  <si>
    <t>13729608758</t>
  </si>
  <si>
    <t>783东华镇江镇幼儿园</t>
  </si>
  <si>
    <t>郑龙友</t>
  </si>
  <si>
    <t>663东华黄陂小学不要纯牛奶，多点乳酸口味</t>
  </si>
  <si>
    <t>黄志锋</t>
  </si>
  <si>
    <t>尹老师</t>
  </si>
  <si>
    <t>771东华镇黄陂中学</t>
  </si>
  <si>
    <t>张世荣</t>
  </si>
  <si>
    <t>769东华镇黄陂爱儿乐幼儿园</t>
  </si>
  <si>
    <t>林雪燕</t>
  </si>
  <si>
    <t>676东华镇光明小学</t>
  </si>
  <si>
    <t>徐昌明</t>
  </si>
  <si>
    <t>13413491919</t>
  </si>
  <si>
    <t>672东华镇牛岗岭小学</t>
  </si>
  <si>
    <t>朱明军</t>
  </si>
  <si>
    <t>13542465363</t>
  </si>
  <si>
    <t>673东华镇塘下教学</t>
  </si>
  <si>
    <t>林早清</t>
  </si>
  <si>
    <t>13727146755</t>
  </si>
  <si>
    <t>674东华镇同乐小学
(9月22日单没有配送，9月11日是支）</t>
  </si>
  <si>
    <t>曾垂旺</t>
  </si>
  <si>
    <t>13828513193</t>
  </si>
  <si>
    <t>679东华幼儿园</t>
  </si>
  <si>
    <t>陆演凌</t>
  </si>
  <si>
    <t>13620573767</t>
  </si>
  <si>
    <t>671英华重新教学点</t>
  </si>
  <si>
    <t>687东华镇英华育苗幼儿园</t>
  </si>
  <si>
    <t>.</t>
  </si>
  <si>
    <t>810东华镇喜洋洋幼儿园</t>
  </si>
  <si>
    <t>东华镇东水小学</t>
  </si>
  <si>
    <t>/东华镇光辉小学</t>
  </si>
  <si>
    <t>东华镇东升小学</t>
  </si>
  <si>
    <t>东华镇纪念小学</t>
  </si>
  <si>
    <t>东华镇创才小学</t>
  </si>
  <si>
    <t>东华镇茶山小学</t>
  </si>
  <si>
    <t>英华小学</t>
  </si>
  <si>
    <t>市区</t>
  </si>
  <si>
    <t>谢绍华校长</t>
  </si>
  <si>
    <t>1372985638</t>
  </si>
  <si>
    <t>待跟进</t>
  </si>
  <si>
    <t>廖老师</t>
  </si>
  <si>
    <t>15816213756</t>
  </si>
  <si>
    <t>15917623991</t>
  </si>
  <si>
    <r>
      <rPr>
        <sz val="8"/>
        <color rgb="FF000000"/>
        <rFont val="宋体"/>
        <charset val="134"/>
      </rPr>
      <t xml:space="preserve">英德市英德中学高中部
</t>
    </r>
    <r>
      <rPr>
        <sz val="8"/>
        <color rgb="FFFF0000"/>
        <rFont val="宋体"/>
        <charset val="134"/>
      </rPr>
      <t>（周五打单，周日配送，一周量人数*5，每个学生打标签）</t>
    </r>
  </si>
  <si>
    <t>15113700322</t>
  </si>
  <si>
    <t>谭老师</t>
  </si>
  <si>
    <t>18023311929</t>
  </si>
  <si>
    <t>4/13至4/17已开单</t>
  </si>
  <si>
    <r>
      <rPr>
        <sz val="8"/>
        <color rgb="FF000000"/>
        <rFont val="宋体"/>
        <charset val="134"/>
      </rPr>
      <t xml:space="preserve">英德市英德中学初中部
</t>
    </r>
    <r>
      <rPr>
        <sz val="8"/>
        <color rgb="FFFF0000"/>
        <rFont val="宋体"/>
        <charset val="134"/>
      </rPr>
      <t>（周五打单，周日配送，一周量人数*5，每个学生打标签）</t>
    </r>
  </si>
  <si>
    <t>丽丽老师</t>
  </si>
  <si>
    <t>15820329650</t>
  </si>
  <si>
    <t>第一中学（每周日送）</t>
  </si>
  <si>
    <t>英德市英城街中学（四中）</t>
  </si>
  <si>
    <t>张冬梅</t>
  </si>
  <si>
    <t>博冠实验学校</t>
  </si>
  <si>
    <t>苏校长</t>
  </si>
  <si>
    <t>18922552071</t>
  </si>
  <si>
    <t>廖主任</t>
  </si>
  <si>
    <t>9</t>
  </si>
  <si>
    <t>张方可校长</t>
  </si>
  <si>
    <t>13535998263</t>
  </si>
  <si>
    <t>谭主任</t>
  </si>
  <si>
    <t>15914977503</t>
  </si>
  <si>
    <t>218</t>
  </si>
  <si>
    <t>已发送传单</t>
  </si>
  <si>
    <t>徐明燕校长</t>
  </si>
  <si>
    <t>13729637630/697630</t>
  </si>
  <si>
    <t>梁姨</t>
  </si>
  <si>
    <t>13424654498</t>
  </si>
  <si>
    <t>/</t>
  </si>
  <si>
    <t>黄文胜主任</t>
  </si>
  <si>
    <t>13620584556</t>
  </si>
  <si>
    <t>徐姨</t>
  </si>
  <si>
    <t>13622718982</t>
  </si>
  <si>
    <t>贺杰贞</t>
  </si>
  <si>
    <r>
      <rPr>
        <sz val="8"/>
        <color rgb="FF000000"/>
        <rFont val="宋体"/>
        <charset val="134"/>
      </rPr>
      <t xml:space="preserve">峰光实验幼儿园
</t>
    </r>
    <r>
      <rPr>
        <sz val="8"/>
        <color rgb="FFFF0000"/>
        <rFont val="宋体"/>
        <charset val="134"/>
      </rPr>
      <t>（周四出单，送一周量，人数*5）</t>
    </r>
  </si>
  <si>
    <t>吴副园</t>
  </si>
  <si>
    <t>18922563088</t>
  </si>
  <si>
    <t>梁老师</t>
  </si>
  <si>
    <t>13417271871</t>
  </si>
  <si>
    <r>
      <rPr>
        <sz val="8"/>
        <color rgb="FF000000"/>
        <rFont val="宋体"/>
        <charset val="134"/>
      </rPr>
      <t xml:space="preserve">英德市英州实验幼儿园
</t>
    </r>
    <r>
      <rPr>
        <sz val="8"/>
        <color rgb="FFFF0000"/>
        <rFont val="宋体"/>
        <charset val="134"/>
      </rPr>
      <t>（周日打周一、二的单，周一周二打周三至五的单，按学生人数*天数+1支留样）</t>
    </r>
  </si>
  <si>
    <t>177</t>
  </si>
  <si>
    <t>15219535490</t>
  </si>
  <si>
    <t>15107641182</t>
  </si>
  <si>
    <t>打到4.22</t>
  </si>
  <si>
    <r>
      <rPr>
        <sz val="8"/>
        <color rgb="FF000000"/>
        <rFont val="宋体"/>
        <charset val="134"/>
      </rPr>
      <t>英德市利民实验幼儿园</t>
    </r>
    <r>
      <rPr>
        <sz val="8"/>
        <color rgb="FFFF0000"/>
        <rFont val="宋体"/>
        <charset val="134"/>
      </rPr>
      <t xml:space="preserve">
（周日打周一、二的单，周一周二打周三至五的单，按学生人数*天数+1支留样）</t>
    </r>
  </si>
  <si>
    <t>348</t>
  </si>
  <si>
    <t>邱主任</t>
  </si>
  <si>
    <t>4.7-4.8已打</t>
  </si>
  <si>
    <r>
      <rPr>
        <sz val="8"/>
        <color rgb="FF000000"/>
        <rFont val="宋体"/>
        <charset val="134"/>
      </rPr>
      <t xml:space="preserve">英德市百花实验幼儿园
</t>
    </r>
    <r>
      <rPr>
        <sz val="8"/>
        <color rgb="FFFF0000"/>
        <rFont val="宋体"/>
        <charset val="134"/>
      </rPr>
      <t>（周二、三出单，送一周量，人数*5）</t>
    </r>
  </si>
  <si>
    <t>陈海燕</t>
  </si>
  <si>
    <t>70</t>
  </si>
  <si>
    <t>张春喜</t>
  </si>
  <si>
    <t>13610530050</t>
  </si>
  <si>
    <t>小二班吴华夏、刘苏瑶为线下单，微信付款</t>
  </si>
  <si>
    <r>
      <rPr>
        <sz val="8"/>
        <color rgb="FF000000"/>
        <rFont val="宋体"/>
        <charset val="134"/>
      </rPr>
      <t xml:space="preserve">英德市英城街中心幼儿园
</t>
    </r>
    <r>
      <rPr>
        <sz val="8"/>
        <color rgb="FFFF0000"/>
        <rFont val="宋体"/>
        <charset val="134"/>
      </rPr>
      <t>（周二配送，送一周量）有一个学生只要草莓奶</t>
    </r>
  </si>
  <si>
    <t>蓝天幼儿园</t>
  </si>
  <si>
    <t>赖基</t>
  </si>
  <si>
    <t>华园长</t>
  </si>
  <si>
    <t>13360922385</t>
  </si>
  <si>
    <t>博艺幼儿园</t>
  </si>
  <si>
    <t>郑俭玲</t>
  </si>
  <si>
    <t>15119766912</t>
  </si>
  <si>
    <t>24支</t>
  </si>
  <si>
    <r>
      <rPr>
        <sz val="8"/>
        <color rgb="FF000000"/>
        <rFont val="宋体"/>
        <charset val="134"/>
      </rPr>
      <t>长城幼儿园</t>
    </r>
    <r>
      <rPr>
        <sz val="8"/>
        <color rgb="FFFF0000"/>
        <rFont val="宋体"/>
        <charset val="134"/>
      </rPr>
      <t>（月初送）（按支数开单）</t>
    </r>
  </si>
  <si>
    <t>胡园长</t>
  </si>
  <si>
    <t>13413463090</t>
  </si>
  <si>
    <t>17（支数）</t>
  </si>
  <si>
    <r>
      <rPr>
        <sz val="8"/>
        <color rgb="FF000000"/>
        <rFont val="宋体"/>
        <charset val="134"/>
      </rPr>
      <t>艺蓝幼儿园</t>
    </r>
    <r>
      <rPr>
        <sz val="8"/>
        <color rgb="FFFF0000"/>
        <rFont val="宋体"/>
        <charset val="134"/>
      </rPr>
      <t>（月初送）（按支数开单）</t>
    </r>
  </si>
  <si>
    <t>谢小娟</t>
  </si>
  <si>
    <t>13286572749</t>
  </si>
  <si>
    <t>68（支数）</t>
  </si>
  <si>
    <t>马口小学附设幼儿园</t>
  </si>
  <si>
    <t>包园长</t>
  </si>
  <si>
    <t>石园长</t>
  </si>
  <si>
    <t>18938623394</t>
  </si>
  <si>
    <r>
      <rPr>
        <sz val="8"/>
        <color rgb="FF000000"/>
        <rFont val="宋体"/>
        <charset val="134"/>
      </rPr>
      <t>长岭小学附设幼儿园（月初送）</t>
    </r>
    <r>
      <rPr>
        <sz val="8"/>
        <color rgb="FFFF0000"/>
        <rFont val="宋体"/>
        <charset val="134"/>
      </rPr>
      <t>配一个月或者每人一箱</t>
    </r>
  </si>
  <si>
    <t>13927607315</t>
  </si>
  <si>
    <t>富域城幼儿园</t>
  </si>
  <si>
    <t>13924426676</t>
  </si>
  <si>
    <t>英红
--
横石塘</t>
  </si>
  <si>
    <t>江湾小学附设幼儿园</t>
  </si>
  <si>
    <t>13828519117</t>
  </si>
  <si>
    <t>38（7箱125
 31箱200）</t>
  </si>
  <si>
    <t>江湾小学</t>
  </si>
  <si>
    <t>谢岳升</t>
  </si>
  <si>
    <t>13926632919</t>
  </si>
  <si>
    <r>
      <rPr>
        <sz val="8"/>
        <color rgb="FF000000"/>
        <rFont val="宋体"/>
        <charset val="134"/>
      </rPr>
      <t xml:space="preserve">英德广附广德学校
</t>
    </r>
    <r>
      <rPr>
        <sz val="8"/>
        <color rgb="FFFF0000"/>
        <rFont val="宋体"/>
        <charset val="134"/>
      </rPr>
      <t>（2周配1次，两周量，每个学生打标签）</t>
    </r>
  </si>
  <si>
    <t>刘灵云</t>
  </si>
  <si>
    <t>已配送4/19</t>
  </si>
  <si>
    <t>英红中学（4.10通知还有108箱）</t>
  </si>
  <si>
    <t>副校长官露华</t>
  </si>
  <si>
    <t>罗远飘</t>
  </si>
  <si>
    <t>1581174119</t>
  </si>
  <si>
    <t>37</t>
  </si>
  <si>
    <t>1980人左右</t>
  </si>
  <si>
    <t>陆文章</t>
  </si>
  <si>
    <t>13680009402</t>
  </si>
  <si>
    <t>英红镇中心小学</t>
  </si>
  <si>
    <t>171</t>
  </si>
  <si>
    <t>2300人</t>
  </si>
  <si>
    <t>莫主任</t>
  </si>
  <si>
    <t>13828510688</t>
  </si>
  <si>
    <t>英红中心幼儿园（云岭）</t>
  </si>
  <si>
    <t>林远娟园长</t>
  </si>
  <si>
    <t>林远娟</t>
  </si>
  <si>
    <r>
      <rPr>
        <sz val="8"/>
        <color rgb="FF000000"/>
        <rFont val="宋体"/>
        <charset val="134"/>
      </rPr>
      <t>英红幼儿园</t>
    </r>
    <r>
      <rPr>
        <sz val="8"/>
        <color rgb="FFFF0000"/>
        <rFont val="宋体"/>
        <charset val="134"/>
      </rPr>
      <t>（多送纯牛奶）</t>
    </r>
  </si>
  <si>
    <t>植园长</t>
  </si>
  <si>
    <t>13380715180</t>
  </si>
  <si>
    <t>英德市英红镇云岭中心小学</t>
  </si>
  <si>
    <t>刁校长</t>
  </si>
  <si>
    <t>900人</t>
  </si>
  <si>
    <t>唐佩</t>
  </si>
  <si>
    <t>18024844206</t>
  </si>
  <si>
    <t>英红镇云岭启飞幼儿园（多送纯牛奶）</t>
  </si>
  <si>
    <t>李秀娟</t>
  </si>
  <si>
    <t>350人</t>
  </si>
  <si>
    <t>13553965177</t>
  </si>
  <si>
    <r>
      <rPr>
        <sz val="8"/>
        <color rgb="FF000000"/>
        <rFont val="宋体"/>
        <charset val="134"/>
      </rPr>
      <t>英德市英红镇培正幼儿园（</t>
    </r>
    <r>
      <rPr>
        <sz val="8"/>
        <color rgb="FFFF0000"/>
        <rFont val="宋体"/>
        <charset val="134"/>
      </rPr>
      <t>少纯奶多乳酸</t>
    </r>
    <r>
      <rPr>
        <sz val="8"/>
        <color rgb="FF000000"/>
        <rFont val="宋体"/>
        <charset val="134"/>
      </rPr>
      <t>）</t>
    </r>
  </si>
  <si>
    <t>陈永俊</t>
  </si>
  <si>
    <t>横石塘中心幼儿园（多草莓味）</t>
  </si>
  <si>
    <t>横石塘中心小学（3月30日开始派奶）</t>
  </si>
  <si>
    <t>横石塘镇中学</t>
  </si>
  <si>
    <t>唐老师</t>
  </si>
  <si>
    <t>黄色：已收到送货单</t>
  </si>
  <si>
    <t>蓝色：出单未收到送货单</t>
  </si>
  <si>
    <t>未标颜色：预计配送 未出单</t>
  </si>
  <si>
    <t>（鲜奶）是否有赠送书记</t>
  </si>
  <si>
    <t>征订情况</t>
  </si>
  <si>
    <t>第一次（日期3.9号）</t>
  </si>
  <si>
    <t>第二次（日期3.12号）</t>
  </si>
  <si>
    <t>第三次（日期3/16号）</t>
  </si>
  <si>
    <t>第四次（日期3.19号）</t>
  </si>
  <si>
    <t>第五次（日期3.23号）</t>
  </si>
  <si>
    <t>第六次（日期3.26号）</t>
  </si>
  <si>
    <t>第七次（日期3.30）3天</t>
  </si>
  <si>
    <t>第八次（4.2）4天</t>
  </si>
  <si>
    <t>第九次（4.7）3天</t>
  </si>
  <si>
    <t>第十次（日期4.9）4天</t>
  </si>
  <si>
    <t>第十一次（日期4.13）3天</t>
  </si>
  <si>
    <t>第十二次（日期4.16）4天</t>
  </si>
  <si>
    <t>第十三次（4.20）3天</t>
  </si>
  <si>
    <t>第十四次（4.23）4天</t>
  </si>
  <si>
    <t>第十五次（11.6）4天</t>
  </si>
  <si>
    <t>第十六次（11.10）3天</t>
  </si>
  <si>
    <t>第十七次（11.13）4天</t>
  </si>
  <si>
    <t>第十八次（11.17）3天</t>
  </si>
  <si>
    <t>第十九次（11.20）4天</t>
  </si>
  <si>
    <t>第二十次（11.24）3天</t>
  </si>
  <si>
    <t>第二十一次（11.27）4天</t>
  </si>
  <si>
    <t>第二十二次（12.1）3天</t>
  </si>
  <si>
    <t>第二十三次（12.4）4天</t>
  </si>
  <si>
    <t>第二十四次（12.8）3天</t>
  </si>
  <si>
    <t>第二十五次（12.11）4天</t>
  </si>
  <si>
    <t>第二十五次（12.15）3天</t>
  </si>
  <si>
    <t>第二十五次（12.18）4天</t>
  </si>
  <si>
    <t>第二十五次（12/22）3天</t>
  </si>
  <si>
    <t>第二十五次（12/25）4天</t>
  </si>
  <si>
    <t>第二十五次（12/29）3天</t>
  </si>
  <si>
    <t>第二十五次（1/4）4天</t>
  </si>
  <si>
    <t>第二十五次（1/8）4天</t>
  </si>
  <si>
    <t>第二十五次（1/12）</t>
  </si>
  <si>
    <t>第二十五次（1/15）</t>
  </si>
  <si>
    <t>第二十五次（1.19）</t>
  </si>
  <si>
    <t>第二十五次（1.22）</t>
  </si>
  <si>
    <t>第二十五次（1.26）</t>
  </si>
  <si>
    <t>第二十五次（1.28）</t>
  </si>
  <si>
    <t>第二十五次（7/28）</t>
  </si>
  <si>
    <t>总计</t>
  </si>
  <si>
    <t>鲜奶订购总盒数</t>
  </si>
  <si>
    <t>未送</t>
  </si>
  <si>
    <t>剩余</t>
  </si>
  <si>
    <t>教职工陪饮奶</t>
  </si>
  <si>
    <t>第一次（）</t>
  </si>
  <si>
    <t>第二次（）</t>
  </si>
  <si>
    <t>第三次（）</t>
  </si>
  <si>
    <t>第四次（）</t>
  </si>
  <si>
    <t>第五次（）</t>
  </si>
  <si>
    <t>第六次（）</t>
  </si>
  <si>
    <t>第七次（）</t>
  </si>
  <si>
    <t>第八次（）</t>
  </si>
  <si>
    <t>第九次（）</t>
  </si>
  <si>
    <t>第十次（）</t>
  </si>
  <si>
    <t>订鲜奶人数（老师）</t>
  </si>
  <si>
    <t>订鲜奶人数（学生）</t>
  </si>
  <si>
    <t>鲜牛奶</t>
  </si>
  <si>
    <t>乳酸奶</t>
  </si>
  <si>
    <t>石灰铺中心幼儿园（老师）</t>
  </si>
  <si>
    <t>石灰铺中心幼儿园（学生）</t>
  </si>
  <si>
    <t>邵金华</t>
  </si>
  <si>
    <t>浛洸英西中学</t>
  </si>
  <si>
    <t>浛洸镇德艺幼儿园（老师）</t>
  </si>
  <si>
    <t>浛洸镇德艺幼儿园（学生）</t>
  </si>
  <si>
    <t>植鹏、苏井辉</t>
  </si>
  <si>
    <t>英德市大湾镇中心小学（内宿）</t>
  </si>
  <si>
    <t>大湾中心小学分校（外宿）</t>
  </si>
  <si>
    <t>大湾中心小学保安大叔赖细奀</t>
  </si>
  <si>
    <t>大湾镇中心幼儿园（老师）</t>
  </si>
  <si>
    <t>大湾镇中心幼儿园（学生）</t>
  </si>
  <si>
    <t>英德市大湾镇醒目仔幼儿园（老师）</t>
  </si>
  <si>
    <t>英德市大湾镇醒目仔幼儿园（学生）</t>
  </si>
  <si>
    <t>英德市大湾镇童心幼儿园（学生）</t>
  </si>
  <si>
    <t>英德市大湾镇启航幼儿园（老师）</t>
  </si>
  <si>
    <t>黄花-西牛-九龙</t>
  </si>
  <si>
    <t>丘桂坚、陈国靖</t>
  </si>
  <si>
    <t>曾扬娣</t>
  </si>
  <si>
    <t>英德市九龙第一中学</t>
  </si>
  <si>
    <t>九龙金种子幼儿园（老师）</t>
  </si>
  <si>
    <t>九龙金种子幼儿园（学生）</t>
  </si>
  <si>
    <t>西牛中心幼儿园（老师）</t>
  </si>
  <si>
    <t>西牛中心幼儿园（学生）</t>
  </si>
  <si>
    <t>英德市英德中学高中部（每周日送 周三不送）</t>
  </si>
  <si>
    <t>杨常伟、胡言羽</t>
  </si>
  <si>
    <t>英德市英德中学初中部（每周日送周三不送）</t>
  </si>
  <si>
    <t>英德市英德第一中学</t>
  </si>
  <si>
    <t>英德市英城街中心幼儿园</t>
  </si>
  <si>
    <t>英德智通学校</t>
  </si>
  <si>
    <t>英德市第五小学（按近两周数量配送）</t>
  </si>
  <si>
    <t>钟伟珍</t>
  </si>
  <si>
    <t>英德市第六小学（每次按老师说的数量）</t>
  </si>
  <si>
    <t>英德市第一小学（新）</t>
  </si>
  <si>
    <t xml:space="preserve">邓方愿、付宏淦   </t>
  </si>
  <si>
    <t>八一小学</t>
  </si>
  <si>
    <t>曾祥忠、贺杰贞</t>
  </si>
  <si>
    <t>英城街中心小学（每周日送周三不送）</t>
  </si>
  <si>
    <t>峰光实验幼儿园</t>
  </si>
  <si>
    <t>谭丽华</t>
  </si>
  <si>
    <t>蓝天幼儿园（学生）</t>
  </si>
  <si>
    <t>博艺幼儿园（学生）</t>
  </si>
  <si>
    <t>剩余奶量已送完，不需再送</t>
  </si>
  <si>
    <r>
      <rPr>
        <sz val="10"/>
        <color rgb="FF000000"/>
        <rFont val="宋体"/>
        <charset val="134"/>
      </rPr>
      <t>长城幼儿园（老师）</t>
    </r>
    <r>
      <rPr>
        <sz val="10"/>
        <color rgb="FFFF0000"/>
        <rFont val="宋体"/>
        <charset val="134"/>
      </rPr>
      <t>（周日配送）</t>
    </r>
  </si>
  <si>
    <t>长城幼儿园（胡园200支）</t>
  </si>
  <si>
    <t>艺蓝幼儿园每周送一次谢园80盒</t>
  </si>
  <si>
    <t>艺蓝幼儿园胡园妈妈100</t>
  </si>
  <si>
    <t>长岭小学附设幼儿园（老师）</t>
  </si>
  <si>
    <t>长岭小学附设幼儿园（学生）</t>
  </si>
  <si>
    <t>马口小学附设幼儿园（老师）</t>
  </si>
  <si>
    <t>马口小学附设幼儿园（学生）</t>
  </si>
  <si>
    <r>
      <rPr>
        <sz val="10"/>
        <color rgb="FF000000"/>
        <rFont val="宋体"/>
        <charset val="134"/>
      </rPr>
      <t>王女士/15975866824/仁兴城市花园8B704（鲜奶100盒）（</t>
    </r>
    <r>
      <rPr>
        <sz val="10"/>
        <color rgb="FFFF0000"/>
        <rFont val="宋体"/>
        <charset val="134"/>
      </rPr>
      <t>周日送18，周四送18</t>
    </r>
    <r>
      <rPr>
        <sz val="10"/>
        <color rgb="FF000000"/>
        <rFont val="宋体"/>
        <charset val="134"/>
      </rPr>
      <t>）
一周送两次 300支</t>
    </r>
  </si>
  <si>
    <r>
      <rPr>
        <sz val="10"/>
        <color rgb="FF000000"/>
        <rFont val="宋体"/>
        <charset val="134"/>
      </rPr>
      <t xml:space="preserve">胡诗周日送（自提带到防洪堤 </t>
    </r>
    <r>
      <rPr>
        <sz val="10"/>
        <color rgb="FFFF0000"/>
        <rFont val="宋体"/>
        <charset val="134"/>
      </rPr>
      <t>每周日拿5盒</t>
    </r>
    <r>
      <rPr>
        <sz val="10"/>
        <color rgb="FF000000"/>
        <rFont val="宋体"/>
        <charset val="134"/>
      </rPr>
      <t>）</t>
    </r>
  </si>
  <si>
    <r>
      <rPr>
        <sz val="10"/>
        <color rgb="FF000000"/>
        <rFont val="宋体"/>
        <charset val="134"/>
      </rPr>
      <t>张美兰/110支（每周日自提 需要司机把牛奶从仓库带到防洪提 3.27起</t>
    </r>
    <r>
      <rPr>
        <sz val="10"/>
        <color rgb="FFFF0000"/>
        <rFont val="宋体"/>
        <charset val="134"/>
      </rPr>
      <t>周日拿7支</t>
    </r>
    <r>
      <rPr>
        <sz val="10"/>
        <color rgb="FF000000"/>
        <rFont val="宋体"/>
        <charset val="134"/>
      </rPr>
      <t>）</t>
    </r>
  </si>
  <si>
    <r>
      <rPr>
        <sz val="10"/>
        <color rgb="FF000000"/>
        <rFont val="宋体"/>
        <charset val="134"/>
      </rPr>
      <t>吴芍思/13413479570/碧峰10栋1001（</t>
    </r>
    <r>
      <rPr>
        <sz val="10"/>
        <color rgb="FFFF0000"/>
        <rFont val="宋体"/>
        <charset val="134"/>
      </rPr>
      <t>每周日送</t>
    </r>
    <r>
      <rPr>
        <sz val="10"/>
        <color rgb="FF000000"/>
        <rFont val="宋体"/>
        <charset val="134"/>
      </rPr>
      <t>）100支，</t>
    </r>
    <r>
      <rPr>
        <sz val="10"/>
        <color rgb="FFFF0000"/>
        <rFont val="宋体"/>
        <charset val="134"/>
      </rPr>
      <t>4月起每次送4鲜6酸</t>
    </r>
  </si>
  <si>
    <r>
      <rPr>
        <sz val="10"/>
        <color rgb="FF000000"/>
        <rFont val="宋体"/>
        <charset val="134"/>
      </rPr>
      <t>姜丹15119797081君玉街君玉苑C3梯406一周送十支鲜奶
（每</t>
    </r>
    <r>
      <rPr>
        <sz val="10"/>
        <color rgb="FFFF0000"/>
        <rFont val="宋体"/>
        <charset val="134"/>
      </rPr>
      <t>周日自提10鲜</t>
    </r>
    <r>
      <rPr>
        <sz val="10"/>
        <color rgb="FF000000"/>
        <rFont val="宋体"/>
        <charset val="134"/>
      </rPr>
      <t xml:space="preserve"> 需要司机把牛奶从仓库带到防洪提）100支</t>
    </r>
  </si>
  <si>
    <t>100</t>
  </si>
  <si>
    <t>朱小恩，凤凰城A8-二单元1003，13727165453
（每周日送6鲜14酸）100支。4.20起每周送10鲜，20酸</t>
  </si>
  <si>
    <t>300</t>
  </si>
  <si>
    <t>郑龙菲，滨江尚品13号楼B栋1305，18813212593
（每周日送8鲜4酸）100支</t>
  </si>
  <si>
    <t>江湾小学附设幼儿园（学生）（英红线）</t>
  </si>
  <si>
    <t>江湾小学附设幼儿园老师订学生奶赠6*120支</t>
  </si>
  <si>
    <t>英红中学</t>
  </si>
  <si>
    <t>罗远飘主任</t>
  </si>
  <si>
    <t>宋永忠</t>
  </si>
  <si>
    <t>杨主任</t>
  </si>
  <si>
    <t>朱、罗远飘、陆彩凤、罗细妹、官露华</t>
  </si>
  <si>
    <t>张廷毅</t>
  </si>
  <si>
    <t>13553912809</t>
  </si>
  <si>
    <t>张延毅、邓小环、张宝箭</t>
  </si>
  <si>
    <t>英红幼儿园（老师）</t>
  </si>
  <si>
    <t>英红幼儿园（学生）</t>
  </si>
  <si>
    <t>英德市英红镇云岭爱童幼儿园</t>
  </si>
  <si>
    <t>叶园长</t>
  </si>
  <si>
    <t>周老师</t>
  </si>
  <si>
    <t>15218527337</t>
  </si>
  <si>
    <t>13678959245</t>
  </si>
  <si>
    <t>英德市英红镇云岭启飞幼儿园（学生）</t>
  </si>
  <si>
    <t>英红镇培正幼儿园（学生）</t>
  </si>
  <si>
    <t>英红中心幼儿园（老师）</t>
  </si>
  <si>
    <t>英红中心幼儿园（学生）</t>
  </si>
  <si>
    <t>横石塘中学</t>
  </si>
  <si>
    <t>周益勋、蓝兴起</t>
  </si>
  <si>
    <t>横石塘中心幼儿园（老师)</t>
  </si>
  <si>
    <t>横石塘中心幼儿园（学生）</t>
  </si>
  <si>
    <t>横石塘中心小学</t>
  </si>
  <si>
    <t>邓宗画、谢展基、王天明</t>
  </si>
  <si>
    <r>
      <rPr>
        <sz val="10"/>
        <color rgb="FF000000"/>
        <rFont val="宋体"/>
        <charset val="134"/>
      </rPr>
      <t>黄文绪（联系李飞如13450611746）/横石塘镇利民路90号——英红九号直销零售（鲜奶100盒）（</t>
    </r>
    <r>
      <rPr>
        <sz val="10"/>
        <color rgb="FFFF0000"/>
        <rFont val="宋体"/>
        <charset val="134"/>
      </rPr>
      <t>每周四配送5支酸奶+5支鲜奶</t>
    </r>
    <r>
      <rPr>
        <sz val="10"/>
        <color rgb="FF000000"/>
        <rFont val="宋体"/>
        <charset val="134"/>
      </rPr>
      <t>，共10支，周日不送；100支）</t>
    </r>
  </si>
  <si>
    <t>望埠
--
沙口</t>
  </si>
  <si>
    <t>大站镇中心小学（老师）</t>
  </si>
  <si>
    <t>黄其艺</t>
  </si>
  <si>
    <t>大站镇中心幼儿园（老师）</t>
  </si>
  <si>
    <t>大站镇中心幼儿园（学生）</t>
  </si>
  <si>
    <t>吴志望</t>
  </si>
  <si>
    <t>谭永平</t>
  </si>
  <si>
    <t>张鉴雄，吴基银</t>
  </si>
  <si>
    <t>邓铁军，骆雪</t>
  </si>
  <si>
    <t>英德市望埠镇育儿幼儿园（老师）</t>
  </si>
  <si>
    <t>英德市望埠镇育儿幼儿园（学生）</t>
  </si>
  <si>
    <t>英德市望埠镇中心幼儿园（老师）</t>
  </si>
  <si>
    <t>英德市望埠镇中心幼儿园（学生）</t>
  </si>
  <si>
    <t>林先爱，胡元跃</t>
  </si>
  <si>
    <t>沙口中心小学</t>
  </si>
  <si>
    <t>李寒冰</t>
  </si>
  <si>
    <t>彭水寿、陈其发</t>
  </si>
  <si>
    <t>沙口中心小学分校</t>
  </si>
  <si>
    <t>邓少华</t>
  </si>
  <si>
    <t>13727123361</t>
  </si>
  <si>
    <t>沙口中心幼儿园（学生）已退款</t>
  </si>
  <si>
    <t>沙口镇开发区幼儿园（学生）</t>
  </si>
  <si>
    <t>连江
--
黎溪</t>
  </si>
  <si>
    <r>
      <rPr>
        <sz val="10"/>
        <color rgb="FF000000"/>
        <rFont val="宋体"/>
        <charset val="134"/>
      </rPr>
      <t xml:space="preserve">连江口浈阳幼儿园 </t>
    </r>
    <r>
      <rPr>
        <sz val="10"/>
        <color rgb="FFFF0000"/>
        <rFont val="宋体"/>
        <charset val="134"/>
      </rPr>
      <t>7鲜8酸（周一送四天的量 周四送两天）</t>
    </r>
  </si>
  <si>
    <t>没查到</t>
  </si>
  <si>
    <t>连江口浈阳幼儿园（学生）</t>
  </si>
  <si>
    <t>连江口中心幼儿园（学生）</t>
  </si>
  <si>
    <t>罗春晖</t>
  </si>
  <si>
    <t>黎溪中学</t>
  </si>
  <si>
    <t>张廷林，李主任</t>
  </si>
  <si>
    <t>黎溪镇幸福幼儿园（老师）</t>
  </si>
  <si>
    <t>黎溪镇幸福幼儿园（学生）</t>
  </si>
  <si>
    <t>黎溪镇中心幼儿园(老师）</t>
  </si>
  <si>
    <t>黎溪镇中心幼儿园（学生）</t>
  </si>
  <si>
    <t>黎溪凤姐</t>
  </si>
  <si>
    <t>陆奇锐</t>
  </si>
  <si>
    <t>13620582185</t>
  </si>
  <si>
    <t>吴开样，潘春梅</t>
  </si>
  <si>
    <t>英德市下太学校（营养餐：周一送三天的量，周四送二天的量）</t>
  </si>
  <si>
    <t>下太中心幼儿园（老师）</t>
  </si>
  <si>
    <t>下太中心幼儿园（学生）</t>
  </si>
  <si>
    <t>鱼湾
--
横石水</t>
  </si>
  <si>
    <t>0186东华鱼湾育苗幼儿园</t>
  </si>
  <si>
    <t>胡元灵</t>
  </si>
  <si>
    <t>蓝老师</t>
  </si>
  <si>
    <t>李明锋，胡可国</t>
  </si>
  <si>
    <t>0377英德市桥头镇中心小学1-5年级</t>
  </si>
  <si>
    <t>林佰安、陈定兵</t>
  </si>
  <si>
    <t>851英德市桥头镇中心小学6年级</t>
  </si>
  <si>
    <t>桥头中心幼儿园（老师）</t>
  </si>
  <si>
    <t>桥头中心幼儿园（学生）</t>
  </si>
  <si>
    <t>黄成杏</t>
  </si>
  <si>
    <t>5份</t>
  </si>
  <si>
    <t>白沙镇中心小学</t>
  </si>
  <si>
    <t>黄永行</t>
  </si>
  <si>
    <t>彭玉吉</t>
  </si>
  <si>
    <t>谢太铮，邓志报</t>
  </si>
  <si>
    <t>627白沙致远幼儿园（老师）</t>
  </si>
  <si>
    <t>19</t>
  </si>
  <si>
    <t>15</t>
  </si>
  <si>
    <t>白沙致远幼儿园（学生）</t>
  </si>
  <si>
    <t>467白沙银河幼儿园（学生）</t>
  </si>
  <si>
    <t>白沙中心幼儿园（老师）</t>
  </si>
  <si>
    <t>白沙中心幼儿园（学生）</t>
  </si>
  <si>
    <t>660英德市横石水中心小学1-3</t>
  </si>
  <si>
    <t>温雪媚</t>
  </si>
  <si>
    <t>661英德市横石水中心小学4-6</t>
  </si>
  <si>
    <t>772英德市横石水中心幼儿园</t>
  </si>
  <si>
    <t>横石水联雄小学（24钟建琴）</t>
  </si>
  <si>
    <t>横石水培幼幼儿园</t>
  </si>
  <si>
    <t>横石水心灵幼儿园</t>
  </si>
  <si>
    <t>横岭小学附属幼儿园（学生）</t>
  </si>
  <si>
    <t>英华茶山教学点</t>
  </si>
  <si>
    <t>英华塘下</t>
  </si>
  <si>
    <t>665东华大镇中学</t>
  </si>
  <si>
    <t>丘少勇、赖炳勋</t>
  </si>
  <si>
    <t>吴新艺、包贤记、曾永刚</t>
  </si>
  <si>
    <t>东华镇中心幼儿园</t>
  </si>
  <si>
    <t>768东华东乡明珠幼儿园（老师）</t>
  </si>
  <si>
    <t>768东华东乡明珠幼儿园（学生）</t>
  </si>
  <si>
    <t>629英华忠新幼儿园（老师）</t>
  </si>
  <si>
    <t>629英华忠新幼儿园（学生）</t>
  </si>
  <si>
    <t>创才小学</t>
  </si>
  <si>
    <t>676光明小学</t>
  </si>
  <si>
    <t>663黄陂小学</t>
  </si>
  <si>
    <t>769黄陂爱儿乐幼儿园（老师）</t>
  </si>
  <si>
    <t>769黄陂爱儿乐幼儿园（学生）</t>
  </si>
  <si>
    <t>黎溪中心小学试饮</t>
  </si>
  <si>
    <t>田家炳补送</t>
  </si>
  <si>
    <t>总数</t>
  </si>
  <si>
    <t>英红-横石塘</t>
  </si>
  <si>
    <t>英中线</t>
  </si>
  <si>
    <t>西乡</t>
  </si>
  <si>
    <t>东乡</t>
  </si>
  <si>
    <t>备用奶</t>
  </si>
  <si>
    <t>开单总数</t>
  </si>
  <si>
    <t>每周四10kg鲜奶一包</t>
  </si>
  <si>
    <t>英红中心幼儿园，每周四要配送一包10kg鲜奶（餐饮奶）</t>
  </si>
  <si>
    <t>鲜奶领奶表</t>
  </si>
  <si>
    <t>（11  ）月份（填写领取数量/盒）</t>
  </si>
  <si>
    <t>1号</t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</si>
  <si>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</si>
  <si>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</si>
  <si>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</si>
  <si>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</si>
  <si>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</si>
  <si>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</si>
  <si>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</si>
  <si>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</si>
  <si>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</si>
  <si>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</si>
  <si>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</si>
  <si>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</si>
  <si>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</si>
  <si>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</si>
  <si>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</si>
  <si>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</si>
  <si>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</si>
  <si>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</si>
  <si>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</si>
  <si>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</si>
  <si>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</si>
  <si>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</si>
  <si>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</si>
  <si>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</si>
  <si>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</si>
  <si>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27号</t>
  </si>
  <si>
    <t>28号</t>
  </si>
  <si>
    <t>29号</t>
  </si>
  <si>
    <t>30号</t>
  </si>
  <si>
    <t>邝淑琴（鲜）</t>
  </si>
  <si>
    <t>邝淑琴（酸）</t>
  </si>
  <si>
    <t>郑 铃（鲜）</t>
  </si>
  <si>
    <t>郑 铃（酸）</t>
  </si>
  <si>
    <t>邓秀勤（鲜）</t>
  </si>
  <si>
    <t>邓秀勤（酸）</t>
  </si>
  <si>
    <t>程斯雅（鲜）</t>
  </si>
  <si>
    <t>程斯雅（酸）</t>
  </si>
  <si>
    <t>鲜奶订购表</t>
  </si>
  <si>
    <t>姝</t>
  </si>
  <si>
    <t>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</si>
</sst>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 0_ "/>
    <numFmt numFmtId="178" formatCode="0.00_ "/>
    <numFmt numFmtId="179" formatCode="m&quot;月&quot;d&quot;日&quot;;@"/>
    <numFmt numFmtId="180" formatCode="0.00;[Red]0.00"/>
    <numFmt numFmtId="181" formatCode="0.00_);[Red]\(0.00\)"/>
    <numFmt numFmtId="182" formatCode="0.0_ "/>
  </numFmts>
  <fonts count="81">
    <font>
      <sz val="11"/>
      <color indexed="8"/>
      <name val="宋体"/>
      <charset val="134"/>
      <scheme val="minor"/>
    </font>
    <font>
      <sz val="28"/>
      <color theme="1"/>
      <name val="宋体"/>
      <charset val="134"/>
    </font>
    <font>
      <sz val="28"/>
      <color indexed="8"/>
      <name val="宋体"/>
      <charset val="134"/>
      <scheme val="minor"/>
    </font>
    <font>
      <b/>
      <sz val="28"/>
      <color rgb="FF000000"/>
      <name val="宋体"/>
      <charset val="134"/>
    </font>
    <font>
      <sz val="28"/>
      <color rgb="FF000000"/>
      <name val="宋体"/>
      <charset val="134"/>
    </font>
    <font>
      <sz val="11"/>
      <color theme="1"/>
      <name val="宋体"/>
      <charset val="134"/>
    </font>
    <font>
      <sz val="18"/>
      <color rgb="FF000000"/>
      <name val="宋体"/>
      <charset val="134"/>
    </font>
    <font>
      <sz val="14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2"/>
      <name val="宋体"/>
      <charset val="134"/>
    </font>
    <font>
      <sz val="10"/>
      <color rgb="FFFF0000"/>
      <name val="宋体"/>
      <charset val="134"/>
    </font>
    <font>
      <sz val="10"/>
      <color rgb="FF000000"/>
      <name val="宋体"/>
      <charset val="134"/>
    </font>
    <font>
      <sz val="11"/>
      <name val="宋体"/>
      <charset val="0"/>
    </font>
    <font>
      <sz val="12"/>
      <color rgb="FF000000"/>
      <name val="宋体"/>
      <charset val="134"/>
    </font>
    <font>
      <sz val="11"/>
      <color theme="5"/>
      <name val="宋体"/>
      <charset val="134"/>
    </font>
    <font>
      <sz val="11"/>
      <color rgb="FF000000"/>
      <name val="宋体"/>
      <charset val="134"/>
      <scheme val="minor"/>
    </font>
    <font>
      <sz val="9"/>
      <name val="宋体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8"/>
      <name val="宋体"/>
      <charset val="134"/>
    </font>
    <font>
      <sz val="11"/>
      <color rgb="FF7030A0"/>
      <name val="宋体"/>
      <charset val="134"/>
    </font>
    <font>
      <sz val="11"/>
      <color rgb="FF7030A0"/>
      <name val="宋体"/>
      <charset val="134"/>
      <scheme val="minor"/>
    </font>
    <font>
      <sz val="11"/>
      <color rgb="FFFF0000"/>
      <name val="宋体"/>
      <charset val="204"/>
    </font>
    <font>
      <b/>
      <sz val="11"/>
      <color theme="1"/>
      <name val="宋体"/>
      <charset val="134"/>
    </font>
    <font>
      <sz val="8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</font>
    <font>
      <b/>
      <sz val="10"/>
      <color rgb="FFFF0000"/>
      <name val="宋体"/>
      <charset val="134"/>
    </font>
    <font>
      <sz val="11"/>
      <name val="宋体"/>
      <charset val="204"/>
    </font>
    <font>
      <sz val="8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rgb="FFC00000"/>
      <name val="宋体"/>
      <charset val="134"/>
      <scheme val="minor"/>
    </font>
    <font>
      <sz val="8"/>
      <color indexed="8"/>
      <name val="宋体"/>
      <charset val="134"/>
      <scheme val="minor"/>
    </font>
    <font>
      <sz val="8"/>
      <color rgb="FFC00000"/>
      <name val="宋体"/>
      <charset val="134"/>
    </font>
    <font>
      <sz val="8"/>
      <color rgb="FF000000"/>
      <name val="宋体"/>
      <charset val="134"/>
    </font>
    <font>
      <sz val="8"/>
      <name val="宋体"/>
      <charset val="0"/>
      <scheme val="minor"/>
    </font>
    <font>
      <sz val="8"/>
      <color rgb="FFFF0000"/>
      <name val="宋体"/>
      <charset val="134"/>
      <scheme val="minor"/>
    </font>
    <font>
      <sz val="8"/>
      <color rgb="FF000000"/>
      <name val="宋体"/>
      <charset val="0"/>
    </font>
    <font>
      <sz val="8"/>
      <color rgb="FF000000"/>
      <name val="宋体"/>
      <charset val="0"/>
      <scheme val="minor"/>
    </font>
    <font>
      <sz val="8"/>
      <color rgb="FFFF0000"/>
      <name val="宋体"/>
      <charset val="134"/>
    </font>
    <font>
      <sz val="8"/>
      <name val="宋体"/>
      <charset val="204"/>
      <scheme val="minor"/>
    </font>
    <font>
      <sz val="8"/>
      <color theme="1"/>
      <name val="宋体"/>
      <charset val="0"/>
      <scheme val="minor"/>
    </font>
    <font>
      <sz val="8"/>
      <color rgb="FFFF0000"/>
      <name val="宋体"/>
      <charset val="0"/>
      <scheme val="minor"/>
    </font>
    <font>
      <sz val="8"/>
      <color rgb="FFFF0000"/>
      <name val="宋体"/>
      <charset val="0"/>
    </font>
    <font>
      <b/>
      <sz val="8"/>
      <color rgb="FFFF0000"/>
      <name val="宋体"/>
      <charset val="134"/>
      <scheme val="minor"/>
    </font>
    <font>
      <sz val="8"/>
      <color rgb="FFFF5C50"/>
      <name val="宋体"/>
      <charset val="134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11"/>
      <name val="宋体"/>
      <charset val="134"/>
      <scheme val="major"/>
    </font>
    <font>
      <b/>
      <sz val="1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b/>
      <sz val="9"/>
      <name val="宋体"/>
      <charset val="134"/>
    </font>
    <font>
      <sz val="9"/>
      <name val="宋体"/>
      <charset val="134"/>
    </font>
    <font>
      <sz val="7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CB3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68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25" fillId="31" borderId="29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30" applyNumberFormat="0" applyFill="0" applyAlignment="0" applyProtection="0">
      <alignment vertical="center"/>
    </xf>
    <xf numFmtId="0" fontId="64" fillId="0" borderId="30" applyNumberFormat="0" applyFill="0" applyAlignment="0" applyProtection="0">
      <alignment vertical="center"/>
    </xf>
    <xf numFmtId="0" fontId="65" fillId="0" borderId="31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32" borderId="32" applyNumberFormat="0" applyAlignment="0" applyProtection="0">
      <alignment vertical="center"/>
    </xf>
    <xf numFmtId="0" fontId="67" fillId="33" borderId="33" applyNumberFormat="0" applyAlignment="0" applyProtection="0">
      <alignment vertical="center"/>
    </xf>
    <xf numFmtId="0" fontId="68" fillId="33" borderId="32" applyNumberFormat="0" applyAlignment="0" applyProtection="0">
      <alignment vertical="center"/>
    </xf>
    <xf numFmtId="0" fontId="69" fillId="34" borderId="34" applyNumberFormat="0" applyAlignment="0" applyProtection="0">
      <alignment vertical="center"/>
    </xf>
    <xf numFmtId="0" fontId="70" fillId="0" borderId="35" applyNumberFormat="0" applyFill="0" applyAlignment="0" applyProtection="0">
      <alignment vertical="center"/>
    </xf>
    <xf numFmtId="0" fontId="71" fillId="0" borderId="36" applyNumberFormat="0" applyFill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5" fillId="30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5" fillId="50" borderId="0" applyNumberFormat="0" applyBorder="0" applyAlignment="0" applyProtection="0">
      <alignment vertical="center"/>
    </xf>
    <xf numFmtId="0" fontId="75" fillId="51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5" fillId="5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6" fillId="55" borderId="0" applyNumberFormat="0" applyBorder="0" applyAlignment="0" applyProtection="0">
      <alignment vertical="center"/>
    </xf>
    <xf numFmtId="0" fontId="76" fillId="56" borderId="0" applyNumberFormat="0" applyBorder="0" applyAlignment="0" applyProtection="0">
      <alignment vertical="center"/>
    </xf>
    <xf numFmtId="0" fontId="75" fillId="57" borderId="0" applyNumberFormat="0" applyBorder="0" applyAlignment="0" applyProtection="0">
      <alignment vertical="center"/>
    </xf>
    <xf numFmtId="0" fontId="77" fillId="0" borderId="0"/>
    <xf numFmtId="0" fontId="21" fillId="0" borderId="0">
      <alignment vertical="center"/>
    </xf>
  </cellStyleXfs>
  <cellXfs count="524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49" fontId="11" fillId="0" borderId="2" xfId="0" applyNumberFormat="1" applyFont="1" applyFill="1" applyBorder="1" applyAlignment="1">
      <alignment horizontal="center" vertical="center" wrapText="1"/>
    </xf>
    <xf numFmtId="49" fontId="11" fillId="0" borderId="2" xfId="0" applyNumberFormat="1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49" fontId="17" fillId="0" borderId="2" xfId="0" applyNumberFormat="1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/>
    </xf>
    <xf numFmtId="0" fontId="19" fillId="0" borderId="2" xfId="0" applyNumberFormat="1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1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1" fontId="12" fillId="0" borderId="2" xfId="0" applyNumberFormat="1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1" fontId="13" fillId="0" borderId="2" xfId="0" applyNumberFormat="1" applyFont="1" applyFill="1" applyBorder="1" applyAlignment="1">
      <alignment horizontal="center" vertical="center" wrapText="1"/>
    </xf>
    <xf numFmtId="49" fontId="13" fillId="0" borderId="2" xfId="0" applyNumberFormat="1" applyFont="1" applyFill="1" applyBorder="1" applyAlignment="1">
      <alignment horizontal="center" vertical="center" wrapText="1"/>
    </xf>
    <xf numFmtId="49" fontId="13" fillId="0" borderId="2" xfId="0" applyNumberFormat="1" applyFont="1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176" fontId="12" fillId="0" borderId="2" xfId="0" applyNumberFormat="1" applyFont="1" applyFill="1" applyBorder="1" applyAlignment="1">
      <alignment horizontal="center" vertical="center" wrapText="1"/>
    </xf>
    <xf numFmtId="177" fontId="12" fillId="0" borderId="2" xfId="0" applyNumberFormat="1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/>
    </xf>
    <xf numFmtId="0" fontId="23" fillId="7" borderId="15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49" fontId="21" fillId="0" borderId="2" xfId="0" applyNumberFormat="1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/>
    </xf>
    <xf numFmtId="0" fontId="12" fillId="4" borderId="2" xfId="0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20" fillId="12" borderId="6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49" fontId="27" fillId="0" borderId="2" xfId="0" applyNumberFormat="1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11" xfId="0" applyFont="1" applyFill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/>
    </xf>
    <xf numFmtId="0" fontId="12" fillId="18" borderId="2" xfId="0" applyNumberFormat="1" applyFont="1" applyFill="1" applyBorder="1" applyAlignment="1">
      <alignment horizontal="center" vertical="center"/>
    </xf>
    <xf numFmtId="0" fontId="28" fillId="18" borderId="7" xfId="0" applyFont="1" applyFill="1" applyBorder="1" applyAlignment="1">
      <alignment horizontal="center" vertical="center"/>
    </xf>
    <xf numFmtId="0" fontId="29" fillId="18" borderId="6" xfId="0" applyFont="1" applyFill="1" applyBorder="1" applyAlignment="1">
      <alignment horizontal="center" vertical="center"/>
    </xf>
    <xf numFmtId="0" fontId="5" fillId="18" borderId="3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 wrapText="1"/>
    </xf>
    <xf numFmtId="0" fontId="30" fillId="0" borderId="2" xfId="0" applyNumberFormat="1" applyFont="1" applyFill="1" applyBorder="1" applyAlignment="1">
      <alignment horizontal="center" vertical="center" wrapText="1"/>
    </xf>
    <xf numFmtId="0" fontId="22" fillId="0" borderId="2" xfId="0" applyNumberFormat="1" applyFont="1" applyFill="1" applyBorder="1" applyAlignment="1">
      <alignment horizontal="center" vertical="center" wrapText="1"/>
    </xf>
    <xf numFmtId="176" fontId="13" fillId="0" borderId="2" xfId="0" applyNumberFormat="1" applyFont="1" applyFill="1" applyBorder="1" applyAlignment="1">
      <alignment horizontal="center" vertical="center" wrapText="1"/>
    </xf>
    <xf numFmtId="177" fontId="13" fillId="0" borderId="2" xfId="0" applyNumberFormat="1" applyFont="1" applyFill="1" applyBorder="1" applyAlignment="1">
      <alignment horizontal="center" vertical="center" wrapText="1"/>
    </xf>
    <xf numFmtId="0" fontId="13" fillId="18" borderId="2" xfId="0" applyFont="1" applyFill="1" applyBorder="1" applyAlignment="1">
      <alignment horizontal="center" vertical="center"/>
    </xf>
    <xf numFmtId="0" fontId="13" fillId="18" borderId="3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0" fontId="28" fillId="18" borderId="2" xfId="0" applyFont="1" applyFill="1" applyBorder="1" applyAlignment="1">
      <alignment horizontal="center" vertical="center"/>
    </xf>
    <xf numFmtId="0" fontId="28" fillId="18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31" fillId="12" borderId="2" xfId="0" applyFont="1" applyFill="1" applyBorder="1" applyAlignment="1">
      <alignment horizontal="center" vertical="center"/>
    </xf>
    <xf numFmtId="0" fontId="24" fillId="8" borderId="6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2" fillId="19" borderId="11" xfId="0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/>
    </xf>
    <xf numFmtId="0" fontId="25" fillId="20" borderId="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25" fillId="20" borderId="6" xfId="0" applyNumberFormat="1" applyFont="1" applyFill="1" applyBorder="1" applyAlignment="1">
      <alignment horizontal="center" vertical="center"/>
    </xf>
    <xf numFmtId="0" fontId="12" fillId="20" borderId="4" xfId="0" applyNumberFormat="1" applyFont="1" applyFill="1" applyBorder="1" applyAlignment="1">
      <alignment horizontal="center" vertical="center"/>
    </xf>
    <xf numFmtId="0" fontId="25" fillId="14" borderId="2" xfId="0" applyFont="1" applyFill="1" applyBorder="1" applyAlignment="1">
      <alignment horizontal="center" vertical="center"/>
    </xf>
    <xf numFmtId="0" fontId="25" fillId="20" borderId="2" xfId="0" applyFont="1" applyFill="1" applyBorder="1" applyAlignment="1">
      <alignment horizontal="center" vertical="center"/>
    </xf>
    <xf numFmtId="0" fontId="32" fillId="0" borderId="6" xfId="0" applyFont="1" applyFill="1" applyBorder="1" applyAlignment="1">
      <alignment horizontal="center" vertical="center"/>
    </xf>
    <xf numFmtId="0" fontId="32" fillId="0" borderId="2" xfId="0" applyFont="1" applyFill="1" applyBorder="1" applyAlignment="1">
      <alignment horizontal="center" vertical="center"/>
    </xf>
    <xf numFmtId="49" fontId="27" fillId="0" borderId="2" xfId="0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12" fillId="0" borderId="1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left" vertical="center"/>
    </xf>
    <xf numFmtId="0" fontId="35" fillId="0" borderId="2" xfId="0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 wrapText="1"/>
    </xf>
    <xf numFmtId="0" fontId="36" fillId="0" borderId="2" xfId="0" applyNumberFormat="1" applyFont="1" applyFill="1" applyBorder="1" applyAlignment="1">
      <alignment horizontal="center" vertical="center" wrapText="1"/>
    </xf>
    <xf numFmtId="0" fontId="36" fillId="0" borderId="2" xfId="0" applyNumberFormat="1" applyFont="1" applyFill="1" applyBorder="1" applyAlignment="1">
      <alignment horizontal="center" vertical="top" wrapText="1"/>
    </xf>
    <xf numFmtId="0" fontId="37" fillId="0" borderId="2" xfId="0" applyFont="1" applyFill="1" applyBorder="1" applyAlignment="1">
      <alignment horizontal="center" vertical="center"/>
    </xf>
    <xf numFmtId="0" fontId="37" fillId="0" borderId="0" xfId="0" applyFont="1" applyFill="1" applyAlignment="1">
      <alignment horizontal="center" vertical="center"/>
    </xf>
    <xf numFmtId="0" fontId="37" fillId="0" borderId="4" xfId="0" applyFont="1" applyFill="1" applyBorder="1" applyAlignment="1">
      <alignment horizontal="center" vertical="center"/>
    </xf>
    <xf numFmtId="0" fontId="38" fillId="0" borderId="5" xfId="0" applyFont="1" applyFill="1" applyBorder="1" applyAlignment="1">
      <alignment horizontal="center" vertical="center"/>
    </xf>
    <xf numFmtId="0" fontId="37" fillId="0" borderId="0" xfId="0" applyFont="1" applyFill="1" applyAlignment="1">
      <alignment vertical="center"/>
    </xf>
    <xf numFmtId="0" fontId="37" fillId="0" borderId="5" xfId="0" applyFont="1" applyFill="1" applyBorder="1" applyAlignment="1">
      <alignment horizontal="center" vertical="center"/>
    </xf>
    <xf numFmtId="0" fontId="37" fillId="0" borderId="2" xfId="0" applyFont="1" applyFill="1" applyBorder="1" applyAlignment="1">
      <alignment vertical="center"/>
    </xf>
    <xf numFmtId="49" fontId="37" fillId="0" borderId="2" xfId="0" applyNumberFormat="1" applyFont="1" applyFill="1" applyBorder="1" applyAlignment="1">
      <alignment horizontal="center" vertical="center"/>
    </xf>
    <xf numFmtId="49" fontId="37" fillId="0" borderId="0" xfId="0" applyNumberFormat="1" applyFont="1" applyFill="1" applyAlignment="1">
      <alignment vertical="center"/>
    </xf>
    <xf numFmtId="176" fontId="37" fillId="0" borderId="0" xfId="0" applyNumberFormat="1" applyFont="1" applyFill="1" applyAlignment="1">
      <alignment vertical="center"/>
    </xf>
    <xf numFmtId="0" fontId="37" fillId="0" borderId="0" xfId="0" applyNumberFormat="1" applyFont="1" applyFill="1" applyAlignment="1">
      <alignment vertical="center"/>
    </xf>
    <xf numFmtId="2" fontId="37" fillId="0" borderId="0" xfId="0" applyNumberFormat="1" applyFont="1" applyFill="1" applyAlignment="1">
      <alignment vertical="center"/>
    </xf>
    <xf numFmtId="178" fontId="37" fillId="0" borderId="0" xfId="0" applyNumberFormat="1" applyFont="1" applyFill="1" applyAlignment="1">
      <alignment vertical="center"/>
    </xf>
    <xf numFmtId="179" fontId="37" fillId="0" borderId="0" xfId="0" applyNumberFormat="1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0" borderId="0" xfId="0" applyFont="1" applyFill="1" applyAlignment="1">
      <alignment vertical="center" wrapText="1"/>
    </xf>
    <xf numFmtId="0" fontId="40" fillId="0" borderId="0" xfId="0" applyFont="1" applyFill="1">
      <alignment vertical="center"/>
    </xf>
    <xf numFmtId="0" fontId="40" fillId="0" borderId="0" xfId="0" applyFont="1">
      <alignment vertical="center"/>
    </xf>
    <xf numFmtId="0" fontId="37" fillId="0" borderId="6" xfId="0" applyFont="1" applyFill="1" applyBorder="1" applyAlignment="1">
      <alignment horizontal="center" vertical="center"/>
    </xf>
    <xf numFmtId="0" fontId="37" fillId="0" borderId="6" xfId="0" applyFont="1" applyFill="1" applyBorder="1" applyAlignment="1">
      <alignment horizontal="center" vertical="center" wrapText="1"/>
    </xf>
    <xf numFmtId="0" fontId="37" fillId="0" borderId="2" xfId="0" applyFont="1" applyFill="1" applyBorder="1" applyAlignment="1">
      <alignment horizontal="center" vertical="center" wrapText="1"/>
    </xf>
    <xf numFmtId="49" fontId="37" fillId="0" borderId="2" xfId="0" applyNumberFormat="1" applyFont="1" applyFill="1" applyBorder="1" applyAlignment="1">
      <alignment horizontal="center" vertical="center" wrapText="1"/>
    </xf>
    <xf numFmtId="0" fontId="37" fillId="0" borderId="6" xfId="0" applyFont="1" applyFill="1" applyBorder="1" applyAlignment="1">
      <alignment horizontal="center"/>
    </xf>
    <xf numFmtId="176" fontId="37" fillId="0" borderId="6" xfId="0" applyNumberFormat="1" applyFont="1" applyFill="1" applyBorder="1" applyAlignment="1">
      <alignment horizontal="center" vertical="center"/>
    </xf>
    <xf numFmtId="0" fontId="37" fillId="0" borderId="6" xfId="0" applyNumberFormat="1" applyFont="1" applyFill="1" applyBorder="1" applyAlignment="1">
      <alignment horizontal="center" vertical="center"/>
    </xf>
    <xf numFmtId="2" fontId="37" fillId="0" borderId="6" xfId="0" applyNumberFormat="1" applyFont="1" applyFill="1" applyBorder="1" applyAlignment="1">
      <alignment horizontal="center" vertical="center"/>
    </xf>
    <xf numFmtId="178" fontId="37" fillId="0" borderId="6" xfId="0" applyNumberFormat="1" applyFont="1" applyFill="1" applyBorder="1" applyAlignment="1">
      <alignment horizontal="center" vertical="center"/>
    </xf>
    <xf numFmtId="179" fontId="37" fillId="0" borderId="6" xfId="0" applyNumberFormat="1" applyFont="1" applyFill="1" applyBorder="1" applyAlignment="1">
      <alignment horizontal="center" vertical="center"/>
    </xf>
    <xf numFmtId="0" fontId="37" fillId="0" borderId="15" xfId="0" applyFont="1" applyFill="1" applyBorder="1" applyAlignment="1">
      <alignment horizontal="center" vertical="center"/>
    </xf>
    <xf numFmtId="0" fontId="37" fillId="0" borderId="16" xfId="0" applyFont="1" applyFill="1" applyBorder="1" applyAlignment="1">
      <alignment horizontal="center" vertical="center"/>
    </xf>
    <xf numFmtId="0" fontId="37" fillId="0" borderId="17" xfId="0" applyFont="1" applyFill="1" applyBorder="1" applyAlignment="1">
      <alignment horizontal="center" vertical="center"/>
    </xf>
    <xf numFmtId="0" fontId="37" fillId="0" borderId="7" xfId="0" applyFont="1" applyFill="1" applyBorder="1" applyAlignment="1">
      <alignment horizontal="center" vertical="center"/>
    </xf>
    <xf numFmtId="0" fontId="37" fillId="0" borderId="3" xfId="0" applyFont="1" applyFill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/>
    </xf>
    <xf numFmtId="0" fontId="42" fillId="0" borderId="2" xfId="0" applyFont="1" applyFill="1" applyBorder="1" applyAlignment="1">
      <alignment horizontal="center" vertical="center"/>
    </xf>
    <xf numFmtId="0" fontId="42" fillId="0" borderId="2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 wrapText="1"/>
    </xf>
    <xf numFmtId="0" fontId="37" fillId="5" borderId="6" xfId="0" applyFont="1" applyFill="1" applyBorder="1" applyAlignment="1">
      <alignment horizontal="center" vertical="center"/>
    </xf>
    <xf numFmtId="0" fontId="37" fillId="21" borderId="6" xfId="0" applyFont="1" applyFill="1" applyBorder="1" applyAlignment="1">
      <alignment horizontal="center" vertical="center" wrapText="1"/>
    </xf>
    <xf numFmtId="1" fontId="37" fillId="0" borderId="2" xfId="0" applyNumberFormat="1" applyFont="1" applyFill="1" applyBorder="1" applyAlignment="1">
      <alignment horizontal="center" vertical="center" wrapText="1"/>
    </xf>
    <xf numFmtId="49" fontId="43" fillId="0" borderId="2" xfId="0" applyNumberFormat="1" applyFont="1" applyFill="1" applyBorder="1" applyAlignment="1">
      <alignment horizontal="center" vertical="center"/>
    </xf>
    <xf numFmtId="0" fontId="42" fillId="0" borderId="6" xfId="0" applyFont="1" applyFill="1" applyBorder="1" applyAlignment="1">
      <alignment horizontal="center" vertical="center"/>
    </xf>
    <xf numFmtId="0" fontId="44" fillId="0" borderId="6" xfId="0" applyFont="1" applyFill="1" applyBorder="1" applyAlignment="1">
      <alignment horizontal="center" vertical="center"/>
    </xf>
    <xf numFmtId="58" fontId="43" fillId="4" borderId="6" xfId="0" applyNumberFormat="1" applyFont="1" applyFill="1" applyBorder="1" applyAlignment="1">
      <alignment horizontal="center" vertical="center"/>
    </xf>
    <xf numFmtId="176" fontId="43" fillId="4" borderId="6" xfId="0" applyNumberFormat="1" applyFont="1" applyFill="1" applyBorder="1" applyAlignment="1">
      <alignment horizontal="center" vertical="center"/>
    </xf>
    <xf numFmtId="178" fontId="43" fillId="0" borderId="6" xfId="0" applyNumberFormat="1" applyFont="1" applyFill="1" applyBorder="1" applyAlignment="1">
      <alignment horizontal="center" vertical="center"/>
    </xf>
    <xf numFmtId="58" fontId="44" fillId="0" borderId="6" xfId="0" applyNumberFormat="1" applyFont="1" applyFill="1" applyBorder="1" applyAlignment="1">
      <alignment horizontal="center" vertical="center"/>
    </xf>
    <xf numFmtId="176" fontId="43" fillId="0" borderId="6" xfId="0" applyNumberFormat="1" applyFont="1" applyFill="1" applyBorder="1" applyAlignment="1">
      <alignment horizontal="center" vertical="center"/>
    </xf>
    <xf numFmtId="2" fontId="43" fillId="0" borderId="6" xfId="0" applyNumberFormat="1" applyFont="1" applyFill="1" applyBorder="1" applyAlignment="1">
      <alignment horizontal="center" vertical="center"/>
    </xf>
    <xf numFmtId="58" fontId="37" fillId="0" borderId="6" xfId="0" applyNumberFormat="1" applyFont="1" applyFill="1" applyBorder="1" applyAlignment="1">
      <alignment horizontal="center" vertical="center"/>
    </xf>
    <xf numFmtId="0" fontId="43" fillId="0" borderId="6" xfId="0" applyFont="1" applyFill="1" applyBorder="1" applyAlignment="1">
      <alignment horizontal="center" vertical="center"/>
    </xf>
    <xf numFmtId="0" fontId="39" fillId="4" borderId="2" xfId="0" applyFont="1" applyFill="1" applyBorder="1" applyAlignment="1">
      <alignment horizontal="center" vertical="center"/>
    </xf>
    <xf numFmtId="58" fontId="37" fillId="4" borderId="6" xfId="0" applyNumberFormat="1" applyFont="1" applyFill="1" applyBorder="1" applyAlignment="1">
      <alignment horizontal="center" vertical="center"/>
    </xf>
    <xf numFmtId="0" fontId="37" fillId="4" borderId="6" xfId="0" applyNumberFormat="1" applyFont="1" applyFill="1" applyBorder="1" applyAlignment="1">
      <alignment horizontal="center" vertical="center"/>
    </xf>
    <xf numFmtId="0" fontId="37" fillId="4" borderId="6" xfId="0" applyFont="1" applyFill="1" applyBorder="1" applyAlignment="1">
      <alignment horizontal="center" vertical="center"/>
    </xf>
    <xf numFmtId="58" fontId="44" fillId="22" borderId="6" xfId="0" applyNumberFormat="1" applyFont="1" applyFill="1" applyBorder="1" applyAlignment="1">
      <alignment horizontal="center" vertical="center"/>
    </xf>
    <xf numFmtId="0" fontId="37" fillId="22" borderId="6" xfId="0" applyNumberFormat="1" applyFont="1" applyFill="1" applyBorder="1" applyAlignment="1">
      <alignment horizontal="center" vertical="center"/>
    </xf>
    <xf numFmtId="0" fontId="37" fillId="22" borderId="6" xfId="0" applyFont="1" applyFill="1" applyBorder="1" applyAlignment="1">
      <alignment horizontal="center" vertical="center"/>
    </xf>
    <xf numFmtId="176" fontId="43" fillId="22" borderId="6" xfId="0" applyNumberFormat="1" applyFont="1" applyFill="1" applyBorder="1" applyAlignment="1">
      <alignment horizontal="center" vertical="center"/>
    </xf>
    <xf numFmtId="2" fontId="43" fillId="2" borderId="6" xfId="0" applyNumberFormat="1" applyFont="1" applyFill="1" applyBorder="1" applyAlignment="1">
      <alignment horizontal="center" vertical="center"/>
    </xf>
    <xf numFmtId="58" fontId="44" fillId="4" borderId="6" xfId="0" applyNumberFormat="1" applyFont="1" applyFill="1" applyBorder="1" applyAlignment="1">
      <alignment horizontal="center" vertical="center"/>
    </xf>
    <xf numFmtId="0" fontId="42" fillId="0" borderId="6" xfId="0" applyFont="1" applyFill="1" applyBorder="1" applyAlignment="1">
      <alignment horizontal="left" vertical="center" wrapText="1"/>
    </xf>
    <xf numFmtId="58" fontId="45" fillId="4" borderId="6" xfId="0" applyNumberFormat="1" applyFont="1" applyFill="1" applyBorder="1" applyAlignment="1">
      <alignment horizontal="center" vertical="center"/>
    </xf>
    <xf numFmtId="0" fontId="37" fillId="10" borderId="6" xfId="0" applyFont="1" applyFill="1" applyBorder="1" applyAlignment="1">
      <alignment horizontal="center" vertical="center" wrapText="1"/>
    </xf>
    <xf numFmtId="0" fontId="37" fillId="5" borderId="10" xfId="0" applyFont="1" applyFill="1" applyBorder="1" applyAlignment="1">
      <alignment horizontal="center" vertical="center"/>
    </xf>
    <xf numFmtId="58" fontId="43" fillId="0" borderId="6" xfId="0" applyNumberFormat="1" applyFont="1" applyFill="1" applyBorder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37" fillId="5" borderId="14" xfId="0" applyFont="1" applyFill="1" applyBorder="1" applyAlignment="1">
      <alignment horizontal="center" vertical="center"/>
    </xf>
    <xf numFmtId="0" fontId="43" fillId="4" borderId="6" xfId="0" applyNumberFormat="1" applyFont="1" applyFill="1" applyBorder="1" applyAlignment="1">
      <alignment horizontal="center" vertical="center"/>
    </xf>
    <xf numFmtId="0" fontId="43" fillId="4" borderId="6" xfId="0" applyFont="1" applyFill="1" applyBorder="1" applyAlignment="1">
      <alignment horizontal="center" vertical="center"/>
    </xf>
    <xf numFmtId="0" fontId="37" fillId="0" borderId="2" xfId="0" applyNumberFormat="1" applyFont="1" applyFill="1" applyBorder="1" applyAlignment="1">
      <alignment horizontal="center" vertical="center" wrapText="1"/>
    </xf>
    <xf numFmtId="58" fontId="32" fillId="4" borderId="6" xfId="0" applyNumberFormat="1" applyFont="1" applyFill="1" applyBorder="1" applyAlignment="1">
      <alignment horizontal="center" vertical="center"/>
    </xf>
    <xf numFmtId="0" fontId="46" fillId="4" borderId="6" xfId="0" applyNumberFormat="1" applyFont="1" applyFill="1" applyBorder="1" applyAlignment="1">
      <alignment horizontal="center" vertical="center"/>
    </xf>
    <xf numFmtId="0" fontId="46" fillId="4" borderId="6" xfId="0" applyFont="1" applyFill="1" applyBorder="1" applyAlignment="1">
      <alignment horizontal="center" vertical="center"/>
    </xf>
    <xf numFmtId="176" fontId="46" fillId="4" borderId="6" xfId="0" applyNumberFormat="1" applyFont="1" applyFill="1" applyBorder="1" applyAlignment="1">
      <alignment horizontal="center" vertical="center"/>
    </xf>
    <xf numFmtId="0" fontId="47" fillId="4" borderId="6" xfId="0" applyNumberFormat="1" applyFont="1" applyFill="1" applyBorder="1" applyAlignment="1">
      <alignment horizontal="left" vertical="center"/>
    </xf>
    <xf numFmtId="0" fontId="37" fillId="5" borderId="6" xfId="0" applyFont="1" applyFill="1" applyBorder="1" applyAlignment="1">
      <alignment horizontal="center" vertical="center" wrapText="1"/>
    </xf>
    <xf numFmtId="0" fontId="43" fillId="22" borderId="6" xfId="0" applyNumberFormat="1" applyFont="1" applyFill="1" applyBorder="1" applyAlignment="1">
      <alignment horizontal="center" vertical="center"/>
    </xf>
    <xf numFmtId="0" fontId="43" fillId="22" borderId="6" xfId="0" applyFont="1" applyFill="1" applyBorder="1" applyAlignment="1">
      <alignment horizontal="center" vertical="center"/>
    </xf>
    <xf numFmtId="176" fontId="37" fillId="4" borderId="6" xfId="0" applyNumberFormat="1" applyFont="1" applyFill="1" applyBorder="1" applyAlignment="1">
      <alignment horizontal="center" vertical="center"/>
    </xf>
    <xf numFmtId="0" fontId="37" fillId="10" borderId="6" xfId="0" applyFont="1" applyFill="1" applyBorder="1" applyAlignment="1">
      <alignment horizontal="center" vertical="center"/>
    </xf>
    <xf numFmtId="0" fontId="32" fillId="4" borderId="6" xfId="0" applyNumberFormat="1" applyFont="1" applyFill="1" applyBorder="1" applyAlignment="1">
      <alignment horizontal="center" vertical="center"/>
    </xf>
    <xf numFmtId="0" fontId="32" fillId="4" borderId="6" xfId="0" applyFont="1" applyFill="1" applyBorder="1" applyAlignment="1">
      <alignment horizontal="center" vertical="center"/>
    </xf>
    <xf numFmtId="178" fontId="43" fillId="23" borderId="6" xfId="0" applyNumberFormat="1" applyFont="1" applyFill="1" applyBorder="1" applyAlignment="1">
      <alignment horizontal="center" vertical="center"/>
    </xf>
    <xf numFmtId="0" fontId="45" fillId="22" borderId="6" xfId="0" applyNumberFormat="1" applyFont="1" applyFill="1" applyBorder="1" applyAlignment="1">
      <alignment horizontal="center" vertical="center"/>
    </xf>
    <xf numFmtId="180" fontId="43" fillId="22" borderId="6" xfId="0" applyNumberFormat="1" applyFont="1" applyFill="1" applyBorder="1" applyAlignment="1">
      <alignment horizontal="center" vertical="center"/>
    </xf>
    <xf numFmtId="0" fontId="45" fillId="0" borderId="6" xfId="0" applyNumberFormat="1" applyFont="1" applyFill="1" applyBorder="1" applyAlignment="1">
      <alignment horizontal="center" vertical="center"/>
    </xf>
    <xf numFmtId="58" fontId="37" fillId="24" borderId="6" xfId="0" applyNumberFormat="1" applyFont="1" applyFill="1" applyBorder="1" applyAlignment="1">
      <alignment horizontal="center" vertical="center"/>
    </xf>
    <xf numFmtId="0" fontId="37" fillId="24" borderId="6" xfId="0" applyNumberFormat="1" applyFont="1" applyFill="1" applyBorder="1" applyAlignment="1">
      <alignment horizontal="center" vertical="center"/>
    </xf>
    <xf numFmtId="0" fontId="37" fillId="24" borderId="6" xfId="0" applyFont="1" applyFill="1" applyBorder="1" applyAlignment="1">
      <alignment horizontal="center" vertical="center"/>
    </xf>
    <xf numFmtId="176" fontId="43" fillId="24" borderId="6" xfId="0" applyNumberFormat="1" applyFont="1" applyFill="1" applyBorder="1" applyAlignment="1">
      <alignment horizontal="center" vertical="center"/>
    </xf>
    <xf numFmtId="0" fontId="37" fillId="5" borderId="10" xfId="0" applyFont="1" applyFill="1" applyBorder="1" applyAlignment="1">
      <alignment horizontal="center" vertical="center" wrapText="1"/>
    </xf>
    <xf numFmtId="0" fontId="37" fillId="9" borderId="6" xfId="0" applyFont="1" applyFill="1" applyBorder="1" applyAlignment="1">
      <alignment horizontal="center" vertical="center"/>
    </xf>
    <xf numFmtId="0" fontId="37" fillId="25" borderId="6" xfId="0" applyFont="1" applyFill="1" applyBorder="1" applyAlignment="1">
      <alignment horizontal="center" vertical="center" wrapText="1"/>
    </xf>
    <xf numFmtId="0" fontId="37" fillId="5" borderId="14" xfId="0" applyFont="1" applyFill="1" applyBorder="1" applyAlignment="1">
      <alignment horizontal="center" vertical="center" wrapText="1"/>
    </xf>
    <xf numFmtId="0" fontId="37" fillId="25" borderId="6" xfId="0" applyFont="1" applyFill="1" applyBorder="1" applyAlignment="1">
      <alignment horizontal="center" vertical="center"/>
    </xf>
    <xf numFmtId="177" fontId="37" fillId="0" borderId="2" xfId="0" applyNumberFormat="1" applyFont="1" applyFill="1" applyBorder="1" applyAlignment="1">
      <alignment horizontal="center" vertical="center" wrapText="1"/>
    </xf>
    <xf numFmtId="176" fontId="37" fillId="0" borderId="2" xfId="0" applyNumberFormat="1" applyFont="1" applyFill="1" applyBorder="1" applyAlignment="1">
      <alignment horizontal="center" vertical="center" wrapText="1"/>
    </xf>
    <xf numFmtId="0" fontId="47" fillId="0" borderId="6" xfId="0" applyFont="1" applyFill="1" applyBorder="1" applyAlignment="1">
      <alignment horizontal="center" vertical="center" wrapText="1"/>
    </xf>
    <xf numFmtId="0" fontId="45" fillId="0" borderId="6" xfId="0" applyNumberFormat="1" applyFont="1" applyFill="1" applyBorder="1" applyAlignment="1">
      <alignment horizontal="center" vertical="center" wrapText="1"/>
    </xf>
    <xf numFmtId="0" fontId="42" fillId="25" borderId="6" xfId="0" applyFont="1" applyFill="1" applyBorder="1" applyAlignment="1">
      <alignment horizontal="center" vertical="center" wrapText="1"/>
    </xf>
    <xf numFmtId="58" fontId="43" fillId="24" borderId="6" xfId="0" applyNumberFormat="1" applyFont="1" applyFill="1" applyBorder="1" applyAlignment="1">
      <alignment horizontal="center" vertical="center"/>
    </xf>
    <xf numFmtId="0" fontId="43" fillId="24" borderId="6" xfId="0" applyNumberFormat="1" applyFont="1" applyFill="1" applyBorder="1" applyAlignment="1">
      <alignment horizontal="center" vertical="center"/>
    </xf>
    <xf numFmtId="0" fontId="43" fillId="24" borderId="6" xfId="0" applyFont="1" applyFill="1" applyBorder="1" applyAlignment="1">
      <alignment horizontal="center" vertical="center"/>
    </xf>
    <xf numFmtId="0" fontId="45" fillId="22" borderId="6" xfId="0" applyNumberFormat="1" applyFont="1" applyFill="1" applyBorder="1" applyAlignment="1">
      <alignment horizontal="center" vertical="center" wrapText="1"/>
    </xf>
    <xf numFmtId="58" fontId="43" fillId="0" borderId="6" xfId="0" applyNumberFormat="1" applyFont="1" applyFill="1" applyBorder="1" applyAlignment="1">
      <alignment horizontal="center" vertical="center" wrapText="1"/>
    </xf>
    <xf numFmtId="0" fontId="43" fillId="0" borderId="6" xfId="0" applyNumberFormat="1" applyFont="1" applyFill="1" applyBorder="1" applyAlignment="1">
      <alignment horizontal="center" vertical="center"/>
    </xf>
    <xf numFmtId="178" fontId="43" fillId="26" borderId="6" xfId="0" applyNumberFormat="1" applyFont="1" applyFill="1" applyBorder="1" applyAlignment="1">
      <alignment horizontal="center" vertical="center"/>
    </xf>
    <xf numFmtId="0" fontId="37" fillId="5" borderId="18" xfId="0" applyFont="1" applyFill="1" applyBorder="1" applyAlignment="1">
      <alignment horizontal="center" vertical="center" wrapText="1"/>
    </xf>
    <xf numFmtId="0" fontId="37" fillId="24" borderId="11" xfId="0" applyFont="1" applyFill="1" applyBorder="1" applyAlignment="1">
      <alignment horizontal="center" vertical="center" wrapText="1"/>
    </xf>
    <xf numFmtId="0" fontId="37" fillId="0" borderId="18" xfId="0" applyFont="1" applyFill="1" applyBorder="1" applyAlignment="1">
      <alignment horizontal="center" vertical="center"/>
    </xf>
    <xf numFmtId="58" fontId="43" fillId="4" borderId="6" xfId="0" applyNumberFormat="1" applyFont="1" applyFill="1" applyBorder="1" applyAlignment="1">
      <alignment horizontal="center"/>
    </xf>
    <xf numFmtId="176" fontId="43" fillId="4" borderId="6" xfId="0" applyNumberFormat="1" applyFont="1" applyFill="1" applyBorder="1" applyAlignment="1">
      <alignment horizontal="center"/>
    </xf>
    <xf numFmtId="176" fontId="43" fillId="4" borderId="18" xfId="0" applyNumberFormat="1" applyFont="1" applyFill="1" applyBorder="1" applyAlignment="1">
      <alignment horizontal="center"/>
    </xf>
    <xf numFmtId="0" fontId="37" fillId="0" borderId="18" xfId="0" applyNumberFormat="1" applyFont="1" applyFill="1" applyBorder="1" applyAlignment="1">
      <alignment horizontal="center" vertical="center"/>
    </xf>
    <xf numFmtId="176" fontId="43" fillId="0" borderId="6" xfId="0" applyNumberFormat="1" applyFont="1" applyFill="1" applyBorder="1" applyAlignment="1">
      <alignment horizontal="center"/>
    </xf>
    <xf numFmtId="2" fontId="43" fillId="0" borderId="6" xfId="0" applyNumberFormat="1" applyFont="1" applyFill="1" applyBorder="1" applyAlignment="1">
      <alignment horizontal="center"/>
    </xf>
    <xf numFmtId="58" fontId="37" fillId="0" borderId="18" xfId="0" applyNumberFormat="1" applyFont="1" applyFill="1" applyBorder="1" applyAlignment="1">
      <alignment horizontal="center" vertical="center"/>
    </xf>
    <xf numFmtId="179" fontId="37" fillId="0" borderId="18" xfId="0" applyNumberFormat="1" applyFont="1" applyFill="1" applyBorder="1" applyAlignment="1">
      <alignment horizontal="center" vertical="center"/>
    </xf>
    <xf numFmtId="178" fontId="43" fillId="0" borderId="6" xfId="0" applyNumberFormat="1" applyFont="1" applyFill="1" applyBorder="1" applyAlignment="1">
      <alignment horizontal="center"/>
    </xf>
    <xf numFmtId="0" fontId="39" fillId="4" borderId="4" xfId="0" applyFont="1" applyFill="1" applyBorder="1" applyAlignment="1">
      <alignment horizontal="center" vertical="center"/>
    </xf>
    <xf numFmtId="0" fontId="37" fillId="0" borderId="4" xfId="0" applyNumberFormat="1" applyFont="1" applyFill="1" applyBorder="1" applyAlignment="1">
      <alignment horizontal="center" vertical="center" wrapText="1"/>
    </xf>
    <xf numFmtId="0" fontId="37" fillId="0" borderId="4" xfId="0" applyFont="1" applyFill="1" applyBorder="1" applyAlignment="1">
      <alignment horizontal="center" vertical="center" wrapText="1"/>
    </xf>
    <xf numFmtId="49" fontId="37" fillId="0" borderId="4" xfId="0" applyNumberFormat="1" applyFont="1" applyFill="1" applyBorder="1" applyAlignment="1">
      <alignment horizontal="center" vertical="center"/>
    </xf>
    <xf numFmtId="49" fontId="37" fillId="0" borderId="4" xfId="0" applyNumberFormat="1" applyFont="1" applyFill="1" applyBorder="1" applyAlignment="1">
      <alignment horizontal="center" vertical="center" wrapText="1"/>
    </xf>
    <xf numFmtId="0" fontId="43" fillId="4" borderId="6" xfId="0" applyNumberFormat="1" applyFont="1" applyFill="1" applyBorder="1" applyAlignment="1">
      <alignment horizontal="center"/>
    </xf>
    <xf numFmtId="0" fontId="43" fillId="4" borderId="6" xfId="0" applyFont="1" applyFill="1" applyBorder="1" applyAlignment="1">
      <alignment horizontal="center"/>
    </xf>
    <xf numFmtId="0" fontId="37" fillId="4" borderId="2" xfId="0" applyFont="1" applyFill="1" applyBorder="1" applyAlignment="1">
      <alignment horizontal="center" vertical="center"/>
    </xf>
    <xf numFmtId="0" fontId="46" fillId="4" borderId="6" xfId="0" applyNumberFormat="1" applyFont="1" applyFill="1" applyBorder="1" applyAlignment="1">
      <alignment horizontal="center"/>
    </xf>
    <xf numFmtId="0" fontId="46" fillId="4" borderId="6" xfId="0" applyFont="1" applyFill="1" applyBorder="1" applyAlignment="1">
      <alignment horizontal="center"/>
    </xf>
    <xf numFmtId="176" fontId="46" fillId="4" borderId="6" xfId="0" applyNumberFormat="1" applyFont="1" applyFill="1" applyBorder="1" applyAlignment="1">
      <alignment horizontal="center"/>
    </xf>
    <xf numFmtId="0" fontId="43" fillId="0" borderId="6" xfId="0" applyNumberFormat="1" applyFont="1" applyFill="1" applyBorder="1" applyAlignment="1">
      <alignment horizontal="center"/>
    </xf>
    <xf numFmtId="0" fontId="43" fillId="0" borderId="6" xfId="0" applyFont="1" applyFill="1" applyBorder="1" applyAlignment="1">
      <alignment horizontal="center"/>
    </xf>
    <xf numFmtId="58" fontId="43" fillId="0" borderId="6" xfId="0" applyNumberFormat="1" applyFont="1" applyFill="1" applyBorder="1" applyAlignment="1">
      <alignment horizontal="center"/>
    </xf>
    <xf numFmtId="0" fontId="48" fillId="0" borderId="2" xfId="0" applyNumberFormat="1" applyFont="1" applyFill="1" applyBorder="1" applyAlignment="1">
      <alignment horizontal="center" vertical="center" wrapText="1"/>
    </xf>
    <xf numFmtId="176" fontId="43" fillId="22" borderId="6" xfId="0" applyNumberFormat="1" applyFont="1" applyFill="1" applyBorder="1" applyAlignment="1">
      <alignment horizontal="center"/>
    </xf>
    <xf numFmtId="178" fontId="43" fillId="0" borderId="18" xfId="0" applyNumberFormat="1" applyFont="1" applyFill="1" applyBorder="1" applyAlignment="1">
      <alignment horizontal="center"/>
    </xf>
    <xf numFmtId="0" fontId="32" fillId="0" borderId="0" xfId="0" applyFont="1" applyFill="1" applyAlignment="1">
      <alignment vertical="center"/>
    </xf>
    <xf numFmtId="179" fontId="44" fillId="0" borderId="6" xfId="0" applyNumberFormat="1" applyFont="1" applyFill="1" applyBorder="1" applyAlignment="1">
      <alignment horizontal="center" vertical="center"/>
    </xf>
    <xf numFmtId="0" fontId="43" fillId="22" borderId="6" xfId="0" applyNumberFormat="1" applyFont="1" applyFill="1" applyBorder="1" applyAlignment="1">
      <alignment horizontal="center"/>
    </xf>
    <xf numFmtId="0" fontId="43" fillId="22" borderId="6" xfId="0" applyFont="1" applyFill="1" applyBorder="1" applyAlignment="1">
      <alignment horizontal="center"/>
    </xf>
    <xf numFmtId="0" fontId="40" fillId="0" borderId="0" xfId="0" applyFont="1" applyFill="1" applyAlignment="1">
      <alignment horizontal="center" vertical="center"/>
    </xf>
    <xf numFmtId="49" fontId="37" fillId="0" borderId="0" xfId="0" applyNumberFormat="1" applyFont="1" applyFill="1" applyAlignment="1">
      <alignment horizontal="center" vertical="center"/>
    </xf>
    <xf numFmtId="0" fontId="38" fillId="0" borderId="0" xfId="0" applyFont="1" applyFill="1" applyAlignment="1">
      <alignment vertical="center"/>
    </xf>
    <xf numFmtId="179" fontId="37" fillId="22" borderId="6" xfId="0" applyNumberFormat="1" applyFont="1" applyFill="1" applyBorder="1" applyAlignment="1">
      <alignment horizontal="center" vertical="center"/>
    </xf>
    <xf numFmtId="58" fontId="43" fillId="22" borderId="6" xfId="0" applyNumberFormat="1" applyFont="1" applyFill="1" applyBorder="1" applyAlignment="1">
      <alignment horizontal="center"/>
    </xf>
    <xf numFmtId="0" fontId="37" fillId="24" borderId="19" xfId="0" applyFont="1" applyFill="1" applyBorder="1" applyAlignment="1">
      <alignment horizontal="center" vertical="center" wrapText="1"/>
    </xf>
    <xf numFmtId="58" fontId="37" fillId="22" borderId="6" xfId="0" applyNumberFormat="1" applyFont="1" applyFill="1" applyBorder="1" applyAlignment="1">
      <alignment horizontal="center" vertical="center"/>
    </xf>
    <xf numFmtId="58" fontId="49" fillId="0" borderId="6" xfId="0" applyNumberFormat="1" applyFont="1" applyFill="1" applyBorder="1" applyAlignment="1">
      <alignment horizontal="center" vertical="center"/>
    </xf>
    <xf numFmtId="176" fontId="49" fillId="0" borderId="6" xfId="0" applyNumberFormat="1" applyFont="1" applyFill="1" applyBorder="1" applyAlignment="1">
      <alignment horizontal="center" vertical="center"/>
    </xf>
    <xf numFmtId="176" fontId="38" fillId="0" borderId="10" xfId="0" applyNumberFormat="1" applyFont="1" applyFill="1" applyBorder="1" applyAlignment="1">
      <alignment horizontal="center" vertical="center"/>
    </xf>
    <xf numFmtId="178" fontId="43" fillId="0" borderId="10" xfId="0" applyNumberFormat="1" applyFont="1" applyFill="1" applyBorder="1" applyAlignment="1">
      <alignment horizontal="center"/>
    </xf>
    <xf numFmtId="58" fontId="37" fillId="0" borderId="10" xfId="0" applyNumberFormat="1" applyFont="1" applyFill="1" applyBorder="1" applyAlignment="1">
      <alignment horizontal="center" vertical="center"/>
    </xf>
    <xf numFmtId="0" fontId="38" fillId="0" borderId="6" xfId="0" applyNumberFormat="1" applyFont="1" applyFill="1" applyBorder="1" applyAlignment="1">
      <alignment horizontal="center" vertical="center"/>
    </xf>
    <xf numFmtId="0" fontId="38" fillId="0" borderId="10" xfId="0" applyFont="1" applyFill="1" applyBorder="1" applyAlignment="1">
      <alignment horizontal="center" vertical="center"/>
    </xf>
    <xf numFmtId="58" fontId="44" fillId="0" borderId="10" xfId="0" applyNumberFormat="1" applyFont="1" applyFill="1" applyBorder="1" applyAlignment="1">
      <alignment horizontal="center" vertical="center"/>
    </xf>
    <xf numFmtId="0" fontId="38" fillId="27" borderId="20" xfId="0" applyFont="1" applyFill="1" applyBorder="1" applyAlignment="1">
      <alignment horizontal="center" vertical="center" wrapText="1"/>
    </xf>
    <xf numFmtId="0" fontId="38" fillId="0" borderId="21" xfId="0" applyFont="1" applyFill="1" applyBorder="1" applyAlignment="1">
      <alignment horizontal="center" vertical="center"/>
    </xf>
    <xf numFmtId="0" fontId="37" fillId="0" borderId="14" xfId="0" applyFont="1" applyFill="1" applyBorder="1" applyAlignment="1">
      <alignment horizontal="center" vertical="center" wrapText="1"/>
    </xf>
    <xf numFmtId="0" fontId="38" fillId="0" borderId="11" xfId="0" applyFont="1" applyFill="1" applyBorder="1" applyAlignment="1">
      <alignment horizontal="center" vertical="center" wrapText="1"/>
    </xf>
    <xf numFmtId="1" fontId="38" fillId="0" borderId="11" xfId="0" applyNumberFormat="1" applyFont="1" applyFill="1" applyBorder="1" applyAlignment="1">
      <alignment horizontal="center" vertical="center" wrapText="1"/>
    </xf>
    <xf numFmtId="49" fontId="38" fillId="0" borderId="11" xfId="0" applyNumberFormat="1" applyFont="1" applyFill="1" applyBorder="1" applyAlignment="1">
      <alignment horizontal="center" vertical="center" wrapText="1"/>
    </xf>
    <xf numFmtId="0" fontId="38" fillId="0" borderId="11" xfId="0" applyFont="1" applyFill="1" applyBorder="1" applyAlignment="1">
      <alignment horizontal="center" vertical="center"/>
    </xf>
    <xf numFmtId="0" fontId="38" fillId="0" borderId="11" xfId="0" applyNumberFormat="1" applyFont="1" applyFill="1" applyBorder="1" applyAlignment="1">
      <alignment horizontal="center" vertical="center"/>
    </xf>
    <xf numFmtId="0" fontId="38" fillId="0" borderId="6" xfId="0" applyFont="1" applyFill="1" applyBorder="1" applyAlignment="1">
      <alignment horizontal="center" vertical="center"/>
    </xf>
    <xf numFmtId="58" fontId="32" fillId="4" borderId="10" xfId="0" applyNumberFormat="1" applyFont="1" applyFill="1" applyBorder="1" applyAlignment="1">
      <alignment horizontal="center" vertical="center"/>
    </xf>
    <xf numFmtId="0" fontId="32" fillId="4" borderId="10" xfId="0" applyFont="1" applyFill="1" applyBorder="1" applyAlignment="1">
      <alignment horizontal="center" vertical="center"/>
    </xf>
    <xf numFmtId="58" fontId="38" fillId="4" borderId="5" xfId="0" applyNumberFormat="1" applyFont="1" applyFill="1" applyBorder="1" applyAlignment="1">
      <alignment horizontal="center" vertical="center"/>
    </xf>
    <xf numFmtId="0" fontId="38" fillId="4" borderId="5" xfId="0" applyFont="1" applyFill="1" applyBorder="1" applyAlignment="1">
      <alignment horizontal="center" vertical="center"/>
    </xf>
    <xf numFmtId="176" fontId="32" fillId="4" borderId="10" xfId="0" applyNumberFormat="1" applyFont="1" applyFill="1" applyBorder="1" applyAlignment="1">
      <alignment horizontal="center" vertical="center"/>
    </xf>
    <xf numFmtId="2" fontId="49" fillId="0" borderId="6" xfId="0" applyNumberFormat="1" applyFont="1" applyFill="1" applyBorder="1" applyAlignment="1">
      <alignment horizontal="center" vertical="center"/>
    </xf>
    <xf numFmtId="0" fontId="38" fillId="22" borderId="10" xfId="0" applyNumberFormat="1" applyFont="1" applyFill="1" applyBorder="1" applyAlignment="1">
      <alignment horizontal="center" vertical="center"/>
    </xf>
    <xf numFmtId="0" fontId="38" fillId="22" borderId="10" xfId="0" applyFont="1" applyFill="1" applyBorder="1" applyAlignment="1">
      <alignment horizontal="center" vertical="center"/>
    </xf>
    <xf numFmtId="0" fontId="38" fillId="0" borderId="10" xfId="0" applyNumberFormat="1" applyFont="1" applyFill="1" applyBorder="1" applyAlignment="1">
      <alignment horizontal="center" vertical="center"/>
    </xf>
    <xf numFmtId="58" fontId="38" fillId="0" borderId="10" xfId="0" applyNumberFormat="1" applyFont="1" applyFill="1" applyBorder="1" applyAlignment="1">
      <alignment horizontal="center" vertical="center"/>
    </xf>
    <xf numFmtId="178" fontId="38" fillId="0" borderId="10" xfId="0" applyNumberFormat="1" applyFont="1" applyFill="1" applyBorder="1" applyAlignment="1">
      <alignment horizontal="center" vertical="center"/>
    </xf>
    <xf numFmtId="178" fontId="49" fillId="0" borderId="10" xfId="0" applyNumberFormat="1" applyFont="1" applyFill="1" applyBorder="1" applyAlignment="1">
      <alignment horizontal="center" vertical="center"/>
    </xf>
    <xf numFmtId="179" fontId="38" fillId="0" borderId="10" xfId="0" applyNumberFormat="1" applyFont="1" applyFill="1" applyBorder="1" applyAlignment="1">
      <alignment horizontal="center" vertical="center"/>
    </xf>
    <xf numFmtId="0" fontId="39" fillId="4" borderId="5" xfId="0" applyFont="1" applyFill="1" applyBorder="1" applyAlignment="1">
      <alignment horizontal="center" vertical="center"/>
    </xf>
    <xf numFmtId="0" fontId="38" fillId="0" borderId="5" xfId="0" applyFont="1" applyFill="1" applyBorder="1" applyAlignment="1">
      <alignment horizontal="center" vertical="center" wrapText="1"/>
    </xf>
    <xf numFmtId="0" fontId="38" fillId="27" borderId="11" xfId="0" applyFont="1" applyFill="1" applyBorder="1" applyAlignment="1">
      <alignment horizontal="center" vertical="center" wrapText="1"/>
    </xf>
    <xf numFmtId="0" fontId="37" fillId="26" borderId="21" xfId="0" applyFont="1" applyFill="1" applyBorder="1" applyAlignment="1">
      <alignment horizontal="center" vertical="center"/>
    </xf>
    <xf numFmtId="0" fontId="37" fillId="0" borderId="10" xfId="0" applyFont="1" applyFill="1" applyBorder="1" applyAlignment="1">
      <alignment horizontal="center" vertical="center"/>
    </xf>
    <xf numFmtId="58" fontId="49" fillId="4" borderId="6" xfId="0" applyNumberFormat="1" applyFont="1" applyFill="1" applyBorder="1" applyAlignment="1">
      <alignment horizontal="center" vertical="center"/>
    </xf>
    <xf numFmtId="176" fontId="37" fillId="4" borderId="10" xfId="0" applyNumberFormat="1" applyFont="1" applyFill="1" applyBorder="1" applyAlignment="1">
      <alignment horizontal="center" vertical="center"/>
    </xf>
    <xf numFmtId="58" fontId="32" fillId="4" borderId="2" xfId="0" applyNumberFormat="1" applyFont="1" applyFill="1" applyBorder="1" applyAlignment="1">
      <alignment horizontal="center" vertical="center"/>
    </xf>
    <xf numFmtId="0" fontId="32" fillId="4" borderId="2" xfId="0" applyNumberFormat="1" applyFont="1" applyFill="1" applyBorder="1" applyAlignment="1">
      <alignment horizontal="center" vertical="center"/>
    </xf>
    <xf numFmtId="176" fontId="32" fillId="4" borderId="2" xfId="0" applyNumberFormat="1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181" fontId="43" fillId="4" borderId="6" xfId="0" applyNumberFormat="1" applyFont="1" applyFill="1" applyBorder="1" applyAlignment="1">
      <alignment horizontal="center" vertical="center"/>
    </xf>
    <xf numFmtId="0" fontId="37" fillId="0" borderId="2" xfId="0" applyNumberFormat="1" applyFont="1" applyFill="1" applyBorder="1" applyAlignment="1">
      <alignment horizontal="center" vertical="center"/>
    </xf>
    <xf numFmtId="179" fontId="37" fillId="0" borderId="2" xfId="0" applyNumberFormat="1" applyFont="1" applyFill="1" applyBorder="1" applyAlignment="1">
      <alignment horizontal="center" vertical="center"/>
    </xf>
    <xf numFmtId="58" fontId="37" fillId="4" borderId="2" xfId="0" applyNumberFormat="1" applyFont="1" applyFill="1" applyBorder="1" applyAlignment="1">
      <alignment horizontal="center" vertical="center"/>
    </xf>
    <xf numFmtId="0" fontId="37" fillId="4" borderId="2" xfId="0" applyNumberFormat="1" applyFont="1" applyFill="1" applyBorder="1" applyAlignment="1">
      <alignment horizontal="center" vertical="center"/>
    </xf>
    <xf numFmtId="176" fontId="49" fillId="4" borderId="6" xfId="0" applyNumberFormat="1" applyFont="1" applyFill="1" applyBorder="1" applyAlignment="1">
      <alignment horizontal="center" vertical="center"/>
    </xf>
    <xf numFmtId="58" fontId="37" fillId="0" borderId="2" xfId="0" applyNumberFormat="1" applyFont="1" applyFill="1" applyBorder="1" applyAlignment="1">
      <alignment horizontal="center" vertical="center"/>
    </xf>
    <xf numFmtId="176" fontId="37" fillId="0" borderId="2" xfId="0" applyNumberFormat="1" applyFont="1" applyFill="1" applyBorder="1" applyAlignment="1">
      <alignment horizontal="center" vertical="center"/>
    </xf>
    <xf numFmtId="181" fontId="43" fillId="0" borderId="6" xfId="0" applyNumberFormat="1" applyFont="1" applyFill="1" applyBorder="1" applyAlignment="1">
      <alignment horizontal="center" vertical="center"/>
    </xf>
    <xf numFmtId="0" fontId="43" fillId="0" borderId="2" xfId="0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horizontal="center" vertical="center"/>
    </xf>
    <xf numFmtId="176" fontId="37" fillId="0" borderId="10" xfId="0" applyNumberFormat="1" applyFont="1" applyFill="1" applyBorder="1" applyAlignment="1">
      <alignment horizontal="center" vertical="center"/>
    </xf>
    <xf numFmtId="181" fontId="46" fillId="4" borderId="6" xfId="0" applyNumberFormat="1" applyFont="1" applyFill="1" applyBorder="1" applyAlignment="1">
      <alignment horizontal="center" vertical="center"/>
    </xf>
    <xf numFmtId="0" fontId="37" fillId="22" borderId="2" xfId="0" applyNumberFormat="1" applyFont="1" applyFill="1" applyBorder="1" applyAlignment="1">
      <alignment horizontal="center" vertical="center"/>
    </xf>
    <xf numFmtId="0" fontId="37" fillId="22" borderId="2" xfId="0" applyFont="1" applyFill="1" applyBorder="1" applyAlignment="1">
      <alignment horizontal="center" vertical="center"/>
    </xf>
    <xf numFmtId="0" fontId="37" fillId="0" borderId="10" xfId="0" applyNumberFormat="1" applyFont="1" applyFill="1" applyBorder="1" applyAlignment="1">
      <alignment horizontal="center" vertical="center"/>
    </xf>
    <xf numFmtId="0" fontId="37" fillId="4" borderId="10" xfId="0" applyNumberFormat="1" applyFont="1" applyFill="1" applyBorder="1" applyAlignment="1">
      <alignment horizontal="center" vertical="center"/>
    </xf>
    <xf numFmtId="0" fontId="38" fillId="26" borderId="21" xfId="0" applyFont="1" applyFill="1" applyBorder="1" applyAlignment="1">
      <alignment horizontal="center" vertical="center"/>
    </xf>
    <xf numFmtId="176" fontId="32" fillId="4" borderId="6" xfId="0" applyNumberFormat="1" applyFont="1" applyFill="1" applyBorder="1" applyAlignment="1">
      <alignment horizontal="center" vertical="center"/>
    </xf>
    <xf numFmtId="0" fontId="37" fillId="0" borderId="6" xfId="0" applyNumberFormat="1" applyFont="1" applyFill="1" applyBorder="1" applyAlignment="1">
      <alignment horizontal="center" vertical="center" wrapText="1"/>
    </xf>
    <xf numFmtId="176" fontId="37" fillId="4" borderId="5" xfId="0" applyNumberFormat="1" applyFont="1" applyFill="1" applyBorder="1" applyAlignment="1">
      <alignment horizontal="center" vertical="center"/>
    </xf>
    <xf numFmtId="0" fontId="37" fillId="0" borderId="22" xfId="0" applyFont="1" applyFill="1" applyBorder="1" applyAlignment="1">
      <alignment horizontal="center" vertical="center"/>
    </xf>
    <xf numFmtId="176" fontId="43" fillId="0" borderId="2" xfId="0" applyNumberFormat="1" applyFont="1" applyFill="1" applyBorder="1" applyAlignment="1">
      <alignment horizontal="center" vertical="center"/>
    </xf>
    <xf numFmtId="176" fontId="37" fillId="0" borderId="5" xfId="0" applyNumberFormat="1" applyFont="1" applyFill="1" applyBorder="1" applyAlignment="1">
      <alignment horizontal="center" vertical="center"/>
    </xf>
    <xf numFmtId="176" fontId="43" fillId="4" borderId="2" xfId="0" applyNumberFormat="1" applyFont="1" applyFill="1" applyBorder="1" applyAlignment="1">
      <alignment horizontal="center" vertical="center"/>
    </xf>
    <xf numFmtId="176" fontId="37" fillId="4" borderId="2" xfId="0" applyNumberFormat="1" applyFont="1" applyFill="1" applyBorder="1" applyAlignment="1">
      <alignment horizontal="center" vertical="center"/>
    </xf>
    <xf numFmtId="58" fontId="44" fillId="0" borderId="2" xfId="0" applyNumberFormat="1" applyFont="1" applyFill="1" applyBorder="1" applyAlignment="1">
      <alignment horizontal="center" vertical="center"/>
    </xf>
    <xf numFmtId="179" fontId="44" fillId="0" borderId="2" xfId="0" applyNumberFormat="1" applyFont="1" applyFill="1" applyBorder="1" applyAlignment="1">
      <alignment horizontal="center" vertical="center"/>
    </xf>
    <xf numFmtId="0" fontId="37" fillId="0" borderId="18" xfId="0" applyFont="1" applyFill="1" applyBorder="1" applyAlignment="1">
      <alignment horizontal="center" vertical="center" wrapText="1"/>
    </xf>
    <xf numFmtId="1" fontId="37" fillId="0" borderId="4" xfId="0" applyNumberFormat="1" applyFont="1" applyFill="1" applyBorder="1" applyAlignment="1">
      <alignment horizontal="center" vertical="center" wrapText="1"/>
    </xf>
    <xf numFmtId="0" fontId="37" fillId="4" borderId="18" xfId="0" applyNumberFormat="1" applyFont="1" applyFill="1" applyBorder="1" applyAlignment="1">
      <alignment horizontal="center" vertical="center"/>
    </xf>
    <xf numFmtId="0" fontId="37" fillId="4" borderId="18" xfId="0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/>
    </xf>
    <xf numFmtId="182" fontId="46" fillId="4" borderId="6" xfId="0" applyNumberFormat="1" applyFont="1" applyFill="1" applyBorder="1" applyAlignment="1">
      <alignment horizontal="center" vertical="center"/>
    </xf>
    <xf numFmtId="176" fontId="37" fillId="22" borderId="6" xfId="0" applyNumberFormat="1" applyFont="1" applyFill="1" applyBorder="1" applyAlignment="1">
      <alignment horizontal="center" vertical="center"/>
    </xf>
    <xf numFmtId="0" fontId="37" fillId="22" borderId="18" xfId="0" applyFont="1" applyFill="1" applyBorder="1" applyAlignment="1">
      <alignment horizontal="center" vertical="center"/>
    </xf>
    <xf numFmtId="181" fontId="43" fillId="22" borderId="6" xfId="0" applyNumberFormat="1" applyFont="1" applyFill="1" applyBorder="1" applyAlignment="1">
      <alignment horizontal="center" vertical="center"/>
    </xf>
    <xf numFmtId="0" fontId="38" fillId="0" borderId="2" xfId="0" applyFont="1" applyFill="1" applyBorder="1" applyAlignment="1">
      <alignment vertical="center"/>
    </xf>
    <xf numFmtId="0" fontId="37" fillId="0" borderId="21" xfId="0" applyFont="1" applyFill="1" applyBorder="1" applyAlignment="1">
      <alignment horizontal="center" vertical="center"/>
    </xf>
    <xf numFmtId="58" fontId="50" fillId="0" borderId="6" xfId="0" applyNumberFormat="1" applyFont="1" applyFill="1" applyBorder="1" applyAlignment="1">
      <alignment horizontal="center" vertical="center"/>
    </xf>
    <xf numFmtId="0" fontId="42" fillId="0" borderId="6" xfId="0" applyFont="1" applyFill="1" applyBorder="1" applyAlignment="1">
      <alignment horizontal="center" vertical="center" wrapText="1"/>
    </xf>
    <xf numFmtId="58" fontId="46" fillId="4" borderId="6" xfId="0" applyNumberFormat="1" applyFont="1" applyFill="1" applyBorder="1" applyAlignment="1">
      <alignment horizontal="center" vertical="center"/>
    </xf>
    <xf numFmtId="176" fontId="49" fillId="22" borderId="6" xfId="0" applyNumberFormat="1" applyFont="1" applyFill="1" applyBorder="1" applyAlignment="1">
      <alignment horizontal="center" vertical="center"/>
    </xf>
    <xf numFmtId="0" fontId="42" fillId="0" borderId="23" xfId="0" applyFont="1" applyFill="1" applyBorder="1" applyAlignment="1">
      <alignment horizontal="center" vertical="center" wrapText="1"/>
    </xf>
    <xf numFmtId="0" fontId="37" fillId="0" borderId="3" xfId="0" applyFont="1" applyFill="1" applyBorder="1" applyAlignment="1">
      <alignment horizontal="center" vertical="center" wrapText="1"/>
    </xf>
    <xf numFmtId="0" fontId="37" fillId="0" borderId="24" xfId="0" applyFont="1" applyFill="1" applyBorder="1" applyAlignment="1">
      <alignment horizontal="center" vertical="center"/>
    </xf>
    <xf numFmtId="0" fontId="37" fillId="0" borderId="25" xfId="0" applyFont="1" applyFill="1" applyBorder="1" applyAlignment="1">
      <alignment horizontal="center" vertical="center"/>
    </xf>
    <xf numFmtId="0" fontId="37" fillId="0" borderId="24" xfId="0" applyFont="1" applyFill="1" applyBorder="1" applyAlignment="1">
      <alignment horizontal="center" vertical="center" wrapText="1"/>
    </xf>
    <xf numFmtId="0" fontId="42" fillId="0" borderId="21" xfId="0" applyFont="1" applyFill="1" applyBorder="1" applyAlignment="1">
      <alignment horizontal="center" vertical="center"/>
    </xf>
    <xf numFmtId="178" fontId="32" fillId="4" borderId="6" xfId="0" applyNumberFormat="1" applyFont="1" applyFill="1" applyBorder="1" applyAlignment="1">
      <alignment horizontal="center" vertical="center"/>
    </xf>
    <xf numFmtId="0" fontId="38" fillId="28" borderId="10" xfId="0" applyFont="1" applyFill="1" applyBorder="1" applyAlignment="1">
      <alignment horizontal="center" vertical="center"/>
    </xf>
    <xf numFmtId="0" fontId="37" fillId="0" borderId="23" xfId="0" applyFont="1" applyFill="1" applyBorder="1" applyAlignment="1">
      <alignment horizontal="center" vertical="center"/>
    </xf>
    <xf numFmtId="0" fontId="38" fillId="0" borderId="26" xfId="0" applyFont="1" applyFill="1" applyBorder="1" applyAlignment="1">
      <alignment horizontal="center" vertical="center"/>
    </xf>
    <xf numFmtId="0" fontId="37" fillId="0" borderId="27" xfId="0" applyFont="1" applyFill="1" applyBorder="1" applyAlignment="1">
      <alignment horizontal="center" vertical="center"/>
    </xf>
    <xf numFmtId="0" fontId="37" fillId="0" borderId="28" xfId="0" applyFont="1" applyFill="1" applyBorder="1" applyAlignment="1">
      <alignment horizontal="center" vertical="center"/>
    </xf>
    <xf numFmtId="176" fontId="37" fillId="0" borderId="28" xfId="0" applyNumberFormat="1" applyFont="1" applyFill="1" applyBorder="1" applyAlignment="1">
      <alignment horizontal="center" vertical="center"/>
    </xf>
    <xf numFmtId="178" fontId="37" fillId="0" borderId="28" xfId="0" applyNumberFormat="1" applyFont="1" applyFill="1" applyBorder="1" applyAlignment="1">
      <alignment horizontal="center" vertical="center"/>
    </xf>
    <xf numFmtId="0" fontId="37" fillId="4" borderId="20" xfId="0" applyFont="1" applyFill="1" applyBorder="1" applyAlignment="1">
      <alignment horizontal="center" vertical="center"/>
    </xf>
    <xf numFmtId="58" fontId="46" fillId="4" borderId="6" xfId="0" applyNumberFormat="1" applyFont="1" applyFill="1" applyBorder="1" applyAlignment="1">
      <alignment horizontal="center"/>
    </xf>
    <xf numFmtId="0" fontId="37" fillId="4" borderId="11" xfId="0" applyFont="1" applyFill="1" applyBorder="1" applyAlignment="1">
      <alignment horizontal="center" vertical="center"/>
    </xf>
    <xf numFmtId="58" fontId="51" fillId="0" borderId="6" xfId="0" applyNumberFormat="1" applyFont="1" applyFill="1" applyBorder="1" applyAlignment="1">
      <alignment horizontal="left"/>
    </xf>
    <xf numFmtId="0" fontId="37" fillId="0" borderId="0" xfId="0" applyFont="1" applyFill="1">
      <alignment vertical="center"/>
    </xf>
    <xf numFmtId="0" fontId="37" fillId="0" borderId="10" xfId="0" applyFont="1" applyFill="1" applyBorder="1" applyAlignment="1">
      <alignment horizontal="center" vertical="center" wrapText="1"/>
    </xf>
    <xf numFmtId="0" fontId="37" fillId="0" borderId="5" xfId="0" applyNumberFormat="1" applyFont="1" applyFill="1" applyBorder="1" applyAlignment="1">
      <alignment horizontal="center" vertical="center" wrapText="1"/>
    </xf>
    <xf numFmtId="0" fontId="37" fillId="0" borderId="5" xfId="0" applyFont="1" applyFill="1" applyBorder="1" applyAlignment="1">
      <alignment horizontal="center" vertical="center" wrapText="1"/>
    </xf>
    <xf numFmtId="176" fontId="37" fillId="0" borderId="5" xfId="0" applyNumberFormat="1" applyFont="1" applyFill="1" applyBorder="1" applyAlignment="1">
      <alignment horizontal="center" vertical="center" wrapText="1"/>
    </xf>
    <xf numFmtId="177" fontId="37" fillId="0" borderId="5" xfId="0" applyNumberFormat="1" applyFont="1" applyFill="1" applyBorder="1" applyAlignment="1">
      <alignment horizontal="center" vertical="center" wrapText="1"/>
    </xf>
    <xf numFmtId="49" fontId="37" fillId="0" borderId="5" xfId="0" applyNumberFormat="1" applyFont="1" applyFill="1" applyBorder="1" applyAlignment="1">
      <alignment horizontal="center" vertical="center"/>
    </xf>
    <xf numFmtId="49" fontId="37" fillId="0" borderId="5" xfId="0" applyNumberFormat="1" applyFont="1" applyFill="1" applyBorder="1" applyAlignment="1">
      <alignment horizontal="center" vertical="center" wrapText="1"/>
    </xf>
    <xf numFmtId="0" fontId="52" fillId="0" borderId="6" xfId="0" applyFont="1" applyFill="1" applyBorder="1" applyAlignment="1">
      <alignment horizontal="center" vertical="center"/>
    </xf>
    <xf numFmtId="176" fontId="43" fillId="0" borderId="10" xfId="0" applyNumberFormat="1" applyFont="1" applyFill="1" applyBorder="1" applyAlignment="1">
      <alignment horizontal="center"/>
    </xf>
    <xf numFmtId="0" fontId="43" fillId="0" borderId="10" xfId="0" applyFont="1" applyFill="1" applyBorder="1" applyAlignment="1">
      <alignment horizontal="center"/>
    </xf>
    <xf numFmtId="0" fontId="43" fillId="0" borderId="10" xfId="0" applyNumberFormat="1" applyFont="1" applyFill="1" applyBorder="1" applyAlignment="1">
      <alignment horizontal="center"/>
    </xf>
    <xf numFmtId="179" fontId="37" fillId="0" borderId="10" xfId="0" applyNumberFormat="1" applyFont="1" applyFill="1" applyBorder="1" applyAlignment="1">
      <alignment horizontal="center" vertical="center"/>
    </xf>
    <xf numFmtId="0" fontId="53" fillId="0" borderId="0" xfId="0" applyFont="1" applyFill="1">
      <alignment vertical="center"/>
    </xf>
    <xf numFmtId="176" fontId="37" fillId="4" borderId="2" xfId="0" applyNumberFormat="1" applyFont="1" applyFill="1" applyBorder="1" applyAlignment="1">
      <alignment vertical="center"/>
    </xf>
    <xf numFmtId="0" fontId="37" fillId="0" borderId="2" xfId="0" applyNumberFormat="1" applyFont="1" applyFill="1" applyBorder="1" applyAlignment="1">
      <alignment vertical="center"/>
    </xf>
    <xf numFmtId="0" fontId="43" fillId="0" borderId="2" xfId="0" applyFont="1" applyFill="1" applyBorder="1" applyAlignment="1">
      <alignment horizontal="center"/>
    </xf>
    <xf numFmtId="58" fontId="37" fillId="0" borderId="2" xfId="0" applyNumberFormat="1" applyFont="1" applyFill="1" applyBorder="1" applyAlignment="1">
      <alignment vertical="center"/>
    </xf>
    <xf numFmtId="179" fontId="37" fillId="0" borderId="2" xfId="0" applyNumberFormat="1" applyFont="1" applyFill="1" applyBorder="1" applyAlignment="1">
      <alignment vertical="center"/>
    </xf>
    <xf numFmtId="0" fontId="37" fillId="0" borderId="2" xfId="0" applyFont="1" applyFill="1" applyBorder="1" applyAlignment="1">
      <alignment vertical="center" wrapText="1"/>
    </xf>
    <xf numFmtId="0" fontId="38" fillId="0" borderId="0" xfId="0" applyFont="1" applyFill="1" applyAlignment="1">
      <alignment horizontal="center" vertical="center"/>
    </xf>
    <xf numFmtId="176" fontId="46" fillId="4" borderId="6" xfId="0" applyNumberFormat="1" applyFont="1" applyFill="1" applyBorder="1" applyAlignment="1">
      <alignment vertical="center"/>
    </xf>
    <xf numFmtId="0" fontId="44" fillId="0" borderId="6" xfId="0" applyNumberFormat="1" applyFont="1" applyFill="1" applyBorder="1" applyAlignment="1">
      <alignment horizontal="center" vertical="center"/>
    </xf>
    <xf numFmtId="178" fontId="50" fillId="0" borderId="6" xfId="0" applyNumberFormat="1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 vertical="center"/>
    </xf>
    <xf numFmtId="0" fontId="42" fillId="10" borderId="6" xfId="0" applyFont="1" applyFill="1" applyBorder="1" applyAlignment="1">
      <alignment horizontal="center" vertical="center" wrapText="1"/>
    </xf>
    <xf numFmtId="179" fontId="42" fillId="4" borderId="6" xfId="0" applyNumberFormat="1" applyFont="1" applyFill="1" applyBorder="1" applyAlignment="1">
      <alignment horizontal="center" vertical="center"/>
    </xf>
    <xf numFmtId="179" fontId="37" fillId="4" borderId="6" xfId="0" applyNumberFormat="1" applyFont="1" applyFill="1" applyBorder="1" applyAlignment="1">
      <alignment horizontal="center" vertical="center"/>
    </xf>
    <xf numFmtId="58" fontId="37" fillId="8" borderId="6" xfId="0" applyNumberFormat="1" applyFont="1" applyFill="1" applyBorder="1" applyAlignment="1">
      <alignment horizontal="center" vertical="center"/>
    </xf>
    <xf numFmtId="0" fontId="37" fillId="8" borderId="6" xfId="0" applyNumberFormat="1" applyFont="1" applyFill="1" applyBorder="1" applyAlignment="1">
      <alignment horizontal="center" vertical="center"/>
    </xf>
    <xf numFmtId="0" fontId="37" fillId="8" borderId="6" xfId="0" applyFont="1" applyFill="1" applyBorder="1" applyAlignment="1">
      <alignment horizontal="center" vertical="center"/>
    </xf>
    <xf numFmtId="178" fontId="43" fillId="8" borderId="6" xfId="0" applyNumberFormat="1" applyFont="1" applyFill="1" applyBorder="1" applyAlignment="1">
      <alignment horizontal="center" vertical="center"/>
    </xf>
    <xf numFmtId="58" fontId="32" fillId="22" borderId="6" xfId="0" applyNumberFormat="1" applyFont="1" applyFill="1" applyBorder="1" applyAlignment="1">
      <alignment horizontal="center" vertical="center"/>
    </xf>
    <xf numFmtId="0" fontId="32" fillId="22" borderId="6" xfId="0" applyNumberFormat="1" applyFont="1" applyFill="1" applyBorder="1" applyAlignment="1">
      <alignment horizontal="center" vertical="center"/>
    </xf>
    <xf numFmtId="0" fontId="32" fillId="22" borderId="6" xfId="0" applyFont="1" applyFill="1" applyBorder="1" applyAlignment="1">
      <alignment horizontal="center" vertical="center"/>
    </xf>
    <xf numFmtId="178" fontId="46" fillId="22" borderId="6" xfId="0" applyNumberFormat="1" applyFont="1" applyFill="1" applyBorder="1" applyAlignment="1">
      <alignment horizontal="center" vertical="center"/>
    </xf>
    <xf numFmtId="0" fontId="47" fillId="0" borderId="6" xfId="0" applyFont="1" applyFill="1" applyBorder="1" applyAlignment="1">
      <alignment horizontal="center" vertical="center"/>
    </xf>
    <xf numFmtId="2" fontId="43" fillId="4" borderId="6" xfId="0" applyNumberFormat="1" applyFont="1" applyFill="1" applyBorder="1" applyAlignment="1">
      <alignment horizontal="center"/>
    </xf>
    <xf numFmtId="179" fontId="32" fillId="4" borderId="6" xfId="0" applyNumberFormat="1" applyFont="1" applyFill="1" applyBorder="1" applyAlignment="1">
      <alignment horizontal="center" vertical="center"/>
    </xf>
    <xf numFmtId="2" fontId="46" fillId="0" borderId="6" xfId="0" applyNumberFormat="1" applyFont="1" applyFill="1" applyBorder="1" applyAlignment="1">
      <alignment horizontal="center" vertical="center"/>
    </xf>
    <xf numFmtId="0" fontId="37" fillId="0" borderId="0" xfId="0" applyFont="1" applyFill="1" applyAlignment="1">
      <alignment horizontal="center" vertical="center" wrapText="1"/>
    </xf>
    <xf numFmtId="176" fontId="45" fillId="4" borderId="6" xfId="0" applyNumberFormat="1" applyFont="1" applyFill="1" applyBorder="1" applyAlignment="1">
      <alignment horizontal="center"/>
    </xf>
    <xf numFmtId="178" fontId="43" fillId="4" borderId="6" xfId="0" applyNumberFormat="1" applyFont="1" applyFill="1" applyBorder="1" applyAlignment="1">
      <alignment horizontal="center" vertical="center"/>
    </xf>
    <xf numFmtId="0" fontId="42" fillId="4" borderId="6" xfId="0" applyNumberFormat="1" applyFont="1" applyFill="1" applyBorder="1" applyAlignment="1">
      <alignment horizontal="center" vertical="center"/>
    </xf>
    <xf numFmtId="0" fontId="42" fillId="4" borderId="6" xfId="0" applyFont="1" applyFill="1" applyBorder="1" applyAlignment="1">
      <alignment horizontal="center" vertical="center"/>
    </xf>
    <xf numFmtId="58" fontId="43" fillId="29" borderId="6" xfId="0" applyNumberFormat="1" applyFont="1" applyFill="1" applyBorder="1" applyAlignment="1">
      <alignment horizontal="center"/>
    </xf>
    <xf numFmtId="176" fontId="43" fillId="29" borderId="6" xfId="0" applyNumberFormat="1" applyFont="1" applyFill="1" applyBorder="1" applyAlignment="1">
      <alignment horizontal="center"/>
    </xf>
    <xf numFmtId="176" fontId="37" fillId="29" borderId="6" xfId="0" applyNumberFormat="1" applyFont="1" applyFill="1" applyBorder="1" applyAlignment="1">
      <alignment horizontal="center" vertical="center"/>
    </xf>
    <xf numFmtId="178" fontId="43" fillId="29" borderId="6" xfId="0" applyNumberFormat="1" applyFont="1" applyFill="1" applyBorder="1" applyAlignment="1">
      <alignment horizontal="center" vertical="center"/>
    </xf>
    <xf numFmtId="0" fontId="37" fillId="0" borderId="11" xfId="0" applyFont="1" applyFill="1" applyBorder="1" applyAlignment="1">
      <alignment horizontal="center" vertical="center" wrapText="1"/>
    </xf>
    <xf numFmtId="0" fontId="37" fillId="4" borderId="6" xfId="0" applyNumberFormat="1" applyFont="1" applyFill="1" applyBorder="1" applyAlignment="1">
      <alignment horizontal="center" vertical="center" wrapText="1"/>
    </xf>
    <xf numFmtId="0" fontId="50" fillId="0" borderId="6" xfId="0" applyFont="1" applyFill="1" applyBorder="1" applyAlignment="1">
      <alignment horizontal="center" vertical="center"/>
    </xf>
    <xf numFmtId="0" fontId="42" fillId="10" borderId="0" xfId="0" applyFont="1" applyFill="1" applyAlignment="1">
      <alignment horizontal="center" vertical="center" wrapText="1"/>
    </xf>
    <xf numFmtId="58" fontId="51" fillId="0" borderId="6" xfId="0" applyNumberFormat="1" applyFont="1" applyFill="1" applyBorder="1" applyAlignment="1">
      <alignment horizontal="center"/>
    </xf>
    <xf numFmtId="0" fontId="37" fillId="4" borderId="0" xfId="0" applyFont="1" applyFill="1" applyAlignment="1">
      <alignment vertical="center"/>
    </xf>
    <xf numFmtId="0" fontId="37" fillId="30" borderId="0" xfId="0" applyFont="1" applyFill="1" applyAlignment="1">
      <alignment vertical="center"/>
    </xf>
    <xf numFmtId="0" fontId="54" fillId="0" borderId="0" xfId="0" applyFont="1" applyFill="1" applyBorder="1" applyAlignment="1">
      <alignment horizontal="center" vertical="center" wrapText="1"/>
    </xf>
    <xf numFmtId="0" fontId="55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54" fillId="0" borderId="0" xfId="0" applyFont="1" applyFill="1" applyBorder="1" applyAlignment="1">
      <alignment horizontal="left" vertical="center" wrapText="1"/>
    </xf>
    <xf numFmtId="0" fontId="55" fillId="0" borderId="2" xfId="0" applyFont="1" applyFill="1" applyBorder="1" applyAlignment="1">
      <alignment horizontal="center" vertical="center" wrapText="1"/>
    </xf>
    <xf numFmtId="0" fontId="55" fillId="0" borderId="5" xfId="0" applyFont="1" applyFill="1" applyBorder="1" applyAlignment="1">
      <alignment horizontal="center" vertical="center" wrapText="1"/>
    </xf>
    <xf numFmtId="0" fontId="55" fillId="0" borderId="4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49" fontId="56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vertical="center"/>
    </xf>
    <xf numFmtId="49" fontId="56" fillId="0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/>
    <xf numFmtId="49" fontId="57" fillId="0" borderId="2" xfId="0" applyNumberFormat="1" applyFont="1" applyFill="1" applyBorder="1" applyAlignment="1">
      <alignment horizontal="center" vertical="center" wrapText="1"/>
    </xf>
    <xf numFmtId="0" fontId="55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/>
    <xf numFmtId="0" fontId="12" fillId="0" borderId="2" xfId="0" applyFont="1" applyFill="1" applyBorder="1" applyAlignment="1" quotePrefix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_Sheet1_1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E02B1E"/>
      <color rgb="00E72F17"/>
      <color rgb="00F49F98"/>
      <color rgb="00AF684F"/>
      <color rgb="00FCE7FE"/>
      <color rgb="00FF968E"/>
      <color rgb="00FF0000"/>
      <color rgb="00000000"/>
      <color rgb="00ECB3FC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www.wps.cn/officeDocument/2020/cellImage" Target="cellimag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371475</xdr:colOff>
      <xdr:row>10</xdr:row>
      <xdr:rowOff>95250</xdr:rowOff>
    </xdr:to>
    <xdr:pic>
      <xdr:nvPicPr>
        <xdr:cNvPr id="2" name="ID_D91386FA68324B45B0C8CE1083A1BAF7" descr="post_object_image_1950423638"/>
        <xdr:cNvPicPr/>
      </xdr:nvPicPr>
      <xdr:blipFill>
        <a:blip r:embed="rId1"/>
        <a:stretch>
          <a:fillRect/>
        </a:stretch>
      </xdr:blipFill>
      <xdr:spPr>
        <a:xfrm>
          <a:off x="0" y="0"/>
          <a:ext cx="1743075" cy="180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N95"/>
  <sheetViews>
    <sheetView zoomScale="110" zoomScaleNormal="110" workbookViewId="0">
      <pane ySplit="2" topLeftCell="A57" activePane="bottomLeft" state="frozen"/>
      <selection/>
      <selection pane="bottomLeft" activeCell="C14" sqref="C14"/>
    </sheetView>
  </sheetViews>
  <sheetFormatPr defaultColWidth="9" defaultRowHeight="18" customHeight="1"/>
  <cols>
    <col min="1" max="1" width="5.38333333333333" style="509" customWidth="1"/>
    <col min="2" max="2" width="27.5" style="511" customWidth="1"/>
    <col min="3" max="3" width="8.88333333333333" style="511" customWidth="1"/>
    <col min="4" max="4" width="13.6333333333333" style="509" customWidth="1"/>
    <col min="5" max="5" width="9" style="509" customWidth="1"/>
    <col min="6" max="6" width="13.75" style="509" customWidth="1"/>
    <col min="7" max="8" width="9" style="509" customWidth="1"/>
    <col min="9" max="9" width="13.3833333333333" style="510" customWidth="1"/>
    <col min="10" max="10" width="8.38333333333333" style="510" customWidth="1"/>
    <col min="11" max="11" width="10.8833333333333" style="509" customWidth="1"/>
    <col min="12" max="12" width="2" style="509" customWidth="1"/>
    <col min="13" max="16384" width="9" style="510"/>
  </cols>
  <sheetData>
    <row r="1" s="506" customFormat="1" ht="15" customHeight="1" spans="1:248">
      <c r="B1" s="512"/>
      <c r="C1" s="512"/>
      <c r="H1" s="506" t="s">
        <v>0</v>
      </c>
      <c r="K1" s="512"/>
    </row>
    <row r="2" s="507" customFormat="1" ht="15" customHeight="1" spans="1:248">
      <c r="A2" s="513" t="s">
        <v>1</v>
      </c>
      <c r="B2" s="513" t="s">
        <v>2</v>
      </c>
      <c r="C2" s="514" t="s">
        <v>3</v>
      </c>
      <c r="D2" s="513" t="s">
        <v>4</v>
      </c>
      <c r="E2" s="513" t="s">
        <v>5</v>
      </c>
      <c r="F2" s="513"/>
      <c r="G2" s="513"/>
      <c r="H2" s="513" t="s">
        <v>6</v>
      </c>
      <c r="I2" s="513"/>
      <c r="J2" s="513"/>
      <c r="K2" s="513" t="s">
        <v>7</v>
      </c>
      <c r="ID2" s="506"/>
      <c r="IE2" s="506"/>
      <c r="IF2" s="506"/>
      <c r="IG2" s="506"/>
      <c r="IH2" s="506"/>
      <c r="II2" s="506"/>
      <c r="IJ2" s="506"/>
      <c r="IK2" s="506"/>
      <c r="IL2" s="506"/>
      <c r="IM2" s="506"/>
      <c r="IN2" s="506"/>
    </row>
    <row r="3" s="507" customFormat="1" ht="15" customHeight="1" spans="1:248">
      <c r="A3" s="513"/>
      <c r="B3" s="513"/>
      <c r="C3" s="515"/>
      <c r="D3" s="513"/>
      <c r="E3" s="513" t="s">
        <v>8</v>
      </c>
      <c r="F3" s="513" t="s">
        <v>9</v>
      </c>
      <c r="G3" s="513" t="s">
        <v>10</v>
      </c>
      <c r="H3" s="513" t="s">
        <v>8</v>
      </c>
      <c r="I3" s="513" t="s">
        <v>9</v>
      </c>
      <c r="J3" s="513" t="s">
        <v>10</v>
      </c>
      <c r="K3" s="513"/>
      <c r="ID3" s="506"/>
      <c r="IE3" s="506"/>
      <c r="IF3" s="506"/>
      <c r="IG3" s="506"/>
      <c r="IH3" s="506"/>
      <c r="II3" s="506"/>
      <c r="IJ3" s="506"/>
      <c r="IK3" s="506"/>
      <c r="IL3" s="506"/>
      <c r="IM3" s="506"/>
      <c r="IN3" s="506"/>
    </row>
    <row r="4" s="508" customFormat="1" customHeight="1" spans="1:248">
      <c r="A4" s="524" t="s">
        <v>11</v>
      </c>
      <c r="B4" s="94" t="s">
        <v>12</v>
      </c>
      <c r="C4" s="94" t="s">
        <v>13</v>
      </c>
      <c r="D4" s="94" t="s">
        <v>14</v>
      </c>
      <c r="E4" s="94" t="s">
        <v>15</v>
      </c>
      <c r="F4" s="94">
        <v>13750131816</v>
      </c>
      <c r="G4" s="94"/>
      <c r="H4" s="94" t="s">
        <v>16</v>
      </c>
      <c r="I4" s="94" t="s">
        <v>17</v>
      </c>
      <c r="J4" s="94">
        <v>663510</v>
      </c>
      <c r="K4" s="94"/>
      <c r="L4" s="509"/>
      <c r="M4" s="509"/>
      <c r="N4" s="509"/>
      <c r="O4" s="509"/>
      <c r="P4" s="509"/>
      <c r="Q4" s="509"/>
      <c r="R4" s="509"/>
      <c r="S4" s="509"/>
      <c r="T4" s="509"/>
      <c r="U4" s="509"/>
      <c r="V4" s="509"/>
      <c r="W4" s="509"/>
      <c r="X4" s="509"/>
      <c r="Y4" s="509"/>
      <c r="Z4" s="509"/>
      <c r="AA4" s="509"/>
      <c r="AB4" s="509"/>
      <c r="AC4" s="509"/>
      <c r="AD4" s="509"/>
      <c r="AE4" s="509"/>
      <c r="AF4" s="509"/>
      <c r="AG4" s="509"/>
      <c r="AH4" s="509"/>
      <c r="AI4" s="509"/>
      <c r="AJ4" s="509"/>
      <c r="AK4" s="509"/>
      <c r="AL4" s="509"/>
      <c r="AM4" s="509"/>
      <c r="AN4" s="509"/>
      <c r="AO4" s="509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  <c r="HL4" s="509"/>
      <c r="HM4" s="509"/>
      <c r="HN4" s="509"/>
      <c r="HO4" s="509"/>
      <c r="HP4" s="509"/>
      <c r="HQ4" s="509"/>
      <c r="HR4" s="509"/>
      <c r="HS4" s="509"/>
      <c r="HT4" s="509"/>
      <c r="HU4" s="509"/>
      <c r="HV4" s="509"/>
      <c r="HW4" s="509"/>
      <c r="HX4" s="509"/>
      <c r="HY4" s="509"/>
      <c r="HZ4" s="509"/>
      <c r="IA4" s="509"/>
      <c r="IB4" s="509"/>
      <c r="IC4" s="509"/>
    </row>
    <row r="5" s="508" customFormat="1" customHeight="1" spans="1:248">
      <c r="A5" s="524" t="s">
        <v>18</v>
      </c>
      <c r="B5" s="94" t="s">
        <v>19</v>
      </c>
      <c r="C5" s="94" t="s">
        <v>13</v>
      </c>
      <c r="D5" s="94" t="s">
        <v>20</v>
      </c>
      <c r="E5" s="94" t="s">
        <v>21</v>
      </c>
      <c r="F5" s="94">
        <v>18926260299</v>
      </c>
      <c r="G5" s="94"/>
      <c r="H5" s="94" t="s">
        <v>22</v>
      </c>
      <c r="I5" s="94">
        <v>18926262290</v>
      </c>
      <c r="J5" s="94"/>
      <c r="K5" s="94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09"/>
      <c r="AA5" s="509"/>
      <c r="AB5" s="509"/>
      <c r="AC5" s="509"/>
      <c r="AD5" s="509"/>
      <c r="AE5" s="509"/>
      <c r="AF5" s="509"/>
      <c r="AG5" s="509"/>
      <c r="AH5" s="509"/>
      <c r="AI5" s="509"/>
      <c r="AJ5" s="509"/>
      <c r="AK5" s="509"/>
      <c r="AL5" s="509"/>
      <c r="AM5" s="509"/>
      <c r="AN5" s="509"/>
      <c r="AO5" s="509"/>
      <c r="AP5" s="509"/>
      <c r="AQ5" s="509"/>
      <c r="AR5" s="509"/>
      <c r="AS5" s="509"/>
      <c r="AT5" s="509"/>
      <c r="AU5" s="509"/>
      <c r="AV5" s="509"/>
      <c r="AW5" s="509"/>
      <c r="AX5" s="509"/>
      <c r="AY5" s="509"/>
      <c r="AZ5" s="509"/>
      <c r="BA5" s="509"/>
      <c r="BB5" s="509"/>
      <c r="BC5" s="509"/>
      <c r="BD5" s="509"/>
      <c r="BE5" s="509"/>
      <c r="BF5" s="509"/>
      <c r="BG5" s="509"/>
      <c r="BH5" s="509"/>
      <c r="BI5" s="509"/>
      <c r="BJ5" s="509"/>
      <c r="BK5" s="509"/>
      <c r="BL5" s="509"/>
      <c r="BM5" s="509"/>
      <c r="BN5" s="509"/>
      <c r="BO5" s="509"/>
      <c r="BP5" s="509"/>
      <c r="BQ5" s="509"/>
      <c r="BR5" s="509"/>
      <c r="BS5" s="509"/>
      <c r="BT5" s="509"/>
      <c r="BU5" s="509"/>
      <c r="BV5" s="509"/>
      <c r="BW5" s="509"/>
      <c r="BX5" s="509"/>
      <c r="BY5" s="509"/>
      <c r="BZ5" s="509"/>
      <c r="CA5" s="509"/>
      <c r="CB5" s="509"/>
      <c r="CC5" s="509"/>
      <c r="CD5" s="509"/>
      <c r="CE5" s="509"/>
      <c r="CF5" s="509"/>
      <c r="CG5" s="509"/>
      <c r="CH5" s="509"/>
      <c r="CI5" s="509"/>
      <c r="CJ5" s="509"/>
      <c r="CK5" s="509"/>
      <c r="CL5" s="509"/>
      <c r="CM5" s="509"/>
      <c r="CN5" s="509"/>
      <c r="CO5" s="509"/>
      <c r="CP5" s="509"/>
      <c r="CQ5" s="509"/>
      <c r="CR5" s="509"/>
      <c r="CS5" s="509"/>
      <c r="CT5" s="509"/>
      <c r="CU5" s="509"/>
      <c r="CV5" s="509"/>
      <c r="CW5" s="509"/>
      <c r="CX5" s="509"/>
      <c r="CY5" s="509"/>
      <c r="CZ5" s="509"/>
      <c r="DA5" s="509"/>
      <c r="DB5" s="509"/>
      <c r="DC5" s="509"/>
      <c r="DD5" s="509"/>
      <c r="DE5" s="509"/>
      <c r="DF5" s="509"/>
      <c r="DG5" s="509"/>
      <c r="DH5" s="509"/>
      <c r="DI5" s="509"/>
      <c r="DJ5" s="509"/>
      <c r="DK5" s="509"/>
      <c r="DL5" s="509"/>
      <c r="DM5" s="509"/>
      <c r="DN5" s="509"/>
      <c r="DO5" s="509"/>
      <c r="DP5" s="509"/>
      <c r="DQ5" s="509"/>
      <c r="DR5" s="509"/>
      <c r="DS5" s="509"/>
      <c r="DT5" s="509"/>
      <c r="DU5" s="509"/>
      <c r="DV5" s="509"/>
      <c r="DW5" s="509"/>
      <c r="DX5" s="509"/>
      <c r="DY5" s="509"/>
      <c r="DZ5" s="509"/>
      <c r="EA5" s="509"/>
      <c r="EB5" s="509"/>
      <c r="EC5" s="509"/>
      <c r="ED5" s="509"/>
      <c r="EE5" s="509"/>
      <c r="EF5" s="509"/>
      <c r="EG5" s="509"/>
      <c r="EH5" s="509"/>
      <c r="EI5" s="509"/>
      <c r="EJ5" s="509"/>
      <c r="EK5" s="509"/>
      <c r="EL5" s="509"/>
      <c r="EM5" s="509"/>
      <c r="EN5" s="509"/>
      <c r="EO5" s="509"/>
      <c r="EP5" s="509"/>
      <c r="EQ5" s="509"/>
      <c r="ER5" s="509"/>
      <c r="ES5" s="509"/>
      <c r="ET5" s="509"/>
      <c r="EU5" s="509"/>
      <c r="EV5" s="509"/>
      <c r="EW5" s="509"/>
      <c r="EX5" s="509"/>
      <c r="EY5" s="509"/>
      <c r="EZ5" s="509"/>
      <c r="FA5" s="509"/>
      <c r="FB5" s="509"/>
      <c r="FC5" s="509"/>
      <c r="FD5" s="509"/>
      <c r="FE5" s="509"/>
      <c r="FF5" s="509"/>
      <c r="FG5" s="509"/>
      <c r="FH5" s="509"/>
      <c r="FI5" s="509"/>
      <c r="FJ5" s="509"/>
      <c r="FK5" s="509"/>
      <c r="FL5" s="509"/>
      <c r="FM5" s="509"/>
      <c r="FN5" s="509"/>
      <c r="FO5" s="509"/>
      <c r="FP5" s="509"/>
      <c r="FQ5" s="509"/>
      <c r="FR5" s="509"/>
      <c r="FS5" s="509"/>
      <c r="FT5" s="509"/>
      <c r="FU5" s="509"/>
      <c r="FV5" s="509"/>
      <c r="FW5" s="509"/>
      <c r="FX5" s="509"/>
      <c r="FY5" s="509"/>
      <c r="FZ5" s="509"/>
      <c r="GA5" s="509"/>
      <c r="GB5" s="509"/>
      <c r="GC5" s="509"/>
      <c r="GD5" s="509"/>
      <c r="GE5" s="509"/>
      <c r="GF5" s="509"/>
      <c r="GG5" s="509"/>
      <c r="GH5" s="509"/>
      <c r="GI5" s="509"/>
      <c r="GJ5" s="509"/>
      <c r="GK5" s="509"/>
      <c r="GL5" s="509"/>
      <c r="GM5" s="509"/>
      <c r="GN5" s="509"/>
      <c r="GO5" s="509"/>
      <c r="GP5" s="509"/>
      <c r="GQ5" s="509"/>
      <c r="GR5" s="509"/>
      <c r="GS5" s="509"/>
      <c r="GT5" s="509"/>
      <c r="GU5" s="509"/>
      <c r="GV5" s="509"/>
      <c r="GW5" s="509"/>
      <c r="GX5" s="509"/>
      <c r="GY5" s="509"/>
      <c r="GZ5" s="509"/>
      <c r="HA5" s="509"/>
      <c r="HB5" s="509"/>
      <c r="HC5" s="509"/>
      <c r="HD5" s="509"/>
      <c r="HE5" s="509"/>
      <c r="HF5" s="509"/>
      <c r="HG5" s="509"/>
      <c r="HH5" s="509"/>
      <c r="HI5" s="509"/>
      <c r="HJ5" s="509"/>
      <c r="HK5" s="509"/>
      <c r="HL5" s="509"/>
      <c r="HM5" s="509"/>
      <c r="HN5" s="509"/>
      <c r="HO5" s="509"/>
      <c r="HP5" s="509"/>
      <c r="HQ5" s="509"/>
      <c r="HR5" s="509"/>
      <c r="HS5" s="509"/>
      <c r="HT5" s="509"/>
      <c r="HU5" s="509"/>
      <c r="HV5" s="509"/>
      <c r="HW5" s="509"/>
      <c r="HX5" s="509"/>
      <c r="HY5" s="509"/>
      <c r="HZ5" s="509"/>
      <c r="IA5" s="509"/>
      <c r="IB5" s="509"/>
      <c r="IC5" s="509"/>
    </row>
    <row r="6" s="508" customFormat="1" customHeight="1" spans="1:248">
      <c r="A6" s="524" t="s">
        <v>23</v>
      </c>
      <c r="B6" s="94" t="s">
        <v>24</v>
      </c>
      <c r="C6" s="94" t="s">
        <v>13</v>
      </c>
      <c r="D6" s="94" t="s">
        <v>20</v>
      </c>
      <c r="E6" s="94" t="s">
        <v>25</v>
      </c>
      <c r="F6" s="94">
        <v>13927691058</v>
      </c>
      <c r="G6" s="94">
        <v>661058</v>
      </c>
      <c r="H6" s="94" t="s">
        <v>26</v>
      </c>
      <c r="I6" s="94">
        <v>13553917543</v>
      </c>
      <c r="J6" s="94">
        <v>627543</v>
      </c>
      <c r="K6" s="94"/>
      <c r="L6" s="509"/>
      <c r="M6" s="509"/>
      <c r="N6" s="509"/>
      <c r="O6" s="509"/>
      <c r="P6" s="509"/>
      <c r="Q6" s="509"/>
      <c r="R6" s="509"/>
      <c r="S6" s="509"/>
      <c r="T6" s="509"/>
      <c r="U6" s="509"/>
      <c r="V6" s="509"/>
      <c r="W6" s="509"/>
      <c r="X6" s="509"/>
      <c r="Y6" s="509"/>
      <c r="Z6" s="509"/>
      <c r="AA6" s="509"/>
      <c r="AB6" s="509"/>
      <c r="AC6" s="509"/>
      <c r="AD6" s="509"/>
      <c r="AE6" s="509"/>
      <c r="AF6" s="509"/>
      <c r="AG6" s="509"/>
      <c r="AH6" s="509"/>
      <c r="AI6" s="509"/>
      <c r="AJ6" s="509"/>
      <c r="AK6" s="509"/>
      <c r="AL6" s="509"/>
      <c r="AM6" s="509"/>
      <c r="AN6" s="509"/>
      <c r="AO6" s="509"/>
      <c r="AP6" s="509"/>
      <c r="AQ6" s="509"/>
      <c r="AR6" s="509"/>
      <c r="AS6" s="509"/>
      <c r="AT6" s="509"/>
      <c r="AU6" s="509"/>
      <c r="AV6" s="509"/>
      <c r="AW6" s="509"/>
      <c r="AX6" s="509"/>
      <c r="AY6" s="509"/>
      <c r="AZ6" s="509"/>
      <c r="BA6" s="509"/>
      <c r="BB6" s="509"/>
      <c r="BC6" s="509"/>
      <c r="BD6" s="509"/>
      <c r="BE6" s="509"/>
      <c r="BF6" s="509"/>
      <c r="BG6" s="509"/>
      <c r="BH6" s="509"/>
      <c r="BI6" s="509"/>
      <c r="BJ6" s="509"/>
      <c r="BK6" s="509"/>
      <c r="BL6" s="509"/>
      <c r="BM6" s="509"/>
      <c r="BN6" s="509"/>
      <c r="BO6" s="509"/>
      <c r="BP6" s="509"/>
      <c r="BQ6" s="509"/>
      <c r="BR6" s="509"/>
      <c r="BS6" s="509"/>
      <c r="BT6" s="509"/>
      <c r="BU6" s="509"/>
      <c r="BV6" s="509"/>
      <c r="BW6" s="509"/>
      <c r="BX6" s="509"/>
      <c r="BY6" s="509"/>
      <c r="BZ6" s="509"/>
      <c r="CA6" s="509"/>
      <c r="CB6" s="509"/>
      <c r="CC6" s="509"/>
      <c r="CD6" s="509"/>
      <c r="CE6" s="509"/>
      <c r="CF6" s="509"/>
      <c r="CG6" s="509"/>
      <c r="CH6" s="509"/>
      <c r="CI6" s="509"/>
      <c r="CJ6" s="509"/>
      <c r="CK6" s="509"/>
      <c r="CL6" s="509"/>
      <c r="CM6" s="509"/>
      <c r="CN6" s="509"/>
      <c r="CO6" s="509"/>
      <c r="CP6" s="509"/>
      <c r="CQ6" s="509"/>
      <c r="CR6" s="509"/>
      <c r="CS6" s="509"/>
      <c r="CT6" s="509"/>
      <c r="CU6" s="509"/>
      <c r="CV6" s="509"/>
      <c r="CW6" s="509"/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09"/>
      <c r="DS6" s="509"/>
      <c r="DT6" s="509"/>
      <c r="DU6" s="509"/>
      <c r="DV6" s="509"/>
      <c r="DW6" s="509"/>
      <c r="DX6" s="509"/>
      <c r="DY6" s="509"/>
      <c r="DZ6" s="509"/>
      <c r="EA6" s="509"/>
      <c r="EB6" s="509"/>
      <c r="EC6" s="509"/>
      <c r="ED6" s="509"/>
      <c r="EE6" s="509"/>
      <c r="EF6" s="509"/>
      <c r="EG6" s="509"/>
      <c r="EH6" s="509"/>
      <c r="EI6" s="509"/>
      <c r="EJ6" s="509"/>
      <c r="EK6" s="509"/>
      <c r="EL6" s="509"/>
      <c r="EM6" s="509"/>
      <c r="EN6" s="509"/>
      <c r="EO6" s="509"/>
      <c r="EP6" s="509"/>
      <c r="EQ6" s="509"/>
      <c r="ER6" s="509"/>
      <c r="ES6" s="509"/>
      <c r="ET6" s="509"/>
      <c r="EU6" s="509"/>
      <c r="EV6" s="509"/>
      <c r="EW6" s="509"/>
      <c r="EX6" s="509"/>
      <c r="EY6" s="509"/>
      <c r="EZ6" s="509"/>
      <c r="FA6" s="509"/>
      <c r="FB6" s="509"/>
      <c r="FC6" s="509"/>
      <c r="FD6" s="509"/>
      <c r="FE6" s="509"/>
      <c r="FF6" s="509"/>
      <c r="FG6" s="509"/>
      <c r="FH6" s="509"/>
      <c r="FI6" s="509"/>
      <c r="FJ6" s="509"/>
      <c r="FK6" s="509"/>
      <c r="FL6" s="509"/>
      <c r="FM6" s="509"/>
      <c r="FN6" s="509"/>
      <c r="FO6" s="509"/>
      <c r="FP6" s="509"/>
      <c r="FQ6" s="509"/>
      <c r="FR6" s="509"/>
      <c r="FS6" s="509"/>
      <c r="FT6" s="509"/>
      <c r="FU6" s="509"/>
      <c r="FV6" s="509"/>
      <c r="FW6" s="509"/>
      <c r="FX6" s="509"/>
      <c r="FY6" s="509"/>
      <c r="FZ6" s="509"/>
      <c r="GA6" s="509"/>
      <c r="GB6" s="509"/>
      <c r="GC6" s="509"/>
      <c r="GD6" s="509"/>
      <c r="GE6" s="509"/>
      <c r="GF6" s="509"/>
      <c r="GG6" s="509"/>
      <c r="GH6" s="509"/>
      <c r="GI6" s="509"/>
      <c r="GJ6" s="509"/>
      <c r="GK6" s="509"/>
      <c r="GL6" s="509"/>
      <c r="GM6" s="509"/>
      <c r="GN6" s="509"/>
      <c r="GO6" s="509"/>
      <c r="GP6" s="509"/>
      <c r="GQ6" s="509"/>
      <c r="GR6" s="509"/>
      <c r="GS6" s="509"/>
      <c r="GT6" s="509"/>
      <c r="GU6" s="509"/>
      <c r="GV6" s="509"/>
      <c r="GW6" s="509"/>
      <c r="GX6" s="509"/>
      <c r="GY6" s="509"/>
      <c r="GZ6" s="509"/>
      <c r="HA6" s="509"/>
      <c r="HB6" s="509"/>
      <c r="HC6" s="509"/>
      <c r="HD6" s="509"/>
      <c r="HE6" s="509"/>
      <c r="HF6" s="509"/>
      <c r="HG6" s="509"/>
      <c r="HH6" s="509"/>
      <c r="HI6" s="509"/>
      <c r="HJ6" s="509"/>
      <c r="HK6" s="509"/>
      <c r="HL6" s="509"/>
      <c r="HM6" s="509"/>
      <c r="HN6" s="509"/>
      <c r="HO6" s="509"/>
      <c r="HP6" s="509"/>
      <c r="HQ6" s="509"/>
      <c r="HR6" s="509"/>
      <c r="HS6" s="509"/>
      <c r="HT6" s="509"/>
      <c r="HU6" s="509"/>
      <c r="HV6" s="509"/>
      <c r="HW6" s="509"/>
      <c r="HX6" s="509"/>
      <c r="HY6" s="509"/>
      <c r="HZ6" s="509"/>
      <c r="IA6" s="509"/>
      <c r="IB6" s="509"/>
      <c r="IC6" s="509"/>
    </row>
    <row r="7" s="508" customFormat="1" customHeight="1" spans="1:248">
      <c r="A7" s="524" t="s">
        <v>27</v>
      </c>
      <c r="B7" s="94" t="s">
        <v>28</v>
      </c>
      <c r="C7" s="94" t="s">
        <v>13</v>
      </c>
      <c r="D7" s="94" t="s">
        <v>29</v>
      </c>
      <c r="E7" s="94" t="s">
        <v>30</v>
      </c>
      <c r="F7" s="94">
        <v>13679513108</v>
      </c>
      <c r="G7" s="94">
        <v>623108</v>
      </c>
      <c r="H7" s="94" t="s">
        <v>31</v>
      </c>
      <c r="I7" s="94">
        <v>18938602266</v>
      </c>
      <c r="J7" s="94"/>
      <c r="K7" s="94"/>
      <c r="L7" s="509"/>
      <c r="M7" s="509"/>
      <c r="N7" s="509"/>
      <c r="O7" s="509"/>
      <c r="P7" s="509"/>
      <c r="Q7" s="509"/>
      <c r="R7" s="509"/>
      <c r="S7" s="509"/>
      <c r="T7" s="509"/>
      <c r="U7" s="509"/>
      <c r="V7" s="509"/>
      <c r="W7" s="509"/>
      <c r="X7" s="509"/>
      <c r="Y7" s="509"/>
      <c r="Z7" s="509"/>
      <c r="AA7" s="509"/>
      <c r="AB7" s="509"/>
      <c r="AC7" s="509"/>
      <c r="AD7" s="509"/>
      <c r="AE7" s="509"/>
      <c r="AF7" s="509"/>
      <c r="AG7" s="509"/>
      <c r="AH7" s="509"/>
      <c r="AI7" s="509"/>
      <c r="AJ7" s="509"/>
      <c r="AK7" s="509"/>
      <c r="AL7" s="509"/>
      <c r="AM7" s="509"/>
      <c r="AN7" s="509"/>
      <c r="AO7" s="509"/>
      <c r="AP7" s="509"/>
      <c r="AQ7" s="509"/>
      <c r="AR7" s="509"/>
      <c r="AS7" s="509"/>
      <c r="AT7" s="509"/>
      <c r="AU7" s="509"/>
      <c r="AV7" s="509"/>
      <c r="AW7" s="509"/>
      <c r="AX7" s="509"/>
      <c r="AY7" s="509"/>
      <c r="AZ7" s="509"/>
      <c r="BA7" s="509"/>
      <c r="BB7" s="509"/>
      <c r="BC7" s="509"/>
      <c r="BD7" s="509"/>
      <c r="BE7" s="509"/>
      <c r="BF7" s="509"/>
      <c r="BG7" s="509"/>
      <c r="BH7" s="509"/>
      <c r="BI7" s="509"/>
      <c r="BJ7" s="509"/>
      <c r="BK7" s="509"/>
      <c r="BL7" s="509"/>
      <c r="BM7" s="509"/>
      <c r="BN7" s="509"/>
      <c r="BO7" s="509"/>
      <c r="BP7" s="509"/>
      <c r="BQ7" s="509"/>
      <c r="BR7" s="509"/>
      <c r="BS7" s="509"/>
      <c r="BT7" s="509"/>
      <c r="BU7" s="509"/>
      <c r="BV7" s="509"/>
      <c r="BW7" s="509"/>
      <c r="BX7" s="509"/>
      <c r="BY7" s="509"/>
      <c r="BZ7" s="509"/>
      <c r="CA7" s="509"/>
      <c r="CB7" s="509"/>
      <c r="CC7" s="509"/>
      <c r="CD7" s="509"/>
      <c r="CE7" s="509"/>
      <c r="CF7" s="509"/>
      <c r="CG7" s="509"/>
      <c r="CH7" s="509"/>
      <c r="CI7" s="509"/>
      <c r="CJ7" s="509"/>
      <c r="CK7" s="509"/>
      <c r="CL7" s="509"/>
      <c r="CM7" s="509"/>
      <c r="CN7" s="509"/>
      <c r="CO7" s="509"/>
      <c r="CP7" s="509"/>
      <c r="CQ7" s="509"/>
      <c r="CR7" s="509"/>
      <c r="CS7" s="509"/>
      <c r="CT7" s="509"/>
      <c r="CU7" s="509"/>
      <c r="CV7" s="509"/>
      <c r="CW7" s="509"/>
      <c r="CX7" s="509"/>
      <c r="CY7" s="509"/>
      <c r="CZ7" s="509"/>
      <c r="DA7" s="509"/>
      <c r="DB7" s="509"/>
      <c r="DC7" s="509"/>
      <c r="DD7" s="509"/>
      <c r="DE7" s="509"/>
      <c r="DF7" s="509"/>
      <c r="DG7" s="509"/>
      <c r="DH7" s="509"/>
      <c r="DI7" s="509"/>
      <c r="DJ7" s="509"/>
      <c r="DK7" s="509"/>
      <c r="DL7" s="509"/>
      <c r="DM7" s="509"/>
      <c r="DN7" s="509"/>
      <c r="DO7" s="509"/>
      <c r="DP7" s="509"/>
      <c r="DQ7" s="509"/>
      <c r="DR7" s="509"/>
      <c r="DS7" s="509"/>
      <c r="DT7" s="509"/>
      <c r="DU7" s="509"/>
      <c r="DV7" s="509"/>
      <c r="DW7" s="509"/>
      <c r="DX7" s="509"/>
      <c r="DY7" s="509"/>
      <c r="DZ7" s="509"/>
      <c r="EA7" s="509"/>
      <c r="EB7" s="509"/>
      <c r="EC7" s="509"/>
      <c r="ED7" s="509"/>
      <c r="EE7" s="509"/>
      <c r="EF7" s="509"/>
      <c r="EG7" s="509"/>
      <c r="EH7" s="509"/>
      <c r="EI7" s="509"/>
      <c r="EJ7" s="509"/>
      <c r="EK7" s="509"/>
      <c r="EL7" s="509"/>
      <c r="EM7" s="509"/>
      <c r="EN7" s="509"/>
      <c r="EO7" s="509"/>
      <c r="EP7" s="509"/>
      <c r="EQ7" s="509"/>
      <c r="ER7" s="509"/>
      <c r="ES7" s="509"/>
      <c r="ET7" s="509"/>
      <c r="EU7" s="509"/>
      <c r="EV7" s="509"/>
      <c r="EW7" s="509"/>
      <c r="EX7" s="509"/>
      <c r="EY7" s="509"/>
      <c r="EZ7" s="509"/>
      <c r="FA7" s="509"/>
      <c r="FB7" s="509"/>
      <c r="FC7" s="509"/>
      <c r="FD7" s="509"/>
      <c r="FE7" s="509"/>
      <c r="FF7" s="509"/>
      <c r="FG7" s="509"/>
      <c r="FH7" s="509"/>
      <c r="FI7" s="509"/>
      <c r="FJ7" s="509"/>
      <c r="FK7" s="509"/>
      <c r="FL7" s="509"/>
      <c r="FM7" s="509"/>
      <c r="FN7" s="509"/>
      <c r="FO7" s="509"/>
      <c r="FP7" s="509"/>
      <c r="FQ7" s="509"/>
      <c r="FR7" s="509"/>
      <c r="FS7" s="509"/>
      <c r="FT7" s="509"/>
      <c r="FU7" s="509"/>
      <c r="FV7" s="509"/>
      <c r="FW7" s="509"/>
      <c r="FX7" s="509"/>
      <c r="FY7" s="509"/>
      <c r="FZ7" s="509"/>
      <c r="GA7" s="509"/>
      <c r="GB7" s="509"/>
      <c r="GC7" s="509"/>
      <c r="GD7" s="509"/>
      <c r="GE7" s="509"/>
      <c r="GF7" s="509"/>
      <c r="GG7" s="509"/>
      <c r="GH7" s="509"/>
      <c r="GI7" s="509"/>
      <c r="GJ7" s="509"/>
      <c r="GK7" s="509"/>
      <c r="GL7" s="509"/>
      <c r="GM7" s="509"/>
      <c r="GN7" s="509"/>
      <c r="GO7" s="509"/>
      <c r="GP7" s="509"/>
      <c r="GQ7" s="509"/>
      <c r="GR7" s="509"/>
      <c r="GS7" s="509"/>
      <c r="GT7" s="509"/>
      <c r="GU7" s="509"/>
      <c r="GV7" s="509"/>
      <c r="GW7" s="509"/>
      <c r="GX7" s="509"/>
      <c r="GY7" s="509"/>
      <c r="GZ7" s="509"/>
      <c r="HA7" s="509"/>
      <c r="HB7" s="509"/>
      <c r="HC7" s="509"/>
      <c r="HD7" s="509"/>
      <c r="HE7" s="509"/>
      <c r="HF7" s="509"/>
      <c r="HG7" s="509"/>
      <c r="HH7" s="509"/>
      <c r="HI7" s="509"/>
      <c r="HJ7" s="509"/>
      <c r="HK7" s="509"/>
      <c r="HL7" s="509"/>
      <c r="HM7" s="509"/>
      <c r="HN7" s="509"/>
      <c r="HO7" s="509"/>
      <c r="HP7" s="509"/>
      <c r="HQ7" s="509"/>
      <c r="HR7" s="509"/>
      <c r="HS7" s="509"/>
      <c r="HT7" s="509"/>
      <c r="HU7" s="509"/>
      <c r="HV7" s="509"/>
      <c r="HW7" s="509"/>
      <c r="HX7" s="509"/>
      <c r="HY7" s="509"/>
      <c r="HZ7" s="509"/>
      <c r="IA7" s="509"/>
      <c r="IB7" s="509"/>
      <c r="IC7" s="509"/>
    </row>
    <row r="8" s="508" customFormat="1" customHeight="1" spans="1:248">
      <c r="A8" s="524" t="s">
        <v>32</v>
      </c>
      <c r="B8" s="94" t="s">
        <v>33</v>
      </c>
      <c r="C8" s="94" t="s">
        <v>13</v>
      </c>
      <c r="D8" s="94" t="s">
        <v>20</v>
      </c>
      <c r="E8" s="94" t="s">
        <v>34</v>
      </c>
      <c r="F8" s="94">
        <v>13750113505</v>
      </c>
      <c r="G8" s="94">
        <v>6684</v>
      </c>
      <c r="H8" s="94" t="s">
        <v>35</v>
      </c>
      <c r="I8" s="94">
        <v>13926632189</v>
      </c>
      <c r="J8" s="94">
        <v>682189</v>
      </c>
      <c r="K8" s="94"/>
      <c r="L8" s="509"/>
      <c r="M8" s="509"/>
      <c r="N8" s="509"/>
      <c r="O8" s="509"/>
      <c r="P8" s="509"/>
      <c r="Q8" s="509"/>
      <c r="R8" s="509"/>
      <c r="S8" s="509"/>
      <c r="T8" s="509"/>
      <c r="U8" s="509"/>
      <c r="V8" s="509"/>
      <c r="W8" s="509"/>
      <c r="X8" s="509"/>
      <c r="Y8" s="509"/>
      <c r="Z8" s="509"/>
      <c r="AA8" s="509"/>
      <c r="AB8" s="509"/>
      <c r="AC8" s="509"/>
      <c r="AD8" s="509"/>
      <c r="AE8" s="509"/>
      <c r="AF8" s="509"/>
      <c r="AG8" s="509"/>
      <c r="AH8" s="509"/>
      <c r="AI8" s="509"/>
      <c r="AJ8" s="509"/>
      <c r="AK8" s="509"/>
      <c r="AL8" s="509"/>
      <c r="AM8" s="509"/>
      <c r="AN8" s="509"/>
      <c r="AO8" s="509"/>
      <c r="AP8" s="509"/>
      <c r="AQ8" s="509"/>
      <c r="AR8" s="509"/>
      <c r="AS8" s="509"/>
      <c r="AT8" s="509"/>
      <c r="AU8" s="509"/>
      <c r="AV8" s="509"/>
      <c r="AW8" s="509"/>
      <c r="AX8" s="509"/>
      <c r="AY8" s="509"/>
      <c r="AZ8" s="509"/>
      <c r="BA8" s="509"/>
      <c r="BB8" s="509"/>
      <c r="BC8" s="509"/>
      <c r="BD8" s="509"/>
      <c r="BE8" s="509"/>
      <c r="BF8" s="509"/>
      <c r="BG8" s="509"/>
      <c r="BH8" s="509"/>
      <c r="BI8" s="509"/>
      <c r="BJ8" s="509"/>
      <c r="BK8" s="509"/>
      <c r="BL8" s="509"/>
      <c r="BM8" s="509"/>
      <c r="BN8" s="509"/>
      <c r="BO8" s="509"/>
      <c r="BP8" s="509"/>
      <c r="BQ8" s="509"/>
      <c r="BR8" s="509"/>
      <c r="BS8" s="509"/>
      <c r="BT8" s="509"/>
      <c r="BU8" s="509"/>
      <c r="BV8" s="509"/>
      <c r="BW8" s="509"/>
      <c r="BX8" s="509"/>
      <c r="BY8" s="509"/>
      <c r="BZ8" s="509"/>
      <c r="CA8" s="509"/>
      <c r="CB8" s="509"/>
      <c r="CC8" s="509"/>
      <c r="CD8" s="509"/>
      <c r="CE8" s="509"/>
      <c r="CF8" s="509"/>
      <c r="CG8" s="509"/>
      <c r="CH8" s="509"/>
      <c r="CI8" s="509"/>
      <c r="CJ8" s="509"/>
      <c r="CK8" s="509"/>
      <c r="CL8" s="509"/>
      <c r="CM8" s="509"/>
      <c r="CN8" s="509"/>
      <c r="CO8" s="509"/>
      <c r="CP8" s="509"/>
      <c r="CQ8" s="509"/>
      <c r="CR8" s="509"/>
      <c r="CS8" s="509"/>
      <c r="CT8" s="509"/>
      <c r="CU8" s="509"/>
      <c r="CV8" s="509"/>
      <c r="CW8" s="509"/>
      <c r="CX8" s="509"/>
      <c r="CY8" s="509"/>
      <c r="CZ8" s="509"/>
      <c r="DA8" s="509"/>
      <c r="DB8" s="509"/>
      <c r="DC8" s="509"/>
      <c r="DD8" s="509"/>
      <c r="DE8" s="509"/>
      <c r="DF8" s="509"/>
      <c r="DG8" s="509"/>
      <c r="DH8" s="509"/>
      <c r="DI8" s="509"/>
      <c r="DJ8" s="509"/>
      <c r="DK8" s="509"/>
      <c r="DL8" s="509"/>
      <c r="DM8" s="509"/>
      <c r="DN8" s="509"/>
      <c r="DO8" s="509"/>
      <c r="DP8" s="509"/>
      <c r="DQ8" s="509"/>
      <c r="DR8" s="509"/>
      <c r="DS8" s="509"/>
      <c r="DT8" s="509"/>
      <c r="DU8" s="509"/>
      <c r="DV8" s="509"/>
      <c r="DW8" s="509"/>
      <c r="DX8" s="509"/>
      <c r="DY8" s="509"/>
      <c r="DZ8" s="509"/>
      <c r="EA8" s="509"/>
      <c r="EB8" s="509"/>
      <c r="EC8" s="509"/>
      <c r="ED8" s="509"/>
      <c r="EE8" s="509"/>
      <c r="EF8" s="509"/>
      <c r="EG8" s="509"/>
      <c r="EH8" s="509"/>
      <c r="EI8" s="509"/>
      <c r="EJ8" s="509"/>
      <c r="EK8" s="509"/>
      <c r="EL8" s="509"/>
      <c r="EM8" s="509"/>
      <c r="EN8" s="509"/>
      <c r="EO8" s="509"/>
      <c r="EP8" s="509"/>
      <c r="EQ8" s="509"/>
      <c r="ER8" s="509"/>
      <c r="ES8" s="509"/>
      <c r="ET8" s="509"/>
      <c r="EU8" s="509"/>
      <c r="EV8" s="509"/>
      <c r="EW8" s="509"/>
      <c r="EX8" s="509"/>
      <c r="EY8" s="509"/>
      <c r="EZ8" s="509"/>
      <c r="FA8" s="509"/>
      <c r="FB8" s="509"/>
      <c r="FC8" s="509"/>
      <c r="FD8" s="509"/>
      <c r="FE8" s="509"/>
      <c r="FF8" s="509"/>
      <c r="FG8" s="509"/>
      <c r="FH8" s="509"/>
      <c r="FI8" s="509"/>
      <c r="FJ8" s="509"/>
      <c r="FK8" s="509"/>
      <c r="FL8" s="509"/>
      <c r="FM8" s="509"/>
      <c r="FN8" s="509"/>
      <c r="FO8" s="509"/>
      <c r="FP8" s="509"/>
      <c r="FQ8" s="509"/>
      <c r="FR8" s="509"/>
      <c r="FS8" s="509"/>
      <c r="FT8" s="509"/>
      <c r="FU8" s="509"/>
      <c r="FV8" s="509"/>
      <c r="FW8" s="509"/>
      <c r="FX8" s="509"/>
      <c r="FY8" s="509"/>
      <c r="FZ8" s="509"/>
      <c r="GA8" s="509"/>
      <c r="GB8" s="509"/>
      <c r="GC8" s="509"/>
      <c r="GD8" s="509"/>
      <c r="GE8" s="509"/>
      <c r="GF8" s="509"/>
      <c r="GG8" s="509"/>
      <c r="GH8" s="509"/>
      <c r="GI8" s="509"/>
      <c r="GJ8" s="509"/>
      <c r="GK8" s="509"/>
      <c r="GL8" s="509"/>
      <c r="GM8" s="509"/>
      <c r="GN8" s="509"/>
      <c r="GO8" s="509"/>
      <c r="GP8" s="509"/>
      <c r="GQ8" s="509"/>
      <c r="GR8" s="509"/>
      <c r="GS8" s="509"/>
      <c r="GT8" s="509"/>
      <c r="GU8" s="509"/>
      <c r="GV8" s="509"/>
      <c r="GW8" s="509"/>
      <c r="GX8" s="509"/>
      <c r="GY8" s="509"/>
      <c r="GZ8" s="509"/>
      <c r="HA8" s="509"/>
      <c r="HB8" s="509"/>
      <c r="HC8" s="509"/>
      <c r="HD8" s="509"/>
      <c r="HE8" s="509"/>
      <c r="HF8" s="509"/>
      <c r="HG8" s="509"/>
      <c r="HH8" s="509"/>
      <c r="HI8" s="509"/>
      <c r="HJ8" s="509"/>
      <c r="HK8" s="509"/>
      <c r="HL8" s="509"/>
      <c r="HM8" s="509"/>
      <c r="HN8" s="509"/>
      <c r="HO8" s="509"/>
      <c r="HP8" s="509"/>
      <c r="HQ8" s="509"/>
      <c r="HR8" s="509"/>
      <c r="HS8" s="509"/>
      <c r="HT8" s="509"/>
      <c r="HU8" s="509"/>
      <c r="HV8" s="509"/>
      <c r="HW8" s="509"/>
      <c r="HX8" s="509"/>
      <c r="HY8" s="509"/>
      <c r="HZ8" s="509"/>
      <c r="IA8" s="509"/>
      <c r="IB8" s="509"/>
      <c r="IC8" s="509"/>
    </row>
    <row r="9" s="508" customFormat="1" customHeight="1" spans="1:248">
      <c r="A9" s="524" t="s">
        <v>36</v>
      </c>
      <c r="B9" s="94" t="s">
        <v>37</v>
      </c>
      <c r="C9" s="94" t="s">
        <v>13</v>
      </c>
      <c r="D9" s="94" t="s">
        <v>29</v>
      </c>
      <c r="E9" s="94" t="s">
        <v>38</v>
      </c>
      <c r="F9" s="94">
        <v>13729610452</v>
      </c>
      <c r="G9" s="94">
        <v>690452</v>
      </c>
      <c r="H9" s="94" t="s">
        <v>39</v>
      </c>
      <c r="I9" s="94">
        <v>15915148768</v>
      </c>
      <c r="J9" s="94">
        <v>668768</v>
      </c>
      <c r="K9" s="516"/>
      <c r="L9" s="509"/>
      <c r="M9" s="509"/>
      <c r="N9" s="509"/>
      <c r="O9" s="509"/>
      <c r="P9" s="509"/>
      <c r="Q9" s="509"/>
      <c r="R9" s="509"/>
      <c r="S9" s="509"/>
      <c r="T9" s="509"/>
      <c r="U9" s="509"/>
      <c r="V9" s="509"/>
      <c r="W9" s="509"/>
      <c r="X9" s="509"/>
      <c r="Y9" s="509"/>
      <c r="Z9" s="509"/>
      <c r="AA9" s="509"/>
      <c r="AB9" s="509"/>
      <c r="AC9" s="509"/>
      <c r="AD9" s="509"/>
      <c r="AE9" s="509"/>
      <c r="AF9" s="509"/>
      <c r="AG9" s="509"/>
      <c r="AH9" s="509"/>
      <c r="AI9" s="509"/>
      <c r="AJ9" s="509"/>
      <c r="AK9" s="509"/>
      <c r="AL9" s="509"/>
      <c r="AM9" s="509"/>
      <c r="AN9" s="509"/>
      <c r="AO9" s="509"/>
      <c r="AP9" s="509"/>
      <c r="AQ9" s="509"/>
      <c r="AR9" s="509"/>
      <c r="AS9" s="509"/>
      <c r="AT9" s="509"/>
      <c r="AU9" s="509"/>
      <c r="AV9" s="509"/>
      <c r="AW9" s="509"/>
      <c r="AX9" s="509"/>
      <c r="AY9" s="509"/>
      <c r="AZ9" s="509"/>
      <c r="BA9" s="509"/>
      <c r="BB9" s="509"/>
      <c r="BC9" s="509"/>
      <c r="BD9" s="509"/>
      <c r="BE9" s="509"/>
      <c r="BF9" s="509"/>
      <c r="BG9" s="509"/>
      <c r="BH9" s="509"/>
      <c r="BI9" s="509"/>
      <c r="BJ9" s="509"/>
      <c r="BK9" s="509"/>
      <c r="BL9" s="509"/>
      <c r="BM9" s="509"/>
      <c r="BN9" s="509"/>
      <c r="BO9" s="509"/>
      <c r="BP9" s="509"/>
      <c r="BQ9" s="509"/>
      <c r="BR9" s="509"/>
      <c r="BS9" s="509"/>
      <c r="BT9" s="509"/>
      <c r="BU9" s="509"/>
      <c r="BV9" s="509"/>
      <c r="BW9" s="509"/>
      <c r="BX9" s="509"/>
      <c r="BY9" s="509"/>
      <c r="BZ9" s="509"/>
      <c r="CA9" s="509"/>
      <c r="CB9" s="509"/>
      <c r="CC9" s="509"/>
      <c r="CD9" s="509"/>
      <c r="CE9" s="509"/>
      <c r="CF9" s="509"/>
      <c r="CG9" s="509"/>
      <c r="CH9" s="509"/>
      <c r="CI9" s="509"/>
      <c r="CJ9" s="509"/>
      <c r="CK9" s="509"/>
      <c r="CL9" s="509"/>
      <c r="CM9" s="509"/>
      <c r="CN9" s="509"/>
      <c r="CO9" s="509"/>
      <c r="CP9" s="509"/>
      <c r="CQ9" s="509"/>
      <c r="CR9" s="509"/>
      <c r="CS9" s="509"/>
      <c r="CT9" s="509"/>
      <c r="CU9" s="509"/>
      <c r="CV9" s="509"/>
      <c r="CW9" s="509"/>
      <c r="CX9" s="509"/>
      <c r="CY9" s="509"/>
      <c r="CZ9" s="509"/>
      <c r="DA9" s="509"/>
      <c r="DB9" s="509"/>
      <c r="DC9" s="509"/>
      <c r="DD9" s="509"/>
      <c r="DE9" s="509"/>
      <c r="DF9" s="509"/>
      <c r="DG9" s="509"/>
      <c r="DH9" s="509"/>
      <c r="DI9" s="509"/>
      <c r="DJ9" s="509"/>
      <c r="DK9" s="509"/>
      <c r="DL9" s="509"/>
      <c r="DM9" s="509"/>
      <c r="DN9" s="509"/>
      <c r="DO9" s="509"/>
      <c r="DP9" s="509"/>
      <c r="DQ9" s="509"/>
      <c r="DR9" s="509"/>
      <c r="DS9" s="509"/>
      <c r="DT9" s="509"/>
      <c r="DU9" s="509"/>
      <c r="DV9" s="509"/>
      <c r="DW9" s="509"/>
      <c r="DX9" s="509"/>
      <c r="DY9" s="509"/>
      <c r="DZ9" s="509"/>
      <c r="EA9" s="509"/>
      <c r="EB9" s="509"/>
      <c r="EC9" s="509"/>
      <c r="ED9" s="509"/>
      <c r="EE9" s="509"/>
      <c r="EF9" s="509"/>
      <c r="EG9" s="509"/>
      <c r="EH9" s="509"/>
      <c r="EI9" s="509"/>
      <c r="EJ9" s="509"/>
      <c r="EK9" s="509"/>
      <c r="EL9" s="509"/>
      <c r="EM9" s="509"/>
      <c r="EN9" s="509"/>
      <c r="EO9" s="509"/>
      <c r="EP9" s="509"/>
      <c r="EQ9" s="509"/>
      <c r="ER9" s="509"/>
      <c r="ES9" s="509"/>
      <c r="ET9" s="509"/>
      <c r="EU9" s="509"/>
      <c r="EV9" s="509"/>
      <c r="EW9" s="509"/>
      <c r="EX9" s="509"/>
      <c r="EY9" s="509"/>
      <c r="EZ9" s="509"/>
      <c r="FA9" s="509"/>
      <c r="FB9" s="509"/>
      <c r="FC9" s="509"/>
      <c r="FD9" s="509"/>
      <c r="FE9" s="509"/>
      <c r="FF9" s="509"/>
      <c r="FG9" s="509"/>
      <c r="FH9" s="509"/>
      <c r="FI9" s="509"/>
      <c r="FJ9" s="509"/>
      <c r="FK9" s="509"/>
      <c r="FL9" s="509"/>
      <c r="FM9" s="509"/>
      <c r="FN9" s="509"/>
      <c r="FO9" s="509"/>
      <c r="FP9" s="509"/>
      <c r="FQ9" s="509"/>
      <c r="FR9" s="509"/>
      <c r="FS9" s="509"/>
      <c r="FT9" s="509"/>
      <c r="FU9" s="509"/>
      <c r="FV9" s="509"/>
      <c r="FW9" s="509"/>
      <c r="FX9" s="509"/>
      <c r="FY9" s="509"/>
      <c r="FZ9" s="509"/>
      <c r="GA9" s="509"/>
      <c r="GB9" s="509"/>
      <c r="GC9" s="509"/>
      <c r="GD9" s="509"/>
      <c r="GE9" s="509"/>
      <c r="GF9" s="509"/>
      <c r="GG9" s="509"/>
      <c r="GH9" s="509"/>
      <c r="GI9" s="509"/>
      <c r="GJ9" s="509"/>
      <c r="GK9" s="509"/>
      <c r="GL9" s="509"/>
      <c r="GM9" s="509"/>
      <c r="GN9" s="509"/>
      <c r="GO9" s="509"/>
      <c r="GP9" s="509"/>
      <c r="GQ9" s="509"/>
      <c r="GR9" s="509"/>
      <c r="GS9" s="509"/>
      <c r="GT9" s="509"/>
      <c r="GU9" s="509"/>
      <c r="GV9" s="509"/>
      <c r="GW9" s="509"/>
      <c r="GX9" s="509"/>
      <c r="GY9" s="509"/>
      <c r="GZ9" s="509"/>
      <c r="HA9" s="509"/>
      <c r="HB9" s="509"/>
      <c r="HC9" s="509"/>
      <c r="HD9" s="509"/>
      <c r="HE9" s="509"/>
      <c r="HF9" s="509"/>
      <c r="HG9" s="509"/>
      <c r="HH9" s="509"/>
      <c r="HI9" s="509"/>
      <c r="HJ9" s="509"/>
      <c r="HK9" s="509"/>
      <c r="HL9" s="509"/>
      <c r="HM9" s="509"/>
      <c r="HN9" s="509"/>
      <c r="HO9" s="509"/>
      <c r="HP9" s="509"/>
      <c r="HQ9" s="509"/>
      <c r="HR9" s="509"/>
      <c r="HS9" s="509"/>
      <c r="HT9" s="509"/>
      <c r="HU9" s="509"/>
      <c r="HV9" s="509"/>
      <c r="HW9" s="509"/>
      <c r="HX9" s="509"/>
      <c r="HY9" s="509"/>
      <c r="HZ9" s="509"/>
      <c r="IA9" s="509"/>
      <c r="IB9" s="509"/>
      <c r="IC9" s="509"/>
    </row>
    <row r="10" s="508" customFormat="1" customHeight="1" spans="1:248">
      <c r="A10" s="524" t="s">
        <v>40</v>
      </c>
      <c r="B10" s="94" t="s">
        <v>41</v>
      </c>
      <c r="C10" s="94" t="s">
        <v>13</v>
      </c>
      <c r="D10" s="94" t="s">
        <v>20</v>
      </c>
      <c r="E10" s="94" t="s">
        <v>42</v>
      </c>
      <c r="F10" s="94">
        <v>13501451139</v>
      </c>
      <c r="G10" s="94">
        <v>621139</v>
      </c>
      <c r="H10" s="94" t="s">
        <v>43</v>
      </c>
      <c r="I10" s="94">
        <v>13727172681</v>
      </c>
      <c r="J10" s="94">
        <v>682681</v>
      </c>
      <c r="K10" s="94"/>
      <c r="L10" s="509"/>
      <c r="M10" s="509"/>
      <c r="N10" s="509"/>
      <c r="O10" s="509"/>
      <c r="P10" s="509"/>
      <c r="Q10" s="509"/>
      <c r="R10" s="509"/>
      <c r="S10" s="509"/>
      <c r="T10" s="509"/>
      <c r="U10" s="509"/>
      <c r="V10" s="509"/>
      <c r="W10" s="509"/>
      <c r="X10" s="509"/>
      <c r="Y10" s="509"/>
      <c r="Z10" s="509"/>
      <c r="AA10" s="509"/>
      <c r="AB10" s="509"/>
      <c r="AC10" s="509"/>
      <c r="AD10" s="509"/>
      <c r="AE10" s="509"/>
      <c r="AF10" s="509"/>
      <c r="AG10" s="509"/>
      <c r="AH10" s="509"/>
      <c r="AI10" s="509"/>
      <c r="AJ10" s="509"/>
      <c r="AK10" s="509"/>
      <c r="AL10" s="509"/>
      <c r="AM10" s="509"/>
      <c r="AN10" s="509"/>
      <c r="AO10" s="509"/>
      <c r="AP10" s="509"/>
      <c r="AQ10" s="509"/>
      <c r="AR10" s="509"/>
      <c r="AS10" s="509"/>
      <c r="AT10" s="509"/>
      <c r="AU10" s="509"/>
      <c r="AV10" s="509"/>
      <c r="AW10" s="509"/>
      <c r="AX10" s="509"/>
      <c r="AY10" s="509"/>
      <c r="AZ10" s="509"/>
      <c r="BA10" s="509"/>
      <c r="BB10" s="509"/>
      <c r="BC10" s="509"/>
      <c r="BD10" s="509"/>
      <c r="BE10" s="509"/>
      <c r="BF10" s="509"/>
      <c r="BG10" s="509"/>
      <c r="BH10" s="509"/>
      <c r="BI10" s="509"/>
      <c r="BJ10" s="509"/>
      <c r="BK10" s="509"/>
      <c r="BL10" s="509"/>
      <c r="BM10" s="509"/>
      <c r="BN10" s="509"/>
      <c r="BO10" s="509"/>
      <c r="BP10" s="509"/>
      <c r="BQ10" s="509"/>
      <c r="BR10" s="509"/>
      <c r="BS10" s="509"/>
      <c r="BT10" s="509"/>
      <c r="BU10" s="509"/>
      <c r="BV10" s="509"/>
      <c r="BW10" s="509"/>
      <c r="BX10" s="509"/>
      <c r="BY10" s="509"/>
      <c r="BZ10" s="509"/>
      <c r="CA10" s="509"/>
      <c r="CB10" s="509"/>
      <c r="CC10" s="509"/>
      <c r="CD10" s="509"/>
      <c r="CE10" s="509"/>
      <c r="CF10" s="509"/>
      <c r="CG10" s="509"/>
      <c r="CH10" s="509"/>
      <c r="CI10" s="509"/>
      <c r="CJ10" s="509"/>
      <c r="CK10" s="509"/>
      <c r="CL10" s="509"/>
      <c r="CM10" s="509"/>
      <c r="CN10" s="509"/>
      <c r="CO10" s="509"/>
      <c r="CP10" s="509"/>
      <c r="CQ10" s="509"/>
      <c r="CR10" s="509"/>
      <c r="CS10" s="509"/>
      <c r="CT10" s="509"/>
      <c r="CU10" s="509"/>
      <c r="CV10" s="509"/>
      <c r="CW10" s="509"/>
      <c r="CX10" s="509"/>
      <c r="CY10" s="509"/>
      <c r="CZ10" s="509"/>
      <c r="DA10" s="509"/>
      <c r="DB10" s="509"/>
      <c r="DC10" s="509"/>
      <c r="DD10" s="509"/>
      <c r="DE10" s="509"/>
      <c r="DF10" s="509"/>
      <c r="DG10" s="509"/>
      <c r="DH10" s="509"/>
      <c r="DI10" s="509"/>
      <c r="DJ10" s="509"/>
      <c r="DK10" s="509"/>
      <c r="DL10" s="509"/>
      <c r="DM10" s="509"/>
      <c r="DN10" s="509"/>
      <c r="DO10" s="509"/>
      <c r="DP10" s="509"/>
      <c r="DQ10" s="509"/>
      <c r="DR10" s="509"/>
      <c r="DS10" s="509"/>
      <c r="DT10" s="509"/>
      <c r="DU10" s="509"/>
      <c r="DV10" s="509"/>
      <c r="DW10" s="509"/>
      <c r="DX10" s="509"/>
      <c r="DY10" s="509"/>
      <c r="DZ10" s="509"/>
      <c r="EA10" s="509"/>
      <c r="EB10" s="509"/>
      <c r="EC10" s="509"/>
      <c r="ED10" s="509"/>
      <c r="EE10" s="509"/>
      <c r="EF10" s="509"/>
      <c r="EG10" s="509"/>
      <c r="EH10" s="509"/>
      <c r="EI10" s="509"/>
      <c r="EJ10" s="509"/>
      <c r="EK10" s="509"/>
      <c r="EL10" s="509"/>
      <c r="EM10" s="509"/>
      <c r="EN10" s="509"/>
      <c r="EO10" s="509"/>
      <c r="EP10" s="509"/>
      <c r="EQ10" s="509"/>
      <c r="ER10" s="509"/>
      <c r="ES10" s="509"/>
      <c r="ET10" s="509"/>
      <c r="EU10" s="509"/>
      <c r="EV10" s="509"/>
      <c r="EW10" s="509"/>
      <c r="EX10" s="509"/>
      <c r="EY10" s="509"/>
      <c r="EZ10" s="509"/>
      <c r="FA10" s="509"/>
      <c r="FB10" s="509"/>
      <c r="FC10" s="509"/>
      <c r="FD10" s="509"/>
      <c r="FE10" s="509"/>
      <c r="FF10" s="509"/>
      <c r="FG10" s="509"/>
      <c r="FH10" s="509"/>
      <c r="FI10" s="509"/>
      <c r="FJ10" s="509"/>
      <c r="FK10" s="509"/>
      <c r="FL10" s="509"/>
      <c r="FM10" s="509"/>
      <c r="FN10" s="509"/>
      <c r="FO10" s="509"/>
      <c r="FP10" s="509"/>
      <c r="FQ10" s="509"/>
      <c r="FR10" s="509"/>
      <c r="FS10" s="509"/>
      <c r="FT10" s="509"/>
      <c r="FU10" s="509"/>
      <c r="FV10" s="509"/>
      <c r="FW10" s="509"/>
      <c r="FX10" s="509"/>
      <c r="FY10" s="509"/>
      <c r="FZ10" s="509"/>
      <c r="GA10" s="509"/>
      <c r="GB10" s="509"/>
      <c r="GC10" s="509"/>
      <c r="GD10" s="509"/>
      <c r="GE10" s="509"/>
      <c r="GF10" s="509"/>
      <c r="GG10" s="509"/>
      <c r="GH10" s="509"/>
      <c r="GI10" s="509"/>
      <c r="GJ10" s="509"/>
      <c r="GK10" s="509"/>
      <c r="GL10" s="509"/>
      <c r="GM10" s="509"/>
      <c r="GN10" s="509"/>
      <c r="GO10" s="509"/>
      <c r="GP10" s="509"/>
      <c r="GQ10" s="509"/>
      <c r="GR10" s="509"/>
      <c r="GS10" s="509"/>
      <c r="GT10" s="509"/>
      <c r="GU10" s="509"/>
      <c r="GV10" s="509"/>
      <c r="GW10" s="509"/>
      <c r="GX10" s="509"/>
      <c r="GY10" s="509"/>
      <c r="GZ10" s="509"/>
      <c r="HA10" s="509"/>
      <c r="HB10" s="509"/>
      <c r="HC10" s="509"/>
      <c r="HD10" s="509"/>
      <c r="HE10" s="509"/>
      <c r="HF10" s="509"/>
      <c r="HG10" s="509"/>
      <c r="HH10" s="509"/>
      <c r="HI10" s="509"/>
      <c r="HJ10" s="509"/>
      <c r="HK10" s="509"/>
      <c r="HL10" s="509"/>
      <c r="HM10" s="509"/>
      <c r="HN10" s="509"/>
      <c r="HO10" s="509"/>
      <c r="HP10" s="509"/>
      <c r="HQ10" s="509"/>
      <c r="HR10" s="509"/>
      <c r="HS10" s="509"/>
      <c r="HT10" s="509"/>
      <c r="HU10" s="509"/>
      <c r="HV10" s="509"/>
      <c r="HW10" s="509"/>
      <c r="HX10" s="509"/>
      <c r="HY10" s="509"/>
      <c r="HZ10" s="509"/>
      <c r="IA10" s="509"/>
      <c r="IB10" s="509"/>
      <c r="IC10" s="509"/>
    </row>
    <row r="11" s="508" customFormat="1" customHeight="1" spans="1:248">
      <c r="A11" s="524" t="s">
        <v>44</v>
      </c>
      <c r="B11" s="94" t="s">
        <v>45</v>
      </c>
      <c r="C11" s="94" t="s">
        <v>13</v>
      </c>
      <c r="D11" s="94" t="s">
        <v>20</v>
      </c>
      <c r="E11" s="94" t="s">
        <v>46</v>
      </c>
      <c r="F11" s="94">
        <v>13828512992</v>
      </c>
      <c r="G11" s="94">
        <v>632992</v>
      </c>
      <c r="H11" s="94" t="s">
        <v>47</v>
      </c>
      <c r="I11" s="94">
        <v>13729658681</v>
      </c>
      <c r="J11" s="94">
        <v>678681</v>
      </c>
      <c r="K11" s="94"/>
      <c r="L11" s="509"/>
      <c r="M11" s="509"/>
      <c r="N11" s="509"/>
      <c r="O11" s="509"/>
      <c r="P11" s="509"/>
      <c r="Q11" s="509"/>
      <c r="R11" s="509"/>
      <c r="S11" s="509"/>
      <c r="T11" s="509"/>
      <c r="U11" s="509"/>
      <c r="V11" s="509"/>
      <c r="W11" s="509"/>
      <c r="X11" s="509"/>
      <c r="Y11" s="509"/>
      <c r="Z11" s="509"/>
      <c r="AA11" s="509"/>
      <c r="AB11" s="509"/>
      <c r="AC11" s="509"/>
      <c r="AD11" s="509"/>
      <c r="AE11" s="509"/>
      <c r="AF11" s="509"/>
      <c r="AG11" s="509"/>
      <c r="AH11" s="509"/>
      <c r="AI11" s="509"/>
      <c r="AJ11" s="509"/>
      <c r="AK11" s="509"/>
      <c r="AL11" s="509"/>
      <c r="AM11" s="509"/>
      <c r="AN11" s="509"/>
      <c r="AO11" s="509"/>
      <c r="AP11" s="509"/>
      <c r="AQ11" s="509"/>
      <c r="AR11" s="509"/>
      <c r="AS11" s="509"/>
      <c r="AT11" s="509"/>
      <c r="AU11" s="509"/>
      <c r="AV11" s="509"/>
      <c r="AW11" s="509"/>
      <c r="AX11" s="509"/>
      <c r="AY11" s="509"/>
      <c r="AZ11" s="509"/>
      <c r="BA11" s="509"/>
      <c r="BB11" s="509"/>
      <c r="BC11" s="509"/>
      <c r="BD11" s="509"/>
      <c r="BE11" s="509"/>
      <c r="BF11" s="509"/>
      <c r="BG11" s="509"/>
      <c r="BH11" s="509"/>
      <c r="BI11" s="509"/>
      <c r="BJ11" s="509"/>
      <c r="BK11" s="509"/>
      <c r="BL11" s="509"/>
      <c r="BM11" s="509"/>
      <c r="BN11" s="509"/>
      <c r="BO11" s="509"/>
      <c r="BP11" s="509"/>
      <c r="BQ11" s="509"/>
      <c r="BR11" s="509"/>
      <c r="BS11" s="509"/>
      <c r="BT11" s="509"/>
      <c r="BU11" s="509"/>
      <c r="BV11" s="509"/>
      <c r="BW11" s="509"/>
      <c r="BX11" s="509"/>
      <c r="BY11" s="509"/>
      <c r="BZ11" s="509"/>
      <c r="CA11" s="509"/>
      <c r="CB11" s="509"/>
      <c r="CC11" s="509"/>
      <c r="CD11" s="509"/>
      <c r="CE11" s="509"/>
      <c r="CF11" s="509"/>
      <c r="CG11" s="509"/>
      <c r="CH11" s="509"/>
      <c r="CI11" s="509"/>
      <c r="CJ11" s="509"/>
      <c r="CK11" s="509"/>
      <c r="CL11" s="509"/>
      <c r="CM11" s="509"/>
      <c r="CN11" s="509"/>
      <c r="CO11" s="509"/>
      <c r="CP11" s="509"/>
      <c r="CQ11" s="509"/>
      <c r="CR11" s="509"/>
      <c r="CS11" s="509"/>
      <c r="CT11" s="509"/>
      <c r="CU11" s="509"/>
      <c r="CV11" s="509"/>
      <c r="CW11" s="509"/>
      <c r="CX11" s="509"/>
      <c r="CY11" s="509"/>
      <c r="CZ11" s="509"/>
      <c r="DA11" s="509"/>
      <c r="DB11" s="509"/>
      <c r="DC11" s="509"/>
      <c r="DD11" s="509"/>
      <c r="DE11" s="509"/>
      <c r="DF11" s="509"/>
      <c r="DG11" s="509"/>
      <c r="DH11" s="509"/>
      <c r="DI11" s="509"/>
      <c r="DJ11" s="509"/>
      <c r="DK11" s="509"/>
      <c r="DL11" s="509"/>
      <c r="DM11" s="509"/>
      <c r="DN11" s="509"/>
      <c r="DO11" s="509"/>
      <c r="DP11" s="509"/>
      <c r="DQ11" s="509"/>
      <c r="DR11" s="509"/>
      <c r="DS11" s="509"/>
      <c r="DT11" s="509"/>
      <c r="DU11" s="509"/>
      <c r="DV11" s="509"/>
      <c r="DW11" s="509"/>
      <c r="DX11" s="509"/>
      <c r="DY11" s="509"/>
      <c r="DZ11" s="509"/>
      <c r="EA11" s="509"/>
      <c r="EB11" s="509"/>
      <c r="EC11" s="509"/>
      <c r="ED11" s="509"/>
      <c r="EE11" s="509"/>
      <c r="EF11" s="509"/>
      <c r="EG11" s="509"/>
      <c r="EH11" s="509"/>
      <c r="EI11" s="509"/>
      <c r="EJ11" s="509"/>
      <c r="EK11" s="509"/>
      <c r="EL11" s="509"/>
      <c r="EM11" s="509"/>
      <c r="EN11" s="509"/>
      <c r="EO11" s="509"/>
      <c r="EP11" s="509"/>
      <c r="EQ11" s="509"/>
      <c r="ER11" s="509"/>
      <c r="ES11" s="509"/>
      <c r="ET11" s="509"/>
      <c r="EU11" s="509"/>
      <c r="EV11" s="509"/>
      <c r="EW11" s="509"/>
      <c r="EX11" s="509"/>
      <c r="EY11" s="509"/>
      <c r="EZ11" s="509"/>
      <c r="FA11" s="509"/>
      <c r="FB11" s="509"/>
      <c r="FC11" s="509"/>
      <c r="FD11" s="509"/>
      <c r="FE11" s="509"/>
      <c r="FF11" s="509"/>
      <c r="FG11" s="509"/>
      <c r="FH11" s="509"/>
      <c r="FI11" s="509"/>
      <c r="FJ11" s="509"/>
      <c r="FK11" s="509"/>
      <c r="FL11" s="509"/>
      <c r="FM11" s="509"/>
      <c r="FN11" s="509"/>
      <c r="FO11" s="509"/>
      <c r="FP11" s="509"/>
      <c r="FQ11" s="509"/>
      <c r="FR11" s="509"/>
      <c r="FS11" s="509"/>
      <c r="FT11" s="509"/>
      <c r="FU11" s="509"/>
      <c r="FV11" s="509"/>
      <c r="FW11" s="509"/>
      <c r="FX11" s="509"/>
      <c r="FY11" s="509"/>
      <c r="FZ11" s="509"/>
      <c r="GA11" s="509"/>
      <c r="GB11" s="509"/>
      <c r="GC11" s="509"/>
      <c r="GD11" s="509"/>
      <c r="GE11" s="509"/>
      <c r="GF11" s="509"/>
      <c r="GG11" s="509"/>
      <c r="GH11" s="509"/>
      <c r="GI11" s="509"/>
      <c r="GJ11" s="509"/>
      <c r="GK11" s="509"/>
      <c r="GL11" s="509"/>
      <c r="GM11" s="509"/>
      <c r="GN11" s="509"/>
      <c r="GO11" s="509"/>
      <c r="GP11" s="509"/>
      <c r="GQ11" s="509"/>
      <c r="GR11" s="509"/>
      <c r="GS11" s="509"/>
      <c r="GT11" s="509"/>
      <c r="GU11" s="509"/>
      <c r="GV11" s="509"/>
      <c r="GW11" s="509"/>
      <c r="GX11" s="509"/>
      <c r="GY11" s="509"/>
      <c r="GZ11" s="509"/>
      <c r="HA11" s="509"/>
      <c r="HB11" s="509"/>
      <c r="HC11" s="509"/>
      <c r="HD11" s="509"/>
      <c r="HE11" s="509"/>
      <c r="HF11" s="509"/>
      <c r="HG11" s="509"/>
      <c r="HH11" s="509"/>
      <c r="HI11" s="509"/>
      <c r="HJ11" s="509"/>
      <c r="HK11" s="509"/>
      <c r="HL11" s="509"/>
      <c r="HM11" s="509"/>
      <c r="HN11" s="509"/>
      <c r="HO11" s="509"/>
      <c r="HP11" s="509"/>
      <c r="HQ11" s="509"/>
      <c r="HR11" s="509"/>
      <c r="HS11" s="509"/>
      <c r="HT11" s="509"/>
      <c r="HU11" s="509"/>
      <c r="HV11" s="509"/>
      <c r="HW11" s="509"/>
      <c r="HX11" s="509"/>
      <c r="HY11" s="509"/>
      <c r="HZ11" s="509"/>
      <c r="IA11" s="509"/>
      <c r="IB11" s="509"/>
      <c r="IC11" s="509"/>
    </row>
    <row r="12" s="508" customFormat="1" customHeight="1" spans="1:248">
      <c r="A12" s="524" t="s">
        <v>48</v>
      </c>
      <c r="B12" s="94" t="s">
        <v>49</v>
      </c>
      <c r="C12" s="94" t="s">
        <v>13</v>
      </c>
      <c r="D12" s="94" t="s">
        <v>50</v>
      </c>
      <c r="E12" s="94" t="s">
        <v>51</v>
      </c>
      <c r="F12" s="94">
        <v>13726992042</v>
      </c>
      <c r="G12" s="94">
        <v>672042</v>
      </c>
      <c r="H12" s="94" t="s">
        <v>52</v>
      </c>
      <c r="I12" s="94">
        <v>13553919573</v>
      </c>
      <c r="J12" s="94">
        <v>66573</v>
      </c>
      <c r="K12" s="94"/>
      <c r="L12" s="509"/>
      <c r="M12" s="509"/>
      <c r="N12" s="509"/>
      <c r="O12" s="509"/>
      <c r="P12" s="509"/>
      <c r="Q12" s="509"/>
      <c r="R12" s="509"/>
      <c r="S12" s="509"/>
      <c r="T12" s="509"/>
      <c r="U12" s="509"/>
      <c r="V12" s="509"/>
      <c r="W12" s="509"/>
      <c r="X12" s="509"/>
      <c r="Y12" s="509"/>
      <c r="Z12" s="509"/>
      <c r="AA12" s="509"/>
      <c r="AB12" s="509"/>
      <c r="AC12" s="509"/>
      <c r="AD12" s="509"/>
      <c r="AE12" s="509"/>
      <c r="AF12" s="509"/>
      <c r="AG12" s="509"/>
      <c r="AH12" s="509"/>
      <c r="AI12" s="509"/>
      <c r="AJ12" s="509"/>
      <c r="AK12" s="509"/>
      <c r="AL12" s="509"/>
      <c r="AM12" s="509"/>
      <c r="AN12" s="509"/>
      <c r="AO12" s="509"/>
      <c r="AP12" s="509"/>
      <c r="AQ12" s="509"/>
      <c r="AR12" s="509"/>
      <c r="AS12" s="509"/>
      <c r="AT12" s="509"/>
      <c r="AU12" s="509"/>
      <c r="AV12" s="509"/>
      <c r="AW12" s="509"/>
      <c r="AX12" s="509"/>
      <c r="AY12" s="509"/>
      <c r="AZ12" s="509"/>
      <c r="BA12" s="509"/>
      <c r="BB12" s="509"/>
      <c r="BC12" s="509"/>
      <c r="BD12" s="509"/>
      <c r="BE12" s="509"/>
      <c r="BF12" s="509"/>
      <c r="BG12" s="509"/>
      <c r="BH12" s="509"/>
      <c r="BI12" s="509"/>
      <c r="BJ12" s="509"/>
      <c r="BK12" s="509"/>
      <c r="BL12" s="509"/>
      <c r="BM12" s="509"/>
      <c r="BN12" s="509"/>
      <c r="BO12" s="509"/>
      <c r="BP12" s="509"/>
      <c r="BQ12" s="509"/>
      <c r="BR12" s="509"/>
      <c r="BS12" s="509"/>
      <c r="BT12" s="509"/>
      <c r="BU12" s="509"/>
      <c r="BV12" s="509"/>
      <c r="BW12" s="509"/>
      <c r="BX12" s="509"/>
      <c r="BY12" s="509"/>
      <c r="BZ12" s="509"/>
      <c r="CA12" s="509"/>
      <c r="CB12" s="509"/>
      <c r="CC12" s="509"/>
      <c r="CD12" s="509"/>
      <c r="CE12" s="509"/>
      <c r="CF12" s="509"/>
      <c r="CG12" s="509"/>
      <c r="CH12" s="509"/>
      <c r="CI12" s="509"/>
      <c r="CJ12" s="509"/>
      <c r="CK12" s="509"/>
      <c r="CL12" s="509"/>
      <c r="CM12" s="509"/>
      <c r="CN12" s="509"/>
      <c r="CO12" s="509"/>
      <c r="CP12" s="509"/>
      <c r="CQ12" s="509"/>
      <c r="CR12" s="509"/>
      <c r="CS12" s="509"/>
      <c r="CT12" s="509"/>
      <c r="CU12" s="509"/>
      <c r="CV12" s="509"/>
      <c r="CW12" s="509"/>
      <c r="CX12" s="509"/>
      <c r="CY12" s="509"/>
      <c r="CZ12" s="509"/>
      <c r="DA12" s="509"/>
      <c r="DB12" s="509"/>
      <c r="DC12" s="509"/>
      <c r="DD12" s="509"/>
      <c r="DE12" s="509"/>
      <c r="DF12" s="509"/>
      <c r="DG12" s="509"/>
      <c r="DH12" s="509"/>
      <c r="DI12" s="509"/>
      <c r="DJ12" s="509"/>
      <c r="DK12" s="509"/>
      <c r="DL12" s="509"/>
      <c r="DM12" s="509"/>
      <c r="DN12" s="509"/>
      <c r="DO12" s="509"/>
      <c r="DP12" s="509"/>
      <c r="DQ12" s="509"/>
      <c r="DR12" s="509"/>
      <c r="DS12" s="509"/>
      <c r="DT12" s="509"/>
      <c r="DU12" s="509"/>
      <c r="DV12" s="509"/>
      <c r="DW12" s="509"/>
      <c r="DX12" s="509"/>
      <c r="DY12" s="509"/>
      <c r="DZ12" s="509"/>
      <c r="EA12" s="509"/>
      <c r="EB12" s="509"/>
      <c r="EC12" s="509"/>
      <c r="ED12" s="509"/>
      <c r="EE12" s="509"/>
      <c r="EF12" s="509"/>
      <c r="EG12" s="509"/>
      <c r="EH12" s="509"/>
      <c r="EI12" s="509"/>
      <c r="EJ12" s="509"/>
      <c r="EK12" s="509"/>
      <c r="EL12" s="509"/>
      <c r="EM12" s="509"/>
      <c r="EN12" s="509"/>
      <c r="EO12" s="509"/>
      <c r="EP12" s="509"/>
      <c r="EQ12" s="509"/>
      <c r="ER12" s="509"/>
      <c r="ES12" s="509"/>
      <c r="ET12" s="509"/>
      <c r="EU12" s="509"/>
      <c r="EV12" s="509"/>
      <c r="EW12" s="509"/>
      <c r="EX12" s="509"/>
      <c r="EY12" s="509"/>
      <c r="EZ12" s="509"/>
      <c r="FA12" s="509"/>
      <c r="FB12" s="509"/>
      <c r="FC12" s="509"/>
      <c r="FD12" s="509"/>
      <c r="FE12" s="509"/>
      <c r="FF12" s="509"/>
      <c r="FG12" s="509"/>
      <c r="FH12" s="509"/>
      <c r="FI12" s="509"/>
      <c r="FJ12" s="509"/>
      <c r="FK12" s="509"/>
      <c r="FL12" s="509"/>
      <c r="FM12" s="509"/>
      <c r="FN12" s="509"/>
      <c r="FO12" s="509"/>
      <c r="FP12" s="509"/>
      <c r="FQ12" s="509"/>
      <c r="FR12" s="509"/>
      <c r="FS12" s="509"/>
      <c r="FT12" s="509"/>
      <c r="FU12" s="509"/>
      <c r="FV12" s="509"/>
      <c r="FW12" s="509"/>
      <c r="FX12" s="509"/>
      <c r="FY12" s="509"/>
      <c r="FZ12" s="509"/>
      <c r="GA12" s="509"/>
      <c r="GB12" s="509"/>
      <c r="GC12" s="509"/>
      <c r="GD12" s="509"/>
      <c r="GE12" s="509"/>
      <c r="GF12" s="509"/>
      <c r="GG12" s="509"/>
      <c r="GH12" s="509"/>
      <c r="GI12" s="509"/>
      <c r="GJ12" s="509"/>
      <c r="GK12" s="509"/>
      <c r="GL12" s="509"/>
      <c r="GM12" s="509"/>
      <c r="GN12" s="509"/>
      <c r="GO12" s="509"/>
      <c r="GP12" s="509"/>
      <c r="GQ12" s="509"/>
      <c r="GR12" s="509"/>
      <c r="GS12" s="509"/>
      <c r="GT12" s="509"/>
      <c r="GU12" s="509"/>
      <c r="GV12" s="509"/>
      <c r="GW12" s="509"/>
      <c r="GX12" s="509"/>
      <c r="GY12" s="509"/>
      <c r="GZ12" s="509"/>
      <c r="HA12" s="509"/>
      <c r="HB12" s="509"/>
      <c r="HC12" s="509"/>
      <c r="HD12" s="509"/>
      <c r="HE12" s="509"/>
      <c r="HF12" s="509"/>
      <c r="HG12" s="509"/>
      <c r="HH12" s="509"/>
      <c r="HI12" s="509"/>
      <c r="HJ12" s="509"/>
      <c r="HK12" s="509"/>
      <c r="HL12" s="509"/>
      <c r="HM12" s="509"/>
      <c r="HN12" s="509"/>
      <c r="HO12" s="509"/>
      <c r="HP12" s="509"/>
      <c r="HQ12" s="509"/>
      <c r="HR12" s="509"/>
      <c r="HS12" s="509"/>
      <c r="HT12" s="509"/>
      <c r="HU12" s="509"/>
      <c r="HV12" s="509"/>
      <c r="HW12" s="509"/>
      <c r="HX12" s="509"/>
      <c r="HY12" s="509"/>
      <c r="HZ12" s="509"/>
      <c r="IA12" s="509"/>
      <c r="IB12" s="509"/>
      <c r="IC12" s="509"/>
    </row>
    <row r="13" s="508" customFormat="1" customHeight="1" spans="1:248">
      <c r="A13" s="524" t="s">
        <v>53</v>
      </c>
      <c r="B13" s="94" t="s">
        <v>54</v>
      </c>
      <c r="C13" s="94" t="s">
        <v>13</v>
      </c>
      <c r="D13" s="94" t="s">
        <v>55</v>
      </c>
      <c r="E13" s="513" t="s">
        <v>56</v>
      </c>
      <c r="F13" s="513">
        <v>13631052553</v>
      </c>
      <c r="G13" s="513">
        <v>682553</v>
      </c>
      <c r="H13" s="24" t="s">
        <v>57</v>
      </c>
      <c r="I13" s="24">
        <v>13926683985</v>
      </c>
      <c r="J13" s="24">
        <v>613985</v>
      </c>
      <c r="K13" s="94"/>
      <c r="L13" s="509"/>
      <c r="M13" s="509"/>
      <c r="N13" s="509"/>
      <c r="O13" s="509"/>
      <c r="P13" s="509"/>
      <c r="Q13" s="509"/>
      <c r="R13" s="509"/>
      <c r="S13" s="509"/>
      <c r="T13" s="509"/>
      <c r="U13" s="509"/>
      <c r="V13" s="509"/>
      <c r="W13" s="509"/>
      <c r="X13" s="509"/>
      <c r="Y13" s="509"/>
      <c r="Z13" s="509"/>
      <c r="AA13" s="509"/>
      <c r="AB13" s="509"/>
      <c r="AC13" s="509"/>
      <c r="AD13" s="509"/>
      <c r="AE13" s="509"/>
      <c r="AF13" s="509"/>
      <c r="AG13" s="509"/>
      <c r="AH13" s="509"/>
      <c r="AI13" s="509"/>
      <c r="AJ13" s="509"/>
      <c r="AK13" s="509"/>
      <c r="AL13" s="509"/>
      <c r="AM13" s="509"/>
      <c r="AN13" s="509"/>
      <c r="AO13" s="509"/>
      <c r="AP13" s="509"/>
      <c r="AQ13" s="509"/>
      <c r="AR13" s="509"/>
      <c r="AS13" s="509"/>
      <c r="AT13" s="509"/>
      <c r="AU13" s="509"/>
      <c r="AV13" s="509"/>
      <c r="AW13" s="509"/>
      <c r="AX13" s="509"/>
      <c r="AY13" s="509"/>
      <c r="AZ13" s="509"/>
      <c r="BA13" s="509"/>
      <c r="BB13" s="509"/>
      <c r="BC13" s="509"/>
      <c r="BD13" s="509"/>
      <c r="BE13" s="509"/>
      <c r="BF13" s="509"/>
      <c r="BG13" s="509"/>
      <c r="BH13" s="509"/>
      <c r="BI13" s="509"/>
      <c r="BJ13" s="509"/>
      <c r="BK13" s="509"/>
      <c r="BL13" s="509"/>
      <c r="BM13" s="509"/>
      <c r="BN13" s="509"/>
      <c r="BO13" s="509"/>
      <c r="BP13" s="509"/>
      <c r="BQ13" s="509"/>
      <c r="BR13" s="509"/>
      <c r="BS13" s="509"/>
      <c r="BT13" s="509"/>
      <c r="BU13" s="509"/>
      <c r="BV13" s="509"/>
      <c r="BW13" s="509"/>
      <c r="BX13" s="509"/>
      <c r="BY13" s="509"/>
      <c r="BZ13" s="509"/>
      <c r="CA13" s="509"/>
      <c r="CB13" s="509"/>
      <c r="CC13" s="509"/>
      <c r="CD13" s="509"/>
      <c r="CE13" s="509"/>
      <c r="CF13" s="509"/>
      <c r="CG13" s="509"/>
      <c r="CH13" s="509"/>
      <c r="CI13" s="509"/>
      <c r="CJ13" s="509"/>
      <c r="CK13" s="509"/>
      <c r="CL13" s="509"/>
      <c r="CM13" s="509"/>
      <c r="CN13" s="509"/>
      <c r="CO13" s="509"/>
      <c r="CP13" s="509"/>
      <c r="CQ13" s="509"/>
      <c r="CR13" s="509"/>
      <c r="CS13" s="509"/>
      <c r="CT13" s="509"/>
      <c r="CU13" s="509"/>
      <c r="CV13" s="509"/>
      <c r="CW13" s="509"/>
      <c r="CX13" s="509"/>
      <c r="CY13" s="509"/>
      <c r="CZ13" s="509"/>
      <c r="DA13" s="509"/>
      <c r="DB13" s="509"/>
      <c r="DC13" s="509"/>
      <c r="DD13" s="509"/>
      <c r="DE13" s="509"/>
      <c r="DF13" s="509"/>
      <c r="DG13" s="509"/>
      <c r="DH13" s="509"/>
      <c r="DI13" s="509"/>
      <c r="DJ13" s="509"/>
      <c r="DK13" s="509"/>
      <c r="DL13" s="509"/>
      <c r="DM13" s="509"/>
      <c r="DN13" s="509"/>
      <c r="DO13" s="509"/>
      <c r="DP13" s="509"/>
      <c r="DQ13" s="509"/>
      <c r="DR13" s="509"/>
      <c r="DS13" s="509"/>
      <c r="DT13" s="509"/>
      <c r="DU13" s="509"/>
      <c r="DV13" s="509"/>
      <c r="DW13" s="509"/>
      <c r="DX13" s="509"/>
      <c r="DY13" s="509"/>
      <c r="DZ13" s="509"/>
      <c r="EA13" s="509"/>
      <c r="EB13" s="509"/>
      <c r="EC13" s="509"/>
      <c r="ED13" s="509"/>
      <c r="EE13" s="509"/>
      <c r="EF13" s="509"/>
      <c r="EG13" s="509"/>
      <c r="EH13" s="509"/>
      <c r="EI13" s="509"/>
      <c r="EJ13" s="509"/>
      <c r="EK13" s="509"/>
      <c r="EL13" s="509"/>
      <c r="EM13" s="509"/>
      <c r="EN13" s="509"/>
      <c r="EO13" s="509"/>
      <c r="EP13" s="509"/>
      <c r="EQ13" s="509"/>
      <c r="ER13" s="509"/>
      <c r="ES13" s="509"/>
      <c r="ET13" s="509"/>
      <c r="EU13" s="509"/>
      <c r="EV13" s="509"/>
      <c r="EW13" s="509"/>
      <c r="EX13" s="509"/>
      <c r="EY13" s="509"/>
      <c r="EZ13" s="509"/>
      <c r="FA13" s="509"/>
      <c r="FB13" s="509"/>
      <c r="FC13" s="509"/>
      <c r="FD13" s="509"/>
      <c r="FE13" s="509"/>
      <c r="FF13" s="509"/>
      <c r="FG13" s="509"/>
      <c r="FH13" s="509"/>
      <c r="FI13" s="509"/>
      <c r="FJ13" s="509"/>
      <c r="FK13" s="509"/>
      <c r="FL13" s="509"/>
      <c r="FM13" s="509"/>
      <c r="FN13" s="509"/>
      <c r="FO13" s="509"/>
      <c r="FP13" s="509"/>
      <c r="FQ13" s="509"/>
      <c r="FR13" s="509"/>
      <c r="FS13" s="509"/>
      <c r="FT13" s="509"/>
      <c r="FU13" s="509"/>
      <c r="FV13" s="509"/>
      <c r="FW13" s="509"/>
      <c r="FX13" s="509"/>
      <c r="FY13" s="509"/>
      <c r="FZ13" s="509"/>
      <c r="GA13" s="509"/>
      <c r="GB13" s="509"/>
      <c r="GC13" s="509"/>
      <c r="GD13" s="509"/>
      <c r="GE13" s="509"/>
      <c r="GF13" s="509"/>
      <c r="GG13" s="509"/>
      <c r="GH13" s="509"/>
      <c r="GI13" s="509"/>
      <c r="GJ13" s="509"/>
      <c r="GK13" s="509"/>
      <c r="GL13" s="509"/>
      <c r="GM13" s="509"/>
      <c r="GN13" s="509"/>
      <c r="GO13" s="509"/>
      <c r="GP13" s="509"/>
      <c r="GQ13" s="509"/>
      <c r="GR13" s="509"/>
      <c r="GS13" s="509"/>
      <c r="GT13" s="509"/>
      <c r="GU13" s="509"/>
      <c r="GV13" s="509"/>
      <c r="GW13" s="509"/>
      <c r="GX13" s="509"/>
      <c r="GY13" s="509"/>
      <c r="GZ13" s="509"/>
      <c r="HA13" s="509"/>
      <c r="HB13" s="509"/>
      <c r="HC13" s="509"/>
      <c r="HD13" s="509"/>
      <c r="HE13" s="509"/>
      <c r="HF13" s="509"/>
      <c r="HG13" s="509"/>
      <c r="HH13" s="509"/>
      <c r="HI13" s="509"/>
      <c r="HJ13" s="509"/>
      <c r="HK13" s="509"/>
      <c r="HL13" s="509"/>
      <c r="HM13" s="509"/>
      <c r="HN13" s="509"/>
      <c r="HO13" s="509"/>
      <c r="HP13" s="509"/>
      <c r="HQ13" s="509"/>
      <c r="HR13" s="509"/>
      <c r="HS13" s="509"/>
      <c r="HT13" s="509"/>
      <c r="HU13" s="509"/>
      <c r="HV13" s="509"/>
      <c r="HW13" s="509"/>
      <c r="HX13" s="509"/>
      <c r="HY13" s="509"/>
      <c r="HZ13" s="509"/>
      <c r="IA13" s="509"/>
      <c r="IB13" s="509"/>
      <c r="IC13" s="509"/>
    </row>
    <row r="14" s="508" customFormat="1" customHeight="1" spans="1:248">
      <c r="A14" s="524" t="s">
        <v>58</v>
      </c>
      <c r="B14" s="94" t="s">
        <v>59</v>
      </c>
      <c r="C14" s="94" t="s">
        <v>13</v>
      </c>
      <c r="D14" s="94" t="s">
        <v>60</v>
      </c>
      <c r="E14" s="517" t="s">
        <v>61</v>
      </c>
      <c r="F14" s="517" t="s">
        <v>62</v>
      </c>
      <c r="G14" s="94">
        <v>689000</v>
      </c>
      <c r="H14" s="517" t="s">
        <v>61</v>
      </c>
      <c r="I14" s="517" t="s">
        <v>62</v>
      </c>
      <c r="J14" s="94">
        <v>689000</v>
      </c>
      <c r="K14" s="94"/>
      <c r="L14" s="509"/>
      <c r="M14" s="509"/>
      <c r="N14" s="509"/>
      <c r="O14" s="509"/>
      <c r="P14" s="509"/>
      <c r="Q14" s="509"/>
      <c r="R14" s="509"/>
      <c r="S14" s="509"/>
      <c r="T14" s="509"/>
      <c r="U14" s="509"/>
      <c r="V14" s="509"/>
      <c r="W14" s="509"/>
      <c r="X14" s="509"/>
      <c r="Y14" s="509"/>
      <c r="Z14" s="509"/>
      <c r="AA14" s="509"/>
      <c r="AB14" s="509"/>
      <c r="AC14" s="509"/>
      <c r="AD14" s="509"/>
      <c r="AE14" s="509"/>
      <c r="AF14" s="509"/>
      <c r="AG14" s="509"/>
      <c r="AH14" s="509"/>
      <c r="AI14" s="509"/>
      <c r="AJ14" s="509"/>
      <c r="AK14" s="509"/>
      <c r="AL14" s="509"/>
      <c r="AM14" s="509"/>
      <c r="AN14" s="509"/>
      <c r="AO14" s="509"/>
      <c r="AP14" s="509"/>
      <c r="AQ14" s="509"/>
      <c r="AR14" s="509"/>
      <c r="AS14" s="509"/>
      <c r="AT14" s="509"/>
      <c r="AU14" s="509"/>
      <c r="AV14" s="509"/>
      <c r="AW14" s="509"/>
      <c r="AX14" s="509"/>
      <c r="AY14" s="509"/>
      <c r="AZ14" s="509"/>
      <c r="BA14" s="509"/>
      <c r="BB14" s="509"/>
      <c r="BC14" s="509"/>
      <c r="BD14" s="509"/>
      <c r="BE14" s="509"/>
      <c r="BF14" s="509"/>
      <c r="BG14" s="509"/>
      <c r="BH14" s="509"/>
      <c r="BI14" s="509"/>
      <c r="BJ14" s="509"/>
      <c r="BK14" s="509"/>
      <c r="BL14" s="509"/>
      <c r="BM14" s="509"/>
      <c r="BN14" s="509"/>
      <c r="BO14" s="509"/>
      <c r="BP14" s="509"/>
      <c r="BQ14" s="509"/>
      <c r="BR14" s="509"/>
      <c r="BS14" s="509"/>
      <c r="BT14" s="509"/>
      <c r="BU14" s="509"/>
      <c r="BV14" s="509"/>
      <c r="BW14" s="509"/>
      <c r="BX14" s="509"/>
      <c r="BY14" s="509"/>
      <c r="BZ14" s="509"/>
      <c r="CA14" s="509"/>
      <c r="CB14" s="509"/>
      <c r="CC14" s="509"/>
      <c r="CD14" s="509"/>
      <c r="CE14" s="509"/>
      <c r="CF14" s="509"/>
      <c r="CG14" s="509"/>
      <c r="CH14" s="509"/>
      <c r="CI14" s="509"/>
      <c r="CJ14" s="509"/>
      <c r="CK14" s="509"/>
      <c r="CL14" s="509"/>
      <c r="CM14" s="509"/>
      <c r="CN14" s="509"/>
      <c r="CO14" s="509"/>
      <c r="CP14" s="509"/>
      <c r="CQ14" s="509"/>
      <c r="CR14" s="509"/>
      <c r="CS14" s="509"/>
      <c r="CT14" s="509"/>
      <c r="CU14" s="509"/>
      <c r="CV14" s="509"/>
      <c r="CW14" s="509"/>
      <c r="CX14" s="509"/>
      <c r="CY14" s="509"/>
      <c r="CZ14" s="509"/>
      <c r="DA14" s="509"/>
      <c r="DB14" s="509"/>
      <c r="DC14" s="509"/>
      <c r="DD14" s="509"/>
      <c r="DE14" s="509"/>
      <c r="DF14" s="509"/>
      <c r="DG14" s="509"/>
      <c r="DH14" s="509"/>
      <c r="DI14" s="509"/>
      <c r="DJ14" s="509"/>
      <c r="DK14" s="509"/>
      <c r="DL14" s="509"/>
      <c r="DM14" s="509"/>
      <c r="DN14" s="509"/>
      <c r="DO14" s="509"/>
      <c r="DP14" s="509"/>
      <c r="DQ14" s="509"/>
      <c r="DR14" s="509"/>
      <c r="DS14" s="509"/>
      <c r="DT14" s="509"/>
      <c r="DU14" s="509"/>
      <c r="DV14" s="509"/>
      <c r="DW14" s="509"/>
      <c r="DX14" s="509"/>
      <c r="DY14" s="509"/>
      <c r="DZ14" s="509"/>
      <c r="EA14" s="509"/>
      <c r="EB14" s="509"/>
      <c r="EC14" s="509"/>
      <c r="ED14" s="509"/>
      <c r="EE14" s="509"/>
      <c r="EF14" s="509"/>
      <c r="EG14" s="509"/>
      <c r="EH14" s="509"/>
      <c r="EI14" s="509"/>
      <c r="EJ14" s="509"/>
      <c r="EK14" s="509"/>
      <c r="EL14" s="509"/>
      <c r="EM14" s="509"/>
      <c r="EN14" s="509"/>
      <c r="EO14" s="509"/>
      <c r="EP14" s="509"/>
      <c r="EQ14" s="509"/>
      <c r="ER14" s="509"/>
      <c r="ES14" s="509"/>
      <c r="ET14" s="509"/>
      <c r="EU14" s="509"/>
      <c r="EV14" s="509"/>
      <c r="EW14" s="509"/>
      <c r="EX14" s="509"/>
      <c r="EY14" s="509"/>
      <c r="EZ14" s="509"/>
      <c r="FA14" s="509"/>
      <c r="FB14" s="509"/>
      <c r="FC14" s="509"/>
      <c r="FD14" s="509"/>
      <c r="FE14" s="509"/>
      <c r="FF14" s="509"/>
      <c r="FG14" s="509"/>
      <c r="FH14" s="509"/>
      <c r="FI14" s="509"/>
      <c r="FJ14" s="509"/>
      <c r="FK14" s="509"/>
      <c r="FL14" s="509"/>
      <c r="FM14" s="509"/>
      <c r="FN14" s="509"/>
      <c r="FO14" s="509"/>
      <c r="FP14" s="509"/>
      <c r="FQ14" s="509"/>
      <c r="FR14" s="509"/>
      <c r="FS14" s="509"/>
      <c r="FT14" s="509"/>
      <c r="FU14" s="509"/>
      <c r="FV14" s="509"/>
      <c r="FW14" s="509"/>
      <c r="FX14" s="509"/>
      <c r="FY14" s="509"/>
      <c r="FZ14" s="509"/>
      <c r="GA14" s="509"/>
      <c r="GB14" s="509"/>
      <c r="GC14" s="509"/>
      <c r="GD14" s="509"/>
      <c r="GE14" s="509"/>
      <c r="GF14" s="509"/>
      <c r="GG14" s="509"/>
      <c r="GH14" s="509"/>
      <c r="GI14" s="509"/>
      <c r="GJ14" s="509"/>
      <c r="GK14" s="509"/>
      <c r="GL14" s="509"/>
      <c r="GM14" s="509"/>
      <c r="GN14" s="509"/>
      <c r="GO14" s="509"/>
      <c r="GP14" s="509"/>
      <c r="GQ14" s="509"/>
      <c r="GR14" s="509"/>
      <c r="GS14" s="509"/>
      <c r="GT14" s="509"/>
      <c r="GU14" s="509"/>
      <c r="GV14" s="509"/>
      <c r="GW14" s="509"/>
      <c r="GX14" s="509"/>
      <c r="GY14" s="509"/>
      <c r="GZ14" s="509"/>
      <c r="HA14" s="509"/>
      <c r="HB14" s="509"/>
      <c r="HC14" s="509"/>
      <c r="HD14" s="509"/>
      <c r="HE14" s="509"/>
      <c r="HF14" s="509"/>
      <c r="HG14" s="509"/>
      <c r="HH14" s="509"/>
      <c r="HI14" s="509"/>
      <c r="HJ14" s="509"/>
      <c r="HK14" s="509"/>
      <c r="HL14" s="509"/>
      <c r="HM14" s="509"/>
      <c r="HN14" s="509"/>
      <c r="HO14" s="509"/>
      <c r="HP14" s="509"/>
      <c r="HQ14" s="509"/>
      <c r="HR14" s="509"/>
      <c r="HS14" s="509"/>
      <c r="HT14" s="509"/>
      <c r="HU14" s="509"/>
      <c r="HV14" s="509"/>
      <c r="HW14" s="509"/>
      <c r="HX14" s="509"/>
      <c r="HY14" s="509"/>
      <c r="HZ14" s="509"/>
      <c r="IA14" s="509"/>
      <c r="IB14" s="509"/>
      <c r="IC14" s="509"/>
    </row>
    <row r="15" s="508" customFormat="1" customHeight="1" spans="1:248">
      <c r="A15" s="524" t="s">
        <v>63</v>
      </c>
      <c r="B15" s="94" t="s">
        <v>64</v>
      </c>
      <c r="C15" s="94" t="s">
        <v>13</v>
      </c>
      <c r="D15" s="94" t="s">
        <v>60</v>
      </c>
      <c r="E15" s="517" t="s">
        <v>65</v>
      </c>
      <c r="F15" s="517" t="s">
        <v>66</v>
      </c>
      <c r="G15" s="94">
        <v>680816</v>
      </c>
      <c r="H15" s="517" t="s">
        <v>67</v>
      </c>
      <c r="I15" s="518">
        <v>13729631613</v>
      </c>
      <c r="J15" s="24">
        <v>681613</v>
      </c>
      <c r="K15" s="94"/>
      <c r="L15" s="509"/>
      <c r="M15" s="509"/>
      <c r="N15" s="509"/>
      <c r="O15" s="509"/>
      <c r="P15" s="509"/>
      <c r="Q15" s="509"/>
      <c r="R15" s="509"/>
      <c r="S15" s="509"/>
      <c r="T15" s="509"/>
      <c r="U15" s="509"/>
      <c r="V15" s="509"/>
      <c r="W15" s="509"/>
      <c r="X15" s="509"/>
      <c r="Y15" s="509"/>
      <c r="Z15" s="509"/>
      <c r="AA15" s="509"/>
      <c r="AB15" s="509"/>
      <c r="AC15" s="509"/>
      <c r="AD15" s="509"/>
      <c r="AE15" s="509"/>
      <c r="AF15" s="509"/>
      <c r="AG15" s="509"/>
      <c r="AH15" s="509"/>
      <c r="AI15" s="509"/>
      <c r="AJ15" s="509"/>
      <c r="AK15" s="509"/>
      <c r="AL15" s="509"/>
      <c r="AM15" s="509"/>
      <c r="AN15" s="509"/>
      <c r="AO15" s="509"/>
      <c r="AP15" s="509"/>
      <c r="AQ15" s="509"/>
      <c r="AR15" s="509"/>
      <c r="AS15" s="509"/>
      <c r="AT15" s="509"/>
      <c r="AU15" s="509"/>
      <c r="AV15" s="509"/>
      <c r="AW15" s="509"/>
      <c r="AX15" s="509"/>
      <c r="AY15" s="509"/>
      <c r="AZ15" s="509"/>
      <c r="BA15" s="509"/>
      <c r="BB15" s="509"/>
      <c r="BC15" s="509"/>
      <c r="BD15" s="509"/>
      <c r="BE15" s="509"/>
      <c r="BF15" s="509"/>
      <c r="BG15" s="509"/>
      <c r="BH15" s="509"/>
      <c r="BI15" s="509"/>
      <c r="BJ15" s="509"/>
      <c r="BK15" s="509"/>
      <c r="BL15" s="509"/>
      <c r="BM15" s="509"/>
      <c r="BN15" s="509"/>
      <c r="BO15" s="509"/>
      <c r="BP15" s="509"/>
      <c r="BQ15" s="509"/>
      <c r="BR15" s="509"/>
      <c r="BS15" s="509"/>
      <c r="BT15" s="509"/>
      <c r="BU15" s="509"/>
      <c r="BV15" s="509"/>
      <c r="BW15" s="509"/>
      <c r="BX15" s="509"/>
      <c r="BY15" s="509"/>
      <c r="BZ15" s="509"/>
      <c r="CA15" s="509"/>
      <c r="CB15" s="509"/>
      <c r="CC15" s="509"/>
      <c r="CD15" s="509"/>
      <c r="CE15" s="509"/>
      <c r="CF15" s="509"/>
      <c r="CG15" s="509"/>
      <c r="CH15" s="509"/>
      <c r="CI15" s="509"/>
      <c r="CJ15" s="509"/>
      <c r="CK15" s="509"/>
      <c r="CL15" s="509"/>
      <c r="CM15" s="509"/>
      <c r="CN15" s="509"/>
      <c r="CO15" s="509"/>
      <c r="CP15" s="509"/>
      <c r="CQ15" s="509"/>
      <c r="CR15" s="509"/>
      <c r="CS15" s="509"/>
      <c r="CT15" s="509"/>
      <c r="CU15" s="509"/>
      <c r="CV15" s="509"/>
      <c r="CW15" s="509"/>
      <c r="CX15" s="509"/>
      <c r="CY15" s="509"/>
      <c r="CZ15" s="509"/>
      <c r="DA15" s="509"/>
      <c r="DB15" s="509"/>
      <c r="DC15" s="509"/>
      <c r="DD15" s="509"/>
      <c r="DE15" s="509"/>
      <c r="DF15" s="509"/>
      <c r="DG15" s="509"/>
      <c r="DH15" s="509"/>
      <c r="DI15" s="509"/>
      <c r="DJ15" s="509"/>
      <c r="DK15" s="509"/>
      <c r="DL15" s="509"/>
      <c r="DM15" s="509"/>
      <c r="DN15" s="509"/>
      <c r="DO15" s="509"/>
      <c r="DP15" s="509"/>
      <c r="DQ15" s="509"/>
      <c r="DR15" s="509"/>
      <c r="DS15" s="509"/>
      <c r="DT15" s="509"/>
      <c r="DU15" s="509"/>
      <c r="DV15" s="509"/>
      <c r="DW15" s="509"/>
      <c r="DX15" s="509"/>
      <c r="DY15" s="509"/>
      <c r="DZ15" s="509"/>
      <c r="EA15" s="509"/>
      <c r="EB15" s="509"/>
      <c r="EC15" s="509"/>
      <c r="ED15" s="509"/>
      <c r="EE15" s="509"/>
      <c r="EF15" s="509"/>
      <c r="EG15" s="509"/>
      <c r="EH15" s="509"/>
      <c r="EI15" s="509"/>
      <c r="EJ15" s="509"/>
      <c r="EK15" s="509"/>
      <c r="EL15" s="509"/>
      <c r="EM15" s="509"/>
      <c r="EN15" s="509"/>
      <c r="EO15" s="509"/>
      <c r="EP15" s="509"/>
      <c r="EQ15" s="509"/>
      <c r="ER15" s="509"/>
      <c r="ES15" s="509"/>
      <c r="ET15" s="509"/>
      <c r="EU15" s="509"/>
      <c r="EV15" s="509"/>
      <c r="EW15" s="509"/>
      <c r="EX15" s="509"/>
      <c r="EY15" s="509"/>
      <c r="EZ15" s="509"/>
      <c r="FA15" s="509"/>
      <c r="FB15" s="509"/>
      <c r="FC15" s="509"/>
      <c r="FD15" s="509"/>
      <c r="FE15" s="509"/>
      <c r="FF15" s="509"/>
      <c r="FG15" s="509"/>
      <c r="FH15" s="509"/>
      <c r="FI15" s="509"/>
      <c r="FJ15" s="509"/>
      <c r="FK15" s="509"/>
      <c r="FL15" s="509"/>
      <c r="FM15" s="509"/>
      <c r="FN15" s="509"/>
      <c r="FO15" s="509"/>
      <c r="FP15" s="509"/>
      <c r="FQ15" s="509"/>
      <c r="FR15" s="509"/>
      <c r="FS15" s="509"/>
      <c r="FT15" s="509"/>
      <c r="FU15" s="509"/>
      <c r="FV15" s="509"/>
      <c r="FW15" s="509"/>
      <c r="FX15" s="509"/>
      <c r="FY15" s="509"/>
      <c r="FZ15" s="509"/>
      <c r="GA15" s="509"/>
      <c r="GB15" s="509"/>
      <c r="GC15" s="509"/>
      <c r="GD15" s="509"/>
      <c r="GE15" s="509"/>
      <c r="GF15" s="509"/>
      <c r="GG15" s="509"/>
      <c r="GH15" s="509"/>
      <c r="GI15" s="509"/>
      <c r="GJ15" s="509"/>
      <c r="GK15" s="509"/>
      <c r="GL15" s="509"/>
      <c r="GM15" s="509"/>
      <c r="GN15" s="509"/>
      <c r="GO15" s="509"/>
      <c r="GP15" s="509"/>
      <c r="GQ15" s="509"/>
      <c r="GR15" s="509"/>
      <c r="GS15" s="509"/>
      <c r="GT15" s="509"/>
      <c r="GU15" s="509"/>
      <c r="GV15" s="509"/>
      <c r="GW15" s="509"/>
      <c r="GX15" s="509"/>
      <c r="GY15" s="509"/>
      <c r="GZ15" s="509"/>
      <c r="HA15" s="509"/>
      <c r="HB15" s="509"/>
      <c r="HC15" s="509"/>
      <c r="HD15" s="509"/>
      <c r="HE15" s="509"/>
      <c r="HF15" s="509"/>
      <c r="HG15" s="509"/>
      <c r="HH15" s="509"/>
      <c r="HI15" s="509"/>
      <c r="HJ15" s="509"/>
      <c r="HK15" s="509"/>
      <c r="HL15" s="509"/>
      <c r="HM15" s="509"/>
      <c r="HN15" s="509"/>
      <c r="HO15" s="509"/>
      <c r="HP15" s="509"/>
      <c r="HQ15" s="509"/>
      <c r="HR15" s="509"/>
      <c r="HS15" s="509"/>
      <c r="HT15" s="509"/>
      <c r="HU15" s="509"/>
      <c r="HV15" s="509"/>
      <c r="HW15" s="509"/>
      <c r="HX15" s="509"/>
      <c r="HY15" s="509"/>
      <c r="HZ15" s="509"/>
      <c r="IA15" s="509"/>
      <c r="IB15" s="509"/>
      <c r="IC15" s="509"/>
    </row>
    <row r="16" s="508" customFormat="1" customHeight="1" spans="1:248">
      <c r="A16" s="524" t="s">
        <v>68</v>
      </c>
      <c r="B16" s="94" t="s">
        <v>69</v>
      </c>
      <c r="C16" s="94" t="s">
        <v>13</v>
      </c>
      <c r="D16" s="94" t="s">
        <v>60</v>
      </c>
      <c r="E16" s="94" t="s">
        <v>70</v>
      </c>
      <c r="F16" s="94">
        <v>18820553993</v>
      </c>
      <c r="G16" s="94">
        <v>693993</v>
      </c>
      <c r="H16" s="94" t="s">
        <v>71</v>
      </c>
      <c r="I16" s="24">
        <v>15811735705</v>
      </c>
      <c r="J16" s="24">
        <v>615705</v>
      </c>
      <c r="K16" s="94"/>
      <c r="L16" s="509"/>
      <c r="M16" s="509"/>
      <c r="N16" s="509"/>
      <c r="O16" s="509"/>
      <c r="P16" s="509"/>
      <c r="Q16" s="509"/>
      <c r="R16" s="509"/>
      <c r="S16" s="509"/>
      <c r="T16" s="509"/>
      <c r="U16" s="509"/>
      <c r="V16" s="509"/>
      <c r="W16" s="509"/>
      <c r="X16" s="509"/>
      <c r="Y16" s="509"/>
      <c r="Z16" s="509"/>
      <c r="AA16" s="509"/>
      <c r="AB16" s="509"/>
      <c r="AC16" s="509"/>
      <c r="AD16" s="509"/>
      <c r="AE16" s="509"/>
      <c r="AF16" s="509"/>
      <c r="AG16" s="509"/>
      <c r="AH16" s="509"/>
      <c r="AI16" s="509"/>
      <c r="AJ16" s="509"/>
      <c r="AK16" s="509"/>
      <c r="AL16" s="509"/>
      <c r="AM16" s="509"/>
      <c r="AN16" s="509"/>
      <c r="AO16" s="509"/>
      <c r="AP16" s="509"/>
      <c r="AQ16" s="509"/>
      <c r="AR16" s="509"/>
      <c r="AS16" s="509"/>
      <c r="AT16" s="509"/>
      <c r="AU16" s="509"/>
      <c r="AV16" s="509"/>
      <c r="AW16" s="509"/>
      <c r="AX16" s="509"/>
      <c r="AY16" s="509"/>
      <c r="AZ16" s="509"/>
      <c r="BA16" s="509"/>
      <c r="BB16" s="509"/>
      <c r="BC16" s="509"/>
      <c r="BD16" s="509"/>
      <c r="BE16" s="509"/>
      <c r="BF16" s="509"/>
      <c r="BG16" s="509"/>
      <c r="BH16" s="509"/>
      <c r="BI16" s="509"/>
      <c r="BJ16" s="509"/>
      <c r="BK16" s="509"/>
      <c r="BL16" s="509"/>
      <c r="BM16" s="509"/>
      <c r="BN16" s="509"/>
      <c r="BO16" s="509"/>
      <c r="BP16" s="509"/>
      <c r="BQ16" s="509"/>
      <c r="BR16" s="509"/>
      <c r="BS16" s="509"/>
      <c r="BT16" s="509"/>
      <c r="BU16" s="509"/>
      <c r="BV16" s="509"/>
      <c r="BW16" s="509"/>
      <c r="BX16" s="509"/>
      <c r="BY16" s="509"/>
      <c r="BZ16" s="509"/>
      <c r="CA16" s="509"/>
      <c r="CB16" s="509"/>
      <c r="CC16" s="509"/>
      <c r="CD16" s="509"/>
      <c r="CE16" s="509"/>
      <c r="CF16" s="509"/>
      <c r="CG16" s="509"/>
      <c r="CH16" s="509"/>
      <c r="CI16" s="509"/>
      <c r="CJ16" s="509"/>
      <c r="CK16" s="509"/>
      <c r="CL16" s="509"/>
      <c r="CM16" s="509"/>
      <c r="CN16" s="509"/>
      <c r="CO16" s="509"/>
      <c r="CP16" s="509"/>
      <c r="CQ16" s="509"/>
      <c r="CR16" s="509"/>
      <c r="CS16" s="509"/>
      <c r="CT16" s="509"/>
      <c r="CU16" s="509"/>
      <c r="CV16" s="509"/>
      <c r="CW16" s="509"/>
      <c r="CX16" s="509"/>
      <c r="CY16" s="509"/>
      <c r="CZ16" s="509"/>
      <c r="DA16" s="509"/>
      <c r="DB16" s="509"/>
      <c r="DC16" s="509"/>
      <c r="DD16" s="509"/>
      <c r="DE16" s="509"/>
      <c r="DF16" s="509"/>
      <c r="DG16" s="509"/>
      <c r="DH16" s="509"/>
      <c r="DI16" s="509"/>
      <c r="DJ16" s="509"/>
      <c r="DK16" s="509"/>
      <c r="DL16" s="509"/>
      <c r="DM16" s="509"/>
      <c r="DN16" s="509"/>
      <c r="DO16" s="509"/>
      <c r="DP16" s="509"/>
      <c r="DQ16" s="509"/>
      <c r="DR16" s="509"/>
      <c r="DS16" s="509"/>
      <c r="DT16" s="509"/>
      <c r="DU16" s="509"/>
      <c r="DV16" s="509"/>
      <c r="DW16" s="509"/>
      <c r="DX16" s="509"/>
      <c r="DY16" s="509"/>
      <c r="DZ16" s="509"/>
      <c r="EA16" s="509"/>
      <c r="EB16" s="509"/>
      <c r="EC16" s="509"/>
      <c r="ED16" s="509"/>
      <c r="EE16" s="509"/>
      <c r="EF16" s="509"/>
      <c r="EG16" s="509"/>
      <c r="EH16" s="509"/>
      <c r="EI16" s="509"/>
      <c r="EJ16" s="509"/>
      <c r="EK16" s="509"/>
      <c r="EL16" s="509"/>
      <c r="EM16" s="509"/>
      <c r="EN16" s="509"/>
      <c r="EO16" s="509"/>
      <c r="EP16" s="509"/>
      <c r="EQ16" s="509"/>
      <c r="ER16" s="509"/>
      <c r="ES16" s="509"/>
      <c r="ET16" s="509"/>
      <c r="EU16" s="509"/>
      <c r="EV16" s="509"/>
      <c r="EW16" s="509"/>
      <c r="EX16" s="509"/>
      <c r="EY16" s="509"/>
      <c r="EZ16" s="509"/>
      <c r="FA16" s="509"/>
      <c r="FB16" s="509"/>
      <c r="FC16" s="509"/>
      <c r="FD16" s="509"/>
      <c r="FE16" s="509"/>
      <c r="FF16" s="509"/>
      <c r="FG16" s="509"/>
      <c r="FH16" s="509"/>
      <c r="FI16" s="509"/>
      <c r="FJ16" s="509"/>
      <c r="FK16" s="509"/>
      <c r="FL16" s="509"/>
      <c r="FM16" s="509"/>
      <c r="FN16" s="509"/>
      <c r="FO16" s="509"/>
      <c r="FP16" s="509"/>
      <c r="FQ16" s="509"/>
      <c r="FR16" s="509"/>
      <c r="FS16" s="509"/>
      <c r="FT16" s="509"/>
      <c r="FU16" s="509"/>
      <c r="FV16" s="509"/>
      <c r="FW16" s="509"/>
      <c r="FX16" s="509"/>
      <c r="FY16" s="509"/>
      <c r="FZ16" s="509"/>
      <c r="GA16" s="509"/>
      <c r="GB16" s="509"/>
      <c r="GC16" s="509"/>
      <c r="GD16" s="509"/>
      <c r="GE16" s="509"/>
      <c r="GF16" s="509"/>
      <c r="GG16" s="509"/>
      <c r="GH16" s="509"/>
      <c r="GI16" s="509"/>
      <c r="GJ16" s="509"/>
      <c r="GK16" s="509"/>
      <c r="GL16" s="509"/>
      <c r="GM16" s="509"/>
      <c r="GN16" s="509"/>
      <c r="GO16" s="509"/>
      <c r="GP16" s="509"/>
      <c r="GQ16" s="509"/>
      <c r="GR16" s="509"/>
      <c r="GS16" s="509"/>
      <c r="GT16" s="509"/>
      <c r="GU16" s="509"/>
      <c r="GV16" s="509"/>
      <c r="GW16" s="509"/>
      <c r="GX16" s="509"/>
      <c r="GY16" s="509"/>
      <c r="GZ16" s="509"/>
      <c r="HA16" s="509"/>
      <c r="HB16" s="509"/>
      <c r="HC16" s="509"/>
      <c r="HD16" s="509"/>
      <c r="HE16" s="509"/>
      <c r="HF16" s="509"/>
      <c r="HG16" s="509"/>
      <c r="HH16" s="509"/>
      <c r="HI16" s="509"/>
      <c r="HJ16" s="509"/>
      <c r="HK16" s="509"/>
      <c r="HL16" s="509"/>
      <c r="HM16" s="509"/>
      <c r="HN16" s="509"/>
      <c r="HO16" s="509"/>
      <c r="HP16" s="509"/>
      <c r="HQ16" s="509"/>
      <c r="HR16" s="509"/>
      <c r="HS16" s="509"/>
      <c r="HT16" s="509"/>
      <c r="HU16" s="509"/>
      <c r="HV16" s="509"/>
      <c r="HW16" s="509"/>
      <c r="HX16" s="509"/>
      <c r="HY16" s="509"/>
      <c r="HZ16" s="509"/>
      <c r="IA16" s="509"/>
      <c r="IB16" s="509"/>
      <c r="IC16" s="509"/>
    </row>
    <row r="17" s="508" customFormat="1" customHeight="1" spans="1:248">
      <c r="A17" s="524" t="s">
        <v>72</v>
      </c>
      <c r="B17" s="94" t="s">
        <v>73</v>
      </c>
      <c r="C17" s="94" t="s">
        <v>13</v>
      </c>
      <c r="D17" s="94" t="s">
        <v>60</v>
      </c>
      <c r="E17" s="517" t="s">
        <v>74</v>
      </c>
      <c r="F17" s="517" t="s">
        <v>75</v>
      </c>
      <c r="G17" s="94">
        <v>685530</v>
      </c>
      <c r="H17" s="517" t="s">
        <v>76</v>
      </c>
      <c r="I17" s="517" t="s">
        <v>77</v>
      </c>
      <c r="J17" s="517" t="s">
        <v>78</v>
      </c>
      <c r="K17" s="94"/>
      <c r="L17" s="509"/>
      <c r="M17" s="509"/>
      <c r="N17" s="509"/>
      <c r="O17" s="509"/>
      <c r="P17" s="509"/>
      <c r="Q17" s="509"/>
      <c r="R17" s="509"/>
      <c r="S17" s="509"/>
      <c r="T17" s="509"/>
      <c r="U17" s="509"/>
      <c r="V17" s="509"/>
      <c r="W17" s="509"/>
      <c r="X17" s="509"/>
      <c r="Y17" s="509"/>
      <c r="Z17" s="509"/>
      <c r="AA17" s="509"/>
      <c r="AB17" s="509"/>
      <c r="AC17" s="509"/>
      <c r="AD17" s="509"/>
      <c r="AE17" s="509"/>
      <c r="AF17" s="509"/>
      <c r="AG17" s="509"/>
      <c r="AH17" s="509"/>
      <c r="AI17" s="509"/>
      <c r="AJ17" s="509"/>
      <c r="AK17" s="509"/>
      <c r="AL17" s="509"/>
      <c r="AM17" s="509"/>
      <c r="AN17" s="509"/>
      <c r="AO17" s="509"/>
      <c r="AP17" s="509"/>
      <c r="AQ17" s="509"/>
      <c r="AR17" s="509"/>
      <c r="AS17" s="509"/>
      <c r="AT17" s="509"/>
      <c r="AU17" s="509"/>
      <c r="AV17" s="509"/>
      <c r="AW17" s="509"/>
      <c r="AX17" s="509"/>
      <c r="AY17" s="509"/>
      <c r="AZ17" s="509"/>
      <c r="BA17" s="509"/>
      <c r="BB17" s="509"/>
      <c r="BC17" s="509"/>
      <c r="BD17" s="509"/>
      <c r="BE17" s="509"/>
      <c r="BF17" s="509"/>
      <c r="BG17" s="509"/>
      <c r="BH17" s="509"/>
      <c r="BI17" s="509"/>
      <c r="BJ17" s="509"/>
      <c r="BK17" s="509"/>
      <c r="BL17" s="509"/>
      <c r="BM17" s="509"/>
      <c r="BN17" s="509"/>
      <c r="BO17" s="509"/>
      <c r="BP17" s="509"/>
      <c r="BQ17" s="509"/>
      <c r="BR17" s="509"/>
      <c r="BS17" s="509"/>
      <c r="BT17" s="509"/>
      <c r="BU17" s="509"/>
      <c r="BV17" s="509"/>
      <c r="BW17" s="509"/>
      <c r="BX17" s="509"/>
      <c r="BY17" s="509"/>
      <c r="BZ17" s="509"/>
      <c r="CA17" s="509"/>
      <c r="CB17" s="509"/>
      <c r="CC17" s="509"/>
      <c r="CD17" s="509"/>
      <c r="CE17" s="509"/>
      <c r="CF17" s="509"/>
      <c r="CG17" s="509"/>
      <c r="CH17" s="509"/>
      <c r="CI17" s="509"/>
      <c r="CJ17" s="509"/>
      <c r="CK17" s="509"/>
      <c r="CL17" s="509"/>
      <c r="CM17" s="509"/>
      <c r="CN17" s="509"/>
      <c r="CO17" s="509"/>
      <c r="CP17" s="509"/>
      <c r="CQ17" s="509"/>
      <c r="CR17" s="509"/>
      <c r="CS17" s="509"/>
      <c r="CT17" s="509"/>
      <c r="CU17" s="509"/>
      <c r="CV17" s="509"/>
      <c r="CW17" s="509"/>
      <c r="CX17" s="509"/>
      <c r="CY17" s="509"/>
      <c r="CZ17" s="509"/>
      <c r="DA17" s="509"/>
      <c r="DB17" s="509"/>
      <c r="DC17" s="509"/>
      <c r="DD17" s="509"/>
      <c r="DE17" s="509"/>
      <c r="DF17" s="509"/>
      <c r="DG17" s="509"/>
      <c r="DH17" s="509"/>
      <c r="DI17" s="509"/>
      <c r="DJ17" s="509"/>
      <c r="DK17" s="509"/>
      <c r="DL17" s="509"/>
      <c r="DM17" s="509"/>
      <c r="DN17" s="509"/>
      <c r="DO17" s="509"/>
      <c r="DP17" s="509"/>
      <c r="DQ17" s="509"/>
      <c r="DR17" s="509"/>
      <c r="DS17" s="509"/>
      <c r="DT17" s="509"/>
      <c r="DU17" s="509"/>
      <c r="DV17" s="509"/>
      <c r="DW17" s="509"/>
      <c r="DX17" s="509"/>
      <c r="DY17" s="509"/>
      <c r="DZ17" s="509"/>
      <c r="EA17" s="509"/>
      <c r="EB17" s="509"/>
      <c r="EC17" s="509"/>
      <c r="ED17" s="509"/>
      <c r="EE17" s="509"/>
      <c r="EF17" s="509"/>
      <c r="EG17" s="509"/>
      <c r="EH17" s="509"/>
      <c r="EI17" s="509"/>
      <c r="EJ17" s="509"/>
      <c r="EK17" s="509"/>
      <c r="EL17" s="509"/>
      <c r="EM17" s="509"/>
      <c r="EN17" s="509"/>
      <c r="EO17" s="509"/>
      <c r="EP17" s="509"/>
      <c r="EQ17" s="509"/>
      <c r="ER17" s="509"/>
      <c r="ES17" s="509"/>
      <c r="ET17" s="509"/>
      <c r="EU17" s="509"/>
      <c r="EV17" s="509"/>
      <c r="EW17" s="509"/>
      <c r="EX17" s="509"/>
      <c r="EY17" s="509"/>
      <c r="EZ17" s="509"/>
      <c r="FA17" s="509"/>
      <c r="FB17" s="509"/>
      <c r="FC17" s="509"/>
      <c r="FD17" s="509"/>
      <c r="FE17" s="509"/>
      <c r="FF17" s="509"/>
      <c r="FG17" s="509"/>
      <c r="FH17" s="509"/>
      <c r="FI17" s="509"/>
      <c r="FJ17" s="509"/>
      <c r="FK17" s="509"/>
      <c r="FL17" s="509"/>
      <c r="FM17" s="509"/>
      <c r="FN17" s="509"/>
      <c r="FO17" s="509"/>
      <c r="FP17" s="509"/>
      <c r="FQ17" s="509"/>
      <c r="FR17" s="509"/>
      <c r="FS17" s="509"/>
      <c r="FT17" s="509"/>
      <c r="FU17" s="509"/>
      <c r="FV17" s="509"/>
      <c r="FW17" s="509"/>
      <c r="FX17" s="509"/>
      <c r="FY17" s="509"/>
      <c r="FZ17" s="509"/>
      <c r="GA17" s="509"/>
      <c r="GB17" s="509"/>
      <c r="GC17" s="509"/>
      <c r="GD17" s="509"/>
      <c r="GE17" s="509"/>
      <c r="GF17" s="509"/>
      <c r="GG17" s="509"/>
      <c r="GH17" s="509"/>
      <c r="GI17" s="509"/>
      <c r="GJ17" s="509"/>
      <c r="GK17" s="509"/>
      <c r="GL17" s="509"/>
      <c r="GM17" s="509"/>
      <c r="GN17" s="509"/>
      <c r="GO17" s="509"/>
      <c r="GP17" s="509"/>
      <c r="GQ17" s="509"/>
      <c r="GR17" s="509"/>
      <c r="GS17" s="509"/>
      <c r="GT17" s="509"/>
      <c r="GU17" s="509"/>
      <c r="GV17" s="509"/>
      <c r="GW17" s="509"/>
      <c r="GX17" s="509"/>
      <c r="GY17" s="509"/>
      <c r="GZ17" s="509"/>
      <c r="HA17" s="509"/>
      <c r="HB17" s="509"/>
      <c r="HC17" s="509"/>
      <c r="HD17" s="509"/>
      <c r="HE17" s="509"/>
      <c r="HF17" s="509"/>
      <c r="HG17" s="509"/>
      <c r="HH17" s="509"/>
      <c r="HI17" s="509"/>
      <c r="HJ17" s="509"/>
      <c r="HK17" s="509"/>
      <c r="HL17" s="509"/>
      <c r="HM17" s="509"/>
      <c r="HN17" s="509"/>
      <c r="HO17" s="509"/>
      <c r="HP17" s="509"/>
      <c r="HQ17" s="509"/>
      <c r="HR17" s="509"/>
      <c r="HS17" s="509"/>
      <c r="HT17" s="509"/>
      <c r="HU17" s="509"/>
      <c r="HV17" s="509"/>
      <c r="HW17" s="509"/>
      <c r="HX17" s="509"/>
      <c r="HY17" s="509"/>
      <c r="HZ17" s="509"/>
      <c r="IA17" s="509"/>
      <c r="IB17" s="509"/>
      <c r="IC17" s="509"/>
    </row>
    <row r="18" s="508" customFormat="1" customHeight="1" spans="1:248">
      <c r="A18" s="524" t="s">
        <v>79</v>
      </c>
      <c r="B18" s="94" t="s">
        <v>80</v>
      </c>
      <c r="C18" s="94" t="s">
        <v>13</v>
      </c>
      <c r="D18" s="94" t="s">
        <v>60</v>
      </c>
      <c r="E18" s="513" t="s">
        <v>81</v>
      </c>
      <c r="F18" s="513">
        <v>18300022822</v>
      </c>
      <c r="G18" s="513">
        <v>62822</v>
      </c>
      <c r="H18" s="517" t="s">
        <v>82</v>
      </c>
      <c r="I18" s="517" t="s">
        <v>83</v>
      </c>
      <c r="J18" s="94">
        <v>690308</v>
      </c>
      <c r="K18" s="94"/>
      <c r="L18" s="509"/>
      <c r="M18" s="509"/>
      <c r="N18" s="509"/>
      <c r="O18" s="509"/>
      <c r="P18" s="509"/>
      <c r="Q18" s="509"/>
      <c r="R18" s="509"/>
      <c r="S18" s="509"/>
      <c r="T18" s="509"/>
      <c r="U18" s="509"/>
      <c r="V18" s="509"/>
      <c r="W18" s="509"/>
      <c r="X18" s="509"/>
      <c r="Y18" s="509"/>
      <c r="Z18" s="509"/>
      <c r="AA18" s="509"/>
      <c r="AB18" s="509"/>
      <c r="AC18" s="509"/>
      <c r="AD18" s="509"/>
      <c r="AE18" s="509"/>
      <c r="AF18" s="509"/>
      <c r="AG18" s="509"/>
      <c r="AH18" s="509"/>
      <c r="AI18" s="509"/>
      <c r="AJ18" s="509"/>
      <c r="AK18" s="509"/>
      <c r="AL18" s="509"/>
      <c r="AM18" s="509"/>
      <c r="AN18" s="509"/>
      <c r="AO18" s="509"/>
      <c r="AP18" s="509"/>
      <c r="AQ18" s="509"/>
      <c r="AR18" s="509"/>
      <c r="AS18" s="509"/>
      <c r="AT18" s="509"/>
      <c r="AU18" s="509"/>
      <c r="AV18" s="509"/>
      <c r="AW18" s="509"/>
      <c r="AX18" s="509"/>
      <c r="AY18" s="509"/>
      <c r="AZ18" s="509"/>
      <c r="BA18" s="509"/>
      <c r="BB18" s="509"/>
      <c r="BC18" s="509"/>
      <c r="BD18" s="509"/>
      <c r="BE18" s="509"/>
      <c r="BF18" s="509"/>
      <c r="BG18" s="509"/>
      <c r="BH18" s="509"/>
      <c r="BI18" s="509"/>
      <c r="BJ18" s="509"/>
      <c r="BK18" s="509"/>
      <c r="BL18" s="509"/>
      <c r="BM18" s="509"/>
      <c r="BN18" s="509"/>
      <c r="BO18" s="509"/>
      <c r="BP18" s="509"/>
      <c r="BQ18" s="509"/>
      <c r="BR18" s="509"/>
      <c r="BS18" s="509"/>
      <c r="BT18" s="509"/>
      <c r="BU18" s="509"/>
      <c r="BV18" s="509"/>
      <c r="BW18" s="509"/>
      <c r="BX18" s="509"/>
      <c r="BY18" s="509"/>
      <c r="BZ18" s="509"/>
      <c r="CA18" s="509"/>
      <c r="CB18" s="509"/>
      <c r="CC18" s="509"/>
      <c r="CD18" s="509"/>
      <c r="CE18" s="509"/>
      <c r="CF18" s="509"/>
      <c r="CG18" s="509"/>
      <c r="CH18" s="509"/>
      <c r="CI18" s="509"/>
      <c r="CJ18" s="509"/>
      <c r="CK18" s="509"/>
      <c r="CL18" s="509"/>
      <c r="CM18" s="509"/>
      <c r="CN18" s="509"/>
      <c r="CO18" s="509"/>
      <c r="CP18" s="509"/>
      <c r="CQ18" s="509"/>
      <c r="CR18" s="509"/>
      <c r="CS18" s="509"/>
      <c r="CT18" s="509"/>
      <c r="CU18" s="509"/>
      <c r="CV18" s="509"/>
      <c r="CW18" s="509"/>
      <c r="CX18" s="509"/>
      <c r="CY18" s="509"/>
      <c r="CZ18" s="509"/>
      <c r="DA18" s="509"/>
      <c r="DB18" s="509"/>
      <c r="DC18" s="509"/>
      <c r="DD18" s="509"/>
      <c r="DE18" s="509"/>
      <c r="DF18" s="509"/>
      <c r="DG18" s="509"/>
      <c r="DH18" s="509"/>
      <c r="DI18" s="509"/>
      <c r="DJ18" s="509"/>
      <c r="DK18" s="509"/>
      <c r="DL18" s="509"/>
      <c r="DM18" s="509"/>
      <c r="DN18" s="509"/>
      <c r="DO18" s="509"/>
      <c r="DP18" s="509"/>
      <c r="DQ18" s="509"/>
      <c r="DR18" s="509"/>
      <c r="DS18" s="509"/>
      <c r="DT18" s="509"/>
      <c r="DU18" s="509"/>
      <c r="DV18" s="509"/>
      <c r="DW18" s="509"/>
      <c r="DX18" s="509"/>
      <c r="DY18" s="509"/>
      <c r="DZ18" s="509"/>
      <c r="EA18" s="509"/>
      <c r="EB18" s="509"/>
      <c r="EC18" s="509"/>
      <c r="ED18" s="509"/>
      <c r="EE18" s="509"/>
      <c r="EF18" s="509"/>
      <c r="EG18" s="509"/>
      <c r="EH18" s="509"/>
      <c r="EI18" s="509"/>
      <c r="EJ18" s="509"/>
      <c r="EK18" s="509"/>
      <c r="EL18" s="509"/>
      <c r="EM18" s="509"/>
      <c r="EN18" s="509"/>
      <c r="EO18" s="509"/>
      <c r="EP18" s="509"/>
      <c r="EQ18" s="509"/>
      <c r="ER18" s="509"/>
      <c r="ES18" s="509"/>
      <c r="ET18" s="509"/>
      <c r="EU18" s="509"/>
      <c r="EV18" s="509"/>
      <c r="EW18" s="509"/>
      <c r="EX18" s="509"/>
      <c r="EY18" s="509"/>
      <c r="EZ18" s="509"/>
      <c r="FA18" s="509"/>
      <c r="FB18" s="509"/>
      <c r="FC18" s="509"/>
      <c r="FD18" s="509"/>
      <c r="FE18" s="509"/>
      <c r="FF18" s="509"/>
      <c r="FG18" s="509"/>
      <c r="FH18" s="509"/>
      <c r="FI18" s="509"/>
      <c r="FJ18" s="509"/>
      <c r="FK18" s="509"/>
      <c r="FL18" s="509"/>
      <c r="FM18" s="509"/>
      <c r="FN18" s="509"/>
      <c r="FO18" s="509"/>
      <c r="FP18" s="509"/>
      <c r="FQ18" s="509"/>
      <c r="FR18" s="509"/>
      <c r="FS18" s="509"/>
      <c r="FT18" s="509"/>
      <c r="FU18" s="509"/>
      <c r="FV18" s="509"/>
      <c r="FW18" s="509"/>
      <c r="FX18" s="509"/>
      <c r="FY18" s="509"/>
      <c r="FZ18" s="509"/>
      <c r="GA18" s="509"/>
      <c r="GB18" s="509"/>
      <c r="GC18" s="509"/>
      <c r="GD18" s="509"/>
      <c r="GE18" s="509"/>
      <c r="GF18" s="509"/>
      <c r="GG18" s="509"/>
      <c r="GH18" s="509"/>
      <c r="GI18" s="509"/>
      <c r="GJ18" s="509"/>
      <c r="GK18" s="509"/>
      <c r="GL18" s="509"/>
      <c r="GM18" s="509"/>
      <c r="GN18" s="509"/>
      <c r="GO18" s="509"/>
      <c r="GP18" s="509"/>
      <c r="GQ18" s="509"/>
      <c r="GR18" s="509"/>
      <c r="GS18" s="509"/>
      <c r="GT18" s="509"/>
      <c r="GU18" s="509"/>
      <c r="GV18" s="509"/>
      <c r="GW18" s="509"/>
      <c r="GX18" s="509"/>
      <c r="GY18" s="509"/>
      <c r="GZ18" s="509"/>
      <c r="HA18" s="509"/>
      <c r="HB18" s="509"/>
      <c r="HC18" s="509"/>
      <c r="HD18" s="509"/>
      <c r="HE18" s="509"/>
      <c r="HF18" s="509"/>
      <c r="HG18" s="509"/>
      <c r="HH18" s="509"/>
      <c r="HI18" s="509"/>
      <c r="HJ18" s="509"/>
      <c r="HK18" s="509"/>
      <c r="HL18" s="509"/>
      <c r="HM18" s="509"/>
      <c r="HN18" s="509"/>
      <c r="HO18" s="509"/>
      <c r="HP18" s="509"/>
      <c r="HQ18" s="509"/>
      <c r="HR18" s="509"/>
      <c r="HS18" s="509"/>
      <c r="HT18" s="509"/>
      <c r="HU18" s="509"/>
      <c r="HV18" s="509"/>
      <c r="HW18" s="509"/>
      <c r="HX18" s="509"/>
      <c r="HY18" s="509"/>
      <c r="HZ18" s="509"/>
      <c r="IA18" s="509"/>
      <c r="IB18" s="509"/>
      <c r="IC18" s="509"/>
    </row>
    <row r="19" s="509" customFormat="1" customHeight="1" spans="1:248">
      <c r="A19" s="524" t="s">
        <v>84</v>
      </c>
      <c r="B19" s="94" t="s">
        <v>85</v>
      </c>
      <c r="C19" s="94" t="s">
        <v>13</v>
      </c>
      <c r="D19" s="94" t="s">
        <v>60</v>
      </c>
      <c r="E19" s="513" t="s">
        <v>86</v>
      </c>
      <c r="F19" s="513">
        <v>13926627101</v>
      </c>
      <c r="G19" s="513">
        <v>68101</v>
      </c>
      <c r="H19" s="513" t="s">
        <v>86</v>
      </c>
      <c r="I19" s="513">
        <v>13926627101</v>
      </c>
      <c r="J19" s="513">
        <v>68101</v>
      </c>
      <c r="K19" s="94"/>
    </row>
    <row r="20" s="509" customFormat="1" customHeight="1" spans="1:248">
      <c r="A20" s="524" t="s">
        <v>87</v>
      </c>
      <c r="B20" s="94" t="s">
        <v>88</v>
      </c>
      <c r="C20" s="94" t="s">
        <v>13</v>
      </c>
      <c r="D20" s="94" t="s">
        <v>60</v>
      </c>
      <c r="E20" s="94" t="s">
        <v>89</v>
      </c>
      <c r="F20" s="94">
        <v>13729659444</v>
      </c>
      <c r="G20" s="94">
        <v>669444</v>
      </c>
      <c r="H20" s="94" t="s">
        <v>89</v>
      </c>
      <c r="I20" s="94">
        <v>13729659444</v>
      </c>
      <c r="J20" s="94">
        <v>669444</v>
      </c>
      <c r="K20" s="94"/>
    </row>
    <row r="21" s="509" customFormat="1" customHeight="1" spans="1:248">
      <c r="A21" s="524" t="s">
        <v>90</v>
      </c>
      <c r="B21" s="94" t="s">
        <v>91</v>
      </c>
      <c r="C21" s="94" t="s">
        <v>13</v>
      </c>
      <c r="D21" s="94" t="s">
        <v>55</v>
      </c>
      <c r="E21" s="94"/>
      <c r="F21" s="94"/>
      <c r="G21" s="94"/>
      <c r="H21" s="94" t="s">
        <v>92</v>
      </c>
      <c r="I21" s="94">
        <v>18926618018</v>
      </c>
      <c r="J21" s="94">
        <v>653882</v>
      </c>
      <c r="K21" s="94"/>
      <c r="HX21" s="510"/>
      <c r="HY21" s="510"/>
      <c r="HZ21" s="510"/>
      <c r="IA21" s="510"/>
      <c r="IB21" s="510"/>
      <c r="IC21" s="510"/>
      <c r="ID21" s="510"/>
      <c r="IE21" s="510"/>
      <c r="IF21" s="510"/>
      <c r="IG21" s="510"/>
      <c r="IH21" s="510"/>
      <c r="II21" s="510"/>
      <c r="IJ21" s="510"/>
      <c r="IK21" s="510"/>
      <c r="IL21" s="510"/>
      <c r="IM21" s="510"/>
      <c r="IN21" s="510"/>
    </row>
    <row r="22" s="509" customFormat="1" customHeight="1" spans="1:248">
      <c r="A22" s="524" t="s">
        <v>93</v>
      </c>
      <c r="B22" s="94" t="s">
        <v>94</v>
      </c>
      <c r="C22" s="94" t="s">
        <v>13</v>
      </c>
      <c r="D22" s="94" t="s">
        <v>60</v>
      </c>
      <c r="E22" s="94" t="s">
        <v>95</v>
      </c>
      <c r="F22" s="94">
        <v>13729611199</v>
      </c>
      <c r="G22" s="94">
        <v>661199</v>
      </c>
      <c r="H22" s="94" t="s">
        <v>95</v>
      </c>
      <c r="I22" s="94">
        <v>13729611199</v>
      </c>
      <c r="J22" s="94">
        <v>661199</v>
      </c>
      <c r="K22" s="94"/>
    </row>
    <row r="23" s="508" customFormat="1" customHeight="1" spans="1:248">
      <c r="A23" s="524" t="s">
        <v>96</v>
      </c>
      <c r="B23" s="94" t="s">
        <v>97</v>
      </c>
      <c r="C23" s="94" t="s">
        <v>13</v>
      </c>
      <c r="D23" s="94" t="s">
        <v>98</v>
      </c>
      <c r="E23" s="513" t="s">
        <v>99</v>
      </c>
      <c r="F23" s="513">
        <v>15915115566</v>
      </c>
      <c r="G23" s="513">
        <v>675566</v>
      </c>
      <c r="H23" s="513" t="s">
        <v>99</v>
      </c>
      <c r="I23" s="513">
        <v>15915115566</v>
      </c>
      <c r="J23" s="513">
        <v>675566</v>
      </c>
      <c r="K23" s="94"/>
      <c r="L23" s="509"/>
      <c r="M23" s="509"/>
      <c r="N23" s="509"/>
      <c r="O23" s="509"/>
      <c r="P23" s="509"/>
      <c r="Q23" s="509"/>
      <c r="R23" s="509"/>
      <c r="S23" s="509"/>
      <c r="T23" s="509"/>
      <c r="U23" s="509"/>
      <c r="V23" s="509"/>
      <c r="W23" s="509"/>
      <c r="X23" s="509"/>
      <c r="Y23" s="509"/>
      <c r="Z23" s="509"/>
      <c r="AA23" s="509"/>
      <c r="AB23" s="509"/>
      <c r="AC23" s="509"/>
      <c r="AD23" s="509"/>
      <c r="AE23" s="509"/>
      <c r="AF23" s="509"/>
      <c r="AG23" s="509"/>
      <c r="AH23" s="509"/>
      <c r="AI23" s="509"/>
      <c r="AJ23" s="509"/>
      <c r="AK23" s="509"/>
      <c r="AL23" s="509"/>
      <c r="AM23" s="509"/>
      <c r="AN23" s="509"/>
      <c r="AO23" s="509"/>
      <c r="AP23" s="509"/>
      <c r="AQ23" s="509"/>
      <c r="AR23" s="509"/>
      <c r="AS23" s="509"/>
      <c r="AT23" s="509"/>
      <c r="AU23" s="509"/>
      <c r="AV23" s="509"/>
      <c r="AW23" s="509"/>
      <c r="AX23" s="509"/>
      <c r="AY23" s="509"/>
      <c r="AZ23" s="509"/>
      <c r="BA23" s="509"/>
      <c r="BB23" s="509"/>
      <c r="BC23" s="509"/>
      <c r="BD23" s="509"/>
      <c r="BE23" s="509"/>
      <c r="BF23" s="509"/>
      <c r="BG23" s="509"/>
      <c r="BH23" s="509"/>
      <c r="BI23" s="509"/>
      <c r="BJ23" s="509"/>
      <c r="BK23" s="509"/>
      <c r="BL23" s="509"/>
      <c r="BM23" s="509"/>
      <c r="BN23" s="509"/>
      <c r="BO23" s="509"/>
      <c r="BP23" s="509"/>
      <c r="BQ23" s="509"/>
      <c r="BR23" s="509"/>
      <c r="BS23" s="509"/>
      <c r="BT23" s="509"/>
      <c r="BU23" s="509"/>
      <c r="BV23" s="509"/>
      <c r="BW23" s="509"/>
      <c r="BX23" s="509"/>
      <c r="BY23" s="509"/>
      <c r="BZ23" s="509"/>
      <c r="CA23" s="509"/>
      <c r="CB23" s="509"/>
      <c r="CC23" s="509"/>
      <c r="CD23" s="509"/>
      <c r="CE23" s="509"/>
      <c r="CF23" s="509"/>
      <c r="CG23" s="509"/>
      <c r="CH23" s="509"/>
      <c r="CI23" s="509"/>
      <c r="CJ23" s="509"/>
      <c r="CK23" s="509"/>
      <c r="CL23" s="509"/>
      <c r="CM23" s="509"/>
      <c r="CN23" s="509"/>
      <c r="CO23" s="509"/>
      <c r="CP23" s="509"/>
      <c r="CQ23" s="509"/>
      <c r="CR23" s="509"/>
      <c r="CS23" s="509"/>
      <c r="CT23" s="509"/>
      <c r="CU23" s="509"/>
      <c r="CV23" s="509"/>
      <c r="CW23" s="509"/>
      <c r="CX23" s="509"/>
      <c r="CY23" s="509"/>
      <c r="CZ23" s="509"/>
      <c r="DA23" s="509"/>
      <c r="DB23" s="509"/>
      <c r="DC23" s="509"/>
      <c r="DD23" s="509"/>
      <c r="DE23" s="509"/>
      <c r="DF23" s="509"/>
      <c r="DG23" s="509"/>
      <c r="DH23" s="509"/>
      <c r="DI23" s="509"/>
      <c r="DJ23" s="509"/>
      <c r="DK23" s="509"/>
      <c r="DL23" s="509"/>
      <c r="DM23" s="509"/>
      <c r="DN23" s="509"/>
      <c r="DO23" s="509"/>
      <c r="DP23" s="509"/>
      <c r="DQ23" s="509"/>
      <c r="DR23" s="509"/>
      <c r="DS23" s="509"/>
      <c r="DT23" s="509"/>
      <c r="DU23" s="509"/>
      <c r="DV23" s="509"/>
      <c r="DW23" s="509"/>
      <c r="DX23" s="509"/>
      <c r="DY23" s="509"/>
      <c r="DZ23" s="509"/>
      <c r="EA23" s="509"/>
      <c r="EB23" s="509"/>
      <c r="EC23" s="509"/>
      <c r="ED23" s="509"/>
      <c r="EE23" s="509"/>
      <c r="EF23" s="509"/>
      <c r="EG23" s="509"/>
      <c r="EH23" s="509"/>
      <c r="EI23" s="509"/>
      <c r="EJ23" s="509"/>
      <c r="EK23" s="509"/>
      <c r="EL23" s="509"/>
      <c r="EM23" s="509"/>
      <c r="EN23" s="509"/>
      <c r="EO23" s="509"/>
      <c r="EP23" s="509"/>
      <c r="EQ23" s="509"/>
      <c r="ER23" s="509"/>
      <c r="ES23" s="509"/>
      <c r="ET23" s="509"/>
      <c r="EU23" s="509"/>
      <c r="EV23" s="509"/>
      <c r="EW23" s="509"/>
      <c r="EX23" s="509"/>
      <c r="EY23" s="509"/>
      <c r="EZ23" s="509"/>
      <c r="FA23" s="509"/>
      <c r="FB23" s="509"/>
      <c r="FC23" s="509"/>
      <c r="FD23" s="509"/>
      <c r="FE23" s="509"/>
      <c r="FF23" s="509"/>
      <c r="FG23" s="509"/>
      <c r="FH23" s="509"/>
      <c r="FI23" s="509"/>
      <c r="FJ23" s="509"/>
      <c r="FK23" s="509"/>
      <c r="FL23" s="509"/>
      <c r="FM23" s="509"/>
      <c r="FN23" s="509"/>
      <c r="FO23" s="509"/>
      <c r="FP23" s="509"/>
      <c r="FQ23" s="509"/>
      <c r="FR23" s="509"/>
      <c r="FS23" s="509"/>
      <c r="FT23" s="509"/>
      <c r="FU23" s="509"/>
      <c r="FV23" s="509"/>
      <c r="FW23" s="509"/>
      <c r="FX23" s="509"/>
      <c r="FY23" s="509"/>
      <c r="FZ23" s="509"/>
      <c r="GA23" s="509"/>
      <c r="GB23" s="509"/>
      <c r="GC23" s="509"/>
      <c r="GD23" s="509"/>
      <c r="GE23" s="509"/>
      <c r="GF23" s="509"/>
      <c r="GG23" s="509"/>
      <c r="GH23" s="509"/>
      <c r="GI23" s="509"/>
      <c r="GJ23" s="509"/>
      <c r="GK23" s="509"/>
      <c r="GL23" s="509"/>
      <c r="GM23" s="509"/>
      <c r="GN23" s="509"/>
      <c r="GO23" s="509"/>
      <c r="GP23" s="509"/>
      <c r="GQ23" s="509"/>
      <c r="GR23" s="509"/>
      <c r="GS23" s="509"/>
      <c r="GT23" s="509"/>
      <c r="GU23" s="509"/>
      <c r="GV23" s="509"/>
      <c r="GW23" s="509"/>
      <c r="GX23" s="509"/>
      <c r="GY23" s="509"/>
      <c r="GZ23" s="509"/>
      <c r="HA23" s="509"/>
      <c r="HB23" s="509"/>
      <c r="HC23" s="509"/>
      <c r="HD23" s="509"/>
      <c r="HE23" s="509"/>
      <c r="HF23" s="509"/>
      <c r="HG23" s="509"/>
      <c r="HH23" s="509"/>
      <c r="HI23" s="509"/>
      <c r="HJ23" s="509"/>
      <c r="HK23" s="509"/>
      <c r="HL23" s="509"/>
      <c r="HM23" s="509"/>
      <c r="HN23" s="509"/>
      <c r="HO23" s="509"/>
      <c r="HP23" s="509"/>
      <c r="HQ23" s="509"/>
      <c r="HR23" s="509"/>
      <c r="HS23" s="509"/>
      <c r="HT23" s="509"/>
      <c r="HU23" s="509"/>
      <c r="HV23" s="509"/>
      <c r="HW23" s="509"/>
      <c r="HX23" s="509"/>
      <c r="HY23" s="509"/>
      <c r="HZ23" s="509"/>
      <c r="IA23" s="509"/>
      <c r="IB23" s="509"/>
      <c r="IC23" s="509"/>
    </row>
    <row r="24" s="509" customFormat="1" customHeight="1" spans="1:248">
      <c r="A24" s="524" t="s">
        <v>100</v>
      </c>
      <c r="B24" s="94" t="s">
        <v>101</v>
      </c>
      <c r="C24" s="94" t="s">
        <v>13</v>
      </c>
      <c r="D24" s="94" t="s">
        <v>60</v>
      </c>
      <c r="E24" s="94"/>
      <c r="F24" s="94"/>
      <c r="G24" s="94"/>
      <c r="H24" s="94" t="s">
        <v>102</v>
      </c>
      <c r="I24" s="94">
        <v>13824932828</v>
      </c>
      <c r="J24" s="94">
        <v>642828</v>
      </c>
      <c r="K24" s="94" t="s">
        <v>103</v>
      </c>
    </row>
    <row r="25" s="508" customFormat="1" customHeight="1" spans="1:248">
      <c r="A25" s="524" t="s">
        <v>104</v>
      </c>
      <c r="B25" s="94" t="s">
        <v>105</v>
      </c>
      <c r="C25" s="94" t="s">
        <v>13</v>
      </c>
      <c r="D25" s="94" t="s">
        <v>106</v>
      </c>
      <c r="E25" s="94"/>
      <c r="F25" s="94"/>
      <c r="G25" s="94"/>
      <c r="H25" s="94" t="s">
        <v>107</v>
      </c>
      <c r="I25" s="94">
        <v>15816275533</v>
      </c>
      <c r="J25" s="94">
        <v>665533</v>
      </c>
      <c r="K25" s="94"/>
      <c r="L25" s="509"/>
      <c r="M25" s="509"/>
      <c r="N25" s="509"/>
      <c r="O25" s="509"/>
      <c r="P25" s="509"/>
      <c r="Q25" s="509"/>
      <c r="R25" s="509"/>
      <c r="S25" s="509"/>
      <c r="T25" s="509"/>
      <c r="U25" s="509"/>
      <c r="V25" s="509"/>
      <c r="W25" s="509"/>
      <c r="X25" s="509"/>
      <c r="Y25" s="509"/>
      <c r="Z25" s="509"/>
      <c r="AA25" s="509"/>
      <c r="AB25" s="509"/>
      <c r="AC25" s="509"/>
      <c r="AD25" s="509"/>
      <c r="AE25" s="509"/>
      <c r="AF25" s="509"/>
      <c r="AG25" s="509"/>
      <c r="AH25" s="509"/>
      <c r="AI25" s="509"/>
      <c r="AJ25" s="509"/>
      <c r="AK25" s="509"/>
      <c r="AL25" s="509"/>
      <c r="AM25" s="509"/>
      <c r="AN25" s="509"/>
      <c r="AO25" s="509"/>
      <c r="AP25" s="509"/>
      <c r="AQ25" s="509"/>
      <c r="AR25" s="509"/>
      <c r="AS25" s="509"/>
      <c r="AT25" s="509"/>
      <c r="AU25" s="509"/>
      <c r="AV25" s="509"/>
      <c r="AW25" s="509"/>
      <c r="AX25" s="509"/>
      <c r="AY25" s="509"/>
      <c r="AZ25" s="509"/>
      <c r="BA25" s="509"/>
      <c r="BB25" s="509"/>
      <c r="BC25" s="509"/>
      <c r="BD25" s="509"/>
      <c r="BE25" s="509"/>
      <c r="BF25" s="509"/>
      <c r="BG25" s="509"/>
      <c r="BH25" s="509"/>
      <c r="BI25" s="509"/>
      <c r="BJ25" s="509"/>
      <c r="BK25" s="509"/>
      <c r="BL25" s="509"/>
      <c r="BM25" s="509"/>
      <c r="BN25" s="509"/>
      <c r="BO25" s="509"/>
      <c r="BP25" s="509"/>
      <c r="BQ25" s="509"/>
      <c r="BR25" s="509"/>
      <c r="BS25" s="509"/>
      <c r="BT25" s="509"/>
      <c r="BU25" s="509"/>
      <c r="BV25" s="509"/>
      <c r="BW25" s="509"/>
      <c r="BX25" s="509"/>
      <c r="BY25" s="509"/>
      <c r="BZ25" s="509"/>
      <c r="CA25" s="509"/>
      <c r="CB25" s="509"/>
      <c r="CC25" s="509"/>
      <c r="CD25" s="509"/>
      <c r="CE25" s="509"/>
      <c r="CF25" s="509"/>
      <c r="CG25" s="509"/>
      <c r="CH25" s="509"/>
      <c r="CI25" s="509"/>
      <c r="CJ25" s="509"/>
      <c r="CK25" s="509"/>
      <c r="CL25" s="509"/>
      <c r="CM25" s="509"/>
      <c r="CN25" s="509"/>
      <c r="CO25" s="509"/>
      <c r="CP25" s="509"/>
      <c r="CQ25" s="509"/>
      <c r="CR25" s="509"/>
      <c r="CS25" s="509"/>
      <c r="CT25" s="509"/>
      <c r="CU25" s="509"/>
      <c r="CV25" s="509"/>
      <c r="CW25" s="509"/>
      <c r="CX25" s="509"/>
      <c r="CY25" s="509"/>
      <c r="CZ25" s="509"/>
      <c r="DA25" s="509"/>
      <c r="DB25" s="509"/>
      <c r="DC25" s="509"/>
      <c r="DD25" s="509"/>
      <c r="DE25" s="509"/>
      <c r="DF25" s="509"/>
      <c r="DG25" s="509"/>
      <c r="DH25" s="509"/>
      <c r="DI25" s="509"/>
      <c r="DJ25" s="509"/>
      <c r="DK25" s="509"/>
      <c r="DL25" s="509"/>
      <c r="DM25" s="509"/>
      <c r="DN25" s="509"/>
      <c r="DO25" s="509"/>
      <c r="DP25" s="509"/>
      <c r="DQ25" s="509"/>
      <c r="DR25" s="509"/>
      <c r="DS25" s="509"/>
      <c r="DT25" s="509"/>
      <c r="DU25" s="509"/>
      <c r="DV25" s="509"/>
      <c r="DW25" s="509"/>
      <c r="DX25" s="509"/>
      <c r="DY25" s="509"/>
      <c r="DZ25" s="509"/>
      <c r="EA25" s="509"/>
      <c r="EB25" s="509"/>
      <c r="EC25" s="509"/>
      <c r="ED25" s="509"/>
      <c r="EE25" s="509"/>
      <c r="EF25" s="509"/>
      <c r="EG25" s="509"/>
      <c r="EH25" s="509"/>
      <c r="EI25" s="509"/>
      <c r="EJ25" s="509"/>
      <c r="EK25" s="509"/>
      <c r="EL25" s="509"/>
      <c r="EM25" s="509"/>
      <c r="EN25" s="509"/>
      <c r="EO25" s="509"/>
      <c r="EP25" s="509"/>
      <c r="EQ25" s="509"/>
      <c r="ER25" s="509"/>
      <c r="ES25" s="509"/>
      <c r="ET25" s="509"/>
      <c r="EU25" s="509"/>
      <c r="EV25" s="509"/>
      <c r="EW25" s="509"/>
      <c r="EX25" s="509"/>
      <c r="EY25" s="509"/>
      <c r="EZ25" s="509"/>
      <c r="FA25" s="509"/>
      <c r="FB25" s="509"/>
      <c r="FC25" s="509"/>
      <c r="FD25" s="509"/>
      <c r="FE25" s="509"/>
      <c r="FF25" s="509"/>
      <c r="FG25" s="509"/>
      <c r="FH25" s="509"/>
      <c r="FI25" s="509"/>
      <c r="FJ25" s="509"/>
      <c r="FK25" s="509"/>
      <c r="FL25" s="509"/>
      <c r="FM25" s="509"/>
      <c r="FN25" s="509"/>
      <c r="FO25" s="509"/>
      <c r="FP25" s="509"/>
      <c r="FQ25" s="509"/>
      <c r="FR25" s="509"/>
      <c r="FS25" s="509"/>
      <c r="FT25" s="509"/>
      <c r="FU25" s="509"/>
      <c r="FV25" s="509"/>
      <c r="FW25" s="509"/>
      <c r="FX25" s="509"/>
      <c r="FY25" s="509"/>
      <c r="FZ25" s="509"/>
      <c r="GA25" s="509"/>
      <c r="GB25" s="509"/>
      <c r="GC25" s="509"/>
      <c r="GD25" s="509"/>
      <c r="GE25" s="509"/>
      <c r="GF25" s="509"/>
      <c r="GG25" s="509"/>
      <c r="GH25" s="509"/>
      <c r="GI25" s="509"/>
      <c r="GJ25" s="509"/>
      <c r="GK25" s="509"/>
      <c r="GL25" s="509"/>
      <c r="GM25" s="509"/>
      <c r="GN25" s="509"/>
      <c r="GO25" s="509"/>
      <c r="GP25" s="509"/>
      <c r="GQ25" s="509"/>
      <c r="GR25" s="509"/>
      <c r="GS25" s="509"/>
      <c r="GT25" s="509"/>
      <c r="GU25" s="509"/>
      <c r="GV25" s="509"/>
      <c r="GW25" s="509"/>
      <c r="GX25" s="509"/>
      <c r="GY25" s="509"/>
      <c r="GZ25" s="509"/>
      <c r="HA25" s="509"/>
      <c r="HB25" s="509"/>
      <c r="HC25" s="509"/>
      <c r="HD25" s="509"/>
      <c r="HE25" s="509"/>
      <c r="HF25" s="509"/>
      <c r="HG25" s="509"/>
      <c r="HH25" s="509"/>
      <c r="HI25" s="509"/>
      <c r="HJ25" s="509"/>
      <c r="HK25" s="509"/>
      <c r="HL25" s="509"/>
      <c r="HM25" s="509"/>
      <c r="HN25" s="509"/>
      <c r="HO25" s="509"/>
      <c r="HP25" s="509"/>
      <c r="HQ25" s="509"/>
      <c r="HR25" s="509"/>
      <c r="HS25" s="509"/>
      <c r="HT25" s="509"/>
      <c r="HU25" s="509"/>
      <c r="HV25" s="509"/>
      <c r="HW25" s="509"/>
      <c r="HX25" s="509"/>
      <c r="HY25" s="509"/>
      <c r="HZ25" s="509"/>
      <c r="IA25" s="509"/>
      <c r="IB25" s="509"/>
      <c r="IC25" s="509"/>
    </row>
    <row r="26" s="508" customFormat="1" customHeight="1" spans="1:248">
      <c r="A26" s="524" t="s">
        <v>108</v>
      </c>
      <c r="B26" s="94" t="s">
        <v>109</v>
      </c>
      <c r="C26" s="94" t="s">
        <v>13</v>
      </c>
      <c r="D26" s="94" t="s">
        <v>106</v>
      </c>
      <c r="E26" s="94"/>
      <c r="F26" s="94"/>
      <c r="G26" s="94"/>
      <c r="H26" s="94" t="s">
        <v>110</v>
      </c>
      <c r="I26" s="94">
        <v>15914990767</v>
      </c>
      <c r="J26" s="94">
        <v>660767</v>
      </c>
      <c r="K26" s="94"/>
      <c r="L26" s="509"/>
      <c r="M26" s="509"/>
      <c r="N26" s="509"/>
      <c r="O26" s="509"/>
      <c r="P26" s="509"/>
      <c r="Q26" s="509"/>
      <c r="R26" s="509"/>
      <c r="S26" s="509"/>
      <c r="T26" s="509"/>
      <c r="U26" s="509"/>
      <c r="V26" s="509"/>
      <c r="W26" s="509"/>
      <c r="X26" s="509"/>
      <c r="Y26" s="509"/>
      <c r="Z26" s="509"/>
      <c r="AA26" s="509"/>
      <c r="AB26" s="509"/>
      <c r="AC26" s="509"/>
      <c r="AD26" s="509"/>
      <c r="AE26" s="509"/>
      <c r="AF26" s="509"/>
      <c r="AG26" s="509"/>
      <c r="AH26" s="509"/>
      <c r="AI26" s="509"/>
      <c r="AJ26" s="509"/>
      <c r="AK26" s="509"/>
      <c r="AL26" s="509"/>
      <c r="AM26" s="509"/>
      <c r="AN26" s="509"/>
      <c r="AO26" s="509"/>
      <c r="AP26" s="509"/>
      <c r="AQ26" s="509"/>
      <c r="AR26" s="509"/>
      <c r="AS26" s="509"/>
      <c r="AT26" s="509"/>
      <c r="AU26" s="509"/>
      <c r="AV26" s="509"/>
      <c r="AW26" s="509"/>
      <c r="AX26" s="509"/>
      <c r="AY26" s="509"/>
      <c r="AZ26" s="509"/>
      <c r="BA26" s="509"/>
      <c r="BB26" s="509"/>
      <c r="BC26" s="509"/>
      <c r="BD26" s="509"/>
      <c r="BE26" s="509"/>
      <c r="BF26" s="509"/>
      <c r="BG26" s="509"/>
      <c r="BH26" s="509"/>
      <c r="BI26" s="509"/>
      <c r="BJ26" s="509"/>
      <c r="BK26" s="509"/>
      <c r="BL26" s="509"/>
      <c r="BM26" s="509"/>
      <c r="BN26" s="509"/>
      <c r="BO26" s="509"/>
      <c r="BP26" s="509"/>
      <c r="BQ26" s="509"/>
      <c r="BR26" s="509"/>
      <c r="BS26" s="509"/>
      <c r="BT26" s="509"/>
      <c r="BU26" s="509"/>
      <c r="BV26" s="509"/>
      <c r="BW26" s="509"/>
      <c r="BX26" s="509"/>
      <c r="BY26" s="509"/>
      <c r="BZ26" s="509"/>
      <c r="CA26" s="509"/>
      <c r="CB26" s="509"/>
      <c r="CC26" s="509"/>
      <c r="CD26" s="509"/>
      <c r="CE26" s="509"/>
      <c r="CF26" s="509"/>
      <c r="CG26" s="509"/>
      <c r="CH26" s="509"/>
      <c r="CI26" s="509"/>
      <c r="CJ26" s="509"/>
      <c r="CK26" s="509"/>
      <c r="CL26" s="509"/>
      <c r="CM26" s="509"/>
      <c r="CN26" s="509"/>
      <c r="CO26" s="509"/>
      <c r="CP26" s="509"/>
      <c r="CQ26" s="509"/>
      <c r="CR26" s="509"/>
      <c r="CS26" s="509"/>
      <c r="CT26" s="509"/>
      <c r="CU26" s="509"/>
      <c r="CV26" s="509"/>
      <c r="CW26" s="509"/>
      <c r="CX26" s="509"/>
      <c r="CY26" s="509"/>
      <c r="CZ26" s="509"/>
      <c r="DA26" s="509"/>
      <c r="DB26" s="509"/>
      <c r="DC26" s="509"/>
      <c r="DD26" s="509"/>
      <c r="DE26" s="509"/>
      <c r="DF26" s="509"/>
      <c r="DG26" s="509"/>
      <c r="DH26" s="509"/>
      <c r="DI26" s="509"/>
      <c r="DJ26" s="509"/>
      <c r="DK26" s="509"/>
      <c r="DL26" s="509"/>
      <c r="DM26" s="509"/>
      <c r="DN26" s="509"/>
      <c r="DO26" s="509"/>
      <c r="DP26" s="509"/>
      <c r="DQ26" s="509"/>
      <c r="DR26" s="509"/>
      <c r="DS26" s="509"/>
      <c r="DT26" s="509"/>
      <c r="DU26" s="509"/>
      <c r="DV26" s="509"/>
      <c r="DW26" s="509"/>
      <c r="DX26" s="509"/>
      <c r="DY26" s="509"/>
      <c r="DZ26" s="509"/>
      <c r="EA26" s="509"/>
      <c r="EB26" s="509"/>
      <c r="EC26" s="509"/>
      <c r="ED26" s="509"/>
      <c r="EE26" s="509"/>
      <c r="EF26" s="509"/>
      <c r="EG26" s="509"/>
      <c r="EH26" s="509"/>
      <c r="EI26" s="509"/>
      <c r="EJ26" s="509"/>
      <c r="EK26" s="509"/>
      <c r="EL26" s="509"/>
      <c r="EM26" s="509"/>
      <c r="EN26" s="509"/>
      <c r="EO26" s="509"/>
      <c r="EP26" s="509"/>
      <c r="EQ26" s="509"/>
      <c r="ER26" s="509"/>
      <c r="ES26" s="509"/>
      <c r="ET26" s="509"/>
      <c r="EU26" s="509"/>
      <c r="EV26" s="509"/>
      <c r="EW26" s="509"/>
      <c r="EX26" s="509"/>
      <c r="EY26" s="509"/>
      <c r="EZ26" s="509"/>
      <c r="FA26" s="509"/>
      <c r="FB26" s="509"/>
      <c r="FC26" s="509"/>
      <c r="FD26" s="509"/>
      <c r="FE26" s="509"/>
      <c r="FF26" s="509"/>
      <c r="FG26" s="509"/>
      <c r="FH26" s="509"/>
      <c r="FI26" s="509"/>
      <c r="FJ26" s="509"/>
      <c r="FK26" s="509"/>
      <c r="FL26" s="509"/>
      <c r="FM26" s="509"/>
      <c r="FN26" s="509"/>
      <c r="FO26" s="509"/>
      <c r="FP26" s="509"/>
      <c r="FQ26" s="509"/>
      <c r="FR26" s="509"/>
      <c r="FS26" s="509"/>
      <c r="FT26" s="509"/>
      <c r="FU26" s="509"/>
      <c r="FV26" s="509"/>
      <c r="FW26" s="509"/>
      <c r="FX26" s="509"/>
      <c r="FY26" s="509"/>
      <c r="FZ26" s="509"/>
      <c r="GA26" s="509"/>
      <c r="GB26" s="509"/>
      <c r="GC26" s="509"/>
      <c r="GD26" s="509"/>
      <c r="GE26" s="509"/>
      <c r="GF26" s="509"/>
      <c r="GG26" s="509"/>
      <c r="GH26" s="509"/>
      <c r="GI26" s="509"/>
      <c r="GJ26" s="509"/>
      <c r="GK26" s="509"/>
      <c r="GL26" s="509"/>
      <c r="GM26" s="509"/>
      <c r="GN26" s="509"/>
      <c r="GO26" s="509"/>
      <c r="GP26" s="509"/>
      <c r="GQ26" s="509"/>
      <c r="GR26" s="509"/>
      <c r="GS26" s="509"/>
      <c r="GT26" s="509"/>
      <c r="GU26" s="509"/>
      <c r="GV26" s="509"/>
      <c r="GW26" s="509"/>
      <c r="GX26" s="509"/>
      <c r="GY26" s="509"/>
      <c r="GZ26" s="509"/>
      <c r="HA26" s="509"/>
      <c r="HB26" s="509"/>
      <c r="HC26" s="509"/>
      <c r="HD26" s="509"/>
      <c r="HE26" s="509"/>
      <c r="HF26" s="509"/>
      <c r="HG26" s="509"/>
      <c r="HH26" s="509"/>
      <c r="HI26" s="509"/>
      <c r="HJ26" s="509"/>
      <c r="HK26" s="509"/>
      <c r="HL26" s="509"/>
      <c r="HM26" s="509"/>
      <c r="HN26" s="509"/>
      <c r="HO26" s="509"/>
      <c r="HP26" s="509"/>
      <c r="HQ26" s="509"/>
      <c r="HR26" s="509"/>
      <c r="HS26" s="509"/>
      <c r="HT26" s="509"/>
      <c r="HU26" s="509"/>
      <c r="HV26" s="509"/>
      <c r="HW26" s="509"/>
      <c r="HX26" s="509"/>
      <c r="HY26" s="509"/>
      <c r="HZ26" s="509"/>
      <c r="IA26" s="509"/>
      <c r="IB26" s="509"/>
      <c r="IC26" s="509"/>
    </row>
    <row r="27" s="508" customFormat="1" customHeight="1" spans="1:248">
      <c r="A27" s="524" t="s">
        <v>111</v>
      </c>
      <c r="B27" s="94" t="s">
        <v>112</v>
      </c>
      <c r="C27" s="94" t="s">
        <v>13</v>
      </c>
      <c r="D27" s="94" t="s">
        <v>106</v>
      </c>
      <c r="E27" s="94"/>
      <c r="F27" s="94"/>
      <c r="G27" s="94"/>
      <c r="H27" s="94" t="s">
        <v>113</v>
      </c>
      <c r="I27" s="94">
        <v>13927633609</v>
      </c>
      <c r="J27" s="94">
        <v>633609</v>
      </c>
      <c r="K27" s="94"/>
      <c r="L27" s="509"/>
      <c r="M27" s="509"/>
      <c r="N27" s="509"/>
      <c r="O27" s="509"/>
      <c r="P27" s="509"/>
      <c r="Q27" s="509"/>
      <c r="R27" s="509"/>
      <c r="S27" s="509"/>
      <c r="T27" s="509"/>
      <c r="U27" s="509"/>
      <c r="V27" s="509"/>
      <c r="W27" s="509"/>
      <c r="X27" s="509"/>
      <c r="Y27" s="509"/>
      <c r="Z27" s="509"/>
      <c r="AA27" s="509"/>
      <c r="AB27" s="509"/>
      <c r="AC27" s="509"/>
      <c r="AD27" s="509"/>
      <c r="AE27" s="509"/>
      <c r="AF27" s="509"/>
      <c r="AG27" s="509"/>
      <c r="AH27" s="509"/>
      <c r="AI27" s="509"/>
      <c r="AJ27" s="509"/>
      <c r="AK27" s="509"/>
      <c r="AL27" s="509"/>
      <c r="AM27" s="509"/>
      <c r="AN27" s="509"/>
      <c r="AO27" s="509"/>
      <c r="AP27" s="509"/>
      <c r="AQ27" s="509"/>
      <c r="AR27" s="509"/>
      <c r="AS27" s="509"/>
      <c r="AT27" s="509"/>
      <c r="AU27" s="509"/>
      <c r="AV27" s="509"/>
      <c r="AW27" s="509"/>
      <c r="AX27" s="509"/>
      <c r="AY27" s="509"/>
      <c r="AZ27" s="509"/>
      <c r="BA27" s="509"/>
      <c r="BB27" s="509"/>
      <c r="BC27" s="509"/>
      <c r="BD27" s="509"/>
      <c r="BE27" s="509"/>
      <c r="BF27" s="509"/>
      <c r="BG27" s="509"/>
      <c r="BH27" s="509"/>
      <c r="BI27" s="509"/>
      <c r="BJ27" s="509"/>
      <c r="BK27" s="509"/>
      <c r="BL27" s="509"/>
      <c r="BM27" s="509"/>
      <c r="BN27" s="509"/>
      <c r="BO27" s="509"/>
      <c r="BP27" s="509"/>
      <c r="BQ27" s="509"/>
      <c r="BR27" s="509"/>
      <c r="BS27" s="509"/>
      <c r="BT27" s="509"/>
      <c r="BU27" s="509"/>
      <c r="BV27" s="509"/>
      <c r="BW27" s="509"/>
      <c r="BX27" s="509"/>
      <c r="BY27" s="509"/>
      <c r="BZ27" s="509"/>
      <c r="CA27" s="509"/>
      <c r="CB27" s="509"/>
      <c r="CC27" s="509"/>
      <c r="CD27" s="509"/>
      <c r="CE27" s="509"/>
      <c r="CF27" s="509"/>
      <c r="CG27" s="509"/>
      <c r="CH27" s="509"/>
      <c r="CI27" s="509"/>
      <c r="CJ27" s="509"/>
      <c r="CK27" s="509"/>
      <c r="CL27" s="509"/>
      <c r="CM27" s="509"/>
      <c r="CN27" s="509"/>
      <c r="CO27" s="509"/>
      <c r="CP27" s="509"/>
      <c r="CQ27" s="509"/>
      <c r="CR27" s="509"/>
      <c r="CS27" s="509"/>
      <c r="CT27" s="509"/>
      <c r="CU27" s="509"/>
      <c r="CV27" s="509"/>
      <c r="CW27" s="509"/>
      <c r="CX27" s="509"/>
      <c r="CY27" s="509"/>
      <c r="CZ27" s="509"/>
      <c r="DA27" s="509"/>
      <c r="DB27" s="509"/>
      <c r="DC27" s="509"/>
      <c r="DD27" s="509"/>
      <c r="DE27" s="509"/>
      <c r="DF27" s="509"/>
      <c r="DG27" s="509"/>
      <c r="DH27" s="509"/>
      <c r="DI27" s="509"/>
      <c r="DJ27" s="509"/>
      <c r="DK27" s="509"/>
      <c r="DL27" s="509"/>
      <c r="DM27" s="509"/>
      <c r="DN27" s="509"/>
      <c r="DO27" s="509"/>
      <c r="DP27" s="509"/>
      <c r="DQ27" s="509"/>
      <c r="DR27" s="509"/>
      <c r="DS27" s="509"/>
      <c r="DT27" s="509"/>
      <c r="DU27" s="509"/>
      <c r="DV27" s="509"/>
      <c r="DW27" s="509"/>
      <c r="DX27" s="509"/>
      <c r="DY27" s="509"/>
      <c r="DZ27" s="509"/>
      <c r="EA27" s="509"/>
      <c r="EB27" s="509"/>
      <c r="EC27" s="509"/>
      <c r="ED27" s="509"/>
      <c r="EE27" s="509"/>
      <c r="EF27" s="509"/>
      <c r="EG27" s="509"/>
      <c r="EH27" s="509"/>
      <c r="EI27" s="509"/>
      <c r="EJ27" s="509"/>
      <c r="EK27" s="509"/>
      <c r="EL27" s="509"/>
      <c r="EM27" s="509"/>
      <c r="EN27" s="509"/>
      <c r="EO27" s="509"/>
      <c r="EP27" s="509"/>
      <c r="EQ27" s="509"/>
      <c r="ER27" s="509"/>
      <c r="ES27" s="509"/>
      <c r="ET27" s="509"/>
      <c r="EU27" s="509"/>
      <c r="EV27" s="509"/>
      <c r="EW27" s="509"/>
      <c r="EX27" s="509"/>
      <c r="EY27" s="509"/>
      <c r="EZ27" s="509"/>
      <c r="FA27" s="509"/>
      <c r="FB27" s="509"/>
      <c r="FC27" s="509"/>
      <c r="FD27" s="509"/>
      <c r="FE27" s="509"/>
      <c r="FF27" s="509"/>
      <c r="FG27" s="509"/>
      <c r="FH27" s="509"/>
      <c r="FI27" s="509"/>
      <c r="FJ27" s="509"/>
      <c r="FK27" s="509"/>
      <c r="FL27" s="509"/>
      <c r="FM27" s="509"/>
      <c r="FN27" s="509"/>
      <c r="FO27" s="509"/>
      <c r="FP27" s="509"/>
      <c r="FQ27" s="509"/>
      <c r="FR27" s="509"/>
      <c r="FS27" s="509"/>
      <c r="FT27" s="509"/>
      <c r="FU27" s="509"/>
      <c r="FV27" s="509"/>
      <c r="FW27" s="509"/>
      <c r="FX27" s="509"/>
      <c r="FY27" s="509"/>
      <c r="FZ27" s="509"/>
      <c r="GA27" s="509"/>
      <c r="GB27" s="509"/>
      <c r="GC27" s="509"/>
      <c r="GD27" s="509"/>
      <c r="GE27" s="509"/>
      <c r="GF27" s="509"/>
      <c r="GG27" s="509"/>
      <c r="GH27" s="509"/>
      <c r="GI27" s="509"/>
      <c r="GJ27" s="509"/>
      <c r="GK27" s="509"/>
      <c r="GL27" s="509"/>
      <c r="GM27" s="509"/>
      <c r="GN27" s="509"/>
      <c r="GO27" s="509"/>
      <c r="GP27" s="509"/>
      <c r="GQ27" s="509"/>
      <c r="GR27" s="509"/>
      <c r="GS27" s="509"/>
      <c r="GT27" s="509"/>
      <c r="GU27" s="509"/>
      <c r="GV27" s="509"/>
      <c r="GW27" s="509"/>
      <c r="GX27" s="509"/>
      <c r="GY27" s="509"/>
      <c r="GZ27" s="509"/>
      <c r="HA27" s="509"/>
      <c r="HB27" s="509"/>
      <c r="HC27" s="509"/>
      <c r="HD27" s="509"/>
      <c r="HE27" s="509"/>
      <c r="HF27" s="509"/>
      <c r="HG27" s="509"/>
      <c r="HH27" s="509"/>
      <c r="HI27" s="509"/>
      <c r="HJ27" s="509"/>
      <c r="HK27" s="509"/>
      <c r="HL27" s="509"/>
      <c r="HM27" s="509"/>
      <c r="HN27" s="509"/>
      <c r="HO27" s="509"/>
      <c r="HP27" s="509"/>
      <c r="HQ27" s="509"/>
      <c r="HR27" s="509"/>
      <c r="HS27" s="509"/>
      <c r="HT27" s="509"/>
      <c r="HU27" s="509"/>
      <c r="HV27" s="509"/>
      <c r="HW27" s="509"/>
      <c r="HX27" s="509"/>
      <c r="HY27" s="509"/>
      <c r="HZ27" s="509"/>
      <c r="IA27" s="509"/>
      <c r="IB27" s="509"/>
      <c r="IC27" s="509"/>
    </row>
    <row r="28" s="508" customFormat="1" customHeight="1" spans="1:248">
      <c r="A28" s="524" t="s">
        <v>114</v>
      </c>
      <c r="B28" s="94" t="s">
        <v>115</v>
      </c>
      <c r="C28" s="94" t="s">
        <v>13</v>
      </c>
      <c r="D28" s="94" t="s">
        <v>106</v>
      </c>
      <c r="E28" s="94"/>
      <c r="G28" s="94"/>
      <c r="H28" s="94" t="s">
        <v>116</v>
      </c>
      <c r="I28" s="519" t="s">
        <v>117</v>
      </c>
      <c r="J28" s="94">
        <v>6454</v>
      </c>
      <c r="K28" s="94"/>
      <c r="L28" s="509"/>
      <c r="M28" s="509"/>
      <c r="N28" s="509"/>
      <c r="O28" s="509"/>
      <c r="P28" s="509"/>
      <c r="Q28" s="509"/>
      <c r="R28" s="509"/>
      <c r="S28" s="509"/>
      <c r="T28" s="509"/>
      <c r="U28" s="509"/>
      <c r="V28" s="509"/>
      <c r="W28" s="509"/>
      <c r="X28" s="509"/>
      <c r="Y28" s="509"/>
      <c r="Z28" s="509"/>
      <c r="AA28" s="509"/>
      <c r="AB28" s="509"/>
      <c r="AC28" s="509"/>
      <c r="AD28" s="509"/>
      <c r="AE28" s="509"/>
      <c r="AF28" s="509"/>
      <c r="AG28" s="509"/>
      <c r="AH28" s="509"/>
      <c r="AI28" s="509"/>
      <c r="AJ28" s="509"/>
      <c r="AK28" s="509"/>
      <c r="AL28" s="509"/>
      <c r="AM28" s="509"/>
      <c r="AN28" s="509"/>
      <c r="AO28" s="509"/>
      <c r="AP28" s="509"/>
      <c r="AQ28" s="509"/>
      <c r="AR28" s="509"/>
      <c r="AS28" s="509"/>
      <c r="AT28" s="509"/>
      <c r="AU28" s="509"/>
      <c r="AV28" s="509"/>
      <c r="AW28" s="509"/>
      <c r="AX28" s="509"/>
      <c r="AY28" s="509"/>
      <c r="AZ28" s="509"/>
      <c r="BA28" s="509"/>
      <c r="BB28" s="509"/>
      <c r="BC28" s="509"/>
      <c r="BD28" s="509"/>
      <c r="BE28" s="509"/>
      <c r="BF28" s="509"/>
      <c r="BG28" s="509"/>
      <c r="BH28" s="509"/>
      <c r="BI28" s="509"/>
      <c r="BJ28" s="509"/>
      <c r="BK28" s="509"/>
      <c r="BL28" s="509"/>
      <c r="BM28" s="509"/>
      <c r="BN28" s="509"/>
      <c r="BO28" s="509"/>
      <c r="BP28" s="509"/>
      <c r="BQ28" s="509"/>
      <c r="BR28" s="509"/>
      <c r="BS28" s="509"/>
      <c r="BT28" s="509"/>
      <c r="BU28" s="509"/>
      <c r="BV28" s="509"/>
      <c r="BW28" s="509"/>
      <c r="BX28" s="509"/>
      <c r="BY28" s="509"/>
      <c r="BZ28" s="509"/>
      <c r="CA28" s="509"/>
      <c r="CB28" s="509"/>
      <c r="CC28" s="509"/>
      <c r="CD28" s="509"/>
      <c r="CE28" s="509"/>
      <c r="CF28" s="509"/>
      <c r="CG28" s="509"/>
      <c r="CH28" s="509"/>
      <c r="CI28" s="509"/>
      <c r="CJ28" s="509"/>
      <c r="CK28" s="509"/>
      <c r="CL28" s="509"/>
      <c r="CM28" s="509"/>
      <c r="CN28" s="509"/>
      <c r="CO28" s="509"/>
      <c r="CP28" s="509"/>
      <c r="CQ28" s="509"/>
      <c r="CR28" s="509"/>
      <c r="CS28" s="509"/>
      <c r="CT28" s="509"/>
      <c r="CU28" s="509"/>
      <c r="CV28" s="509"/>
      <c r="CW28" s="509"/>
      <c r="CX28" s="509"/>
      <c r="CY28" s="509"/>
      <c r="CZ28" s="509"/>
      <c r="DA28" s="509"/>
      <c r="DB28" s="509"/>
      <c r="DC28" s="509"/>
      <c r="DD28" s="509"/>
      <c r="DE28" s="509"/>
      <c r="DF28" s="509"/>
      <c r="DG28" s="509"/>
      <c r="DH28" s="509"/>
      <c r="DI28" s="509"/>
      <c r="DJ28" s="509"/>
      <c r="DK28" s="509"/>
      <c r="DL28" s="509"/>
      <c r="DM28" s="509"/>
      <c r="DN28" s="509"/>
      <c r="DO28" s="509"/>
      <c r="DP28" s="509"/>
      <c r="DQ28" s="509"/>
      <c r="DR28" s="509"/>
      <c r="DS28" s="509"/>
      <c r="DT28" s="509"/>
      <c r="DU28" s="509"/>
      <c r="DV28" s="509"/>
      <c r="DW28" s="509"/>
      <c r="DX28" s="509"/>
      <c r="DY28" s="509"/>
      <c r="DZ28" s="509"/>
      <c r="EA28" s="509"/>
      <c r="EB28" s="509"/>
      <c r="EC28" s="509"/>
      <c r="ED28" s="509"/>
      <c r="EE28" s="509"/>
      <c r="EF28" s="509"/>
      <c r="EG28" s="509"/>
      <c r="EH28" s="509"/>
      <c r="EI28" s="509"/>
      <c r="EJ28" s="509"/>
      <c r="EK28" s="509"/>
      <c r="EL28" s="509"/>
      <c r="EM28" s="509"/>
      <c r="EN28" s="509"/>
      <c r="EO28" s="509"/>
      <c r="EP28" s="509"/>
      <c r="EQ28" s="509"/>
      <c r="ER28" s="509"/>
      <c r="ES28" s="509"/>
      <c r="ET28" s="509"/>
      <c r="EU28" s="509"/>
      <c r="EV28" s="509"/>
      <c r="EW28" s="509"/>
      <c r="EX28" s="509"/>
      <c r="EY28" s="509"/>
      <c r="EZ28" s="509"/>
      <c r="FA28" s="509"/>
      <c r="FB28" s="509"/>
      <c r="FC28" s="509"/>
      <c r="FD28" s="509"/>
      <c r="FE28" s="509"/>
      <c r="FF28" s="509"/>
      <c r="FG28" s="509"/>
      <c r="FH28" s="509"/>
      <c r="FI28" s="509"/>
      <c r="FJ28" s="509"/>
      <c r="FK28" s="509"/>
      <c r="FL28" s="509"/>
      <c r="FM28" s="509"/>
      <c r="FN28" s="509"/>
      <c r="FO28" s="509"/>
      <c r="FP28" s="509"/>
      <c r="FQ28" s="509"/>
      <c r="FR28" s="509"/>
      <c r="FS28" s="509"/>
      <c r="FT28" s="509"/>
      <c r="FU28" s="509"/>
      <c r="FV28" s="509"/>
      <c r="FW28" s="509"/>
      <c r="FX28" s="509"/>
      <c r="FY28" s="509"/>
      <c r="FZ28" s="509"/>
      <c r="GA28" s="509"/>
      <c r="GB28" s="509"/>
      <c r="GC28" s="509"/>
      <c r="GD28" s="509"/>
      <c r="GE28" s="509"/>
      <c r="GF28" s="509"/>
      <c r="GG28" s="509"/>
      <c r="GH28" s="509"/>
      <c r="GI28" s="509"/>
      <c r="GJ28" s="509"/>
      <c r="GK28" s="509"/>
      <c r="GL28" s="509"/>
      <c r="GM28" s="509"/>
      <c r="GN28" s="509"/>
      <c r="GO28" s="509"/>
      <c r="GP28" s="509"/>
      <c r="GQ28" s="509"/>
      <c r="GR28" s="509"/>
      <c r="GS28" s="509"/>
      <c r="GT28" s="509"/>
      <c r="GU28" s="509"/>
      <c r="GV28" s="509"/>
      <c r="GW28" s="509"/>
      <c r="GX28" s="509"/>
      <c r="GY28" s="509"/>
      <c r="GZ28" s="509"/>
      <c r="HA28" s="509"/>
      <c r="HB28" s="509"/>
      <c r="HC28" s="509"/>
      <c r="HD28" s="509"/>
      <c r="HE28" s="509"/>
      <c r="HF28" s="509"/>
      <c r="HG28" s="509"/>
      <c r="HH28" s="509"/>
      <c r="HI28" s="509"/>
      <c r="HJ28" s="509"/>
      <c r="HK28" s="509"/>
      <c r="HL28" s="509"/>
      <c r="HM28" s="509"/>
      <c r="HN28" s="509"/>
      <c r="HO28" s="509"/>
      <c r="HP28" s="509"/>
      <c r="HQ28" s="509"/>
      <c r="HR28" s="509"/>
      <c r="HS28" s="509"/>
      <c r="HT28" s="509"/>
      <c r="HU28" s="509"/>
      <c r="HV28" s="509"/>
      <c r="HW28" s="509"/>
      <c r="HX28" s="509"/>
      <c r="HY28" s="509"/>
      <c r="HZ28" s="509"/>
      <c r="IA28" s="509"/>
      <c r="IB28" s="509"/>
      <c r="IC28" s="509"/>
    </row>
    <row r="29" s="508" customFormat="1" customHeight="1" spans="1:248">
      <c r="A29" s="524" t="s">
        <v>118</v>
      </c>
      <c r="B29" s="94" t="s">
        <v>119</v>
      </c>
      <c r="C29" s="94" t="s">
        <v>13</v>
      </c>
      <c r="D29" s="94" t="s">
        <v>120</v>
      </c>
      <c r="E29" s="94" t="s">
        <v>121</v>
      </c>
      <c r="F29" s="94">
        <v>13620575055</v>
      </c>
      <c r="G29" s="94">
        <v>635055</v>
      </c>
      <c r="H29" s="94" t="s">
        <v>122</v>
      </c>
      <c r="I29" s="94">
        <v>15219074804</v>
      </c>
      <c r="J29" s="94">
        <v>684804</v>
      </c>
      <c r="K29" s="94"/>
      <c r="L29" s="509"/>
      <c r="M29" s="509"/>
      <c r="N29" s="509"/>
      <c r="O29" s="509"/>
      <c r="P29" s="509"/>
      <c r="Q29" s="509"/>
      <c r="R29" s="509"/>
      <c r="S29" s="509"/>
      <c r="T29" s="509"/>
      <c r="U29" s="509"/>
      <c r="V29" s="509"/>
      <c r="W29" s="509"/>
      <c r="X29" s="509"/>
      <c r="Y29" s="509"/>
      <c r="Z29" s="509"/>
      <c r="AA29" s="509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  <c r="AN29" s="509"/>
      <c r="AO29" s="509"/>
      <c r="AP29" s="509"/>
      <c r="AQ29" s="509"/>
      <c r="AR29" s="509"/>
      <c r="AS29" s="509"/>
      <c r="AT29" s="509"/>
      <c r="AU29" s="509"/>
      <c r="AV29" s="509"/>
      <c r="AW29" s="509"/>
      <c r="AX29" s="509"/>
      <c r="AY29" s="509"/>
      <c r="AZ29" s="509"/>
      <c r="BA29" s="509"/>
      <c r="BB29" s="509"/>
      <c r="BC29" s="509"/>
      <c r="BD29" s="509"/>
      <c r="BE29" s="509"/>
      <c r="BF29" s="509"/>
      <c r="BG29" s="509"/>
      <c r="BH29" s="509"/>
      <c r="BI29" s="509"/>
      <c r="BJ29" s="509"/>
      <c r="BK29" s="509"/>
      <c r="BL29" s="509"/>
      <c r="BM29" s="509"/>
      <c r="BN29" s="509"/>
      <c r="BO29" s="509"/>
      <c r="BP29" s="509"/>
      <c r="BQ29" s="509"/>
      <c r="BR29" s="509"/>
      <c r="BS29" s="509"/>
      <c r="BT29" s="509"/>
      <c r="BU29" s="509"/>
      <c r="BV29" s="509"/>
      <c r="BW29" s="509"/>
      <c r="BX29" s="509"/>
      <c r="BY29" s="509"/>
      <c r="BZ29" s="509"/>
      <c r="CA29" s="509"/>
      <c r="CB29" s="509"/>
      <c r="CC29" s="509"/>
      <c r="CD29" s="509"/>
      <c r="CE29" s="509"/>
      <c r="CF29" s="509"/>
      <c r="CG29" s="509"/>
      <c r="CH29" s="509"/>
      <c r="CI29" s="509"/>
      <c r="CJ29" s="509"/>
      <c r="CK29" s="509"/>
      <c r="CL29" s="509"/>
      <c r="CM29" s="509"/>
      <c r="CN29" s="509"/>
      <c r="CO29" s="509"/>
      <c r="CP29" s="509"/>
      <c r="CQ29" s="509"/>
      <c r="CR29" s="509"/>
      <c r="CS29" s="509"/>
      <c r="CT29" s="509"/>
      <c r="CU29" s="509"/>
      <c r="CV29" s="509"/>
      <c r="CW29" s="509"/>
      <c r="CX29" s="509"/>
      <c r="CY29" s="509"/>
      <c r="CZ29" s="509"/>
      <c r="DA29" s="509"/>
      <c r="DB29" s="509"/>
      <c r="DC29" s="509"/>
      <c r="DD29" s="509"/>
      <c r="DE29" s="509"/>
      <c r="DF29" s="509"/>
      <c r="DG29" s="509"/>
      <c r="DH29" s="509"/>
      <c r="DI29" s="509"/>
      <c r="DJ29" s="509"/>
      <c r="DK29" s="509"/>
      <c r="DL29" s="509"/>
      <c r="DM29" s="509"/>
      <c r="DN29" s="509"/>
      <c r="DO29" s="509"/>
      <c r="DP29" s="509"/>
      <c r="DQ29" s="509"/>
      <c r="DR29" s="509"/>
      <c r="DS29" s="509"/>
      <c r="DT29" s="509"/>
      <c r="DU29" s="509"/>
      <c r="DV29" s="509"/>
      <c r="DW29" s="509"/>
      <c r="DX29" s="509"/>
      <c r="DY29" s="509"/>
      <c r="DZ29" s="509"/>
      <c r="EA29" s="509"/>
      <c r="EB29" s="509"/>
      <c r="EC29" s="509"/>
      <c r="ED29" s="509"/>
      <c r="EE29" s="509"/>
      <c r="EF29" s="509"/>
      <c r="EG29" s="509"/>
      <c r="EH29" s="509"/>
      <c r="EI29" s="509"/>
      <c r="EJ29" s="509"/>
      <c r="EK29" s="509"/>
      <c r="EL29" s="509"/>
      <c r="EM29" s="509"/>
      <c r="EN29" s="509"/>
      <c r="EO29" s="509"/>
      <c r="EP29" s="509"/>
      <c r="EQ29" s="509"/>
      <c r="ER29" s="509"/>
      <c r="ES29" s="509"/>
      <c r="ET29" s="509"/>
      <c r="EU29" s="509"/>
      <c r="EV29" s="509"/>
      <c r="EW29" s="509"/>
      <c r="EX29" s="509"/>
      <c r="EY29" s="509"/>
      <c r="EZ29" s="509"/>
      <c r="FA29" s="509"/>
      <c r="FB29" s="509"/>
      <c r="FC29" s="509"/>
      <c r="FD29" s="509"/>
      <c r="FE29" s="509"/>
      <c r="FF29" s="509"/>
      <c r="FG29" s="509"/>
      <c r="FH29" s="509"/>
      <c r="FI29" s="509"/>
      <c r="FJ29" s="509"/>
      <c r="FK29" s="509"/>
      <c r="FL29" s="509"/>
      <c r="FM29" s="509"/>
      <c r="FN29" s="509"/>
      <c r="FO29" s="509"/>
      <c r="FP29" s="509"/>
      <c r="FQ29" s="509"/>
      <c r="FR29" s="509"/>
      <c r="FS29" s="509"/>
      <c r="FT29" s="509"/>
      <c r="FU29" s="509"/>
      <c r="FV29" s="509"/>
      <c r="FW29" s="509"/>
      <c r="FX29" s="509"/>
      <c r="FY29" s="509"/>
      <c r="FZ29" s="509"/>
      <c r="GA29" s="509"/>
      <c r="GB29" s="509"/>
      <c r="GC29" s="509"/>
      <c r="GD29" s="509"/>
      <c r="GE29" s="509"/>
      <c r="GF29" s="509"/>
      <c r="GG29" s="509"/>
      <c r="GH29" s="509"/>
      <c r="GI29" s="509"/>
      <c r="GJ29" s="509"/>
      <c r="GK29" s="509"/>
      <c r="GL29" s="509"/>
      <c r="GM29" s="509"/>
      <c r="GN29" s="509"/>
      <c r="GO29" s="509"/>
      <c r="GP29" s="509"/>
      <c r="GQ29" s="509"/>
      <c r="GR29" s="509"/>
      <c r="GS29" s="509"/>
      <c r="GT29" s="509"/>
      <c r="GU29" s="509"/>
      <c r="GV29" s="509"/>
      <c r="GW29" s="509"/>
      <c r="GX29" s="509"/>
      <c r="GY29" s="509"/>
      <c r="GZ29" s="509"/>
      <c r="HA29" s="509"/>
      <c r="HB29" s="509"/>
      <c r="HC29" s="509"/>
      <c r="HD29" s="509"/>
      <c r="HE29" s="509"/>
      <c r="HF29" s="509"/>
      <c r="HG29" s="509"/>
      <c r="HH29" s="509"/>
      <c r="HI29" s="509"/>
      <c r="HJ29" s="509"/>
      <c r="HK29" s="509"/>
      <c r="HL29" s="509"/>
      <c r="HM29" s="509"/>
      <c r="HN29" s="509"/>
      <c r="HO29" s="509"/>
      <c r="HP29" s="509"/>
      <c r="HQ29" s="509"/>
      <c r="HR29" s="509"/>
      <c r="HS29" s="509"/>
      <c r="HT29" s="509"/>
      <c r="HU29" s="509"/>
      <c r="HV29" s="509"/>
      <c r="HW29" s="509"/>
      <c r="HX29" s="509"/>
      <c r="HY29" s="509"/>
      <c r="HZ29" s="509"/>
      <c r="IA29" s="509"/>
      <c r="IB29" s="509"/>
      <c r="IC29" s="509"/>
    </row>
    <row r="30" s="508" customFormat="1" customHeight="1" spans="1:248">
      <c r="A30" s="524" t="s">
        <v>123</v>
      </c>
      <c r="B30" s="94" t="s">
        <v>124</v>
      </c>
      <c r="C30" s="94" t="s">
        <v>13</v>
      </c>
      <c r="D30" s="94" t="s">
        <v>125</v>
      </c>
      <c r="E30" s="94" t="s">
        <v>126</v>
      </c>
      <c r="F30" s="94">
        <v>13432700111</v>
      </c>
      <c r="G30" s="94">
        <v>680111</v>
      </c>
      <c r="H30" s="520"/>
      <c r="I30" s="520"/>
      <c r="J30" s="520"/>
      <c r="K30" s="94"/>
      <c r="L30" s="509"/>
      <c r="M30" s="509"/>
      <c r="N30" s="509"/>
      <c r="O30" s="509"/>
      <c r="P30" s="509"/>
      <c r="Q30" s="509"/>
      <c r="R30" s="509"/>
      <c r="S30" s="509"/>
      <c r="T30" s="509"/>
      <c r="U30" s="509"/>
      <c r="V30" s="509"/>
      <c r="W30" s="509"/>
      <c r="X30" s="509"/>
      <c r="Y30" s="509"/>
      <c r="Z30" s="509"/>
      <c r="AA30" s="509"/>
      <c r="AB30" s="509"/>
      <c r="AC30" s="509"/>
      <c r="AD30" s="509"/>
      <c r="AE30" s="509"/>
      <c r="AF30" s="509"/>
      <c r="AG30" s="509"/>
      <c r="AH30" s="509"/>
      <c r="AI30" s="509"/>
      <c r="AJ30" s="509"/>
      <c r="AK30" s="509"/>
      <c r="AL30" s="509"/>
      <c r="AM30" s="509"/>
      <c r="AN30" s="509"/>
      <c r="AO30" s="509"/>
      <c r="AP30" s="509"/>
      <c r="AQ30" s="509"/>
      <c r="AR30" s="509"/>
      <c r="AS30" s="509"/>
      <c r="AT30" s="509"/>
      <c r="AU30" s="509"/>
      <c r="AV30" s="509"/>
      <c r="AW30" s="509"/>
      <c r="AX30" s="509"/>
      <c r="AY30" s="509"/>
      <c r="AZ30" s="509"/>
      <c r="BA30" s="509"/>
      <c r="BB30" s="509"/>
      <c r="BC30" s="509"/>
      <c r="BD30" s="509"/>
      <c r="BE30" s="509"/>
      <c r="BF30" s="509"/>
      <c r="BG30" s="509"/>
      <c r="BH30" s="509"/>
      <c r="BI30" s="509"/>
      <c r="BJ30" s="509"/>
      <c r="BK30" s="509"/>
      <c r="BL30" s="509"/>
      <c r="BM30" s="509"/>
      <c r="BN30" s="509"/>
      <c r="BO30" s="509"/>
      <c r="BP30" s="509"/>
      <c r="BQ30" s="509"/>
      <c r="BR30" s="509"/>
      <c r="BS30" s="509"/>
      <c r="BT30" s="509"/>
      <c r="BU30" s="509"/>
      <c r="BV30" s="509"/>
      <c r="BW30" s="509"/>
      <c r="BX30" s="509"/>
      <c r="BY30" s="509"/>
      <c r="BZ30" s="509"/>
      <c r="CA30" s="509"/>
      <c r="CB30" s="509"/>
      <c r="CC30" s="509"/>
      <c r="CD30" s="509"/>
      <c r="CE30" s="509"/>
      <c r="CF30" s="509"/>
      <c r="CG30" s="509"/>
      <c r="CH30" s="509"/>
      <c r="CI30" s="509"/>
      <c r="CJ30" s="509"/>
      <c r="CK30" s="509"/>
      <c r="CL30" s="509"/>
      <c r="CM30" s="509"/>
      <c r="CN30" s="509"/>
      <c r="CO30" s="509"/>
      <c r="CP30" s="509"/>
      <c r="CQ30" s="509"/>
      <c r="CR30" s="509"/>
      <c r="CS30" s="509"/>
      <c r="CT30" s="509"/>
      <c r="CU30" s="509"/>
      <c r="CV30" s="509"/>
      <c r="CW30" s="509"/>
      <c r="CX30" s="509"/>
      <c r="CY30" s="509"/>
      <c r="CZ30" s="509"/>
      <c r="DA30" s="509"/>
      <c r="DB30" s="509"/>
      <c r="DC30" s="509"/>
      <c r="DD30" s="509"/>
      <c r="DE30" s="509"/>
      <c r="DF30" s="509"/>
      <c r="DG30" s="509"/>
      <c r="DH30" s="509"/>
      <c r="DI30" s="509"/>
      <c r="DJ30" s="509"/>
      <c r="DK30" s="509"/>
      <c r="DL30" s="509"/>
      <c r="DM30" s="509"/>
      <c r="DN30" s="509"/>
      <c r="DO30" s="509"/>
      <c r="DP30" s="509"/>
      <c r="DQ30" s="509"/>
      <c r="DR30" s="509"/>
      <c r="DS30" s="509"/>
      <c r="DT30" s="509"/>
      <c r="DU30" s="509"/>
      <c r="DV30" s="509"/>
      <c r="DW30" s="509"/>
      <c r="DX30" s="509"/>
      <c r="DY30" s="509"/>
      <c r="DZ30" s="509"/>
      <c r="EA30" s="509"/>
      <c r="EB30" s="509"/>
      <c r="EC30" s="509"/>
      <c r="ED30" s="509"/>
      <c r="EE30" s="509"/>
      <c r="EF30" s="509"/>
      <c r="EG30" s="509"/>
      <c r="EH30" s="509"/>
      <c r="EI30" s="509"/>
      <c r="EJ30" s="509"/>
      <c r="EK30" s="509"/>
      <c r="EL30" s="509"/>
      <c r="EM30" s="509"/>
      <c r="EN30" s="509"/>
      <c r="EO30" s="509"/>
      <c r="EP30" s="509"/>
      <c r="EQ30" s="509"/>
      <c r="ER30" s="509"/>
      <c r="ES30" s="509"/>
      <c r="ET30" s="509"/>
      <c r="EU30" s="509"/>
      <c r="EV30" s="509"/>
      <c r="EW30" s="509"/>
      <c r="EX30" s="509"/>
      <c r="EY30" s="509"/>
      <c r="EZ30" s="509"/>
      <c r="FA30" s="509"/>
      <c r="FB30" s="509"/>
      <c r="FC30" s="509"/>
      <c r="FD30" s="509"/>
      <c r="FE30" s="509"/>
      <c r="FF30" s="509"/>
      <c r="FG30" s="509"/>
      <c r="FH30" s="509"/>
      <c r="FI30" s="509"/>
      <c r="FJ30" s="509"/>
      <c r="FK30" s="509"/>
      <c r="FL30" s="509"/>
      <c r="FM30" s="509"/>
      <c r="FN30" s="509"/>
      <c r="FO30" s="509"/>
      <c r="FP30" s="509"/>
      <c r="FQ30" s="509"/>
      <c r="FR30" s="509"/>
      <c r="FS30" s="509"/>
      <c r="FT30" s="509"/>
      <c r="FU30" s="509"/>
      <c r="FV30" s="509"/>
      <c r="FW30" s="509"/>
      <c r="FX30" s="509"/>
      <c r="FY30" s="509"/>
      <c r="FZ30" s="509"/>
      <c r="GA30" s="509"/>
      <c r="GB30" s="509"/>
      <c r="GC30" s="509"/>
      <c r="GD30" s="509"/>
      <c r="GE30" s="509"/>
      <c r="GF30" s="509"/>
      <c r="GG30" s="509"/>
      <c r="GH30" s="509"/>
      <c r="GI30" s="509"/>
      <c r="GJ30" s="509"/>
      <c r="GK30" s="509"/>
      <c r="GL30" s="509"/>
      <c r="GM30" s="509"/>
      <c r="GN30" s="509"/>
      <c r="GO30" s="509"/>
      <c r="GP30" s="509"/>
      <c r="GQ30" s="509"/>
      <c r="GR30" s="509"/>
      <c r="GS30" s="509"/>
      <c r="GT30" s="509"/>
      <c r="GU30" s="509"/>
      <c r="GV30" s="509"/>
      <c r="GW30" s="509"/>
      <c r="GX30" s="509"/>
      <c r="GY30" s="509"/>
      <c r="GZ30" s="509"/>
      <c r="HA30" s="509"/>
      <c r="HB30" s="509"/>
      <c r="HC30" s="509"/>
      <c r="HD30" s="509"/>
      <c r="HE30" s="509"/>
      <c r="HF30" s="509"/>
      <c r="HG30" s="509"/>
      <c r="HH30" s="509"/>
      <c r="HI30" s="509"/>
      <c r="HJ30" s="509"/>
      <c r="HK30" s="509"/>
      <c r="HL30" s="509"/>
      <c r="HM30" s="509"/>
      <c r="HN30" s="509"/>
      <c r="HO30" s="509"/>
      <c r="HP30" s="509"/>
      <c r="HQ30" s="509"/>
      <c r="HR30" s="509"/>
      <c r="HS30" s="509"/>
      <c r="HT30" s="509"/>
      <c r="HU30" s="509"/>
      <c r="HV30" s="509"/>
      <c r="HW30" s="509"/>
      <c r="HX30" s="509"/>
      <c r="HY30" s="509"/>
      <c r="HZ30" s="509"/>
      <c r="IA30" s="509"/>
      <c r="IB30" s="509"/>
      <c r="IC30" s="509"/>
    </row>
    <row r="31" s="508" customFormat="1" customHeight="1" spans="1:248">
      <c r="A31" s="524" t="s">
        <v>127</v>
      </c>
      <c r="B31" s="94" t="s">
        <v>128</v>
      </c>
      <c r="C31" s="94" t="s">
        <v>13</v>
      </c>
      <c r="D31" s="94" t="s">
        <v>125</v>
      </c>
      <c r="E31" s="513" t="s">
        <v>129</v>
      </c>
      <c r="F31" s="521" t="s">
        <v>130</v>
      </c>
      <c r="G31" s="513">
        <v>662388</v>
      </c>
      <c r="H31" s="94" t="s">
        <v>131</v>
      </c>
      <c r="I31" s="94">
        <v>13535958668</v>
      </c>
      <c r="J31" s="94">
        <v>6468</v>
      </c>
      <c r="K31" s="94"/>
      <c r="L31" s="509"/>
      <c r="M31" s="509"/>
      <c r="N31" s="509"/>
      <c r="O31" s="509"/>
      <c r="P31" s="509"/>
      <c r="Q31" s="509"/>
      <c r="R31" s="509"/>
      <c r="S31" s="509"/>
      <c r="T31" s="509"/>
      <c r="U31" s="509"/>
      <c r="V31" s="509"/>
      <c r="W31" s="509"/>
      <c r="X31" s="509"/>
      <c r="Y31" s="509"/>
      <c r="Z31" s="509"/>
      <c r="AA31" s="509"/>
      <c r="AB31" s="509"/>
      <c r="AC31" s="509"/>
      <c r="AD31" s="509"/>
      <c r="AE31" s="509"/>
      <c r="AF31" s="509"/>
      <c r="AG31" s="509"/>
      <c r="AH31" s="509"/>
      <c r="AI31" s="509"/>
      <c r="AJ31" s="509"/>
      <c r="AK31" s="509"/>
      <c r="AL31" s="509"/>
      <c r="AM31" s="509"/>
      <c r="AN31" s="509"/>
      <c r="AO31" s="509"/>
      <c r="AP31" s="509"/>
      <c r="AQ31" s="509"/>
      <c r="AR31" s="509"/>
      <c r="AS31" s="509"/>
      <c r="AT31" s="509"/>
      <c r="AU31" s="509"/>
      <c r="AV31" s="509"/>
      <c r="AW31" s="509"/>
      <c r="AX31" s="509"/>
      <c r="AY31" s="509"/>
      <c r="AZ31" s="509"/>
      <c r="BA31" s="509"/>
      <c r="BB31" s="509"/>
      <c r="BC31" s="509"/>
      <c r="BD31" s="509"/>
      <c r="BE31" s="509"/>
      <c r="BF31" s="509"/>
      <c r="BG31" s="509"/>
      <c r="BH31" s="509"/>
      <c r="BI31" s="509"/>
      <c r="BJ31" s="509"/>
      <c r="BK31" s="509"/>
      <c r="BL31" s="509"/>
      <c r="BM31" s="509"/>
      <c r="BN31" s="509"/>
      <c r="BO31" s="509"/>
      <c r="BP31" s="509"/>
      <c r="BQ31" s="509"/>
      <c r="BR31" s="509"/>
      <c r="BS31" s="509"/>
      <c r="BT31" s="509"/>
      <c r="BU31" s="509"/>
      <c r="BV31" s="509"/>
      <c r="BW31" s="509"/>
      <c r="BX31" s="509"/>
      <c r="BY31" s="509"/>
      <c r="BZ31" s="509"/>
      <c r="CA31" s="509"/>
      <c r="CB31" s="509"/>
      <c r="CC31" s="509"/>
      <c r="CD31" s="509"/>
      <c r="CE31" s="509"/>
      <c r="CF31" s="509"/>
      <c r="CG31" s="509"/>
      <c r="CH31" s="509"/>
      <c r="CI31" s="509"/>
      <c r="CJ31" s="509"/>
      <c r="CK31" s="509"/>
      <c r="CL31" s="509"/>
      <c r="CM31" s="509"/>
      <c r="CN31" s="509"/>
      <c r="CO31" s="509"/>
      <c r="CP31" s="509"/>
      <c r="CQ31" s="509"/>
      <c r="CR31" s="509"/>
      <c r="CS31" s="509"/>
      <c r="CT31" s="509"/>
      <c r="CU31" s="509"/>
      <c r="CV31" s="509"/>
      <c r="CW31" s="509"/>
      <c r="CX31" s="509"/>
      <c r="CY31" s="509"/>
      <c r="CZ31" s="509"/>
      <c r="DA31" s="509"/>
      <c r="DB31" s="509"/>
      <c r="DC31" s="509"/>
      <c r="DD31" s="509"/>
      <c r="DE31" s="509"/>
      <c r="DF31" s="509"/>
      <c r="DG31" s="509"/>
      <c r="DH31" s="509"/>
      <c r="DI31" s="509"/>
      <c r="DJ31" s="509"/>
      <c r="DK31" s="509"/>
      <c r="DL31" s="509"/>
      <c r="DM31" s="509"/>
      <c r="DN31" s="509"/>
      <c r="DO31" s="509"/>
      <c r="DP31" s="509"/>
      <c r="DQ31" s="509"/>
      <c r="DR31" s="509"/>
      <c r="DS31" s="509"/>
      <c r="DT31" s="509"/>
      <c r="DU31" s="509"/>
      <c r="DV31" s="509"/>
      <c r="DW31" s="509"/>
      <c r="DX31" s="509"/>
      <c r="DY31" s="509"/>
      <c r="DZ31" s="509"/>
      <c r="EA31" s="509"/>
      <c r="EB31" s="509"/>
      <c r="EC31" s="509"/>
      <c r="ED31" s="509"/>
      <c r="EE31" s="509"/>
      <c r="EF31" s="509"/>
      <c r="EG31" s="509"/>
      <c r="EH31" s="509"/>
      <c r="EI31" s="509"/>
      <c r="EJ31" s="509"/>
      <c r="EK31" s="509"/>
      <c r="EL31" s="509"/>
      <c r="EM31" s="509"/>
      <c r="EN31" s="509"/>
      <c r="EO31" s="509"/>
      <c r="EP31" s="509"/>
      <c r="EQ31" s="509"/>
      <c r="ER31" s="509"/>
      <c r="ES31" s="509"/>
      <c r="ET31" s="509"/>
      <c r="EU31" s="509"/>
      <c r="EV31" s="509"/>
      <c r="EW31" s="509"/>
      <c r="EX31" s="509"/>
      <c r="EY31" s="509"/>
      <c r="EZ31" s="509"/>
      <c r="FA31" s="509"/>
      <c r="FB31" s="509"/>
      <c r="FC31" s="509"/>
      <c r="FD31" s="509"/>
      <c r="FE31" s="509"/>
      <c r="FF31" s="509"/>
      <c r="FG31" s="509"/>
      <c r="FH31" s="509"/>
      <c r="FI31" s="509"/>
      <c r="FJ31" s="509"/>
      <c r="FK31" s="509"/>
      <c r="FL31" s="509"/>
      <c r="FM31" s="509"/>
      <c r="FN31" s="509"/>
      <c r="FO31" s="509"/>
      <c r="FP31" s="509"/>
      <c r="FQ31" s="509"/>
      <c r="FR31" s="509"/>
      <c r="FS31" s="509"/>
      <c r="FT31" s="509"/>
      <c r="FU31" s="509"/>
      <c r="FV31" s="509"/>
      <c r="FW31" s="509"/>
      <c r="FX31" s="509"/>
      <c r="FY31" s="509"/>
      <c r="FZ31" s="509"/>
      <c r="GA31" s="509"/>
      <c r="GB31" s="509"/>
      <c r="GC31" s="509"/>
      <c r="GD31" s="509"/>
      <c r="GE31" s="509"/>
      <c r="GF31" s="509"/>
      <c r="GG31" s="509"/>
      <c r="GH31" s="509"/>
      <c r="GI31" s="509"/>
      <c r="GJ31" s="509"/>
      <c r="GK31" s="509"/>
      <c r="GL31" s="509"/>
      <c r="GM31" s="509"/>
      <c r="GN31" s="509"/>
      <c r="GO31" s="509"/>
      <c r="GP31" s="509"/>
      <c r="GQ31" s="509"/>
      <c r="GR31" s="509"/>
      <c r="GS31" s="509"/>
      <c r="GT31" s="509"/>
      <c r="GU31" s="509"/>
      <c r="GV31" s="509"/>
      <c r="GW31" s="509"/>
      <c r="GX31" s="509"/>
      <c r="GY31" s="509"/>
      <c r="GZ31" s="509"/>
      <c r="HA31" s="509"/>
      <c r="HB31" s="509"/>
      <c r="HC31" s="509"/>
      <c r="HD31" s="509"/>
      <c r="HE31" s="509"/>
      <c r="HF31" s="509"/>
      <c r="HG31" s="509"/>
      <c r="HH31" s="509"/>
      <c r="HI31" s="509"/>
      <c r="HJ31" s="509"/>
      <c r="HK31" s="509"/>
      <c r="HL31" s="509"/>
      <c r="HM31" s="509"/>
      <c r="HN31" s="509"/>
      <c r="HO31" s="509"/>
      <c r="HP31" s="509"/>
      <c r="HQ31" s="509"/>
      <c r="HR31" s="509"/>
      <c r="HS31" s="509"/>
      <c r="HT31" s="509"/>
      <c r="HU31" s="509"/>
      <c r="HV31" s="509"/>
      <c r="HW31" s="509"/>
      <c r="HX31" s="509"/>
      <c r="HY31" s="509"/>
      <c r="HZ31" s="509"/>
      <c r="IA31" s="509"/>
      <c r="IB31" s="509"/>
      <c r="IC31" s="509"/>
    </row>
    <row r="32" s="508" customFormat="1" customHeight="1" spans="1:248">
      <c r="A32" s="524" t="s">
        <v>132</v>
      </c>
      <c r="B32" s="94" t="s">
        <v>133</v>
      </c>
      <c r="C32" s="94" t="s">
        <v>13</v>
      </c>
      <c r="D32" s="94" t="s">
        <v>120</v>
      </c>
      <c r="E32" s="513" t="s">
        <v>134</v>
      </c>
      <c r="F32" s="513">
        <v>15820328712</v>
      </c>
      <c r="G32" s="513">
        <v>638712</v>
      </c>
      <c r="H32" s="94" t="s">
        <v>135</v>
      </c>
      <c r="I32" s="519" t="s">
        <v>136</v>
      </c>
      <c r="J32" s="94">
        <v>662967</v>
      </c>
      <c r="K32" s="94"/>
      <c r="L32" s="509"/>
      <c r="M32" s="509"/>
      <c r="N32" s="509"/>
      <c r="O32" s="509"/>
      <c r="P32" s="509"/>
      <c r="Q32" s="509"/>
      <c r="R32" s="509"/>
      <c r="S32" s="509"/>
      <c r="T32" s="509"/>
      <c r="U32" s="509"/>
      <c r="V32" s="509"/>
      <c r="W32" s="509"/>
      <c r="X32" s="509"/>
      <c r="Y32" s="509"/>
      <c r="Z32" s="509"/>
      <c r="AA32" s="509"/>
      <c r="AB32" s="509"/>
      <c r="AC32" s="509"/>
      <c r="AD32" s="509"/>
      <c r="AE32" s="509"/>
      <c r="AF32" s="509"/>
      <c r="AG32" s="509"/>
      <c r="AH32" s="509"/>
      <c r="AI32" s="509"/>
      <c r="AJ32" s="509"/>
      <c r="AK32" s="509"/>
      <c r="AL32" s="509"/>
      <c r="AM32" s="509"/>
      <c r="AN32" s="509"/>
      <c r="AO32" s="509"/>
      <c r="AP32" s="509"/>
      <c r="AQ32" s="509"/>
      <c r="AR32" s="509"/>
      <c r="AS32" s="509"/>
      <c r="AT32" s="509"/>
      <c r="AU32" s="509"/>
      <c r="AV32" s="509"/>
      <c r="AW32" s="509"/>
      <c r="AX32" s="509"/>
      <c r="AY32" s="509"/>
      <c r="AZ32" s="509"/>
      <c r="BA32" s="509"/>
      <c r="BB32" s="509"/>
      <c r="BC32" s="509"/>
      <c r="BD32" s="509"/>
      <c r="BE32" s="509"/>
      <c r="BF32" s="509"/>
      <c r="BG32" s="509"/>
      <c r="BH32" s="509"/>
      <c r="BI32" s="509"/>
      <c r="BJ32" s="509"/>
      <c r="BK32" s="509"/>
      <c r="BL32" s="509"/>
      <c r="BM32" s="509"/>
      <c r="BN32" s="509"/>
      <c r="BO32" s="509"/>
      <c r="BP32" s="509"/>
      <c r="BQ32" s="509"/>
      <c r="BR32" s="509"/>
      <c r="BS32" s="509"/>
      <c r="BT32" s="509"/>
      <c r="BU32" s="509"/>
      <c r="BV32" s="509"/>
      <c r="BW32" s="509"/>
      <c r="BX32" s="509"/>
      <c r="BY32" s="509"/>
      <c r="BZ32" s="509"/>
      <c r="CA32" s="509"/>
      <c r="CB32" s="509"/>
      <c r="CC32" s="509"/>
      <c r="CD32" s="509"/>
      <c r="CE32" s="509"/>
      <c r="CF32" s="509"/>
      <c r="CG32" s="509"/>
      <c r="CH32" s="509"/>
      <c r="CI32" s="509"/>
      <c r="CJ32" s="509"/>
      <c r="CK32" s="509"/>
      <c r="CL32" s="509"/>
      <c r="CM32" s="509"/>
      <c r="CN32" s="509"/>
      <c r="CO32" s="509"/>
      <c r="CP32" s="509"/>
      <c r="CQ32" s="509"/>
      <c r="CR32" s="509"/>
      <c r="CS32" s="509"/>
      <c r="CT32" s="509"/>
      <c r="CU32" s="509"/>
      <c r="CV32" s="509"/>
      <c r="CW32" s="509"/>
      <c r="CX32" s="509"/>
      <c r="CY32" s="509"/>
      <c r="CZ32" s="509"/>
      <c r="DA32" s="509"/>
      <c r="DB32" s="509"/>
      <c r="DC32" s="509"/>
      <c r="DD32" s="509"/>
      <c r="DE32" s="509"/>
      <c r="DF32" s="509"/>
      <c r="DG32" s="509"/>
      <c r="DH32" s="509"/>
      <c r="DI32" s="509"/>
      <c r="DJ32" s="509"/>
      <c r="DK32" s="509"/>
      <c r="DL32" s="509"/>
      <c r="DM32" s="509"/>
      <c r="DN32" s="509"/>
      <c r="DO32" s="509"/>
      <c r="DP32" s="509"/>
      <c r="DQ32" s="509"/>
      <c r="DR32" s="509"/>
      <c r="DS32" s="509"/>
      <c r="DT32" s="509"/>
      <c r="DU32" s="509"/>
      <c r="DV32" s="509"/>
      <c r="DW32" s="509"/>
      <c r="DX32" s="509"/>
      <c r="DY32" s="509"/>
      <c r="DZ32" s="509"/>
      <c r="EA32" s="509"/>
      <c r="EB32" s="509"/>
      <c r="EC32" s="509"/>
      <c r="ED32" s="509"/>
      <c r="EE32" s="509"/>
      <c r="EF32" s="509"/>
      <c r="EG32" s="509"/>
      <c r="EH32" s="509"/>
      <c r="EI32" s="509"/>
      <c r="EJ32" s="509"/>
      <c r="EK32" s="509"/>
      <c r="EL32" s="509"/>
      <c r="EM32" s="509"/>
      <c r="EN32" s="509"/>
      <c r="EO32" s="509"/>
      <c r="EP32" s="509"/>
      <c r="EQ32" s="509"/>
      <c r="ER32" s="509"/>
      <c r="ES32" s="509"/>
      <c r="ET32" s="509"/>
      <c r="EU32" s="509"/>
      <c r="EV32" s="509"/>
      <c r="EW32" s="509"/>
      <c r="EX32" s="509"/>
      <c r="EY32" s="509"/>
      <c r="EZ32" s="509"/>
      <c r="FA32" s="509"/>
      <c r="FB32" s="509"/>
      <c r="FC32" s="509"/>
      <c r="FD32" s="509"/>
      <c r="FE32" s="509"/>
      <c r="FF32" s="509"/>
      <c r="FG32" s="509"/>
      <c r="FH32" s="509"/>
      <c r="FI32" s="509"/>
      <c r="FJ32" s="509"/>
      <c r="FK32" s="509"/>
      <c r="FL32" s="509"/>
      <c r="FM32" s="509"/>
      <c r="FN32" s="509"/>
      <c r="FO32" s="509"/>
      <c r="FP32" s="509"/>
      <c r="FQ32" s="509"/>
      <c r="FR32" s="509"/>
      <c r="FS32" s="509"/>
      <c r="FT32" s="509"/>
      <c r="FU32" s="509"/>
      <c r="FV32" s="509"/>
      <c r="FW32" s="509"/>
      <c r="FX32" s="509"/>
      <c r="FY32" s="509"/>
      <c r="FZ32" s="509"/>
      <c r="GA32" s="509"/>
      <c r="GB32" s="509"/>
      <c r="GC32" s="509"/>
      <c r="GD32" s="509"/>
      <c r="GE32" s="509"/>
      <c r="GF32" s="509"/>
      <c r="GG32" s="509"/>
      <c r="GH32" s="509"/>
      <c r="GI32" s="509"/>
      <c r="GJ32" s="509"/>
      <c r="GK32" s="509"/>
      <c r="GL32" s="509"/>
      <c r="GM32" s="509"/>
      <c r="GN32" s="509"/>
      <c r="GO32" s="509"/>
      <c r="GP32" s="509"/>
      <c r="GQ32" s="509"/>
      <c r="GR32" s="509"/>
      <c r="GS32" s="509"/>
      <c r="GT32" s="509"/>
      <c r="GU32" s="509"/>
      <c r="GV32" s="509"/>
      <c r="GW32" s="509"/>
      <c r="GX32" s="509"/>
      <c r="GY32" s="509"/>
      <c r="GZ32" s="509"/>
      <c r="HA32" s="509"/>
      <c r="HB32" s="509"/>
      <c r="HC32" s="509"/>
      <c r="HD32" s="509"/>
      <c r="HE32" s="509"/>
      <c r="HF32" s="509"/>
      <c r="HG32" s="509"/>
      <c r="HH32" s="509"/>
      <c r="HI32" s="509"/>
      <c r="HJ32" s="509"/>
      <c r="HK32" s="509"/>
      <c r="HL32" s="509"/>
      <c r="HM32" s="509"/>
      <c r="HN32" s="509"/>
      <c r="HO32" s="509"/>
      <c r="HP32" s="509"/>
      <c r="HQ32" s="509"/>
      <c r="HR32" s="509"/>
      <c r="HS32" s="509"/>
      <c r="HT32" s="509"/>
      <c r="HU32" s="509"/>
      <c r="HV32" s="509"/>
      <c r="HW32" s="509"/>
      <c r="HX32" s="509"/>
      <c r="HY32" s="509"/>
      <c r="HZ32" s="509"/>
      <c r="IA32" s="509"/>
      <c r="IB32" s="509"/>
      <c r="IC32" s="509"/>
    </row>
    <row r="33" s="508" customFormat="1" customHeight="1" spans="1:237">
      <c r="A33" s="524" t="s">
        <v>137</v>
      </c>
      <c r="B33" s="94" t="s">
        <v>138</v>
      </c>
      <c r="C33" s="94" t="s">
        <v>13</v>
      </c>
      <c r="D33" s="94" t="s">
        <v>125</v>
      </c>
      <c r="E33" s="513" t="s">
        <v>139</v>
      </c>
      <c r="F33" s="521" t="s">
        <v>140</v>
      </c>
      <c r="G33" s="513">
        <v>665327</v>
      </c>
      <c r="H33" s="513" t="s">
        <v>141</v>
      </c>
      <c r="I33" s="521">
        <v>13727180943</v>
      </c>
      <c r="J33" s="513">
        <v>690943</v>
      </c>
      <c r="K33" s="94"/>
      <c r="L33" s="509"/>
      <c r="M33" s="509"/>
      <c r="N33" s="509"/>
      <c r="O33" s="509"/>
      <c r="P33" s="509"/>
      <c r="Q33" s="509"/>
      <c r="R33" s="509"/>
      <c r="S33" s="509"/>
      <c r="T33" s="509"/>
      <c r="U33" s="509"/>
      <c r="V33" s="509"/>
      <c r="W33" s="509"/>
      <c r="X33" s="509"/>
      <c r="Y33" s="509"/>
      <c r="Z33" s="509"/>
      <c r="AA33" s="509"/>
      <c r="AB33" s="509"/>
      <c r="AC33" s="509"/>
      <c r="AD33" s="509"/>
      <c r="AE33" s="509"/>
      <c r="AF33" s="509"/>
      <c r="AG33" s="509"/>
      <c r="AH33" s="509"/>
      <c r="AI33" s="509"/>
      <c r="AJ33" s="509"/>
      <c r="AK33" s="509"/>
      <c r="AL33" s="509"/>
      <c r="AM33" s="509"/>
      <c r="AN33" s="509"/>
      <c r="AO33" s="509"/>
      <c r="AP33" s="509"/>
      <c r="AQ33" s="509"/>
      <c r="AR33" s="509"/>
      <c r="AS33" s="509"/>
      <c r="AT33" s="509"/>
      <c r="AU33" s="509"/>
      <c r="AV33" s="509"/>
      <c r="AW33" s="509"/>
      <c r="AX33" s="509"/>
      <c r="AY33" s="509"/>
      <c r="AZ33" s="509"/>
      <c r="BA33" s="509"/>
      <c r="BB33" s="509"/>
      <c r="BC33" s="509"/>
      <c r="BD33" s="509"/>
      <c r="BE33" s="509"/>
      <c r="BF33" s="509"/>
      <c r="BG33" s="509"/>
      <c r="BH33" s="509"/>
      <c r="BI33" s="509"/>
      <c r="BJ33" s="509"/>
      <c r="BK33" s="509"/>
      <c r="BL33" s="509"/>
      <c r="BM33" s="509"/>
      <c r="BN33" s="509"/>
      <c r="BO33" s="509"/>
      <c r="BP33" s="509"/>
      <c r="BQ33" s="509"/>
      <c r="BR33" s="509"/>
      <c r="BS33" s="509"/>
      <c r="BT33" s="509"/>
      <c r="BU33" s="509"/>
      <c r="BV33" s="509"/>
      <c r="BW33" s="509"/>
      <c r="BX33" s="509"/>
      <c r="BY33" s="509"/>
      <c r="BZ33" s="509"/>
      <c r="CA33" s="509"/>
      <c r="CB33" s="509"/>
      <c r="CC33" s="509"/>
      <c r="CD33" s="509"/>
      <c r="CE33" s="509"/>
      <c r="CF33" s="509"/>
      <c r="CG33" s="509"/>
      <c r="CH33" s="509"/>
      <c r="CI33" s="509"/>
      <c r="CJ33" s="509"/>
      <c r="CK33" s="509"/>
      <c r="CL33" s="509"/>
      <c r="CM33" s="509"/>
      <c r="CN33" s="509"/>
      <c r="CO33" s="509"/>
      <c r="CP33" s="509"/>
      <c r="CQ33" s="509"/>
      <c r="CR33" s="509"/>
      <c r="CS33" s="509"/>
      <c r="CT33" s="509"/>
      <c r="CU33" s="509"/>
      <c r="CV33" s="509"/>
      <c r="CW33" s="509"/>
      <c r="CX33" s="509"/>
      <c r="CY33" s="509"/>
      <c r="CZ33" s="509"/>
      <c r="DA33" s="509"/>
      <c r="DB33" s="509"/>
      <c r="DC33" s="509"/>
      <c r="DD33" s="509"/>
      <c r="DE33" s="509"/>
      <c r="DF33" s="509"/>
      <c r="DG33" s="509"/>
      <c r="DH33" s="509"/>
      <c r="DI33" s="509"/>
      <c r="DJ33" s="509"/>
      <c r="DK33" s="509"/>
      <c r="DL33" s="509"/>
      <c r="DM33" s="509"/>
      <c r="DN33" s="509"/>
      <c r="DO33" s="509"/>
      <c r="DP33" s="509"/>
      <c r="DQ33" s="509"/>
      <c r="DR33" s="509"/>
      <c r="DS33" s="509"/>
      <c r="DT33" s="509"/>
      <c r="DU33" s="509"/>
      <c r="DV33" s="509"/>
      <c r="DW33" s="509"/>
      <c r="DX33" s="509"/>
      <c r="DY33" s="509"/>
      <c r="DZ33" s="509"/>
      <c r="EA33" s="509"/>
      <c r="EB33" s="509"/>
      <c r="EC33" s="509"/>
      <c r="ED33" s="509"/>
      <c r="EE33" s="509"/>
      <c r="EF33" s="509"/>
      <c r="EG33" s="509"/>
      <c r="EH33" s="509"/>
      <c r="EI33" s="509"/>
      <c r="EJ33" s="509"/>
      <c r="EK33" s="509"/>
      <c r="EL33" s="509"/>
      <c r="EM33" s="509"/>
      <c r="EN33" s="509"/>
      <c r="EO33" s="509"/>
      <c r="EP33" s="509"/>
      <c r="EQ33" s="509"/>
      <c r="ER33" s="509"/>
      <c r="ES33" s="509"/>
      <c r="ET33" s="509"/>
      <c r="EU33" s="509"/>
      <c r="EV33" s="509"/>
      <c r="EW33" s="509"/>
      <c r="EX33" s="509"/>
      <c r="EY33" s="509"/>
      <c r="EZ33" s="509"/>
      <c r="FA33" s="509"/>
      <c r="FB33" s="509"/>
      <c r="FC33" s="509"/>
      <c r="FD33" s="509"/>
      <c r="FE33" s="509"/>
      <c r="FF33" s="509"/>
      <c r="FG33" s="509"/>
      <c r="FH33" s="509"/>
      <c r="FI33" s="509"/>
      <c r="FJ33" s="509"/>
      <c r="FK33" s="509"/>
      <c r="FL33" s="509"/>
      <c r="FM33" s="509"/>
      <c r="FN33" s="509"/>
      <c r="FO33" s="509"/>
      <c r="FP33" s="509"/>
      <c r="FQ33" s="509"/>
      <c r="FR33" s="509"/>
      <c r="FS33" s="509"/>
      <c r="FT33" s="509"/>
      <c r="FU33" s="509"/>
      <c r="FV33" s="509"/>
      <c r="FW33" s="509"/>
      <c r="FX33" s="509"/>
      <c r="FY33" s="509"/>
      <c r="FZ33" s="509"/>
      <c r="GA33" s="509"/>
      <c r="GB33" s="509"/>
      <c r="GC33" s="509"/>
      <c r="GD33" s="509"/>
      <c r="GE33" s="509"/>
      <c r="GF33" s="509"/>
      <c r="GG33" s="509"/>
      <c r="GH33" s="509"/>
      <c r="GI33" s="509"/>
      <c r="GJ33" s="509"/>
      <c r="GK33" s="509"/>
      <c r="GL33" s="509"/>
      <c r="GM33" s="509"/>
      <c r="GN33" s="509"/>
      <c r="GO33" s="509"/>
      <c r="GP33" s="509"/>
      <c r="GQ33" s="509"/>
      <c r="GR33" s="509"/>
      <c r="GS33" s="509"/>
      <c r="GT33" s="509"/>
      <c r="GU33" s="509"/>
      <c r="GV33" s="509"/>
      <c r="GW33" s="509"/>
      <c r="GX33" s="509"/>
      <c r="GY33" s="509"/>
      <c r="GZ33" s="509"/>
      <c r="HA33" s="509"/>
      <c r="HB33" s="509"/>
      <c r="HC33" s="509"/>
      <c r="HD33" s="509"/>
      <c r="HE33" s="509"/>
      <c r="HF33" s="509"/>
      <c r="HG33" s="509"/>
      <c r="HH33" s="509"/>
      <c r="HI33" s="509"/>
      <c r="HJ33" s="509"/>
      <c r="HK33" s="509"/>
      <c r="HL33" s="509"/>
      <c r="HM33" s="509"/>
      <c r="HN33" s="509"/>
      <c r="HO33" s="509"/>
      <c r="HP33" s="509"/>
      <c r="HQ33" s="509"/>
      <c r="HR33" s="509"/>
      <c r="HS33" s="509"/>
      <c r="HT33" s="509"/>
      <c r="HU33" s="509"/>
      <c r="HV33" s="509"/>
      <c r="HW33" s="509"/>
      <c r="HX33" s="509"/>
      <c r="HY33" s="509"/>
      <c r="HZ33" s="509"/>
      <c r="IA33" s="509"/>
      <c r="IB33" s="509"/>
      <c r="IC33" s="509"/>
    </row>
    <row r="34" s="508" customFormat="1" customHeight="1" spans="1:237">
      <c r="A34" s="524" t="s">
        <v>142</v>
      </c>
      <c r="B34" s="94" t="s">
        <v>143</v>
      </c>
      <c r="C34" s="94" t="s">
        <v>13</v>
      </c>
      <c r="D34" s="94" t="s">
        <v>120</v>
      </c>
      <c r="E34" s="94" t="s">
        <v>144</v>
      </c>
      <c r="F34" s="94">
        <v>13602923323</v>
      </c>
      <c r="G34" s="94">
        <v>63323</v>
      </c>
      <c r="H34" s="94" t="s">
        <v>144</v>
      </c>
      <c r="I34" s="94">
        <v>13602923323</v>
      </c>
      <c r="J34" s="94">
        <v>63323</v>
      </c>
      <c r="K34" s="94"/>
      <c r="L34" s="509"/>
      <c r="M34" s="509"/>
      <c r="N34" s="509"/>
      <c r="O34" s="509"/>
      <c r="P34" s="509"/>
      <c r="Q34" s="509"/>
      <c r="R34" s="509"/>
      <c r="S34" s="509"/>
      <c r="T34" s="509"/>
      <c r="U34" s="509"/>
      <c r="V34" s="509"/>
      <c r="W34" s="509"/>
      <c r="X34" s="509"/>
      <c r="Y34" s="509"/>
      <c r="Z34" s="509"/>
      <c r="AA34" s="509"/>
      <c r="AB34" s="509"/>
      <c r="AC34" s="509"/>
      <c r="AD34" s="509"/>
      <c r="AE34" s="509"/>
      <c r="AF34" s="509"/>
      <c r="AG34" s="509"/>
      <c r="AH34" s="509"/>
      <c r="AI34" s="509"/>
      <c r="AJ34" s="509"/>
      <c r="AK34" s="509"/>
      <c r="AL34" s="509"/>
      <c r="AM34" s="509"/>
      <c r="AN34" s="509"/>
      <c r="AO34" s="509"/>
      <c r="AP34" s="509"/>
      <c r="AQ34" s="509"/>
      <c r="AR34" s="509"/>
      <c r="AS34" s="509"/>
      <c r="AT34" s="509"/>
      <c r="AU34" s="509"/>
      <c r="AV34" s="509"/>
      <c r="AW34" s="509"/>
      <c r="AX34" s="509"/>
      <c r="AY34" s="509"/>
      <c r="AZ34" s="509"/>
      <c r="BA34" s="509"/>
      <c r="BB34" s="509"/>
      <c r="BC34" s="509"/>
      <c r="BD34" s="509"/>
      <c r="BE34" s="509"/>
      <c r="BF34" s="509"/>
      <c r="BG34" s="509"/>
      <c r="BH34" s="509"/>
      <c r="BI34" s="509"/>
      <c r="BJ34" s="509"/>
      <c r="BK34" s="509"/>
      <c r="BL34" s="509"/>
      <c r="BM34" s="509"/>
      <c r="BN34" s="509"/>
      <c r="BO34" s="509"/>
      <c r="BP34" s="509"/>
      <c r="BQ34" s="509"/>
      <c r="BR34" s="509"/>
      <c r="BS34" s="509"/>
      <c r="BT34" s="509"/>
      <c r="BU34" s="509"/>
      <c r="BV34" s="509"/>
      <c r="BW34" s="509"/>
      <c r="BX34" s="509"/>
      <c r="BY34" s="509"/>
      <c r="BZ34" s="509"/>
      <c r="CA34" s="509"/>
      <c r="CB34" s="509"/>
      <c r="CC34" s="509"/>
      <c r="CD34" s="509"/>
      <c r="CE34" s="509"/>
      <c r="CF34" s="509"/>
      <c r="CG34" s="509"/>
      <c r="CH34" s="509"/>
      <c r="CI34" s="509"/>
      <c r="CJ34" s="509"/>
      <c r="CK34" s="509"/>
      <c r="CL34" s="509"/>
      <c r="CM34" s="509"/>
      <c r="CN34" s="509"/>
      <c r="CO34" s="509"/>
      <c r="CP34" s="509"/>
      <c r="CQ34" s="509"/>
      <c r="CR34" s="509"/>
      <c r="CS34" s="509"/>
      <c r="CT34" s="509"/>
      <c r="CU34" s="509"/>
      <c r="CV34" s="509"/>
      <c r="CW34" s="509"/>
      <c r="CX34" s="509"/>
      <c r="CY34" s="509"/>
      <c r="CZ34" s="509"/>
      <c r="DA34" s="509"/>
      <c r="DB34" s="509"/>
      <c r="DC34" s="509"/>
      <c r="DD34" s="509"/>
      <c r="DE34" s="509"/>
      <c r="DF34" s="509"/>
      <c r="DG34" s="509"/>
      <c r="DH34" s="509"/>
      <c r="DI34" s="509"/>
      <c r="DJ34" s="509"/>
      <c r="DK34" s="509"/>
      <c r="DL34" s="509"/>
      <c r="DM34" s="509"/>
      <c r="DN34" s="509"/>
      <c r="DO34" s="509"/>
      <c r="DP34" s="509"/>
      <c r="DQ34" s="509"/>
      <c r="DR34" s="509"/>
      <c r="DS34" s="509"/>
      <c r="DT34" s="509"/>
      <c r="DU34" s="509"/>
      <c r="DV34" s="509"/>
      <c r="DW34" s="509"/>
      <c r="DX34" s="509"/>
      <c r="DY34" s="509"/>
      <c r="DZ34" s="509"/>
      <c r="EA34" s="509"/>
      <c r="EB34" s="509"/>
      <c r="EC34" s="509"/>
      <c r="ED34" s="509"/>
      <c r="EE34" s="509"/>
      <c r="EF34" s="509"/>
      <c r="EG34" s="509"/>
      <c r="EH34" s="509"/>
      <c r="EI34" s="509"/>
      <c r="EJ34" s="509"/>
      <c r="EK34" s="509"/>
      <c r="EL34" s="509"/>
      <c r="EM34" s="509"/>
      <c r="EN34" s="509"/>
      <c r="EO34" s="509"/>
      <c r="EP34" s="509"/>
      <c r="EQ34" s="509"/>
      <c r="ER34" s="509"/>
      <c r="ES34" s="509"/>
      <c r="ET34" s="509"/>
      <c r="EU34" s="509"/>
      <c r="EV34" s="509"/>
      <c r="EW34" s="509"/>
      <c r="EX34" s="509"/>
      <c r="EY34" s="509"/>
      <c r="EZ34" s="509"/>
      <c r="FA34" s="509"/>
      <c r="FB34" s="509"/>
      <c r="FC34" s="509"/>
      <c r="FD34" s="509"/>
      <c r="FE34" s="509"/>
      <c r="FF34" s="509"/>
      <c r="FG34" s="509"/>
      <c r="FH34" s="509"/>
      <c r="FI34" s="509"/>
      <c r="FJ34" s="509"/>
      <c r="FK34" s="509"/>
      <c r="FL34" s="509"/>
      <c r="FM34" s="509"/>
      <c r="FN34" s="509"/>
      <c r="FO34" s="509"/>
      <c r="FP34" s="509"/>
      <c r="FQ34" s="509"/>
      <c r="FR34" s="509"/>
      <c r="FS34" s="509"/>
      <c r="FT34" s="509"/>
      <c r="FU34" s="509"/>
      <c r="FV34" s="509"/>
      <c r="FW34" s="509"/>
      <c r="FX34" s="509"/>
      <c r="FY34" s="509"/>
      <c r="FZ34" s="509"/>
      <c r="GA34" s="509"/>
      <c r="GB34" s="509"/>
      <c r="GC34" s="509"/>
      <c r="GD34" s="509"/>
      <c r="GE34" s="509"/>
      <c r="GF34" s="509"/>
      <c r="GG34" s="509"/>
      <c r="GH34" s="509"/>
      <c r="GI34" s="509"/>
      <c r="GJ34" s="509"/>
      <c r="GK34" s="509"/>
      <c r="GL34" s="509"/>
      <c r="GM34" s="509"/>
      <c r="GN34" s="509"/>
      <c r="GO34" s="509"/>
      <c r="GP34" s="509"/>
      <c r="GQ34" s="509"/>
      <c r="GR34" s="509"/>
      <c r="GS34" s="509"/>
      <c r="GT34" s="509"/>
      <c r="GU34" s="509"/>
      <c r="GV34" s="509"/>
      <c r="GW34" s="509"/>
      <c r="GX34" s="509"/>
      <c r="GY34" s="509"/>
      <c r="GZ34" s="509"/>
      <c r="HA34" s="509"/>
      <c r="HB34" s="509"/>
      <c r="HC34" s="509"/>
      <c r="HD34" s="509"/>
      <c r="HE34" s="509"/>
      <c r="HF34" s="509"/>
      <c r="HG34" s="509"/>
      <c r="HH34" s="509"/>
      <c r="HI34" s="509"/>
      <c r="HJ34" s="509"/>
      <c r="HK34" s="509"/>
      <c r="HL34" s="509"/>
      <c r="HM34" s="509"/>
      <c r="HN34" s="509"/>
      <c r="HO34" s="509"/>
      <c r="HP34" s="509"/>
      <c r="HQ34" s="509"/>
      <c r="HR34" s="509"/>
      <c r="HS34" s="509"/>
      <c r="HT34" s="509"/>
      <c r="HU34" s="509"/>
      <c r="HV34" s="509"/>
      <c r="HW34" s="509"/>
      <c r="HX34" s="509"/>
      <c r="HY34" s="509"/>
      <c r="HZ34" s="509"/>
      <c r="IA34" s="509"/>
      <c r="IB34" s="509"/>
      <c r="IC34" s="509"/>
    </row>
    <row r="35" s="508" customFormat="1" customHeight="1" spans="1:237">
      <c r="A35" s="524" t="s">
        <v>145</v>
      </c>
      <c r="B35" s="94" t="s">
        <v>146</v>
      </c>
      <c r="C35" s="94" t="s">
        <v>13</v>
      </c>
      <c r="D35" s="94" t="s">
        <v>125</v>
      </c>
      <c r="E35" s="94" t="s">
        <v>147</v>
      </c>
      <c r="F35" s="94">
        <v>15816231318</v>
      </c>
      <c r="G35" s="94">
        <v>661318</v>
      </c>
      <c r="H35" s="522" t="s">
        <v>148</v>
      </c>
      <c r="I35" s="522">
        <v>13679518212</v>
      </c>
      <c r="J35" s="522">
        <v>668212</v>
      </c>
      <c r="K35" s="94"/>
      <c r="L35" s="509"/>
      <c r="M35" s="509"/>
      <c r="N35" s="509"/>
      <c r="O35" s="509"/>
      <c r="P35" s="509"/>
      <c r="Q35" s="509"/>
      <c r="R35" s="509"/>
      <c r="S35" s="509"/>
      <c r="T35" s="509"/>
      <c r="U35" s="509"/>
      <c r="V35" s="509"/>
      <c r="W35" s="509"/>
      <c r="X35" s="509"/>
      <c r="Y35" s="509"/>
      <c r="Z35" s="509"/>
      <c r="AA35" s="509"/>
      <c r="AB35" s="509"/>
      <c r="AC35" s="509"/>
      <c r="AD35" s="509"/>
      <c r="AE35" s="509"/>
      <c r="AF35" s="509"/>
      <c r="AG35" s="509"/>
      <c r="AH35" s="509"/>
      <c r="AI35" s="509"/>
      <c r="AJ35" s="509"/>
      <c r="AK35" s="509"/>
      <c r="AL35" s="509"/>
      <c r="AM35" s="509"/>
      <c r="AN35" s="509"/>
      <c r="AO35" s="509"/>
      <c r="AP35" s="509"/>
      <c r="AQ35" s="509"/>
      <c r="AR35" s="509"/>
      <c r="AS35" s="509"/>
      <c r="AT35" s="509"/>
      <c r="AU35" s="509"/>
      <c r="AV35" s="509"/>
      <c r="AW35" s="509"/>
      <c r="AX35" s="509"/>
      <c r="AY35" s="509"/>
      <c r="AZ35" s="509"/>
      <c r="BA35" s="509"/>
      <c r="BB35" s="509"/>
      <c r="BC35" s="509"/>
      <c r="BD35" s="509"/>
      <c r="BE35" s="509"/>
      <c r="BF35" s="509"/>
      <c r="BG35" s="509"/>
      <c r="BH35" s="509"/>
      <c r="BI35" s="509"/>
      <c r="BJ35" s="509"/>
      <c r="BK35" s="509"/>
      <c r="BL35" s="509"/>
      <c r="BM35" s="509"/>
      <c r="BN35" s="509"/>
      <c r="BO35" s="509"/>
      <c r="BP35" s="509"/>
      <c r="BQ35" s="509"/>
      <c r="BR35" s="509"/>
      <c r="BS35" s="509"/>
      <c r="BT35" s="509"/>
      <c r="BU35" s="509"/>
      <c r="BV35" s="509"/>
      <c r="BW35" s="509"/>
      <c r="BX35" s="509"/>
      <c r="BY35" s="509"/>
      <c r="BZ35" s="509"/>
      <c r="CA35" s="509"/>
      <c r="CB35" s="509"/>
      <c r="CC35" s="509"/>
      <c r="CD35" s="509"/>
      <c r="CE35" s="509"/>
      <c r="CF35" s="509"/>
      <c r="CG35" s="509"/>
      <c r="CH35" s="509"/>
      <c r="CI35" s="509"/>
      <c r="CJ35" s="509"/>
      <c r="CK35" s="509"/>
      <c r="CL35" s="509"/>
      <c r="CM35" s="509"/>
      <c r="CN35" s="509"/>
      <c r="CO35" s="509"/>
      <c r="CP35" s="509"/>
      <c r="CQ35" s="509"/>
      <c r="CR35" s="509"/>
      <c r="CS35" s="509"/>
      <c r="CT35" s="509"/>
      <c r="CU35" s="509"/>
      <c r="CV35" s="509"/>
      <c r="CW35" s="509"/>
      <c r="CX35" s="509"/>
      <c r="CY35" s="509"/>
      <c r="CZ35" s="509"/>
      <c r="DA35" s="509"/>
      <c r="DB35" s="509"/>
      <c r="DC35" s="509"/>
      <c r="DD35" s="509"/>
      <c r="DE35" s="509"/>
      <c r="DF35" s="509"/>
      <c r="DG35" s="509"/>
      <c r="DH35" s="509"/>
      <c r="DI35" s="509"/>
      <c r="DJ35" s="509"/>
      <c r="DK35" s="509"/>
      <c r="DL35" s="509"/>
      <c r="DM35" s="509"/>
      <c r="DN35" s="509"/>
      <c r="DO35" s="509"/>
      <c r="DP35" s="509"/>
      <c r="DQ35" s="509"/>
      <c r="DR35" s="509"/>
      <c r="DS35" s="509"/>
      <c r="DT35" s="509"/>
      <c r="DU35" s="509"/>
      <c r="DV35" s="509"/>
      <c r="DW35" s="509"/>
      <c r="DX35" s="509"/>
      <c r="DY35" s="509"/>
      <c r="DZ35" s="509"/>
      <c r="EA35" s="509"/>
      <c r="EB35" s="509"/>
      <c r="EC35" s="509"/>
      <c r="ED35" s="509"/>
      <c r="EE35" s="509"/>
      <c r="EF35" s="509"/>
      <c r="EG35" s="509"/>
      <c r="EH35" s="509"/>
      <c r="EI35" s="509"/>
      <c r="EJ35" s="509"/>
      <c r="EK35" s="509"/>
      <c r="EL35" s="509"/>
      <c r="EM35" s="509"/>
      <c r="EN35" s="509"/>
      <c r="EO35" s="509"/>
      <c r="EP35" s="509"/>
      <c r="EQ35" s="509"/>
      <c r="ER35" s="509"/>
      <c r="ES35" s="509"/>
      <c r="ET35" s="509"/>
      <c r="EU35" s="509"/>
      <c r="EV35" s="509"/>
      <c r="EW35" s="509"/>
      <c r="EX35" s="509"/>
      <c r="EY35" s="509"/>
      <c r="EZ35" s="509"/>
      <c r="FA35" s="509"/>
      <c r="FB35" s="509"/>
      <c r="FC35" s="509"/>
      <c r="FD35" s="509"/>
      <c r="FE35" s="509"/>
      <c r="FF35" s="509"/>
      <c r="FG35" s="509"/>
      <c r="FH35" s="509"/>
      <c r="FI35" s="509"/>
      <c r="FJ35" s="509"/>
      <c r="FK35" s="509"/>
      <c r="FL35" s="509"/>
      <c r="FM35" s="509"/>
      <c r="FN35" s="509"/>
      <c r="FO35" s="509"/>
      <c r="FP35" s="509"/>
      <c r="FQ35" s="509"/>
      <c r="FR35" s="509"/>
      <c r="FS35" s="509"/>
      <c r="FT35" s="509"/>
      <c r="FU35" s="509"/>
      <c r="FV35" s="509"/>
      <c r="FW35" s="509"/>
      <c r="FX35" s="509"/>
      <c r="FY35" s="509"/>
      <c r="FZ35" s="509"/>
      <c r="GA35" s="509"/>
      <c r="GB35" s="509"/>
      <c r="GC35" s="509"/>
      <c r="GD35" s="509"/>
      <c r="GE35" s="509"/>
      <c r="GF35" s="509"/>
      <c r="GG35" s="509"/>
      <c r="GH35" s="509"/>
      <c r="GI35" s="509"/>
      <c r="GJ35" s="509"/>
      <c r="GK35" s="509"/>
      <c r="GL35" s="509"/>
      <c r="GM35" s="509"/>
      <c r="GN35" s="509"/>
      <c r="GO35" s="509"/>
      <c r="GP35" s="509"/>
      <c r="GQ35" s="509"/>
      <c r="GR35" s="509"/>
      <c r="GS35" s="509"/>
      <c r="GT35" s="509"/>
      <c r="GU35" s="509"/>
      <c r="GV35" s="509"/>
      <c r="GW35" s="509"/>
      <c r="GX35" s="509"/>
      <c r="GY35" s="509"/>
      <c r="GZ35" s="509"/>
      <c r="HA35" s="509"/>
      <c r="HB35" s="509"/>
      <c r="HC35" s="509"/>
      <c r="HD35" s="509"/>
      <c r="HE35" s="509"/>
      <c r="HF35" s="509"/>
      <c r="HG35" s="509"/>
      <c r="HH35" s="509"/>
      <c r="HI35" s="509"/>
      <c r="HJ35" s="509"/>
      <c r="HK35" s="509"/>
      <c r="HL35" s="509"/>
      <c r="HM35" s="509"/>
      <c r="HN35" s="509"/>
      <c r="HO35" s="509"/>
      <c r="HP35" s="509"/>
      <c r="HQ35" s="509"/>
      <c r="HR35" s="509"/>
      <c r="HS35" s="509"/>
      <c r="HT35" s="509"/>
      <c r="HU35" s="509"/>
      <c r="HV35" s="509"/>
      <c r="HW35" s="509"/>
      <c r="HX35" s="509"/>
      <c r="HY35" s="509"/>
      <c r="HZ35" s="509"/>
      <c r="IA35" s="509"/>
      <c r="IB35" s="509"/>
      <c r="IC35" s="509"/>
    </row>
    <row r="36" s="508" customFormat="1" customHeight="1" spans="1:237">
      <c r="A36" s="524" t="s">
        <v>149</v>
      </c>
      <c r="B36" s="94" t="s">
        <v>150</v>
      </c>
      <c r="C36" s="94" t="s">
        <v>13</v>
      </c>
      <c r="D36" s="94" t="s">
        <v>120</v>
      </c>
      <c r="E36" s="94" t="s">
        <v>151</v>
      </c>
      <c r="F36" s="94">
        <v>13750112198</v>
      </c>
      <c r="G36" s="94">
        <v>612198</v>
      </c>
      <c r="H36" s="94" t="s">
        <v>151</v>
      </c>
      <c r="I36" s="94">
        <v>13750112198</v>
      </c>
      <c r="J36" s="94">
        <v>612198</v>
      </c>
      <c r="K36" s="94"/>
      <c r="L36" s="509"/>
      <c r="M36" s="509"/>
      <c r="N36" s="509"/>
      <c r="O36" s="509"/>
      <c r="P36" s="509"/>
      <c r="Q36" s="509"/>
      <c r="R36" s="509"/>
      <c r="S36" s="509"/>
      <c r="T36" s="509"/>
      <c r="U36" s="509"/>
      <c r="V36" s="509"/>
      <c r="W36" s="509"/>
      <c r="X36" s="509"/>
      <c r="Y36" s="509"/>
      <c r="Z36" s="509"/>
      <c r="AA36" s="509"/>
      <c r="AB36" s="509"/>
      <c r="AC36" s="509"/>
      <c r="AD36" s="509"/>
      <c r="AE36" s="509"/>
      <c r="AF36" s="509"/>
      <c r="AG36" s="509"/>
      <c r="AH36" s="509"/>
      <c r="AI36" s="509"/>
      <c r="AJ36" s="509"/>
      <c r="AK36" s="509"/>
      <c r="AL36" s="509"/>
      <c r="AM36" s="509"/>
      <c r="AN36" s="509"/>
      <c r="AO36" s="509"/>
      <c r="AP36" s="509"/>
      <c r="AQ36" s="509"/>
      <c r="AR36" s="509"/>
      <c r="AS36" s="509"/>
      <c r="AT36" s="509"/>
      <c r="AU36" s="509"/>
      <c r="AV36" s="509"/>
      <c r="AW36" s="509"/>
      <c r="AX36" s="509"/>
      <c r="AY36" s="509"/>
      <c r="AZ36" s="509"/>
      <c r="BA36" s="509"/>
      <c r="BB36" s="509"/>
      <c r="BC36" s="509"/>
      <c r="BD36" s="509"/>
      <c r="BE36" s="509"/>
      <c r="BF36" s="509"/>
      <c r="BG36" s="509"/>
      <c r="BH36" s="509"/>
      <c r="BI36" s="509"/>
      <c r="BJ36" s="509"/>
      <c r="BK36" s="509"/>
      <c r="BL36" s="509"/>
      <c r="BM36" s="509"/>
      <c r="BN36" s="509"/>
      <c r="BO36" s="509"/>
      <c r="BP36" s="509"/>
      <c r="BQ36" s="509"/>
      <c r="BR36" s="509"/>
      <c r="BS36" s="509"/>
      <c r="BT36" s="509"/>
      <c r="BU36" s="509"/>
      <c r="BV36" s="509"/>
      <c r="BW36" s="509"/>
      <c r="BX36" s="509"/>
      <c r="BY36" s="509"/>
      <c r="BZ36" s="509"/>
      <c r="CA36" s="509"/>
      <c r="CB36" s="509"/>
      <c r="CC36" s="509"/>
      <c r="CD36" s="509"/>
      <c r="CE36" s="509"/>
      <c r="CF36" s="509"/>
      <c r="CG36" s="509"/>
      <c r="CH36" s="509"/>
      <c r="CI36" s="509"/>
      <c r="CJ36" s="509"/>
      <c r="CK36" s="509"/>
      <c r="CL36" s="509"/>
      <c r="CM36" s="509"/>
      <c r="CN36" s="509"/>
      <c r="CO36" s="509"/>
      <c r="CP36" s="509"/>
      <c r="CQ36" s="509"/>
      <c r="CR36" s="509"/>
      <c r="CS36" s="509"/>
      <c r="CT36" s="509"/>
      <c r="CU36" s="509"/>
      <c r="CV36" s="509"/>
      <c r="CW36" s="509"/>
      <c r="CX36" s="509"/>
      <c r="CY36" s="509"/>
      <c r="CZ36" s="509"/>
      <c r="DA36" s="509"/>
      <c r="DB36" s="509"/>
      <c r="DC36" s="509"/>
      <c r="DD36" s="509"/>
      <c r="DE36" s="509"/>
      <c r="DF36" s="509"/>
      <c r="DG36" s="509"/>
      <c r="DH36" s="509"/>
      <c r="DI36" s="509"/>
      <c r="DJ36" s="509"/>
      <c r="DK36" s="509"/>
      <c r="DL36" s="509"/>
      <c r="DM36" s="509"/>
      <c r="DN36" s="509"/>
      <c r="DO36" s="509"/>
      <c r="DP36" s="509"/>
      <c r="DQ36" s="509"/>
      <c r="DR36" s="509"/>
      <c r="DS36" s="509"/>
      <c r="DT36" s="509"/>
      <c r="DU36" s="509"/>
      <c r="DV36" s="509"/>
      <c r="DW36" s="509"/>
      <c r="DX36" s="509"/>
      <c r="DY36" s="509"/>
      <c r="DZ36" s="509"/>
      <c r="EA36" s="509"/>
      <c r="EB36" s="509"/>
      <c r="EC36" s="509"/>
      <c r="ED36" s="509"/>
      <c r="EE36" s="509"/>
      <c r="EF36" s="509"/>
      <c r="EG36" s="509"/>
      <c r="EH36" s="509"/>
      <c r="EI36" s="509"/>
      <c r="EJ36" s="509"/>
      <c r="EK36" s="509"/>
      <c r="EL36" s="509"/>
      <c r="EM36" s="509"/>
      <c r="EN36" s="509"/>
      <c r="EO36" s="509"/>
      <c r="EP36" s="509"/>
      <c r="EQ36" s="509"/>
      <c r="ER36" s="509"/>
      <c r="ES36" s="509"/>
      <c r="ET36" s="509"/>
      <c r="EU36" s="509"/>
      <c r="EV36" s="509"/>
      <c r="EW36" s="509"/>
      <c r="EX36" s="509"/>
      <c r="EY36" s="509"/>
      <c r="EZ36" s="509"/>
      <c r="FA36" s="509"/>
      <c r="FB36" s="509"/>
      <c r="FC36" s="509"/>
      <c r="FD36" s="509"/>
      <c r="FE36" s="509"/>
      <c r="FF36" s="509"/>
      <c r="FG36" s="509"/>
      <c r="FH36" s="509"/>
      <c r="FI36" s="509"/>
      <c r="FJ36" s="509"/>
      <c r="FK36" s="509"/>
      <c r="FL36" s="509"/>
      <c r="FM36" s="509"/>
      <c r="FN36" s="509"/>
      <c r="FO36" s="509"/>
      <c r="FP36" s="509"/>
      <c r="FQ36" s="509"/>
      <c r="FR36" s="509"/>
      <c r="FS36" s="509"/>
      <c r="FT36" s="509"/>
      <c r="FU36" s="509"/>
      <c r="FV36" s="509"/>
      <c r="FW36" s="509"/>
      <c r="FX36" s="509"/>
      <c r="FY36" s="509"/>
      <c r="FZ36" s="509"/>
      <c r="GA36" s="509"/>
      <c r="GB36" s="509"/>
      <c r="GC36" s="509"/>
      <c r="GD36" s="509"/>
      <c r="GE36" s="509"/>
      <c r="GF36" s="509"/>
      <c r="GG36" s="509"/>
      <c r="GH36" s="509"/>
      <c r="GI36" s="509"/>
      <c r="GJ36" s="509"/>
      <c r="GK36" s="509"/>
      <c r="GL36" s="509"/>
      <c r="GM36" s="509"/>
      <c r="GN36" s="509"/>
      <c r="GO36" s="509"/>
      <c r="GP36" s="509"/>
      <c r="GQ36" s="509"/>
      <c r="GR36" s="509"/>
      <c r="GS36" s="509"/>
      <c r="GT36" s="509"/>
      <c r="GU36" s="509"/>
      <c r="GV36" s="509"/>
      <c r="GW36" s="509"/>
      <c r="GX36" s="509"/>
      <c r="GY36" s="509"/>
      <c r="GZ36" s="509"/>
      <c r="HA36" s="509"/>
      <c r="HB36" s="509"/>
      <c r="HC36" s="509"/>
      <c r="HD36" s="509"/>
      <c r="HE36" s="509"/>
      <c r="HF36" s="509"/>
      <c r="HG36" s="509"/>
      <c r="HH36" s="509"/>
      <c r="HI36" s="509"/>
      <c r="HJ36" s="509"/>
      <c r="HK36" s="509"/>
      <c r="HL36" s="509"/>
      <c r="HM36" s="509"/>
      <c r="HN36" s="509"/>
      <c r="HO36" s="509"/>
      <c r="HP36" s="509"/>
      <c r="HQ36" s="509"/>
      <c r="HR36" s="509"/>
      <c r="HS36" s="509"/>
      <c r="HT36" s="509"/>
      <c r="HU36" s="509"/>
      <c r="HV36" s="509"/>
      <c r="HW36" s="509"/>
      <c r="HX36" s="509"/>
      <c r="HY36" s="509"/>
      <c r="HZ36" s="509"/>
      <c r="IA36" s="509"/>
      <c r="IB36" s="509"/>
      <c r="IC36" s="509"/>
    </row>
    <row r="37" s="508" customFormat="1" customHeight="1" spans="1:237">
      <c r="A37" s="524" t="s">
        <v>152</v>
      </c>
      <c r="B37" s="94" t="s">
        <v>153</v>
      </c>
      <c r="C37" s="94" t="s">
        <v>13</v>
      </c>
      <c r="D37" s="94" t="s">
        <v>125</v>
      </c>
      <c r="E37" s="94" t="s">
        <v>154</v>
      </c>
      <c r="F37" s="94">
        <v>13828525938</v>
      </c>
      <c r="G37" s="94">
        <v>655938</v>
      </c>
      <c r="H37" s="513" t="s">
        <v>155</v>
      </c>
      <c r="I37" s="513">
        <v>13828525739</v>
      </c>
      <c r="J37" s="513">
        <v>625739</v>
      </c>
      <c r="K37" s="94"/>
      <c r="L37" s="509"/>
      <c r="M37" s="509"/>
      <c r="N37" s="509"/>
      <c r="O37" s="509"/>
      <c r="P37" s="509"/>
      <c r="Q37" s="509"/>
      <c r="R37" s="509"/>
      <c r="S37" s="509"/>
      <c r="T37" s="509"/>
      <c r="U37" s="509"/>
      <c r="V37" s="509"/>
      <c r="W37" s="509"/>
      <c r="X37" s="509"/>
      <c r="Y37" s="509"/>
      <c r="Z37" s="509"/>
      <c r="AA37" s="509"/>
      <c r="AB37" s="509"/>
      <c r="AC37" s="509"/>
      <c r="AD37" s="509"/>
      <c r="AE37" s="509"/>
      <c r="AF37" s="509"/>
      <c r="AG37" s="509"/>
      <c r="AH37" s="509"/>
      <c r="AI37" s="509"/>
      <c r="AJ37" s="509"/>
      <c r="AK37" s="509"/>
      <c r="AL37" s="509"/>
      <c r="AM37" s="509"/>
      <c r="AN37" s="509"/>
      <c r="AO37" s="509"/>
      <c r="AP37" s="509"/>
      <c r="AQ37" s="509"/>
      <c r="AR37" s="509"/>
      <c r="AS37" s="509"/>
      <c r="AT37" s="509"/>
      <c r="AU37" s="509"/>
      <c r="AV37" s="509"/>
      <c r="AW37" s="509"/>
      <c r="AX37" s="509"/>
      <c r="AY37" s="509"/>
      <c r="AZ37" s="509"/>
      <c r="BA37" s="509"/>
      <c r="BB37" s="509"/>
      <c r="BC37" s="509"/>
      <c r="BD37" s="509"/>
      <c r="BE37" s="509"/>
      <c r="BF37" s="509"/>
      <c r="BG37" s="509"/>
      <c r="BH37" s="509"/>
      <c r="BI37" s="509"/>
      <c r="BJ37" s="509"/>
      <c r="BK37" s="509"/>
      <c r="BL37" s="509"/>
      <c r="BM37" s="509"/>
      <c r="BN37" s="509"/>
      <c r="BO37" s="509"/>
      <c r="BP37" s="509"/>
      <c r="BQ37" s="509"/>
      <c r="BR37" s="509"/>
      <c r="BS37" s="509"/>
      <c r="BT37" s="509"/>
      <c r="BU37" s="509"/>
      <c r="BV37" s="509"/>
      <c r="BW37" s="509"/>
      <c r="BX37" s="509"/>
      <c r="BY37" s="509"/>
      <c r="BZ37" s="509"/>
      <c r="CA37" s="509"/>
      <c r="CB37" s="509"/>
      <c r="CC37" s="509"/>
      <c r="CD37" s="509"/>
      <c r="CE37" s="509"/>
      <c r="CF37" s="509"/>
      <c r="CG37" s="509"/>
      <c r="CH37" s="509"/>
      <c r="CI37" s="509"/>
      <c r="CJ37" s="509"/>
      <c r="CK37" s="509"/>
      <c r="CL37" s="509"/>
      <c r="CM37" s="509"/>
      <c r="CN37" s="509"/>
      <c r="CO37" s="509"/>
      <c r="CP37" s="509"/>
      <c r="CQ37" s="509"/>
      <c r="CR37" s="509"/>
      <c r="CS37" s="509"/>
      <c r="CT37" s="509"/>
      <c r="CU37" s="509"/>
      <c r="CV37" s="509"/>
      <c r="CW37" s="509"/>
      <c r="CX37" s="509"/>
      <c r="CY37" s="509"/>
      <c r="CZ37" s="509"/>
      <c r="DA37" s="509"/>
      <c r="DB37" s="509"/>
      <c r="DC37" s="509"/>
      <c r="DD37" s="509"/>
      <c r="DE37" s="509"/>
      <c r="DF37" s="509"/>
      <c r="DG37" s="509"/>
      <c r="DH37" s="509"/>
      <c r="DI37" s="509"/>
      <c r="DJ37" s="509"/>
      <c r="DK37" s="509"/>
      <c r="DL37" s="509"/>
      <c r="DM37" s="509"/>
      <c r="DN37" s="509"/>
      <c r="DO37" s="509"/>
      <c r="DP37" s="509"/>
      <c r="DQ37" s="509"/>
      <c r="DR37" s="509"/>
      <c r="DS37" s="509"/>
      <c r="DT37" s="509"/>
      <c r="DU37" s="509"/>
      <c r="DV37" s="509"/>
      <c r="DW37" s="509"/>
      <c r="DX37" s="509"/>
      <c r="DY37" s="509"/>
      <c r="DZ37" s="509"/>
      <c r="EA37" s="509"/>
      <c r="EB37" s="509"/>
      <c r="EC37" s="509"/>
      <c r="ED37" s="509"/>
      <c r="EE37" s="509"/>
      <c r="EF37" s="509"/>
      <c r="EG37" s="509"/>
      <c r="EH37" s="509"/>
      <c r="EI37" s="509"/>
      <c r="EJ37" s="509"/>
      <c r="EK37" s="509"/>
      <c r="EL37" s="509"/>
      <c r="EM37" s="509"/>
      <c r="EN37" s="509"/>
      <c r="EO37" s="509"/>
      <c r="EP37" s="509"/>
      <c r="EQ37" s="509"/>
      <c r="ER37" s="509"/>
      <c r="ES37" s="509"/>
      <c r="ET37" s="509"/>
      <c r="EU37" s="509"/>
      <c r="EV37" s="509"/>
      <c r="EW37" s="509"/>
      <c r="EX37" s="509"/>
      <c r="EY37" s="509"/>
      <c r="EZ37" s="509"/>
      <c r="FA37" s="509"/>
      <c r="FB37" s="509"/>
      <c r="FC37" s="509"/>
      <c r="FD37" s="509"/>
      <c r="FE37" s="509"/>
      <c r="FF37" s="509"/>
      <c r="FG37" s="509"/>
      <c r="FH37" s="509"/>
      <c r="FI37" s="509"/>
      <c r="FJ37" s="509"/>
      <c r="FK37" s="509"/>
      <c r="FL37" s="509"/>
      <c r="FM37" s="509"/>
      <c r="FN37" s="509"/>
      <c r="FO37" s="509"/>
      <c r="FP37" s="509"/>
      <c r="FQ37" s="509"/>
      <c r="FR37" s="509"/>
      <c r="FS37" s="509"/>
      <c r="FT37" s="509"/>
      <c r="FU37" s="509"/>
      <c r="FV37" s="509"/>
      <c r="FW37" s="509"/>
      <c r="FX37" s="509"/>
      <c r="FY37" s="509"/>
      <c r="FZ37" s="509"/>
      <c r="GA37" s="509"/>
      <c r="GB37" s="509"/>
      <c r="GC37" s="509"/>
      <c r="GD37" s="509"/>
      <c r="GE37" s="509"/>
      <c r="GF37" s="509"/>
      <c r="GG37" s="509"/>
      <c r="GH37" s="509"/>
      <c r="GI37" s="509"/>
      <c r="GJ37" s="509"/>
      <c r="GK37" s="509"/>
      <c r="GL37" s="509"/>
      <c r="GM37" s="509"/>
      <c r="GN37" s="509"/>
      <c r="GO37" s="509"/>
      <c r="GP37" s="509"/>
      <c r="GQ37" s="509"/>
      <c r="GR37" s="509"/>
      <c r="GS37" s="509"/>
      <c r="GT37" s="509"/>
      <c r="GU37" s="509"/>
      <c r="GV37" s="509"/>
      <c r="GW37" s="509"/>
      <c r="GX37" s="509"/>
      <c r="GY37" s="509"/>
      <c r="GZ37" s="509"/>
      <c r="HA37" s="509"/>
      <c r="HB37" s="509"/>
      <c r="HC37" s="509"/>
      <c r="HD37" s="509"/>
      <c r="HE37" s="509"/>
      <c r="HF37" s="509"/>
      <c r="HG37" s="509"/>
      <c r="HH37" s="509"/>
      <c r="HI37" s="509"/>
      <c r="HJ37" s="509"/>
      <c r="HK37" s="509"/>
      <c r="HL37" s="509"/>
      <c r="HM37" s="509"/>
      <c r="HN37" s="509"/>
      <c r="HO37" s="509"/>
      <c r="HP37" s="509"/>
      <c r="HQ37" s="509"/>
      <c r="HR37" s="509"/>
      <c r="HS37" s="509"/>
      <c r="HT37" s="509"/>
      <c r="HU37" s="509"/>
      <c r="HV37" s="509"/>
      <c r="HW37" s="509"/>
      <c r="HX37" s="509"/>
      <c r="HY37" s="509"/>
      <c r="HZ37" s="509"/>
      <c r="IA37" s="509"/>
      <c r="IB37" s="509"/>
      <c r="IC37" s="509"/>
    </row>
    <row r="38" s="508" customFormat="1" customHeight="1" spans="1:237">
      <c r="A38" s="524" t="s">
        <v>156</v>
      </c>
      <c r="B38" s="94" t="s">
        <v>157</v>
      </c>
      <c r="C38" s="94" t="s">
        <v>13</v>
      </c>
      <c r="D38" s="94" t="s">
        <v>120</v>
      </c>
      <c r="E38" s="94" t="s">
        <v>158</v>
      </c>
      <c r="F38" s="94">
        <v>13727141363</v>
      </c>
      <c r="G38" s="94">
        <v>671363</v>
      </c>
      <c r="H38" s="94" t="s">
        <v>158</v>
      </c>
      <c r="I38" s="94">
        <v>13727141363</v>
      </c>
      <c r="J38" s="94">
        <v>671363</v>
      </c>
      <c r="K38" s="94"/>
      <c r="L38" s="509"/>
      <c r="M38" s="509"/>
      <c r="N38" s="509"/>
      <c r="O38" s="509"/>
      <c r="P38" s="509"/>
      <c r="Q38" s="509"/>
      <c r="R38" s="509"/>
      <c r="S38" s="509"/>
      <c r="T38" s="509"/>
      <c r="U38" s="509"/>
      <c r="V38" s="509"/>
      <c r="W38" s="509"/>
      <c r="X38" s="509"/>
      <c r="Y38" s="509"/>
      <c r="Z38" s="509"/>
      <c r="AA38" s="509"/>
      <c r="AB38" s="509"/>
      <c r="AC38" s="509"/>
      <c r="AD38" s="509"/>
      <c r="AE38" s="509"/>
      <c r="AF38" s="509"/>
      <c r="AG38" s="509"/>
      <c r="AH38" s="509"/>
      <c r="AI38" s="509"/>
      <c r="AJ38" s="509"/>
      <c r="AK38" s="509"/>
      <c r="AL38" s="509"/>
      <c r="AM38" s="509"/>
      <c r="AN38" s="509"/>
      <c r="AO38" s="509"/>
      <c r="AP38" s="509"/>
      <c r="AQ38" s="509"/>
      <c r="AR38" s="509"/>
      <c r="AS38" s="509"/>
      <c r="AT38" s="509"/>
      <c r="AU38" s="509"/>
      <c r="AV38" s="509"/>
      <c r="AW38" s="509"/>
      <c r="AX38" s="509"/>
      <c r="AY38" s="509"/>
      <c r="AZ38" s="509"/>
      <c r="BA38" s="509"/>
      <c r="BB38" s="509"/>
      <c r="BC38" s="509"/>
      <c r="BD38" s="509"/>
      <c r="BE38" s="509"/>
      <c r="BF38" s="509"/>
      <c r="BG38" s="509"/>
      <c r="BH38" s="509"/>
      <c r="BI38" s="509"/>
      <c r="BJ38" s="509"/>
      <c r="BK38" s="509"/>
      <c r="BL38" s="509"/>
      <c r="BM38" s="509"/>
      <c r="BN38" s="509"/>
      <c r="BO38" s="509"/>
      <c r="BP38" s="509"/>
      <c r="BQ38" s="509"/>
      <c r="BR38" s="509"/>
      <c r="BS38" s="509"/>
      <c r="BT38" s="509"/>
      <c r="BU38" s="509"/>
      <c r="BV38" s="509"/>
      <c r="BW38" s="509"/>
      <c r="BX38" s="509"/>
      <c r="BY38" s="509"/>
      <c r="BZ38" s="509"/>
      <c r="CA38" s="509"/>
      <c r="CB38" s="509"/>
      <c r="CC38" s="509"/>
      <c r="CD38" s="509"/>
      <c r="CE38" s="509"/>
      <c r="CF38" s="509"/>
      <c r="CG38" s="509"/>
      <c r="CH38" s="509"/>
      <c r="CI38" s="509"/>
      <c r="CJ38" s="509"/>
      <c r="CK38" s="509"/>
      <c r="CL38" s="509"/>
      <c r="CM38" s="509"/>
      <c r="CN38" s="509"/>
      <c r="CO38" s="509"/>
      <c r="CP38" s="509"/>
      <c r="CQ38" s="509"/>
      <c r="CR38" s="509"/>
      <c r="CS38" s="509"/>
      <c r="CT38" s="509"/>
      <c r="CU38" s="509"/>
      <c r="CV38" s="509"/>
      <c r="CW38" s="509"/>
      <c r="CX38" s="509"/>
      <c r="CY38" s="509"/>
      <c r="CZ38" s="509"/>
      <c r="DA38" s="509"/>
      <c r="DB38" s="509"/>
      <c r="DC38" s="509"/>
      <c r="DD38" s="509"/>
      <c r="DE38" s="509"/>
      <c r="DF38" s="509"/>
      <c r="DG38" s="509"/>
      <c r="DH38" s="509"/>
      <c r="DI38" s="509"/>
      <c r="DJ38" s="509"/>
      <c r="DK38" s="509"/>
      <c r="DL38" s="509"/>
      <c r="DM38" s="509"/>
      <c r="DN38" s="509"/>
      <c r="DO38" s="509"/>
      <c r="DP38" s="509"/>
      <c r="DQ38" s="509"/>
      <c r="DR38" s="509"/>
      <c r="DS38" s="509"/>
      <c r="DT38" s="509"/>
      <c r="DU38" s="509"/>
      <c r="DV38" s="509"/>
      <c r="DW38" s="509"/>
      <c r="DX38" s="509"/>
      <c r="DY38" s="509"/>
      <c r="DZ38" s="509"/>
      <c r="EA38" s="509"/>
      <c r="EB38" s="509"/>
      <c r="EC38" s="509"/>
      <c r="ED38" s="509"/>
      <c r="EE38" s="509"/>
      <c r="EF38" s="509"/>
      <c r="EG38" s="509"/>
      <c r="EH38" s="509"/>
      <c r="EI38" s="509"/>
      <c r="EJ38" s="509"/>
      <c r="EK38" s="509"/>
      <c r="EL38" s="509"/>
      <c r="EM38" s="509"/>
      <c r="EN38" s="509"/>
      <c r="EO38" s="509"/>
      <c r="EP38" s="509"/>
      <c r="EQ38" s="509"/>
      <c r="ER38" s="509"/>
      <c r="ES38" s="509"/>
      <c r="ET38" s="509"/>
      <c r="EU38" s="509"/>
      <c r="EV38" s="509"/>
      <c r="EW38" s="509"/>
      <c r="EX38" s="509"/>
      <c r="EY38" s="509"/>
      <c r="EZ38" s="509"/>
      <c r="FA38" s="509"/>
      <c r="FB38" s="509"/>
      <c r="FC38" s="509"/>
      <c r="FD38" s="509"/>
      <c r="FE38" s="509"/>
      <c r="FF38" s="509"/>
      <c r="FG38" s="509"/>
      <c r="FH38" s="509"/>
      <c r="FI38" s="509"/>
      <c r="FJ38" s="509"/>
      <c r="FK38" s="509"/>
      <c r="FL38" s="509"/>
      <c r="FM38" s="509"/>
      <c r="FN38" s="509"/>
      <c r="FO38" s="509"/>
      <c r="FP38" s="509"/>
      <c r="FQ38" s="509"/>
      <c r="FR38" s="509"/>
      <c r="FS38" s="509"/>
      <c r="FT38" s="509"/>
      <c r="FU38" s="509"/>
      <c r="FV38" s="509"/>
      <c r="FW38" s="509"/>
      <c r="FX38" s="509"/>
      <c r="FY38" s="509"/>
      <c r="FZ38" s="509"/>
      <c r="GA38" s="509"/>
      <c r="GB38" s="509"/>
      <c r="GC38" s="509"/>
      <c r="GD38" s="509"/>
      <c r="GE38" s="509"/>
      <c r="GF38" s="509"/>
      <c r="GG38" s="509"/>
      <c r="GH38" s="509"/>
      <c r="GI38" s="509"/>
      <c r="GJ38" s="509"/>
      <c r="GK38" s="509"/>
      <c r="GL38" s="509"/>
      <c r="GM38" s="509"/>
      <c r="GN38" s="509"/>
      <c r="GO38" s="509"/>
      <c r="GP38" s="509"/>
      <c r="GQ38" s="509"/>
      <c r="GR38" s="509"/>
      <c r="GS38" s="509"/>
      <c r="GT38" s="509"/>
      <c r="GU38" s="509"/>
      <c r="GV38" s="509"/>
      <c r="GW38" s="509"/>
      <c r="GX38" s="509"/>
      <c r="GY38" s="509"/>
      <c r="GZ38" s="509"/>
      <c r="HA38" s="509"/>
      <c r="HB38" s="509"/>
      <c r="HC38" s="509"/>
      <c r="HD38" s="509"/>
      <c r="HE38" s="509"/>
      <c r="HF38" s="509"/>
      <c r="HG38" s="509"/>
      <c r="HH38" s="509"/>
      <c r="HI38" s="509"/>
      <c r="HJ38" s="509"/>
      <c r="HK38" s="509"/>
      <c r="HL38" s="509"/>
      <c r="HM38" s="509"/>
      <c r="HN38" s="509"/>
      <c r="HO38" s="509"/>
      <c r="HP38" s="509"/>
      <c r="HQ38" s="509"/>
      <c r="HR38" s="509"/>
      <c r="HS38" s="509"/>
      <c r="HT38" s="509"/>
      <c r="HU38" s="509"/>
      <c r="HV38" s="509"/>
      <c r="HW38" s="509"/>
      <c r="HX38" s="509"/>
      <c r="HY38" s="509"/>
      <c r="HZ38" s="509"/>
      <c r="IA38" s="509"/>
      <c r="IB38" s="509"/>
      <c r="IC38" s="509"/>
    </row>
    <row r="39" s="508" customFormat="1" customHeight="1" spans="1:237">
      <c r="A39" s="524" t="s">
        <v>159</v>
      </c>
      <c r="B39" s="94" t="s">
        <v>160</v>
      </c>
      <c r="C39" s="94" t="s">
        <v>13</v>
      </c>
      <c r="D39" s="94" t="s">
        <v>125</v>
      </c>
      <c r="E39" s="513" t="s">
        <v>161</v>
      </c>
      <c r="F39" s="521" t="s">
        <v>162</v>
      </c>
      <c r="G39" s="513">
        <v>657974</v>
      </c>
      <c r="H39" s="94" t="s">
        <v>163</v>
      </c>
      <c r="I39" s="519" t="s">
        <v>164</v>
      </c>
      <c r="J39" s="94">
        <v>683277</v>
      </c>
      <c r="K39" s="94"/>
      <c r="L39" s="509"/>
      <c r="M39" s="509"/>
      <c r="N39" s="509"/>
      <c r="O39" s="509"/>
      <c r="P39" s="509"/>
      <c r="Q39" s="509"/>
      <c r="R39" s="509"/>
      <c r="S39" s="509"/>
      <c r="T39" s="509"/>
      <c r="U39" s="509"/>
      <c r="V39" s="509"/>
      <c r="W39" s="509"/>
      <c r="X39" s="509"/>
      <c r="Y39" s="509"/>
      <c r="Z39" s="509"/>
      <c r="AA39" s="509"/>
      <c r="AB39" s="509"/>
      <c r="AC39" s="509"/>
      <c r="AD39" s="509"/>
      <c r="AE39" s="509"/>
      <c r="AF39" s="509"/>
      <c r="AG39" s="509"/>
      <c r="AH39" s="509"/>
      <c r="AI39" s="509"/>
      <c r="AJ39" s="509"/>
      <c r="AK39" s="509"/>
      <c r="AL39" s="509"/>
      <c r="AM39" s="509"/>
      <c r="AN39" s="509"/>
      <c r="AO39" s="509"/>
      <c r="AP39" s="509"/>
      <c r="AQ39" s="509"/>
      <c r="AR39" s="509"/>
      <c r="AS39" s="509"/>
      <c r="AT39" s="509"/>
      <c r="AU39" s="509"/>
      <c r="AV39" s="509"/>
      <c r="AW39" s="509"/>
      <c r="AX39" s="509"/>
      <c r="AY39" s="509"/>
      <c r="AZ39" s="509"/>
      <c r="BA39" s="509"/>
      <c r="BB39" s="509"/>
      <c r="BC39" s="509"/>
      <c r="BD39" s="509"/>
      <c r="BE39" s="509"/>
      <c r="BF39" s="509"/>
      <c r="BG39" s="509"/>
      <c r="BH39" s="509"/>
      <c r="BI39" s="509"/>
      <c r="BJ39" s="509"/>
      <c r="BK39" s="509"/>
      <c r="BL39" s="509"/>
      <c r="BM39" s="509"/>
      <c r="BN39" s="509"/>
      <c r="BO39" s="509"/>
      <c r="BP39" s="509"/>
      <c r="BQ39" s="509"/>
      <c r="BR39" s="509"/>
      <c r="BS39" s="509"/>
      <c r="BT39" s="509"/>
      <c r="BU39" s="509"/>
      <c r="BV39" s="509"/>
      <c r="BW39" s="509"/>
      <c r="BX39" s="509"/>
      <c r="BY39" s="509"/>
      <c r="BZ39" s="509"/>
      <c r="CA39" s="509"/>
      <c r="CB39" s="509"/>
      <c r="CC39" s="509"/>
      <c r="CD39" s="509"/>
      <c r="CE39" s="509"/>
      <c r="CF39" s="509"/>
      <c r="CG39" s="509"/>
      <c r="CH39" s="509"/>
      <c r="CI39" s="509"/>
      <c r="CJ39" s="509"/>
      <c r="CK39" s="509"/>
      <c r="CL39" s="509"/>
      <c r="CM39" s="509"/>
      <c r="CN39" s="509"/>
      <c r="CO39" s="509"/>
      <c r="CP39" s="509"/>
      <c r="CQ39" s="509"/>
      <c r="CR39" s="509"/>
      <c r="CS39" s="509"/>
      <c r="CT39" s="509"/>
      <c r="CU39" s="509"/>
      <c r="CV39" s="509"/>
      <c r="CW39" s="509"/>
      <c r="CX39" s="509"/>
      <c r="CY39" s="509"/>
      <c r="CZ39" s="509"/>
      <c r="DA39" s="509"/>
      <c r="DB39" s="509"/>
      <c r="DC39" s="509"/>
      <c r="DD39" s="509"/>
      <c r="DE39" s="509"/>
      <c r="DF39" s="509"/>
      <c r="DG39" s="509"/>
      <c r="DH39" s="509"/>
      <c r="DI39" s="509"/>
      <c r="DJ39" s="509"/>
      <c r="DK39" s="509"/>
      <c r="DL39" s="509"/>
      <c r="DM39" s="509"/>
      <c r="DN39" s="509"/>
      <c r="DO39" s="509"/>
      <c r="DP39" s="509"/>
      <c r="DQ39" s="509"/>
      <c r="DR39" s="509"/>
      <c r="DS39" s="509"/>
      <c r="DT39" s="509"/>
      <c r="DU39" s="509"/>
      <c r="DV39" s="509"/>
      <c r="DW39" s="509"/>
      <c r="DX39" s="509"/>
      <c r="DY39" s="509"/>
      <c r="DZ39" s="509"/>
      <c r="EA39" s="509"/>
      <c r="EB39" s="509"/>
      <c r="EC39" s="509"/>
      <c r="ED39" s="509"/>
      <c r="EE39" s="509"/>
      <c r="EF39" s="509"/>
      <c r="EG39" s="509"/>
      <c r="EH39" s="509"/>
      <c r="EI39" s="509"/>
      <c r="EJ39" s="509"/>
      <c r="EK39" s="509"/>
      <c r="EL39" s="509"/>
      <c r="EM39" s="509"/>
      <c r="EN39" s="509"/>
      <c r="EO39" s="509"/>
      <c r="EP39" s="509"/>
      <c r="EQ39" s="509"/>
      <c r="ER39" s="509"/>
      <c r="ES39" s="509"/>
      <c r="ET39" s="509"/>
      <c r="EU39" s="509"/>
      <c r="EV39" s="509"/>
      <c r="EW39" s="509"/>
      <c r="EX39" s="509"/>
      <c r="EY39" s="509"/>
      <c r="EZ39" s="509"/>
      <c r="FA39" s="509"/>
      <c r="FB39" s="509"/>
      <c r="FC39" s="509"/>
      <c r="FD39" s="509"/>
      <c r="FE39" s="509"/>
      <c r="FF39" s="509"/>
      <c r="FG39" s="509"/>
      <c r="FH39" s="509"/>
      <c r="FI39" s="509"/>
      <c r="FJ39" s="509"/>
      <c r="FK39" s="509"/>
      <c r="FL39" s="509"/>
      <c r="FM39" s="509"/>
      <c r="FN39" s="509"/>
      <c r="FO39" s="509"/>
      <c r="FP39" s="509"/>
      <c r="FQ39" s="509"/>
      <c r="FR39" s="509"/>
      <c r="FS39" s="509"/>
      <c r="FT39" s="509"/>
      <c r="FU39" s="509"/>
      <c r="FV39" s="509"/>
      <c r="FW39" s="509"/>
      <c r="FX39" s="509"/>
      <c r="FY39" s="509"/>
      <c r="FZ39" s="509"/>
      <c r="GA39" s="509"/>
      <c r="GB39" s="509"/>
      <c r="GC39" s="509"/>
      <c r="GD39" s="509"/>
      <c r="GE39" s="509"/>
      <c r="GF39" s="509"/>
      <c r="GG39" s="509"/>
      <c r="GH39" s="509"/>
      <c r="GI39" s="509"/>
      <c r="GJ39" s="509"/>
      <c r="GK39" s="509"/>
      <c r="GL39" s="509"/>
      <c r="GM39" s="509"/>
      <c r="GN39" s="509"/>
      <c r="GO39" s="509"/>
      <c r="GP39" s="509"/>
      <c r="GQ39" s="509"/>
      <c r="GR39" s="509"/>
      <c r="GS39" s="509"/>
      <c r="GT39" s="509"/>
      <c r="GU39" s="509"/>
      <c r="GV39" s="509"/>
      <c r="GW39" s="509"/>
      <c r="GX39" s="509"/>
      <c r="GY39" s="509"/>
      <c r="GZ39" s="509"/>
      <c r="HA39" s="509"/>
      <c r="HB39" s="509"/>
      <c r="HC39" s="509"/>
      <c r="HD39" s="509"/>
      <c r="HE39" s="509"/>
      <c r="HF39" s="509"/>
      <c r="HG39" s="509"/>
      <c r="HH39" s="509"/>
      <c r="HI39" s="509"/>
      <c r="HJ39" s="509"/>
      <c r="HK39" s="509"/>
      <c r="HL39" s="509"/>
      <c r="HM39" s="509"/>
      <c r="HN39" s="509"/>
      <c r="HO39" s="509"/>
      <c r="HP39" s="509"/>
      <c r="HQ39" s="509"/>
      <c r="HR39" s="509"/>
      <c r="HS39" s="509"/>
      <c r="HT39" s="509"/>
      <c r="HU39" s="509"/>
      <c r="HV39" s="509"/>
      <c r="HW39" s="509"/>
      <c r="HX39" s="509"/>
      <c r="HY39" s="509"/>
      <c r="HZ39" s="509"/>
      <c r="IA39" s="509"/>
      <c r="IB39" s="509"/>
      <c r="IC39" s="509"/>
    </row>
    <row r="40" s="508" customFormat="1" customHeight="1" spans="1:237">
      <c r="A40" s="524" t="s">
        <v>165</v>
      </c>
      <c r="B40" s="94" t="s">
        <v>166</v>
      </c>
      <c r="C40" s="94" t="s">
        <v>13</v>
      </c>
      <c r="D40" s="94" t="s">
        <v>167</v>
      </c>
      <c r="E40" s="521" t="s">
        <v>168</v>
      </c>
      <c r="F40" s="521" t="s">
        <v>169</v>
      </c>
      <c r="G40" s="513">
        <v>68892</v>
      </c>
      <c r="H40" s="94" t="s">
        <v>170</v>
      </c>
      <c r="I40" s="519" t="s">
        <v>171</v>
      </c>
      <c r="J40" s="94">
        <v>679352</v>
      </c>
      <c r="K40" s="94"/>
      <c r="L40" s="509"/>
      <c r="M40" s="509"/>
      <c r="N40" s="509"/>
      <c r="O40" s="509"/>
      <c r="P40" s="509"/>
      <c r="Q40" s="509"/>
      <c r="R40" s="509"/>
      <c r="S40" s="509"/>
      <c r="T40" s="509"/>
      <c r="U40" s="509"/>
      <c r="V40" s="509"/>
      <c r="W40" s="509"/>
      <c r="X40" s="509"/>
      <c r="Y40" s="509"/>
      <c r="Z40" s="509"/>
      <c r="AA40" s="509"/>
      <c r="AB40" s="509"/>
      <c r="AC40" s="509"/>
      <c r="AD40" s="509"/>
      <c r="AE40" s="509"/>
      <c r="AF40" s="509"/>
      <c r="AG40" s="509"/>
      <c r="AH40" s="509"/>
      <c r="AI40" s="509"/>
      <c r="AJ40" s="509"/>
      <c r="AK40" s="509"/>
      <c r="AL40" s="509"/>
      <c r="AM40" s="509"/>
      <c r="AN40" s="509"/>
      <c r="AO40" s="509"/>
      <c r="AP40" s="509"/>
      <c r="AQ40" s="509"/>
      <c r="AR40" s="509"/>
      <c r="AS40" s="509"/>
      <c r="AT40" s="509"/>
      <c r="AU40" s="509"/>
      <c r="AV40" s="509"/>
      <c r="AW40" s="509"/>
      <c r="AX40" s="509"/>
      <c r="AY40" s="509"/>
      <c r="AZ40" s="509"/>
      <c r="BA40" s="509"/>
      <c r="BB40" s="509"/>
      <c r="BC40" s="509"/>
      <c r="BD40" s="509"/>
      <c r="BE40" s="509"/>
      <c r="BF40" s="509"/>
      <c r="BG40" s="509"/>
      <c r="BH40" s="509"/>
      <c r="BI40" s="509"/>
      <c r="BJ40" s="509"/>
      <c r="BK40" s="509"/>
      <c r="BL40" s="509"/>
      <c r="BM40" s="509"/>
      <c r="BN40" s="509"/>
      <c r="BO40" s="509"/>
      <c r="BP40" s="509"/>
      <c r="BQ40" s="509"/>
      <c r="BR40" s="509"/>
      <c r="BS40" s="509"/>
      <c r="BT40" s="509"/>
      <c r="BU40" s="509"/>
      <c r="BV40" s="509"/>
      <c r="BW40" s="509"/>
      <c r="BX40" s="509"/>
      <c r="BY40" s="509"/>
      <c r="BZ40" s="509"/>
      <c r="CA40" s="509"/>
      <c r="CB40" s="509"/>
      <c r="CC40" s="509"/>
      <c r="CD40" s="509"/>
      <c r="CE40" s="509"/>
      <c r="CF40" s="509"/>
      <c r="CG40" s="509"/>
      <c r="CH40" s="509"/>
      <c r="CI40" s="509"/>
      <c r="CJ40" s="509"/>
      <c r="CK40" s="509"/>
      <c r="CL40" s="509"/>
      <c r="CM40" s="509"/>
      <c r="CN40" s="509"/>
      <c r="CO40" s="509"/>
      <c r="CP40" s="509"/>
      <c r="CQ40" s="509"/>
      <c r="CR40" s="509"/>
      <c r="CS40" s="509"/>
      <c r="CT40" s="509"/>
      <c r="CU40" s="509"/>
      <c r="CV40" s="509"/>
      <c r="CW40" s="509"/>
      <c r="CX40" s="509"/>
      <c r="CY40" s="509"/>
      <c r="CZ40" s="509"/>
      <c r="DA40" s="509"/>
      <c r="DB40" s="509"/>
      <c r="DC40" s="509"/>
      <c r="DD40" s="509"/>
      <c r="DE40" s="509"/>
      <c r="DF40" s="509"/>
      <c r="DG40" s="509"/>
      <c r="DH40" s="509"/>
      <c r="DI40" s="509"/>
      <c r="DJ40" s="509"/>
      <c r="DK40" s="509"/>
      <c r="DL40" s="509"/>
      <c r="DM40" s="509"/>
      <c r="DN40" s="509"/>
      <c r="DO40" s="509"/>
      <c r="DP40" s="509"/>
      <c r="DQ40" s="509"/>
      <c r="DR40" s="509"/>
      <c r="DS40" s="509"/>
      <c r="DT40" s="509"/>
      <c r="DU40" s="509"/>
      <c r="DV40" s="509"/>
      <c r="DW40" s="509"/>
      <c r="DX40" s="509"/>
      <c r="DY40" s="509"/>
      <c r="DZ40" s="509"/>
      <c r="EA40" s="509"/>
      <c r="EB40" s="509"/>
      <c r="EC40" s="509"/>
      <c r="ED40" s="509"/>
      <c r="EE40" s="509"/>
      <c r="EF40" s="509"/>
      <c r="EG40" s="509"/>
      <c r="EH40" s="509"/>
      <c r="EI40" s="509"/>
      <c r="EJ40" s="509"/>
      <c r="EK40" s="509"/>
      <c r="EL40" s="509"/>
      <c r="EM40" s="509"/>
      <c r="EN40" s="509"/>
      <c r="EO40" s="509"/>
      <c r="EP40" s="509"/>
      <c r="EQ40" s="509"/>
      <c r="ER40" s="509"/>
      <c r="ES40" s="509"/>
      <c r="ET40" s="509"/>
      <c r="EU40" s="509"/>
      <c r="EV40" s="509"/>
      <c r="EW40" s="509"/>
      <c r="EX40" s="509"/>
      <c r="EY40" s="509"/>
      <c r="EZ40" s="509"/>
      <c r="FA40" s="509"/>
      <c r="FB40" s="509"/>
      <c r="FC40" s="509"/>
      <c r="FD40" s="509"/>
      <c r="FE40" s="509"/>
      <c r="FF40" s="509"/>
      <c r="FG40" s="509"/>
      <c r="FH40" s="509"/>
      <c r="FI40" s="509"/>
      <c r="FJ40" s="509"/>
      <c r="FK40" s="509"/>
      <c r="FL40" s="509"/>
      <c r="FM40" s="509"/>
      <c r="FN40" s="509"/>
      <c r="FO40" s="509"/>
      <c r="FP40" s="509"/>
      <c r="FQ40" s="509"/>
      <c r="FR40" s="509"/>
      <c r="FS40" s="509"/>
      <c r="FT40" s="509"/>
      <c r="FU40" s="509"/>
      <c r="FV40" s="509"/>
      <c r="FW40" s="509"/>
      <c r="FX40" s="509"/>
      <c r="FY40" s="509"/>
      <c r="FZ40" s="509"/>
      <c r="GA40" s="509"/>
      <c r="GB40" s="509"/>
      <c r="GC40" s="509"/>
      <c r="GD40" s="509"/>
      <c r="GE40" s="509"/>
      <c r="GF40" s="509"/>
      <c r="GG40" s="509"/>
      <c r="GH40" s="509"/>
      <c r="GI40" s="509"/>
      <c r="GJ40" s="509"/>
      <c r="GK40" s="509"/>
      <c r="GL40" s="509"/>
      <c r="GM40" s="509"/>
      <c r="GN40" s="509"/>
      <c r="GO40" s="509"/>
      <c r="GP40" s="509"/>
      <c r="GQ40" s="509"/>
      <c r="GR40" s="509"/>
      <c r="GS40" s="509"/>
      <c r="GT40" s="509"/>
      <c r="GU40" s="509"/>
      <c r="GV40" s="509"/>
      <c r="GW40" s="509"/>
      <c r="GX40" s="509"/>
      <c r="GY40" s="509"/>
      <c r="GZ40" s="509"/>
      <c r="HA40" s="509"/>
      <c r="HB40" s="509"/>
      <c r="HC40" s="509"/>
      <c r="HD40" s="509"/>
      <c r="HE40" s="509"/>
      <c r="HF40" s="509"/>
      <c r="HG40" s="509"/>
      <c r="HH40" s="509"/>
      <c r="HI40" s="509"/>
      <c r="HJ40" s="509"/>
      <c r="HK40" s="509"/>
      <c r="HL40" s="509"/>
      <c r="HM40" s="509"/>
      <c r="HN40" s="509"/>
      <c r="HO40" s="509"/>
      <c r="HP40" s="509"/>
      <c r="HQ40" s="509"/>
      <c r="HR40" s="509"/>
      <c r="HS40" s="509"/>
      <c r="HT40" s="509"/>
      <c r="HU40" s="509"/>
      <c r="HV40" s="509"/>
      <c r="HW40" s="509"/>
      <c r="HX40" s="509"/>
      <c r="HY40" s="509"/>
      <c r="HZ40" s="509"/>
      <c r="IA40" s="509"/>
      <c r="IB40" s="509"/>
      <c r="IC40" s="509"/>
    </row>
    <row r="41" s="508" customFormat="1" customHeight="1" spans="1:237">
      <c r="A41" s="524" t="s">
        <v>172</v>
      </c>
      <c r="B41" s="94" t="s">
        <v>173</v>
      </c>
      <c r="C41" s="94" t="s">
        <v>13</v>
      </c>
      <c r="D41" s="94" t="s">
        <v>120</v>
      </c>
      <c r="E41" s="94" t="s">
        <v>174</v>
      </c>
      <c r="F41" s="94">
        <v>13539515355</v>
      </c>
      <c r="G41" s="94">
        <v>655355</v>
      </c>
      <c r="H41" s="94" t="s">
        <v>174</v>
      </c>
      <c r="I41" s="94">
        <v>13539515355</v>
      </c>
      <c r="J41" s="94">
        <v>655355</v>
      </c>
      <c r="K41" s="94"/>
      <c r="L41" s="509"/>
      <c r="M41" s="509"/>
      <c r="N41" s="509"/>
      <c r="O41" s="509"/>
      <c r="P41" s="509"/>
      <c r="Q41" s="509"/>
      <c r="R41" s="509"/>
      <c r="S41" s="509"/>
      <c r="T41" s="509"/>
      <c r="U41" s="509"/>
      <c r="V41" s="509"/>
      <c r="W41" s="509"/>
      <c r="X41" s="509"/>
      <c r="Y41" s="509"/>
      <c r="Z41" s="509"/>
      <c r="AA41" s="509"/>
      <c r="AB41" s="509"/>
      <c r="AC41" s="509"/>
      <c r="AD41" s="509"/>
      <c r="AE41" s="509"/>
      <c r="AF41" s="509"/>
      <c r="AG41" s="509"/>
      <c r="AH41" s="509"/>
      <c r="AI41" s="509"/>
      <c r="AJ41" s="509"/>
      <c r="AK41" s="509"/>
      <c r="AL41" s="509"/>
      <c r="AM41" s="509"/>
      <c r="AN41" s="509"/>
      <c r="AO41" s="509"/>
      <c r="AP41" s="509"/>
      <c r="AQ41" s="509"/>
      <c r="AR41" s="509"/>
      <c r="AS41" s="509"/>
      <c r="AT41" s="509"/>
      <c r="AU41" s="509"/>
      <c r="AV41" s="509"/>
      <c r="AW41" s="509"/>
      <c r="AX41" s="509"/>
      <c r="AY41" s="509"/>
      <c r="AZ41" s="509"/>
      <c r="BA41" s="509"/>
      <c r="BB41" s="509"/>
      <c r="BC41" s="509"/>
      <c r="BD41" s="509"/>
      <c r="BE41" s="509"/>
      <c r="BF41" s="509"/>
      <c r="BG41" s="509"/>
      <c r="BH41" s="509"/>
      <c r="BI41" s="509"/>
      <c r="BJ41" s="509"/>
      <c r="BK41" s="509"/>
      <c r="BL41" s="509"/>
      <c r="BM41" s="509"/>
      <c r="BN41" s="509"/>
      <c r="BO41" s="509"/>
      <c r="BP41" s="509"/>
      <c r="BQ41" s="509"/>
      <c r="BR41" s="509"/>
      <c r="BS41" s="509"/>
      <c r="BT41" s="509"/>
      <c r="BU41" s="509"/>
      <c r="BV41" s="509"/>
      <c r="BW41" s="509"/>
      <c r="BX41" s="509"/>
      <c r="BY41" s="509"/>
      <c r="BZ41" s="509"/>
      <c r="CA41" s="509"/>
      <c r="CB41" s="509"/>
      <c r="CC41" s="509"/>
      <c r="CD41" s="509"/>
      <c r="CE41" s="509"/>
      <c r="CF41" s="509"/>
      <c r="CG41" s="509"/>
      <c r="CH41" s="509"/>
      <c r="CI41" s="509"/>
      <c r="CJ41" s="509"/>
      <c r="CK41" s="509"/>
      <c r="CL41" s="509"/>
      <c r="CM41" s="509"/>
      <c r="CN41" s="509"/>
      <c r="CO41" s="509"/>
      <c r="CP41" s="509"/>
      <c r="CQ41" s="509"/>
      <c r="CR41" s="509"/>
      <c r="CS41" s="509"/>
      <c r="CT41" s="509"/>
      <c r="CU41" s="509"/>
      <c r="CV41" s="509"/>
      <c r="CW41" s="509"/>
      <c r="CX41" s="509"/>
      <c r="CY41" s="509"/>
      <c r="CZ41" s="509"/>
      <c r="DA41" s="509"/>
      <c r="DB41" s="509"/>
      <c r="DC41" s="509"/>
      <c r="DD41" s="509"/>
      <c r="DE41" s="509"/>
      <c r="DF41" s="509"/>
      <c r="DG41" s="509"/>
      <c r="DH41" s="509"/>
      <c r="DI41" s="509"/>
      <c r="DJ41" s="509"/>
      <c r="DK41" s="509"/>
      <c r="DL41" s="509"/>
      <c r="DM41" s="509"/>
      <c r="DN41" s="509"/>
      <c r="DO41" s="509"/>
      <c r="DP41" s="509"/>
      <c r="DQ41" s="509"/>
      <c r="DR41" s="509"/>
      <c r="DS41" s="509"/>
      <c r="DT41" s="509"/>
      <c r="DU41" s="509"/>
      <c r="DV41" s="509"/>
      <c r="DW41" s="509"/>
      <c r="DX41" s="509"/>
      <c r="DY41" s="509"/>
      <c r="DZ41" s="509"/>
      <c r="EA41" s="509"/>
      <c r="EB41" s="509"/>
      <c r="EC41" s="509"/>
      <c r="ED41" s="509"/>
      <c r="EE41" s="509"/>
      <c r="EF41" s="509"/>
      <c r="EG41" s="509"/>
      <c r="EH41" s="509"/>
      <c r="EI41" s="509"/>
      <c r="EJ41" s="509"/>
      <c r="EK41" s="509"/>
      <c r="EL41" s="509"/>
      <c r="EM41" s="509"/>
      <c r="EN41" s="509"/>
      <c r="EO41" s="509"/>
      <c r="EP41" s="509"/>
      <c r="EQ41" s="509"/>
      <c r="ER41" s="509"/>
      <c r="ES41" s="509"/>
      <c r="ET41" s="509"/>
      <c r="EU41" s="509"/>
      <c r="EV41" s="509"/>
      <c r="EW41" s="509"/>
      <c r="EX41" s="509"/>
      <c r="EY41" s="509"/>
      <c r="EZ41" s="509"/>
      <c r="FA41" s="509"/>
      <c r="FB41" s="509"/>
      <c r="FC41" s="509"/>
      <c r="FD41" s="509"/>
      <c r="FE41" s="509"/>
      <c r="FF41" s="509"/>
      <c r="FG41" s="509"/>
      <c r="FH41" s="509"/>
      <c r="FI41" s="509"/>
      <c r="FJ41" s="509"/>
      <c r="FK41" s="509"/>
      <c r="FL41" s="509"/>
      <c r="FM41" s="509"/>
      <c r="FN41" s="509"/>
      <c r="FO41" s="509"/>
      <c r="FP41" s="509"/>
      <c r="FQ41" s="509"/>
      <c r="FR41" s="509"/>
      <c r="FS41" s="509"/>
      <c r="FT41" s="509"/>
      <c r="FU41" s="509"/>
      <c r="FV41" s="509"/>
      <c r="FW41" s="509"/>
      <c r="FX41" s="509"/>
      <c r="FY41" s="509"/>
      <c r="FZ41" s="509"/>
      <c r="GA41" s="509"/>
      <c r="GB41" s="509"/>
      <c r="GC41" s="509"/>
      <c r="GD41" s="509"/>
      <c r="GE41" s="509"/>
      <c r="GF41" s="509"/>
      <c r="GG41" s="509"/>
      <c r="GH41" s="509"/>
      <c r="GI41" s="509"/>
      <c r="GJ41" s="509"/>
      <c r="GK41" s="509"/>
      <c r="GL41" s="509"/>
      <c r="GM41" s="509"/>
      <c r="GN41" s="509"/>
      <c r="GO41" s="509"/>
      <c r="GP41" s="509"/>
      <c r="GQ41" s="509"/>
      <c r="GR41" s="509"/>
      <c r="GS41" s="509"/>
      <c r="GT41" s="509"/>
      <c r="GU41" s="509"/>
      <c r="GV41" s="509"/>
      <c r="GW41" s="509"/>
      <c r="GX41" s="509"/>
      <c r="GY41" s="509"/>
      <c r="GZ41" s="509"/>
      <c r="HA41" s="509"/>
      <c r="HB41" s="509"/>
      <c r="HC41" s="509"/>
      <c r="HD41" s="509"/>
      <c r="HE41" s="509"/>
      <c r="HF41" s="509"/>
      <c r="HG41" s="509"/>
      <c r="HH41" s="509"/>
      <c r="HI41" s="509"/>
      <c r="HJ41" s="509"/>
      <c r="HK41" s="509"/>
      <c r="HL41" s="509"/>
      <c r="HM41" s="509"/>
      <c r="HN41" s="509"/>
      <c r="HO41" s="509"/>
      <c r="HP41" s="509"/>
      <c r="HQ41" s="509"/>
      <c r="HR41" s="509"/>
      <c r="HS41" s="509"/>
      <c r="HT41" s="509"/>
      <c r="HU41" s="509"/>
      <c r="HV41" s="509"/>
      <c r="HW41" s="509"/>
      <c r="HX41" s="509"/>
      <c r="HY41" s="509"/>
      <c r="HZ41" s="509"/>
      <c r="IA41" s="509"/>
      <c r="IB41" s="509"/>
      <c r="IC41" s="509"/>
    </row>
    <row r="42" s="508" customFormat="1" customHeight="1" spans="1:237">
      <c r="A42" s="524" t="s">
        <v>175</v>
      </c>
      <c r="B42" s="94" t="s">
        <v>176</v>
      </c>
      <c r="C42" s="94" t="s">
        <v>13</v>
      </c>
      <c r="D42" s="94" t="s">
        <v>125</v>
      </c>
      <c r="E42" s="513" t="s">
        <v>177</v>
      </c>
      <c r="F42" s="513" t="s">
        <v>178</v>
      </c>
      <c r="G42" s="513">
        <v>691181</v>
      </c>
      <c r="H42" s="94" t="s">
        <v>179</v>
      </c>
      <c r="I42" s="519" t="s">
        <v>180</v>
      </c>
      <c r="J42" s="94">
        <v>665222</v>
      </c>
      <c r="K42" s="94"/>
      <c r="L42" s="509"/>
      <c r="M42" s="509"/>
      <c r="N42" s="509"/>
      <c r="O42" s="509"/>
      <c r="P42" s="509"/>
      <c r="Q42" s="509"/>
      <c r="R42" s="509"/>
      <c r="S42" s="509"/>
      <c r="T42" s="509"/>
      <c r="U42" s="509"/>
      <c r="V42" s="509"/>
      <c r="W42" s="509"/>
      <c r="X42" s="509"/>
      <c r="Y42" s="509"/>
      <c r="Z42" s="509"/>
      <c r="AA42" s="509"/>
      <c r="AB42" s="509"/>
      <c r="AC42" s="509"/>
      <c r="AD42" s="509"/>
      <c r="AE42" s="509"/>
      <c r="AF42" s="509"/>
      <c r="AG42" s="509"/>
      <c r="AH42" s="509"/>
      <c r="AI42" s="509"/>
      <c r="AJ42" s="509"/>
      <c r="AK42" s="509"/>
      <c r="AL42" s="509"/>
      <c r="AM42" s="509"/>
      <c r="AN42" s="509"/>
      <c r="AO42" s="509"/>
      <c r="AP42" s="509"/>
      <c r="AQ42" s="509"/>
      <c r="AR42" s="509"/>
      <c r="AS42" s="509"/>
      <c r="AT42" s="509"/>
      <c r="AU42" s="509"/>
      <c r="AV42" s="509"/>
      <c r="AW42" s="509"/>
      <c r="AX42" s="509"/>
      <c r="AY42" s="509"/>
      <c r="AZ42" s="509"/>
      <c r="BA42" s="509"/>
      <c r="BB42" s="509"/>
      <c r="BC42" s="509"/>
      <c r="BD42" s="509"/>
      <c r="BE42" s="509"/>
      <c r="BF42" s="509"/>
      <c r="BG42" s="509"/>
      <c r="BH42" s="509"/>
      <c r="BI42" s="509"/>
      <c r="BJ42" s="509"/>
      <c r="BK42" s="509"/>
      <c r="BL42" s="509"/>
      <c r="BM42" s="509"/>
      <c r="BN42" s="509"/>
      <c r="BO42" s="509"/>
      <c r="BP42" s="509"/>
      <c r="BQ42" s="509"/>
      <c r="BR42" s="509"/>
      <c r="BS42" s="509"/>
      <c r="BT42" s="509"/>
      <c r="BU42" s="509"/>
      <c r="BV42" s="509"/>
      <c r="BW42" s="509"/>
      <c r="BX42" s="509"/>
      <c r="BY42" s="509"/>
      <c r="BZ42" s="509"/>
      <c r="CA42" s="509"/>
      <c r="CB42" s="509"/>
      <c r="CC42" s="509"/>
      <c r="CD42" s="509"/>
      <c r="CE42" s="509"/>
      <c r="CF42" s="509"/>
      <c r="CG42" s="509"/>
      <c r="CH42" s="509"/>
      <c r="CI42" s="509"/>
      <c r="CJ42" s="509"/>
      <c r="CK42" s="509"/>
      <c r="CL42" s="509"/>
      <c r="CM42" s="509"/>
      <c r="CN42" s="509"/>
      <c r="CO42" s="509"/>
      <c r="CP42" s="509"/>
      <c r="CQ42" s="509"/>
      <c r="CR42" s="509"/>
      <c r="CS42" s="509"/>
      <c r="CT42" s="509"/>
      <c r="CU42" s="509"/>
      <c r="CV42" s="509"/>
      <c r="CW42" s="509"/>
      <c r="CX42" s="509"/>
      <c r="CY42" s="509"/>
      <c r="CZ42" s="509"/>
      <c r="DA42" s="509"/>
      <c r="DB42" s="509"/>
      <c r="DC42" s="509"/>
      <c r="DD42" s="509"/>
      <c r="DE42" s="509"/>
      <c r="DF42" s="509"/>
      <c r="DG42" s="509"/>
      <c r="DH42" s="509"/>
      <c r="DI42" s="509"/>
      <c r="DJ42" s="509"/>
      <c r="DK42" s="509"/>
      <c r="DL42" s="509"/>
      <c r="DM42" s="509"/>
      <c r="DN42" s="509"/>
      <c r="DO42" s="509"/>
      <c r="DP42" s="509"/>
      <c r="DQ42" s="509"/>
      <c r="DR42" s="509"/>
      <c r="DS42" s="509"/>
      <c r="DT42" s="509"/>
      <c r="DU42" s="509"/>
      <c r="DV42" s="509"/>
      <c r="DW42" s="509"/>
      <c r="DX42" s="509"/>
      <c r="DY42" s="509"/>
      <c r="DZ42" s="509"/>
      <c r="EA42" s="509"/>
      <c r="EB42" s="509"/>
      <c r="EC42" s="509"/>
      <c r="ED42" s="509"/>
      <c r="EE42" s="509"/>
      <c r="EF42" s="509"/>
      <c r="EG42" s="509"/>
      <c r="EH42" s="509"/>
      <c r="EI42" s="509"/>
      <c r="EJ42" s="509"/>
      <c r="EK42" s="509"/>
      <c r="EL42" s="509"/>
      <c r="EM42" s="509"/>
      <c r="EN42" s="509"/>
      <c r="EO42" s="509"/>
      <c r="EP42" s="509"/>
      <c r="EQ42" s="509"/>
      <c r="ER42" s="509"/>
      <c r="ES42" s="509"/>
      <c r="ET42" s="509"/>
      <c r="EU42" s="509"/>
      <c r="EV42" s="509"/>
      <c r="EW42" s="509"/>
      <c r="EX42" s="509"/>
      <c r="EY42" s="509"/>
      <c r="EZ42" s="509"/>
      <c r="FA42" s="509"/>
      <c r="FB42" s="509"/>
      <c r="FC42" s="509"/>
      <c r="FD42" s="509"/>
      <c r="FE42" s="509"/>
      <c r="FF42" s="509"/>
      <c r="FG42" s="509"/>
      <c r="FH42" s="509"/>
      <c r="FI42" s="509"/>
      <c r="FJ42" s="509"/>
      <c r="FK42" s="509"/>
      <c r="FL42" s="509"/>
      <c r="FM42" s="509"/>
      <c r="FN42" s="509"/>
      <c r="FO42" s="509"/>
      <c r="FP42" s="509"/>
      <c r="FQ42" s="509"/>
      <c r="FR42" s="509"/>
      <c r="FS42" s="509"/>
      <c r="FT42" s="509"/>
      <c r="FU42" s="509"/>
      <c r="FV42" s="509"/>
      <c r="FW42" s="509"/>
      <c r="FX42" s="509"/>
      <c r="FY42" s="509"/>
      <c r="FZ42" s="509"/>
      <c r="GA42" s="509"/>
      <c r="GB42" s="509"/>
      <c r="GC42" s="509"/>
      <c r="GD42" s="509"/>
      <c r="GE42" s="509"/>
      <c r="GF42" s="509"/>
      <c r="GG42" s="509"/>
      <c r="GH42" s="509"/>
      <c r="GI42" s="509"/>
      <c r="GJ42" s="509"/>
      <c r="GK42" s="509"/>
      <c r="GL42" s="509"/>
      <c r="GM42" s="509"/>
      <c r="GN42" s="509"/>
      <c r="GO42" s="509"/>
      <c r="GP42" s="509"/>
      <c r="GQ42" s="509"/>
      <c r="GR42" s="509"/>
      <c r="GS42" s="509"/>
      <c r="GT42" s="509"/>
      <c r="GU42" s="509"/>
      <c r="GV42" s="509"/>
      <c r="GW42" s="509"/>
      <c r="GX42" s="509"/>
      <c r="GY42" s="509"/>
      <c r="GZ42" s="509"/>
      <c r="HA42" s="509"/>
      <c r="HB42" s="509"/>
      <c r="HC42" s="509"/>
      <c r="HD42" s="509"/>
      <c r="HE42" s="509"/>
      <c r="HF42" s="509"/>
      <c r="HG42" s="509"/>
      <c r="HH42" s="509"/>
      <c r="HI42" s="509"/>
      <c r="HJ42" s="509"/>
      <c r="HK42" s="509"/>
      <c r="HL42" s="509"/>
      <c r="HM42" s="509"/>
      <c r="HN42" s="509"/>
      <c r="HO42" s="509"/>
      <c r="HP42" s="509"/>
      <c r="HQ42" s="509"/>
      <c r="HR42" s="509"/>
      <c r="HS42" s="509"/>
      <c r="HT42" s="509"/>
      <c r="HU42" s="509"/>
      <c r="HV42" s="509"/>
      <c r="HW42" s="509"/>
      <c r="HX42" s="509"/>
      <c r="HY42" s="509"/>
      <c r="HZ42" s="509"/>
      <c r="IA42" s="509"/>
      <c r="IB42" s="509"/>
      <c r="IC42" s="509"/>
    </row>
    <row r="43" s="508" customFormat="1" customHeight="1" spans="1:237">
      <c r="A43" s="524" t="s">
        <v>181</v>
      </c>
      <c r="B43" s="94" t="s">
        <v>182</v>
      </c>
      <c r="C43" s="94" t="s">
        <v>13</v>
      </c>
      <c r="D43" s="94" t="s">
        <v>120</v>
      </c>
      <c r="E43" s="513" t="s">
        <v>183</v>
      </c>
      <c r="F43" s="513">
        <v>13631063961</v>
      </c>
      <c r="G43" s="513">
        <v>663961</v>
      </c>
      <c r="H43" s="513" t="s">
        <v>183</v>
      </c>
      <c r="I43" s="513">
        <v>13631063961</v>
      </c>
      <c r="J43" s="513">
        <v>663961</v>
      </c>
      <c r="K43" s="94"/>
      <c r="L43" s="509"/>
      <c r="M43" s="509"/>
      <c r="N43" s="509"/>
      <c r="O43" s="509"/>
      <c r="P43" s="509"/>
      <c r="Q43" s="509"/>
      <c r="R43" s="509"/>
      <c r="S43" s="509"/>
      <c r="T43" s="509"/>
      <c r="U43" s="509"/>
      <c r="V43" s="509"/>
      <c r="W43" s="509"/>
      <c r="X43" s="509"/>
      <c r="Y43" s="509"/>
      <c r="Z43" s="509"/>
      <c r="AA43" s="509"/>
      <c r="AB43" s="509"/>
      <c r="AC43" s="509"/>
      <c r="AD43" s="509"/>
      <c r="AE43" s="509"/>
      <c r="AF43" s="509"/>
      <c r="AG43" s="509"/>
      <c r="AH43" s="509"/>
      <c r="AI43" s="509"/>
      <c r="AJ43" s="509"/>
      <c r="AK43" s="509"/>
      <c r="AL43" s="509"/>
      <c r="AM43" s="509"/>
      <c r="AN43" s="509"/>
      <c r="AO43" s="509"/>
      <c r="AP43" s="509"/>
      <c r="AQ43" s="509"/>
      <c r="AR43" s="509"/>
      <c r="AS43" s="509"/>
      <c r="AT43" s="509"/>
      <c r="AU43" s="509"/>
      <c r="AV43" s="509"/>
      <c r="AW43" s="509"/>
      <c r="AX43" s="509"/>
      <c r="AY43" s="509"/>
      <c r="AZ43" s="509"/>
      <c r="BA43" s="509"/>
      <c r="BB43" s="509"/>
      <c r="BC43" s="509"/>
      <c r="BD43" s="509"/>
      <c r="BE43" s="509"/>
      <c r="BF43" s="509"/>
      <c r="BG43" s="509"/>
      <c r="BH43" s="509"/>
      <c r="BI43" s="509"/>
      <c r="BJ43" s="509"/>
      <c r="BK43" s="509"/>
      <c r="BL43" s="509"/>
      <c r="BM43" s="509"/>
      <c r="BN43" s="509"/>
      <c r="BO43" s="509"/>
      <c r="BP43" s="509"/>
      <c r="BQ43" s="509"/>
      <c r="BR43" s="509"/>
      <c r="BS43" s="509"/>
      <c r="BT43" s="509"/>
      <c r="BU43" s="509"/>
      <c r="BV43" s="509"/>
      <c r="BW43" s="509"/>
      <c r="BX43" s="509"/>
      <c r="BY43" s="509"/>
      <c r="BZ43" s="509"/>
      <c r="CA43" s="509"/>
      <c r="CB43" s="509"/>
      <c r="CC43" s="509"/>
      <c r="CD43" s="509"/>
      <c r="CE43" s="509"/>
      <c r="CF43" s="509"/>
      <c r="CG43" s="509"/>
      <c r="CH43" s="509"/>
      <c r="CI43" s="509"/>
      <c r="CJ43" s="509"/>
      <c r="CK43" s="509"/>
      <c r="CL43" s="509"/>
      <c r="CM43" s="509"/>
      <c r="CN43" s="509"/>
      <c r="CO43" s="509"/>
      <c r="CP43" s="509"/>
      <c r="CQ43" s="509"/>
      <c r="CR43" s="509"/>
      <c r="CS43" s="509"/>
      <c r="CT43" s="509"/>
      <c r="CU43" s="509"/>
      <c r="CV43" s="509"/>
      <c r="CW43" s="509"/>
      <c r="CX43" s="509"/>
      <c r="CY43" s="509"/>
      <c r="CZ43" s="509"/>
      <c r="DA43" s="509"/>
      <c r="DB43" s="509"/>
      <c r="DC43" s="509"/>
      <c r="DD43" s="509"/>
      <c r="DE43" s="509"/>
      <c r="DF43" s="509"/>
      <c r="DG43" s="509"/>
      <c r="DH43" s="509"/>
      <c r="DI43" s="509"/>
      <c r="DJ43" s="509"/>
      <c r="DK43" s="509"/>
      <c r="DL43" s="509"/>
      <c r="DM43" s="509"/>
      <c r="DN43" s="509"/>
      <c r="DO43" s="509"/>
      <c r="DP43" s="509"/>
      <c r="DQ43" s="509"/>
      <c r="DR43" s="509"/>
      <c r="DS43" s="509"/>
      <c r="DT43" s="509"/>
      <c r="DU43" s="509"/>
      <c r="DV43" s="509"/>
      <c r="DW43" s="509"/>
      <c r="DX43" s="509"/>
      <c r="DY43" s="509"/>
      <c r="DZ43" s="509"/>
      <c r="EA43" s="509"/>
      <c r="EB43" s="509"/>
      <c r="EC43" s="509"/>
      <c r="ED43" s="509"/>
      <c r="EE43" s="509"/>
      <c r="EF43" s="509"/>
      <c r="EG43" s="509"/>
      <c r="EH43" s="509"/>
      <c r="EI43" s="509"/>
      <c r="EJ43" s="509"/>
      <c r="EK43" s="509"/>
      <c r="EL43" s="509"/>
      <c r="EM43" s="509"/>
      <c r="EN43" s="509"/>
      <c r="EO43" s="509"/>
      <c r="EP43" s="509"/>
      <c r="EQ43" s="509"/>
      <c r="ER43" s="509"/>
      <c r="ES43" s="509"/>
      <c r="ET43" s="509"/>
      <c r="EU43" s="509"/>
      <c r="EV43" s="509"/>
      <c r="EW43" s="509"/>
      <c r="EX43" s="509"/>
      <c r="EY43" s="509"/>
      <c r="EZ43" s="509"/>
      <c r="FA43" s="509"/>
      <c r="FB43" s="509"/>
      <c r="FC43" s="509"/>
      <c r="FD43" s="509"/>
      <c r="FE43" s="509"/>
      <c r="FF43" s="509"/>
      <c r="FG43" s="509"/>
      <c r="FH43" s="509"/>
      <c r="FI43" s="509"/>
      <c r="FJ43" s="509"/>
      <c r="FK43" s="509"/>
      <c r="FL43" s="509"/>
      <c r="FM43" s="509"/>
      <c r="FN43" s="509"/>
      <c r="FO43" s="509"/>
      <c r="FP43" s="509"/>
      <c r="FQ43" s="509"/>
      <c r="FR43" s="509"/>
      <c r="FS43" s="509"/>
      <c r="FT43" s="509"/>
      <c r="FU43" s="509"/>
      <c r="FV43" s="509"/>
      <c r="FW43" s="509"/>
      <c r="FX43" s="509"/>
      <c r="FY43" s="509"/>
      <c r="FZ43" s="509"/>
      <c r="GA43" s="509"/>
      <c r="GB43" s="509"/>
      <c r="GC43" s="509"/>
      <c r="GD43" s="509"/>
      <c r="GE43" s="509"/>
      <c r="GF43" s="509"/>
      <c r="GG43" s="509"/>
      <c r="GH43" s="509"/>
      <c r="GI43" s="509"/>
      <c r="GJ43" s="509"/>
      <c r="GK43" s="509"/>
      <c r="GL43" s="509"/>
      <c r="GM43" s="509"/>
      <c r="GN43" s="509"/>
      <c r="GO43" s="509"/>
      <c r="GP43" s="509"/>
      <c r="GQ43" s="509"/>
      <c r="GR43" s="509"/>
      <c r="GS43" s="509"/>
      <c r="GT43" s="509"/>
      <c r="GU43" s="509"/>
      <c r="GV43" s="509"/>
      <c r="GW43" s="509"/>
      <c r="GX43" s="509"/>
      <c r="GY43" s="509"/>
      <c r="GZ43" s="509"/>
      <c r="HA43" s="509"/>
      <c r="HB43" s="509"/>
      <c r="HC43" s="509"/>
      <c r="HD43" s="509"/>
      <c r="HE43" s="509"/>
      <c r="HF43" s="509"/>
      <c r="HG43" s="509"/>
      <c r="HH43" s="509"/>
      <c r="HI43" s="509"/>
      <c r="HJ43" s="509"/>
      <c r="HK43" s="509"/>
      <c r="HL43" s="509"/>
      <c r="HM43" s="509"/>
      <c r="HN43" s="509"/>
      <c r="HO43" s="509"/>
      <c r="HP43" s="509"/>
      <c r="HQ43" s="509"/>
      <c r="HR43" s="509"/>
      <c r="HS43" s="509"/>
      <c r="HT43" s="509"/>
      <c r="HU43" s="509"/>
      <c r="HV43" s="509"/>
      <c r="HW43" s="509"/>
      <c r="HX43" s="509"/>
      <c r="HY43" s="509"/>
      <c r="HZ43" s="509"/>
      <c r="IA43" s="509"/>
      <c r="IB43" s="509"/>
      <c r="IC43" s="509"/>
    </row>
    <row r="44" s="508" customFormat="1" customHeight="1" spans="1:237">
      <c r="A44" s="524" t="s">
        <v>184</v>
      </c>
      <c r="B44" s="94" t="s">
        <v>185</v>
      </c>
      <c r="C44" s="94" t="s">
        <v>13</v>
      </c>
      <c r="D44" s="94" t="s">
        <v>125</v>
      </c>
      <c r="E44" s="94" t="s">
        <v>186</v>
      </c>
      <c r="F44" s="94">
        <v>13620579034</v>
      </c>
      <c r="G44" s="94">
        <v>619034</v>
      </c>
      <c r="H44" s="513" t="s">
        <v>187</v>
      </c>
      <c r="I44" s="513">
        <v>13425200708</v>
      </c>
      <c r="J44" s="513">
        <v>66708</v>
      </c>
      <c r="K44" s="94"/>
      <c r="L44" s="509"/>
      <c r="M44" s="509"/>
      <c r="N44" s="509"/>
      <c r="O44" s="509"/>
      <c r="P44" s="509"/>
      <c r="Q44" s="509"/>
      <c r="R44" s="509"/>
      <c r="S44" s="509"/>
      <c r="T44" s="509"/>
      <c r="U44" s="509"/>
      <c r="V44" s="509"/>
      <c r="W44" s="509"/>
      <c r="X44" s="509"/>
      <c r="Y44" s="509"/>
      <c r="Z44" s="509"/>
      <c r="AA44" s="509"/>
      <c r="AB44" s="509"/>
      <c r="AC44" s="509"/>
      <c r="AD44" s="509"/>
      <c r="AE44" s="509"/>
      <c r="AF44" s="509"/>
      <c r="AG44" s="509"/>
      <c r="AH44" s="509"/>
      <c r="AI44" s="509"/>
      <c r="AJ44" s="509"/>
      <c r="AK44" s="509"/>
      <c r="AL44" s="509"/>
      <c r="AM44" s="509"/>
      <c r="AN44" s="509"/>
      <c r="AO44" s="509"/>
      <c r="AP44" s="509"/>
      <c r="AQ44" s="509"/>
      <c r="AR44" s="509"/>
      <c r="AS44" s="509"/>
      <c r="AT44" s="509"/>
      <c r="AU44" s="509"/>
      <c r="AV44" s="509"/>
      <c r="AW44" s="509"/>
      <c r="AX44" s="509"/>
      <c r="AY44" s="509"/>
      <c r="AZ44" s="509"/>
      <c r="BA44" s="509"/>
      <c r="BB44" s="509"/>
      <c r="BC44" s="509"/>
      <c r="BD44" s="509"/>
      <c r="BE44" s="509"/>
      <c r="BF44" s="509"/>
      <c r="BG44" s="509"/>
      <c r="BH44" s="509"/>
      <c r="BI44" s="509"/>
      <c r="BJ44" s="509"/>
      <c r="BK44" s="509"/>
      <c r="BL44" s="509"/>
      <c r="BM44" s="509"/>
      <c r="BN44" s="509"/>
      <c r="BO44" s="509"/>
      <c r="BP44" s="509"/>
      <c r="BQ44" s="509"/>
      <c r="BR44" s="509"/>
      <c r="BS44" s="509"/>
      <c r="BT44" s="509"/>
      <c r="BU44" s="509"/>
      <c r="BV44" s="509"/>
      <c r="BW44" s="509"/>
      <c r="BX44" s="509"/>
      <c r="BY44" s="509"/>
      <c r="BZ44" s="509"/>
      <c r="CA44" s="509"/>
      <c r="CB44" s="509"/>
      <c r="CC44" s="509"/>
      <c r="CD44" s="509"/>
      <c r="CE44" s="509"/>
      <c r="CF44" s="509"/>
      <c r="CG44" s="509"/>
      <c r="CH44" s="509"/>
      <c r="CI44" s="509"/>
      <c r="CJ44" s="509"/>
      <c r="CK44" s="509"/>
      <c r="CL44" s="509"/>
      <c r="CM44" s="509"/>
      <c r="CN44" s="509"/>
      <c r="CO44" s="509"/>
      <c r="CP44" s="509"/>
      <c r="CQ44" s="509"/>
      <c r="CR44" s="509"/>
      <c r="CS44" s="509"/>
      <c r="CT44" s="509"/>
      <c r="CU44" s="509"/>
      <c r="CV44" s="509"/>
      <c r="CW44" s="509"/>
      <c r="CX44" s="509"/>
      <c r="CY44" s="509"/>
      <c r="CZ44" s="509"/>
      <c r="DA44" s="509"/>
      <c r="DB44" s="509"/>
      <c r="DC44" s="509"/>
      <c r="DD44" s="509"/>
      <c r="DE44" s="509"/>
      <c r="DF44" s="509"/>
      <c r="DG44" s="509"/>
      <c r="DH44" s="509"/>
      <c r="DI44" s="509"/>
      <c r="DJ44" s="509"/>
      <c r="DK44" s="509"/>
      <c r="DL44" s="509"/>
      <c r="DM44" s="509"/>
      <c r="DN44" s="509"/>
      <c r="DO44" s="509"/>
      <c r="DP44" s="509"/>
      <c r="DQ44" s="509"/>
      <c r="DR44" s="509"/>
      <c r="DS44" s="509"/>
      <c r="DT44" s="509"/>
      <c r="DU44" s="509"/>
      <c r="DV44" s="509"/>
      <c r="DW44" s="509"/>
      <c r="DX44" s="509"/>
      <c r="DY44" s="509"/>
      <c r="DZ44" s="509"/>
      <c r="EA44" s="509"/>
      <c r="EB44" s="509"/>
      <c r="EC44" s="509"/>
      <c r="ED44" s="509"/>
      <c r="EE44" s="509"/>
      <c r="EF44" s="509"/>
      <c r="EG44" s="509"/>
      <c r="EH44" s="509"/>
      <c r="EI44" s="509"/>
      <c r="EJ44" s="509"/>
      <c r="EK44" s="509"/>
      <c r="EL44" s="509"/>
      <c r="EM44" s="509"/>
      <c r="EN44" s="509"/>
      <c r="EO44" s="509"/>
      <c r="EP44" s="509"/>
      <c r="EQ44" s="509"/>
      <c r="ER44" s="509"/>
      <c r="ES44" s="509"/>
      <c r="ET44" s="509"/>
      <c r="EU44" s="509"/>
      <c r="EV44" s="509"/>
      <c r="EW44" s="509"/>
      <c r="EX44" s="509"/>
      <c r="EY44" s="509"/>
      <c r="EZ44" s="509"/>
      <c r="FA44" s="509"/>
      <c r="FB44" s="509"/>
      <c r="FC44" s="509"/>
      <c r="FD44" s="509"/>
      <c r="FE44" s="509"/>
      <c r="FF44" s="509"/>
      <c r="FG44" s="509"/>
      <c r="FH44" s="509"/>
      <c r="FI44" s="509"/>
      <c r="FJ44" s="509"/>
      <c r="FK44" s="509"/>
      <c r="FL44" s="509"/>
      <c r="FM44" s="509"/>
      <c r="FN44" s="509"/>
      <c r="FO44" s="509"/>
      <c r="FP44" s="509"/>
      <c r="FQ44" s="509"/>
      <c r="FR44" s="509"/>
      <c r="FS44" s="509"/>
      <c r="FT44" s="509"/>
      <c r="FU44" s="509"/>
      <c r="FV44" s="509"/>
      <c r="FW44" s="509"/>
      <c r="FX44" s="509"/>
      <c r="FY44" s="509"/>
      <c r="FZ44" s="509"/>
      <c r="GA44" s="509"/>
      <c r="GB44" s="509"/>
      <c r="GC44" s="509"/>
      <c r="GD44" s="509"/>
      <c r="GE44" s="509"/>
      <c r="GF44" s="509"/>
      <c r="GG44" s="509"/>
      <c r="GH44" s="509"/>
      <c r="GI44" s="509"/>
      <c r="GJ44" s="509"/>
      <c r="GK44" s="509"/>
      <c r="GL44" s="509"/>
      <c r="GM44" s="509"/>
      <c r="GN44" s="509"/>
      <c r="GO44" s="509"/>
      <c r="GP44" s="509"/>
      <c r="GQ44" s="509"/>
      <c r="GR44" s="509"/>
      <c r="GS44" s="509"/>
      <c r="GT44" s="509"/>
      <c r="GU44" s="509"/>
      <c r="GV44" s="509"/>
      <c r="GW44" s="509"/>
      <c r="GX44" s="509"/>
      <c r="GY44" s="509"/>
      <c r="GZ44" s="509"/>
      <c r="HA44" s="509"/>
      <c r="HB44" s="509"/>
      <c r="HC44" s="509"/>
      <c r="HD44" s="509"/>
      <c r="HE44" s="509"/>
      <c r="HF44" s="509"/>
      <c r="HG44" s="509"/>
      <c r="HH44" s="509"/>
      <c r="HI44" s="509"/>
      <c r="HJ44" s="509"/>
      <c r="HK44" s="509"/>
      <c r="HL44" s="509"/>
      <c r="HM44" s="509"/>
      <c r="HN44" s="509"/>
      <c r="HO44" s="509"/>
      <c r="HP44" s="509"/>
      <c r="HQ44" s="509"/>
      <c r="HR44" s="509"/>
      <c r="HS44" s="509"/>
      <c r="HT44" s="509"/>
      <c r="HU44" s="509"/>
      <c r="HV44" s="509"/>
      <c r="HW44" s="509"/>
      <c r="HX44" s="509"/>
      <c r="HY44" s="509"/>
      <c r="HZ44" s="509"/>
      <c r="IA44" s="509"/>
      <c r="IB44" s="509"/>
      <c r="IC44" s="509"/>
    </row>
    <row r="45" s="508" customFormat="1" customHeight="1" spans="1:237">
      <c r="A45" s="524" t="s">
        <v>188</v>
      </c>
      <c r="B45" s="94" t="s">
        <v>189</v>
      </c>
      <c r="C45" s="94" t="s">
        <v>13</v>
      </c>
      <c r="D45" s="94" t="s">
        <v>120</v>
      </c>
      <c r="E45" s="513" t="s">
        <v>190</v>
      </c>
      <c r="F45" s="513">
        <v>13620599985</v>
      </c>
      <c r="G45" s="513">
        <v>66985</v>
      </c>
      <c r="H45" s="513" t="s">
        <v>190</v>
      </c>
      <c r="I45" s="513">
        <v>13620599985</v>
      </c>
      <c r="J45" s="513">
        <v>66985</v>
      </c>
      <c r="K45" s="94"/>
      <c r="L45" s="509"/>
      <c r="M45" s="509"/>
      <c r="N45" s="509"/>
      <c r="O45" s="509"/>
      <c r="P45" s="509"/>
      <c r="Q45" s="509"/>
      <c r="R45" s="509"/>
      <c r="S45" s="509"/>
      <c r="T45" s="509"/>
      <c r="U45" s="509"/>
      <c r="V45" s="509"/>
      <c r="W45" s="509"/>
      <c r="X45" s="509"/>
      <c r="Y45" s="509"/>
      <c r="Z45" s="509"/>
      <c r="AA45" s="509"/>
      <c r="AB45" s="509"/>
      <c r="AC45" s="509"/>
      <c r="AD45" s="509"/>
      <c r="AE45" s="509"/>
      <c r="AF45" s="509"/>
      <c r="AG45" s="509"/>
      <c r="AH45" s="509"/>
      <c r="AI45" s="509"/>
      <c r="AJ45" s="509"/>
      <c r="AK45" s="509"/>
      <c r="AL45" s="509"/>
      <c r="AM45" s="509"/>
      <c r="AN45" s="509"/>
      <c r="AO45" s="509"/>
      <c r="AP45" s="509"/>
      <c r="AQ45" s="509"/>
      <c r="AR45" s="509"/>
      <c r="AS45" s="509"/>
      <c r="AT45" s="509"/>
      <c r="AU45" s="509"/>
      <c r="AV45" s="509"/>
      <c r="AW45" s="509"/>
      <c r="AX45" s="509"/>
      <c r="AY45" s="509"/>
      <c r="AZ45" s="509"/>
      <c r="BA45" s="509"/>
      <c r="BB45" s="509"/>
      <c r="BC45" s="509"/>
      <c r="BD45" s="509"/>
      <c r="BE45" s="509"/>
      <c r="BF45" s="509"/>
      <c r="BG45" s="509"/>
      <c r="BH45" s="509"/>
      <c r="BI45" s="509"/>
      <c r="BJ45" s="509"/>
      <c r="BK45" s="509"/>
      <c r="BL45" s="509"/>
      <c r="BM45" s="509"/>
      <c r="BN45" s="509"/>
      <c r="BO45" s="509"/>
      <c r="BP45" s="509"/>
      <c r="BQ45" s="509"/>
      <c r="BR45" s="509"/>
      <c r="BS45" s="509"/>
      <c r="BT45" s="509"/>
      <c r="BU45" s="509"/>
      <c r="BV45" s="509"/>
      <c r="BW45" s="509"/>
      <c r="BX45" s="509"/>
      <c r="BY45" s="509"/>
      <c r="BZ45" s="509"/>
      <c r="CA45" s="509"/>
      <c r="CB45" s="509"/>
      <c r="CC45" s="509"/>
      <c r="CD45" s="509"/>
      <c r="CE45" s="509"/>
      <c r="CF45" s="509"/>
      <c r="CG45" s="509"/>
      <c r="CH45" s="509"/>
      <c r="CI45" s="509"/>
      <c r="CJ45" s="509"/>
      <c r="CK45" s="509"/>
      <c r="CL45" s="509"/>
      <c r="CM45" s="509"/>
      <c r="CN45" s="509"/>
      <c r="CO45" s="509"/>
      <c r="CP45" s="509"/>
      <c r="CQ45" s="509"/>
      <c r="CR45" s="509"/>
      <c r="CS45" s="509"/>
      <c r="CT45" s="509"/>
      <c r="CU45" s="509"/>
      <c r="CV45" s="509"/>
      <c r="CW45" s="509"/>
      <c r="CX45" s="509"/>
      <c r="CY45" s="509"/>
      <c r="CZ45" s="509"/>
      <c r="DA45" s="509"/>
      <c r="DB45" s="509"/>
      <c r="DC45" s="509"/>
      <c r="DD45" s="509"/>
      <c r="DE45" s="509"/>
      <c r="DF45" s="509"/>
      <c r="DG45" s="509"/>
      <c r="DH45" s="509"/>
      <c r="DI45" s="509"/>
      <c r="DJ45" s="509"/>
      <c r="DK45" s="509"/>
      <c r="DL45" s="509"/>
      <c r="DM45" s="509"/>
      <c r="DN45" s="509"/>
      <c r="DO45" s="509"/>
      <c r="DP45" s="509"/>
      <c r="DQ45" s="509"/>
      <c r="DR45" s="509"/>
      <c r="DS45" s="509"/>
      <c r="DT45" s="509"/>
      <c r="DU45" s="509"/>
      <c r="DV45" s="509"/>
      <c r="DW45" s="509"/>
      <c r="DX45" s="509"/>
      <c r="DY45" s="509"/>
      <c r="DZ45" s="509"/>
      <c r="EA45" s="509"/>
      <c r="EB45" s="509"/>
      <c r="EC45" s="509"/>
      <c r="ED45" s="509"/>
      <c r="EE45" s="509"/>
      <c r="EF45" s="509"/>
      <c r="EG45" s="509"/>
      <c r="EH45" s="509"/>
      <c r="EI45" s="509"/>
      <c r="EJ45" s="509"/>
      <c r="EK45" s="509"/>
      <c r="EL45" s="509"/>
      <c r="EM45" s="509"/>
      <c r="EN45" s="509"/>
      <c r="EO45" s="509"/>
      <c r="EP45" s="509"/>
      <c r="EQ45" s="509"/>
      <c r="ER45" s="509"/>
      <c r="ES45" s="509"/>
      <c r="ET45" s="509"/>
      <c r="EU45" s="509"/>
      <c r="EV45" s="509"/>
      <c r="EW45" s="509"/>
      <c r="EX45" s="509"/>
      <c r="EY45" s="509"/>
      <c r="EZ45" s="509"/>
      <c r="FA45" s="509"/>
      <c r="FB45" s="509"/>
      <c r="FC45" s="509"/>
      <c r="FD45" s="509"/>
      <c r="FE45" s="509"/>
      <c r="FF45" s="509"/>
      <c r="FG45" s="509"/>
      <c r="FH45" s="509"/>
      <c r="FI45" s="509"/>
      <c r="FJ45" s="509"/>
      <c r="FK45" s="509"/>
      <c r="FL45" s="509"/>
      <c r="FM45" s="509"/>
      <c r="FN45" s="509"/>
      <c r="FO45" s="509"/>
      <c r="FP45" s="509"/>
      <c r="FQ45" s="509"/>
      <c r="FR45" s="509"/>
      <c r="FS45" s="509"/>
      <c r="FT45" s="509"/>
      <c r="FU45" s="509"/>
      <c r="FV45" s="509"/>
      <c r="FW45" s="509"/>
      <c r="FX45" s="509"/>
      <c r="FY45" s="509"/>
      <c r="FZ45" s="509"/>
      <c r="GA45" s="509"/>
      <c r="GB45" s="509"/>
      <c r="GC45" s="509"/>
      <c r="GD45" s="509"/>
      <c r="GE45" s="509"/>
      <c r="GF45" s="509"/>
      <c r="GG45" s="509"/>
      <c r="GH45" s="509"/>
      <c r="GI45" s="509"/>
      <c r="GJ45" s="509"/>
      <c r="GK45" s="509"/>
      <c r="GL45" s="509"/>
      <c r="GM45" s="509"/>
      <c r="GN45" s="509"/>
      <c r="GO45" s="509"/>
      <c r="GP45" s="509"/>
      <c r="GQ45" s="509"/>
      <c r="GR45" s="509"/>
      <c r="GS45" s="509"/>
      <c r="GT45" s="509"/>
      <c r="GU45" s="509"/>
      <c r="GV45" s="509"/>
      <c r="GW45" s="509"/>
      <c r="GX45" s="509"/>
      <c r="GY45" s="509"/>
      <c r="GZ45" s="509"/>
      <c r="HA45" s="509"/>
      <c r="HB45" s="509"/>
      <c r="HC45" s="509"/>
      <c r="HD45" s="509"/>
      <c r="HE45" s="509"/>
      <c r="HF45" s="509"/>
      <c r="HG45" s="509"/>
      <c r="HH45" s="509"/>
      <c r="HI45" s="509"/>
      <c r="HJ45" s="509"/>
      <c r="HK45" s="509"/>
      <c r="HL45" s="509"/>
      <c r="HM45" s="509"/>
      <c r="HN45" s="509"/>
      <c r="HO45" s="509"/>
      <c r="HP45" s="509"/>
      <c r="HQ45" s="509"/>
      <c r="HR45" s="509"/>
      <c r="HS45" s="509"/>
      <c r="HT45" s="509"/>
      <c r="HU45" s="509"/>
      <c r="HV45" s="509"/>
      <c r="HW45" s="509"/>
      <c r="HX45" s="509"/>
      <c r="HY45" s="509"/>
      <c r="HZ45" s="509"/>
      <c r="IA45" s="509"/>
      <c r="IB45" s="509"/>
      <c r="IC45" s="509"/>
    </row>
    <row r="46" s="508" customFormat="1" customHeight="1" spans="1:237">
      <c r="A46" s="524" t="s">
        <v>191</v>
      </c>
      <c r="B46" s="94" t="s">
        <v>192</v>
      </c>
      <c r="C46" s="94" t="s">
        <v>13</v>
      </c>
      <c r="D46" s="94" t="s">
        <v>125</v>
      </c>
      <c r="E46" s="513" t="s">
        <v>193</v>
      </c>
      <c r="F46" s="521" t="s">
        <v>194</v>
      </c>
      <c r="G46" s="513">
        <v>682788</v>
      </c>
      <c r="H46" s="513" t="s">
        <v>195</v>
      </c>
      <c r="I46" s="513">
        <v>13610586071</v>
      </c>
      <c r="J46" s="513">
        <v>676071</v>
      </c>
      <c r="K46" s="94"/>
      <c r="L46" s="509"/>
      <c r="M46" s="509"/>
      <c r="N46" s="509"/>
      <c r="O46" s="509"/>
      <c r="P46" s="509"/>
      <c r="Q46" s="509"/>
      <c r="R46" s="509"/>
      <c r="S46" s="509"/>
      <c r="T46" s="509"/>
      <c r="U46" s="509"/>
      <c r="V46" s="509"/>
      <c r="W46" s="509"/>
      <c r="X46" s="509"/>
      <c r="Y46" s="509"/>
      <c r="Z46" s="509"/>
      <c r="AA46" s="509"/>
      <c r="AB46" s="509"/>
      <c r="AC46" s="509"/>
      <c r="AD46" s="509"/>
      <c r="AE46" s="509"/>
      <c r="AF46" s="509"/>
      <c r="AG46" s="509"/>
      <c r="AH46" s="509"/>
      <c r="AI46" s="509"/>
      <c r="AJ46" s="509"/>
      <c r="AK46" s="509"/>
      <c r="AL46" s="509"/>
      <c r="AM46" s="509"/>
      <c r="AN46" s="509"/>
      <c r="AO46" s="509"/>
      <c r="AP46" s="509"/>
      <c r="AQ46" s="509"/>
      <c r="AR46" s="509"/>
      <c r="AS46" s="509"/>
      <c r="AT46" s="509"/>
      <c r="AU46" s="509"/>
      <c r="AV46" s="509"/>
      <c r="AW46" s="509"/>
      <c r="AX46" s="509"/>
      <c r="AY46" s="509"/>
      <c r="AZ46" s="509"/>
      <c r="BA46" s="509"/>
      <c r="BB46" s="509"/>
      <c r="BC46" s="509"/>
      <c r="BD46" s="509"/>
      <c r="BE46" s="509"/>
      <c r="BF46" s="509"/>
      <c r="BG46" s="509"/>
      <c r="BH46" s="509"/>
      <c r="BI46" s="509"/>
      <c r="BJ46" s="509"/>
      <c r="BK46" s="509"/>
      <c r="BL46" s="509"/>
      <c r="BM46" s="509"/>
      <c r="BN46" s="509"/>
      <c r="BO46" s="509"/>
      <c r="BP46" s="509"/>
      <c r="BQ46" s="509"/>
      <c r="BR46" s="509"/>
      <c r="BS46" s="509"/>
      <c r="BT46" s="509"/>
      <c r="BU46" s="509"/>
      <c r="BV46" s="509"/>
      <c r="BW46" s="509"/>
      <c r="BX46" s="509"/>
      <c r="BY46" s="509"/>
      <c r="BZ46" s="509"/>
      <c r="CA46" s="509"/>
      <c r="CB46" s="509"/>
      <c r="CC46" s="509"/>
      <c r="CD46" s="509"/>
      <c r="CE46" s="509"/>
      <c r="CF46" s="509"/>
      <c r="CG46" s="509"/>
      <c r="CH46" s="509"/>
      <c r="CI46" s="509"/>
      <c r="CJ46" s="509"/>
      <c r="CK46" s="509"/>
      <c r="CL46" s="509"/>
      <c r="CM46" s="509"/>
      <c r="CN46" s="509"/>
      <c r="CO46" s="509"/>
      <c r="CP46" s="509"/>
      <c r="CQ46" s="509"/>
      <c r="CR46" s="509"/>
      <c r="CS46" s="509"/>
      <c r="CT46" s="509"/>
      <c r="CU46" s="509"/>
      <c r="CV46" s="509"/>
      <c r="CW46" s="509"/>
      <c r="CX46" s="509"/>
      <c r="CY46" s="509"/>
      <c r="CZ46" s="509"/>
      <c r="DA46" s="509"/>
      <c r="DB46" s="509"/>
      <c r="DC46" s="509"/>
      <c r="DD46" s="509"/>
      <c r="DE46" s="509"/>
      <c r="DF46" s="509"/>
      <c r="DG46" s="509"/>
      <c r="DH46" s="509"/>
      <c r="DI46" s="509"/>
      <c r="DJ46" s="509"/>
      <c r="DK46" s="509"/>
      <c r="DL46" s="509"/>
      <c r="DM46" s="509"/>
      <c r="DN46" s="509"/>
      <c r="DO46" s="509"/>
      <c r="DP46" s="509"/>
      <c r="DQ46" s="509"/>
      <c r="DR46" s="509"/>
      <c r="DS46" s="509"/>
      <c r="DT46" s="509"/>
      <c r="DU46" s="509"/>
      <c r="DV46" s="509"/>
      <c r="DW46" s="509"/>
      <c r="DX46" s="509"/>
      <c r="DY46" s="509"/>
      <c r="DZ46" s="509"/>
      <c r="EA46" s="509"/>
      <c r="EB46" s="509"/>
      <c r="EC46" s="509"/>
      <c r="ED46" s="509"/>
      <c r="EE46" s="509"/>
      <c r="EF46" s="509"/>
      <c r="EG46" s="509"/>
      <c r="EH46" s="509"/>
      <c r="EI46" s="509"/>
      <c r="EJ46" s="509"/>
      <c r="EK46" s="509"/>
      <c r="EL46" s="509"/>
      <c r="EM46" s="509"/>
      <c r="EN46" s="509"/>
      <c r="EO46" s="509"/>
      <c r="EP46" s="509"/>
      <c r="EQ46" s="509"/>
      <c r="ER46" s="509"/>
      <c r="ES46" s="509"/>
      <c r="ET46" s="509"/>
      <c r="EU46" s="509"/>
      <c r="EV46" s="509"/>
      <c r="EW46" s="509"/>
      <c r="EX46" s="509"/>
      <c r="EY46" s="509"/>
      <c r="EZ46" s="509"/>
      <c r="FA46" s="509"/>
      <c r="FB46" s="509"/>
      <c r="FC46" s="509"/>
      <c r="FD46" s="509"/>
      <c r="FE46" s="509"/>
      <c r="FF46" s="509"/>
      <c r="FG46" s="509"/>
      <c r="FH46" s="509"/>
      <c r="FI46" s="509"/>
      <c r="FJ46" s="509"/>
      <c r="FK46" s="509"/>
      <c r="FL46" s="509"/>
      <c r="FM46" s="509"/>
      <c r="FN46" s="509"/>
      <c r="FO46" s="509"/>
      <c r="FP46" s="509"/>
      <c r="FQ46" s="509"/>
      <c r="FR46" s="509"/>
      <c r="FS46" s="509"/>
      <c r="FT46" s="509"/>
      <c r="FU46" s="509"/>
      <c r="FV46" s="509"/>
      <c r="FW46" s="509"/>
      <c r="FX46" s="509"/>
      <c r="FY46" s="509"/>
      <c r="FZ46" s="509"/>
      <c r="GA46" s="509"/>
      <c r="GB46" s="509"/>
      <c r="GC46" s="509"/>
      <c r="GD46" s="509"/>
      <c r="GE46" s="509"/>
      <c r="GF46" s="509"/>
      <c r="GG46" s="509"/>
      <c r="GH46" s="509"/>
      <c r="GI46" s="509"/>
      <c r="GJ46" s="509"/>
      <c r="GK46" s="509"/>
      <c r="GL46" s="509"/>
      <c r="GM46" s="509"/>
      <c r="GN46" s="509"/>
      <c r="GO46" s="509"/>
      <c r="GP46" s="509"/>
      <c r="GQ46" s="509"/>
      <c r="GR46" s="509"/>
      <c r="GS46" s="509"/>
      <c r="GT46" s="509"/>
      <c r="GU46" s="509"/>
      <c r="GV46" s="509"/>
      <c r="GW46" s="509"/>
      <c r="GX46" s="509"/>
      <c r="GY46" s="509"/>
      <c r="GZ46" s="509"/>
      <c r="HA46" s="509"/>
      <c r="HB46" s="509"/>
      <c r="HC46" s="509"/>
      <c r="HD46" s="509"/>
      <c r="HE46" s="509"/>
      <c r="HF46" s="509"/>
      <c r="HG46" s="509"/>
      <c r="HH46" s="509"/>
      <c r="HI46" s="509"/>
      <c r="HJ46" s="509"/>
      <c r="HK46" s="509"/>
      <c r="HL46" s="509"/>
      <c r="HM46" s="509"/>
      <c r="HN46" s="509"/>
      <c r="HO46" s="509"/>
      <c r="HP46" s="509"/>
      <c r="HQ46" s="509"/>
      <c r="HR46" s="509"/>
      <c r="HS46" s="509"/>
      <c r="HT46" s="509"/>
      <c r="HU46" s="509"/>
      <c r="HV46" s="509"/>
      <c r="HW46" s="509"/>
      <c r="HX46" s="509"/>
      <c r="HY46" s="509"/>
      <c r="HZ46" s="509"/>
      <c r="IA46" s="509"/>
      <c r="IB46" s="509"/>
      <c r="IC46" s="509"/>
    </row>
    <row r="47" s="508" customFormat="1" customHeight="1" spans="1:237">
      <c r="A47" s="524" t="s">
        <v>196</v>
      </c>
      <c r="B47" s="94" t="s">
        <v>197</v>
      </c>
      <c r="C47" s="94" t="s">
        <v>13</v>
      </c>
      <c r="D47" s="94" t="s">
        <v>120</v>
      </c>
      <c r="E47" s="521" t="s">
        <v>198</v>
      </c>
      <c r="F47" s="521" t="s">
        <v>199</v>
      </c>
      <c r="G47" s="513">
        <v>688842</v>
      </c>
      <c r="H47" s="521" t="s">
        <v>198</v>
      </c>
      <c r="I47" s="521" t="s">
        <v>199</v>
      </c>
      <c r="J47" s="513">
        <v>688842</v>
      </c>
      <c r="K47" s="94"/>
      <c r="L47" s="509"/>
      <c r="M47" s="509"/>
      <c r="N47" s="509"/>
      <c r="O47" s="509"/>
      <c r="P47" s="509"/>
      <c r="Q47" s="509"/>
      <c r="R47" s="509"/>
      <c r="S47" s="509"/>
      <c r="T47" s="509"/>
      <c r="U47" s="509"/>
      <c r="V47" s="509"/>
      <c r="W47" s="509"/>
      <c r="X47" s="509"/>
      <c r="Y47" s="509"/>
      <c r="Z47" s="509"/>
      <c r="AA47" s="509"/>
      <c r="AB47" s="509"/>
      <c r="AC47" s="509"/>
      <c r="AD47" s="509"/>
      <c r="AE47" s="509"/>
      <c r="AF47" s="509"/>
      <c r="AG47" s="509"/>
      <c r="AH47" s="509"/>
      <c r="AI47" s="509"/>
      <c r="AJ47" s="509"/>
      <c r="AK47" s="509"/>
      <c r="AL47" s="509"/>
      <c r="AM47" s="509"/>
      <c r="AN47" s="509"/>
      <c r="AO47" s="509"/>
      <c r="AP47" s="509"/>
      <c r="AQ47" s="509"/>
      <c r="AR47" s="509"/>
      <c r="AS47" s="509"/>
      <c r="AT47" s="509"/>
      <c r="AU47" s="509"/>
      <c r="AV47" s="509"/>
      <c r="AW47" s="509"/>
      <c r="AX47" s="509"/>
      <c r="AY47" s="509"/>
      <c r="AZ47" s="509"/>
      <c r="BA47" s="509"/>
      <c r="BB47" s="509"/>
      <c r="BC47" s="509"/>
      <c r="BD47" s="509"/>
      <c r="BE47" s="509"/>
      <c r="BF47" s="509"/>
      <c r="BG47" s="509"/>
      <c r="BH47" s="509"/>
      <c r="BI47" s="509"/>
      <c r="BJ47" s="509"/>
      <c r="BK47" s="509"/>
      <c r="BL47" s="509"/>
      <c r="BM47" s="509"/>
      <c r="BN47" s="509"/>
      <c r="BO47" s="509"/>
      <c r="BP47" s="509"/>
      <c r="BQ47" s="509"/>
      <c r="BR47" s="509"/>
      <c r="BS47" s="509"/>
      <c r="BT47" s="509"/>
      <c r="BU47" s="509"/>
      <c r="BV47" s="509"/>
      <c r="BW47" s="509"/>
      <c r="BX47" s="509"/>
      <c r="BY47" s="509"/>
      <c r="BZ47" s="509"/>
      <c r="CA47" s="509"/>
      <c r="CB47" s="509"/>
      <c r="CC47" s="509"/>
      <c r="CD47" s="509"/>
      <c r="CE47" s="509"/>
      <c r="CF47" s="509"/>
      <c r="CG47" s="509"/>
      <c r="CH47" s="509"/>
      <c r="CI47" s="509"/>
      <c r="CJ47" s="509"/>
      <c r="CK47" s="509"/>
      <c r="CL47" s="509"/>
      <c r="CM47" s="509"/>
      <c r="CN47" s="509"/>
      <c r="CO47" s="509"/>
      <c r="CP47" s="509"/>
      <c r="CQ47" s="509"/>
      <c r="CR47" s="509"/>
      <c r="CS47" s="509"/>
      <c r="CT47" s="509"/>
      <c r="CU47" s="509"/>
      <c r="CV47" s="509"/>
      <c r="CW47" s="509"/>
      <c r="CX47" s="509"/>
      <c r="CY47" s="509"/>
      <c r="CZ47" s="509"/>
      <c r="DA47" s="509"/>
      <c r="DB47" s="509"/>
      <c r="DC47" s="509"/>
      <c r="DD47" s="509"/>
      <c r="DE47" s="509"/>
      <c r="DF47" s="509"/>
      <c r="DG47" s="509"/>
      <c r="DH47" s="509"/>
      <c r="DI47" s="509"/>
      <c r="DJ47" s="509"/>
      <c r="DK47" s="509"/>
      <c r="DL47" s="509"/>
      <c r="DM47" s="509"/>
      <c r="DN47" s="509"/>
      <c r="DO47" s="509"/>
      <c r="DP47" s="509"/>
      <c r="DQ47" s="509"/>
      <c r="DR47" s="509"/>
      <c r="DS47" s="509"/>
      <c r="DT47" s="509"/>
      <c r="DU47" s="509"/>
      <c r="DV47" s="509"/>
      <c r="DW47" s="509"/>
      <c r="DX47" s="509"/>
      <c r="DY47" s="509"/>
      <c r="DZ47" s="509"/>
      <c r="EA47" s="509"/>
      <c r="EB47" s="509"/>
      <c r="EC47" s="509"/>
      <c r="ED47" s="509"/>
      <c r="EE47" s="509"/>
      <c r="EF47" s="509"/>
      <c r="EG47" s="509"/>
      <c r="EH47" s="509"/>
      <c r="EI47" s="509"/>
      <c r="EJ47" s="509"/>
      <c r="EK47" s="509"/>
      <c r="EL47" s="509"/>
      <c r="EM47" s="509"/>
      <c r="EN47" s="509"/>
      <c r="EO47" s="509"/>
      <c r="EP47" s="509"/>
      <c r="EQ47" s="509"/>
      <c r="ER47" s="509"/>
      <c r="ES47" s="509"/>
      <c r="ET47" s="509"/>
      <c r="EU47" s="509"/>
      <c r="EV47" s="509"/>
      <c r="EW47" s="509"/>
      <c r="EX47" s="509"/>
      <c r="EY47" s="509"/>
      <c r="EZ47" s="509"/>
      <c r="FA47" s="509"/>
      <c r="FB47" s="509"/>
      <c r="FC47" s="509"/>
      <c r="FD47" s="509"/>
      <c r="FE47" s="509"/>
      <c r="FF47" s="509"/>
      <c r="FG47" s="509"/>
      <c r="FH47" s="509"/>
      <c r="FI47" s="509"/>
      <c r="FJ47" s="509"/>
      <c r="FK47" s="509"/>
      <c r="FL47" s="509"/>
      <c r="FM47" s="509"/>
      <c r="FN47" s="509"/>
      <c r="FO47" s="509"/>
      <c r="FP47" s="509"/>
      <c r="FQ47" s="509"/>
      <c r="FR47" s="509"/>
      <c r="FS47" s="509"/>
      <c r="FT47" s="509"/>
      <c r="FU47" s="509"/>
      <c r="FV47" s="509"/>
      <c r="FW47" s="509"/>
      <c r="FX47" s="509"/>
      <c r="FY47" s="509"/>
      <c r="FZ47" s="509"/>
      <c r="GA47" s="509"/>
      <c r="GB47" s="509"/>
      <c r="GC47" s="509"/>
      <c r="GD47" s="509"/>
      <c r="GE47" s="509"/>
      <c r="GF47" s="509"/>
      <c r="GG47" s="509"/>
      <c r="GH47" s="509"/>
      <c r="GI47" s="509"/>
      <c r="GJ47" s="509"/>
      <c r="GK47" s="509"/>
      <c r="GL47" s="509"/>
      <c r="GM47" s="509"/>
      <c r="GN47" s="509"/>
      <c r="GO47" s="509"/>
      <c r="GP47" s="509"/>
      <c r="GQ47" s="509"/>
      <c r="GR47" s="509"/>
      <c r="GS47" s="509"/>
      <c r="GT47" s="509"/>
      <c r="GU47" s="509"/>
      <c r="GV47" s="509"/>
      <c r="GW47" s="509"/>
      <c r="GX47" s="509"/>
      <c r="GY47" s="509"/>
      <c r="GZ47" s="509"/>
      <c r="HA47" s="509"/>
      <c r="HB47" s="509"/>
      <c r="HC47" s="509"/>
      <c r="HD47" s="509"/>
      <c r="HE47" s="509"/>
      <c r="HF47" s="509"/>
      <c r="HG47" s="509"/>
      <c r="HH47" s="509"/>
      <c r="HI47" s="509"/>
      <c r="HJ47" s="509"/>
      <c r="HK47" s="509"/>
      <c r="HL47" s="509"/>
      <c r="HM47" s="509"/>
      <c r="HN47" s="509"/>
      <c r="HO47" s="509"/>
      <c r="HP47" s="509"/>
      <c r="HQ47" s="509"/>
      <c r="HR47" s="509"/>
      <c r="HS47" s="509"/>
      <c r="HT47" s="509"/>
      <c r="HU47" s="509"/>
      <c r="HV47" s="509"/>
      <c r="HW47" s="509"/>
      <c r="HX47" s="509"/>
      <c r="HY47" s="509"/>
      <c r="HZ47" s="509"/>
      <c r="IA47" s="509"/>
      <c r="IB47" s="509"/>
      <c r="IC47" s="509"/>
    </row>
    <row r="48" s="508" customFormat="1" customHeight="1" spans="1:237">
      <c r="A48" s="524" t="s">
        <v>200</v>
      </c>
      <c r="B48" s="94" t="s">
        <v>201</v>
      </c>
      <c r="C48" s="94" t="s">
        <v>13</v>
      </c>
      <c r="D48" s="94" t="s">
        <v>125</v>
      </c>
      <c r="E48" s="94" t="s">
        <v>202</v>
      </c>
      <c r="F48" s="519" t="s">
        <v>203</v>
      </c>
      <c r="G48" s="94">
        <v>639020</v>
      </c>
      <c r="H48" s="94" t="s">
        <v>204</v>
      </c>
      <c r="I48" s="94">
        <v>13553996633</v>
      </c>
      <c r="J48" s="94">
        <v>66633</v>
      </c>
      <c r="K48" s="94"/>
      <c r="L48" s="509"/>
      <c r="M48" s="509"/>
      <c r="N48" s="509"/>
      <c r="O48" s="509"/>
      <c r="P48" s="509"/>
      <c r="Q48" s="509"/>
      <c r="R48" s="509"/>
      <c r="S48" s="509"/>
      <c r="T48" s="509"/>
      <c r="U48" s="509"/>
      <c r="V48" s="509"/>
      <c r="W48" s="509"/>
      <c r="X48" s="509"/>
      <c r="Y48" s="509"/>
      <c r="Z48" s="509"/>
      <c r="AA48" s="509"/>
      <c r="AB48" s="509"/>
      <c r="AC48" s="509"/>
      <c r="AD48" s="509"/>
      <c r="AE48" s="509"/>
      <c r="AF48" s="509"/>
      <c r="AG48" s="509"/>
      <c r="AH48" s="509"/>
      <c r="AI48" s="509"/>
      <c r="AJ48" s="509"/>
      <c r="AK48" s="509"/>
      <c r="AL48" s="509"/>
      <c r="AM48" s="509"/>
      <c r="AN48" s="509"/>
      <c r="AO48" s="509"/>
      <c r="AP48" s="509"/>
      <c r="AQ48" s="509"/>
      <c r="AR48" s="509"/>
      <c r="AS48" s="509"/>
      <c r="AT48" s="509"/>
      <c r="AU48" s="509"/>
      <c r="AV48" s="509"/>
      <c r="AW48" s="509"/>
      <c r="AX48" s="509"/>
      <c r="AY48" s="509"/>
      <c r="AZ48" s="509"/>
      <c r="BA48" s="509"/>
      <c r="BB48" s="509"/>
      <c r="BC48" s="509"/>
      <c r="BD48" s="509"/>
      <c r="BE48" s="509"/>
      <c r="BF48" s="509"/>
      <c r="BG48" s="509"/>
      <c r="BH48" s="509"/>
      <c r="BI48" s="509"/>
      <c r="BJ48" s="509"/>
      <c r="BK48" s="509"/>
      <c r="BL48" s="509"/>
      <c r="BM48" s="509"/>
      <c r="BN48" s="509"/>
      <c r="BO48" s="509"/>
      <c r="BP48" s="509"/>
      <c r="BQ48" s="509"/>
      <c r="BR48" s="509"/>
      <c r="BS48" s="509"/>
      <c r="BT48" s="509"/>
      <c r="BU48" s="509"/>
      <c r="BV48" s="509"/>
      <c r="BW48" s="509"/>
      <c r="BX48" s="509"/>
      <c r="BY48" s="509"/>
      <c r="BZ48" s="509"/>
      <c r="CA48" s="509"/>
      <c r="CB48" s="509"/>
      <c r="CC48" s="509"/>
      <c r="CD48" s="509"/>
      <c r="CE48" s="509"/>
      <c r="CF48" s="509"/>
      <c r="CG48" s="509"/>
      <c r="CH48" s="509"/>
      <c r="CI48" s="509"/>
      <c r="CJ48" s="509"/>
      <c r="CK48" s="509"/>
      <c r="CL48" s="509"/>
      <c r="CM48" s="509"/>
      <c r="CN48" s="509"/>
      <c r="CO48" s="509"/>
      <c r="CP48" s="509"/>
      <c r="CQ48" s="509"/>
      <c r="CR48" s="509"/>
      <c r="CS48" s="509"/>
      <c r="CT48" s="509"/>
      <c r="CU48" s="509"/>
      <c r="CV48" s="509"/>
      <c r="CW48" s="509"/>
      <c r="CX48" s="509"/>
      <c r="CY48" s="509"/>
      <c r="CZ48" s="509"/>
      <c r="DA48" s="509"/>
      <c r="DB48" s="509"/>
      <c r="DC48" s="509"/>
      <c r="DD48" s="509"/>
      <c r="DE48" s="509"/>
      <c r="DF48" s="509"/>
      <c r="DG48" s="509"/>
      <c r="DH48" s="509"/>
      <c r="DI48" s="509"/>
      <c r="DJ48" s="509"/>
      <c r="DK48" s="509"/>
      <c r="DL48" s="509"/>
      <c r="DM48" s="509"/>
      <c r="DN48" s="509"/>
      <c r="DO48" s="509"/>
      <c r="DP48" s="509"/>
      <c r="DQ48" s="509"/>
      <c r="DR48" s="509"/>
      <c r="DS48" s="509"/>
      <c r="DT48" s="509"/>
      <c r="DU48" s="509"/>
      <c r="DV48" s="509"/>
      <c r="DW48" s="509"/>
      <c r="DX48" s="509"/>
      <c r="DY48" s="509"/>
      <c r="DZ48" s="509"/>
      <c r="EA48" s="509"/>
      <c r="EB48" s="509"/>
      <c r="EC48" s="509"/>
      <c r="ED48" s="509"/>
      <c r="EE48" s="509"/>
      <c r="EF48" s="509"/>
      <c r="EG48" s="509"/>
      <c r="EH48" s="509"/>
      <c r="EI48" s="509"/>
      <c r="EJ48" s="509"/>
      <c r="EK48" s="509"/>
      <c r="EL48" s="509"/>
      <c r="EM48" s="509"/>
      <c r="EN48" s="509"/>
      <c r="EO48" s="509"/>
      <c r="EP48" s="509"/>
      <c r="EQ48" s="509"/>
      <c r="ER48" s="509"/>
      <c r="ES48" s="509"/>
      <c r="ET48" s="509"/>
      <c r="EU48" s="509"/>
      <c r="EV48" s="509"/>
      <c r="EW48" s="509"/>
      <c r="EX48" s="509"/>
      <c r="EY48" s="509"/>
      <c r="EZ48" s="509"/>
      <c r="FA48" s="509"/>
      <c r="FB48" s="509"/>
      <c r="FC48" s="509"/>
      <c r="FD48" s="509"/>
      <c r="FE48" s="509"/>
      <c r="FF48" s="509"/>
      <c r="FG48" s="509"/>
      <c r="FH48" s="509"/>
      <c r="FI48" s="509"/>
      <c r="FJ48" s="509"/>
      <c r="FK48" s="509"/>
      <c r="FL48" s="509"/>
      <c r="FM48" s="509"/>
      <c r="FN48" s="509"/>
      <c r="FO48" s="509"/>
      <c r="FP48" s="509"/>
      <c r="FQ48" s="509"/>
      <c r="FR48" s="509"/>
      <c r="FS48" s="509"/>
      <c r="FT48" s="509"/>
      <c r="FU48" s="509"/>
      <c r="FV48" s="509"/>
      <c r="FW48" s="509"/>
      <c r="FX48" s="509"/>
      <c r="FY48" s="509"/>
      <c r="FZ48" s="509"/>
      <c r="GA48" s="509"/>
      <c r="GB48" s="509"/>
      <c r="GC48" s="509"/>
      <c r="GD48" s="509"/>
      <c r="GE48" s="509"/>
      <c r="GF48" s="509"/>
      <c r="GG48" s="509"/>
      <c r="GH48" s="509"/>
      <c r="GI48" s="509"/>
      <c r="GJ48" s="509"/>
      <c r="GK48" s="509"/>
      <c r="GL48" s="509"/>
      <c r="GM48" s="509"/>
      <c r="GN48" s="509"/>
      <c r="GO48" s="509"/>
      <c r="GP48" s="509"/>
      <c r="GQ48" s="509"/>
      <c r="GR48" s="509"/>
      <c r="GS48" s="509"/>
      <c r="GT48" s="509"/>
      <c r="GU48" s="509"/>
      <c r="GV48" s="509"/>
      <c r="GW48" s="509"/>
      <c r="GX48" s="509"/>
      <c r="GY48" s="509"/>
      <c r="GZ48" s="509"/>
      <c r="HA48" s="509"/>
      <c r="HB48" s="509"/>
      <c r="HC48" s="509"/>
      <c r="HD48" s="509"/>
      <c r="HE48" s="509"/>
      <c r="HF48" s="509"/>
      <c r="HG48" s="509"/>
      <c r="HH48" s="509"/>
      <c r="HI48" s="509"/>
      <c r="HJ48" s="509"/>
      <c r="HK48" s="509"/>
      <c r="HL48" s="509"/>
      <c r="HM48" s="509"/>
      <c r="HN48" s="509"/>
      <c r="HO48" s="509"/>
      <c r="HP48" s="509"/>
      <c r="HQ48" s="509"/>
      <c r="HR48" s="509"/>
      <c r="HS48" s="509"/>
      <c r="HT48" s="509"/>
      <c r="HU48" s="509"/>
      <c r="HV48" s="509"/>
      <c r="HW48" s="509"/>
      <c r="HX48" s="509"/>
      <c r="HY48" s="509"/>
      <c r="HZ48" s="509"/>
      <c r="IA48" s="509"/>
      <c r="IB48" s="509"/>
      <c r="IC48" s="509"/>
    </row>
    <row r="49" s="508" customFormat="1" customHeight="1" spans="1:237">
      <c r="A49" s="524" t="s">
        <v>205</v>
      </c>
      <c r="B49" s="94" t="s">
        <v>206</v>
      </c>
      <c r="C49" s="94" t="s">
        <v>13</v>
      </c>
      <c r="D49" s="94" t="s">
        <v>120</v>
      </c>
      <c r="E49" s="94"/>
      <c r="F49" s="94"/>
      <c r="G49" s="94"/>
      <c r="H49" s="94"/>
      <c r="I49" s="94"/>
      <c r="J49" s="94"/>
      <c r="K49" s="94"/>
      <c r="L49" s="509"/>
      <c r="M49" s="509"/>
      <c r="N49" s="509"/>
      <c r="O49" s="509"/>
      <c r="P49" s="509"/>
      <c r="Q49" s="509"/>
      <c r="R49" s="509"/>
      <c r="S49" s="509"/>
      <c r="T49" s="509"/>
      <c r="U49" s="509"/>
      <c r="V49" s="509"/>
      <c r="W49" s="509"/>
      <c r="X49" s="509"/>
      <c r="Y49" s="509"/>
      <c r="Z49" s="509"/>
      <c r="AA49" s="509"/>
      <c r="AB49" s="509"/>
      <c r="AC49" s="509"/>
      <c r="AD49" s="509"/>
      <c r="AE49" s="509"/>
      <c r="AF49" s="509"/>
      <c r="AG49" s="509"/>
      <c r="AH49" s="509"/>
      <c r="AI49" s="509"/>
      <c r="AJ49" s="509"/>
      <c r="AK49" s="509"/>
      <c r="AL49" s="509"/>
      <c r="AM49" s="509"/>
      <c r="AN49" s="509"/>
      <c r="AO49" s="509"/>
      <c r="AP49" s="509"/>
      <c r="AQ49" s="509"/>
      <c r="AR49" s="509"/>
      <c r="AS49" s="509"/>
      <c r="AT49" s="509"/>
      <c r="AU49" s="509"/>
      <c r="AV49" s="509"/>
      <c r="AW49" s="509"/>
      <c r="AX49" s="509"/>
      <c r="AY49" s="509"/>
      <c r="AZ49" s="509"/>
      <c r="BA49" s="509"/>
      <c r="BB49" s="509"/>
      <c r="BC49" s="509"/>
      <c r="BD49" s="509"/>
      <c r="BE49" s="509"/>
      <c r="BF49" s="509"/>
      <c r="BG49" s="509"/>
      <c r="BH49" s="509"/>
      <c r="BI49" s="509"/>
      <c r="BJ49" s="509"/>
      <c r="BK49" s="509"/>
      <c r="BL49" s="509"/>
      <c r="BM49" s="509"/>
      <c r="BN49" s="509"/>
      <c r="BO49" s="509"/>
      <c r="BP49" s="509"/>
      <c r="BQ49" s="509"/>
      <c r="BR49" s="509"/>
      <c r="BS49" s="509"/>
      <c r="BT49" s="509"/>
      <c r="BU49" s="509"/>
      <c r="BV49" s="509"/>
      <c r="BW49" s="509"/>
      <c r="BX49" s="509"/>
      <c r="BY49" s="509"/>
      <c r="BZ49" s="509"/>
      <c r="CA49" s="509"/>
      <c r="CB49" s="509"/>
      <c r="CC49" s="509"/>
      <c r="CD49" s="509"/>
      <c r="CE49" s="509"/>
      <c r="CF49" s="509"/>
      <c r="CG49" s="509"/>
      <c r="CH49" s="509"/>
      <c r="CI49" s="509"/>
      <c r="CJ49" s="509"/>
      <c r="CK49" s="509"/>
      <c r="CL49" s="509"/>
      <c r="CM49" s="509"/>
      <c r="CN49" s="509"/>
      <c r="CO49" s="509"/>
      <c r="CP49" s="509"/>
      <c r="CQ49" s="509"/>
      <c r="CR49" s="509"/>
      <c r="CS49" s="509"/>
      <c r="CT49" s="509"/>
      <c r="CU49" s="509"/>
      <c r="CV49" s="509"/>
      <c r="CW49" s="509"/>
      <c r="CX49" s="509"/>
      <c r="CY49" s="509"/>
      <c r="CZ49" s="509"/>
      <c r="DA49" s="509"/>
      <c r="DB49" s="509"/>
      <c r="DC49" s="509"/>
      <c r="DD49" s="509"/>
      <c r="DE49" s="509"/>
      <c r="DF49" s="509"/>
      <c r="DG49" s="509"/>
      <c r="DH49" s="509"/>
      <c r="DI49" s="509"/>
      <c r="DJ49" s="509"/>
      <c r="DK49" s="509"/>
      <c r="DL49" s="509"/>
      <c r="DM49" s="509"/>
      <c r="DN49" s="509"/>
      <c r="DO49" s="509"/>
      <c r="DP49" s="509"/>
      <c r="DQ49" s="509"/>
      <c r="DR49" s="509"/>
      <c r="DS49" s="509"/>
      <c r="DT49" s="509"/>
      <c r="DU49" s="509"/>
      <c r="DV49" s="509"/>
      <c r="DW49" s="509"/>
      <c r="DX49" s="509"/>
      <c r="DY49" s="509"/>
      <c r="DZ49" s="509"/>
      <c r="EA49" s="509"/>
      <c r="EB49" s="509"/>
      <c r="EC49" s="509"/>
      <c r="ED49" s="509"/>
      <c r="EE49" s="509"/>
      <c r="EF49" s="509"/>
      <c r="EG49" s="509"/>
      <c r="EH49" s="509"/>
      <c r="EI49" s="509"/>
      <c r="EJ49" s="509"/>
      <c r="EK49" s="509"/>
      <c r="EL49" s="509"/>
      <c r="EM49" s="509"/>
      <c r="EN49" s="509"/>
      <c r="EO49" s="509"/>
      <c r="EP49" s="509"/>
      <c r="EQ49" s="509"/>
      <c r="ER49" s="509"/>
      <c r="ES49" s="509"/>
      <c r="ET49" s="509"/>
      <c r="EU49" s="509"/>
      <c r="EV49" s="509"/>
      <c r="EW49" s="509"/>
      <c r="EX49" s="509"/>
      <c r="EY49" s="509"/>
      <c r="EZ49" s="509"/>
      <c r="FA49" s="509"/>
      <c r="FB49" s="509"/>
      <c r="FC49" s="509"/>
      <c r="FD49" s="509"/>
      <c r="FE49" s="509"/>
      <c r="FF49" s="509"/>
      <c r="FG49" s="509"/>
      <c r="FH49" s="509"/>
      <c r="FI49" s="509"/>
      <c r="FJ49" s="509"/>
      <c r="FK49" s="509"/>
      <c r="FL49" s="509"/>
      <c r="FM49" s="509"/>
      <c r="FN49" s="509"/>
      <c r="FO49" s="509"/>
      <c r="FP49" s="509"/>
      <c r="FQ49" s="509"/>
      <c r="FR49" s="509"/>
      <c r="FS49" s="509"/>
      <c r="FT49" s="509"/>
      <c r="FU49" s="509"/>
      <c r="FV49" s="509"/>
      <c r="FW49" s="509"/>
      <c r="FX49" s="509"/>
      <c r="FY49" s="509"/>
      <c r="FZ49" s="509"/>
      <c r="GA49" s="509"/>
      <c r="GB49" s="509"/>
      <c r="GC49" s="509"/>
      <c r="GD49" s="509"/>
      <c r="GE49" s="509"/>
      <c r="GF49" s="509"/>
      <c r="GG49" s="509"/>
      <c r="GH49" s="509"/>
      <c r="GI49" s="509"/>
      <c r="GJ49" s="509"/>
      <c r="GK49" s="509"/>
      <c r="GL49" s="509"/>
      <c r="GM49" s="509"/>
      <c r="GN49" s="509"/>
      <c r="GO49" s="509"/>
      <c r="GP49" s="509"/>
      <c r="GQ49" s="509"/>
      <c r="GR49" s="509"/>
      <c r="GS49" s="509"/>
      <c r="GT49" s="509"/>
      <c r="GU49" s="509"/>
      <c r="GV49" s="509"/>
      <c r="GW49" s="509"/>
      <c r="GX49" s="509"/>
      <c r="GY49" s="509"/>
      <c r="GZ49" s="509"/>
      <c r="HA49" s="509"/>
      <c r="HB49" s="509"/>
      <c r="HC49" s="509"/>
      <c r="HD49" s="509"/>
      <c r="HE49" s="509"/>
      <c r="HF49" s="509"/>
      <c r="HG49" s="509"/>
      <c r="HH49" s="509"/>
      <c r="HI49" s="509"/>
      <c r="HJ49" s="509"/>
      <c r="HK49" s="509"/>
      <c r="HL49" s="509"/>
      <c r="HM49" s="509"/>
      <c r="HN49" s="509"/>
      <c r="HO49" s="509"/>
      <c r="HP49" s="509"/>
      <c r="HQ49" s="509"/>
      <c r="HR49" s="509"/>
      <c r="HS49" s="509"/>
      <c r="HT49" s="509"/>
      <c r="HU49" s="509"/>
      <c r="HV49" s="509"/>
      <c r="HW49" s="509"/>
      <c r="HX49" s="509"/>
      <c r="HY49" s="509"/>
      <c r="HZ49" s="509"/>
      <c r="IA49" s="509"/>
      <c r="IB49" s="509"/>
      <c r="IC49" s="509"/>
    </row>
    <row r="50" s="508" customFormat="1" customHeight="1" spans="1:237">
      <c r="A50" s="524" t="s">
        <v>207</v>
      </c>
      <c r="B50" s="94" t="s">
        <v>208</v>
      </c>
      <c r="C50" s="94" t="s">
        <v>13</v>
      </c>
      <c r="D50" s="94" t="s">
        <v>125</v>
      </c>
      <c r="E50" s="94" t="s">
        <v>209</v>
      </c>
      <c r="F50" s="94">
        <v>13729608990</v>
      </c>
      <c r="G50" s="94">
        <v>66990</v>
      </c>
      <c r="H50" s="519" t="s">
        <v>210</v>
      </c>
      <c r="I50" s="519" t="s">
        <v>211</v>
      </c>
      <c r="J50" s="94">
        <v>620309</v>
      </c>
      <c r="K50" s="94"/>
      <c r="L50" s="509"/>
      <c r="M50" s="509"/>
      <c r="N50" s="509"/>
      <c r="O50" s="509"/>
      <c r="P50" s="509"/>
      <c r="Q50" s="509"/>
      <c r="R50" s="509"/>
      <c r="S50" s="509"/>
      <c r="T50" s="509"/>
      <c r="U50" s="509"/>
      <c r="V50" s="509"/>
      <c r="W50" s="509"/>
      <c r="X50" s="509"/>
      <c r="Y50" s="509"/>
      <c r="Z50" s="509"/>
      <c r="AA50" s="509"/>
      <c r="AB50" s="509"/>
      <c r="AC50" s="509"/>
      <c r="AD50" s="509"/>
      <c r="AE50" s="509"/>
      <c r="AF50" s="509"/>
      <c r="AG50" s="509"/>
      <c r="AH50" s="509"/>
      <c r="AI50" s="509"/>
      <c r="AJ50" s="509"/>
      <c r="AK50" s="509"/>
      <c r="AL50" s="509"/>
      <c r="AM50" s="509"/>
      <c r="AN50" s="509"/>
      <c r="AO50" s="509"/>
      <c r="AP50" s="509"/>
      <c r="AQ50" s="509"/>
      <c r="AR50" s="509"/>
      <c r="AS50" s="509"/>
      <c r="AT50" s="509"/>
      <c r="AU50" s="509"/>
      <c r="AV50" s="509"/>
      <c r="AW50" s="509"/>
      <c r="AX50" s="509"/>
      <c r="AY50" s="509"/>
      <c r="AZ50" s="509"/>
      <c r="BA50" s="509"/>
      <c r="BB50" s="509"/>
      <c r="BC50" s="509"/>
      <c r="BD50" s="509"/>
      <c r="BE50" s="509"/>
      <c r="BF50" s="509"/>
      <c r="BG50" s="509"/>
      <c r="BH50" s="509"/>
      <c r="BI50" s="509"/>
      <c r="BJ50" s="509"/>
      <c r="BK50" s="509"/>
      <c r="BL50" s="509"/>
      <c r="BM50" s="509"/>
      <c r="BN50" s="509"/>
      <c r="BO50" s="509"/>
      <c r="BP50" s="509"/>
      <c r="BQ50" s="509"/>
      <c r="BR50" s="509"/>
      <c r="BS50" s="509"/>
      <c r="BT50" s="509"/>
      <c r="BU50" s="509"/>
      <c r="BV50" s="509"/>
      <c r="BW50" s="509"/>
      <c r="BX50" s="509"/>
      <c r="BY50" s="509"/>
      <c r="BZ50" s="509"/>
      <c r="CA50" s="509"/>
      <c r="CB50" s="509"/>
      <c r="CC50" s="509"/>
      <c r="CD50" s="509"/>
      <c r="CE50" s="509"/>
      <c r="CF50" s="509"/>
      <c r="CG50" s="509"/>
      <c r="CH50" s="509"/>
      <c r="CI50" s="509"/>
      <c r="CJ50" s="509"/>
      <c r="CK50" s="509"/>
      <c r="CL50" s="509"/>
      <c r="CM50" s="509"/>
      <c r="CN50" s="509"/>
      <c r="CO50" s="509"/>
      <c r="CP50" s="509"/>
      <c r="CQ50" s="509"/>
      <c r="CR50" s="509"/>
      <c r="CS50" s="509"/>
      <c r="CT50" s="509"/>
      <c r="CU50" s="509"/>
      <c r="CV50" s="509"/>
      <c r="CW50" s="509"/>
      <c r="CX50" s="509"/>
      <c r="CY50" s="509"/>
      <c r="CZ50" s="509"/>
      <c r="DA50" s="509"/>
      <c r="DB50" s="509"/>
      <c r="DC50" s="509"/>
      <c r="DD50" s="509"/>
      <c r="DE50" s="509"/>
      <c r="DF50" s="509"/>
      <c r="DG50" s="509"/>
      <c r="DH50" s="509"/>
      <c r="DI50" s="509"/>
      <c r="DJ50" s="509"/>
      <c r="DK50" s="509"/>
      <c r="DL50" s="509"/>
      <c r="DM50" s="509"/>
      <c r="DN50" s="509"/>
      <c r="DO50" s="509"/>
      <c r="DP50" s="509"/>
      <c r="DQ50" s="509"/>
      <c r="DR50" s="509"/>
      <c r="DS50" s="509"/>
      <c r="DT50" s="509"/>
      <c r="DU50" s="509"/>
      <c r="DV50" s="509"/>
      <c r="DW50" s="509"/>
      <c r="DX50" s="509"/>
      <c r="DY50" s="509"/>
      <c r="DZ50" s="509"/>
      <c r="EA50" s="509"/>
      <c r="EB50" s="509"/>
      <c r="EC50" s="509"/>
      <c r="ED50" s="509"/>
      <c r="EE50" s="509"/>
      <c r="EF50" s="509"/>
      <c r="EG50" s="509"/>
      <c r="EH50" s="509"/>
      <c r="EI50" s="509"/>
      <c r="EJ50" s="509"/>
      <c r="EK50" s="509"/>
      <c r="EL50" s="509"/>
      <c r="EM50" s="509"/>
      <c r="EN50" s="509"/>
      <c r="EO50" s="509"/>
      <c r="EP50" s="509"/>
      <c r="EQ50" s="509"/>
      <c r="ER50" s="509"/>
      <c r="ES50" s="509"/>
      <c r="ET50" s="509"/>
      <c r="EU50" s="509"/>
      <c r="EV50" s="509"/>
      <c r="EW50" s="509"/>
      <c r="EX50" s="509"/>
      <c r="EY50" s="509"/>
      <c r="EZ50" s="509"/>
      <c r="FA50" s="509"/>
      <c r="FB50" s="509"/>
      <c r="FC50" s="509"/>
      <c r="FD50" s="509"/>
      <c r="FE50" s="509"/>
      <c r="FF50" s="509"/>
      <c r="FG50" s="509"/>
      <c r="FH50" s="509"/>
      <c r="FI50" s="509"/>
      <c r="FJ50" s="509"/>
      <c r="FK50" s="509"/>
      <c r="FL50" s="509"/>
      <c r="FM50" s="509"/>
      <c r="FN50" s="509"/>
      <c r="FO50" s="509"/>
      <c r="FP50" s="509"/>
      <c r="FQ50" s="509"/>
      <c r="FR50" s="509"/>
      <c r="FS50" s="509"/>
      <c r="FT50" s="509"/>
      <c r="FU50" s="509"/>
      <c r="FV50" s="509"/>
      <c r="FW50" s="509"/>
      <c r="FX50" s="509"/>
      <c r="FY50" s="509"/>
      <c r="FZ50" s="509"/>
      <c r="GA50" s="509"/>
      <c r="GB50" s="509"/>
      <c r="GC50" s="509"/>
      <c r="GD50" s="509"/>
      <c r="GE50" s="509"/>
      <c r="GF50" s="509"/>
      <c r="GG50" s="509"/>
      <c r="GH50" s="509"/>
      <c r="GI50" s="509"/>
      <c r="GJ50" s="509"/>
      <c r="GK50" s="509"/>
      <c r="GL50" s="509"/>
      <c r="GM50" s="509"/>
      <c r="GN50" s="509"/>
      <c r="GO50" s="509"/>
      <c r="GP50" s="509"/>
      <c r="GQ50" s="509"/>
      <c r="GR50" s="509"/>
      <c r="GS50" s="509"/>
      <c r="GT50" s="509"/>
      <c r="GU50" s="509"/>
      <c r="GV50" s="509"/>
      <c r="GW50" s="509"/>
      <c r="GX50" s="509"/>
      <c r="GY50" s="509"/>
      <c r="GZ50" s="509"/>
      <c r="HA50" s="509"/>
      <c r="HB50" s="509"/>
      <c r="HC50" s="509"/>
      <c r="HD50" s="509"/>
      <c r="HE50" s="509"/>
      <c r="HF50" s="509"/>
      <c r="HG50" s="509"/>
      <c r="HH50" s="509"/>
      <c r="HI50" s="509"/>
      <c r="HJ50" s="509"/>
      <c r="HK50" s="509"/>
      <c r="HL50" s="509"/>
      <c r="HM50" s="509"/>
      <c r="HN50" s="509"/>
      <c r="HO50" s="509"/>
      <c r="HP50" s="509"/>
      <c r="HQ50" s="509"/>
      <c r="HR50" s="509"/>
      <c r="HS50" s="509"/>
      <c r="HT50" s="509"/>
      <c r="HU50" s="509"/>
      <c r="HV50" s="509"/>
      <c r="HW50" s="509"/>
      <c r="HX50" s="509"/>
      <c r="HY50" s="509"/>
      <c r="HZ50" s="509"/>
      <c r="IA50" s="509"/>
      <c r="IB50" s="509"/>
      <c r="IC50" s="509"/>
    </row>
    <row r="51" s="509" customFormat="1" customHeight="1" spans="1:237">
      <c r="A51" s="524" t="s">
        <v>212</v>
      </c>
      <c r="B51" s="94" t="s">
        <v>213</v>
      </c>
      <c r="C51" s="94" t="s">
        <v>13</v>
      </c>
      <c r="D51" s="94" t="s">
        <v>120</v>
      </c>
      <c r="E51" s="521" t="s">
        <v>214</v>
      </c>
      <c r="F51" s="521" t="s">
        <v>215</v>
      </c>
      <c r="G51" s="513">
        <v>668209</v>
      </c>
      <c r="H51" s="521" t="s">
        <v>214</v>
      </c>
      <c r="I51" s="521" t="s">
        <v>215</v>
      </c>
      <c r="J51" s="513">
        <v>668209</v>
      </c>
      <c r="K51" s="94"/>
    </row>
    <row r="52" s="509" customFormat="1" customHeight="1" spans="1:237">
      <c r="A52" s="524" t="s">
        <v>216</v>
      </c>
      <c r="B52" s="94" t="s">
        <v>217</v>
      </c>
      <c r="C52" s="94" t="s">
        <v>13</v>
      </c>
      <c r="D52" s="94" t="s">
        <v>125</v>
      </c>
      <c r="E52" s="521" t="s">
        <v>218</v>
      </c>
      <c r="F52" s="521" t="s">
        <v>219</v>
      </c>
      <c r="G52" s="513">
        <v>68334</v>
      </c>
      <c r="H52" s="513" t="s">
        <v>220</v>
      </c>
      <c r="I52" s="513">
        <v>13922567493</v>
      </c>
      <c r="J52" s="513">
        <v>667493</v>
      </c>
      <c r="K52" s="94"/>
    </row>
    <row r="53" s="509" customFormat="1" customHeight="1" spans="1:237">
      <c r="A53" s="524" t="s">
        <v>221</v>
      </c>
      <c r="B53" s="94" t="s">
        <v>222</v>
      </c>
      <c r="C53" s="94" t="s">
        <v>13</v>
      </c>
      <c r="D53" s="94" t="s">
        <v>120</v>
      </c>
      <c r="E53" s="94" t="s">
        <v>223</v>
      </c>
      <c r="F53" s="94">
        <v>13679513845</v>
      </c>
      <c r="G53" s="94">
        <v>613845</v>
      </c>
      <c r="H53" s="94" t="s">
        <v>223</v>
      </c>
      <c r="I53" s="94">
        <v>13679513845</v>
      </c>
      <c r="J53" s="94">
        <v>613845</v>
      </c>
      <c r="K53" s="94"/>
    </row>
    <row r="54" s="509" customFormat="1" customHeight="1" spans="1:237">
      <c r="A54" s="524" t="s">
        <v>224</v>
      </c>
      <c r="B54" s="94" t="s">
        <v>225</v>
      </c>
      <c r="C54" s="94" t="s">
        <v>13</v>
      </c>
      <c r="D54" s="94" t="s">
        <v>125</v>
      </c>
      <c r="E54" s="94" t="s">
        <v>226</v>
      </c>
      <c r="F54" s="94">
        <v>13824931717</v>
      </c>
      <c r="G54" s="94">
        <v>66717</v>
      </c>
      <c r="H54" s="94" t="s">
        <v>227</v>
      </c>
      <c r="I54" s="517" t="s">
        <v>228</v>
      </c>
      <c r="J54" s="94">
        <v>664577</v>
      </c>
      <c r="K54" s="94"/>
    </row>
    <row r="55" s="508" customFormat="1" customHeight="1" spans="1:237">
      <c r="A55" s="524" t="s">
        <v>229</v>
      </c>
      <c r="B55" s="94" t="s">
        <v>230</v>
      </c>
      <c r="C55" s="94" t="s">
        <v>13</v>
      </c>
      <c r="D55" s="94" t="s">
        <v>120</v>
      </c>
      <c r="E55" s="94" t="s">
        <v>231</v>
      </c>
      <c r="F55" s="519" t="s">
        <v>232</v>
      </c>
      <c r="G55" s="94">
        <v>669398</v>
      </c>
      <c r="H55" s="94" t="s">
        <v>231</v>
      </c>
      <c r="I55" s="519" t="s">
        <v>232</v>
      </c>
      <c r="J55" s="94">
        <v>669398</v>
      </c>
      <c r="K55" s="94"/>
      <c r="L55" s="509"/>
      <c r="M55" s="509"/>
      <c r="N55" s="509"/>
      <c r="O55" s="509"/>
      <c r="P55" s="509"/>
      <c r="Q55" s="509"/>
      <c r="R55" s="509"/>
      <c r="S55" s="509"/>
      <c r="T55" s="509"/>
      <c r="U55" s="509"/>
      <c r="V55" s="509"/>
      <c r="W55" s="509"/>
      <c r="X55" s="509"/>
      <c r="Y55" s="509"/>
      <c r="Z55" s="509"/>
      <c r="AA55" s="509"/>
      <c r="AB55" s="509"/>
      <c r="AC55" s="509"/>
      <c r="AD55" s="509"/>
      <c r="AE55" s="509"/>
      <c r="AF55" s="509"/>
      <c r="AG55" s="509"/>
      <c r="AH55" s="509"/>
      <c r="AI55" s="509"/>
      <c r="AJ55" s="509"/>
      <c r="AK55" s="509"/>
      <c r="AL55" s="509"/>
      <c r="AM55" s="509"/>
      <c r="AN55" s="509"/>
      <c r="AO55" s="509"/>
      <c r="AP55" s="509"/>
      <c r="AQ55" s="509"/>
      <c r="AR55" s="509"/>
      <c r="AS55" s="509"/>
      <c r="AT55" s="509"/>
      <c r="AU55" s="509"/>
      <c r="AV55" s="509"/>
      <c r="AW55" s="509"/>
      <c r="AX55" s="509"/>
      <c r="AY55" s="509"/>
      <c r="AZ55" s="509"/>
      <c r="BA55" s="509"/>
      <c r="BB55" s="509"/>
      <c r="BC55" s="509"/>
      <c r="BD55" s="509"/>
      <c r="BE55" s="509"/>
      <c r="BF55" s="509"/>
      <c r="BG55" s="509"/>
      <c r="BH55" s="509"/>
      <c r="BI55" s="509"/>
      <c r="BJ55" s="509"/>
      <c r="BK55" s="509"/>
      <c r="BL55" s="509"/>
      <c r="BM55" s="509"/>
      <c r="BN55" s="509"/>
      <c r="BO55" s="509"/>
      <c r="BP55" s="509"/>
      <c r="BQ55" s="509"/>
      <c r="BR55" s="509"/>
      <c r="BS55" s="509"/>
      <c r="BT55" s="509"/>
      <c r="BU55" s="509"/>
      <c r="BV55" s="509"/>
      <c r="BW55" s="509"/>
      <c r="BX55" s="509"/>
      <c r="BY55" s="509"/>
      <c r="BZ55" s="509"/>
      <c r="CA55" s="509"/>
      <c r="CB55" s="509"/>
      <c r="CC55" s="509"/>
      <c r="CD55" s="509"/>
      <c r="CE55" s="509"/>
      <c r="CF55" s="509"/>
      <c r="CG55" s="509"/>
      <c r="CH55" s="509"/>
      <c r="CI55" s="509"/>
      <c r="CJ55" s="509"/>
      <c r="CK55" s="509"/>
      <c r="CL55" s="509"/>
      <c r="CM55" s="509"/>
      <c r="CN55" s="509"/>
      <c r="CO55" s="509"/>
      <c r="CP55" s="509"/>
      <c r="CQ55" s="509"/>
      <c r="CR55" s="509"/>
      <c r="CS55" s="509"/>
      <c r="CT55" s="509"/>
      <c r="CU55" s="509"/>
      <c r="CV55" s="509"/>
      <c r="CW55" s="509"/>
      <c r="CX55" s="509"/>
      <c r="CY55" s="509"/>
      <c r="CZ55" s="509"/>
      <c r="DA55" s="509"/>
      <c r="DB55" s="509"/>
      <c r="DC55" s="509"/>
      <c r="DD55" s="509"/>
      <c r="DE55" s="509"/>
      <c r="DF55" s="509"/>
      <c r="DG55" s="509"/>
      <c r="DH55" s="509"/>
      <c r="DI55" s="509"/>
      <c r="DJ55" s="509"/>
      <c r="DK55" s="509"/>
      <c r="DL55" s="509"/>
      <c r="DM55" s="509"/>
      <c r="DN55" s="509"/>
      <c r="DO55" s="509"/>
      <c r="DP55" s="509"/>
      <c r="DQ55" s="509"/>
      <c r="DR55" s="509"/>
      <c r="DS55" s="509"/>
      <c r="DT55" s="509"/>
      <c r="DU55" s="509"/>
      <c r="DV55" s="509"/>
      <c r="DW55" s="509"/>
      <c r="DX55" s="509"/>
      <c r="DY55" s="509"/>
      <c r="DZ55" s="509"/>
      <c r="EA55" s="509"/>
      <c r="EB55" s="509"/>
      <c r="EC55" s="509"/>
      <c r="ED55" s="509"/>
      <c r="EE55" s="509"/>
      <c r="EF55" s="509"/>
      <c r="EG55" s="509"/>
      <c r="EH55" s="509"/>
      <c r="EI55" s="509"/>
      <c r="EJ55" s="509"/>
      <c r="EK55" s="509"/>
      <c r="EL55" s="509"/>
      <c r="EM55" s="509"/>
      <c r="EN55" s="509"/>
      <c r="EO55" s="509"/>
      <c r="EP55" s="509"/>
      <c r="EQ55" s="509"/>
      <c r="ER55" s="509"/>
      <c r="ES55" s="509"/>
      <c r="ET55" s="509"/>
      <c r="EU55" s="509"/>
      <c r="EV55" s="509"/>
      <c r="EW55" s="509"/>
      <c r="EX55" s="509"/>
      <c r="EY55" s="509"/>
      <c r="EZ55" s="509"/>
      <c r="FA55" s="509"/>
      <c r="FB55" s="509"/>
      <c r="FC55" s="509"/>
      <c r="FD55" s="509"/>
      <c r="FE55" s="509"/>
      <c r="FF55" s="509"/>
      <c r="FG55" s="509"/>
      <c r="FH55" s="509"/>
      <c r="FI55" s="509"/>
      <c r="FJ55" s="509"/>
      <c r="FK55" s="509"/>
      <c r="FL55" s="509"/>
      <c r="FM55" s="509"/>
      <c r="FN55" s="509"/>
      <c r="FO55" s="509"/>
      <c r="FP55" s="509"/>
      <c r="FQ55" s="509"/>
      <c r="FR55" s="509"/>
      <c r="FS55" s="509"/>
      <c r="FT55" s="509"/>
      <c r="FU55" s="509"/>
      <c r="FV55" s="509"/>
      <c r="FW55" s="509"/>
      <c r="FX55" s="509"/>
      <c r="FY55" s="509"/>
      <c r="FZ55" s="509"/>
      <c r="GA55" s="509"/>
      <c r="GB55" s="509"/>
      <c r="GC55" s="509"/>
      <c r="GD55" s="509"/>
      <c r="GE55" s="509"/>
      <c r="GF55" s="509"/>
      <c r="GG55" s="509"/>
      <c r="GH55" s="509"/>
      <c r="GI55" s="509"/>
      <c r="GJ55" s="509"/>
      <c r="GK55" s="509"/>
      <c r="GL55" s="509"/>
      <c r="GM55" s="509"/>
      <c r="GN55" s="509"/>
      <c r="GO55" s="509"/>
      <c r="GP55" s="509"/>
      <c r="GQ55" s="509"/>
      <c r="GR55" s="509"/>
      <c r="GS55" s="509"/>
      <c r="GT55" s="509"/>
      <c r="GU55" s="509"/>
      <c r="GV55" s="509"/>
      <c r="GW55" s="509"/>
      <c r="GX55" s="509"/>
      <c r="GY55" s="509"/>
      <c r="GZ55" s="509"/>
      <c r="HA55" s="509"/>
      <c r="HB55" s="509"/>
      <c r="HC55" s="509"/>
      <c r="HD55" s="509"/>
      <c r="HE55" s="509"/>
      <c r="HF55" s="509"/>
      <c r="HG55" s="509"/>
      <c r="HH55" s="509"/>
      <c r="HI55" s="509"/>
      <c r="HJ55" s="509"/>
      <c r="HK55" s="509"/>
      <c r="HL55" s="509"/>
      <c r="HM55" s="509"/>
      <c r="HN55" s="509"/>
      <c r="HO55" s="509"/>
      <c r="HP55" s="509"/>
      <c r="HQ55" s="509"/>
      <c r="HR55" s="509"/>
      <c r="HS55" s="509"/>
      <c r="HT55" s="509"/>
      <c r="HU55" s="509"/>
      <c r="HV55" s="509"/>
      <c r="HW55" s="509"/>
      <c r="HX55" s="509"/>
      <c r="HY55" s="509"/>
      <c r="HZ55" s="509"/>
      <c r="IA55" s="509"/>
      <c r="IB55" s="509"/>
      <c r="IC55" s="509"/>
    </row>
    <row r="56" s="508" customFormat="1" customHeight="1" spans="1:237">
      <c r="A56" s="524" t="s">
        <v>233</v>
      </c>
      <c r="B56" s="94" t="s">
        <v>234</v>
      </c>
      <c r="C56" s="94" t="s">
        <v>13</v>
      </c>
      <c r="D56" s="94" t="s">
        <v>125</v>
      </c>
      <c r="E56" s="94" t="s">
        <v>235</v>
      </c>
      <c r="F56" s="94">
        <v>13610518808</v>
      </c>
      <c r="G56" s="94">
        <v>678808</v>
      </c>
      <c r="H56" s="94" t="s">
        <v>236</v>
      </c>
      <c r="I56" s="519" t="s">
        <v>237</v>
      </c>
      <c r="J56" s="94">
        <v>689898</v>
      </c>
      <c r="K56" s="94"/>
      <c r="L56" s="509"/>
      <c r="M56" s="509"/>
      <c r="N56" s="509"/>
      <c r="O56" s="509"/>
      <c r="P56" s="509"/>
      <c r="Q56" s="509"/>
      <c r="R56" s="509"/>
      <c r="S56" s="509"/>
      <c r="T56" s="509"/>
      <c r="U56" s="509"/>
      <c r="V56" s="509"/>
      <c r="W56" s="509"/>
      <c r="X56" s="509"/>
      <c r="Y56" s="509"/>
      <c r="Z56" s="509"/>
      <c r="AA56" s="509"/>
      <c r="AB56" s="509"/>
      <c r="AC56" s="509"/>
      <c r="AD56" s="509"/>
      <c r="AE56" s="509"/>
      <c r="AF56" s="509"/>
      <c r="AG56" s="509"/>
      <c r="AH56" s="509"/>
      <c r="AI56" s="509"/>
      <c r="AJ56" s="509"/>
      <c r="AK56" s="509"/>
      <c r="AL56" s="509"/>
      <c r="AM56" s="509"/>
      <c r="AN56" s="509"/>
      <c r="AO56" s="509"/>
      <c r="AP56" s="509"/>
      <c r="AQ56" s="509"/>
      <c r="AR56" s="509"/>
      <c r="AS56" s="509"/>
      <c r="AT56" s="509"/>
      <c r="AU56" s="509"/>
      <c r="AV56" s="509"/>
      <c r="AW56" s="509"/>
      <c r="AX56" s="509"/>
      <c r="AY56" s="509"/>
      <c r="AZ56" s="509"/>
      <c r="BA56" s="509"/>
      <c r="BB56" s="509"/>
      <c r="BC56" s="509"/>
      <c r="BD56" s="509"/>
      <c r="BE56" s="509"/>
      <c r="BF56" s="509"/>
      <c r="BG56" s="509"/>
      <c r="BH56" s="509"/>
      <c r="BI56" s="509"/>
      <c r="BJ56" s="509"/>
      <c r="BK56" s="509"/>
      <c r="BL56" s="509"/>
      <c r="BM56" s="509"/>
      <c r="BN56" s="509"/>
      <c r="BO56" s="509"/>
      <c r="BP56" s="509"/>
      <c r="BQ56" s="509"/>
      <c r="BR56" s="509"/>
      <c r="BS56" s="509"/>
      <c r="BT56" s="509"/>
      <c r="BU56" s="509"/>
      <c r="BV56" s="509"/>
      <c r="BW56" s="509"/>
      <c r="BX56" s="509"/>
      <c r="BY56" s="509"/>
      <c r="BZ56" s="509"/>
      <c r="CA56" s="509"/>
      <c r="CB56" s="509"/>
      <c r="CC56" s="509"/>
      <c r="CD56" s="509"/>
      <c r="CE56" s="509"/>
      <c r="CF56" s="509"/>
      <c r="CG56" s="509"/>
      <c r="CH56" s="509"/>
      <c r="CI56" s="509"/>
      <c r="CJ56" s="509"/>
      <c r="CK56" s="509"/>
      <c r="CL56" s="509"/>
      <c r="CM56" s="509"/>
      <c r="CN56" s="509"/>
      <c r="CO56" s="509"/>
      <c r="CP56" s="509"/>
      <c r="CQ56" s="509"/>
      <c r="CR56" s="509"/>
      <c r="CS56" s="509"/>
      <c r="CT56" s="509"/>
      <c r="CU56" s="509"/>
      <c r="CV56" s="509"/>
      <c r="CW56" s="509"/>
      <c r="CX56" s="509"/>
      <c r="CY56" s="509"/>
      <c r="CZ56" s="509"/>
      <c r="DA56" s="509"/>
      <c r="DB56" s="509"/>
      <c r="DC56" s="509"/>
      <c r="DD56" s="509"/>
      <c r="DE56" s="509"/>
      <c r="DF56" s="509"/>
      <c r="DG56" s="509"/>
      <c r="DH56" s="509"/>
      <c r="DI56" s="509"/>
      <c r="DJ56" s="509"/>
      <c r="DK56" s="509"/>
      <c r="DL56" s="509"/>
      <c r="DM56" s="509"/>
      <c r="DN56" s="509"/>
      <c r="DO56" s="509"/>
      <c r="DP56" s="509"/>
      <c r="DQ56" s="509"/>
      <c r="DR56" s="509"/>
      <c r="DS56" s="509"/>
      <c r="DT56" s="509"/>
      <c r="DU56" s="509"/>
      <c r="DV56" s="509"/>
      <c r="DW56" s="509"/>
      <c r="DX56" s="509"/>
      <c r="DY56" s="509"/>
      <c r="DZ56" s="509"/>
      <c r="EA56" s="509"/>
      <c r="EB56" s="509"/>
      <c r="EC56" s="509"/>
      <c r="ED56" s="509"/>
      <c r="EE56" s="509"/>
      <c r="EF56" s="509"/>
      <c r="EG56" s="509"/>
      <c r="EH56" s="509"/>
      <c r="EI56" s="509"/>
      <c r="EJ56" s="509"/>
      <c r="EK56" s="509"/>
      <c r="EL56" s="509"/>
      <c r="EM56" s="509"/>
      <c r="EN56" s="509"/>
      <c r="EO56" s="509"/>
      <c r="EP56" s="509"/>
      <c r="EQ56" s="509"/>
      <c r="ER56" s="509"/>
      <c r="ES56" s="509"/>
      <c r="ET56" s="509"/>
      <c r="EU56" s="509"/>
      <c r="EV56" s="509"/>
      <c r="EW56" s="509"/>
      <c r="EX56" s="509"/>
      <c r="EY56" s="509"/>
      <c r="EZ56" s="509"/>
      <c r="FA56" s="509"/>
      <c r="FB56" s="509"/>
      <c r="FC56" s="509"/>
      <c r="FD56" s="509"/>
      <c r="FE56" s="509"/>
      <c r="FF56" s="509"/>
      <c r="FG56" s="509"/>
      <c r="FH56" s="509"/>
      <c r="FI56" s="509"/>
      <c r="FJ56" s="509"/>
      <c r="FK56" s="509"/>
      <c r="FL56" s="509"/>
      <c r="FM56" s="509"/>
      <c r="FN56" s="509"/>
      <c r="FO56" s="509"/>
      <c r="FP56" s="509"/>
      <c r="FQ56" s="509"/>
      <c r="FR56" s="509"/>
      <c r="FS56" s="509"/>
      <c r="FT56" s="509"/>
      <c r="FU56" s="509"/>
      <c r="FV56" s="509"/>
      <c r="FW56" s="509"/>
      <c r="FX56" s="509"/>
      <c r="FY56" s="509"/>
      <c r="FZ56" s="509"/>
      <c r="GA56" s="509"/>
      <c r="GB56" s="509"/>
      <c r="GC56" s="509"/>
      <c r="GD56" s="509"/>
      <c r="GE56" s="509"/>
      <c r="GF56" s="509"/>
      <c r="GG56" s="509"/>
      <c r="GH56" s="509"/>
      <c r="GI56" s="509"/>
      <c r="GJ56" s="509"/>
      <c r="GK56" s="509"/>
      <c r="GL56" s="509"/>
      <c r="GM56" s="509"/>
      <c r="GN56" s="509"/>
      <c r="GO56" s="509"/>
      <c r="GP56" s="509"/>
      <c r="GQ56" s="509"/>
      <c r="GR56" s="509"/>
      <c r="GS56" s="509"/>
      <c r="GT56" s="509"/>
      <c r="GU56" s="509"/>
      <c r="GV56" s="509"/>
      <c r="GW56" s="509"/>
      <c r="GX56" s="509"/>
      <c r="GY56" s="509"/>
      <c r="GZ56" s="509"/>
      <c r="HA56" s="509"/>
      <c r="HB56" s="509"/>
      <c r="HC56" s="509"/>
      <c r="HD56" s="509"/>
      <c r="HE56" s="509"/>
      <c r="HF56" s="509"/>
      <c r="HG56" s="509"/>
      <c r="HH56" s="509"/>
      <c r="HI56" s="509"/>
      <c r="HJ56" s="509"/>
      <c r="HK56" s="509"/>
      <c r="HL56" s="509"/>
      <c r="HM56" s="509"/>
      <c r="HN56" s="509"/>
      <c r="HO56" s="509"/>
      <c r="HP56" s="509"/>
      <c r="HQ56" s="509"/>
      <c r="HR56" s="509"/>
      <c r="HS56" s="509"/>
      <c r="HT56" s="509"/>
      <c r="HU56" s="509"/>
      <c r="HV56" s="509"/>
      <c r="HW56" s="509"/>
      <c r="HX56" s="509"/>
      <c r="HY56" s="509"/>
      <c r="HZ56" s="509"/>
      <c r="IA56" s="509"/>
      <c r="IB56" s="509"/>
      <c r="IC56" s="509"/>
    </row>
    <row r="57" s="508" customFormat="1" customHeight="1" spans="1:237">
      <c r="A57" s="524" t="s">
        <v>238</v>
      </c>
      <c r="B57" s="94" t="s">
        <v>239</v>
      </c>
      <c r="C57" s="94" t="s">
        <v>13</v>
      </c>
      <c r="D57" s="94" t="s">
        <v>120</v>
      </c>
      <c r="E57" s="513" t="s">
        <v>240</v>
      </c>
      <c r="F57" s="521" t="s">
        <v>241</v>
      </c>
      <c r="G57" s="513">
        <v>666345</v>
      </c>
      <c r="H57" s="513" t="s">
        <v>240</v>
      </c>
      <c r="I57" s="521" t="s">
        <v>241</v>
      </c>
      <c r="J57" s="513">
        <v>666345</v>
      </c>
      <c r="K57" s="94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  <c r="AA57" s="509"/>
      <c r="AB57" s="509"/>
      <c r="AC57" s="509"/>
      <c r="AD57" s="509"/>
      <c r="AE57" s="509"/>
      <c r="AF57" s="509"/>
      <c r="AG57" s="509"/>
      <c r="AH57" s="509"/>
      <c r="AI57" s="509"/>
      <c r="AJ57" s="509"/>
      <c r="AK57" s="509"/>
      <c r="AL57" s="509"/>
      <c r="AM57" s="509"/>
      <c r="AN57" s="509"/>
      <c r="AO57" s="509"/>
      <c r="AP57" s="509"/>
      <c r="AQ57" s="509"/>
      <c r="AR57" s="509"/>
      <c r="AS57" s="509"/>
      <c r="AT57" s="509"/>
      <c r="AU57" s="509"/>
      <c r="AV57" s="509"/>
      <c r="AW57" s="509"/>
      <c r="AX57" s="509"/>
      <c r="AY57" s="509"/>
      <c r="AZ57" s="509"/>
      <c r="BA57" s="509"/>
      <c r="BB57" s="509"/>
      <c r="BC57" s="509"/>
      <c r="BD57" s="509"/>
      <c r="BE57" s="509"/>
      <c r="BF57" s="509"/>
      <c r="BG57" s="509"/>
      <c r="BH57" s="509"/>
      <c r="BI57" s="509"/>
      <c r="BJ57" s="509"/>
      <c r="BK57" s="509"/>
      <c r="BL57" s="509"/>
      <c r="BM57" s="509"/>
      <c r="BN57" s="509"/>
      <c r="BO57" s="509"/>
      <c r="BP57" s="509"/>
      <c r="BQ57" s="509"/>
      <c r="BR57" s="509"/>
      <c r="BS57" s="509"/>
      <c r="BT57" s="509"/>
      <c r="BU57" s="509"/>
      <c r="BV57" s="509"/>
      <c r="BW57" s="509"/>
      <c r="BX57" s="509"/>
      <c r="BY57" s="509"/>
      <c r="BZ57" s="509"/>
      <c r="CA57" s="509"/>
      <c r="CB57" s="509"/>
      <c r="CC57" s="509"/>
      <c r="CD57" s="509"/>
      <c r="CE57" s="509"/>
      <c r="CF57" s="509"/>
      <c r="CG57" s="509"/>
      <c r="CH57" s="509"/>
      <c r="CI57" s="509"/>
      <c r="CJ57" s="509"/>
      <c r="CK57" s="509"/>
      <c r="CL57" s="509"/>
      <c r="CM57" s="509"/>
      <c r="CN57" s="509"/>
      <c r="CO57" s="509"/>
      <c r="CP57" s="509"/>
      <c r="CQ57" s="509"/>
      <c r="CR57" s="509"/>
      <c r="CS57" s="509"/>
      <c r="CT57" s="509"/>
      <c r="CU57" s="509"/>
      <c r="CV57" s="509"/>
      <c r="CW57" s="509"/>
      <c r="CX57" s="509"/>
      <c r="CY57" s="509"/>
      <c r="CZ57" s="509"/>
      <c r="DA57" s="509"/>
      <c r="DB57" s="509"/>
      <c r="DC57" s="509"/>
      <c r="DD57" s="509"/>
      <c r="DE57" s="509"/>
      <c r="DF57" s="509"/>
      <c r="DG57" s="509"/>
      <c r="DH57" s="509"/>
      <c r="DI57" s="509"/>
      <c r="DJ57" s="509"/>
      <c r="DK57" s="509"/>
      <c r="DL57" s="509"/>
      <c r="DM57" s="509"/>
      <c r="DN57" s="509"/>
      <c r="DO57" s="509"/>
      <c r="DP57" s="509"/>
      <c r="DQ57" s="509"/>
      <c r="DR57" s="509"/>
      <c r="DS57" s="509"/>
      <c r="DT57" s="509"/>
      <c r="DU57" s="509"/>
      <c r="DV57" s="509"/>
      <c r="DW57" s="509"/>
      <c r="DX57" s="509"/>
      <c r="DY57" s="509"/>
      <c r="DZ57" s="509"/>
      <c r="EA57" s="509"/>
      <c r="EB57" s="509"/>
      <c r="EC57" s="509"/>
      <c r="ED57" s="509"/>
      <c r="EE57" s="509"/>
      <c r="EF57" s="509"/>
      <c r="EG57" s="509"/>
      <c r="EH57" s="509"/>
      <c r="EI57" s="509"/>
      <c r="EJ57" s="509"/>
      <c r="EK57" s="509"/>
      <c r="EL57" s="509"/>
      <c r="EM57" s="509"/>
      <c r="EN57" s="509"/>
      <c r="EO57" s="509"/>
      <c r="EP57" s="509"/>
      <c r="EQ57" s="509"/>
      <c r="ER57" s="509"/>
      <c r="ES57" s="509"/>
      <c r="ET57" s="509"/>
      <c r="EU57" s="509"/>
      <c r="EV57" s="509"/>
      <c r="EW57" s="509"/>
      <c r="EX57" s="509"/>
      <c r="EY57" s="509"/>
      <c r="EZ57" s="509"/>
      <c r="FA57" s="509"/>
      <c r="FB57" s="509"/>
      <c r="FC57" s="509"/>
      <c r="FD57" s="509"/>
      <c r="FE57" s="509"/>
      <c r="FF57" s="509"/>
      <c r="FG57" s="509"/>
      <c r="FH57" s="509"/>
      <c r="FI57" s="509"/>
      <c r="FJ57" s="509"/>
      <c r="FK57" s="509"/>
      <c r="FL57" s="509"/>
      <c r="FM57" s="509"/>
      <c r="FN57" s="509"/>
      <c r="FO57" s="509"/>
      <c r="FP57" s="509"/>
      <c r="FQ57" s="509"/>
      <c r="FR57" s="509"/>
      <c r="FS57" s="509"/>
      <c r="FT57" s="509"/>
      <c r="FU57" s="509"/>
      <c r="FV57" s="509"/>
      <c r="FW57" s="509"/>
      <c r="FX57" s="509"/>
      <c r="FY57" s="509"/>
      <c r="FZ57" s="509"/>
      <c r="GA57" s="509"/>
      <c r="GB57" s="509"/>
      <c r="GC57" s="509"/>
      <c r="GD57" s="509"/>
      <c r="GE57" s="509"/>
      <c r="GF57" s="509"/>
      <c r="GG57" s="509"/>
      <c r="GH57" s="509"/>
      <c r="GI57" s="509"/>
      <c r="GJ57" s="509"/>
      <c r="GK57" s="509"/>
      <c r="GL57" s="509"/>
      <c r="GM57" s="509"/>
      <c r="GN57" s="509"/>
      <c r="GO57" s="509"/>
      <c r="GP57" s="509"/>
      <c r="GQ57" s="509"/>
      <c r="GR57" s="509"/>
      <c r="GS57" s="509"/>
      <c r="GT57" s="509"/>
      <c r="GU57" s="509"/>
      <c r="GV57" s="509"/>
      <c r="GW57" s="509"/>
      <c r="GX57" s="509"/>
      <c r="GY57" s="509"/>
      <c r="GZ57" s="509"/>
      <c r="HA57" s="509"/>
      <c r="HB57" s="509"/>
      <c r="HC57" s="509"/>
      <c r="HD57" s="509"/>
      <c r="HE57" s="509"/>
      <c r="HF57" s="509"/>
      <c r="HG57" s="509"/>
      <c r="HH57" s="509"/>
      <c r="HI57" s="509"/>
      <c r="HJ57" s="509"/>
      <c r="HK57" s="509"/>
      <c r="HL57" s="509"/>
      <c r="HM57" s="509"/>
      <c r="HN57" s="509"/>
      <c r="HO57" s="509"/>
      <c r="HP57" s="509"/>
      <c r="HQ57" s="509"/>
      <c r="HR57" s="509"/>
      <c r="HS57" s="509"/>
      <c r="HT57" s="509"/>
      <c r="HU57" s="509"/>
      <c r="HV57" s="509"/>
      <c r="HW57" s="509"/>
      <c r="HX57" s="509"/>
      <c r="HY57" s="509"/>
      <c r="HZ57" s="509"/>
      <c r="IA57" s="509"/>
      <c r="IB57" s="509"/>
      <c r="IC57" s="509"/>
    </row>
    <row r="58" s="508" customFormat="1" customHeight="1" spans="1:237">
      <c r="A58" s="524" t="s">
        <v>242</v>
      </c>
      <c r="B58" s="94" t="s">
        <v>243</v>
      </c>
      <c r="C58" s="94" t="s">
        <v>13</v>
      </c>
      <c r="D58" s="94" t="s">
        <v>125</v>
      </c>
      <c r="E58" s="94" t="s">
        <v>244</v>
      </c>
      <c r="F58" s="94">
        <v>13926633986</v>
      </c>
      <c r="G58" s="94">
        <v>613986</v>
      </c>
      <c r="H58" s="519" t="s">
        <v>245</v>
      </c>
      <c r="I58" s="519" t="s">
        <v>246</v>
      </c>
      <c r="J58" s="94">
        <v>65989</v>
      </c>
      <c r="K58" s="94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09"/>
      <c r="AB58" s="509"/>
      <c r="AC58" s="509"/>
      <c r="AD58" s="509"/>
      <c r="AE58" s="509"/>
      <c r="AF58" s="509"/>
      <c r="AG58" s="509"/>
      <c r="AH58" s="509"/>
      <c r="AI58" s="509"/>
      <c r="AJ58" s="509"/>
      <c r="AK58" s="509"/>
      <c r="AL58" s="509"/>
      <c r="AM58" s="509"/>
      <c r="AN58" s="509"/>
      <c r="AO58" s="509"/>
      <c r="AP58" s="509"/>
      <c r="AQ58" s="509"/>
      <c r="AR58" s="509"/>
      <c r="AS58" s="509"/>
      <c r="AT58" s="509"/>
      <c r="AU58" s="509"/>
      <c r="AV58" s="509"/>
      <c r="AW58" s="509"/>
      <c r="AX58" s="509"/>
      <c r="AY58" s="509"/>
      <c r="AZ58" s="509"/>
      <c r="BA58" s="509"/>
      <c r="BB58" s="509"/>
      <c r="BC58" s="509"/>
      <c r="BD58" s="509"/>
      <c r="BE58" s="509"/>
      <c r="BF58" s="509"/>
      <c r="BG58" s="509"/>
      <c r="BH58" s="509"/>
      <c r="BI58" s="509"/>
      <c r="BJ58" s="509"/>
      <c r="BK58" s="509"/>
      <c r="BL58" s="509"/>
      <c r="BM58" s="509"/>
      <c r="BN58" s="509"/>
      <c r="BO58" s="509"/>
      <c r="BP58" s="509"/>
      <c r="BQ58" s="509"/>
      <c r="BR58" s="509"/>
      <c r="BS58" s="509"/>
      <c r="BT58" s="509"/>
      <c r="BU58" s="509"/>
      <c r="BV58" s="509"/>
      <c r="BW58" s="509"/>
      <c r="BX58" s="509"/>
      <c r="BY58" s="509"/>
      <c r="BZ58" s="509"/>
      <c r="CA58" s="509"/>
      <c r="CB58" s="509"/>
      <c r="CC58" s="509"/>
      <c r="CD58" s="509"/>
      <c r="CE58" s="509"/>
      <c r="CF58" s="509"/>
      <c r="CG58" s="509"/>
      <c r="CH58" s="509"/>
      <c r="CI58" s="509"/>
      <c r="CJ58" s="509"/>
      <c r="CK58" s="509"/>
      <c r="CL58" s="509"/>
      <c r="CM58" s="509"/>
      <c r="CN58" s="509"/>
      <c r="CO58" s="509"/>
      <c r="CP58" s="509"/>
      <c r="CQ58" s="509"/>
      <c r="CR58" s="509"/>
      <c r="CS58" s="509"/>
      <c r="CT58" s="509"/>
      <c r="CU58" s="509"/>
      <c r="CV58" s="509"/>
      <c r="CW58" s="509"/>
      <c r="CX58" s="509"/>
      <c r="CY58" s="509"/>
      <c r="CZ58" s="509"/>
      <c r="DA58" s="509"/>
      <c r="DB58" s="509"/>
      <c r="DC58" s="509"/>
      <c r="DD58" s="509"/>
      <c r="DE58" s="509"/>
      <c r="DF58" s="509"/>
      <c r="DG58" s="509"/>
      <c r="DH58" s="509"/>
      <c r="DI58" s="509"/>
      <c r="DJ58" s="509"/>
      <c r="DK58" s="509"/>
      <c r="DL58" s="509"/>
      <c r="DM58" s="509"/>
      <c r="DN58" s="509"/>
      <c r="DO58" s="509"/>
      <c r="DP58" s="509"/>
      <c r="DQ58" s="509"/>
      <c r="DR58" s="509"/>
      <c r="DS58" s="509"/>
      <c r="DT58" s="509"/>
      <c r="DU58" s="509"/>
      <c r="DV58" s="509"/>
      <c r="DW58" s="509"/>
      <c r="DX58" s="509"/>
      <c r="DY58" s="509"/>
      <c r="DZ58" s="509"/>
      <c r="EA58" s="509"/>
      <c r="EB58" s="509"/>
      <c r="EC58" s="509"/>
      <c r="ED58" s="509"/>
      <c r="EE58" s="509"/>
      <c r="EF58" s="509"/>
      <c r="EG58" s="509"/>
      <c r="EH58" s="509"/>
      <c r="EI58" s="509"/>
      <c r="EJ58" s="509"/>
      <c r="EK58" s="509"/>
      <c r="EL58" s="509"/>
      <c r="EM58" s="509"/>
      <c r="EN58" s="509"/>
      <c r="EO58" s="509"/>
      <c r="EP58" s="509"/>
      <c r="EQ58" s="509"/>
      <c r="ER58" s="509"/>
      <c r="ES58" s="509"/>
      <c r="ET58" s="509"/>
      <c r="EU58" s="509"/>
      <c r="EV58" s="509"/>
      <c r="EW58" s="509"/>
      <c r="EX58" s="509"/>
      <c r="EY58" s="509"/>
      <c r="EZ58" s="509"/>
      <c r="FA58" s="509"/>
      <c r="FB58" s="509"/>
      <c r="FC58" s="509"/>
      <c r="FD58" s="509"/>
      <c r="FE58" s="509"/>
      <c r="FF58" s="509"/>
      <c r="FG58" s="509"/>
      <c r="FH58" s="509"/>
      <c r="FI58" s="509"/>
      <c r="FJ58" s="509"/>
      <c r="FK58" s="509"/>
      <c r="FL58" s="509"/>
      <c r="FM58" s="509"/>
      <c r="FN58" s="509"/>
      <c r="FO58" s="509"/>
      <c r="FP58" s="509"/>
      <c r="FQ58" s="509"/>
      <c r="FR58" s="509"/>
      <c r="FS58" s="509"/>
      <c r="FT58" s="509"/>
      <c r="FU58" s="509"/>
      <c r="FV58" s="509"/>
      <c r="FW58" s="509"/>
      <c r="FX58" s="509"/>
      <c r="FY58" s="509"/>
      <c r="FZ58" s="509"/>
      <c r="GA58" s="509"/>
      <c r="GB58" s="509"/>
      <c r="GC58" s="509"/>
      <c r="GD58" s="509"/>
      <c r="GE58" s="509"/>
      <c r="GF58" s="509"/>
      <c r="GG58" s="509"/>
      <c r="GH58" s="509"/>
      <c r="GI58" s="509"/>
      <c r="GJ58" s="509"/>
      <c r="GK58" s="509"/>
      <c r="GL58" s="509"/>
      <c r="GM58" s="509"/>
      <c r="GN58" s="509"/>
      <c r="GO58" s="509"/>
      <c r="GP58" s="509"/>
      <c r="GQ58" s="509"/>
      <c r="GR58" s="509"/>
      <c r="GS58" s="509"/>
      <c r="GT58" s="509"/>
      <c r="GU58" s="509"/>
      <c r="GV58" s="509"/>
      <c r="GW58" s="509"/>
      <c r="GX58" s="509"/>
      <c r="GY58" s="509"/>
      <c r="GZ58" s="509"/>
      <c r="HA58" s="509"/>
      <c r="HB58" s="509"/>
      <c r="HC58" s="509"/>
      <c r="HD58" s="509"/>
      <c r="HE58" s="509"/>
      <c r="HF58" s="509"/>
      <c r="HG58" s="509"/>
      <c r="HH58" s="509"/>
      <c r="HI58" s="509"/>
      <c r="HJ58" s="509"/>
      <c r="HK58" s="509"/>
      <c r="HL58" s="509"/>
      <c r="HM58" s="509"/>
      <c r="HN58" s="509"/>
      <c r="HO58" s="509"/>
      <c r="HP58" s="509"/>
      <c r="HQ58" s="509"/>
      <c r="HR58" s="509"/>
      <c r="HS58" s="509"/>
      <c r="HT58" s="509"/>
      <c r="HU58" s="509"/>
      <c r="HV58" s="509"/>
      <c r="HW58" s="509"/>
      <c r="HX58" s="509"/>
      <c r="HY58" s="509"/>
      <c r="HZ58" s="509"/>
      <c r="IA58" s="509"/>
      <c r="IB58" s="509"/>
      <c r="IC58" s="509"/>
    </row>
    <row r="59" s="508" customFormat="1" customHeight="1" spans="1:237">
      <c r="A59" s="524" t="s">
        <v>247</v>
      </c>
      <c r="B59" s="94" t="s">
        <v>248</v>
      </c>
      <c r="C59" s="94" t="s">
        <v>13</v>
      </c>
      <c r="D59" s="94" t="s">
        <v>120</v>
      </c>
      <c r="E59" s="94" t="s">
        <v>249</v>
      </c>
      <c r="F59" s="94">
        <v>18818468836</v>
      </c>
      <c r="G59" s="94">
        <v>678836</v>
      </c>
      <c r="H59" s="94" t="s">
        <v>249</v>
      </c>
      <c r="I59" s="94">
        <v>18818468836</v>
      </c>
      <c r="J59" s="94">
        <v>678836</v>
      </c>
      <c r="K59" s="94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09"/>
      <c r="AB59" s="509"/>
      <c r="AC59" s="509"/>
      <c r="AD59" s="509"/>
      <c r="AE59" s="509"/>
      <c r="AF59" s="509"/>
      <c r="AG59" s="509"/>
      <c r="AH59" s="509"/>
      <c r="AI59" s="509"/>
      <c r="AJ59" s="509"/>
      <c r="AK59" s="509"/>
      <c r="AL59" s="509"/>
      <c r="AM59" s="509"/>
      <c r="AN59" s="509"/>
      <c r="AO59" s="509"/>
      <c r="AP59" s="509"/>
      <c r="AQ59" s="509"/>
      <c r="AR59" s="509"/>
      <c r="AS59" s="509"/>
      <c r="AT59" s="509"/>
      <c r="AU59" s="509"/>
      <c r="AV59" s="509"/>
      <c r="AW59" s="509"/>
      <c r="AX59" s="509"/>
      <c r="AY59" s="509"/>
      <c r="AZ59" s="509"/>
      <c r="BA59" s="509"/>
      <c r="BB59" s="509"/>
      <c r="BC59" s="509"/>
      <c r="BD59" s="509"/>
      <c r="BE59" s="509"/>
      <c r="BF59" s="509"/>
      <c r="BG59" s="509"/>
      <c r="BH59" s="509"/>
      <c r="BI59" s="509"/>
      <c r="BJ59" s="509"/>
      <c r="BK59" s="509"/>
      <c r="BL59" s="509"/>
      <c r="BM59" s="509"/>
      <c r="BN59" s="509"/>
      <c r="BO59" s="509"/>
      <c r="BP59" s="509"/>
      <c r="BQ59" s="509"/>
      <c r="BR59" s="509"/>
      <c r="BS59" s="509"/>
      <c r="BT59" s="509"/>
      <c r="BU59" s="509"/>
      <c r="BV59" s="509"/>
      <c r="BW59" s="509"/>
      <c r="BX59" s="509"/>
      <c r="BY59" s="509"/>
      <c r="BZ59" s="509"/>
      <c r="CA59" s="509"/>
      <c r="CB59" s="509"/>
      <c r="CC59" s="509"/>
      <c r="CD59" s="509"/>
      <c r="CE59" s="509"/>
      <c r="CF59" s="509"/>
      <c r="CG59" s="509"/>
      <c r="CH59" s="509"/>
      <c r="CI59" s="509"/>
      <c r="CJ59" s="509"/>
      <c r="CK59" s="509"/>
      <c r="CL59" s="509"/>
      <c r="CM59" s="509"/>
      <c r="CN59" s="509"/>
      <c r="CO59" s="509"/>
      <c r="CP59" s="509"/>
      <c r="CQ59" s="509"/>
      <c r="CR59" s="509"/>
      <c r="CS59" s="509"/>
      <c r="CT59" s="509"/>
      <c r="CU59" s="509"/>
      <c r="CV59" s="509"/>
      <c r="CW59" s="509"/>
      <c r="CX59" s="509"/>
      <c r="CY59" s="509"/>
      <c r="CZ59" s="509"/>
      <c r="DA59" s="509"/>
      <c r="DB59" s="509"/>
      <c r="DC59" s="509"/>
      <c r="DD59" s="509"/>
      <c r="DE59" s="509"/>
      <c r="DF59" s="509"/>
      <c r="DG59" s="509"/>
      <c r="DH59" s="509"/>
      <c r="DI59" s="509"/>
      <c r="DJ59" s="509"/>
      <c r="DK59" s="509"/>
      <c r="DL59" s="509"/>
      <c r="DM59" s="509"/>
      <c r="DN59" s="509"/>
      <c r="DO59" s="509"/>
      <c r="DP59" s="509"/>
      <c r="DQ59" s="509"/>
      <c r="DR59" s="509"/>
      <c r="DS59" s="509"/>
      <c r="DT59" s="509"/>
      <c r="DU59" s="509"/>
      <c r="DV59" s="509"/>
      <c r="DW59" s="509"/>
      <c r="DX59" s="509"/>
      <c r="DY59" s="509"/>
      <c r="DZ59" s="509"/>
      <c r="EA59" s="509"/>
      <c r="EB59" s="509"/>
      <c r="EC59" s="509"/>
      <c r="ED59" s="509"/>
      <c r="EE59" s="509"/>
      <c r="EF59" s="509"/>
      <c r="EG59" s="509"/>
      <c r="EH59" s="509"/>
      <c r="EI59" s="509"/>
      <c r="EJ59" s="509"/>
      <c r="EK59" s="509"/>
      <c r="EL59" s="509"/>
      <c r="EM59" s="509"/>
      <c r="EN59" s="509"/>
      <c r="EO59" s="509"/>
      <c r="EP59" s="509"/>
      <c r="EQ59" s="509"/>
      <c r="ER59" s="509"/>
      <c r="ES59" s="509"/>
      <c r="ET59" s="509"/>
      <c r="EU59" s="509"/>
      <c r="EV59" s="509"/>
      <c r="EW59" s="509"/>
      <c r="EX59" s="509"/>
      <c r="EY59" s="509"/>
      <c r="EZ59" s="509"/>
      <c r="FA59" s="509"/>
      <c r="FB59" s="509"/>
      <c r="FC59" s="509"/>
      <c r="FD59" s="509"/>
      <c r="FE59" s="509"/>
      <c r="FF59" s="509"/>
      <c r="FG59" s="509"/>
      <c r="FH59" s="509"/>
      <c r="FI59" s="509"/>
      <c r="FJ59" s="509"/>
      <c r="FK59" s="509"/>
      <c r="FL59" s="509"/>
      <c r="FM59" s="509"/>
      <c r="FN59" s="509"/>
      <c r="FO59" s="509"/>
      <c r="FP59" s="509"/>
      <c r="FQ59" s="509"/>
      <c r="FR59" s="509"/>
      <c r="FS59" s="509"/>
      <c r="FT59" s="509"/>
      <c r="FU59" s="509"/>
      <c r="FV59" s="509"/>
      <c r="FW59" s="509"/>
      <c r="FX59" s="509"/>
      <c r="FY59" s="509"/>
      <c r="FZ59" s="509"/>
      <c r="GA59" s="509"/>
      <c r="GB59" s="509"/>
      <c r="GC59" s="509"/>
      <c r="GD59" s="509"/>
      <c r="GE59" s="509"/>
      <c r="GF59" s="509"/>
      <c r="GG59" s="509"/>
      <c r="GH59" s="509"/>
      <c r="GI59" s="509"/>
      <c r="GJ59" s="509"/>
      <c r="GK59" s="509"/>
      <c r="GL59" s="509"/>
      <c r="GM59" s="509"/>
      <c r="GN59" s="509"/>
      <c r="GO59" s="509"/>
      <c r="GP59" s="509"/>
      <c r="GQ59" s="509"/>
      <c r="GR59" s="509"/>
      <c r="GS59" s="509"/>
      <c r="GT59" s="509"/>
      <c r="GU59" s="509"/>
      <c r="GV59" s="509"/>
      <c r="GW59" s="509"/>
      <c r="GX59" s="509"/>
      <c r="GY59" s="509"/>
      <c r="GZ59" s="509"/>
      <c r="HA59" s="509"/>
      <c r="HB59" s="509"/>
      <c r="HC59" s="509"/>
      <c r="HD59" s="509"/>
      <c r="HE59" s="509"/>
      <c r="HF59" s="509"/>
      <c r="HG59" s="509"/>
      <c r="HH59" s="509"/>
      <c r="HI59" s="509"/>
      <c r="HJ59" s="509"/>
      <c r="HK59" s="509"/>
      <c r="HL59" s="509"/>
      <c r="HM59" s="509"/>
      <c r="HN59" s="509"/>
      <c r="HO59" s="509"/>
      <c r="HP59" s="509"/>
      <c r="HQ59" s="509"/>
      <c r="HR59" s="509"/>
      <c r="HS59" s="509"/>
      <c r="HT59" s="509"/>
      <c r="HU59" s="509"/>
      <c r="HV59" s="509"/>
      <c r="HW59" s="509"/>
      <c r="HX59" s="509"/>
      <c r="HY59" s="509"/>
      <c r="HZ59" s="509"/>
      <c r="IA59" s="509"/>
      <c r="IB59" s="509"/>
      <c r="IC59" s="509"/>
    </row>
    <row r="60" s="508" customFormat="1" customHeight="1" spans="1:237">
      <c r="A60" s="524" t="s">
        <v>250</v>
      </c>
      <c r="B60" s="94" t="s">
        <v>251</v>
      </c>
      <c r="C60" s="94" t="s">
        <v>13</v>
      </c>
      <c r="D60" s="94" t="s">
        <v>125</v>
      </c>
      <c r="E60" s="94" t="s">
        <v>252</v>
      </c>
      <c r="F60" s="94">
        <v>13553958518</v>
      </c>
      <c r="G60" s="94">
        <v>668518</v>
      </c>
      <c r="H60" s="520"/>
      <c r="I60" s="520"/>
      <c r="J60" s="520"/>
      <c r="K60" s="94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09"/>
      <c r="AB60" s="509"/>
      <c r="AC60" s="509"/>
      <c r="AD60" s="509"/>
      <c r="AE60" s="509"/>
      <c r="AF60" s="509"/>
      <c r="AG60" s="509"/>
      <c r="AH60" s="509"/>
      <c r="AI60" s="509"/>
      <c r="AJ60" s="509"/>
      <c r="AK60" s="509"/>
      <c r="AL60" s="509"/>
      <c r="AM60" s="509"/>
      <c r="AN60" s="509"/>
      <c r="AO60" s="509"/>
      <c r="AP60" s="509"/>
      <c r="AQ60" s="509"/>
      <c r="AR60" s="509"/>
      <c r="AS60" s="509"/>
      <c r="AT60" s="509"/>
      <c r="AU60" s="509"/>
      <c r="AV60" s="509"/>
      <c r="AW60" s="509"/>
      <c r="AX60" s="509"/>
      <c r="AY60" s="509"/>
      <c r="AZ60" s="509"/>
      <c r="BA60" s="509"/>
      <c r="BB60" s="509"/>
      <c r="BC60" s="509"/>
      <c r="BD60" s="509"/>
      <c r="BE60" s="509"/>
      <c r="BF60" s="509"/>
      <c r="BG60" s="509"/>
      <c r="BH60" s="509"/>
      <c r="BI60" s="509"/>
      <c r="BJ60" s="509"/>
      <c r="BK60" s="509"/>
      <c r="BL60" s="509"/>
      <c r="BM60" s="509"/>
      <c r="BN60" s="509"/>
      <c r="BO60" s="509"/>
      <c r="BP60" s="509"/>
      <c r="BQ60" s="509"/>
      <c r="BR60" s="509"/>
      <c r="BS60" s="509"/>
      <c r="BT60" s="509"/>
      <c r="BU60" s="509"/>
      <c r="BV60" s="509"/>
      <c r="BW60" s="509"/>
      <c r="BX60" s="509"/>
      <c r="BY60" s="509"/>
      <c r="BZ60" s="509"/>
      <c r="CA60" s="509"/>
      <c r="CB60" s="509"/>
      <c r="CC60" s="509"/>
      <c r="CD60" s="509"/>
      <c r="CE60" s="509"/>
      <c r="CF60" s="509"/>
      <c r="CG60" s="509"/>
      <c r="CH60" s="509"/>
      <c r="CI60" s="509"/>
      <c r="CJ60" s="509"/>
      <c r="CK60" s="509"/>
      <c r="CL60" s="509"/>
      <c r="CM60" s="509"/>
      <c r="CN60" s="509"/>
      <c r="CO60" s="509"/>
      <c r="CP60" s="509"/>
      <c r="CQ60" s="509"/>
      <c r="CR60" s="509"/>
      <c r="CS60" s="509"/>
      <c r="CT60" s="509"/>
      <c r="CU60" s="509"/>
      <c r="CV60" s="509"/>
      <c r="CW60" s="509"/>
      <c r="CX60" s="509"/>
      <c r="CY60" s="509"/>
      <c r="CZ60" s="509"/>
      <c r="DA60" s="509"/>
      <c r="DB60" s="509"/>
      <c r="DC60" s="509"/>
      <c r="DD60" s="509"/>
      <c r="DE60" s="509"/>
      <c r="DF60" s="509"/>
      <c r="DG60" s="509"/>
      <c r="DH60" s="509"/>
      <c r="DI60" s="509"/>
      <c r="DJ60" s="509"/>
      <c r="DK60" s="509"/>
      <c r="DL60" s="509"/>
      <c r="DM60" s="509"/>
      <c r="DN60" s="509"/>
      <c r="DO60" s="509"/>
      <c r="DP60" s="509"/>
      <c r="DQ60" s="509"/>
      <c r="DR60" s="509"/>
      <c r="DS60" s="509"/>
      <c r="DT60" s="509"/>
      <c r="DU60" s="509"/>
      <c r="DV60" s="509"/>
      <c r="DW60" s="509"/>
      <c r="DX60" s="509"/>
      <c r="DY60" s="509"/>
      <c r="DZ60" s="509"/>
      <c r="EA60" s="509"/>
      <c r="EB60" s="509"/>
      <c r="EC60" s="509"/>
      <c r="ED60" s="509"/>
      <c r="EE60" s="509"/>
      <c r="EF60" s="509"/>
      <c r="EG60" s="509"/>
      <c r="EH60" s="509"/>
      <c r="EI60" s="509"/>
      <c r="EJ60" s="509"/>
      <c r="EK60" s="509"/>
      <c r="EL60" s="509"/>
      <c r="EM60" s="509"/>
      <c r="EN60" s="509"/>
      <c r="EO60" s="509"/>
      <c r="EP60" s="509"/>
      <c r="EQ60" s="509"/>
      <c r="ER60" s="509"/>
      <c r="ES60" s="509"/>
      <c r="ET60" s="509"/>
      <c r="EU60" s="509"/>
      <c r="EV60" s="509"/>
      <c r="EW60" s="509"/>
      <c r="EX60" s="509"/>
      <c r="EY60" s="509"/>
      <c r="EZ60" s="509"/>
      <c r="FA60" s="509"/>
      <c r="FB60" s="509"/>
      <c r="FC60" s="509"/>
      <c r="FD60" s="509"/>
      <c r="FE60" s="509"/>
      <c r="FF60" s="509"/>
      <c r="FG60" s="509"/>
      <c r="FH60" s="509"/>
      <c r="FI60" s="509"/>
      <c r="FJ60" s="509"/>
      <c r="FK60" s="509"/>
      <c r="FL60" s="509"/>
      <c r="FM60" s="509"/>
      <c r="FN60" s="509"/>
      <c r="FO60" s="509"/>
      <c r="FP60" s="509"/>
      <c r="FQ60" s="509"/>
      <c r="FR60" s="509"/>
      <c r="FS60" s="509"/>
      <c r="FT60" s="509"/>
      <c r="FU60" s="509"/>
      <c r="FV60" s="509"/>
      <c r="FW60" s="509"/>
      <c r="FX60" s="509"/>
      <c r="FY60" s="509"/>
      <c r="FZ60" s="509"/>
      <c r="GA60" s="509"/>
      <c r="GB60" s="509"/>
      <c r="GC60" s="509"/>
      <c r="GD60" s="509"/>
      <c r="GE60" s="509"/>
      <c r="GF60" s="509"/>
      <c r="GG60" s="509"/>
      <c r="GH60" s="509"/>
      <c r="GI60" s="509"/>
      <c r="GJ60" s="509"/>
      <c r="GK60" s="509"/>
      <c r="GL60" s="509"/>
      <c r="GM60" s="509"/>
      <c r="GN60" s="509"/>
      <c r="GO60" s="509"/>
      <c r="GP60" s="509"/>
      <c r="GQ60" s="509"/>
      <c r="GR60" s="509"/>
      <c r="GS60" s="509"/>
      <c r="GT60" s="509"/>
      <c r="GU60" s="509"/>
      <c r="GV60" s="509"/>
      <c r="GW60" s="509"/>
      <c r="GX60" s="509"/>
      <c r="GY60" s="509"/>
      <c r="GZ60" s="509"/>
      <c r="HA60" s="509"/>
      <c r="HB60" s="509"/>
      <c r="HC60" s="509"/>
      <c r="HD60" s="509"/>
      <c r="HE60" s="509"/>
      <c r="HF60" s="509"/>
      <c r="HG60" s="509"/>
      <c r="HH60" s="509"/>
      <c r="HI60" s="509"/>
      <c r="HJ60" s="509"/>
      <c r="HK60" s="509"/>
      <c r="HL60" s="509"/>
      <c r="HM60" s="509"/>
      <c r="HN60" s="509"/>
      <c r="HO60" s="509"/>
      <c r="HP60" s="509"/>
      <c r="HQ60" s="509"/>
      <c r="HR60" s="509"/>
      <c r="HS60" s="509"/>
      <c r="HT60" s="509"/>
      <c r="HU60" s="509"/>
      <c r="HV60" s="509"/>
      <c r="HW60" s="509"/>
      <c r="HX60" s="509"/>
      <c r="HY60" s="509"/>
      <c r="HZ60" s="509"/>
      <c r="IA60" s="509"/>
      <c r="IB60" s="509"/>
      <c r="IC60" s="509"/>
    </row>
    <row r="61" s="508" customFormat="1" customHeight="1" spans="1:237">
      <c r="A61" s="524" t="s">
        <v>253</v>
      </c>
      <c r="B61" s="94" t="s">
        <v>254</v>
      </c>
      <c r="C61" s="94" t="s">
        <v>13</v>
      </c>
      <c r="D61" s="94" t="s">
        <v>120</v>
      </c>
      <c r="E61" s="519" t="s">
        <v>255</v>
      </c>
      <c r="F61" s="519" t="s">
        <v>256</v>
      </c>
      <c r="G61" s="94">
        <v>685398</v>
      </c>
      <c r="H61" s="520"/>
      <c r="I61" s="520"/>
      <c r="J61" s="520"/>
      <c r="K61" s="94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  <c r="AA61" s="509"/>
      <c r="AB61" s="509"/>
      <c r="AC61" s="509"/>
      <c r="AD61" s="509"/>
      <c r="AE61" s="509"/>
      <c r="AF61" s="509"/>
      <c r="AG61" s="509"/>
      <c r="AH61" s="509"/>
      <c r="AI61" s="509"/>
      <c r="AJ61" s="509"/>
      <c r="AK61" s="509"/>
      <c r="AL61" s="509"/>
      <c r="AM61" s="509"/>
      <c r="AN61" s="509"/>
      <c r="AO61" s="509"/>
      <c r="AP61" s="509"/>
      <c r="AQ61" s="509"/>
      <c r="AR61" s="509"/>
      <c r="AS61" s="509"/>
      <c r="AT61" s="509"/>
      <c r="AU61" s="509"/>
      <c r="AV61" s="509"/>
      <c r="AW61" s="509"/>
      <c r="AX61" s="509"/>
      <c r="AY61" s="509"/>
      <c r="AZ61" s="509"/>
      <c r="BA61" s="509"/>
      <c r="BB61" s="509"/>
      <c r="BC61" s="509"/>
      <c r="BD61" s="509"/>
      <c r="BE61" s="509"/>
      <c r="BF61" s="509"/>
      <c r="BG61" s="509"/>
      <c r="BH61" s="509"/>
      <c r="BI61" s="509"/>
      <c r="BJ61" s="509"/>
      <c r="BK61" s="509"/>
      <c r="BL61" s="509"/>
      <c r="BM61" s="509"/>
      <c r="BN61" s="509"/>
      <c r="BO61" s="509"/>
      <c r="BP61" s="509"/>
      <c r="BQ61" s="509"/>
      <c r="BR61" s="509"/>
      <c r="BS61" s="509"/>
      <c r="BT61" s="509"/>
      <c r="BU61" s="509"/>
      <c r="BV61" s="509"/>
      <c r="BW61" s="509"/>
      <c r="BX61" s="509"/>
      <c r="BY61" s="509"/>
      <c r="BZ61" s="509"/>
      <c r="CA61" s="509"/>
      <c r="CB61" s="509"/>
      <c r="CC61" s="509"/>
      <c r="CD61" s="509"/>
      <c r="CE61" s="509"/>
      <c r="CF61" s="509"/>
      <c r="CG61" s="509"/>
      <c r="CH61" s="509"/>
      <c r="CI61" s="509"/>
      <c r="CJ61" s="509"/>
      <c r="CK61" s="509"/>
      <c r="CL61" s="509"/>
      <c r="CM61" s="509"/>
      <c r="CN61" s="509"/>
      <c r="CO61" s="509"/>
      <c r="CP61" s="509"/>
      <c r="CQ61" s="509"/>
      <c r="CR61" s="509"/>
      <c r="CS61" s="509"/>
      <c r="CT61" s="509"/>
      <c r="CU61" s="509"/>
      <c r="CV61" s="509"/>
      <c r="CW61" s="509"/>
      <c r="CX61" s="509"/>
      <c r="CY61" s="509"/>
      <c r="CZ61" s="509"/>
      <c r="DA61" s="509"/>
      <c r="DB61" s="509"/>
      <c r="DC61" s="509"/>
      <c r="DD61" s="509"/>
      <c r="DE61" s="509"/>
      <c r="DF61" s="509"/>
      <c r="DG61" s="509"/>
      <c r="DH61" s="509"/>
      <c r="DI61" s="509"/>
      <c r="DJ61" s="509"/>
      <c r="DK61" s="509"/>
      <c r="DL61" s="509"/>
      <c r="DM61" s="509"/>
      <c r="DN61" s="509"/>
      <c r="DO61" s="509"/>
      <c r="DP61" s="509"/>
      <c r="DQ61" s="509"/>
      <c r="DR61" s="509"/>
      <c r="DS61" s="509"/>
      <c r="DT61" s="509"/>
      <c r="DU61" s="509"/>
      <c r="DV61" s="509"/>
      <c r="DW61" s="509"/>
      <c r="DX61" s="509"/>
      <c r="DY61" s="509"/>
      <c r="DZ61" s="509"/>
      <c r="EA61" s="509"/>
      <c r="EB61" s="509"/>
      <c r="EC61" s="509"/>
      <c r="ED61" s="509"/>
      <c r="EE61" s="509"/>
      <c r="EF61" s="509"/>
      <c r="EG61" s="509"/>
      <c r="EH61" s="509"/>
      <c r="EI61" s="509"/>
      <c r="EJ61" s="509"/>
      <c r="EK61" s="509"/>
      <c r="EL61" s="509"/>
      <c r="EM61" s="509"/>
      <c r="EN61" s="509"/>
      <c r="EO61" s="509"/>
      <c r="EP61" s="509"/>
      <c r="EQ61" s="509"/>
      <c r="ER61" s="509"/>
      <c r="ES61" s="509"/>
      <c r="ET61" s="509"/>
      <c r="EU61" s="509"/>
      <c r="EV61" s="509"/>
      <c r="EW61" s="509"/>
      <c r="EX61" s="509"/>
      <c r="EY61" s="509"/>
      <c r="EZ61" s="509"/>
      <c r="FA61" s="509"/>
      <c r="FB61" s="509"/>
      <c r="FC61" s="509"/>
      <c r="FD61" s="509"/>
      <c r="FE61" s="509"/>
      <c r="FF61" s="509"/>
      <c r="FG61" s="509"/>
      <c r="FH61" s="509"/>
      <c r="FI61" s="509"/>
      <c r="FJ61" s="509"/>
      <c r="FK61" s="509"/>
      <c r="FL61" s="509"/>
      <c r="FM61" s="509"/>
      <c r="FN61" s="509"/>
      <c r="FO61" s="509"/>
      <c r="FP61" s="509"/>
      <c r="FQ61" s="509"/>
      <c r="FR61" s="509"/>
      <c r="FS61" s="509"/>
      <c r="FT61" s="509"/>
      <c r="FU61" s="509"/>
      <c r="FV61" s="509"/>
      <c r="FW61" s="509"/>
      <c r="FX61" s="509"/>
      <c r="FY61" s="509"/>
      <c r="FZ61" s="509"/>
      <c r="GA61" s="509"/>
      <c r="GB61" s="509"/>
      <c r="GC61" s="509"/>
      <c r="GD61" s="509"/>
      <c r="GE61" s="509"/>
      <c r="GF61" s="509"/>
      <c r="GG61" s="509"/>
      <c r="GH61" s="509"/>
      <c r="GI61" s="509"/>
      <c r="GJ61" s="509"/>
      <c r="GK61" s="509"/>
      <c r="GL61" s="509"/>
      <c r="GM61" s="509"/>
      <c r="GN61" s="509"/>
      <c r="GO61" s="509"/>
      <c r="GP61" s="509"/>
      <c r="GQ61" s="509"/>
      <c r="GR61" s="509"/>
      <c r="GS61" s="509"/>
      <c r="GT61" s="509"/>
      <c r="GU61" s="509"/>
      <c r="GV61" s="509"/>
      <c r="GW61" s="509"/>
      <c r="GX61" s="509"/>
      <c r="GY61" s="509"/>
      <c r="GZ61" s="509"/>
      <c r="HA61" s="509"/>
      <c r="HB61" s="509"/>
      <c r="HC61" s="509"/>
      <c r="HD61" s="509"/>
      <c r="HE61" s="509"/>
      <c r="HF61" s="509"/>
      <c r="HG61" s="509"/>
      <c r="HH61" s="509"/>
      <c r="HI61" s="509"/>
      <c r="HJ61" s="509"/>
      <c r="HK61" s="509"/>
      <c r="HL61" s="509"/>
      <c r="HM61" s="509"/>
      <c r="HN61" s="509"/>
      <c r="HO61" s="509"/>
      <c r="HP61" s="509"/>
      <c r="HQ61" s="509"/>
      <c r="HR61" s="509"/>
      <c r="HS61" s="509"/>
      <c r="HT61" s="509"/>
      <c r="HU61" s="509"/>
      <c r="HV61" s="509"/>
      <c r="HW61" s="509"/>
      <c r="HX61" s="509"/>
      <c r="HY61" s="509"/>
      <c r="HZ61" s="509"/>
      <c r="IA61" s="509"/>
      <c r="IB61" s="509"/>
      <c r="IC61" s="509"/>
    </row>
    <row r="62" s="508" customFormat="1" customHeight="1" spans="1:237">
      <c r="A62" s="524" t="s">
        <v>257</v>
      </c>
      <c r="B62" s="94" t="s">
        <v>258</v>
      </c>
      <c r="C62" s="94" t="s">
        <v>13</v>
      </c>
      <c r="D62" s="94" t="s">
        <v>125</v>
      </c>
      <c r="E62" s="94" t="s">
        <v>259</v>
      </c>
      <c r="F62" s="94">
        <v>13926639221</v>
      </c>
      <c r="G62" s="94">
        <v>699221</v>
      </c>
      <c r="H62" s="94" t="s">
        <v>260</v>
      </c>
      <c r="I62" s="94">
        <v>13417266681</v>
      </c>
      <c r="J62" s="94">
        <v>676681</v>
      </c>
      <c r="K62" s="94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09"/>
      <c r="AB62" s="509"/>
      <c r="AC62" s="509"/>
      <c r="AD62" s="509"/>
      <c r="AE62" s="509"/>
      <c r="AF62" s="509"/>
      <c r="AG62" s="509"/>
      <c r="AH62" s="509"/>
      <c r="AI62" s="509"/>
      <c r="AJ62" s="509"/>
      <c r="AK62" s="509"/>
      <c r="AL62" s="509"/>
      <c r="AM62" s="509"/>
      <c r="AN62" s="509"/>
      <c r="AO62" s="509"/>
      <c r="AP62" s="509"/>
      <c r="AQ62" s="509"/>
      <c r="AR62" s="509"/>
      <c r="AS62" s="509"/>
      <c r="AT62" s="509"/>
      <c r="AU62" s="509"/>
      <c r="AV62" s="509"/>
      <c r="AW62" s="509"/>
      <c r="AX62" s="509"/>
      <c r="AY62" s="509"/>
      <c r="AZ62" s="509"/>
      <c r="BA62" s="509"/>
      <c r="BB62" s="509"/>
      <c r="BC62" s="509"/>
      <c r="BD62" s="509"/>
      <c r="BE62" s="509"/>
      <c r="BF62" s="509"/>
      <c r="BG62" s="509"/>
      <c r="BH62" s="509"/>
      <c r="BI62" s="509"/>
      <c r="BJ62" s="509"/>
      <c r="BK62" s="509"/>
      <c r="BL62" s="509"/>
      <c r="BM62" s="509"/>
      <c r="BN62" s="509"/>
      <c r="BO62" s="509"/>
      <c r="BP62" s="509"/>
      <c r="BQ62" s="509"/>
      <c r="BR62" s="509"/>
      <c r="BS62" s="509"/>
      <c r="BT62" s="509"/>
      <c r="BU62" s="509"/>
      <c r="BV62" s="509"/>
      <c r="BW62" s="509"/>
      <c r="BX62" s="509"/>
      <c r="BY62" s="509"/>
      <c r="BZ62" s="509"/>
      <c r="CA62" s="509"/>
      <c r="CB62" s="509"/>
      <c r="CC62" s="509"/>
      <c r="CD62" s="509"/>
      <c r="CE62" s="509"/>
      <c r="CF62" s="509"/>
      <c r="CG62" s="509"/>
      <c r="CH62" s="509"/>
      <c r="CI62" s="509"/>
      <c r="CJ62" s="509"/>
      <c r="CK62" s="509"/>
      <c r="CL62" s="509"/>
      <c r="CM62" s="509"/>
      <c r="CN62" s="509"/>
      <c r="CO62" s="509"/>
      <c r="CP62" s="509"/>
      <c r="CQ62" s="509"/>
      <c r="CR62" s="509"/>
      <c r="CS62" s="509"/>
      <c r="CT62" s="509"/>
      <c r="CU62" s="509"/>
      <c r="CV62" s="509"/>
      <c r="CW62" s="509"/>
      <c r="CX62" s="509"/>
      <c r="CY62" s="509"/>
      <c r="CZ62" s="509"/>
      <c r="DA62" s="509"/>
      <c r="DB62" s="509"/>
      <c r="DC62" s="509"/>
      <c r="DD62" s="509"/>
      <c r="DE62" s="509"/>
      <c r="DF62" s="509"/>
      <c r="DG62" s="509"/>
      <c r="DH62" s="509"/>
      <c r="DI62" s="509"/>
      <c r="DJ62" s="509"/>
      <c r="DK62" s="509"/>
      <c r="DL62" s="509"/>
      <c r="DM62" s="509"/>
      <c r="DN62" s="509"/>
      <c r="DO62" s="509"/>
      <c r="DP62" s="509"/>
      <c r="DQ62" s="509"/>
      <c r="DR62" s="509"/>
      <c r="DS62" s="509"/>
      <c r="DT62" s="509"/>
      <c r="DU62" s="509"/>
      <c r="DV62" s="509"/>
      <c r="DW62" s="509"/>
      <c r="DX62" s="509"/>
      <c r="DY62" s="509"/>
      <c r="DZ62" s="509"/>
      <c r="EA62" s="509"/>
      <c r="EB62" s="509"/>
      <c r="EC62" s="509"/>
      <c r="ED62" s="509"/>
      <c r="EE62" s="509"/>
      <c r="EF62" s="509"/>
      <c r="EG62" s="509"/>
      <c r="EH62" s="509"/>
      <c r="EI62" s="509"/>
      <c r="EJ62" s="509"/>
      <c r="EK62" s="509"/>
      <c r="EL62" s="509"/>
      <c r="EM62" s="509"/>
      <c r="EN62" s="509"/>
      <c r="EO62" s="509"/>
      <c r="EP62" s="509"/>
      <c r="EQ62" s="509"/>
      <c r="ER62" s="509"/>
      <c r="ES62" s="509"/>
      <c r="ET62" s="509"/>
      <c r="EU62" s="509"/>
      <c r="EV62" s="509"/>
      <c r="EW62" s="509"/>
      <c r="EX62" s="509"/>
      <c r="EY62" s="509"/>
      <c r="EZ62" s="509"/>
      <c r="FA62" s="509"/>
      <c r="FB62" s="509"/>
      <c r="FC62" s="509"/>
      <c r="FD62" s="509"/>
      <c r="FE62" s="509"/>
      <c r="FF62" s="509"/>
      <c r="FG62" s="509"/>
      <c r="FH62" s="509"/>
      <c r="FI62" s="509"/>
      <c r="FJ62" s="509"/>
      <c r="FK62" s="509"/>
      <c r="FL62" s="509"/>
      <c r="FM62" s="509"/>
      <c r="FN62" s="509"/>
      <c r="FO62" s="509"/>
      <c r="FP62" s="509"/>
      <c r="FQ62" s="509"/>
      <c r="FR62" s="509"/>
      <c r="FS62" s="509"/>
      <c r="FT62" s="509"/>
      <c r="FU62" s="509"/>
      <c r="FV62" s="509"/>
      <c r="FW62" s="509"/>
      <c r="FX62" s="509"/>
      <c r="FY62" s="509"/>
      <c r="FZ62" s="509"/>
      <c r="GA62" s="509"/>
      <c r="GB62" s="509"/>
      <c r="GC62" s="509"/>
      <c r="GD62" s="509"/>
      <c r="GE62" s="509"/>
      <c r="GF62" s="509"/>
      <c r="GG62" s="509"/>
      <c r="GH62" s="509"/>
      <c r="GI62" s="509"/>
      <c r="GJ62" s="509"/>
      <c r="GK62" s="509"/>
      <c r="GL62" s="509"/>
      <c r="GM62" s="509"/>
      <c r="GN62" s="509"/>
      <c r="GO62" s="509"/>
      <c r="GP62" s="509"/>
      <c r="GQ62" s="509"/>
      <c r="GR62" s="509"/>
      <c r="GS62" s="509"/>
      <c r="GT62" s="509"/>
      <c r="GU62" s="509"/>
      <c r="GV62" s="509"/>
      <c r="GW62" s="509"/>
      <c r="GX62" s="509"/>
      <c r="GY62" s="509"/>
      <c r="GZ62" s="509"/>
      <c r="HA62" s="509"/>
      <c r="HB62" s="509"/>
      <c r="HC62" s="509"/>
      <c r="HD62" s="509"/>
      <c r="HE62" s="509"/>
      <c r="HF62" s="509"/>
      <c r="HG62" s="509"/>
      <c r="HH62" s="509"/>
      <c r="HI62" s="509"/>
      <c r="HJ62" s="509"/>
      <c r="HK62" s="509"/>
      <c r="HL62" s="509"/>
      <c r="HM62" s="509"/>
      <c r="HN62" s="509"/>
      <c r="HO62" s="509"/>
      <c r="HP62" s="509"/>
      <c r="HQ62" s="509"/>
      <c r="HR62" s="509"/>
      <c r="HS62" s="509"/>
      <c r="HT62" s="509"/>
      <c r="HU62" s="509"/>
      <c r="HV62" s="509"/>
      <c r="HW62" s="509"/>
      <c r="HX62" s="509"/>
      <c r="HY62" s="509"/>
      <c r="HZ62" s="509"/>
      <c r="IA62" s="509"/>
      <c r="IB62" s="509"/>
      <c r="IC62" s="509"/>
    </row>
    <row r="63" s="508" customFormat="1" customHeight="1" spans="1:237">
      <c r="A63" s="524" t="s">
        <v>261</v>
      </c>
      <c r="B63" s="94" t="s">
        <v>262</v>
      </c>
      <c r="C63" s="94" t="s">
        <v>13</v>
      </c>
      <c r="D63" s="94" t="s">
        <v>120</v>
      </c>
      <c r="E63" s="513" t="s">
        <v>263</v>
      </c>
      <c r="F63" s="513">
        <v>13416511608</v>
      </c>
      <c r="G63" s="513">
        <v>611608</v>
      </c>
      <c r="H63" s="513" t="s">
        <v>264</v>
      </c>
      <c r="I63" s="513">
        <v>13620579152</v>
      </c>
      <c r="J63" s="513">
        <v>669152</v>
      </c>
      <c r="K63" s="94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09"/>
      <c r="AB63" s="509"/>
      <c r="AC63" s="509"/>
      <c r="AD63" s="509"/>
      <c r="AE63" s="509"/>
      <c r="AF63" s="509"/>
      <c r="AG63" s="509"/>
      <c r="AH63" s="509"/>
      <c r="AI63" s="509"/>
      <c r="AJ63" s="509"/>
      <c r="AK63" s="509"/>
      <c r="AL63" s="509"/>
      <c r="AM63" s="509"/>
      <c r="AN63" s="509"/>
      <c r="AO63" s="509"/>
      <c r="AP63" s="509"/>
      <c r="AQ63" s="509"/>
      <c r="AR63" s="509"/>
      <c r="AS63" s="509"/>
      <c r="AT63" s="509"/>
      <c r="AU63" s="509"/>
      <c r="AV63" s="509"/>
      <c r="AW63" s="509"/>
      <c r="AX63" s="509"/>
      <c r="AY63" s="509"/>
      <c r="AZ63" s="509"/>
      <c r="BA63" s="509"/>
      <c r="BB63" s="509"/>
      <c r="BC63" s="509"/>
      <c r="BD63" s="509"/>
      <c r="BE63" s="509"/>
      <c r="BF63" s="509"/>
      <c r="BG63" s="509"/>
      <c r="BH63" s="509"/>
      <c r="BI63" s="509"/>
      <c r="BJ63" s="509"/>
      <c r="BK63" s="509"/>
      <c r="BL63" s="509"/>
      <c r="BM63" s="509"/>
      <c r="BN63" s="509"/>
      <c r="BO63" s="509"/>
      <c r="BP63" s="509"/>
      <c r="BQ63" s="509"/>
      <c r="BR63" s="509"/>
      <c r="BS63" s="509"/>
      <c r="BT63" s="509"/>
      <c r="BU63" s="509"/>
      <c r="BV63" s="509"/>
      <c r="BW63" s="509"/>
      <c r="BX63" s="509"/>
      <c r="BY63" s="509"/>
      <c r="BZ63" s="509"/>
      <c r="CA63" s="509"/>
      <c r="CB63" s="509"/>
      <c r="CC63" s="509"/>
      <c r="CD63" s="509"/>
      <c r="CE63" s="509"/>
      <c r="CF63" s="509"/>
      <c r="CG63" s="509"/>
      <c r="CH63" s="509"/>
      <c r="CI63" s="509"/>
      <c r="CJ63" s="509"/>
      <c r="CK63" s="509"/>
      <c r="CL63" s="509"/>
      <c r="CM63" s="509"/>
      <c r="CN63" s="509"/>
      <c r="CO63" s="509"/>
      <c r="CP63" s="509"/>
      <c r="CQ63" s="509"/>
      <c r="CR63" s="509"/>
      <c r="CS63" s="509"/>
      <c r="CT63" s="509"/>
      <c r="CU63" s="509"/>
      <c r="CV63" s="509"/>
      <c r="CW63" s="509"/>
      <c r="CX63" s="509"/>
      <c r="CY63" s="509"/>
      <c r="CZ63" s="509"/>
      <c r="DA63" s="509"/>
      <c r="DB63" s="509"/>
      <c r="DC63" s="509"/>
      <c r="DD63" s="509"/>
      <c r="DE63" s="509"/>
      <c r="DF63" s="509"/>
      <c r="DG63" s="509"/>
      <c r="DH63" s="509"/>
      <c r="DI63" s="509"/>
      <c r="DJ63" s="509"/>
      <c r="DK63" s="509"/>
      <c r="DL63" s="509"/>
      <c r="DM63" s="509"/>
      <c r="DN63" s="509"/>
      <c r="DO63" s="509"/>
      <c r="DP63" s="509"/>
      <c r="DQ63" s="509"/>
      <c r="DR63" s="509"/>
      <c r="DS63" s="509"/>
      <c r="DT63" s="509"/>
      <c r="DU63" s="509"/>
      <c r="DV63" s="509"/>
      <c r="DW63" s="509"/>
      <c r="DX63" s="509"/>
      <c r="DY63" s="509"/>
      <c r="DZ63" s="509"/>
      <c r="EA63" s="509"/>
      <c r="EB63" s="509"/>
      <c r="EC63" s="509"/>
      <c r="ED63" s="509"/>
      <c r="EE63" s="509"/>
      <c r="EF63" s="509"/>
      <c r="EG63" s="509"/>
      <c r="EH63" s="509"/>
      <c r="EI63" s="509"/>
      <c r="EJ63" s="509"/>
      <c r="EK63" s="509"/>
      <c r="EL63" s="509"/>
      <c r="EM63" s="509"/>
      <c r="EN63" s="509"/>
      <c r="EO63" s="509"/>
      <c r="EP63" s="509"/>
      <c r="EQ63" s="509"/>
      <c r="ER63" s="509"/>
      <c r="ES63" s="509"/>
      <c r="ET63" s="509"/>
      <c r="EU63" s="509"/>
      <c r="EV63" s="509"/>
      <c r="EW63" s="509"/>
      <c r="EX63" s="509"/>
      <c r="EY63" s="509"/>
      <c r="EZ63" s="509"/>
      <c r="FA63" s="509"/>
      <c r="FB63" s="509"/>
      <c r="FC63" s="509"/>
      <c r="FD63" s="509"/>
      <c r="FE63" s="509"/>
      <c r="FF63" s="509"/>
      <c r="FG63" s="509"/>
      <c r="FH63" s="509"/>
      <c r="FI63" s="509"/>
      <c r="FJ63" s="509"/>
      <c r="FK63" s="509"/>
      <c r="FL63" s="509"/>
      <c r="FM63" s="509"/>
      <c r="FN63" s="509"/>
      <c r="FO63" s="509"/>
      <c r="FP63" s="509"/>
      <c r="FQ63" s="509"/>
      <c r="FR63" s="509"/>
      <c r="FS63" s="509"/>
      <c r="FT63" s="509"/>
      <c r="FU63" s="509"/>
      <c r="FV63" s="509"/>
      <c r="FW63" s="509"/>
      <c r="FX63" s="509"/>
      <c r="FY63" s="509"/>
      <c r="FZ63" s="509"/>
      <c r="GA63" s="509"/>
      <c r="GB63" s="509"/>
      <c r="GC63" s="509"/>
      <c r="GD63" s="509"/>
      <c r="GE63" s="509"/>
      <c r="GF63" s="509"/>
      <c r="GG63" s="509"/>
      <c r="GH63" s="509"/>
      <c r="GI63" s="509"/>
      <c r="GJ63" s="509"/>
      <c r="GK63" s="509"/>
      <c r="GL63" s="509"/>
      <c r="GM63" s="509"/>
      <c r="GN63" s="509"/>
      <c r="GO63" s="509"/>
      <c r="GP63" s="509"/>
      <c r="GQ63" s="509"/>
      <c r="GR63" s="509"/>
      <c r="GS63" s="509"/>
      <c r="GT63" s="509"/>
      <c r="GU63" s="509"/>
      <c r="GV63" s="509"/>
      <c r="GW63" s="509"/>
      <c r="GX63" s="509"/>
      <c r="GY63" s="509"/>
      <c r="GZ63" s="509"/>
      <c r="HA63" s="509"/>
      <c r="HB63" s="509"/>
      <c r="HC63" s="509"/>
      <c r="HD63" s="509"/>
      <c r="HE63" s="509"/>
      <c r="HF63" s="509"/>
      <c r="HG63" s="509"/>
      <c r="HH63" s="509"/>
      <c r="HI63" s="509"/>
      <c r="HJ63" s="509"/>
      <c r="HK63" s="509"/>
      <c r="HL63" s="509"/>
      <c r="HM63" s="509"/>
      <c r="HN63" s="509"/>
      <c r="HO63" s="509"/>
      <c r="HP63" s="509"/>
      <c r="HQ63" s="509"/>
      <c r="HR63" s="509"/>
      <c r="HS63" s="509"/>
      <c r="HT63" s="509"/>
      <c r="HU63" s="509"/>
      <c r="HV63" s="509"/>
      <c r="HW63" s="509"/>
      <c r="HX63" s="509"/>
      <c r="HY63" s="509"/>
      <c r="HZ63" s="509"/>
      <c r="IA63" s="509"/>
      <c r="IB63" s="509"/>
      <c r="IC63" s="509"/>
    </row>
    <row r="64" s="508" customFormat="1" customHeight="1" spans="1:237">
      <c r="A64" s="524" t="s">
        <v>265</v>
      </c>
      <c r="B64" s="94" t="s">
        <v>266</v>
      </c>
      <c r="C64" s="94" t="s">
        <v>13</v>
      </c>
      <c r="D64" s="94" t="s">
        <v>125</v>
      </c>
      <c r="E64" s="521" t="s">
        <v>267</v>
      </c>
      <c r="F64" s="521" t="s">
        <v>268</v>
      </c>
      <c r="G64" s="513">
        <v>619449</v>
      </c>
      <c r="H64" s="519" t="s">
        <v>269</v>
      </c>
      <c r="I64" s="519" t="s">
        <v>270</v>
      </c>
      <c r="J64" s="94">
        <v>628308</v>
      </c>
      <c r="K64" s="94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09"/>
      <c r="AB64" s="509"/>
      <c r="AC64" s="509"/>
      <c r="AD64" s="509"/>
      <c r="AE64" s="509"/>
      <c r="AF64" s="509"/>
      <c r="AG64" s="509"/>
      <c r="AH64" s="509"/>
      <c r="AI64" s="509"/>
      <c r="AJ64" s="509"/>
      <c r="AK64" s="509"/>
      <c r="AL64" s="509"/>
      <c r="AM64" s="509"/>
      <c r="AN64" s="509"/>
      <c r="AO64" s="509"/>
      <c r="AP64" s="509"/>
      <c r="AQ64" s="509"/>
      <c r="AR64" s="509"/>
      <c r="AS64" s="509"/>
      <c r="AT64" s="509"/>
      <c r="AU64" s="509"/>
      <c r="AV64" s="509"/>
      <c r="AW64" s="509"/>
      <c r="AX64" s="509"/>
      <c r="AY64" s="509"/>
      <c r="AZ64" s="509"/>
      <c r="BA64" s="509"/>
      <c r="BB64" s="509"/>
      <c r="BC64" s="509"/>
      <c r="BD64" s="509"/>
      <c r="BE64" s="509"/>
      <c r="BF64" s="509"/>
      <c r="BG64" s="509"/>
      <c r="BH64" s="509"/>
      <c r="BI64" s="509"/>
      <c r="BJ64" s="509"/>
      <c r="BK64" s="509"/>
      <c r="BL64" s="509"/>
      <c r="BM64" s="509"/>
      <c r="BN64" s="509"/>
      <c r="BO64" s="509"/>
      <c r="BP64" s="509"/>
      <c r="BQ64" s="509"/>
      <c r="BR64" s="509"/>
      <c r="BS64" s="509"/>
      <c r="BT64" s="509"/>
      <c r="BU64" s="509"/>
      <c r="BV64" s="509"/>
      <c r="BW64" s="509"/>
      <c r="BX64" s="509"/>
      <c r="BY64" s="509"/>
      <c r="BZ64" s="509"/>
      <c r="CA64" s="509"/>
      <c r="CB64" s="509"/>
      <c r="CC64" s="509"/>
      <c r="CD64" s="509"/>
      <c r="CE64" s="509"/>
      <c r="CF64" s="509"/>
      <c r="CG64" s="509"/>
      <c r="CH64" s="509"/>
      <c r="CI64" s="509"/>
      <c r="CJ64" s="509"/>
      <c r="CK64" s="509"/>
      <c r="CL64" s="509"/>
      <c r="CM64" s="509"/>
      <c r="CN64" s="509"/>
      <c r="CO64" s="509"/>
      <c r="CP64" s="509"/>
      <c r="CQ64" s="509"/>
      <c r="CR64" s="509"/>
      <c r="CS64" s="509"/>
      <c r="CT64" s="509"/>
      <c r="CU64" s="509"/>
      <c r="CV64" s="509"/>
      <c r="CW64" s="509"/>
      <c r="CX64" s="509"/>
      <c r="CY64" s="509"/>
      <c r="CZ64" s="509"/>
      <c r="DA64" s="509"/>
      <c r="DB64" s="509"/>
      <c r="DC64" s="509"/>
      <c r="DD64" s="509"/>
      <c r="DE64" s="509"/>
      <c r="DF64" s="509"/>
      <c r="DG64" s="509"/>
      <c r="DH64" s="509"/>
      <c r="DI64" s="509"/>
      <c r="DJ64" s="509"/>
      <c r="DK64" s="509"/>
      <c r="DL64" s="509"/>
      <c r="DM64" s="509"/>
      <c r="DN64" s="509"/>
      <c r="DO64" s="509"/>
      <c r="DP64" s="509"/>
      <c r="DQ64" s="509"/>
      <c r="DR64" s="509"/>
      <c r="DS64" s="509"/>
      <c r="DT64" s="509"/>
      <c r="DU64" s="509"/>
      <c r="DV64" s="509"/>
      <c r="DW64" s="509"/>
      <c r="DX64" s="509"/>
      <c r="DY64" s="509"/>
      <c r="DZ64" s="509"/>
      <c r="EA64" s="509"/>
      <c r="EB64" s="509"/>
      <c r="EC64" s="509"/>
      <c r="ED64" s="509"/>
      <c r="EE64" s="509"/>
      <c r="EF64" s="509"/>
      <c r="EG64" s="509"/>
      <c r="EH64" s="509"/>
      <c r="EI64" s="509"/>
      <c r="EJ64" s="509"/>
      <c r="EK64" s="509"/>
      <c r="EL64" s="509"/>
      <c r="EM64" s="509"/>
      <c r="EN64" s="509"/>
      <c r="EO64" s="509"/>
      <c r="EP64" s="509"/>
      <c r="EQ64" s="509"/>
      <c r="ER64" s="509"/>
      <c r="ES64" s="509"/>
      <c r="ET64" s="509"/>
      <c r="EU64" s="509"/>
      <c r="EV64" s="509"/>
      <c r="EW64" s="509"/>
      <c r="EX64" s="509"/>
      <c r="EY64" s="509"/>
      <c r="EZ64" s="509"/>
      <c r="FA64" s="509"/>
      <c r="FB64" s="509"/>
      <c r="FC64" s="509"/>
      <c r="FD64" s="509"/>
      <c r="FE64" s="509"/>
      <c r="FF64" s="509"/>
      <c r="FG64" s="509"/>
      <c r="FH64" s="509"/>
      <c r="FI64" s="509"/>
      <c r="FJ64" s="509"/>
      <c r="FK64" s="509"/>
      <c r="FL64" s="509"/>
      <c r="FM64" s="509"/>
      <c r="FN64" s="509"/>
      <c r="FO64" s="509"/>
      <c r="FP64" s="509"/>
      <c r="FQ64" s="509"/>
      <c r="FR64" s="509"/>
      <c r="FS64" s="509"/>
      <c r="FT64" s="509"/>
      <c r="FU64" s="509"/>
      <c r="FV64" s="509"/>
      <c r="FW64" s="509"/>
      <c r="FX64" s="509"/>
      <c r="FY64" s="509"/>
      <c r="FZ64" s="509"/>
      <c r="GA64" s="509"/>
      <c r="GB64" s="509"/>
      <c r="GC64" s="509"/>
      <c r="GD64" s="509"/>
      <c r="GE64" s="509"/>
      <c r="GF64" s="509"/>
      <c r="GG64" s="509"/>
      <c r="GH64" s="509"/>
      <c r="GI64" s="509"/>
      <c r="GJ64" s="509"/>
      <c r="GK64" s="509"/>
      <c r="GL64" s="509"/>
      <c r="GM64" s="509"/>
      <c r="GN64" s="509"/>
      <c r="GO64" s="509"/>
      <c r="GP64" s="509"/>
      <c r="GQ64" s="509"/>
      <c r="GR64" s="509"/>
      <c r="GS64" s="509"/>
      <c r="GT64" s="509"/>
      <c r="GU64" s="509"/>
      <c r="GV64" s="509"/>
      <c r="GW64" s="509"/>
      <c r="GX64" s="509"/>
      <c r="GY64" s="509"/>
      <c r="GZ64" s="509"/>
      <c r="HA64" s="509"/>
      <c r="HB64" s="509"/>
      <c r="HC64" s="509"/>
      <c r="HD64" s="509"/>
      <c r="HE64" s="509"/>
      <c r="HF64" s="509"/>
      <c r="HG64" s="509"/>
      <c r="HH64" s="509"/>
      <c r="HI64" s="509"/>
      <c r="HJ64" s="509"/>
      <c r="HK64" s="509"/>
      <c r="HL64" s="509"/>
      <c r="HM64" s="509"/>
      <c r="HN64" s="509"/>
      <c r="HO64" s="509"/>
      <c r="HP64" s="509"/>
      <c r="HQ64" s="509"/>
      <c r="HR64" s="509"/>
      <c r="HS64" s="509"/>
      <c r="HT64" s="509"/>
      <c r="HU64" s="509"/>
      <c r="HV64" s="509"/>
      <c r="HW64" s="509"/>
      <c r="HX64" s="509"/>
      <c r="HY64" s="509"/>
      <c r="HZ64" s="509"/>
      <c r="IA64" s="509"/>
      <c r="IB64" s="509"/>
      <c r="IC64" s="509"/>
    </row>
    <row r="65" s="508" customFormat="1" customHeight="1" spans="1:248">
      <c r="A65" s="524" t="s">
        <v>271</v>
      </c>
      <c r="B65" s="94" t="s">
        <v>272</v>
      </c>
      <c r="C65" s="94" t="s">
        <v>13</v>
      </c>
      <c r="D65" s="94" t="s">
        <v>167</v>
      </c>
      <c r="E65" s="513" t="s">
        <v>273</v>
      </c>
      <c r="F65" s="513">
        <v>13729644466</v>
      </c>
      <c r="G65" s="513">
        <v>664466</v>
      </c>
      <c r="H65" s="519" t="s">
        <v>274</v>
      </c>
      <c r="I65" s="519" t="s">
        <v>275</v>
      </c>
      <c r="J65" s="94">
        <v>658840</v>
      </c>
      <c r="K65" s="94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09"/>
      <c r="AB65" s="509"/>
      <c r="AC65" s="509"/>
      <c r="AD65" s="509"/>
      <c r="AE65" s="509"/>
      <c r="AF65" s="509"/>
      <c r="AG65" s="509"/>
      <c r="AH65" s="509"/>
      <c r="AI65" s="509"/>
      <c r="AJ65" s="509"/>
      <c r="AK65" s="509"/>
      <c r="AL65" s="509"/>
      <c r="AM65" s="509"/>
      <c r="AN65" s="509"/>
      <c r="AO65" s="509"/>
      <c r="AP65" s="509"/>
      <c r="AQ65" s="509"/>
      <c r="AR65" s="509"/>
      <c r="AS65" s="509"/>
      <c r="AT65" s="509"/>
      <c r="AU65" s="509"/>
      <c r="AV65" s="509"/>
      <c r="AW65" s="509"/>
      <c r="AX65" s="509"/>
      <c r="AY65" s="509"/>
      <c r="AZ65" s="509"/>
      <c r="BA65" s="509"/>
      <c r="BB65" s="509"/>
      <c r="BC65" s="509"/>
      <c r="BD65" s="509"/>
      <c r="BE65" s="509"/>
      <c r="BF65" s="509"/>
      <c r="BG65" s="509"/>
      <c r="BH65" s="509"/>
      <c r="BI65" s="509"/>
      <c r="BJ65" s="509"/>
      <c r="BK65" s="509"/>
      <c r="BL65" s="509"/>
      <c r="BM65" s="509"/>
      <c r="BN65" s="509"/>
      <c r="BO65" s="509"/>
      <c r="BP65" s="509"/>
      <c r="BQ65" s="509"/>
      <c r="BR65" s="509"/>
      <c r="BS65" s="509"/>
      <c r="BT65" s="509"/>
      <c r="BU65" s="509"/>
      <c r="BV65" s="509"/>
      <c r="BW65" s="509"/>
      <c r="BX65" s="509"/>
      <c r="BY65" s="509"/>
      <c r="BZ65" s="509"/>
      <c r="CA65" s="509"/>
      <c r="CB65" s="509"/>
      <c r="CC65" s="509"/>
      <c r="CD65" s="509"/>
      <c r="CE65" s="509"/>
      <c r="CF65" s="509"/>
      <c r="CG65" s="509"/>
      <c r="CH65" s="509"/>
      <c r="CI65" s="509"/>
      <c r="CJ65" s="509"/>
      <c r="CK65" s="509"/>
      <c r="CL65" s="509"/>
      <c r="CM65" s="509"/>
      <c r="CN65" s="509"/>
      <c r="CO65" s="509"/>
      <c r="CP65" s="509"/>
      <c r="CQ65" s="509"/>
      <c r="CR65" s="509"/>
      <c r="CS65" s="509"/>
      <c r="CT65" s="509"/>
      <c r="CU65" s="509"/>
      <c r="CV65" s="509"/>
      <c r="CW65" s="509"/>
      <c r="CX65" s="509"/>
      <c r="CY65" s="509"/>
      <c r="CZ65" s="509"/>
      <c r="DA65" s="509"/>
      <c r="DB65" s="509"/>
      <c r="DC65" s="509"/>
      <c r="DD65" s="509"/>
      <c r="DE65" s="509"/>
      <c r="DF65" s="509"/>
      <c r="DG65" s="509"/>
      <c r="DH65" s="509"/>
      <c r="DI65" s="509"/>
      <c r="DJ65" s="509"/>
      <c r="DK65" s="509"/>
      <c r="DL65" s="509"/>
      <c r="DM65" s="509"/>
      <c r="DN65" s="509"/>
      <c r="DO65" s="509"/>
      <c r="DP65" s="509"/>
      <c r="DQ65" s="509"/>
      <c r="DR65" s="509"/>
      <c r="DS65" s="509"/>
      <c r="DT65" s="509"/>
      <c r="DU65" s="509"/>
      <c r="DV65" s="509"/>
      <c r="DW65" s="509"/>
      <c r="DX65" s="509"/>
      <c r="DY65" s="509"/>
      <c r="DZ65" s="509"/>
      <c r="EA65" s="509"/>
      <c r="EB65" s="509"/>
      <c r="EC65" s="509"/>
      <c r="ED65" s="509"/>
      <c r="EE65" s="509"/>
      <c r="EF65" s="509"/>
      <c r="EG65" s="509"/>
      <c r="EH65" s="509"/>
      <c r="EI65" s="509"/>
      <c r="EJ65" s="509"/>
      <c r="EK65" s="509"/>
      <c r="EL65" s="509"/>
      <c r="EM65" s="509"/>
      <c r="EN65" s="509"/>
      <c r="EO65" s="509"/>
      <c r="EP65" s="509"/>
      <c r="EQ65" s="509"/>
      <c r="ER65" s="509"/>
      <c r="ES65" s="509"/>
      <c r="ET65" s="509"/>
      <c r="EU65" s="509"/>
      <c r="EV65" s="509"/>
      <c r="EW65" s="509"/>
      <c r="EX65" s="509"/>
      <c r="EY65" s="509"/>
      <c r="EZ65" s="509"/>
      <c r="FA65" s="509"/>
      <c r="FB65" s="509"/>
      <c r="FC65" s="509"/>
      <c r="FD65" s="509"/>
      <c r="FE65" s="509"/>
      <c r="FF65" s="509"/>
      <c r="FG65" s="509"/>
      <c r="FH65" s="509"/>
      <c r="FI65" s="509"/>
      <c r="FJ65" s="509"/>
      <c r="FK65" s="509"/>
      <c r="FL65" s="509"/>
      <c r="FM65" s="509"/>
      <c r="FN65" s="509"/>
      <c r="FO65" s="509"/>
      <c r="FP65" s="509"/>
      <c r="FQ65" s="509"/>
      <c r="FR65" s="509"/>
      <c r="FS65" s="509"/>
      <c r="FT65" s="509"/>
      <c r="FU65" s="509"/>
      <c r="FV65" s="509"/>
      <c r="FW65" s="509"/>
      <c r="FX65" s="509"/>
      <c r="FY65" s="509"/>
      <c r="FZ65" s="509"/>
      <c r="GA65" s="509"/>
      <c r="GB65" s="509"/>
      <c r="GC65" s="509"/>
      <c r="GD65" s="509"/>
      <c r="GE65" s="509"/>
      <c r="GF65" s="509"/>
      <c r="GG65" s="509"/>
      <c r="GH65" s="509"/>
      <c r="GI65" s="509"/>
      <c r="GJ65" s="509"/>
      <c r="GK65" s="509"/>
      <c r="GL65" s="509"/>
      <c r="GM65" s="509"/>
      <c r="GN65" s="509"/>
      <c r="GO65" s="509"/>
      <c r="GP65" s="509"/>
      <c r="GQ65" s="509"/>
      <c r="GR65" s="509"/>
      <c r="GS65" s="509"/>
      <c r="GT65" s="509"/>
      <c r="GU65" s="509"/>
      <c r="GV65" s="509"/>
      <c r="GW65" s="509"/>
      <c r="GX65" s="509"/>
      <c r="GY65" s="509"/>
      <c r="GZ65" s="509"/>
      <c r="HA65" s="509"/>
      <c r="HB65" s="509"/>
      <c r="HC65" s="509"/>
      <c r="HD65" s="509"/>
      <c r="HE65" s="509"/>
      <c r="HF65" s="509"/>
      <c r="HG65" s="509"/>
      <c r="HH65" s="509"/>
      <c r="HI65" s="509"/>
      <c r="HJ65" s="509"/>
      <c r="HK65" s="509"/>
      <c r="HL65" s="509"/>
      <c r="HM65" s="509"/>
      <c r="HN65" s="509"/>
      <c r="HO65" s="509"/>
      <c r="HP65" s="509"/>
      <c r="HQ65" s="509"/>
      <c r="HR65" s="509"/>
      <c r="HS65" s="509"/>
      <c r="HT65" s="509"/>
      <c r="HU65" s="509"/>
      <c r="HV65" s="509"/>
      <c r="HW65" s="509"/>
      <c r="HX65" s="509"/>
      <c r="HY65" s="509"/>
      <c r="HZ65" s="509"/>
      <c r="IA65" s="509"/>
      <c r="IB65" s="509"/>
      <c r="IC65" s="509"/>
    </row>
    <row r="66" s="508" customFormat="1" customHeight="1" spans="1:248">
      <c r="A66" s="524" t="s">
        <v>276</v>
      </c>
      <c r="B66" s="94" t="s">
        <v>277</v>
      </c>
      <c r="C66" s="94" t="s">
        <v>13</v>
      </c>
      <c r="D66" s="94" t="s">
        <v>167</v>
      </c>
      <c r="E66" s="521" t="s">
        <v>278</v>
      </c>
      <c r="F66" s="521" t="s">
        <v>279</v>
      </c>
      <c r="G66" s="513">
        <v>684927</v>
      </c>
      <c r="H66" s="521" t="s">
        <v>278</v>
      </c>
      <c r="I66" s="521" t="s">
        <v>279</v>
      </c>
      <c r="J66" s="513">
        <v>684927</v>
      </c>
      <c r="K66" s="94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09"/>
      <c r="AB66" s="509"/>
      <c r="AC66" s="509"/>
      <c r="AD66" s="509"/>
      <c r="AE66" s="509"/>
      <c r="AF66" s="509"/>
      <c r="AG66" s="509"/>
      <c r="AH66" s="509"/>
      <c r="AI66" s="509"/>
      <c r="AJ66" s="509"/>
      <c r="AK66" s="509"/>
      <c r="AL66" s="509"/>
      <c r="AM66" s="509"/>
      <c r="AN66" s="509"/>
      <c r="AO66" s="509"/>
      <c r="AP66" s="509"/>
      <c r="AQ66" s="509"/>
      <c r="AR66" s="509"/>
      <c r="AS66" s="509"/>
      <c r="AT66" s="509"/>
      <c r="AU66" s="509"/>
      <c r="AV66" s="509"/>
      <c r="AW66" s="509"/>
      <c r="AX66" s="509"/>
      <c r="AY66" s="509"/>
      <c r="AZ66" s="509"/>
      <c r="BA66" s="509"/>
      <c r="BB66" s="509"/>
      <c r="BC66" s="509"/>
      <c r="BD66" s="509"/>
      <c r="BE66" s="509"/>
      <c r="BF66" s="509"/>
      <c r="BG66" s="509"/>
      <c r="BH66" s="509"/>
      <c r="BI66" s="509"/>
      <c r="BJ66" s="509"/>
      <c r="BK66" s="509"/>
      <c r="BL66" s="509"/>
      <c r="BM66" s="509"/>
      <c r="BN66" s="509"/>
      <c r="BO66" s="509"/>
      <c r="BP66" s="509"/>
      <c r="BQ66" s="509"/>
      <c r="BR66" s="509"/>
      <c r="BS66" s="509"/>
      <c r="BT66" s="509"/>
      <c r="BU66" s="509"/>
      <c r="BV66" s="509"/>
      <c r="BW66" s="509"/>
      <c r="BX66" s="509"/>
      <c r="BY66" s="509"/>
      <c r="BZ66" s="509"/>
      <c r="CA66" s="509"/>
      <c r="CB66" s="509"/>
      <c r="CC66" s="509"/>
      <c r="CD66" s="509"/>
      <c r="CE66" s="509"/>
      <c r="CF66" s="509"/>
      <c r="CG66" s="509"/>
      <c r="CH66" s="509"/>
      <c r="CI66" s="509"/>
      <c r="CJ66" s="509"/>
      <c r="CK66" s="509"/>
      <c r="CL66" s="509"/>
      <c r="CM66" s="509"/>
      <c r="CN66" s="509"/>
      <c r="CO66" s="509"/>
      <c r="CP66" s="509"/>
      <c r="CQ66" s="509"/>
      <c r="CR66" s="509"/>
      <c r="CS66" s="509"/>
      <c r="CT66" s="509"/>
      <c r="CU66" s="509"/>
      <c r="CV66" s="509"/>
      <c r="CW66" s="509"/>
      <c r="CX66" s="509"/>
      <c r="CY66" s="509"/>
      <c r="CZ66" s="509"/>
      <c r="DA66" s="509"/>
      <c r="DB66" s="509"/>
      <c r="DC66" s="509"/>
      <c r="DD66" s="509"/>
      <c r="DE66" s="509"/>
      <c r="DF66" s="509"/>
      <c r="DG66" s="509"/>
      <c r="DH66" s="509"/>
      <c r="DI66" s="509"/>
      <c r="DJ66" s="509"/>
      <c r="DK66" s="509"/>
      <c r="DL66" s="509"/>
      <c r="DM66" s="509"/>
      <c r="DN66" s="509"/>
      <c r="DO66" s="509"/>
      <c r="DP66" s="509"/>
      <c r="DQ66" s="509"/>
      <c r="DR66" s="509"/>
      <c r="DS66" s="509"/>
      <c r="DT66" s="509"/>
      <c r="DU66" s="509"/>
      <c r="DV66" s="509"/>
      <c r="DW66" s="509"/>
      <c r="DX66" s="509"/>
      <c r="DY66" s="509"/>
      <c r="DZ66" s="509"/>
      <c r="EA66" s="509"/>
      <c r="EB66" s="509"/>
      <c r="EC66" s="509"/>
      <c r="ED66" s="509"/>
      <c r="EE66" s="509"/>
      <c r="EF66" s="509"/>
      <c r="EG66" s="509"/>
      <c r="EH66" s="509"/>
      <c r="EI66" s="509"/>
      <c r="EJ66" s="509"/>
      <c r="EK66" s="509"/>
      <c r="EL66" s="509"/>
      <c r="EM66" s="509"/>
      <c r="EN66" s="509"/>
      <c r="EO66" s="509"/>
      <c r="EP66" s="509"/>
      <c r="EQ66" s="509"/>
      <c r="ER66" s="509"/>
      <c r="ES66" s="509"/>
      <c r="ET66" s="509"/>
      <c r="EU66" s="509"/>
      <c r="EV66" s="509"/>
      <c r="EW66" s="509"/>
      <c r="EX66" s="509"/>
      <c r="EY66" s="509"/>
      <c r="EZ66" s="509"/>
      <c r="FA66" s="509"/>
      <c r="FB66" s="509"/>
      <c r="FC66" s="509"/>
      <c r="FD66" s="509"/>
      <c r="FE66" s="509"/>
      <c r="FF66" s="509"/>
      <c r="FG66" s="509"/>
      <c r="FH66" s="509"/>
      <c r="FI66" s="509"/>
      <c r="FJ66" s="509"/>
      <c r="FK66" s="509"/>
      <c r="FL66" s="509"/>
      <c r="FM66" s="509"/>
      <c r="FN66" s="509"/>
      <c r="FO66" s="509"/>
      <c r="FP66" s="509"/>
      <c r="FQ66" s="509"/>
      <c r="FR66" s="509"/>
      <c r="FS66" s="509"/>
      <c r="FT66" s="509"/>
      <c r="FU66" s="509"/>
      <c r="FV66" s="509"/>
      <c r="FW66" s="509"/>
      <c r="FX66" s="509"/>
      <c r="FY66" s="509"/>
      <c r="FZ66" s="509"/>
      <c r="GA66" s="509"/>
      <c r="GB66" s="509"/>
      <c r="GC66" s="509"/>
      <c r="GD66" s="509"/>
      <c r="GE66" s="509"/>
      <c r="GF66" s="509"/>
      <c r="GG66" s="509"/>
      <c r="GH66" s="509"/>
      <c r="GI66" s="509"/>
      <c r="GJ66" s="509"/>
      <c r="GK66" s="509"/>
      <c r="GL66" s="509"/>
      <c r="GM66" s="509"/>
      <c r="GN66" s="509"/>
      <c r="GO66" s="509"/>
      <c r="GP66" s="509"/>
      <c r="GQ66" s="509"/>
      <c r="GR66" s="509"/>
      <c r="GS66" s="509"/>
      <c r="GT66" s="509"/>
      <c r="GU66" s="509"/>
      <c r="GV66" s="509"/>
      <c r="GW66" s="509"/>
      <c r="GX66" s="509"/>
      <c r="GY66" s="509"/>
      <c r="GZ66" s="509"/>
      <c r="HA66" s="509"/>
      <c r="HB66" s="509"/>
      <c r="HC66" s="509"/>
      <c r="HD66" s="509"/>
      <c r="HE66" s="509"/>
      <c r="HF66" s="509"/>
      <c r="HG66" s="509"/>
      <c r="HH66" s="509"/>
      <c r="HI66" s="509"/>
      <c r="HJ66" s="509"/>
      <c r="HK66" s="509"/>
      <c r="HL66" s="509"/>
      <c r="HM66" s="509"/>
      <c r="HN66" s="509"/>
      <c r="HO66" s="509"/>
      <c r="HP66" s="509"/>
      <c r="HQ66" s="509"/>
      <c r="HR66" s="509"/>
      <c r="HS66" s="509"/>
      <c r="HT66" s="509"/>
      <c r="HU66" s="509"/>
      <c r="HV66" s="509"/>
      <c r="HW66" s="509"/>
      <c r="HX66" s="509"/>
      <c r="HY66" s="509"/>
      <c r="HZ66" s="509"/>
      <c r="IA66" s="509"/>
      <c r="IB66" s="509"/>
      <c r="IC66" s="509"/>
    </row>
    <row r="67" s="508" customFormat="1" customHeight="1" spans="1:248">
      <c r="A67" s="524" t="s">
        <v>280</v>
      </c>
      <c r="B67" s="94" t="s">
        <v>281</v>
      </c>
      <c r="C67" s="94" t="s">
        <v>13</v>
      </c>
      <c r="D67" s="94" t="s">
        <v>120</v>
      </c>
      <c r="E67" s="513" t="s">
        <v>282</v>
      </c>
      <c r="F67" s="513">
        <v>13828525988</v>
      </c>
      <c r="G67" s="513">
        <v>6988</v>
      </c>
      <c r="H67" s="513" t="s">
        <v>282</v>
      </c>
      <c r="I67" s="513">
        <v>13828525988</v>
      </c>
      <c r="J67" s="513">
        <v>6988</v>
      </c>
      <c r="K67" s="94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  <c r="AA67" s="509"/>
      <c r="AB67" s="509"/>
      <c r="AC67" s="509"/>
      <c r="AD67" s="509"/>
      <c r="AE67" s="509"/>
      <c r="AF67" s="509"/>
      <c r="AG67" s="509"/>
      <c r="AH67" s="509"/>
      <c r="AI67" s="509"/>
      <c r="AJ67" s="509"/>
      <c r="AK67" s="509"/>
      <c r="AL67" s="509"/>
      <c r="AM67" s="509"/>
      <c r="AN67" s="509"/>
      <c r="AO67" s="509"/>
      <c r="AP67" s="509"/>
      <c r="AQ67" s="509"/>
      <c r="AR67" s="509"/>
      <c r="AS67" s="509"/>
      <c r="AT67" s="509"/>
      <c r="AU67" s="509"/>
      <c r="AV67" s="509"/>
      <c r="AW67" s="509"/>
      <c r="AX67" s="509"/>
      <c r="AY67" s="509"/>
      <c r="AZ67" s="509"/>
      <c r="BA67" s="509"/>
      <c r="BB67" s="509"/>
      <c r="BC67" s="509"/>
      <c r="BD67" s="509"/>
      <c r="BE67" s="509"/>
      <c r="BF67" s="509"/>
      <c r="BG67" s="509"/>
      <c r="BH67" s="509"/>
      <c r="BI67" s="509"/>
      <c r="BJ67" s="509"/>
      <c r="BK67" s="509"/>
      <c r="BL67" s="509"/>
      <c r="BM67" s="509"/>
      <c r="BN67" s="509"/>
      <c r="BO67" s="509"/>
      <c r="BP67" s="509"/>
      <c r="BQ67" s="509"/>
      <c r="BR67" s="509"/>
      <c r="BS67" s="509"/>
      <c r="BT67" s="509"/>
      <c r="BU67" s="509"/>
      <c r="BV67" s="509"/>
      <c r="BW67" s="509"/>
      <c r="BX67" s="509"/>
      <c r="BY67" s="509"/>
      <c r="BZ67" s="509"/>
      <c r="CA67" s="509"/>
      <c r="CB67" s="509"/>
      <c r="CC67" s="509"/>
      <c r="CD67" s="509"/>
      <c r="CE67" s="509"/>
      <c r="CF67" s="509"/>
      <c r="CG67" s="509"/>
      <c r="CH67" s="509"/>
      <c r="CI67" s="509"/>
      <c r="CJ67" s="509"/>
      <c r="CK67" s="509"/>
      <c r="CL67" s="509"/>
      <c r="CM67" s="509"/>
      <c r="CN67" s="509"/>
      <c r="CO67" s="509"/>
      <c r="CP67" s="509"/>
      <c r="CQ67" s="509"/>
      <c r="CR67" s="509"/>
      <c r="CS67" s="509"/>
      <c r="CT67" s="509"/>
      <c r="CU67" s="509"/>
      <c r="CV67" s="509"/>
      <c r="CW67" s="509"/>
      <c r="CX67" s="509"/>
      <c r="CY67" s="509"/>
      <c r="CZ67" s="509"/>
      <c r="DA67" s="509"/>
      <c r="DB67" s="509"/>
      <c r="DC67" s="509"/>
      <c r="DD67" s="509"/>
      <c r="DE67" s="509"/>
      <c r="DF67" s="509"/>
      <c r="DG67" s="509"/>
      <c r="DH67" s="509"/>
      <c r="DI67" s="509"/>
      <c r="DJ67" s="509"/>
      <c r="DK67" s="509"/>
      <c r="DL67" s="509"/>
      <c r="DM67" s="509"/>
      <c r="DN67" s="509"/>
      <c r="DO67" s="509"/>
      <c r="DP67" s="509"/>
      <c r="DQ67" s="509"/>
      <c r="DR67" s="509"/>
      <c r="DS67" s="509"/>
      <c r="DT67" s="509"/>
      <c r="DU67" s="509"/>
      <c r="DV67" s="509"/>
      <c r="DW67" s="509"/>
      <c r="DX67" s="509"/>
      <c r="DY67" s="509"/>
      <c r="DZ67" s="509"/>
      <c r="EA67" s="509"/>
      <c r="EB67" s="509"/>
      <c r="EC67" s="509"/>
      <c r="ED67" s="509"/>
      <c r="EE67" s="509"/>
      <c r="EF67" s="509"/>
      <c r="EG67" s="509"/>
      <c r="EH67" s="509"/>
      <c r="EI67" s="509"/>
      <c r="EJ67" s="509"/>
      <c r="EK67" s="509"/>
      <c r="EL67" s="509"/>
      <c r="EM67" s="509"/>
      <c r="EN67" s="509"/>
      <c r="EO67" s="509"/>
      <c r="EP67" s="509"/>
      <c r="EQ67" s="509"/>
      <c r="ER67" s="509"/>
      <c r="ES67" s="509"/>
      <c r="ET67" s="509"/>
      <c r="EU67" s="509"/>
      <c r="EV67" s="509"/>
      <c r="EW67" s="509"/>
      <c r="EX67" s="509"/>
      <c r="EY67" s="509"/>
      <c r="EZ67" s="509"/>
      <c r="FA67" s="509"/>
      <c r="FB67" s="509"/>
      <c r="FC67" s="509"/>
      <c r="FD67" s="509"/>
      <c r="FE67" s="509"/>
      <c r="FF67" s="509"/>
      <c r="FG67" s="509"/>
      <c r="FH67" s="509"/>
      <c r="FI67" s="509"/>
      <c r="FJ67" s="509"/>
      <c r="FK67" s="509"/>
      <c r="FL67" s="509"/>
      <c r="FM67" s="509"/>
      <c r="FN67" s="509"/>
      <c r="FO67" s="509"/>
      <c r="FP67" s="509"/>
      <c r="FQ67" s="509"/>
      <c r="FR67" s="509"/>
      <c r="FS67" s="509"/>
      <c r="FT67" s="509"/>
      <c r="FU67" s="509"/>
      <c r="FV67" s="509"/>
      <c r="FW67" s="509"/>
      <c r="FX67" s="509"/>
      <c r="FY67" s="509"/>
      <c r="FZ67" s="509"/>
      <c r="GA67" s="509"/>
      <c r="GB67" s="509"/>
      <c r="GC67" s="509"/>
      <c r="GD67" s="509"/>
      <c r="GE67" s="509"/>
      <c r="GF67" s="509"/>
      <c r="GG67" s="509"/>
      <c r="GH67" s="509"/>
      <c r="GI67" s="509"/>
      <c r="GJ67" s="509"/>
      <c r="GK67" s="509"/>
      <c r="GL67" s="509"/>
      <c r="GM67" s="509"/>
      <c r="GN67" s="509"/>
      <c r="GO67" s="509"/>
      <c r="GP67" s="509"/>
      <c r="GQ67" s="509"/>
      <c r="GR67" s="509"/>
      <c r="GS67" s="509"/>
      <c r="GT67" s="509"/>
      <c r="GU67" s="509"/>
      <c r="GV67" s="509"/>
      <c r="GW67" s="509"/>
      <c r="GX67" s="509"/>
      <c r="GY67" s="509"/>
      <c r="GZ67" s="509"/>
      <c r="HA67" s="509"/>
      <c r="HB67" s="509"/>
      <c r="HC67" s="509"/>
      <c r="HD67" s="509"/>
      <c r="HE67" s="509"/>
      <c r="HF67" s="509"/>
      <c r="HG67" s="509"/>
      <c r="HH67" s="509"/>
      <c r="HI67" s="509"/>
      <c r="HJ67" s="509"/>
      <c r="HK67" s="509"/>
      <c r="HL67" s="509"/>
      <c r="HM67" s="509"/>
      <c r="HN67" s="509"/>
      <c r="HO67" s="509"/>
      <c r="HP67" s="509"/>
      <c r="HQ67" s="509"/>
      <c r="HR67" s="509"/>
      <c r="HS67" s="509"/>
      <c r="HT67" s="509"/>
      <c r="HU67" s="509"/>
      <c r="HV67" s="509"/>
      <c r="HW67" s="509"/>
      <c r="HX67" s="509"/>
      <c r="HY67" s="509"/>
      <c r="HZ67" s="509"/>
      <c r="IA67" s="509"/>
      <c r="IB67" s="509"/>
      <c r="IC67" s="509"/>
    </row>
    <row r="68" s="508" customFormat="1" customHeight="1" spans="1:248">
      <c r="A68" s="524" t="s">
        <v>283</v>
      </c>
      <c r="B68" s="94" t="s">
        <v>284</v>
      </c>
      <c r="C68" s="94" t="s">
        <v>13</v>
      </c>
      <c r="D68" s="94" t="s">
        <v>120</v>
      </c>
      <c r="E68" s="94" t="s">
        <v>285</v>
      </c>
      <c r="F68" s="94">
        <v>13620584097</v>
      </c>
      <c r="G68" s="94">
        <v>684097</v>
      </c>
      <c r="H68" s="94" t="s">
        <v>285</v>
      </c>
      <c r="I68" s="94">
        <v>13620584097</v>
      </c>
      <c r="J68" s="94">
        <v>684097</v>
      </c>
      <c r="K68" s="518"/>
      <c r="L68" s="509"/>
      <c r="M68" s="509"/>
      <c r="N68" s="509"/>
      <c r="O68" s="509"/>
      <c r="P68" s="509"/>
      <c r="Q68" s="509"/>
      <c r="R68" s="509"/>
      <c r="S68" s="509"/>
      <c r="T68" s="509"/>
      <c r="U68" s="509"/>
      <c r="V68" s="509"/>
      <c r="W68" s="509"/>
      <c r="X68" s="509"/>
      <c r="Y68" s="509"/>
      <c r="Z68" s="509"/>
      <c r="AA68" s="509"/>
      <c r="AB68" s="509"/>
      <c r="AC68" s="509"/>
      <c r="AD68" s="509"/>
      <c r="AE68" s="509"/>
      <c r="AF68" s="509"/>
      <c r="AG68" s="509"/>
      <c r="AH68" s="509"/>
      <c r="AI68" s="509"/>
      <c r="AJ68" s="509"/>
      <c r="AK68" s="509"/>
      <c r="AL68" s="509"/>
      <c r="AM68" s="509"/>
      <c r="AN68" s="509"/>
      <c r="AO68" s="509"/>
      <c r="AP68" s="509"/>
      <c r="AQ68" s="509"/>
      <c r="AR68" s="509"/>
      <c r="AS68" s="509"/>
      <c r="AT68" s="509"/>
      <c r="AU68" s="509"/>
      <c r="AV68" s="509"/>
      <c r="AW68" s="509"/>
      <c r="AX68" s="509"/>
      <c r="AY68" s="509"/>
      <c r="AZ68" s="509"/>
      <c r="BA68" s="509"/>
      <c r="BB68" s="509"/>
      <c r="BC68" s="509"/>
      <c r="BD68" s="509"/>
      <c r="BE68" s="509"/>
      <c r="BF68" s="509"/>
      <c r="BG68" s="509"/>
      <c r="BH68" s="509"/>
      <c r="BI68" s="509"/>
      <c r="BJ68" s="509"/>
      <c r="BK68" s="509"/>
      <c r="BL68" s="509"/>
      <c r="BM68" s="509"/>
      <c r="BN68" s="509"/>
      <c r="BO68" s="509"/>
      <c r="BP68" s="509"/>
      <c r="BQ68" s="509"/>
      <c r="BR68" s="509"/>
      <c r="BS68" s="509"/>
      <c r="BT68" s="509"/>
      <c r="BU68" s="509"/>
      <c r="BV68" s="509"/>
      <c r="BW68" s="509"/>
      <c r="BX68" s="509"/>
      <c r="BY68" s="509"/>
      <c r="BZ68" s="509"/>
      <c r="CA68" s="509"/>
      <c r="CB68" s="509"/>
      <c r="CC68" s="509"/>
      <c r="CD68" s="509"/>
      <c r="CE68" s="509"/>
      <c r="CF68" s="509"/>
      <c r="CG68" s="509"/>
      <c r="CH68" s="509"/>
      <c r="CI68" s="509"/>
      <c r="CJ68" s="509"/>
      <c r="CK68" s="509"/>
      <c r="CL68" s="509"/>
      <c r="CM68" s="509"/>
      <c r="CN68" s="509"/>
      <c r="CO68" s="509"/>
      <c r="CP68" s="509"/>
      <c r="CQ68" s="509"/>
      <c r="CR68" s="509"/>
      <c r="CS68" s="509"/>
      <c r="CT68" s="509"/>
      <c r="CU68" s="509"/>
      <c r="CV68" s="509"/>
      <c r="CW68" s="509"/>
      <c r="CX68" s="509"/>
      <c r="CY68" s="509"/>
      <c r="CZ68" s="509"/>
      <c r="DA68" s="509"/>
      <c r="DB68" s="509"/>
      <c r="DC68" s="509"/>
      <c r="DD68" s="509"/>
      <c r="DE68" s="509"/>
      <c r="DF68" s="509"/>
      <c r="DG68" s="509"/>
      <c r="DH68" s="509"/>
      <c r="DI68" s="509"/>
      <c r="DJ68" s="509"/>
      <c r="DK68" s="509"/>
      <c r="DL68" s="509"/>
      <c r="DM68" s="509"/>
      <c r="DN68" s="509"/>
      <c r="DO68" s="509"/>
      <c r="DP68" s="509"/>
      <c r="DQ68" s="509"/>
      <c r="DR68" s="509"/>
      <c r="DS68" s="509"/>
      <c r="DT68" s="509"/>
      <c r="DU68" s="509"/>
      <c r="DV68" s="509"/>
      <c r="DW68" s="509"/>
      <c r="DX68" s="509"/>
      <c r="DY68" s="509"/>
      <c r="DZ68" s="509"/>
      <c r="EA68" s="509"/>
      <c r="EB68" s="509"/>
      <c r="EC68" s="509"/>
      <c r="ED68" s="509"/>
      <c r="EE68" s="509"/>
      <c r="EF68" s="509"/>
      <c r="EG68" s="509"/>
      <c r="EH68" s="509"/>
      <c r="EI68" s="509"/>
      <c r="EJ68" s="509"/>
      <c r="EK68" s="509"/>
      <c r="EL68" s="509"/>
      <c r="EM68" s="509"/>
      <c r="EN68" s="509"/>
      <c r="EO68" s="509"/>
      <c r="EP68" s="509"/>
      <c r="EQ68" s="509"/>
      <c r="ER68" s="509"/>
      <c r="ES68" s="509"/>
      <c r="ET68" s="509"/>
      <c r="EU68" s="509"/>
      <c r="EV68" s="509"/>
      <c r="EW68" s="509"/>
      <c r="EX68" s="509"/>
      <c r="EY68" s="509"/>
      <c r="EZ68" s="509"/>
      <c r="FA68" s="509"/>
      <c r="FB68" s="509"/>
      <c r="FC68" s="509"/>
      <c r="FD68" s="509"/>
      <c r="FE68" s="509"/>
      <c r="FF68" s="509"/>
      <c r="FG68" s="509"/>
      <c r="FH68" s="509"/>
      <c r="FI68" s="509"/>
      <c r="FJ68" s="509"/>
      <c r="FK68" s="509"/>
      <c r="FL68" s="509"/>
      <c r="FM68" s="509"/>
      <c r="FN68" s="509"/>
      <c r="FO68" s="509"/>
      <c r="FP68" s="509"/>
      <c r="FQ68" s="509"/>
      <c r="FR68" s="509"/>
      <c r="FS68" s="509"/>
      <c r="FT68" s="509"/>
      <c r="FU68" s="509"/>
      <c r="FV68" s="509"/>
      <c r="FW68" s="509"/>
      <c r="FX68" s="509"/>
      <c r="FY68" s="509"/>
      <c r="FZ68" s="509"/>
      <c r="GA68" s="509"/>
      <c r="GB68" s="509"/>
      <c r="GC68" s="509"/>
      <c r="GD68" s="509"/>
      <c r="GE68" s="509"/>
      <c r="GF68" s="509"/>
      <c r="GG68" s="509"/>
      <c r="GH68" s="509"/>
      <c r="GI68" s="509"/>
      <c r="GJ68" s="509"/>
      <c r="GK68" s="509"/>
      <c r="GL68" s="509"/>
      <c r="GM68" s="509"/>
      <c r="GN68" s="509"/>
      <c r="GO68" s="509"/>
      <c r="GP68" s="509"/>
      <c r="GQ68" s="509"/>
      <c r="GR68" s="509"/>
      <c r="GS68" s="509"/>
      <c r="GT68" s="509"/>
      <c r="GU68" s="509"/>
      <c r="GV68" s="509"/>
      <c r="GW68" s="509"/>
      <c r="GX68" s="509"/>
      <c r="GY68" s="509"/>
      <c r="GZ68" s="509"/>
      <c r="HA68" s="509"/>
      <c r="HB68" s="509"/>
      <c r="HC68" s="509"/>
      <c r="HD68" s="509"/>
      <c r="HE68" s="509"/>
      <c r="HF68" s="509"/>
      <c r="HG68" s="509"/>
      <c r="HH68" s="509"/>
      <c r="HI68" s="509"/>
      <c r="HJ68" s="509"/>
      <c r="HK68" s="509"/>
      <c r="HL68" s="509"/>
      <c r="HM68" s="509"/>
      <c r="HN68" s="509"/>
      <c r="HO68" s="509"/>
      <c r="HP68" s="509"/>
      <c r="HQ68" s="509"/>
      <c r="HR68" s="509"/>
      <c r="HS68" s="509"/>
      <c r="HT68" s="509"/>
      <c r="HU68" s="509"/>
      <c r="HV68" s="509"/>
      <c r="HW68" s="509"/>
      <c r="HX68" s="509"/>
      <c r="HY68" s="509"/>
      <c r="HZ68" s="509"/>
      <c r="IA68" s="509"/>
      <c r="IB68" s="509"/>
      <c r="IC68" s="509"/>
    </row>
    <row r="69" s="508" customFormat="1" customHeight="1" spans="1:248">
      <c r="A69" s="524" t="s">
        <v>286</v>
      </c>
      <c r="B69" s="94" t="s">
        <v>287</v>
      </c>
      <c r="C69" s="94" t="s">
        <v>13</v>
      </c>
      <c r="D69" s="94" t="s">
        <v>125</v>
      </c>
      <c r="E69" s="94" t="s">
        <v>288</v>
      </c>
      <c r="F69" s="94">
        <v>13413477527</v>
      </c>
      <c r="G69" s="94">
        <v>667527</v>
      </c>
      <c r="H69" s="513" t="s">
        <v>289</v>
      </c>
      <c r="I69" s="513">
        <v>13413486456</v>
      </c>
      <c r="J69" s="513">
        <v>666456</v>
      </c>
      <c r="K69" s="94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  <c r="AA69" s="509"/>
      <c r="AB69" s="509"/>
      <c r="AC69" s="509"/>
      <c r="AD69" s="509"/>
      <c r="AE69" s="509"/>
      <c r="AF69" s="509"/>
      <c r="AG69" s="509"/>
      <c r="AH69" s="509"/>
      <c r="AI69" s="509"/>
      <c r="AJ69" s="509"/>
      <c r="AK69" s="509"/>
      <c r="AL69" s="509"/>
      <c r="AM69" s="509"/>
      <c r="AN69" s="509"/>
      <c r="AO69" s="509"/>
      <c r="AP69" s="509"/>
      <c r="AQ69" s="509"/>
      <c r="AR69" s="509"/>
      <c r="AS69" s="509"/>
      <c r="AT69" s="509"/>
      <c r="AU69" s="509"/>
      <c r="AV69" s="509"/>
      <c r="AW69" s="509"/>
      <c r="AX69" s="509"/>
      <c r="AY69" s="509"/>
      <c r="AZ69" s="509"/>
      <c r="BA69" s="509"/>
      <c r="BB69" s="509"/>
      <c r="BC69" s="509"/>
      <c r="BD69" s="509"/>
      <c r="BE69" s="509"/>
      <c r="BF69" s="509"/>
      <c r="BG69" s="509"/>
      <c r="BH69" s="509"/>
      <c r="BI69" s="509"/>
      <c r="BJ69" s="509"/>
      <c r="BK69" s="509"/>
      <c r="BL69" s="509"/>
      <c r="BM69" s="509"/>
      <c r="BN69" s="509"/>
      <c r="BO69" s="509"/>
      <c r="BP69" s="509"/>
      <c r="BQ69" s="509"/>
      <c r="BR69" s="509"/>
      <c r="BS69" s="509"/>
      <c r="BT69" s="509"/>
      <c r="BU69" s="509"/>
      <c r="BV69" s="509"/>
      <c r="BW69" s="509"/>
      <c r="BX69" s="509"/>
      <c r="BY69" s="509"/>
      <c r="BZ69" s="509"/>
      <c r="CA69" s="509"/>
      <c r="CB69" s="509"/>
      <c r="CC69" s="509"/>
      <c r="CD69" s="509"/>
      <c r="CE69" s="509"/>
      <c r="CF69" s="509"/>
      <c r="CG69" s="509"/>
      <c r="CH69" s="509"/>
      <c r="CI69" s="509"/>
      <c r="CJ69" s="509"/>
      <c r="CK69" s="509"/>
      <c r="CL69" s="509"/>
      <c r="CM69" s="509"/>
      <c r="CN69" s="509"/>
      <c r="CO69" s="509"/>
      <c r="CP69" s="509"/>
      <c r="CQ69" s="509"/>
      <c r="CR69" s="509"/>
      <c r="CS69" s="509"/>
      <c r="CT69" s="509"/>
      <c r="CU69" s="509"/>
      <c r="CV69" s="509"/>
      <c r="CW69" s="509"/>
      <c r="CX69" s="509"/>
      <c r="CY69" s="509"/>
      <c r="CZ69" s="509"/>
      <c r="DA69" s="509"/>
      <c r="DB69" s="509"/>
      <c r="DC69" s="509"/>
      <c r="DD69" s="509"/>
      <c r="DE69" s="509"/>
      <c r="DF69" s="509"/>
      <c r="DG69" s="509"/>
      <c r="DH69" s="509"/>
      <c r="DI69" s="509"/>
      <c r="DJ69" s="509"/>
      <c r="DK69" s="509"/>
      <c r="DL69" s="509"/>
      <c r="DM69" s="509"/>
      <c r="DN69" s="509"/>
      <c r="DO69" s="509"/>
      <c r="DP69" s="509"/>
      <c r="DQ69" s="509"/>
      <c r="DR69" s="509"/>
      <c r="DS69" s="509"/>
      <c r="DT69" s="509"/>
      <c r="DU69" s="509"/>
      <c r="DV69" s="509"/>
      <c r="DW69" s="509"/>
      <c r="DX69" s="509"/>
      <c r="DY69" s="509"/>
      <c r="DZ69" s="509"/>
      <c r="EA69" s="509"/>
      <c r="EB69" s="509"/>
      <c r="EC69" s="509"/>
      <c r="ED69" s="509"/>
      <c r="EE69" s="509"/>
      <c r="EF69" s="509"/>
      <c r="EG69" s="509"/>
      <c r="EH69" s="509"/>
      <c r="EI69" s="509"/>
      <c r="EJ69" s="509"/>
      <c r="EK69" s="509"/>
      <c r="EL69" s="509"/>
      <c r="EM69" s="509"/>
      <c r="EN69" s="509"/>
      <c r="EO69" s="509"/>
      <c r="EP69" s="509"/>
      <c r="EQ69" s="509"/>
      <c r="ER69" s="509"/>
      <c r="ES69" s="509"/>
      <c r="ET69" s="509"/>
      <c r="EU69" s="509"/>
      <c r="EV69" s="509"/>
      <c r="EW69" s="509"/>
      <c r="EX69" s="509"/>
      <c r="EY69" s="509"/>
      <c r="EZ69" s="509"/>
      <c r="FA69" s="509"/>
      <c r="FB69" s="509"/>
      <c r="FC69" s="509"/>
      <c r="FD69" s="509"/>
      <c r="FE69" s="509"/>
      <c r="FF69" s="509"/>
      <c r="FG69" s="509"/>
      <c r="FH69" s="509"/>
      <c r="FI69" s="509"/>
      <c r="FJ69" s="509"/>
      <c r="FK69" s="509"/>
      <c r="FL69" s="509"/>
      <c r="FM69" s="509"/>
      <c r="FN69" s="509"/>
      <c r="FO69" s="509"/>
      <c r="FP69" s="509"/>
      <c r="FQ69" s="509"/>
      <c r="FR69" s="509"/>
      <c r="FS69" s="509"/>
      <c r="FT69" s="509"/>
      <c r="FU69" s="509"/>
      <c r="FV69" s="509"/>
      <c r="FW69" s="509"/>
      <c r="FX69" s="509"/>
      <c r="FY69" s="509"/>
      <c r="FZ69" s="509"/>
      <c r="GA69" s="509"/>
      <c r="GB69" s="509"/>
      <c r="GC69" s="509"/>
      <c r="GD69" s="509"/>
      <c r="GE69" s="509"/>
      <c r="GF69" s="509"/>
      <c r="GG69" s="509"/>
      <c r="GH69" s="509"/>
      <c r="GI69" s="509"/>
      <c r="GJ69" s="509"/>
      <c r="GK69" s="509"/>
      <c r="GL69" s="509"/>
      <c r="GM69" s="509"/>
      <c r="GN69" s="509"/>
      <c r="GO69" s="509"/>
      <c r="GP69" s="509"/>
      <c r="GQ69" s="509"/>
      <c r="GR69" s="509"/>
      <c r="GS69" s="509"/>
      <c r="GT69" s="509"/>
      <c r="GU69" s="509"/>
      <c r="GV69" s="509"/>
      <c r="GW69" s="509"/>
      <c r="GX69" s="509"/>
      <c r="GY69" s="509"/>
      <c r="GZ69" s="509"/>
      <c r="HA69" s="509"/>
      <c r="HB69" s="509"/>
      <c r="HC69" s="509"/>
      <c r="HD69" s="509"/>
      <c r="HE69" s="509"/>
      <c r="HF69" s="509"/>
      <c r="HG69" s="509"/>
      <c r="HH69" s="509"/>
      <c r="HI69" s="509"/>
      <c r="HJ69" s="509"/>
      <c r="HK69" s="509"/>
      <c r="HL69" s="509"/>
      <c r="HM69" s="509"/>
      <c r="HN69" s="509"/>
      <c r="HO69" s="509"/>
      <c r="HP69" s="509"/>
      <c r="HQ69" s="509"/>
      <c r="HR69" s="509"/>
      <c r="HS69" s="509"/>
      <c r="HT69" s="509"/>
      <c r="HU69" s="509"/>
      <c r="HV69" s="509"/>
      <c r="HW69" s="509"/>
      <c r="HX69" s="509"/>
      <c r="HY69" s="509"/>
      <c r="HZ69" s="509"/>
      <c r="IA69" s="509"/>
      <c r="IB69" s="509"/>
      <c r="IC69" s="509"/>
    </row>
    <row r="70" s="508" customFormat="1" customHeight="1" spans="1:248">
      <c r="A70" s="524" t="s">
        <v>290</v>
      </c>
      <c r="B70" s="94" t="s">
        <v>291</v>
      </c>
      <c r="C70" s="94" t="s">
        <v>13</v>
      </c>
      <c r="D70" s="94" t="s">
        <v>120</v>
      </c>
      <c r="E70" s="513" t="s">
        <v>292</v>
      </c>
      <c r="F70" s="513">
        <v>13729633555</v>
      </c>
      <c r="G70" s="513">
        <v>683555</v>
      </c>
      <c r="H70" s="513" t="s">
        <v>292</v>
      </c>
      <c r="I70" s="513">
        <v>13729633555</v>
      </c>
      <c r="J70" s="513">
        <v>683555</v>
      </c>
      <c r="K70" s="94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  <c r="AA70" s="509"/>
      <c r="AB70" s="509"/>
      <c r="AC70" s="509"/>
      <c r="AD70" s="509"/>
      <c r="AE70" s="509"/>
      <c r="AF70" s="509"/>
      <c r="AG70" s="509"/>
      <c r="AH70" s="509"/>
      <c r="AI70" s="509"/>
      <c r="AJ70" s="509"/>
      <c r="AK70" s="509"/>
      <c r="AL70" s="509"/>
      <c r="AM70" s="509"/>
      <c r="AN70" s="509"/>
      <c r="AO70" s="509"/>
      <c r="AP70" s="509"/>
      <c r="AQ70" s="509"/>
      <c r="AR70" s="509"/>
      <c r="AS70" s="509"/>
      <c r="AT70" s="509"/>
      <c r="AU70" s="509"/>
      <c r="AV70" s="509"/>
      <c r="AW70" s="509"/>
      <c r="AX70" s="509"/>
      <c r="AY70" s="509"/>
      <c r="AZ70" s="509"/>
      <c r="BA70" s="509"/>
      <c r="BB70" s="509"/>
      <c r="BC70" s="509"/>
      <c r="BD70" s="509"/>
      <c r="BE70" s="509"/>
      <c r="BF70" s="509"/>
      <c r="BG70" s="509"/>
      <c r="BH70" s="509"/>
      <c r="BI70" s="509"/>
      <c r="BJ70" s="509"/>
      <c r="BK70" s="509"/>
      <c r="BL70" s="509"/>
      <c r="BM70" s="509"/>
      <c r="BN70" s="509"/>
      <c r="BO70" s="509"/>
      <c r="BP70" s="509"/>
      <c r="BQ70" s="509"/>
      <c r="BR70" s="509"/>
      <c r="BS70" s="509"/>
      <c r="BT70" s="509"/>
      <c r="BU70" s="509"/>
      <c r="BV70" s="509"/>
      <c r="BW70" s="509"/>
      <c r="BX70" s="509"/>
      <c r="BY70" s="509"/>
      <c r="BZ70" s="509"/>
      <c r="CA70" s="509"/>
      <c r="CB70" s="509"/>
      <c r="CC70" s="509"/>
      <c r="CD70" s="509"/>
      <c r="CE70" s="509"/>
      <c r="CF70" s="509"/>
      <c r="CG70" s="509"/>
      <c r="CH70" s="509"/>
      <c r="CI70" s="509"/>
      <c r="CJ70" s="509"/>
      <c r="CK70" s="509"/>
      <c r="CL70" s="509"/>
      <c r="CM70" s="509"/>
      <c r="CN70" s="509"/>
      <c r="CO70" s="509"/>
      <c r="CP70" s="509"/>
      <c r="CQ70" s="509"/>
      <c r="CR70" s="509"/>
      <c r="CS70" s="509"/>
      <c r="CT70" s="509"/>
      <c r="CU70" s="509"/>
      <c r="CV70" s="509"/>
      <c r="CW70" s="509"/>
      <c r="CX70" s="509"/>
      <c r="CY70" s="509"/>
      <c r="CZ70" s="509"/>
      <c r="DA70" s="509"/>
      <c r="DB70" s="509"/>
      <c r="DC70" s="509"/>
      <c r="DD70" s="509"/>
      <c r="DE70" s="509"/>
      <c r="DF70" s="509"/>
      <c r="DG70" s="509"/>
      <c r="DH70" s="509"/>
      <c r="DI70" s="509"/>
      <c r="DJ70" s="509"/>
      <c r="DK70" s="509"/>
      <c r="DL70" s="509"/>
      <c r="DM70" s="509"/>
      <c r="DN70" s="509"/>
      <c r="DO70" s="509"/>
      <c r="DP70" s="509"/>
      <c r="DQ70" s="509"/>
      <c r="DR70" s="509"/>
      <c r="DS70" s="509"/>
      <c r="DT70" s="509"/>
      <c r="DU70" s="509"/>
      <c r="DV70" s="509"/>
      <c r="DW70" s="509"/>
      <c r="DX70" s="509"/>
      <c r="DY70" s="509"/>
      <c r="DZ70" s="509"/>
      <c r="EA70" s="509"/>
      <c r="EB70" s="509"/>
      <c r="EC70" s="509"/>
      <c r="ED70" s="509"/>
      <c r="EE70" s="509"/>
      <c r="EF70" s="509"/>
      <c r="EG70" s="509"/>
      <c r="EH70" s="509"/>
      <c r="EI70" s="509"/>
      <c r="EJ70" s="509"/>
      <c r="EK70" s="509"/>
      <c r="EL70" s="509"/>
      <c r="EM70" s="509"/>
      <c r="EN70" s="509"/>
      <c r="EO70" s="509"/>
      <c r="EP70" s="509"/>
      <c r="EQ70" s="509"/>
      <c r="ER70" s="509"/>
      <c r="ES70" s="509"/>
      <c r="ET70" s="509"/>
      <c r="EU70" s="509"/>
      <c r="EV70" s="509"/>
      <c r="EW70" s="509"/>
      <c r="EX70" s="509"/>
      <c r="EY70" s="509"/>
      <c r="EZ70" s="509"/>
      <c r="FA70" s="509"/>
      <c r="FB70" s="509"/>
      <c r="FC70" s="509"/>
      <c r="FD70" s="509"/>
      <c r="FE70" s="509"/>
      <c r="FF70" s="509"/>
      <c r="FG70" s="509"/>
      <c r="FH70" s="509"/>
      <c r="FI70" s="509"/>
      <c r="FJ70" s="509"/>
      <c r="FK70" s="509"/>
      <c r="FL70" s="509"/>
      <c r="FM70" s="509"/>
      <c r="FN70" s="509"/>
      <c r="FO70" s="509"/>
      <c r="FP70" s="509"/>
      <c r="FQ70" s="509"/>
      <c r="FR70" s="509"/>
      <c r="FS70" s="509"/>
      <c r="FT70" s="509"/>
      <c r="FU70" s="509"/>
      <c r="FV70" s="509"/>
      <c r="FW70" s="509"/>
      <c r="FX70" s="509"/>
      <c r="FY70" s="509"/>
      <c r="FZ70" s="509"/>
      <c r="GA70" s="509"/>
      <c r="GB70" s="509"/>
      <c r="GC70" s="509"/>
      <c r="GD70" s="509"/>
      <c r="GE70" s="509"/>
      <c r="GF70" s="509"/>
      <c r="GG70" s="509"/>
      <c r="GH70" s="509"/>
      <c r="GI70" s="509"/>
      <c r="GJ70" s="509"/>
      <c r="GK70" s="509"/>
      <c r="GL70" s="509"/>
      <c r="GM70" s="509"/>
      <c r="GN70" s="509"/>
      <c r="GO70" s="509"/>
      <c r="GP70" s="509"/>
      <c r="GQ70" s="509"/>
      <c r="GR70" s="509"/>
      <c r="GS70" s="509"/>
      <c r="GT70" s="509"/>
      <c r="GU70" s="509"/>
      <c r="GV70" s="509"/>
      <c r="GW70" s="509"/>
      <c r="GX70" s="509"/>
      <c r="GY70" s="509"/>
      <c r="GZ70" s="509"/>
      <c r="HA70" s="509"/>
      <c r="HB70" s="509"/>
      <c r="HC70" s="509"/>
      <c r="HD70" s="509"/>
      <c r="HE70" s="509"/>
      <c r="HF70" s="509"/>
      <c r="HG70" s="509"/>
      <c r="HH70" s="509"/>
      <c r="HI70" s="509"/>
      <c r="HJ70" s="509"/>
      <c r="HK70" s="509"/>
      <c r="HL70" s="509"/>
      <c r="HM70" s="509"/>
      <c r="HN70" s="509"/>
      <c r="HO70" s="509"/>
      <c r="HP70" s="509"/>
      <c r="HQ70" s="509"/>
      <c r="HR70" s="509"/>
      <c r="HS70" s="509"/>
      <c r="HT70" s="509"/>
      <c r="HU70" s="509"/>
      <c r="HV70" s="509"/>
      <c r="HW70" s="509"/>
      <c r="HX70" s="509"/>
      <c r="HY70" s="509"/>
      <c r="HZ70" s="509"/>
      <c r="IA70" s="509"/>
      <c r="IB70" s="509"/>
      <c r="IC70" s="509"/>
    </row>
    <row r="71" s="508" customFormat="1" customHeight="1" spans="1:248">
      <c r="A71" s="524" t="s">
        <v>293</v>
      </c>
      <c r="B71" s="94" t="s">
        <v>294</v>
      </c>
      <c r="C71" s="94" t="s">
        <v>13</v>
      </c>
      <c r="D71" s="94" t="s">
        <v>125</v>
      </c>
      <c r="E71" s="521" t="s">
        <v>295</v>
      </c>
      <c r="F71" s="521" t="s">
        <v>296</v>
      </c>
      <c r="G71" s="513">
        <v>688183</v>
      </c>
      <c r="H71" s="513" t="s">
        <v>297</v>
      </c>
      <c r="I71" s="513">
        <v>13539517508</v>
      </c>
      <c r="J71" s="513">
        <v>687508</v>
      </c>
      <c r="K71" s="94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  <c r="AA71" s="509"/>
      <c r="AB71" s="509"/>
      <c r="AC71" s="509"/>
      <c r="AD71" s="509"/>
      <c r="AE71" s="509"/>
      <c r="AF71" s="509"/>
      <c r="AG71" s="509"/>
      <c r="AH71" s="509"/>
      <c r="AI71" s="509"/>
      <c r="AJ71" s="509"/>
      <c r="AK71" s="509"/>
      <c r="AL71" s="509"/>
      <c r="AM71" s="509"/>
      <c r="AN71" s="509"/>
      <c r="AO71" s="509"/>
      <c r="AP71" s="509"/>
      <c r="AQ71" s="509"/>
      <c r="AR71" s="509"/>
      <c r="AS71" s="509"/>
      <c r="AT71" s="509"/>
      <c r="AU71" s="509"/>
      <c r="AV71" s="509"/>
      <c r="AW71" s="509"/>
      <c r="AX71" s="509"/>
      <c r="AY71" s="509"/>
      <c r="AZ71" s="509"/>
      <c r="BA71" s="509"/>
      <c r="BB71" s="509"/>
      <c r="BC71" s="509"/>
      <c r="BD71" s="509"/>
      <c r="BE71" s="509"/>
      <c r="BF71" s="509"/>
      <c r="BG71" s="509"/>
      <c r="BH71" s="509"/>
      <c r="BI71" s="509"/>
      <c r="BJ71" s="509"/>
      <c r="BK71" s="509"/>
      <c r="BL71" s="509"/>
      <c r="BM71" s="509"/>
      <c r="BN71" s="509"/>
      <c r="BO71" s="509"/>
      <c r="BP71" s="509"/>
      <c r="BQ71" s="509"/>
      <c r="BR71" s="509"/>
      <c r="BS71" s="509"/>
      <c r="BT71" s="509"/>
      <c r="BU71" s="509"/>
      <c r="BV71" s="509"/>
      <c r="BW71" s="509"/>
      <c r="BX71" s="509"/>
      <c r="BY71" s="509"/>
      <c r="BZ71" s="509"/>
      <c r="CA71" s="509"/>
      <c r="CB71" s="509"/>
      <c r="CC71" s="509"/>
      <c r="CD71" s="509"/>
      <c r="CE71" s="509"/>
      <c r="CF71" s="509"/>
      <c r="CG71" s="509"/>
      <c r="CH71" s="509"/>
      <c r="CI71" s="509"/>
      <c r="CJ71" s="509"/>
      <c r="CK71" s="509"/>
      <c r="CL71" s="509"/>
      <c r="CM71" s="509"/>
      <c r="CN71" s="509"/>
      <c r="CO71" s="509"/>
      <c r="CP71" s="509"/>
      <c r="CQ71" s="509"/>
      <c r="CR71" s="509"/>
      <c r="CS71" s="509"/>
      <c r="CT71" s="509"/>
      <c r="CU71" s="509"/>
      <c r="CV71" s="509"/>
      <c r="CW71" s="509"/>
      <c r="CX71" s="509"/>
      <c r="CY71" s="509"/>
      <c r="CZ71" s="509"/>
      <c r="DA71" s="509"/>
      <c r="DB71" s="509"/>
      <c r="DC71" s="509"/>
      <c r="DD71" s="509"/>
      <c r="DE71" s="509"/>
      <c r="DF71" s="509"/>
      <c r="DG71" s="509"/>
      <c r="DH71" s="509"/>
      <c r="DI71" s="509"/>
      <c r="DJ71" s="509"/>
      <c r="DK71" s="509"/>
      <c r="DL71" s="509"/>
      <c r="DM71" s="509"/>
      <c r="DN71" s="509"/>
      <c r="DO71" s="509"/>
      <c r="DP71" s="509"/>
      <c r="DQ71" s="509"/>
      <c r="DR71" s="509"/>
      <c r="DS71" s="509"/>
      <c r="DT71" s="509"/>
      <c r="DU71" s="509"/>
      <c r="DV71" s="509"/>
      <c r="DW71" s="509"/>
      <c r="DX71" s="509"/>
      <c r="DY71" s="509"/>
      <c r="DZ71" s="509"/>
      <c r="EA71" s="509"/>
      <c r="EB71" s="509"/>
      <c r="EC71" s="509"/>
      <c r="ED71" s="509"/>
      <c r="EE71" s="509"/>
      <c r="EF71" s="509"/>
      <c r="EG71" s="509"/>
      <c r="EH71" s="509"/>
      <c r="EI71" s="509"/>
      <c r="EJ71" s="509"/>
      <c r="EK71" s="509"/>
      <c r="EL71" s="509"/>
      <c r="EM71" s="509"/>
      <c r="EN71" s="509"/>
      <c r="EO71" s="509"/>
      <c r="EP71" s="509"/>
      <c r="EQ71" s="509"/>
      <c r="ER71" s="509"/>
      <c r="ES71" s="509"/>
      <c r="ET71" s="509"/>
      <c r="EU71" s="509"/>
      <c r="EV71" s="509"/>
      <c r="EW71" s="509"/>
      <c r="EX71" s="509"/>
      <c r="EY71" s="509"/>
      <c r="EZ71" s="509"/>
      <c r="FA71" s="509"/>
      <c r="FB71" s="509"/>
      <c r="FC71" s="509"/>
      <c r="FD71" s="509"/>
      <c r="FE71" s="509"/>
      <c r="FF71" s="509"/>
      <c r="FG71" s="509"/>
      <c r="FH71" s="509"/>
      <c r="FI71" s="509"/>
      <c r="FJ71" s="509"/>
      <c r="FK71" s="509"/>
      <c r="FL71" s="509"/>
      <c r="FM71" s="509"/>
      <c r="FN71" s="509"/>
      <c r="FO71" s="509"/>
      <c r="FP71" s="509"/>
      <c r="FQ71" s="509"/>
      <c r="FR71" s="509"/>
      <c r="FS71" s="509"/>
      <c r="FT71" s="509"/>
      <c r="FU71" s="509"/>
      <c r="FV71" s="509"/>
      <c r="FW71" s="509"/>
      <c r="FX71" s="509"/>
      <c r="FY71" s="509"/>
      <c r="FZ71" s="509"/>
      <c r="GA71" s="509"/>
      <c r="GB71" s="509"/>
      <c r="GC71" s="509"/>
      <c r="GD71" s="509"/>
      <c r="GE71" s="509"/>
      <c r="GF71" s="509"/>
      <c r="GG71" s="509"/>
      <c r="GH71" s="509"/>
      <c r="GI71" s="509"/>
      <c r="GJ71" s="509"/>
      <c r="GK71" s="509"/>
      <c r="GL71" s="509"/>
      <c r="GM71" s="509"/>
      <c r="GN71" s="509"/>
      <c r="GO71" s="509"/>
      <c r="GP71" s="509"/>
      <c r="GQ71" s="509"/>
      <c r="GR71" s="509"/>
      <c r="GS71" s="509"/>
      <c r="GT71" s="509"/>
      <c r="GU71" s="509"/>
      <c r="GV71" s="509"/>
      <c r="GW71" s="509"/>
      <c r="GX71" s="509"/>
      <c r="GY71" s="509"/>
      <c r="GZ71" s="509"/>
      <c r="HA71" s="509"/>
      <c r="HB71" s="509"/>
      <c r="HC71" s="509"/>
      <c r="HD71" s="509"/>
      <c r="HE71" s="509"/>
      <c r="HF71" s="509"/>
      <c r="HG71" s="509"/>
      <c r="HH71" s="509"/>
      <c r="HI71" s="509"/>
      <c r="HJ71" s="509"/>
      <c r="HK71" s="509"/>
      <c r="HL71" s="509"/>
      <c r="HM71" s="509"/>
      <c r="HN71" s="509"/>
      <c r="HO71" s="509"/>
      <c r="HP71" s="509"/>
      <c r="HQ71" s="509"/>
      <c r="HR71" s="509"/>
      <c r="HS71" s="509"/>
      <c r="HT71" s="509"/>
      <c r="HU71" s="509"/>
      <c r="HV71" s="509"/>
      <c r="HW71" s="509"/>
      <c r="HX71" s="509"/>
      <c r="HY71" s="509"/>
      <c r="HZ71" s="509"/>
      <c r="IA71" s="509"/>
      <c r="IB71" s="509"/>
      <c r="IC71" s="509"/>
    </row>
    <row r="72" s="508" customFormat="1" customHeight="1" spans="1:248">
      <c r="A72" s="524" t="s">
        <v>298</v>
      </c>
      <c r="B72" s="94" t="s">
        <v>299</v>
      </c>
      <c r="C72" s="94" t="s">
        <v>13</v>
      </c>
      <c r="D72" s="94" t="s">
        <v>120</v>
      </c>
      <c r="E72" s="94" t="s">
        <v>300</v>
      </c>
      <c r="F72" s="94">
        <v>19865623286</v>
      </c>
      <c r="G72" s="94">
        <v>673286</v>
      </c>
      <c r="H72" s="94" t="s">
        <v>300</v>
      </c>
      <c r="I72" s="94">
        <v>19865623286</v>
      </c>
      <c r="J72" s="94">
        <v>673286</v>
      </c>
      <c r="K72" s="94"/>
      <c r="L72" s="509"/>
      <c r="M72" s="509"/>
      <c r="N72" s="509"/>
      <c r="O72" s="509"/>
      <c r="P72" s="509"/>
      <c r="Q72" s="509"/>
      <c r="R72" s="509"/>
      <c r="S72" s="509"/>
      <c r="T72" s="509"/>
      <c r="U72" s="509"/>
      <c r="V72" s="509"/>
      <c r="W72" s="509"/>
      <c r="X72" s="509"/>
      <c r="Y72" s="509"/>
      <c r="Z72" s="509"/>
      <c r="AA72" s="509"/>
      <c r="AB72" s="509"/>
      <c r="AC72" s="509"/>
      <c r="AD72" s="509"/>
      <c r="AE72" s="509"/>
      <c r="AF72" s="509"/>
      <c r="AG72" s="509"/>
      <c r="AH72" s="509"/>
      <c r="AI72" s="509"/>
      <c r="AJ72" s="509"/>
      <c r="AK72" s="509"/>
      <c r="AL72" s="509"/>
      <c r="AM72" s="509"/>
      <c r="AN72" s="509"/>
      <c r="AO72" s="509"/>
      <c r="AP72" s="509"/>
      <c r="AQ72" s="509"/>
      <c r="AR72" s="509"/>
      <c r="AS72" s="509"/>
      <c r="AT72" s="509"/>
      <c r="AU72" s="509"/>
      <c r="AV72" s="509"/>
      <c r="AW72" s="509"/>
      <c r="AX72" s="509"/>
      <c r="AY72" s="509"/>
      <c r="AZ72" s="509"/>
      <c r="BA72" s="509"/>
      <c r="BB72" s="509"/>
      <c r="BC72" s="509"/>
      <c r="BD72" s="509"/>
      <c r="BE72" s="509"/>
      <c r="BF72" s="509"/>
      <c r="BG72" s="509"/>
      <c r="BH72" s="509"/>
      <c r="BI72" s="509"/>
      <c r="BJ72" s="509"/>
      <c r="BK72" s="509"/>
      <c r="BL72" s="509"/>
      <c r="BM72" s="509"/>
      <c r="BN72" s="509"/>
      <c r="BO72" s="509"/>
      <c r="BP72" s="509"/>
      <c r="BQ72" s="509"/>
      <c r="BR72" s="509"/>
      <c r="BS72" s="509"/>
      <c r="BT72" s="509"/>
      <c r="BU72" s="509"/>
      <c r="BV72" s="509"/>
      <c r="BW72" s="509"/>
      <c r="BX72" s="509"/>
      <c r="BY72" s="509"/>
      <c r="BZ72" s="509"/>
      <c r="CA72" s="509"/>
      <c r="CB72" s="509"/>
      <c r="CC72" s="509"/>
      <c r="CD72" s="509"/>
      <c r="CE72" s="509"/>
      <c r="CF72" s="509"/>
      <c r="CG72" s="509"/>
      <c r="CH72" s="509"/>
      <c r="CI72" s="509"/>
      <c r="CJ72" s="509"/>
      <c r="CK72" s="509"/>
      <c r="CL72" s="509"/>
      <c r="CM72" s="509"/>
      <c r="CN72" s="509"/>
      <c r="CO72" s="509"/>
      <c r="CP72" s="509"/>
      <c r="CQ72" s="509"/>
      <c r="CR72" s="509"/>
      <c r="CS72" s="509"/>
      <c r="CT72" s="509"/>
      <c r="CU72" s="509"/>
      <c r="CV72" s="509"/>
      <c r="CW72" s="509"/>
      <c r="CX72" s="509"/>
      <c r="CY72" s="509"/>
      <c r="CZ72" s="509"/>
      <c r="DA72" s="509"/>
      <c r="DB72" s="509"/>
      <c r="DC72" s="509"/>
      <c r="DD72" s="509"/>
      <c r="DE72" s="509"/>
      <c r="DF72" s="509"/>
      <c r="DG72" s="509"/>
      <c r="DH72" s="509"/>
      <c r="DI72" s="509"/>
      <c r="DJ72" s="509"/>
      <c r="DK72" s="509"/>
      <c r="DL72" s="509"/>
      <c r="DM72" s="509"/>
      <c r="DN72" s="509"/>
      <c r="DO72" s="509"/>
      <c r="DP72" s="509"/>
      <c r="DQ72" s="509"/>
      <c r="DR72" s="509"/>
      <c r="DS72" s="509"/>
      <c r="DT72" s="509"/>
      <c r="DU72" s="509"/>
      <c r="DV72" s="509"/>
      <c r="DW72" s="509"/>
      <c r="DX72" s="509"/>
      <c r="DY72" s="509"/>
      <c r="DZ72" s="509"/>
      <c r="EA72" s="509"/>
      <c r="EB72" s="509"/>
      <c r="EC72" s="509"/>
      <c r="ED72" s="509"/>
      <c r="EE72" s="509"/>
      <c r="EF72" s="509"/>
      <c r="EG72" s="509"/>
      <c r="EH72" s="509"/>
      <c r="EI72" s="509"/>
      <c r="EJ72" s="509"/>
      <c r="EK72" s="509"/>
      <c r="EL72" s="509"/>
      <c r="EM72" s="509"/>
      <c r="EN72" s="509"/>
      <c r="EO72" s="509"/>
      <c r="EP72" s="509"/>
      <c r="EQ72" s="509"/>
      <c r="ER72" s="509"/>
      <c r="ES72" s="509"/>
      <c r="ET72" s="509"/>
      <c r="EU72" s="509"/>
      <c r="EV72" s="509"/>
      <c r="EW72" s="509"/>
      <c r="EX72" s="509"/>
      <c r="EY72" s="509"/>
      <c r="EZ72" s="509"/>
      <c r="FA72" s="509"/>
      <c r="FB72" s="509"/>
      <c r="FC72" s="509"/>
      <c r="FD72" s="509"/>
      <c r="FE72" s="509"/>
      <c r="FF72" s="509"/>
      <c r="FG72" s="509"/>
      <c r="FH72" s="509"/>
      <c r="FI72" s="509"/>
      <c r="FJ72" s="509"/>
      <c r="FK72" s="509"/>
      <c r="FL72" s="509"/>
      <c r="FM72" s="509"/>
      <c r="FN72" s="509"/>
      <c r="FO72" s="509"/>
      <c r="FP72" s="509"/>
      <c r="FQ72" s="509"/>
      <c r="FR72" s="509"/>
      <c r="FS72" s="509"/>
      <c r="FT72" s="509"/>
      <c r="FU72" s="509"/>
      <c r="FV72" s="509"/>
      <c r="FW72" s="509"/>
      <c r="FX72" s="509"/>
      <c r="FY72" s="509"/>
      <c r="FZ72" s="509"/>
      <c r="GA72" s="509"/>
      <c r="GB72" s="509"/>
      <c r="GC72" s="509"/>
      <c r="GD72" s="509"/>
      <c r="GE72" s="509"/>
      <c r="GF72" s="509"/>
      <c r="GG72" s="509"/>
      <c r="GH72" s="509"/>
      <c r="GI72" s="509"/>
      <c r="GJ72" s="509"/>
      <c r="GK72" s="509"/>
      <c r="GL72" s="509"/>
      <c r="GM72" s="509"/>
      <c r="GN72" s="509"/>
      <c r="GO72" s="509"/>
      <c r="GP72" s="509"/>
      <c r="GQ72" s="509"/>
      <c r="GR72" s="509"/>
      <c r="GS72" s="509"/>
      <c r="GT72" s="509"/>
      <c r="GU72" s="509"/>
      <c r="GV72" s="509"/>
      <c r="GW72" s="509"/>
      <c r="GX72" s="509"/>
      <c r="GY72" s="509"/>
      <c r="GZ72" s="509"/>
      <c r="HA72" s="509"/>
      <c r="HB72" s="509"/>
      <c r="HC72" s="509"/>
      <c r="HD72" s="509"/>
      <c r="HE72" s="509"/>
      <c r="HF72" s="509"/>
      <c r="HG72" s="509"/>
      <c r="HH72" s="509"/>
      <c r="HI72" s="509"/>
      <c r="HJ72" s="509"/>
      <c r="HK72" s="509"/>
      <c r="HL72" s="509"/>
      <c r="HM72" s="509"/>
      <c r="HN72" s="509"/>
      <c r="HO72" s="509"/>
      <c r="HP72" s="509"/>
      <c r="HQ72" s="509"/>
      <c r="HR72" s="509"/>
      <c r="HS72" s="509"/>
      <c r="HT72" s="509"/>
      <c r="HU72" s="509"/>
      <c r="HV72" s="509"/>
      <c r="HW72" s="509"/>
      <c r="HX72" s="509"/>
      <c r="HY72" s="509"/>
      <c r="HZ72" s="509"/>
      <c r="IA72" s="509"/>
      <c r="IB72" s="509"/>
      <c r="IC72" s="509"/>
    </row>
    <row r="73" s="508" customFormat="1" customHeight="1" spans="1:248">
      <c r="A73" s="524" t="s">
        <v>301</v>
      </c>
      <c r="B73" s="94" t="s">
        <v>302</v>
      </c>
      <c r="C73" s="94" t="s">
        <v>13</v>
      </c>
      <c r="D73" s="94" t="s">
        <v>125</v>
      </c>
      <c r="E73" s="521" t="s">
        <v>303</v>
      </c>
      <c r="F73" s="521" t="s">
        <v>304</v>
      </c>
      <c r="G73" s="513">
        <v>661081</v>
      </c>
      <c r="H73" s="521" t="s">
        <v>305</v>
      </c>
      <c r="I73" s="521">
        <v>13620586270</v>
      </c>
      <c r="J73" s="521">
        <v>696270</v>
      </c>
      <c r="K73" s="94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  <c r="AA73" s="509"/>
      <c r="AB73" s="509"/>
      <c r="AC73" s="509"/>
      <c r="AD73" s="509"/>
      <c r="AE73" s="509"/>
      <c r="AF73" s="509"/>
      <c r="AG73" s="509"/>
      <c r="AH73" s="509"/>
      <c r="AI73" s="509"/>
      <c r="AJ73" s="509"/>
      <c r="AK73" s="509"/>
      <c r="AL73" s="509"/>
      <c r="AM73" s="509"/>
      <c r="AN73" s="509"/>
      <c r="AO73" s="509"/>
      <c r="AP73" s="509"/>
      <c r="AQ73" s="509"/>
      <c r="AR73" s="509"/>
      <c r="AS73" s="509"/>
      <c r="AT73" s="509"/>
      <c r="AU73" s="509"/>
      <c r="AV73" s="509"/>
      <c r="AW73" s="509"/>
      <c r="AX73" s="509"/>
      <c r="AY73" s="509"/>
      <c r="AZ73" s="509"/>
      <c r="BA73" s="509"/>
      <c r="BB73" s="509"/>
      <c r="BC73" s="509"/>
      <c r="BD73" s="509"/>
      <c r="BE73" s="509"/>
      <c r="BF73" s="509"/>
      <c r="BG73" s="509"/>
      <c r="BH73" s="509"/>
      <c r="BI73" s="509"/>
      <c r="BJ73" s="509"/>
      <c r="BK73" s="509"/>
      <c r="BL73" s="509"/>
      <c r="BM73" s="509"/>
      <c r="BN73" s="509"/>
      <c r="BO73" s="509"/>
      <c r="BP73" s="509"/>
      <c r="BQ73" s="509"/>
      <c r="BR73" s="509"/>
      <c r="BS73" s="509"/>
      <c r="BT73" s="509"/>
      <c r="BU73" s="509"/>
      <c r="BV73" s="509"/>
      <c r="BW73" s="509"/>
      <c r="BX73" s="509"/>
      <c r="BY73" s="509"/>
      <c r="BZ73" s="509"/>
      <c r="CA73" s="509"/>
      <c r="CB73" s="509"/>
      <c r="CC73" s="509"/>
      <c r="CD73" s="509"/>
      <c r="CE73" s="509"/>
      <c r="CF73" s="509"/>
      <c r="CG73" s="509"/>
      <c r="CH73" s="509"/>
      <c r="CI73" s="509"/>
      <c r="CJ73" s="509"/>
      <c r="CK73" s="509"/>
      <c r="CL73" s="509"/>
      <c r="CM73" s="509"/>
      <c r="CN73" s="509"/>
      <c r="CO73" s="509"/>
      <c r="CP73" s="509"/>
      <c r="CQ73" s="509"/>
      <c r="CR73" s="509"/>
      <c r="CS73" s="509"/>
      <c r="CT73" s="509"/>
      <c r="CU73" s="509"/>
      <c r="CV73" s="509"/>
      <c r="CW73" s="509"/>
      <c r="CX73" s="509"/>
      <c r="CY73" s="509"/>
      <c r="CZ73" s="509"/>
      <c r="DA73" s="509"/>
      <c r="DB73" s="509"/>
      <c r="DC73" s="509"/>
      <c r="DD73" s="509"/>
      <c r="DE73" s="509"/>
      <c r="DF73" s="509"/>
      <c r="DG73" s="509"/>
      <c r="DH73" s="509"/>
      <c r="DI73" s="509"/>
      <c r="DJ73" s="509"/>
      <c r="DK73" s="509"/>
      <c r="DL73" s="509"/>
      <c r="DM73" s="509"/>
      <c r="DN73" s="509"/>
      <c r="DO73" s="509"/>
      <c r="DP73" s="509"/>
      <c r="DQ73" s="509"/>
      <c r="DR73" s="509"/>
      <c r="DS73" s="509"/>
      <c r="DT73" s="509"/>
      <c r="DU73" s="509"/>
      <c r="DV73" s="509"/>
      <c r="DW73" s="509"/>
      <c r="DX73" s="509"/>
      <c r="DY73" s="509"/>
      <c r="DZ73" s="509"/>
      <c r="EA73" s="509"/>
      <c r="EB73" s="509"/>
      <c r="EC73" s="509"/>
      <c r="ED73" s="509"/>
      <c r="EE73" s="509"/>
      <c r="EF73" s="509"/>
      <c r="EG73" s="509"/>
      <c r="EH73" s="509"/>
      <c r="EI73" s="509"/>
      <c r="EJ73" s="509"/>
      <c r="EK73" s="509"/>
      <c r="EL73" s="509"/>
      <c r="EM73" s="509"/>
      <c r="EN73" s="509"/>
      <c r="EO73" s="509"/>
      <c r="EP73" s="509"/>
      <c r="EQ73" s="509"/>
      <c r="ER73" s="509"/>
      <c r="ES73" s="509"/>
      <c r="ET73" s="509"/>
      <c r="EU73" s="509"/>
      <c r="EV73" s="509"/>
      <c r="EW73" s="509"/>
      <c r="EX73" s="509"/>
      <c r="EY73" s="509"/>
      <c r="EZ73" s="509"/>
      <c r="FA73" s="509"/>
      <c r="FB73" s="509"/>
      <c r="FC73" s="509"/>
      <c r="FD73" s="509"/>
      <c r="FE73" s="509"/>
      <c r="FF73" s="509"/>
      <c r="FG73" s="509"/>
      <c r="FH73" s="509"/>
      <c r="FI73" s="509"/>
      <c r="FJ73" s="509"/>
      <c r="FK73" s="509"/>
      <c r="FL73" s="509"/>
      <c r="FM73" s="509"/>
      <c r="FN73" s="509"/>
      <c r="FO73" s="509"/>
      <c r="FP73" s="509"/>
      <c r="FQ73" s="509"/>
      <c r="FR73" s="509"/>
      <c r="FS73" s="509"/>
      <c r="FT73" s="509"/>
      <c r="FU73" s="509"/>
      <c r="FV73" s="509"/>
      <c r="FW73" s="509"/>
      <c r="FX73" s="509"/>
      <c r="FY73" s="509"/>
      <c r="FZ73" s="509"/>
      <c r="GA73" s="509"/>
      <c r="GB73" s="509"/>
      <c r="GC73" s="509"/>
      <c r="GD73" s="509"/>
      <c r="GE73" s="509"/>
      <c r="GF73" s="509"/>
      <c r="GG73" s="509"/>
      <c r="GH73" s="509"/>
      <c r="GI73" s="509"/>
      <c r="GJ73" s="509"/>
      <c r="GK73" s="509"/>
      <c r="GL73" s="509"/>
      <c r="GM73" s="509"/>
      <c r="GN73" s="509"/>
      <c r="GO73" s="509"/>
      <c r="GP73" s="509"/>
      <c r="GQ73" s="509"/>
      <c r="GR73" s="509"/>
      <c r="GS73" s="509"/>
      <c r="GT73" s="509"/>
      <c r="GU73" s="509"/>
      <c r="GV73" s="509"/>
      <c r="GW73" s="509"/>
      <c r="GX73" s="509"/>
      <c r="GY73" s="509"/>
      <c r="GZ73" s="509"/>
      <c r="HA73" s="509"/>
      <c r="HB73" s="509"/>
      <c r="HC73" s="509"/>
      <c r="HD73" s="509"/>
      <c r="HE73" s="509"/>
      <c r="HF73" s="509"/>
      <c r="HG73" s="509"/>
      <c r="HH73" s="509"/>
      <c r="HI73" s="509"/>
      <c r="HJ73" s="509"/>
      <c r="HK73" s="509"/>
      <c r="HL73" s="509"/>
      <c r="HM73" s="509"/>
      <c r="HN73" s="509"/>
      <c r="HO73" s="509"/>
      <c r="HP73" s="509"/>
      <c r="HQ73" s="509"/>
      <c r="HR73" s="509"/>
      <c r="HS73" s="509"/>
      <c r="HT73" s="509"/>
      <c r="HU73" s="509"/>
      <c r="HV73" s="509"/>
      <c r="HW73" s="509"/>
      <c r="HX73" s="509"/>
      <c r="HY73" s="509"/>
      <c r="HZ73" s="509"/>
      <c r="IA73" s="509"/>
      <c r="IB73" s="509"/>
      <c r="IC73" s="509"/>
    </row>
    <row r="74" s="508" customFormat="1" customHeight="1" spans="1:248">
      <c r="A74" s="524" t="s">
        <v>306</v>
      </c>
      <c r="B74" s="94" t="s">
        <v>307</v>
      </c>
      <c r="C74" s="94" t="s">
        <v>13</v>
      </c>
      <c r="D74" s="94" t="s">
        <v>167</v>
      </c>
      <c r="E74" s="521" t="s">
        <v>308</v>
      </c>
      <c r="F74" s="521">
        <v>13542457023</v>
      </c>
      <c r="G74" s="521">
        <v>667023</v>
      </c>
      <c r="H74" s="521"/>
      <c r="I74" s="521"/>
      <c r="J74" s="521"/>
      <c r="K74" s="94"/>
      <c r="L74" s="509"/>
      <c r="M74" s="509"/>
      <c r="N74" s="509"/>
      <c r="O74" s="509"/>
      <c r="P74" s="509"/>
      <c r="Q74" s="509"/>
      <c r="R74" s="509"/>
      <c r="S74" s="509"/>
      <c r="T74" s="509"/>
      <c r="U74" s="509"/>
      <c r="V74" s="509"/>
      <c r="W74" s="509"/>
      <c r="X74" s="509"/>
      <c r="Y74" s="509"/>
      <c r="Z74" s="509"/>
      <c r="AA74" s="509"/>
      <c r="AB74" s="509"/>
      <c r="AC74" s="509"/>
      <c r="AD74" s="509"/>
      <c r="AE74" s="509"/>
      <c r="AF74" s="509"/>
      <c r="AG74" s="509"/>
      <c r="AH74" s="509"/>
      <c r="AI74" s="509"/>
      <c r="AJ74" s="509"/>
      <c r="AK74" s="509"/>
      <c r="AL74" s="509"/>
      <c r="AM74" s="509"/>
      <c r="AN74" s="509"/>
      <c r="AO74" s="509"/>
      <c r="AP74" s="509"/>
      <c r="AQ74" s="509"/>
      <c r="AR74" s="509"/>
      <c r="AS74" s="509"/>
      <c r="AT74" s="509"/>
      <c r="AU74" s="509"/>
      <c r="AV74" s="509"/>
      <c r="AW74" s="509"/>
      <c r="AX74" s="509"/>
      <c r="AY74" s="509"/>
      <c r="AZ74" s="509"/>
      <c r="BA74" s="509"/>
      <c r="BB74" s="509"/>
      <c r="BC74" s="509"/>
      <c r="BD74" s="509"/>
      <c r="BE74" s="509"/>
      <c r="BF74" s="509"/>
      <c r="BG74" s="509"/>
      <c r="BH74" s="509"/>
      <c r="BI74" s="509"/>
      <c r="BJ74" s="509"/>
      <c r="BK74" s="509"/>
      <c r="BL74" s="509"/>
      <c r="BM74" s="509"/>
      <c r="BN74" s="509"/>
      <c r="BO74" s="509"/>
      <c r="BP74" s="509"/>
      <c r="BQ74" s="509"/>
      <c r="BR74" s="509"/>
      <c r="BS74" s="509"/>
      <c r="BT74" s="509"/>
      <c r="BU74" s="509"/>
      <c r="BV74" s="509"/>
      <c r="BW74" s="509"/>
      <c r="BX74" s="509"/>
      <c r="BY74" s="509"/>
      <c r="BZ74" s="509"/>
      <c r="CA74" s="509"/>
      <c r="CB74" s="509"/>
      <c r="CC74" s="509"/>
      <c r="CD74" s="509"/>
      <c r="CE74" s="509"/>
      <c r="CF74" s="509"/>
      <c r="CG74" s="509"/>
      <c r="CH74" s="509"/>
      <c r="CI74" s="509"/>
      <c r="CJ74" s="509"/>
      <c r="CK74" s="509"/>
      <c r="CL74" s="509"/>
      <c r="CM74" s="509"/>
      <c r="CN74" s="509"/>
      <c r="CO74" s="509"/>
      <c r="CP74" s="509"/>
      <c r="CQ74" s="509"/>
      <c r="CR74" s="509"/>
      <c r="CS74" s="509"/>
      <c r="CT74" s="509"/>
      <c r="CU74" s="509"/>
      <c r="CV74" s="509"/>
      <c r="CW74" s="509"/>
      <c r="CX74" s="509"/>
      <c r="CY74" s="509"/>
      <c r="CZ74" s="509"/>
      <c r="DA74" s="509"/>
      <c r="DB74" s="509"/>
      <c r="DC74" s="509"/>
      <c r="DD74" s="509"/>
      <c r="DE74" s="509"/>
      <c r="DF74" s="509"/>
      <c r="DG74" s="509"/>
      <c r="DH74" s="509"/>
      <c r="DI74" s="509"/>
      <c r="DJ74" s="509"/>
      <c r="DK74" s="509"/>
      <c r="DL74" s="509"/>
      <c r="DM74" s="509"/>
      <c r="DN74" s="509"/>
      <c r="DO74" s="509"/>
      <c r="DP74" s="509"/>
      <c r="DQ74" s="509"/>
      <c r="DR74" s="509"/>
      <c r="DS74" s="509"/>
      <c r="DT74" s="509"/>
      <c r="DU74" s="509"/>
      <c r="DV74" s="509"/>
      <c r="DW74" s="509"/>
      <c r="DX74" s="509"/>
      <c r="DY74" s="509"/>
      <c r="DZ74" s="509"/>
      <c r="EA74" s="509"/>
      <c r="EB74" s="509"/>
      <c r="EC74" s="509"/>
      <c r="ED74" s="509"/>
      <c r="EE74" s="509"/>
      <c r="EF74" s="509"/>
      <c r="EG74" s="509"/>
      <c r="EH74" s="509"/>
      <c r="EI74" s="509"/>
      <c r="EJ74" s="509"/>
      <c r="EK74" s="509"/>
      <c r="EL74" s="509"/>
      <c r="EM74" s="509"/>
      <c r="EN74" s="509"/>
      <c r="EO74" s="509"/>
      <c r="EP74" s="509"/>
      <c r="EQ74" s="509"/>
      <c r="ER74" s="509"/>
      <c r="ES74" s="509"/>
      <c r="ET74" s="509"/>
      <c r="EU74" s="509"/>
      <c r="EV74" s="509"/>
      <c r="EW74" s="509"/>
      <c r="EX74" s="509"/>
      <c r="EY74" s="509"/>
      <c r="EZ74" s="509"/>
      <c r="FA74" s="509"/>
      <c r="FB74" s="509"/>
      <c r="FC74" s="509"/>
      <c r="FD74" s="509"/>
      <c r="FE74" s="509"/>
      <c r="FF74" s="509"/>
      <c r="FG74" s="509"/>
      <c r="FH74" s="509"/>
      <c r="FI74" s="509"/>
      <c r="FJ74" s="509"/>
      <c r="FK74" s="509"/>
      <c r="FL74" s="509"/>
      <c r="FM74" s="509"/>
      <c r="FN74" s="509"/>
      <c r="FO74" s="509"/>
      <c r="FP74" s="509"/>
      <c r="FQ74" s="509"/>
      <c r="FR74" s="509"/>
      <c r="FS74" s="509"/>
      <c r="FT74" s="509"/>
      <c r="FU74" s="509"/>
      <c r="FV74" s="509"/>
      <c r="FW74" s="509"/>
      <c r="FX74" s="509"/>
      <c r="FY74" s="509"/>
      <c r="FZ74" s="509"/>
      <c r="GA74" s="509"/>
      <c r="GB74" s="509"/>
      <c r="GC74" s="509"/>
      <c r="GD74" s="509"/>
      <c r="GE74" s="509"/>
      <c r="GF74" s="509"/>
      <c r="GG74" s="509"/>
      <c r="GH74" s="509"/>
      <c r="GI74" s="509"/>
      <c r="GJ74" s="509"/>
      <c r="GK74" s="509"/>
      <c r="GL74" s="509"/>
      <c r="GM74" s="509"/>
      <c r="GN74" s="509"/>
      <c r="GO74" s="509"/>
      <c r="GP74" s="509"/>
      <c r="GQ74" s="509"/>
      <c r="GR74" s="509"/>
      <c r="GS74" s="509"/>
      <c r="GT74" s="509"/>
      <c r="GU74" s="509"/>
      <c r="GV74" s="509"/>
      <c r="GW74" s="509"/>
      <c r="GX74" s="509"/>
      <c r="GY74" s="509"/>
      <c r="GZ74" s="509"/>
      <c r="HA74" s="509"/>
      <c r="HB74" s="509"/>
      <c r="HC74" s="509"/>
      <c r="HD74" s="509"/>
      <c r="HE74" s="509"/>
      <c r="HF74" s="509"/>
      <c r="HG74" s="509"/>
      <c r="HH74" s="509"/>
      <c r="HI74" s="509"/>
      <c r="HJ74" s="509"/>
      <c r="HK74" s="509"/>
      <c r="HL74" s="509"/>
      <c r="HM74" s="509"/>
      <c r="HN74" s="509"/>
      <c r="HO74" s="509"/>
      <c r="HP74" s="509"/>
      <c r="HQ74" s="509"/>
      <c r="HR74" s="509"/>
      <c r="HS74" s="509"/>
      <c r="HT74" s="509"/>
      <c r="HU74" s="509"/>
      <c r="HV74" s="509"/>
      <c r="HW74" s="509"/>
      <c r="HX74" s="509"/>
      <c r="HY74" s="509"/>
      <c r="HZ74" s="509"/>
      <c r="IA74" s="509"/>
      <c r="IB74" s="509"/>
      <c r="IC74" s="509"/>
    </row>
    <row r="75" s="508" customFormat="1" customHeight="1" spans="1:248">
      <c r="A75" s="524" t="s">
        <v>309</v>
      </c>
      <c r="B75" s="94" t="s">
        <v>310</v>
      </c>
      <c r="C75" s="94" t="s">
        <v>13</v>
      </c>
      <c r="D75" s="94" t="s">
        <v>167</v>
      </c>
      <c r="E75" s="24" t="s">
        <v>311</v>
      </c>
      <c r="F75" s="24">
        <v>13542460865</v>
      </c>
      <c r="G75" s="24">
        <v>660865</v>
      </c>
      <c r="H75" s="94" t="s">
        <v>311</v>
      </c>
      <c r="I75" s="24">
        <v>13542460865</v>
      </c>
      <c r="J75" s="24">
        <v>660865</v>
      </c>
      <c r="K75" s="94"/>
      <c r="L75" s="509"/>
      <c r="M75" s="509"/>
      <c r="N75" s="509"/>
      <c r="O75" s="509"/>
      <c r="P75" s="509"/>
      <c r="Q75" s="509"/>
      <c r="R75" s="509"/>
      <c r="S75" s="509"/>
      <c r="T75" s="509"/>
      <c r="U75" s="509"/>
      <c r="V75" s="509"/>
      <c r="W75" s="509"/>
      <c r="X75" s="509"/>
      <c r="Y75" s="509"/>
      <c r="Z75" s="509"/>
      <c r="AA75" s="509"/>
      <c r="AB75" s="509"/>
      <c r="AC75" s="509"/>
      <c r="AD75" s="509"/>
      <c r="AE75" s="509"/>
      <c r="AF75" s="509"/>
      <c r="AG75" s="509"/>
      <c r="AH75" s="509"/>
      <c r="AI75" s="509"/>
      <c r="AJ75" s="509"/>
      <c r="AK75" s="509"/>
      <c r="AL75" s="509"/>
      <c r="AM75" s="509"/>
      <c r="AN75" s="509"/>
      <c r="AO75" s="509"/>
      <c r="AP75" s="509"/>
      <c r="AQ75" s="509"/>
      <c r="AR75" s="509"/>
      <c r="AS75" s="509"/>
      <c r="AT75" s="509"/>
      <c r="AU75" s="509"/>
      <c r="AV75" s="509"/>
      <c r="AW75" s="509"/>
      <c r="AX75" s="509"/>
      <c r="AY75" s="509"/>
      <c r="AZ75" s="509"/>
      <c r="BA75" s="509"/>
      <c r="BB75" s="509"/>
      <c r="BC75" s="509"/>
      <c r="BD75" s="509"/>
      <c r="BE75" s="509"/>
      <c r="BF75" s="509"/>
      <c r="BG75" s="509"/>
      <c r="BH75" s="509"/>
      <c r="BI75" s="509"/>
      <c r="BJ75" s="509"/>
      <c r="BK75" s="509"/>
      <c r="BL75" s="509"/>
      <c r="BM75" s="509"/>
      <c r="BN75" s="509"/>
      <c r="BO75" s="509"/>
      <c r="BP75" s="509"/>
      <c r="BQ75" s="509"/>
      <c r="BR75" s="509"/>
      <c r="BS75" s="509"/>
      <c r="BT75" s="509"/>
      <c r="BU75" s="509"/>
      <c r="BV75" s="509"/>
      <c r="BW75" s="509"/>
      <c r="BX75" s="509"/>
      <c r="BY75" s="509"/>
      <c r="BZ75" s="509"/>
      <c r="CA75" s="509"/>
      <c r="CB75" s="509"/>
      <c r="CC75" s="509"/>
      <c r="CD75" s="509"/>
      <c r="CE75" s="509"/>
      <c r="CF75" s="509"/>
      <c r="CG75" s="509"/>
      <c r="CH75" s="509"/>
      <c r="CI75" s="509"/>
      <c r="CJ75" s="509"/>
      <c r="CK75" s="509"/>
      <c r="CL75" s="509"/>
      <c r="CM75" s="509"/>
      <c r="CN75" s="509"/>
      <c r="CO75" s="509"/>
      <c r="CP75" s="509"/>
      <c r="CQ75" s="509"/>
      <c r="CR75" s="509"/>
      <c r="CS75" s="509"/>
      <c r="CT75" s="509"/>
      <c r="CU75" s="509"/>
      <c r="CV75" s="509"/>
      <c r="CW75" s="509"/>
      <c r="CX75" s="509"/>
      <c r="CY75" s="509"/>
      <c r="CZ75" s="509"/>
      <c r="DA75" s="509"/>
      <c r="DB75" s="509"/>
      <c r="DC75" s="509"/>
      <c r="DD75" s="509"/>
      <c r="DE75" s="509"/>
      <c r="DF75" s="509"/>
      <c r="DG75" s="509"/>
      <c r="DH75" s="509"/>
      <c r="DI75" s="509"/>
      <c r="DJ75" s="509"/>
      <c r="DK75" s="509"/>
      <c r="DL75" s="509"/>
      <c r="DM75" s="509"/>
      <c r="DN75" s="509"/>
      <c r="DO75" s="509"/>
      <c r="DP75" s="509"/>
      <c r="DQ75" s="509"/>
      <c r="DR75" s="509"/>
      <c r="DS75" s="509"/>
      <c r="DT75" s="509"/>
      <c r="DU75" s="509"/>
      <c r="DV75" s="509"/>
      <c r="DW75" s="509"/>
      <c r="DX75" s="509"/>
      <c r="DY75" s="509"/>
      <c r="DZ75" s="509"/>
      <c r="EA75" s="509"/>
      <c r="EB75" s="509"/>
      <c r="EC75" s="509"/>
      <c r="ED75" s="509"/>
      <c r="EE75" s="509"/>
      <c r="EF75" s="509"/>
      <c r="EG75" s="509"/>
      <c r="EH75" s="509"/>
      <c r="EI75" s="509"/>
      <c r="EJ75" s="509"/>
      <c r="EK75" s="509"/>
      <c r="EL75" s="509"/>
      <c r="EM75" s="509"/>
      <c r="EN75" s="509"/>
      <c r="EO75" s="509"/>
      <c r="EP75" s="509"/>
      <c r="EQ75" s="509"/>
      <c r="ER75" s="509"/>
      <c r="ES75" s="509"/>
      <c r="ET75" s="509"/>
      <c r="EU75" s="509"/>
      <c r="EV75" s="509"/>
      <c r="EW75" s="509"/>
      <c r="EX75" s="509"/>
      <c r="EY75" s="509"/>
      <c r="EZ75" s="509"/>
      <c r="FA75" s="509"/>
      <c r="FB75" s="509"/>
      <c r="FC75" s="509"/>
      <c r="FD75" s="509"/>
      <c r="FE75" s="509"/>
      <c r="FF75" s="509"/>
      <c r="FG75" s="509"/>
      <c r="FH75" s="509"/>
      <c r="FI75" s="509"/>
      <c r="FJ75" s="509"/>
      <c r="FK75" s="509"/>
      <c r="FL75" s="509"/>
      <c r="FM75" s="509"/>
      <c r="FN75" s="509"/>
      <c r="FO75" s="509"/>
      <c r="FP75" s="509"/>
      <c r="FQ75" s="509"/>
      <c r="FR75" s="509"/>
      <c r="FS75" s="509"/>
      <c r="FT75" s="509"/>
      <c r="FU75" s="509"/>
      <c r="FV75" s="509"/>
      <c r="FW75" s="509"/>
      <c r="FX75" s="509"/>
      <c r="FY75" s="509"/>
      <c r="FZ75" s="509"/>
      <c r="GA75" s="509"/>
      <c r="GB75" s="509"/>
      <c r="GC75" s="509"/>
      <c r="GD75" s="509"/>
      <c r="GE75" s="509"/>
      <c r="GF75" s="509"/>
      <c r="GG75" s="509"/>
      <c r="GH75" s="509"/>
      <c r="GI75" s="509"/>
      <c r="GJ75" s="509"/>
      <c r="GK75" s="509"/>
      <c r="GL75" s="509"/>
      <c r="GM75" s="509"/>
      <c r="GN75" s="509"/>
      <c r="GO75" s="509"/>
      <c r="GP75" s="509"/>
      <c r="GQ75" s="509"/>
      <c r="GR75" s="509"/>
      <c r="GS75" s="509"/>
      <c r="GT75" s="509"/>
      <c r="GU75" s="509"/>
      <c r="GV75" s="509"/>
      <c r="GW75" s="509"/>
      <c r="GX75" s="509"/>
      <c r="GY75" s="509"/>
      <c r="GZ75" s="509"/>
      <c r="HA75" s="509"/>
      <c r="HB75" s="509"/>
      <c r="HC75" s="509"/>
      <c r="HD75" s="509"/>
      <c r="HE75" s="509"/>
      <c r="HF75" s="509"/>
      <c r="HG75" s="509"/>
      <c r="HH75" s="509"/>
      <c r="HI75" s="509"/>
      <c r="HJ75" s="509"/>
      <c r="HK75" s="509"/>
      <c r="HL75" s="509"/>
      <c r="HM75" s="509"/>
      <c r="HN75" s="509"/>
      <c r="HO75" s="509"/>
      <c r="HP75" s="509"/>
      <c r="HQ75" s="509"/>
      <c r="HR75" s="509"/>
      <c r="HS75" s="509"/>
      <c r="HT75" s="509"/>
      <c r="HU75" s="509"/>
      <c r="HV75" s="509"/>
      <c r="HW75" s="509"/>
      <c r="HX75" s="509"/>
      <c r="HY75" s="509"/>
      <c r="HZ75" s="509"/>
      <c r="IA75" s="509"/>
      <c r="IB75" s="509"/>
      <c r="IC75" s="509"/>
    </row>
    <row r="76" s="508" customFormat="1" customHeight="1" spans="1:248">
      <c r="A76" s="524" t="s">
        <v>312</v>
      </c>
      <c r="B76" s="94" t="s">
        <v>313</v>
      </c>
      <c r="C76" s="94" t="s">
        <v>314</v>
      </c>
      <c r="D76" s="94" t="s">
        <v>315</v>
      </c>
      <c r="E76" s="94" t="s">
        <v>316</v>
      </c>
      <c r="F76" s="94">
        <v>18938627534</v>
      </c>
      <c r="G76" s="94">
        <v>686834</v>
      </c>
      <c r="H76" s="94" t="s">
        <v>316</v>
      </c>
      <c r="I76" s="94">
        <v>18938627534</v>
      </c>
      <c r="J76" s="94">
        <v>686834</v>
      </c>
      <c r="K76" s="94"/>
      <c r="L76" s="509"/>
      <c r="M76" s="509"/>
      <c r="N76" s="509"/>
      <c r="O76" s="509"/>
      <c r="P76" s="509"/>
      <c r="Q76" s="509"/>
      <c r="R76" s="509"/>
      <c r="S76" s="509"/>
      <c r="T76" s="509"/>
      <c r="U76" s="509"/>
      <c r="V76" s="509"/>
      <c r="W76" s="509"/>
      <c r="X76" s="509"/>
      <c r="Y76" s="509"/>
      <c r="Z76" s="509"/>
      <c r="AA76" s="509"/>
      <c r="AB76" s="509"/>
      <c r="AC76" s="509"/>
      <c r="AD76" s="509"/>
      <c r="AE76" s="509"/>
      <c r="AF76" s="509"/>
      <c r="AG76" s="509"/>
      <c r="AH76" s="509"/>
      <c r="AI76" s="509"/>
      <c r="AJ76" s="509"/>
      <c r="AK76" s="509"/>
      <c r="AL76" s="509"/>
      <c r="AM76" s="509"/>
      <c r="AN76" s="509"/>
      <c r="AO76" s="509"/>
      <c r="AP76" s="509"/>
      <c r="AQ76" s="509"/>
      <c r="AR76" s="509"/>
      <c r="AS76" s="509"/>
      <c r="AT76" s="509"/>
      <c r="AU76" s="509"/>
      <c r="AV76" s="509"/>
      <c r="AW76" s="509"/>
      <c r="AX76" s="509"/>
      <c r="AY76" s="509"/>
      <c r="AZ76" s="509"/>
      <c r="BA76" s="509"/>
      <c r="BB76" s="509"/>
      <c r="BC76" s="509"/>
      <c r="BD76" s="509"/>
      <c r="BE76" s="509"/>
      <c r="BF76" s="509"/>
      <c r="BG76" s="509"/>
      <c r="BH76" s="509"/>
      <c r="BI76" s="509"/>
      <c r="BJ76" s="509"/>
      <c r="BK76" s="509"/>
      <c r="BL76" s="509"/>
      <c r="BM76" s="509"/>
      <c r="BN76" s="509"/>
      <c r="BO76" s="509"/>
      <c r="BP76" s="509"/>
      <c r="BQ76" s="509"/>
      <c r="BR76" s="509"/>
      <c r="BS76" s="509"/>
      <c r="BT76" s="509"/>
      <c r="BU76" s="509"/>
      <c r="BV76" s="509"/>
      <c r="BW76" s="509"/>
      <c r="BX76" s="509"/>
      <c r="BY76" s="509"/>
      <c r="BZ76" s="509"/>
      <c r="CA76" s="509"/>
      <c r="CB76" s="509"/>
      <c r="CC76" s="509"/>
      <c r="CD76" s="509"/>
      <c r="CE76" s="509"/>
      <c r="CF76" s="509"/>
      <c r="CG76" s="509"/>
      <c r="CH76" s="509"/>
      <c r="CI76" s="509"/>
      <c r="CJ76" s="509"/>
      <c r="CK76" s="509"/>
      <c r="CL76" s="509"/>
      <c r="CM76" s="509"/>
      <c r="CN76" s="509"/>
      <c r="CO76" s="509"/>
      <c r="CP76" s="509"/>
      <c r="CQ76" s="509"/>
      <c r="CR76" s="509"/>
      <c r="CS76" s="509"/>
      <c r="CT76" s="509"/>
      <c r="CU76" s="509"/>
      <c r="CV76" s="509"/>
      <c r="CW76" s="509"/>
      <c r="CX76" s="509"/>
      <c r="CY76" s="509"/>
      <c r="CZ76" s="509"/>
      <c r="DA76" s="509"/>
      <c r="DB76" s="509"/>
      <c r="DC76" s="509"/>
      <c r="DD76" s="509"/>
      <c r="DE76" s="509"/>
      <c r="DF76" s="509"/>
      <c r="DG76" s="509"/>
      <c r="DH76" s="509"/>
      <c r="DI76" s="509"/>
      <c r="DJ76" s="509"/>
      <c r="DK76" s="509"/>
      <c r="DL76" s="509"/>
      <c r="DM76" s="509"/>
      <c r="DN76" s="509"/>
      <c r="DO76" s="509"/>
      <c r="DP76" s="509"/>
      <c r="DQ76" s="509"/>
      <c r="DR76" s="509"/>
      <c r="DS76" s="509"/>
      <c r="DT76" s="509"/>
      <c r="DU76" s="509"/>
      <c r="DV76" s="509"/>
      <c r="DW76" s="509"/>
      <c r="DX76" s="509"/>
      <c r="DY76" s="509"/>
      <c r="DZ76" s="509"/>
      <c r="EA76" s="509"/>
      <c r="EB76" s="509"/>
      <c r="EC76" s="509"/>
      <c r="ED76" s="509"/>
      <c r="EE76" s="509"/>
      <c r="EF76" s="509"/>
      <c r="EG76" s="509"/>
      <c r="EH76" s="509"/>
      <c r="EI76" s="509"/>
      <c r="EJ76" s="509"/>
      <c r="EK76" s="509"/>
      <c r="EL76" s="509"/>
      <c r="EM76" s="509"/>
      <c r="EN76" s="509"/>
      <c r="EO76" s="509"/>
      <c r="EP76" s="509"/>
      <c r="EQ76" s="509"/>
      <c r="ER76" s="509"/>
      <c r="ES76" s="509"/>
      <c r="ET76" s="509"/>
      <c r="EU76" s="509"/>
      <c r="EV76" s="509"/>
      <c r="EW76" s="509"/>
      <c r="EX76" s="509"/>
      <c r="EY76" s="509"/>
      <c r="EZ76" s="509"/>
      <c r="FA76" s="509"/>
      <c r="FB76" s="509"/>
      <c r="FC76" s="509"/>
      <c r="FD76" s="509"/>
      <c r="FE76" s="509"/>
      <c r="FF76" s="509"/>
      <c r="FG76" s="509"/>
      <c r="FH76" s="509"/>
      <c r="FI76" s="509"/>
      <c r="FJ76" s="509"/>
      <c r="FK76" s="509"/>
      <c r="FL76" s="509"/>
      <c r="FM76" s="509"/>
      <c r="FN76" s="509"/>
      <c r="FO76" s="509"/>
      <c r="FP76" s="509"/>
      <c r="FQ76" s="509"/>
      <c r="FR76" s="509"/>
      <c r="FS76" s="509"/>
      <c r="FT76" s="509"/>
      <c r="FU76" s="509"/>
      <c r="FV76" s="509"/>
      <c r="FW76" s="509"/>
      <c r="FX76" s="509"/>
      <c r="FY76" s="509"/>
      <c r="FZ76" s="509"/>
      <c r="GA76" s="509"/>
      <c r="GB76" s="509"/>
      <c r="GC76" s="509"/>
      <c r="GD76" s="509"/>
      <c r="GE76" s="509"/>
      <c r="GF76" s="509"/>
      <c r="GG76" s="509"/>
      <c r="GH76" s="509"/>
      <c r="GI76" s="509"/>
      <c r="GJ76" s="509"/>
      <c r="GK76" s="509"/>
      <c r="GL76" s="509"/>
      <c r="GM76" s="509"/>
      <c r="GN76" s="509"/>
      <c r="GO76" s="509"/>
      <c r="GP76" s="509"/>
      <c r="GQ76" s="509"/>
      <c r="GR76" s="509"/>
      <c r="GS76" s="509"/>
      <c r="GT76" s="509"/>
      <c r="GU76" s="509"/>
      <c r="GV76" s="509"/>
      <c r="GW76" s="509"/>
      <c r="GX76" s="509"/>
      <c r="GY76" s="509"/>
      <c r="GZ76" s="509"/>
      <c r="HA76" s="509"/>
      <c r="HB76" s="509"/>
      <c r="HC76" s="509"/>
      <c r="HD76" s="509"/>
      <c r="HE76" s="509"/>
      <c r="HF76" s="509"/>
      <c r="HG76" s="509"/>
      <c r="HH76" s="509"/>
      <c r="HI76" s="509"/>
      <c r="HJ76" s="509"/>
      <c r="HK76" s="509"/>
      <c r="HL76" s="509"/>
      <c r="HM76" s="509"/>
      <c r="HN76" s="509"/>
      <c r="HO76" s="509"/>
      <c r="HP76" s="509"/>
      <c r="HQ76" s="509"/>
      <c r="HR76" s="509"/>
      <c r="HS76" s="509"/>
      <c r="HT76" s="509"/>
      <c r="HU76" s="509"/>
      <c r="HV76" s="509"/>
      <c r="HW76" s="509"/>
      <c r="HX76" s="509"/>
      <c r="HY76" s="509"/>
      <c r="HZ76" s="509"/>
      <c r="IA76" s="509"/>
      <c r="IB76" s="509"/>
      <c r="IC76" s="509"/>
    </row>
    <row r="77" s="508" customFormat="1" customHeight="1" spans="1:248">
      <c r="A77" s="524" t="s">
        <v>317</v>
      </c>
      <c r="B77" s="94" t="s">
        <v>318</v>
      </c>
      <c r="C77" s="94" t="s">
        <v>314</v>
      </c>
      <c r="D77" s="94" t="s">
        <v>319</v>
      </c>
      <c r="E77" s="94" t="s">
        <v>320</v>
      </c>
      <c r="F77" s="94">
        <v>13631091791</v>
      </c>
      <c r="G77" s="94"/>
      <c r="H77" s="94" t="s">
        <v>321</v>
      </c>
      <c r="I77" s="94">
        <v>18218956161</v>
      </c>
      <c r="J77" s="94"/>
      <c r="K77" s="94"/>
      <c r="L77" s="509"/>
      <c r="M77" s="509"/>
      <c r="N77" s="509"/>
      <c r="O77" s="509"/>
      <c r="P77" s="509"/>
      <c r="Q77" s="509"/>
      <c r="R77" s="509"/>
      <c r="S77" s="509"/>
      <c r="T77" s="509"/>
      <c r="U77" s="509"/>
      <c r="V77" s="509"/>
      <c r="W77" s="509"/>
      <c r="X77" s="509"/>
      <c r="Y77" s="509"/>
      <c r="Z77" s="509"/>
      <c r="AA77" s="509"/>
      <c r="AB77" s="509"/>
      <c r="AC77" s="509"/>
      <c r="AD77" s="509"/>
      <c r="AE77" s="509"/>
      <c r="AF77" s="509"/>
      <c r="AG77" s="509"/>
      <c r="AH77" s="509"/>
      <c r="AI77" s="509"/>
      <c r="AJ77" s="509"/>
      <c r="AK77" s="509"/>
      <c r="AL77" s="509"/>
      <c r="AM77" s="509"/>
      <c r="AN77" s="509"/>
      <c r="AO77" s="509"/>
      <c r="AP77" s="509"/>
      <c r="AQ77" s="509"/>
      <c r="AR77" s="509"/>
      <c r="AS77" s="509"/>
      <c r="AT77" s="509"/>
      <c r="AU77" s="509"/>
      <c r="AV77" s="509"/>
      <c r="AW77" s="509"/>
      <c r="AX77" s="509"/>
      <c r="AY77" s="509"/>
      <c r="AZ77" s="509"/>
      <c r="BA77" s="509"/>
      <c r="BB77" s="509"/>
      <c r="BC77" s="509"/>
      <c r="BD77" s="509"/>
      <c r="BE77" s="509"/>
      <c r="BF77" s="509"/>
      <c r="BG77" s="509"/>
      <c r="BH77" s="509"/>
      <c r="BI77" s="509"/>
      <c r="BJ77" s="509"/>
      <c r="BK77" s="509"/>
      <c r="BL77" s="509"/>
      <c r="BM77" s="509"/>
      <c r="BN77" s="509"/>
      <c r="BO77" s="509"/>
      <c r="BP77" s="509"/>
      <c r="BQ77" s="509"/>
      <c r="BR77" s="509"/>
      <c r="BS77" s="509"/>
      <c r="BT77" s="509"/>
      <c r="BU77" s="509"/>
      <c r="BV77" s="509"/>
      <c r="BW77" s="509"/>
      <c r="BX77" s="509"/>
      <c r="BY77" s="509"/>
      <c r="BZ77" s="509"/>
      <c r="CA77" s="509"/>
      <c r="CB77" s="509"/>
      <c r="CC77" s="509"/>
      <c r="CD77" s="509"/>
      <c r="CE77" s="509"/>
      <c r="CF77" s="509"/>
      <c r="CG77" s="509"/>
      <c r="CH77" s="509"/>
      <c r="CI77" s="509"/>
      <c r="CJ77" s="509"/>
      <c r="CK77" s="509"/>
      <c r="CL77" s="509"/>
      <c r="CM77" s="509"/>
      <c r="CN77" s="509"/>
      <c r="CO77" s="509"/>
      <c r="CP77" s="509"/>
      <c r="CQ77" s="509"/>
      <c r="CR77" s="509"/>
      <c r="CS77" s="509"/>
      <c r="CT77" s="509"/>
      <c r="CU77" s="509"/>
      <c r="CV77" s="509"/>
      <c r="CW77" s="509"/>
      <c r="CX77" s="509"/>
      <c r="CY77" s="509"/>
      <c r="CZ77" s="509"/>
      <c r="DA77" s="509"/>
      <c r="DB77" s="509"/>
      <c r="DC77" s="509"/>
      <c r="DD77" s="509"/>
      <c r="DE77" s="509"/>
      <c r="DF77" s="509"/>
      <c r="DG77" s="509"/>
      <c r="DH77" s="509"/>
      <c r="DI77" s="509"/>
      <c r="DJ77" s="509"/>
      <c r="DK77" s="509"/>
      <c r="DL77" s="509"/>
      <c r="DM77" s="509"/>
      <c r="DN77" s="509"/>
      <c r="DO77" s="509"/>
      <c r="DP77" s="509"/>
      <c r="DQ77" s="509"/>
      <c r="DR77" s="509"/>
      <c r="DS77" s="509"/>
      <c r="DT77" s="509"/>
      <c r="DU77" s="509"/>
      <c r="DV77" s="509"/>
      <c r="DW77" s="509"/>
      <c r="DX77" s="509"/>
      <c r="DY77" s="509"/>
      <c r="DZ77" s="509"/>
      <c r="EA77" s="509"/>
      <c r="EB77" s="509"/>
      <c r="EC77" s="509"/>
      <c r="ED77" s="509"/>
      <c r="EE77" s="509"/>
      <c r="EF77" s="509"/>
      <c r="EG77" s="509"/>
      <c r="EH77" s="509"/>
      <c r="EI77" s="509"/>
      <c r="EJ77" s="509"/>
      <c r="EK77" s="509"/>
      <c r="EL77" s="509"/>
      <c r="EM77" s="509"/>
      <c r="EN77" s="509"/>
      <c r="EO77" s="509"/>
      <c r="EP77" s="509"/>
      <c r="EQ77" s="509"/>
      <c r="ER77" s="509"/>
      <c r="ES77" s="509"/>
      <c r="ET77" s="509"/>
      <c r="EU77" s="509"/>
      <c r="EV77" s="509"/>
      <c r="EW77" s="509"/>
      <c r="EX77" s="509"/>
      <c r="EY77" s="509"/>
      <c r="EZ77" s="509"/>
      <c r="FA77" s="509"/>
      <c r="FB77" s="509"/>
      <c r="FC77" s="509"/>
      <c r="FD77" s="509"/>
      <c r="FE77" s="509"/>
      <c r="FF77" s="509"/>
      <c r="FG77" s="509"/>
      <c r="FH77" s="509"/>
      <c r="FI77" s="509"/>
      <c r="FJ77" s="509"/>
      <c r="FK77" s="509"/>
      <c r="FL77" s="509"/>
      <c r="FM77" s="509"/>
      <c r="FN77" s="509"/>
      <c r="FO77" s="509"/>
      <c r="FP77" s="509"/>
      <c r="FQ77" s="509"/>
      <c r="FR77" s="509"/>
      <c r="FS77" s="509"/>
      <c r="FT77" s="509"/>
      <c r="FU77" s="509"/>
      <c r="FV77" s="509"/>
      <c r="FW77" s="509"/>
      <c r="FX77" s="509"/>
      <c r="FY77" s="509"/>
      <c r="FZ77" s="509"/>
      <c r="GA77" s="509"/>
      <c r="GB77" s="509"/>
      <c r="GC77" s="509"/>
      <c r="GD77" s="509"/>
      <c r="GE77" s="509"/>
      <c r="GF77" s="509"/>
      <c r="GG77" s="509"/>
      <c r="GH77" s="509"/>
      <c r="GI77" s="509"/>
      <c r="GJ77" s="509"/>
      <c r="GK77" s="509"/>
      <c r="GL77" s="509"/>
      <c r="GM77" s="509"/>
      <c r="GN77" s="509"/>
      <c r="GO77" s="509"/>
      <c r="GP77" s="509"/>
      <c r="GQ77" s="509"/>
      <c r="GR77" s="509"/>
      <c r="GS77" s="509"/>
      <c r="GT77" s="509"/>
      <c r="GU77" s="509"/>
      <c r="GV77" s="509"/>
      <c r="GW77" s="509"/>
      <c r="GX77" s="509"/>
      <c r="GY77" s="509"/>
      <c r="GZ77" s="509"/>
      <c r="HA77" s="509"/>
      <c r="HB77" s="509"/>
      <c r="HC77" s="509"/>
      <c r="HD77" s="509"/>
      <c r="HE77" s="509"/>
      <c r="HF77" s="509"/>
      <c r="HG77" s="509"/>
      <c r="HH77" s="509"/>
      <c r="HI77" s="509"/>
      <c r="HJ77" s="509"/>
      <c r="HK77" s="509"/>
      <c r="HL77" s="509"/>
      <c r="HM77" s="509"/>
      <c r="HN77" s="509"/>
      <c r="HO77" s="509"/>
      <c r="HP77" s="509"/>
      <c r="HQ77" s="509"/>
      <c r="HR77" s="509"/>
      <c r="HS77" s="509"/>
      <c r="HT77" s="509"/>
      <c r="HU77" s="509"/>
      <c r="HV77" s="509"/>
      <c r="HW77" s="509"/>
      <c r="HX77" s="509"/>
      <c r="HY77" s="509"/>
      <c r="HZ77" s="509"/>
      <c r="IA77" s="509"/>
      <c r="IB77" s="509"/>
      <c r="IC77" s="509"/>
      <c r="ID77" s="510"/>
      <c r="IE77" s="510"/>
      <c r="IF77" s="510"/>
      <c r="IG77" s="510"/>
      <c r="IH77" s="510"/>
      <c r="II77" s="510"/>
      <c r="IJ77" s="510"/>
      <c r="IK77" s="510"/>
      <c r="IL77" s="510"/>
      <c r="IM77" s="510"/>
      <c r="IN77" s="510"/>
    </row>
    <row r="78" s="508" customFormat="1" customHeight="1" spans="1:248">
      <c r="A78" s="524" t="s">
        <v>322</v>
      </c>
      <c r="B78" s="94" t="s">
        <v>323</v>
      </c>
      <c r="C78" s="94" t="s">
        <v>314</v>
      </c>
      <c r="D78" s="94" t="s">
        <v>324</v>
      </c>
      <c r="E78" s="94" t="s">
        <v>325</v>
      </c>
      <c r="F78" s="94">
        <v>13750172280</v>
      </c>
      <c r="G78" s="94">
        <v>612280</v>
      </c>
      <c r="H78" s="94" t="s">
        <v>325</v>
      </c>
      <c r="I78" s="94">
        <v>13750172280</v>
      </c>
      <c r="J78" s="94">
        <v>612280</v>
      </c>
      <c r="K78" s="94"/>
      <c r="L78" s="509"/>
      <c r="M78" s="509"/>
      <c r="N78" s="509"/>
      <c r="O78" s="509"/>
      <c r="P78" s="509"/>
      <c r="Q78" s="509"/>
      <c r="R78" s="509"/>
      <c r="S78" s="509"/>
      <c r="T78" s="509"/>
      <c r="U78" s="509"/>
      <c r="V78" s="509"/>
      <c r="W78" s="509"/>
      <c r="X78" s="509"/>
      <c r="Y78" s="509"/>
      <c r="Z78" s="509"/>
      <c r="AA78" s="509"/>
      <c r="AB78" s="509"/>
      <c r="AC78" s="509"/>
      <c r="AD78" s="509"/>
      <c r="AE78" s="509"/>
      <c r="AF78" s="509"/>
      <c r="AG78" s="509"/>
      <c r="AH78" s="509"/>
      <c r="AI78" s="509"/>
      <c r="AJ78" s="509"/>
      <c r="AK78" s="509"/>
      <c r="AL78" s="509"/>
      <c r="AM78" s="509"/>
      <c r="AN78" s="509"/>
      <c r="AO78" s="509"/>
      <c r="AP78" s="509"/>
      <c r="AQ78" s="509"/>
      <c r="AR78" s="509"/>
      <c r="AS78" s="509"/>
      <c r="AT78" s="509"/>
      <c r="AU78" s="509"/>
      <c r="AV78" s="509"/>
      <c r="AW78" s="509"/>
      <c r="AX78" s="509"/>
      <c r="AY78" s="509"/>
      <c r="AZ78" s="509"/>
      <c r="BA78" s="509"/>
      <c r="BB78" s="509"/>
      <c r="BC78" s="509"/>
      <c r="BD78" s="509"/>
      <c r="BE78" s="509"/>
      <c r="BF78" s="509"/>
      <c r="BG78" s="509"/>
      <c r="BH78" s="509"/>
      <c r="BI78" s="509"/>
      <c r="BJ78" s="509"/>
      <c r="BK78" s="509"/>
      <c r="BL78" s="509"/>
      <c r="BM78" s="509"/>
      <c r="BN78" s="509"/>
      <c r="BO78" s="509"/>
      <c r="BP78" s="509"/>
      <c r="BQ78" s="509"/>
      <c r="BR78" s="509"/>
      <c r="BS78" s="509"/>
      <c r="BT78" s="509"/>
      <c r="BU78" s="509"/>
      <c r="BV78" s="509"/>
      <c r="BW78" s="509"/>
      <c r="BX78" s="509"/>
      <c r="BY78" s="509"/>
      <c r="BZ78" s="509"/>
      <c r="CA78" s="509"/>
      <c r="CB78" s="509"/>
      <c r="CC78" s="509"/>
      <c r="CD78" s="509"/>
      <c r="CE78" s="509"/>
      <c r="CF78" s="509"/>
      <c r="CG78" s="509"/>
      <c r="CH78" s="509"/>
      <c r="CI78" s="509"/>
      <c r="CJ78" s="509"/>
      <c r="CK78" s="509"/>
      <c r="CL78" s="509"/>
      <c r="CM78" s="509"/>
      <c r="CN78" s="509"/>
      <c r="CO78" s="509"/>
      <c r="CP78" s="509"/>
      <c r="CQ78" s="509"/>
      <c r="CR78" s="509"/>
      <c r="CS78" s="509"/>
      <c r="CT78" s="509"/>
      <c r="CU78" s="509"/>
      <c r="CV78" s="509"/>
      <c r="CW78" s="509"/>
      <c r="CX78" s="509"/>
      <c r="CY78" s="509"/>
      <c r="CZ78" s="509"/>
      <c r="DA78" s="509"/>
      <c r="DB78" s="509"/>
      <c r="DC78" s="509"/>
      <c r="DD78" s="509"/>
      <c r="DE78" s="509"/>
      <c r="DF78" s="509"/>
      <c r="DG78" s="509"/>
      <c r="DH78" s="509"/>
      <c r="DI78" s="509"/>
      <c r="DJ78" s="509"/>
      <c r="DK78" s="509"/>
      <c r="DL78" s="509"/>
      <c r="DM78" s="509"/>
      <c r="DN78" s="509"/>
      <c r="DO78" s="509"/>
      <c r="DP78" s="509"/>
      <c r="DQ78" s="509"/>
      <c r="DR78" s="509"/>
      <c r="DS78" s="509"/>
      <c r="DT78" s="509"/>
      <c r="DU78" s="509"/>
      <c r="DV78" s="509"/>
      <c r="DW78" s="509"/>
      <c r="DX78" s="509"/>
      <c r="DY78" s="509"/>
      <c r="DZ78" s="509"/>
      <c r="EA78" s="509"/>
      <c r="EB78" s="509"/>
      <c r="EC78" s="509"/>
      <c r="ED78" s="509"/>
      <c r="EE78" s="509"/>
      <c r="EF78" s="509"/>
      <c r="EG78" s="509"/>
      <c r="EH78" s="509"/>
      <c r="EI78" s="509"/>
      <c r="EJ78" s="509"/>
      <c r="EK78" s="509"/>
      <c r="EL78" s="509"/>
      <c r="EM78" s="509"/>
      <c r="EN78" s="509"/>
      <c r="EO78" s="509"/>
      <c r="EP78" s="509"/>
      <c r="EQ78" s="509"/>
      <c r="ER78" s="509"/>
      <c r="ES78" s="509"/>
      <c r="ET78" s="509"/>
      <c r="EU78" s="509"/>
      <c r="EV78" s="509"/>
      <c r="EW78" s="509"/>
      <c r="EX78" s="509"/>
      <c r="EY78" s="509"/>
      <c r="EZ78" s="509"/>
      <c r="FA78" s="509"/>
      <c r="FB78" s="509"/>
      <c r="FC78" s="509"/>
      <c r="FD78" s="509"/>
      <c r="FE78" s="509"/>
      <c r="FF78" s="509"/>
      <c r="FG78" s="509"/>
      <c r="FH78" s="509"/>
      <c r="FI78" s="509"/>
      <c r="FJ78" s="509"/>
      <c r="FK78" s="509"/>
      <c r="FL78" s="509"/>
      <c r="FM78" s="509"/>
      <c r="FN78" s="509"/>
      <c r="FO78" s="509"/>
      <c r="FP78" s="509"/>
      <c r="FQ78" s="509"/>
      <c r="FR78" s="509"/>
      <c r="FS78" s="509"/>
      <c r="FT78" s="509"/>
      <c r="FU78" s="509"/>
      <c r="FV78" s="509"/>
      <c r="FW78" s="509"/>
      <c r="FX78" s="509"/>
      <c r="FY78" s="509"/>
      <c r="FZ78" s="509"/>
      <c r="GA78" s="509"/>
      <c r="GB78" s="509"/>
      <c r="GC78" s="509"/>
      <c r="GD78" s="509"/>
      <c r="GE78" s="509"/>
      <c r="GF78" s="509"/>
      <c r="GG78" s="509"/>
      <c r="GH78" s="509"/>
      <c r="GI78" s="509"/>
      <c r="GJ78" s="509"/>
      <c r="GK78" s="509"/>
      <c r="GL78" s="509"/>
      <c r="GM78" s="509"/>
      <c r="GN78" s="509"/>
      <c r="GO78" s="509"/>
      <c r="GP78" s="509"/>
      <c r="GQ78" s="509"/>
      <c r="GR78" s="509"/>
      <c r="GS78" s="509"/>
      <c r="GT78" s="509"/>
      <c r="GU78" s="509"/>
      <c r="GV78" s="509"/>
      <c r="GW78" s="509"/>
      <c r="GX78" s="509"/>
      <c r="GY78" s="509"/>
      <c r="GZ78" s="509"/>
      <c r="HA78" s="509"/>
      <c r="HB78" s="509"/>
      <c r="HC78" s="509"/>
      <c r="HD78" s="509"/>
      <c r="HE78" s="509"/>
      <c r="HF78" s="509"/>
      <c r="HG78" s="509"/>
      <c r="HH78" s="509"/>
      <c r="HI78" s="509"/>
      <c r="HJ78" s="509"/>
      <c r="HK78" s="509"/>
      <c r="HL78" s="509"/>
      <c r="HM78" s="509"/>
      <c r="HN78" s="509"/>
      <c r="HO78" s="509"/>
      <c r="HP78" s="509"/>
      <c r="HQ78" s="509"/>
      <c r="HR78" s="509"/>
      <c r="HS78" s="509"/>
      <c r="HT78" s="509"/>
      <c r="HU78" s="509"/>
      <c r="HV78" s="509"/>
      <c r="HW78" s="509"/>
      <c r="HX78" s="509"/>
      <c r="HY78" s="509"/>
      <c r="HZ78" s="509"/>
      <c r="IA78" s="509"/>
      <c r="IB78" s="509"/>
      <c r="IC78" s="509"/>
    </row>
    <row r="79" s="508" customFormat="1" customHeight="1" spans="1:248">
      <c r="A79" s="524" t="s">
        <v>326</v>
      </c>
      <c r="B79" s="94" t="s">
        <v>327</v>
      </c>
      <c r="C79" s="94" t="s">
        <v>314</v>
      </c>
      <c r="D79" s="94" t="s">
        <v>319</v>
      </c>
      <c r="E79" s="94" t="s">
        <v>328</v>
      </c>
      <c r="F79" s="94">
        <v>13413456060</v>
      </c>
      <c r="G79" s="94"/>
      <c r="H79" s="94"/>
      <c r="I79" s="94"/>
      <c r="J79" s="94"/>
      <c r="K79" s="94"/>
      <c r="L79" s="509"/>
      <c r="M79" s="509"/>
      <c r="N79" s="509"/>
      <c r="O79" s="509"/>
      <c r="P79" s="509"/>
      <c r="Q79" s="509"/>
      <c r="R79" s="509"/>
      <c r="S79" s="509"/>
      <c r="T79" s="509"/>
      <c r="U79" s="509"/>
      <c r="V79" s="509"/>
      <c r="W79" s="509"/>
      <c r="X79" s="509"/>
      <c r="Y79" s="509"/>
      <c r="Z79" s="509"/>
      <c r="AA79" s="509"/>
      <c r="AB79" s="509"/>
      <c r="AC79" s="509"/>
      <c r="AD79" s="509"/>
      <c r="AE79" s="509"/>
      <c r="AF79" s="509"/>
      <c r="AG79" s="509"/>
      <c r="AH79" s="509"/>
      <c r="AI79" s="509"/>
      <c r="AJ79" s="509"/>
      <c r="AK79" s="509"/>
      <c r="AL79" s="509"/>
      <c r="AM79" s="509"/>
      <c r="AN79" s="509"/>
      <c r="AO79" s="509"/>
      <c r="AP79" s="509"/>
      <c r="AQ79" s="509"/>
      <c r="AR79" s="509"/>
      <c r="AS79" s="509"/>
      <c r="AT79" s="509"/>
      <c r="AU79" s="509"/>
      <c r="AV79" s="509"/>
      <c r="AW79" s="509"/>
      <c r="AX79" s="509"/>
      <c r="AY79" s="509"/>
      <c r="AZ79" s="509"/>
      <c r="BA79" s="509"/>
      <c r="BB79" s="509"/>
      <c r="BC79" s="509"/>
      <c r="BD79" s="509"/>
      <c r="BE79" s="509"/>
      <c r="BF79" s="509"/>
      <c r="BG79" s="509"/>
      <c r="BH79" s="509"/>
      <c r="BI79" s="509"/>
      <c r="BJ79" s="509"/>
      <c r="BK79" s="509"/>
      <c r="BL79" s="509"/>
      <c r="BM79" s="509"/>
      <c r="BN79" s="509"/>
      <c r="BO79" s="509"/>
      <c r="BP79" s="509"/>
      <c r="BQ79" s="509"/>
      <c r="BR79" s="509"/>
      <c r="BS79" s="509"/>
      <c r="BT79" s="509"/>
      <c r="BU79" s="509"/>
      <c r="BV79" s="509"/>
      <c r="BW79" s="509"/>
      <c r="BX79" s="509"/>
      <c r="BY79" s="509"/>
      <c r="BZ79" s="509"/>
      <c r="CA79" s="509"/>
      <c r="CB79" s="509"/>
      <c r="CC79" s="509"/>
      <c r="CD79" s="509"/>
      <c r="CE79" s="509"/>
      <c r="CF79" s="509"/>
      <c r="CG79" s="509"/>
      <c r="CH79" s="509"/>
      <c r="CI79" s="509"/>
      <c r="CJ79" s="509"/>
      <c r="CK79" s="509"/>
      <c r="CL79" s="509"/>
      <c r="CM79" s="509"/>
      <c r="CN79" s="509"/>
      <c r="CO79" s="509"/>
      <c r="CP79" s="509"/>
      <c r="CQ79" s="509"/>
      <c r="CR79" s="509"/>
      <c r="CS79" s="509"/>
      <c r="CT79" s="509"/>
      <c r="CU79" s="509"/>
      <c r="CV79" s="509"/>
      <c r="CW79" s="509"/>
      <c r="CX79" s="509"/>
      <c r="CY79" s="509"/>
      <c r="CZ79" s="509"/>
      <c r="DA79" s="509"/>
      <c r="DB79" s="509"/>
      <c r="DC79" s="509"/>
      <c r="DD79" s="509"/>
      <c r="DE79" s="509"/>
      <c r="DF79" s="509"/>
      <c r="DG79" s="509"/>
      <c r="DH79" s="509"/>
      <c r="DI79" s="509"/>
      <c r="DJ79" s="509"/>
      <c r="DK79" s="509"/>
      <c r="DL79" s="509"/>
      <c r="DM79" s="509"/>
      <c r="DN79" s="509"/>
      <c r="DO79" s="509"/>
      <c r="DP79" s="509"/>
      <c r="DQ79" s="509"/>
      <c r="DR79" s="509"/>
      <c r="DS79" s="509"/>
      <c r="DT79" s="509"/>
      <c r="DU79" s="509"/>
      <c r="DV79" s="509"/>
      <c r="DW79" s="509"/>
      <c r="DX79" s="509"/>
      <c r="DY79" s="509"/>
      <c r="DZ79" s="509"/>
      <c r="EA79" s="509"/>
      <c r="EB79" s="509"/>
      <c r="EC79" s="509"/>
      <c r="ED79" s="509"/>
      <c r="EE79" s="509"/>
      <c r="EF79" s="509"/>
      <c r="EG79" s="509"/>
      <c r="EH79" s="509"/>
      <c r="EI79" s="509"/>
      <c r="EJ79" s="509"/>
      <c r="EK79" s="509"/>
      <c r="EL79" s="509"/>
      <c r="EM79" s="509"/>
      <c r="EN79" s="509"/>
      <c r="EO79" s="509"/>
      <c r="EP79" s="509"/>
      <c r="EQ79" s="509"/>
      <c r="ER79" s="509"/>
      <c r="ES79" s="509"/>
      <c r="ET79" s="509"/>
      <c r="EU79" s="509"/>
      <c r="EV79" s="509"/>
      <c r="EW79" s="509"/>
      <c r="EX79" s="509"/>
      <c r="EY79" s="509"/>
      <c r="EZ79" s="509"/>
      <c r="FA79" s="509"/>
      <c r="FB79" s="509"/>
      <c r="FC79" s="509"/>
      <c r="FD79" s="509"/>
      <c r="FE79" s="509"/>
      <c r="FF79" s="509"/>
      <c r="FG79" s="509"/>
      <c r="FH79" s="509"/>
      <c r="FI79" s="509"/>
      <c r="FJ79" s="509"/>
      <c r="FK79" s="509"/>
      <c r="FL79" s="509"/>
      <c r="FM79" s="509"/>
      <c r="FN79" s="509"/>
      <c r="FO79" s="509"/>
      <c r="FP79" s="509"/>
      <c r="FQ79" s="509"/>
      <c r="FR79" s="509"/>
      <c r="FS79" s="509"/>
      <c r="FT79" s="509"/>
      <c r="FU79" s="509"/>
      <c r="FV79" s="509"/>
      <c r="FW79" s="509"/>
      <c r="FX79" s="509"/>
      <c r="FY79" s="509"/>
      <c r="FZ79" s="509"/>
      <c r="GA79" s="509"/>
      <c r="GB79" s="509"/>
      <c r="GC79" s="509"/>
      <c r="GD79" s="509"/>
      <c r="GE79" s="509"/>
      <c r="GF79" s="509"/>
      <c r="GG79" s="509"/>
      <c r="GH79" s="509"/>
      <c r="GI79" s="509"/>
      <c r="GJ79" s="509"/>
      <c r="GK79" s="509"/>
      <c r="GL79" s="509"/>
      <c r="GM79" s="509"/>
      <c r="GN79" s="509"/>
      <c r="GO79" s="509"/>
      <c r="GP79" s="509"/>
      <c r="GQ79" s="509"/>
      <c r="GR79" s="509"/>
      <c r="GS79" s="509"/>
      <c r="GT79" s="509"/>
      <c r="GU79" s="509"/>
      <c r="GV79" s="509"/>
      <c r="GW79" s="509"/>
      <c r="GX79" s="509"/>
      <c r="GY79" s="509"/>
      <c r="GZ79" s="509"/>
      <c r="HA79" s="509"/>
      <c r="HB79" s="509"/>
      <c r="HC79" s="509"/>
      <c r="HD79" s="509"/>
      <c r="HE79" s="509"/>
      <c r="HF79" s="509"/>
      <c r="HG79" s="509"/>
      <c r="HH79" s="509"/>
      <c r="HI79" s="509"/>
      <c r="HJ79" s="509"/>
      <c r="HK79" s="509"/>
      <c r="HL79" s="509"/>
      <c r="HM79" s="509"/>
      <c r="HN79" s="509"/>
      <c r="HO79" s="509"/>
      <c r="HP79" s="509"/>
      <c r="HQ79" s="509"/>
      <c r="HR79" s="509"/>
      <c r="HS79" s="509"/>
      <c r="HT79" s="509"/>
      <c r="HU79" s="509"/>
      <c r="HV79" s="509"/>
      <c r="HW79" s="509"/>
      <c r="HX79" s="509"/>
      <c r="HY79" s="509"/>
      <c r="HZ79" s="509"/>
      <c r="IA79" s="509"/>
      <c r="IB79" s="509"/>
      <c r="IC79" s="509"/>
    </row>
    <row r="80" s="508" customFormat="1" customHeight="1" spans="1:248">
      <c r="A80" s="524" t="s">
        <v>329</v>
      </c>
      <c r="B80" s="94" t="s">
        <v>330</v>
      </c>
      <c r="C80" s="94" t="s">
        <v>314</v>
      </c>
      <c r="D80" s="94" t="s">
        <v>324</v>
      </c>
      <c r="E80" s="94" t="s">
        <v>331</v>
      </c>
      <c r="F80" s="94">
        <v>18814410399</v>
      </c>
      <c r="G80" s="94">
        <v>630399</v>
      </c>
      <c r="H80" s="94" t="s">
        <v>332</v>
      </c>
      <c r="I80" s="94">
        <v>13413482993</v>
      </c>
      <c r="J80" s="94">
        <v>662993</v>
      </c>
      <c r="K80" s="94"/>
      <c r="L80" s="509"/>
      <c r="M80" s="509"/>
      <c r="N80" s="509"/>
      <c r="O80" s="509"/>
      <c r="P80" s="509"/>
      <c r="Q80" s="509"/>
      <c r="R80" s="509"/>
      <c r="S80" s="509"/>
      <c r="T80" s="509"/>
      <c r="U80" s="509"/>
      <c r="V80" s="509"/>
      <c r="W80" s="509"/>
      <c r="X80" s="509"/>
      <c r="Y80" s="509"/>
      <c r="Z80" s="509"/>
      <c r="AA80" s="509"/>
      <c r="AB80" s="509"/>
      <c r="AC80" s="509"/>
      <c r="AD80" s="509"/>
      <c r="AE80" s="509"/>
      <c r="AF80" s="509"/>
      <c r="AG80" s="509"/>
      <c r="AH80" s="509"/>
      <c r="AI80" s="509"/>
      <c r="AJ80" s="509"/>
      <c r="AK80" s="509"/>
      <c r="AL80" s="509"/>
      <c r="AM80" s="509"/>
      <c r="AN80" s="509"/>
      <c r="AO80" s="509"/>
      <c r="AP80" s="509"/>
      <c r="AQ80" s="509"/>
      <c r="AR80" s="509"/>
      <c r="AS80" s="509"/>
      <c r="AT80" s="509"/>
      <c r="AU80" s="509"/>
      <c r="AV80" s="509"/>
      <c r="AW80" s="509"/>
      <c r="AX80" s="509"/>
      <c r="AY80" s="509"/>
      <c r="AZ80" s="509"/>
      <c r="BA80" s="509"/>
      <c r="BB80" s="509"/>
      <c r="BC80" s="509"/>
      <c r="BD80" s="509"/>
      <c r="BE80" s="509"/>
      <c r="BF80" s="509"/>
      <c r="BG80" s="509"/>
      <c r="BH80" s="509"/>
      <c r="BI80" s="509"/>
      <c r="BJ80" s="509"/>
      <c r="BK80" s="509"/>
      <c r="BL80" s="509"/>
      <c r="BM80" s="509"/>
      <c r="BN80" s="509"/>
      <c r="BO80" s="509"/>
      <c r="BP80" s="509"/>
      <c r="BQ80" s="509"/>
      <c r="BR80" s="509"/>
      <c r="BS80" s="509"/>
      <c r="BT80" s="509"/>
      <c r="BU80" s="509"/>
      <c r="BV80" s="509"/>
      <c r="BW80" s="509"/>
      <c r="BX80" s="509"/>
      <c r="BY80" s="509"/>
      <c r="BZ80" s="509"/>
      <c r="CA80" s="509"/>
      <c r="CB80" s="509"/>
      <c r="CC80" s="509"/>
      <c r="CD80" s="509"/>
      <c r="CE80" s="509"/>
      <c r="CF80" s="509"/>
      <c r="CG80" s="509"/>
      <c r="CH80" s="509"/>
      <c r="CI80" s="509"/>
      <c r="CJ80" s="509"/>
      <c r="CK80" s="509"/>
      <c r="CL80" s="509"/>
      <c r="CM80" s="509"/>
      <c r="CN80" s="509"/>
      <c r="CO80" s="509"/>
      <c r="CP80" s="509"/>
      <c r="CQ80" s="509"/>
      <c r="CR80" s="509"/>
      <c r="CS80" s="509"/>
      <c r="CT80" s="509"/>
      <c r="CU80" s="509"/>
      <c r="CV80" s="509"/>
      <c r="CW80" s="509"/>
      <c r="CX80" s="509"/>
      <c r="CY80" s="509"/>
      <c r="CZ80" s="509"/>
      <c r="DA80" s="509"/>
      <c r="DB80" s="509"/>
      <c r="DC80" s="509"/>
      <c r="DD80" s="509"/>
      <c r="DE80" s="509"/>
      <c r="DF80" s="509"/>
      <c r="DG80" s="509"/>
      <c r="DH80" s="509"/>
      <c r="DI80" s="509"/>
      <c r="DJ80" s="509"/>
      <c r="DK80" s="509"/>
      <c r="DL80" s="509"/>
      <c r="DM80" s="509"/>
      <c r="DN80" s="509"/>
      <c r="DO80" s="509"/>
      <c r="DP80" s="509"/>
      <c r="DQ80" s="509"/>
      <c r="DR80" s="509"/>
      <c r="DS80" s="509"/>
      <c r="DT80" s="509"/>
      <c r="DU80" s="509"/>
      <c r="DV80" s="509"/>
      <c r="DW80" s="509"/>
      <c r="DX80" s="509"/>
      <c r="DY80" s="509"/>
      <c r="DZ80" s="509"/>
      <c r="EA80" s="509"/>
      <c r="EB80" s="509"/>
      <c r="EC80" s="509"/>
      <c r="ED80" s="509"/>
      <c r="EE80" s="509"/>
      <c r="EF80" s="509"/>
      <c r="EG80" s="509"/>
      <c r="EH80" s="509"/>
      <c r="EI80" s="509"/>
      <c r="EJ80" s="509"/>
      <c r="EK80" s="509"/>
      <c r="EL80" s="509"/>
      <c r="EM80" s="509"/>
      <c r="EN80" s="509"/>
      <c r="EO80" s="509"/>
      <c r="EP80" s="509"/>
      <c r="EQ80" s="509"/>
      <c r="ER80" s="509"/>
      <c r="ES80" s="509"/>
      <c r="ET80" s="509"/>
      <c r="EU80" s="509"/>
      <c r="EV80" s="509"/>
      <c r="EW80" s="509"/>
      <c r="EX80" s="509"/>
      <c r="EY80" s="509"/>
      <c r="EZ80" s="509"/>
      <c r="FA80" s="509"/>
      <c r="FB80" s="509"/>
      <c r="FC80" s="509"/>
      <c r="FD80" s="509"/>
      <c r="FE80" s="509"/>
      <c r="FF80" s="509"/>
      <c r="FG80" s="509"/>
      <c r="FH80" s="509"/>
      <c r="FI80" s="509"/>
      <c r="FJ80" s="509"/>
      <c r="FK80" s="509"/>
      <c r="FL80" s="509"/>
      <c r="FM80" s="509"/>
      <c r="FN80" s="509"/>
      <c r="FO80" s="509"/>
      <c r="FP80" s="509"/>
      <c r="FQ80" s="509"/>
      <c r="FR80" s="509"/>
      <c r="FS80" s="509"/>
      <c r="FT80" s="509"/>
      <c r="FU80" s="509"/>
      <c r="FV80" s="509"/>
      <c r="FW80" s="509"/>
      <c r="FX80" s="509"/>
      <c r="FY80" s="509"/>
      <c r="FZ80" s="509"/>
      <c r="GA80" s="509"/>
      <c r="GB80" s="509"/>
      <c r="GC80" s="509"/>
      <c r="GD80" s="509"/>
      <c r="GE80" s="509"/>
      <c r="GF80" s="509"/>
      <c r="GG80" s="509"/>
      <c r="GH80" s="509"/>
      <c r="GI80" s="509"/>
      <c r="GJ80" s="509"/>
      <c r="GK80" s="509"/>
      <c r="GL80" s="509"/>
      <c r="GM80" s="509"/>
      <c r="GN80" s="509"/>
      <c r="GO80" s="509"/>
      <c r="GP80" s="509"/>
      <c r="GQ80" s="509"/>
      <c r="GR80" s="509"/>
      <c r="GS80" s="509"/>
      <c r="GT80" s="509"/>
      <c r="GU80" s="509"/>
      <c r="GV80" s="509"/>
      <c r="GW80" s="509"/>
      <c r="GX80" s="509"/>
      <c r="GY80" s="509"/>
      <c r="GZ80" s="509"/>
      <c r="HA80" s="509"/>
      <c r="HB80" s="509"/>
      <c r="HC80" s="509"/>
      <c r="HD80" s="509"/>
      <c r="HE80" s="509"/>
      <c r="HF80" s="509"/>
      <c r="HG80" s="509"/>
      <c r="HH80" s="509"/>
      <c r="HI80" s="509"/>
      <c r="HJ80" s="509"/>
      <c r="HK80" s="509"/>
      <c r="HL80" s="509"/>
      <c r="HM80" s="509"/>
      <c r="HN80" s="509"/>
      <c r="HO80" s="509"/>
      <c r="HP80" s="509"/>
      <c r="HQ80" s="509"/>
      <c r="HR80" s="509"/>
      <c r="HS80" s="509"/>
      <c r="HT80" s="509"/>
      <c r="HU80" s="509"/>
      <c r="HV80" s="509"/>
      <c r="HW80" s="509"/>
      <c r="HX80" s="509"/>
      <c r="HY80" s="509"/>
      <c r="HZ80" s="509"/>
      <c r="IA80" s="509"/>
      <c r="IB80" s="509"/>
      <c r="IC80" s="509"/>
    </row>
    <row r="81" s="508" customFormat="1" customHeight="1" spans="1:237">
      <c r="A81" s="524" t="s">
        <v>333</v>
      </c>
      <c r="B81" s="94" t="s">
        <v>334</v>
      </c>
      <c r="C81" s="94" t="s">
        <v>314</v>
      </c>
      <c r="D81" s="94" t="s">
        <v>324</v>
      </c>
      <c r="E81" s="94" t="s">
        <v>335</v>
      </c>
      <c r="F81" s="94">
        <v>13928814024</v>
      </c>
      <c r="G81" s="94"/>
      <c r="H81" s="94" t="s">
        <v>335</v>
      </c>
      <c r="I81" s="94">
        <v>13928814024</v>
      </c>
      <c r="J81" s="94"/>
      <c r="K81" s="94"/>
      <c r="L81" s="509"/>
      <c r="M81" s="509"/>
      <c r="N81" s="509"/>
      <c r="O81" s="509"/>
      <c r="P81" s="509"/>
      <c r="Q81" s="509"/>
      <c r="R81" s="509"/>
      <c r="S81" s="509"/>
      <c r="T81" s="509"/>
      <c r="U81" s="509"/>
      <c r="V81" s="509"/>
      <c r="W81" s="509"/>
      <c r="X81" s="509"/>
      <c r="Y81" s="509"/>
      <c r="Z81" s="509"/>
      <c r="AA81" s="509"/>
      <c r="AB81" s="509"/>
      <c r="AC81" s="509"/>
      <c r="AD81" s="509"/>
      <c r="AE81" s="509"/>
      <c r="AF81" s="509"/>
      <c r="AG81" s="509"/>
      <c r="AH81" s="509"/>
      <c r="AI81" s="509"/>
      <c r="AJ81" s="509"/>
      <c r="AK81" s="509"/>
      <c r="AL81" s="509"/>
      <c r="AM81" s="509"/>
      <c r="AN81" s="509"/>
      <c r="AO81" s="509"/>
      <c r="AP81" s="509"/>
      <c r="AQ81" s="509"/>
      <c r="AR81" s="509"/>
      <c r="AS81" s="509"/>
      <c r="AT81" s="509"/>
      <c r="AU81" s="509"/>
      <c r="AV81" s="509"/>
      <c r="AW81" s="509"/>
      <c r="AX81" s="509"/>
      <c r="AY81" s="509"/>
      <c r="AZ81" s="509"/>
      <c r="BA81" s="509"/>
      <c r="BB81" s="509"/>
      <c r="BC81" s="509"/>
      <c r="BD81" s="509"/>
      <c r="BE81" s="509"/>
      <c r="BF81" s="509"/>
      <c r="BG81" s="509"/>
      <c r="BH81" s="509"/>
      <c r="BI81" s="509"/>
      <c r="BJ81" s="509"/>
      <c r="BK81" s="509"/>
      <c r="BL81" s="509"/>
      <c r="BM81" s="509"/>
      <c r="BN81" s="509"/>
      <c r="BO81" s="509"/>
      <c r="BP81" s="509"/>
      <c r="BQ81" s="509"/>
      <c r="BR81" s="509"/>
      <c r="BS81" s="509"/>
      <c r="BT81" s="509"/>
      <c r="BU81" s="509"/>
      <c r="BV81" s="509"/>
      <c r="BW81" s="509"/>
      <c r="BX81" s="509"/>
      <c r="BY81" s="509"/>
      <c r="BZ81" s="509"/>
      <c r="CA81" s="509"/>
      <c r="CB81" s="509"/>
      <c r="CC81" s="509"/>
      <c r="CD81" s="509"/>
      <c r="CE81" s="509"/>
      <c r="CF81" s="509"/>
      <c r="CG81" s="509"/>
      <c r="CH81" s="509"/>
      <c r="CI81" s="509"/>
      <c r="CJ81" s="509"/>
      <c r="CK81" s="509"/>
      <c r="CL81" s="509"/>
      <c r="CM81" s="509"/>
      <c r="CN81" s="509"/>
      <c r="CO81" s="509"/>
      <c r="CP81" s="509"/>
      <c r="CQ81" s="509"/>
      <c r="CR81" s="509"/>
      <c r="CS81" s="509"/>
      <c r="CT81" s="509"/>
      <c r="CU81" s="509"/>
      <c r="CV81" s="509"/>
      <c r="CW81" s="509"/>
      <c r="CX81" s="509"/>
      <c r="CY81" s="509"/>
      <c r="CZ81" s="509"/>
      <c r="DA81" s="509"/>
      <c r="DB81" s="509"/>
      <c r="DC81" s="509"/>
      <c r="DD81" s="509"/>
      <c r="DE81" s="509"/>
      <c r="DF81" s="509"/>
      <c r="DG81" s="509"/>
      <c r="DH81" s="509"/>
      <c r="DI81" s="509"/>
      <c r="DJ81" s="509"/>
      <c r="DK81" s="509"/>
      <c r="DL81" s="509"/>
      <c r="DM81" s="509"/>
      <c r="DN81" s="509"/>
      <c r="DO81" s="509"/>
      <c r="DP81" s="509"/>
      <c r="DQ81" s="509"/>
      <c r="DR81" s="509"/>
      <c r="DS81" s="509"/>
      <c r="DT81" s="509"/>
      <c r="DU81" s="509"/>
      <c r="DV81" s="509"/>
      <c r="DW81" s="509"/>
      <c r="DX81" s="509"/>
      <c r="DY81" s="509"/>
      <c r="DZ81" s="509"/>
      <c r="EA81" s="509"/>
      <c r="EB81" s="509"/>
      <c r="EC81" s="509"/>
      <c r="ED81" s="509"/>
      <c r="EE81" s="509"/>
      <c r="EF81" s="509"/>
      <c r="EG81" s="509"/>
      <c r="EH81" s="509"/>
      <c r="EI81" s="509"/>
      <c r="EJ81" s="509"/>
      <c r="EK81" s="509"/>
      <c r="EL81" s="509"/>
      <c r="EM81" s="509"/>
      <c r="EN81" s="509"/>
      <c r="EO81" s="509"/>
      <c r="EP81" s="509"/>
      <c r="EQ81" s="509"/>
      <c r="ER81" s="509"/>
      <c r="ES81" s="509"/>
      <c r="ET81" s="509"/>
      <c r="EU81" s="509"/>
      <c r="EV81" s="509"/>
      <c r="EW81" s="509"/>
      <c r="EX81" s="509"/>
      <c r="EY81" s="509"/>
      <c r="EZ81" s="509"/>
      <c r="FA81" s="509"/>
      <c r="FB81" s="509"/>
      <c r="FC81" s="509"/>
      <c r="FD81" s="509"/>
      <c r="FE81" s="509"/>
      <c r="FF81" s="509"/>
      <c r="FG81" s="509"/>
      <c r="FH81" s="509"/>
      <c r="FI81" s="509"/>
      <c r="FJ81" s="509"/>
      <c r="FK81" s="509"/>
      <c r="FL81" s="509"/>
      <c r="FM81" s="509"/>
      <c r="FN81" s="509"/>
      <c r="FO81" s="509"/>
      <c r="FP81" s="509"/>
      <c r="FQ81" s="509"/>
      <c r="FR81" s="509"/>
      <c r="FS81" s="509"/>
      <c r="FT81" s="509"/>
      <c r="FU81" s="509"/>
      <c r="FV81" s="509"/>
      <c r="FW81" s="509"/>
      <c r="FX81" s="509"/>
      <c r="FY81" s="509"/>
      <c r="FZ81" s="509"/>
      <c r="GA81" s="509"/>
      <c r="GB81" s="509"/>
      <c r="GC81" s="509"/>
      <c r="GD81" s="509"/>
      <c r="GE81" s="509"/>
      <c r="GF81" s="509"/>
      <c r="GG81" s="509"/>
      <c r="GH81" s="509"/>
      <c r="GI81" s="509"/>
      <c r="GJ81" s="509"/>
      <c r="GK81" s="509"/>
      <c r="GL81" s="509"/>
      <c r="GM81" s="509"/>
      <c r="GN81" s="509"/>
      <c r="GO81" s="509"/>
      <c r="GP81" s="509"/>
      <c r="GQ81" s="509"/>
      <c r="GR81" s="509"/>
      <c r="GS81" s="509"/>
      <c r="GT81" s="509"/>
      <c r="GU81" s="509"/>
      <c r="GV81" s="509"/>
      <c r="GW81" s="509"/>
      <c r="GX81" s="509"/>
      <c r="GY81" s="509"/>
      <c r="GZ81" s="509"/>
      <c r="HA81" s="509"/>
      <c r="HB81" s="509"/>
      <c r="HC81" s="509"/>
      <c r="HD81" s="509"/>
      <c r="HE81" s="509"/>
      <c r="HF81" s="509"/>
      <c r="HG81" s="509"/>
      <c r="HH81" s="509"/>
      <c r="HI81" s="509"/>
      <c r="HJ81" s="509"/>
      <c r="HK81" s="509"/>
      <c r="HL81" s="509"/>
      <c r="HM81" s="509"/>
      <c r="HN81" s="509"/>
      <c r="HO81" s="509"/>
      <c r="HP81" s="509"/>
      <c r="HQ81" s="509"/>
      <c r="HR81" s="509"/>
      <c r="HS81" s="509"/>
      <c r="HT81" s="509"/>
      <c r="HU81" s="509"/>
      <c r="HV81" s="509"/>
      <c r="HW81" s="509"/>
      <c r="HX81" s="509"/>
      <c r="HY81" s="509"/>
      <c r="HZ81" s="509"/>
      <c r="IA81" s="509"/>
      <c r="IB81" s="509"/>
      <c r="IC81" s="509"/>
    </row>
    <row r="82" s="508" customFormat="1" customHeight="1" spans="1:237">
      <c r="A82" s="524" t="s">
        <v>336</v>
      </c>
      <c r="B82" s="94" t="s">
        <v>337</v>
      </c>
      <c r="C82" s="94" t="s">
        <v>314</v>
      </c>
      <c r="D82" s="94" t="s">
        <v>338</v>
      </c>
      <c r="E82" s="94"/>
      <c r="F82" s="523"/>
      <c r="G82" s="94"/>
      <c r="H82" s="94" t="s">
        <v>339</v>
      </c>
      <c r="I82" s="94">
        <v>15727217297</v>
      </c>
      <c r="J82" s="94"/>
      <c r="K82" s="94"/>
      <c r="L82" s="509"/>
      <c r="M82" s="509"/>
      <c r="N82" s="509"/>
      <c r="O82" s="509"/>
      <c r="P82" s="509"/>
      <c r="Q82" s="509"/>
      <c r="R82" s="509"/>
      <c r="S82" s="509"/>
      <c r="T82" s="509"/>
      <c r="U82" s="509"/>
      <c r="V82" s="509"/>
      <c r="W82" s="509"/>
      <c r="X82" s="509"/>
      <c r="Y82" s="509"/>
      <c r="Z82" s="509"/>
      <c r="AA82" s="509"/>
      <c r="AB82" s="509"/>
      <c r="AC82" s="509"/>
      <c r="AD82" s="509"/>
      <c r="AE82" s="509"/>
      <c r="AF82" s="509"/>
      <c r="AG82" s="509"/>
      <c r="AH82" s="509"/>
      <c r="AI82" s="509"/>
      <c r="AJ82" s="509"/>
      <c r="AK82" s="509"/>
      <c r="AL82" s="509"/>
      <c r="AM82" s="509"/>
      <c r="AN82" s="509"/>
      <c r="AO82" s="509"/>
      <c r="AP82" s="509"/>
      <c r="AQ82" s="509"/>
      <c r="AR82" s="509"/>
      <c r="AS82" s="509"/>
      <c r="AT82" s="509"/>
      <c r="AU82" s="509"/>
      <c r="AV82" s="509"/>
      <c r="AW82" s="509"/>
      <c r="AX82" s="509"/>
      <c r="AY82" s="509"/>
      <c r="AZ82" s="509"/>
      <c r="BA82" s="509"/>
      <c r="BB82" s="509"/>
      <c r="BC82" s="509"/>
      <c r="BD82" s="509"/>
      <c r="BE82" s="509"/>
      <c r="BF82" s="509"/>
      <c r="BG82" s="509"/>
      <c r="BH82" s="509"/>
      <c r="BI82" s="509"/>
      <c r="BJ82" s="509"/>
      <c r="BK82" s="509"/>
      <c r="BL82" s="509"/>
      <c r="BM82" s="509"/>
      <c r="BN82" s="509"/>
      <c r="BO82" s="509"/>
      <c r="BP82" s="509"/>
      <c r="BQ82" s="509"/>
      <c r="BR82" s="509"/>
      <c r="BS82" s="509"/>
      <c r="BT82" s="509"/>
      <c r="BU82" s="509"/>
      <c r="BV82" s="509"/>
      <c r="BW82" s="509"/>
      <c r="BX82" s="509"/>
      <c r="BY82" s="509"/>
      <c r="BZ82" s="509"/>
      <c r="CA82" s="509"/>
      <c r="CB82" s="509"/>
      <c r="CC82" s="509"/>
      <c r="CD82" s="509"/>
      <c r="CE82" s="509"/>
      <c r="CF82" s="509"/>
      <c r="CG82" s="509"/>
      <c r="CH82" s="509"/>
      <c r="CI82" s="509"/>
      <c r="CJ82" s="509"/>
      <c r="CK82" s="509"/>
      <c r="CL82" s="509"/>
      <c r="CM82" s="509"/>
      <c r="CN82" s="509"/>
      <c r="CO82" s="509"/>
      <c r="CP82" s="509"/>
      <c r="CQ82" s="509"/>
      <c r="CR82" s="509"/>
      <c r="CS82" s="509"/>
      <c r="CT82" s="509"/>
      <c r="CU82" s="509"/>
      <c r="CV82" s="509"/>
      <c r="CW82" s="509"/>
      <c r="CX82" s="509"/>
      <c r="CY82" s="509"/>
      <c r="CZ82" s="509"/>
      <c r="DA82" s="509"/>
      <c r="DB82" s="509"/>
      <c r="DC82" s="509"/>
      <c r="DD82" s="509"/>
      <c r="DE82" s="509"/>
      <c r="DF82" s="509"/>
      <c r="DG82" s="509"/>
      <c r="DH82" s="509"/>
      <c r="DI82" s="509"/>
      <c r="DJ82" s="509"/>
      <c r="DK82" s="509"/>
      <c r="DL82" s="509"/>
      <c r="DM82" s="509"/>
      <c r="DN82" s="509"/>
      <c r="DO82" s="509"/>
      <c r="DP82" s="509"/>
      <c r="DQ82" s="509"/>
      <c r="DR82" s="509"/>
      <c r="DS82" s="509"/>
      <c r="DT82" s="509"/>
      <c r="DU82" s="509"/>
      <c r="DV82" s="509"/>
      <c r="DW82" s="509"/>
      <c r="DX82" s="509"/>
      <c r="DY82" s="509"/>
      <c r="DZ82" s="509"/>
      <c r="EA82" s="509"/>
      <c r="EB82" s="509"/>
      <c r="EC82" s="509"/>
      <c r="ED82" s="509"/>
      <c r="EE82" s="509"/>
      <c r="EF82" s="509"/>
      <c r="EG82" s="509"/>
      <c r="EH82" s="509"/>
      <c r="EI82" s="509"/>
      <c r="EJ82" s="509"/>
      <c r="EK82" s="509"/>
      <c r="EL82" s="509"/>
      <c r="EM82" s="509"/>
      <c r="EN82" s="509"/>
      <c r="EO82" s="509"/>
      <c r="EP82" s="509"/>
      <c r="EQ82" s="509"/>
      <c r="ER82" s="509"/>
      <c r="ES82" s="509"/>
      <c r="ET82" s="509"/>
      <c r="EU82" s="509"/>
      <c r="EV82" s="509"/>
      <c r="EW82" s="509"/>
      <c r="EX82" s="509"/>
      <c r="EY82" s="509"/>
      <c r="EZ82" s="509"/>
      <c r="FA82" s="509"/>
      <c r="FB82" s="509"/>
      <c r="FC82" s="509"/>
      <c r="FD82" s="509"/>
      <c r="FE82" s="509"/>
      <c r="FF82" s="509"/>
      <c r="FG82" s="509"/>
      <c r="FH82" s="509"/>
      <c r="FI82" s="509"/>
      <c r="FJ82" s="509"/>
      <c r="FK82" s="509"/>
      <c r="FL82" s="509"/>
      <c r="FM82" s="509"/>
      <c r="FN82" s="509"/>
      <c r="FO82" s="509"/>
      <c r="FP82" s="509"/>
      <c r="FQ82" s="509"/>
      <c r="FR82" s="509"/>
      <c r="FS82" s="509"/>
      <c r="FT82" s="509"/>
      <c r="FU82" s="509"/>
      <c r="FV82" s="509"/>
      <c r="FW82" s="509"/>
      <c r="FX82" s="509"/>
      <c r="FY82" s="509"/>
      <c r="FZ82" s="509"/>
      <c r="GA82" s="509"/>
      <c r="GB82" s="509"/>
      <c r="GC82" s="509"/>
      <c r="GD82" s="509"/>
      <c r="GE82" s="509"/>
      <c r="GF82" s="509"/>
      <c r="GG82" s="509"/>
      <c r="GH82" s="509"/>
      <c r="GI82" s="509"/>
      <c r="GJ82" s="509"/>
      <c r="GK82" s="509"/>
      <c r="GL82" s="509"/>
      <c r="GM82" s="509"/>
      <c r="GN82" s="509"/>
      <c r="GO82" s="509"/>
      <c r="GP82" s="509"/>
      <c r="GQ82" s="509"/>
      <c r="GR82" s="509"/>
      <c r="GS82" s="509"/>
      <c r="GT82" s="509"/>
      <c r="GU82" s="509"/>
      <c r="GV82" s="509"/>
      <c r="GW82" s="509"/>
      <c r="GX82" s="509"/>
      <c r="GY82" s="509"/>
      <c r="GZ82" s="509"/>
      <c r="HA82" s="509"/>
      <c r="HB82" s="509"/>
      <c r="HC82" s="509"/>
      <c r="HD82" s="509"/>
      <c r="HE82" s="509"/>
      <c r="HF82" s="509"/>
      <c r="HG82" s="509"/>
      <c r="HH82" s="509"/>
      <c r="HI82" s="509"/>
      <c r="HJ82" s="509"/>
      <c r="HK82" s="509"/>
      <c r="HL82" s="509"/>
      <c r="HM82" s="509"/>
      <c r="HN82" s="509"/>
      <c r="HO82" s="509"/>
      <c r="HP82" s="509"/>
      <c r="HQ82" s="509"/>
      <c r="HR82" s="509"/>
      <c r="HS82" s="509"/>
      <c r="HT82" s="509"/>
      <c r="HU82" s="509"/>
      <c r="HV82" s="509"/>
      <c r="HW82" s="509"/>
      <c r="HX82" s="509"/>
      <c r="HY82" s="509"/>
      <c r="HZ82" s="509"/>
      <c r="IA82" s="509"/>
      <c r="IB82" s="509"/>
      <c r="IC82" s="509"/>
    </row>
    <row r="83" s="508" customFormat="1" customHeight="1" spans="1:237">
      <c r="A83" s="524" t="s">
        <v>340</v>
      </c>
      <c r="B83" s="94" t="s">
        <v>341</v>
      </c>
      <c r="C83" s="94" t="s">
        <v>314</v>
      </c>
      <c r="D83" s="94" t="s">
        <v>338</v>
      </c>
      <c r="E83" s="94"/>
      <c r="F83" s="94"/>
      <c r="G83" s="94"/>
      <c r="H83" s="94" t="s">
        <v>342</v>
      </c>
      <c r="I83" s="94">
        <v>13824916009</v>
      </c>
      <c r="J83" s="94"/>
      <c r="K83" s="94"/>
      <c r="L83" s="509"/>
      <c r="M83" s="509"/>
      <c r="N83" s="509"/>
      <c r="O83" s="509"/>
      <c r="P83" s="509"/>
      <c r="Q83" s="509"/>
      <c r="R83" s="509"/>
      <c r="S83" s="509"/>
      <c r="T83" s="509"/>
      <c r="U83" s="509"/>
      <c r="V83" s="509"/>
      <c r="W83" s="509"/>
      <c r="X83" s="509"/>
      <c r="Y83" s="509"/>
      <c r="Z83" s="509"/>
      <c r="AA83" s="509"/>
      <c r="AB83" s="509"/>
      <c r="AC83" s="509"/>
      <c r="AD83" s="509"/>
      <c r="AE83" s="509"/>
      <c r="AF83" s="509"/>
      <c r="AG83" s="509"/>
      <c r="AH83" s="509"/>
      <c r="AI83" s="509"/>
      <c r="AJ83" s="509"/>
      <c r="AK83" s="509"/>
      <c r="AL83" s="509"/>
      <c r="AM83" s="509"/>
      <c r="AN83" s="509"/>
      <c r="AO83" s="509"/>
      <c r="AP83" s="509"/>
      <c r="AQ83" s="509"/>
      <c r="AR83" s="509"/>
      <c r="AS83" s="509"/>
      <c r="AT83" s="509"/>
      <c r="AU83" s="509"/>
      <c r="AV83" s="509"/>
      <c r="AW83" s="509"/>
      <c r="AX83" s="509"/>
      <c r="AY83" s="509"/>
      <c r="AZ83" s="509"/>
      <c r="BA83" s="509"/>
      <c r="BB83" s="509"/>
      <c r="BC83" s="509"/>
      <c r="BD83" s="509"/>
      <c r="BE83" s="509"/>
      <c r="BF83" s="509"/>
      <c r="BG83" s="509"/>
      <c r="BH83" s="509"/>
      <c r="BI83" s="509"/>
      <c r="BJ83" s="509"/>
      <c r="BK83" s="509"/>
      <c r="BL83" s="509"/>
      <c r="BM83" s="509"/>
      <c r="BN83" s="509"/>
      <c r="BO83" s="509"/>
      <c r="BP83" s="509"/>
      <c r="BQ83" s="509"/>
      <c r="BR83" s="509"/>
      <c r="BS83" s="509"/>
      <c r="BT83" s="509"/>
      <c r="BU83" s="509"/>
      <c r="BV83" s="509"/>
      <c r="BW83" s="509"/>
      <c r="BX83" s="509"/>
      <c r="BY83" s="509"/>
      <c r="BZ83" s="509"/>
      <c r="CA83" s="509"/>
      <c r="CB83" s="509"/>
      <c r="CC83" s="509"/>
      <c r="CD83" s="509"/>
      <c r="CE83" s="509"/>
      <c r="CF83" s="509"/>
      <c r="CG83" s="509"/>
      <c r="CH83" s="509"/>
      <c r="CI83" s="509"/>
      <c r="CJ83" s="509"/>
      <c r="CK83" s="509"/>
      <c r="CL83" s="509"/>
      <c r="CM83" s="509"/>
      <c r="CN83" s="509"/>
      <c r="CO83" s="509"/>
      <c r="CP83" s="509"/>
      <c r="CQ83" s="509"/>
      <c r="CR83" s="509"/>
      <c r="CS83" s="509"/>
      <c r="CT83" s="509"/>
      <c r="CU83" s="509"/>
      <c r="CV83" s="509"/>
      <c r="CW83" s="509"/>
      <c r="CX83" s="509"/>
      <c r="CY83" s="509"/>
      <c r="CZ83" s="509"/>
      <c r="DA83" s="509"/>
      <c r="DB83" s="509"/>
      <c r="DC83" s="509"/>
      <c r="DD83" s="509"/>
      <c r="DE83" s="509"/>
      <c r="DF83" s="509"/>
      <c r="DG83" s="509"/>
      <c r="DH83" s="509"/>
      <c r="DI83" s="509"/>
      <c r="DJ83" s="509"/>
      <c r="DK83" s="509"/>
      <c r="DL83" s="509"/>
      <c r="DM83" s="509"/>
      <c r="DN83" s="509"/>
      <c r="DO83" s="509"/>
      <c r="DP83" s="509"/>
      <c r="DQ83" s="509"/>
      <c r="DR83" s="509"/>
      <c r="DS83" s="509"/>
      <c r="DT83" s="509"/>
      <c r="DU83" s="509"/>
      <c r="DV83" s="509"/>
      <c r="DW83" s="509"/>
      <c r="DX83" s="509"/>
      <c r="DY83" s="509"/>
      <c r="DZ83" s="509"/>
      <c r="EA83" s="509"/>
      <c r="EB83" s="509"/>
      <c r="EC83" s="509"/>
      <c r="ED83" s="509"/>
      <c r="EE83" s="509"/>
      <c r="EF83" s="509"/>
      <c r="EG83" s="509"/>
      <c r="EH83" s="509"/>
      <c r="EI83" s="509"/>
      <c r="EJ83" s="509"/>
      <c r="EK83" s="509"/>
      <c r="EL83" s="509"/>
      <c r="EM83" s="509"/>
      <c r="EN83" s="509"/>
      <c r="EO83" s="509"/>
      <c r="EP83" s="509"/>
      <c r="EQ83" s="509"/>
      <c r="ER83" s="509"/>
      <c r="ES83" s="509"/>
      <c r="ET83" s="509"/>
      <c r="EU83" s="509"/>
      <c r="EV83" s="509"/>
      <c r="EW83" s="509"/>
      <c r="EX83" s="509"/>
      <c r="EY83" s="509"/>
      <c r="EZ83" s="509"/>
      <c r="FA83" s="509"/>
      <c r="FB83" s="509"/>
      <c r="FC83" s="509"/>
      <c r="FD83" s="509"/>
      <c r="FE83" s="509"/>
      <c r="FF83" s="509"/>
      <c r="FG83" s="509"/>
      <c r="FH83" s="509"/>
      <c r="FI83" s="509"/>
      <c r="FJ83" s="509"/>
      <c r="FK83" s="509"/>
      <c r="FL83" s="509"/>
      <c r="FM83" s="509"/>
      <c r="FN83" s="509"/>
      <c r="FO83" s="509"/>
      <c r="FP83" s="509"/>
      <c r="FQ83" s="509"/>
      <c r="FR83" s="509"/>
      <c r="FS83" s="509"/>
      <c r="FT83" s="509"/>
      <c r="FU83" s="509"/>
      <c r="FV83" s="509"/>
      <c r="FW83" s="509"/>
      <c r="FX83" s="509"/>
      <c r="FY83" s="509"/>
      <c r="FZ83" s="509"/>
      <c r="GA83" s="509"/>
      <c r="GB83" s="509"/>
      <c r="GC83" s="509"/>
      <c r="GD83" s="509"/>
      <c r="GE83" s="509"/>
      <c r="GF83" s="509"/>
      <c r="GG83" s="509"/>
      <c r="GH83" s="509"/>
      <c r="GI83" s="509"/>
      <c r="GJ83" s="509"/>
      <c r="GK83" s="509"/>
      <c r="GL83" s="509"/>
      <c r="GM83" s="509"/>
      <c r="GN83" s="509"/>
      <c r="GO83" s="509"/>
      <c r="GP83" s="509"/>
      <c r="GQ83" s="509"/>
      <c r="GR83" s="509"/>
      <c r="GS83" s="509"/>
      <c r="GT83" s="509"/>
      <c r="GU83" s="509"/>
      <c r="GV83" s="509"/>
      <c r="GW83" s="509"/>
      <c r="GX83" s="509"/>
      <c r="GY83" s="509"/>
      <c r="GZ83" s="509"/>
      <c r="HA83" s="509"/>
      <c r="HB83" s="509"/>
      <c r="HC83" s="509"/>
      <c r="HD83" s="509"/>
      <c r="HE83" s="509"/>
      <c r="HF83" s="509"/>
      <c r="HG83" s="509"/>
      <c r="HH83" s="509"/>
      <c r="HI83" s="509"/>
      <c r="HJ83" s="509"/>
      <c r="HK83" s="509"/>
      <c r="HL83" s="509"/>
      <c r="HM83" s="509"/>
      <c r="HN83" s="509"/>
      <c r="HO83" s="509"/>
      <c r="HP83" s="509"/>
      <c r="HQ83" s="509"/>
      <c r="HR83" s="509"/>
      <c r="HS83" s="509"/>
      <c r="HT83" s="509"/>
      <c r="HU83" s="509"/>
      <c r="HV83" s="509"/>
      <c r="HW83" s="509"/>
      <c r="HX83" s="509"/>
      <c r="HY83" s="509"/>
      <c r="HZ83" s="509"/>
      <c r="IA83" s="509"/>
      <c r="IB83" s="509"/>
      <c r="IC83" s="509"/>
    </row>
    <row r="84" s="508" customFormat="1" customHeight="1" spans="1:237">
      <c r="A84" s="524" t="s">
        <v>343</v>
      </c>
      <c r="B84" s="94" t="s">
        <v>344</v>
      </c>
      <c r="C84" s="94" t="s">
        <v>314</v>
      </c>
      <c r="D84" s="94" t="s">
        <v>345</v>
      </c>
      <c r="E84" s="94"/>
      <c r="F84" s="94"/>
      <c r="G84" s="94"/>
      <c r="H84" s="94" t="s">
        <v>346</v>
      </c>
      <c r="I84" s="94">
        <v>18938991918</v>
      </c>
      <c r="J84" s="94"/>
      <c r="K84" s="94"/>
      <c r="L84" s="509"/>
      <c r="M84" s="509"/>
      <c r="N84" s="509"/>
      <c r="O84" s="509"/>
      <c r="P84" s="509"/>
      <c r="Q84" s="509"/>
      <c r="R84" s="509"/>
      <c r="S84" s="509"/>
      <c r="T84" s="509"/>
      <c r="U84" s="509"/>
      <c r="V84" s="509"/>
      <c r="W84" s="509"/>
      <c r="X84" s="509"/>
      <c r="Y84" s="509"/>
      <c r="Z84" s="509"/>
      <c r="AA84" s="509"/>
      <c r="AB84" s="509"/>
      <c r="AC84" s="509"/>
      <c r="AD84" s="509"/>
      <c r="AE84" s="509"/>
      <c r="AF84" s="509"/>
      <c r="AG84" s="509"/>
      <c r="AH84" s="509"/>
      <c r="AI84" s="509"/>
      <c r="AJ84" s="509"/>
      <c r="AK84" s="509"/>
      <c r="AL84" s="509"/>
      <c r="AM84" s="509"/>
      <c r="AN84" s="509"/>
      <c r="AO84" s="509"/>
      <c r="AP84" s="509"/>
      <c r="AQ84" s="509"/>
      <c r="AR84" s="509"/>
      <c r="AS84" s="509"/>
      <c r="AT84" s="509"/>
      <c r="AU84" s="509"/>
      <c r="AV84" s="509"/>
      <c r="AW84" s="509"/>
      <c r="AX84" s="509"/>
      <c r="AY84" s="509"/>
      <c r="AZ84" s="509"/>
      <c r="BA84" s="509"/>
      <c r="BB84" s="509"/>
      <c r="BC84" s="509"/>
      <c r="BD84" s="509"/>
      <c r="BE84" s="509"/>
      <c r="BF84" s="509"/>
      <c r="BG84" s="509"/>
      <c r="BH84" s="509"/>
      <c r="BI84" s="509"/>
      <c r="BJ84" s="509"/>
      <c r="BK84" s="509"/>
      <c r="BL84" s="509"/>
      <c r="BM84" s="509"/>
      <c r="BN84" s="509"/>
      <c r="BO84" s="509"/>
      <c r="BP84" s="509"/>
      <c r="BQ84" s="509"/>
      <c r="BR84" s="509"/>
      <c r="BS84" s="509"/>
      <c r="BT84" s="509"/>
      <c r="BU84" s="509"/>
      <c r="BV84" s="509"/>
      <c r="BW84" s="509"/>
      <c r="BX84" s="509"/>
      <c r="BY84" s="509"/>
      <c r="BZ84" s="509"/>
      <c r="CA84" s="509"/>
      <c r="CB84" s="509"/>
      <c r="CC84" s="509"/>
      <c r="CD84" s="509"/>
      <c r="CE84" s="509"/>
      <c r="CF84" s="509"/>
      <c r="CG84" s="509"/>
      <c r="CH84" s="509"/>
      <c r="CI84" s="509"/>
      <c r="CJ84" s="509"/>
      <c r="CK84" s="509"/>
      <c r="CL84" s="509"/>
      <c r="CM84" s="509"/>
      <c r="CN84" s="509"/>
      <c r="CO84" s="509"/>
      <c r="CP84" s="509"/>
      <c r="CQ84" s="509"/>
      <c r="CR84" s="509"/>
      <c r="CS84" s="509"/>
      <c r="CT84" s="509"/>
      <c r="CU84" s="509"/>
      <c r="CV84" s="509"/>
      <c r="CW84" s="509"/>
      <c r="CX84" s="509"/>
      <c r="CY84" s="509"/>
      <c r="CZ84" s="509"/>
      <c r="DA84" s="509"/>
      <c r="DB84" s="509"/>
      <c r="DC84" s="509"/>
      <c r="DD84" s="509"/>
      <c r="DE84" s="509"/>
      <c r="DF84" s="509"/>
      <c r="DG84" s="509"/>
      <c r="DH84" s="509"/>
      <c r="DI84" s="509"/>
      <c r="DJ84" s="509"/>
      <c r="DK84" s="509"/>
      <c r="DL84" s="509"/>
      <c r="DM84" s="509"/>
      <c r="DN84" s="509"/>
      <c r="DO84" s="509"/>
      <c r="DP84" s="509"/>
      <c r="DQ84" s="509"/>
      <c r="DR84" s="509"/>
      <c r="DS84" s="509"/>
      <c r="DT84" s="509"/>
      <c r="DU84" s="509"/>
      <c r="DV84" s="509"/>
      <c r="DW84" s="509"/>
      <c r="DX84" s="509"/>
      <c r="DY84" s="509"/>
      <c r="DZ84" s="509"/>
      <c r="EA84" s="509"/>
      <c r="EB84" s="509"/>
      <c r="EC84" s="509"/>
      <c r="ED84" s="509"/>
      <c r="EE84" s="509"/>
      <c r="EF84" s="509"/>
      <c r="EG84" s="509"/>
      <c r="EH84" s="509"/>
      <c r="EI84" s="509"/>
      <c r="EJ84" s="509"/>
      <c r="EK84" s="509"/>
      <c r="EL84" s="509"/>
      <c r="EM84" s="509"/>
      <c r="EN84" s="509"/>
      <c r="EO84" s="509"/>
      <c r="EP84" s="509"/>
      <c r="EQ84" s="509"/>
      <c r="ER84" s="509"/>
      <c r="ES84" s="509"/>
      <c r="ET84" s="509"/>
      <c r="EU84" s="509"/>
      <c r="EV84" s="509"/>
      <c r="EW84" s="509"/>
      <c r="EX84" s="509"/>
      <c r="EY84" s="509"/>
      <c r="EZ84" s="509"/>
      <c r="FA84" s="509"/>
      <c r="FB84" s="509"/>
      <c r="FC84" s="509"/>
      <c r="FD84" s="509"/>
      <c r="FE84" s="509"/>
      <c r="FF84" s="509"/>
      <c r="FG84" s="509"/>
      <c r="FH84" s="509"/>
      <c r="FI84" s="509"/>
      <c r="FJ84" s="509"/>
      <c r="FK84" s="509"/>
      <c r="FL84" s="509"/>
      <c r="FM84" s="509"/>
      <c r="FN84" s="509"/>
      <c r="FO84" s="509"/>
      <c r="FP84" s="509"/>
      <c r="FQ84" s="509"/>
      <c r="FR84" s="509"/>
      <c r="FS84" s="509"/>
      <c r="FT84" s="509"/>
      <c r="FU84" s="509"/>
      <c r="FV84" s="509"/>
      <c r="FW84" s="509"/>
      <c r="FX84" s="509"/>
      <c r="FY84" s="509"/>
      <c r="FZ84" s="509"/>
      <c r="GA84" s="509"/>
      <c r="GB84" s="509"/>
      <c r="GC84" s="509"/>
      <c r="GD84" s="509"/>
      <c r="GE84" s="509"/>
      <c r="GF84" s="509"/>
      <c r="GG84" s="509"/>
      <c r="GH84" s="509"/>
      <c r="GI84" s="509"/>
      <c r="GJ84" s="509"/>
      <c r="GK84" s="509"/>
      <c r="GL84" s="509"/>
      <c r="GM84" s="509"/>
      <c r="GN84" s="509"/>
      <c r="GO84" s="509"/>
      <c r="GP84" s="509"/>
      <c r="GQ84" s="509"/>
      <c r="GR84" s="509"/>
      <c r="GS84" s="509"/>
      <c r="GT84" s="509"/>
      <c r="GU84" s="509"/>
      <c r="GV84" s="509"/>
      <c r="GW84" s="509"/>
      <c r="GX84" s="509"/>
      <c r="GY84" s="509"/>
      <c r="GZ84" s="509"/>
      <c r="HA84" s="509"/>
      <c r="HB84" s="509"/>
      <c r="HC84" s="509"/>
      <c r="HD84" s="509"/>
      <c r="HE84" s="509"/>
      <c r="HF84" s="509"/>
      <c r="HG84" s="509"/>
      <c r="HH84" s="509"/>
      <c r="HI84" s="509"/>
      <c r="HJ84" s="509"/>
      <c r="HK84" s="509"/>
      <c r="HL84" s="509"/>
      <c r="HM84" s="509"/>
      <c r="HN84" s="509"/>
      <c r="HO84" s="509"/>
      <c r="HP84" s="509"/>
      <c r="HQ84" s="509"/>
      <c r="HR84" s="509"/>
      <c r="HS84" s="509"/>
      <c r="HT84" s="509"/>
      <c r="HU84" s="509"/>
      <c r="HV84" s="509"/>
      <c r="HW84" s="509"/>
      <c r="HX84" s="509"/>
      <c r="HY84" s="509"/>
      <c r="HZ84" s="509"/>
      <c r="IA84" s="509"/>
      <c r="IB84" s="509"/>
      <c r="IC84" s="509"/>
    </row>
    <row r="85" s="510" customFormat="1" customHeight="1" spans="1:237">
      <c r="A85" s="509"/>
      <c r="B85" s="511"/>
      <c r="C85" s="511"/>
      <c r="D85" s="509"/>
      <c r="E85" s="509"/>
      <c r="F85" s="509"/>
      <c r="G85" s="509"/>
      <c r="H85" s="509"/>
      <c r="K85" s="509"/>
      <c r="L85" s="509"/>
    </row>
    <row r="86" s="510" customFormat="1" customHeight="1" spans="1:237">
      <c r="A86" s="509"/>
      <c r="B86" s="511"/>
      <c r="C86" s="511"/>
      <c r="D86" s="509"/>
      <c r="E86" s="509"/>
      <c r="F86" s="509"/>
      <c r="G86" s="509"/>
      <c r="H86" s="509"/>
      <c r="K86" s="509"/>
      <c r="L86" s="509"/>
    </row>
    <row r="87" s="510" customFormat="1" customHeight="1" spans="1:237">
      <c r="A87" s="509"/>
      <c r="B87" s="511"/>
      <c r="C87" s="511"/>
      <c r="D87" s="509"/>
      <c r="E87" s="509"/>
      <c r="F87" s="509"/>
      <c r="G87" s="509"/>
      <c r="H87" s="509"/>
      <c r="K87" s="509"/>
      <c r="L87" s="509"/>
    </row>
    <row r="88" s="510" customFormat="1" customHeight="1" spans="1:237">
      <c r="A88" s="509"/>
      <c r="B88" s="511"/>
      <c r="C88" s="511"/>
      <c r="D88" s="509"/>
      <c r="E88" s="509"/>
      <c r="F88" s="509"/>
      <c r="G88" s="509"/>
      <c r="H88" s="509"/>
      <c r="K88" s="509"/>
      <c r="L88" s="509"/>
    </row>
    <row r="89" s="510" customFormat="1" customHeight="1" spans="1:237">
      <c r="A89" s="509"/>
      <c r="B89" s="511"/>
      <c r="C89" s="511"/>
      <c r="D89" s="509"/>
      <c r="E89" s="509"/>
      <c r="F89" s="509"/>
      <c r="G89" s="509"/>
      <c r="H89" s="509"/>
      <c r="K89" s="509"/>
      <c r="L89" s="509"/>
    </row>
    <row r="90" s="510" customFormat="1" customHeight="1" spans="1:237">
      <c r="A90" s="509"/>
      <c r="B90" s="511"/>
      <c r="C90" s="511"/>
      <c r="D90" s="509"/>
      <c r="E90" s="509"/>
      <c r="F90" s="509"/>
      <c r="G90" s="509"/>
      <c r="H90" s="509"/>
      <c r="K90" s="509"/>
      <c r="L90" s="509"/>
    </row>
    <row r="91" s="510" customFormat="1" customHeight="1" spans="1:237">
      <c r="A91" s="509"/>
      <c r="B91" s="511"/>
      <c r="C91" s="511"/>
      <c r="D91" s="509"/>
      <c r="E91" s="509"/>
      <c r="F91" s="509"/>
      <c r="G91" s="509"/>
      <c r="H91" s="509"/>
      <c r="K91" s="509"/>
      <c r="L91" s="509"/>
    </row>
    <row r="92" s="510" customFormat="1" customHeight="1" spans="1:237">
      <c r="A92" s="509"/>
      <c r="B92" s="511"/>
      <c r="C92" s="511"/>
      <c r="D92" s="509"/>
      <c r="E92" s="509"/>
      <c r="F92" s="509"/>
      <c r="G92" s="509"/>
      <c r="H92" s="509"/>
      <c r="K92" s="509"/>
      <c r="L92" s="509"/>
    </row>
    <row r="93" s="510" customFormat="1" customHeight="1" spans="1:237">
      <c r="A93" s="509"/>
      <c r="B93" s="511"/>
      <c r="C93" s="511"/>
      <c r="D93" s="509"/>
      <c r="E93" s="509"/>
      <c r="F93" s="509"/>
      <c r="G93" s="509"/>
      <c r="H93" s="509"/>
      <c r="K93" s="509"/>
      <c r="L93" s="509"/>
    </row>
    <row r="94" s="510" customFormat="1" customHeight="1" spans="1:237">
      <c r="A94" s="509"/>
      <c r="B94" s="511"/>
      <c r="C94" s="511"/>
      <c r="D94" s="509"/>
      <c r="E94" s="509"/>
      <c r="F94" s="509"/>
      <c r="G94" s="509"/>
      <c r="H94" s="509"/>
      <c r="K94" s="509"/>
      <c r="L94" s="509"/>
    </row>
    <row r="95" s="510" customFormat="1" customHeight="1" spans="1:237">
      <c r="A95" s="509"/>
      <c r="B95" s="511"/>
      <c r="C95" s="511"/>
      <c r="D95" s="509"/>
      <c r="E95" s="509"/>
      <c r="F95" s="509"/>
      <c r="G95" s="509"/>
      <c r="H95" s="509"/>
      <c r="K95" s="509"/>
      <c r="L95" s="509"/>
    </row>
  </sheetData>
  <sheetProtection formatCells="0" formatColumns="0" formatRows="0" insertRows="0" insertColumns="0" insertHyperlinks="0" deleteColumns="0" deleteRows="0" sort="0" autoFilter="0" pivotTables="0"/>
  <mergeCells count="7">
    <mergeCell ref="H1:J1"/>
    <mergeCell ref="E2:G2"/>
    <mergeCell ref="H2:J2"/>
    <mergeCell ref="A2:A3"/>
    <mergeCell ref="B2:B3"/>
    <mergeCell ref="C2:C3"/>
    <mergeCell ref="D2:D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FD177"/>
  <sheetViews>
    <sheetView zoomScale="110" zoomScaleNormal="110" workbookViewId="0">
      <pane xSplit="23" ySplit="2" topLeftCell="AP96" activePane="bottomRight" state="frozen"/>
      <selection/>
      <selection pane="topRight"/>
      <selection pane="bottomLeft"/>
      <selection pane="bottomRight" activeCell="G2" sqref="G$1:N$1048576"/>
    </sheetView>
  </sheetViews>
  <sheetFormatPr defaultColWidth="5.66666666666667" defaultRowHeight="19" customHeight="1"/>
  <cols>
    <col min="1" max="1" width="5.43333333333333" style="204" customWidth="1"/>
    <col min="2" max="2" width="3.85" style="204" customWidth="1"/>
    <col min="3" max="3" width="24.0666666666667" style="204" customWidth="1"/>
    <col min="4" max="4" width="4.30833333333333" style="200" customWidth="1"/>
    <col min="5" max="6" width="5.975" style="200" customWidth="1"/>
    <col min="7" max="9" width="5.975" style="200" hidden="1" customWidth="1"/>
    <col min="10" max="10" width="6.44166666666667" style="200" hidden="1" customWidth="1"/>
    <col min="11" max="11" width="6.38333333333333" style="207" hidden="1" customWidth="1"/>
    <col min="12" max="12" width="4.09166666666667" style="200" hidden="1" customWidth="1"/>
    <col min="13" max="13" width="9.09166666666667" style="200" hidden="1" customWidth="1"/>
    <col min="14" max="14" width="5.13333333333333" style="207" hidden="1" customWidth="1"/>
    <col min="15" max="15" width="6.65" style="207" customWidth="1"/>
    <col min="16" max="16" width="5.9" style="200" customWidth="1"/>
    <col min="17" max="17" width="5.275" style="200" customWidth="1"/>
    <col min="18" max="18" width="8.10833333333333" style="200" customWidth="1"/>
    <col min="19" max="19" width="12.075" style="200" customWidth="1"/>
    <col min="20" max="20" width="17.8416666666667" style="200" customWidth="1"/>
    <col min="21" max="21" width="6.10833333333333" style="200" customWidth="1"/>
    <col min="22" max="22" width="4.23333333333333" style="200" customWidth="1"/>
    <col min="23" max="23" width="7.98333333333333" style="207" customWidth="1"/>
    <col min="24" max="24" width="4.85833333333333" style="200" customWidth="1"/>
    <col min="25" max="25" width="6.175" style="207" customWidth="1"/>
    <col min="26" max="26" width="5.41666666666667" style="204" customWidth="1"/>
    <col min="27" max="27" width="6.875" style="204" customWidth="1"/>
    <col min="28" max="28" width="6.175" style="204" customWidth="1"/>
    <col min="29" max="29" width="4.125" style="204" customWidth="1"/>
    <col min="30" max="30" width="3.55833333333333" style="204" customWidth="1"/>
    <col min="31" max="31" width="3.775" style="204" hidden="1" customWidth="1"/>
    <col min="32" max="32" width="5.225" style="204" customWidth="1"/>
    <col min="33" max="33" width="5.775" style="208" customWidth="1"/>
    <col min="34" max="36" width="3.73333333333333" style="209" customWidth="1"/>
    <col min="37" max="37" width="4.81666666666667" style="209" customWidth="1"/>
    <col min="38" max="38" width="3.75833333333333" style="209" customWidth="1"/>
    <col min="39" max="39" width="6.75833333333333" style="209" customWidth="1"/>
    <col min="40" max="40" width="10.25" style="204" customWidth="1"/>
    <col min="41" max="41" width="5.675" style="204" customWidth="1"/>
    <col min="42" max="42" width="5.925" style="210" customWidth="1"/>
    <col min="43" max="43" width="5.38333333333333" style="204" customWidth="1"/>
    <col min="44" max="46" width="3.73333333333333" style="204" customWidth="1"/>
    <col min="47" max="47" width="5.79166666666667" style="204" customWidth="1"/>
    <col min="48" max="48" width="10.25" style="211" customWidth="1"/>
    <col min="49" max="49" width="5.50833333333333" style="204" customWidth="1"/>
    <col min="50" max="50" width="5.375" style="210" customWidth="1"/>
    <col min="51" max="51" width="6.16666666666667" style="204" customWidth="1"/>
    <col min="52" max="52" width="4.66666666666667" style="210" customWidth="1"/>
    <col min="53" max="53" width="5.58333333333333" style="204" customWidth="1"/>
    <col min="54" max="54" width="3.73333333333333" style="204" customWidth="1"/>
    <col min="55" max="55" width="6.625" style="204" customWidth="1"/>
    <col min="56" max="56" width="5.85833333333333" style="212" customWidth="1"/>
    <col min="57" max="57" width="6.29166666666667" style="204" customWidth="1"/>
    <col min="58" max="58" width="3.73333333333333" style="210" customWidth="1"/>
    <col min="59" max="63" width="3.73333333333333" style="204" customWidth="1"/>
    <col min="64" max="64" width="5.30833333333333" style="212" customWidth="1"/>
    <col min="65" max="65" width="5.71666666666667" style="213" customWidth="1"/>
    <col min="66" max="66" width="3.73333333333333" style="210" customWidth="1"/>
    <col min="67" max="71" width="3.73333333333333" style="204" customWidth="1"/>
    <col min="72" max="72" width="5.94166666666667" style="212" customWidth="1"/>
    <col min="73" max="73" width="6.36666666666667" style="204" customWidth="1"/>
    <col min="74" max="74" width="3.73333333333333" style="210" customWidth="1"/>
    <col min="75" max="78" width="3.73333333333333" style="204" customWidth="1"/>
    <col min="79" max="79" width="6.04166666666667" style="204" customWidth="1"/>
    <col min="80" max="80" width="5.70833333333333" style="212" customWidth="1"/>
    <col min="81" max="81" width="5.38333333333333" style="204" customWidth="1"/>
    <col min="82" max="82" width="3.73333333333333" style="210" customWidth="1"/>
    <col min="83" max="85" width="3.73333333333333" style="204" customWidth="1"/>
    <col min="86" max="86" width="4.80833333333333" style="204" customWidth="1"/>
    <col min="87" max="87" width="3.73333333333333" style="204" customWidth="1"/>
    <col min="88" max="88" width="5.46666666666667" style="212" customWidth="1"/>
    <col min="89" max="89" width="5.55833333333333" style="204" customWidth="1"/>
    <col min="90" max="90" width="3.73333333333333" style="210" customWidth="1"/>
    <col min="91" max="94" width="3.73333333333333" style="204" customWidth="1"/>
    <col min="95" max="95" width="3.69166666666667" style="204" customWidth="1"/>
    <col min="96" max="96" width="4.81666666666667" style="212" customWidth="1"/>
    <col min="97" max="97" width="5.8" style="204" customWidth="1"/>
    <col min="98" max="98" width="3.73333333333333" style="210" customWidth="1"/>
    <col min="99" max="103" width="3.73333333333333" style="204" customWidth="1"/>
    <col min="104" max="104" width="5.46666666666667" style="212" customWidth="1"/>
    <col min="105" max="105" width="5.875" style="204" customWidth="1"/>
    <col min="106" max="106" width="5.55833333333333" style="210" customWidth="1"/>
    <col min="107" max="110" width="3.73333333333333" style="204" customWidth="1"/>
    <col min="111" max="111" width="5.825" style="204" customWidth="1"/>
    <col min="112" max="119" width="3.33333333333333" style="204" customWidth="1"/>
    <col min="120" max="120" width="3.91666666666667" style="204" customWidth="1"/>
    <col min="121" max="121" width="3.91666666666667" style="213" customWidth="1"/>
    <col min="122" max="122" width="3.91666666666667" style="210" customWidth="1"/>
    <col min="123" max="135" width="3.91666666666667" style="204" customWidth="1"/>
    <col min="136" max="140" width="3.66666666666667" style="209" customWidth="1"/>
    <col min="141" max="141" width="7.08333333333333" style="209" customWidth="1"/>
    <col min="142" max="142" width="5.275" style="204" customWidth="1"/>
    <col min="143" max="143" width="7.775" style="204" customWidth="1"/>
    <col min="144" max="144" width="7.125" style="204" customWidth="1"/>
    <col min="145" max="145" width="7.26666666666667" style="212" customWidth="1"/>
    <col min="146" max="147" width="5.66666666666667" style="204" customWidth="1"/>
    <col min="148" max="148" width="7.03333333333333" style="214" customWidth="1"/>
    <col min="149" max="150" width="5.66666666666667" style="204" customWidth="1"/>
    <col min="151" max="151" width="5.66666666666667" style="215" customWidth="1"/>
    <col min="152" max="160" width="5.66666666666667" style="204" customWidth="1"/>
    <col min="161" max="16256" width="5.38333333333333" style="204" customWidth="1"/>
    <col min="16257" max="16265" width="5.66666666666667" style="204" customWidth="1"/>
    <col min="16266" max="16288" width="5.66666666666667" style="204"/>
    <col min="16289" max="16320" width="5.38333333333333" style="204"/>
    <col min="16321" max="16351" width="5.66666666666667" style="204"/>
    <col min="16352" max="16360" width="5.66666666666667" style="216"/>
    <col min="16361" max="16384" width="5.66666666666667" style="217"/>
  </cols>
  <sheetData>
    <row r="1" s="200" customFormat="1" customHeight="1" spans="1:151">
      <c r="A1" s="218" t="s">
        <v>347</v>
      </c>
      <c r="B1" s="218" t="s">
        <v>348</v>
      </c>
      <c r="C1" s="219" t="s">
        <v>2</v>
      </c>
      <c r="D1" s="220" t="s">
        <v>349</v>
      </c>
      <c r="E1" s="220" t="s">
        <v>350</v>
      </c>
      <c r="F1" s="220" t="s">
        <v>4</v>
      </c>
      <c r="G1" s="220" t="s">
        <v>5</v>
      </c>
      <c r="H1" s="220"/>
      <c r="I1" s="220"/>
      <c r="J1" s="220" t="s">
        <v>6</v>
      </c>
      <c r="K1" s="221"/>
      <c r="L1" s="220"/>
      <c r="M1" s="220" t="s">
        <v>351</v>
      </c>
      <c r="N1" s="221"/>
      <c r="O1" s="221" t="s">
        <v>352</v>
      </c>
      <c r="P1" s="200" t="s">
        <v>353</v>
      </c>
      <c r="Q1" s="220" t="s">
        <v>354</v>
      </c>
      <c r="R1" s="220" t="s">
        <v>355</v>
      </c>
      <c r="S1" s="220" t="s">
        <v>356</v>
      </c>
      <c r="T1" s="220" t="s">
        <v>357</v>
      </c>
      <c r="U1" s="220" t="s">
        <v>358</v>
      </c>
      <c r="V1" s="200" t="s">
        <v>359</v>
      </c>
      <c r="W1" s="207"/>
      <c r="X1" s="200" t="s">
        <v>360</v>
      </c>
      <c r="Z1" s="218" t="s">
        <v>361</v>
      </c>
      <c r="AA1" s="218" t="s">
        <v>362</v>
      </c>
      <c r="AB1" s="219" t="s">
        <v>363</v>
      </c>
      <c r="AC1" s="219" t="s">
        <v>364</v>
      </c>
      <c r="AD1" s="219"/>
      <c r="AE1" s="222"/>
      <c r="AF1" s="219" t="s">
        <v>365</v>
      </c>
      <c r="AG1" s="218"/>
      <c r="AH1" s="223" t="s">
        <v>366</v>
      </c>
      <c r="AI1" s="223"/>
      <c r="AJ1" s="223"/>
      <c r="AK1" s="223"/>
      <c r="AL1" s="223"/>
      <c r="AM1" s="223"/>
      <c r="AN1" s="218"/>
      <c r="AO1" s="218" t="s">
        <v>367</v>
      </c>
      <c r="AP1" s="224"/>
      <c r="AQ1" s="218"/>
      <c r="AR1" s="218"/>
      <c r="AS1" s="218"/>
      <c r="AT1" s="218"/>
      <c r="AU1" s="218"/>
      <c r="AV1" s="225"/>
      <c r="AW1" s="218" t="s">
        <v>368</v>
      </c>
      <c r="AX1" s="224"/>
      <c r="AY1" s="218"/>
      <c r="AZ1" s="224"/>
      <c r="BA1" s="218"/>
      <c r="BB1" s="218"/>
      <c r="BC1" s="218"/>
      <c r="BD1" s="226"/>
      <c r="BE1" s="218" t="s">
        <v>369</v>
      </c>
      <c r="BF1" s="224"/>
      <c r="BG1" s="218"/>
      <c r="BH1" s="218"/>
      <c r="BI1" s="218"/>
      <c r="BJ1" s="218"/>
      <c r="BK1" s="218"/>
      <c r="BL1" s="226"/>
      <c r="BM1" s="227" t="s">
        <v>370</v>
      </c>
      <c r="BN1" s="224"/>
      <c r="BO1" s="218"/>
      <c r="BP1" s="218"/>
      <c r="BQ1" s="218"/>
      <c r="BR1" s="218"/>
      <c r="BS1" s="218"/>
      <c r="BT1" s="226"/>
      <c r="BU1" s="218" t="s">
        <v>371</v>
      </c>
      <c r="BV1" s="224"/>
      <c r="BW1" s="218"/>
      <c r="BX1" s="218"/>
      <c r="BY1" s="218"/>
      <c r="BZ1" s="218"/>
      <c r="CA1" s="218"/>
      <c r="CB1" s="226"/>
      <c r="CC1" s="218" t="s">
        <v>372</v>
      </c>
      <c r="CD1" s="224"/>
      <c r="CE1" s="218"/>
      <c r="CF1" s="218"/>
      <c r="CG1" s="218"/>
      <c r="CH1" s="218"/>
      <c r="CI1" s="218"/>
      <c r="CJ1" s="226"/>
      <c r="CK1" s="218" t="s">
        <v>373</v>
      </c>
      <c r="CL1" s="224"/>
      <c r="CM1" s="218"/>
      <c r="CN1" s="218"/>
      <c r="CO1" s="218"/>
      <c r="CP1" s="218"/>
      <c r="CQ1" s="218"/>
      <c r="CR1" s="226"/>
      <c r="CS1" s="218" t="s">
        <v>374</v>
      </c>
      <c r="CT1" s="224"/>
      <c r="CU1" s="218"/>
      <c r="CV1" s="218"/>
      <c r="CW1" s="218"/>
      <c r="CX1" s="218"/>
      <c r="CY1" s="218"/>
      <c r="CZ1" s="226"/>
      <c r="DA1" s="218" t="s">
        <v>375</v>
      </c>
      <c r="DB1" s="224"/>
      <c r="DC1" s="218"/>
      <c r="DD1" s="218"/>
      <c r="DE1" s="218"/>
      <c r="DF1" s="218"/>
      <c r="DG1" s="218"/>
      <c r="DH1" s="228"/>
      <c r="DI1" s="228" t="s">
        <v>376</v>
      </c>
      <c r="DJ1" s="229"/>
      <c r="DK1" s="229"/>
      <c r="DL1" s="229"/>
      <c r="DM1" s="229"/>
      <c r="DN1" s="229"/>
      <c r="DO1" s="230"/>
      <c r="DP1" s="230"/>
      <c r="DQ1" s="227" t="s">
        <v>377</v>
      </c>
      <c r="DR1" s="224"/>
      <c r="DS1" s="218"/>
      <c r="DT1" s="218"/>
      <c r="DU1" s="218"/>
      <c r="DV1" s="218"/>
      <c r="DW1" s="218"/>
      <c r="DX1" s="218"/>
      <c r="DY1" s="218" t="s">
        <v>377</v>
      </c>
      <c r="DZ1" s="218"/>
      <c r="EA1" s="218"/>
      <c r="EB1" s="218"/>
      <c r="EC1" s="218"/>
      <c r="ED1" s="218"/>
      <c r="EE1" s="218"/>
      <c r="EF1" s="223" t="s">
        <v>378</v>
      </c>
      <c r="EG1" s="223"/>
      <c r="EH1" s="223"/>
      <c r="EI1" s="223"/>
      <c r="EJ1" s="223"/>
      <c r="EK1" s="223"/>
      <c r="EL1" s="218"/>
      <c r="EM1" s="218"/>
      <c r="EN1" s="218"/>
      <c r="EO1" s="226"/>
      <c r="EP1" s="231" t="s">
        <v>379</v>
      </c>
      <c r="EQ1" s="232"/>
      <c r="ER1" s="233" t="s">
        <v>7</v>
      </c>
      <c r="ES1" s="234" t="s">
        <v>380</v>
      </c>
      <c r="ET1" s="234" t="s">
        <v>381</v>
      </c>
      <c r="EU1" s="235" t="s">
        <v>382</v>
      </c>
    </row>
    <row r="2" s="200" customFormat="1" customHeight="1" spans="1:151">
      <c r="A2" s="218"/>
      <c r="B2" s="218"/>
      <c r="C2" s="219"/>
      <c r="D2" s="220"/>
      <c r="E2" s="220"/>
      <c r="F2" s="220"/>
      <c r="G2" s="220" t="s">
        <v>8</v>
      </c>
      <c r="H2" s="220" t="s">
        <v>9</v>
      </c>
      <c r="I2" s="220" t="s">
        <v>10</v>
      </c>
      <c r="J2" s="220" t="s">
        <v>8</v>
      </c>
      <c r="K2" s="221" t="s">
        <v>9</v>
      </c>
      <c r="L2" s="220" t="s">
        <v>10</v>
      </c>
      <c r="M2" s="220" t="s">
        <v>8</v>
      </c>
      <c r="N2" s="220" t="s">
        <v>9</v>
      </c>
      <c r="O2" s="221"/>
      <c r="Q2" s="220"/>
      <c r="R2" s="220"/>
      <c r="S2" s="220"/>
      <c r="T2" s="220"/>
      <c r="U2" s="220"/>
      <c r="V2" s="220" t="s">
        <v>8</v>
      </c>
      <c r="W2" s="221" t="s">
        <v>9</v>
      </c>
      <c r="X2" s="220" t="s">
        <v>8</v>
      </c>
      <c r="Y2" s="221" t="s">
        <v>9</v>
      </c>
      <c r="Z2" s="218"/>
      <c r="AA2" s="219" t="s">
        <v>383</v>
      </c>
      <c r="AB2" s="219"/>
      <c r="AC2" s="222" t="s">
        <v>384</v>
      </c>
      <c r="AD2" s="218" t="s">
        <v>385</v>
      </c>
      <c r="AE2" s="222" t="s">
        <v>386</v>
      </c>
      <c r="AF2" s="219"/>
      <c r="AG2" s="218" t="s">
        <v>387</v>
      </c>
      <c r="AH2" s="223" t="s">
        <v>388</v>
      </c>
      <c r="AI2" s="223" t="s">
        <v>389</v>
      </c>
      <c r="AJ2" s="223" t="s">
        <v>390</v>
      </c>
      <c r="AK2" s="223" t="s">
        <v>391</v>
      </c>
      <c r="AL2" s="223" t="s">
        <v>392</v>
      </c>
      <c r="AM2" s="223" t="s">
        <v>393</v>
      </c>
      <c r="AN2" s="219" t="s">
        <v>394</v>
      </c>
      <c r="AO2" s="218" t="s">
        <v>387</v>
      </c>
      <c r="AP2" s="224" t="s">
        <v>388</v>
      </c>
      <c r="AQ2" s="218" t="s">
        <v>389</v>
      </c>
      <c r="AR2" s="218" t="s">
        <v>390</v>
      </c>
      <c r="AS2" s="218" t="s">
        <v>391</v>
      </c>
      <c r="AT2" s="218" t="s">
        <v>392</v>
      </c>
      <c r="AU2" s="223" t="s">
        <v>393</v>
      </c>
      <c r="AV2" s="219" t="s">
        <v>394</v>
      </c>
      <c r="AW2" s="218" t="s">
        <v>387</v>
      </c>
      <c r="AX2" s="224" t="s">
        <v>388</v>
      </c>
      <c r="AY2" s="218" t="s">
        <v>389</v>
      </c>
      <c r="AZ2" s="224" t="s">
        <v>390</v>
      </c>
      <c r="BA2" s="218" t="s">
        <v>391</v>
      </c>
      <c r="BB2" s="218" t="s">
        <v>392</v>
      </c>
      <c r="BC2" s="218" t="s">
        <v>378</v>
      </c>
      <c r="BD2" s="219" t="s">
        <v>394</v>
      </c>
      <c r="BE2" s="218" t="s">
        <v>387</v>
      </c>
      <c r="BF2" s="224" t="s">
        <v>388</v>
      </c>
      <c r="BG2" s="218" t="s">
        <v>389</v>
      </c>
      <c r="BH2" s="218" t="s">
        <v>390</v>
      </c>
      <c r="BI2" s="218" t="s">
        <v>391</v>
      </c>
      <c r="BJ2" s="218" t="s">
        <v>392</v>
      </c>
      <c r="BK2" s="218" t="s">
        <v>378</v>
      </c>
      <c r="BL2" s="219" t="s">
        <v>394</v>
      </c>
      <c r="BM2" s="227" t="s">
        <v>387</v>
      </c>
      <c r="BN2" s="224" t="s">
        <v>388</v>
      </c>
      <c r="BO2" s="218" t="s">
        <v>389</v>
      </c>
      <c r="BP2" s="218" t="s">
        <v>390</v>
      </c>
      <c r="BQ2" s="218" t="s">
        <v>391</v>
      </c>
      <c r="BR2" s="218" t="s">
        <v>392</v>
      </c>
      <c r="BS2" s="218" t="s">
        <v>378</v>
      </c>
      <c r="BT2" s="219" t="s">
        <v>394</v>
      </c>
      <c r="BU2" s="218" t="s">
        <v>387</v>
      </c>
      <c r="BV2" s="224" t="s">
        <v>388</v>
      </c>
      <c r="BW2" s="218" t="s">
        <v>389</v>
      </c>
      <c r="BX2" s="218" t="s">
        <v>390</v>
      </c>
      <c r="BY2" s="218" t="s">
        <v>391</v>
      </c>
      <c r="BZ2" s="218" t="s">
        <v>392</v>
      </c>
      <c r="CA2" s="218" t="s">
        <v>378</v>
      </c>
      <c r="CB2" s="226"/>
      <c r="CC2" s="218" t="s">
        <v>387</v>
      </c>
      <c r="CD2" s="224" t="s">
        <v>388</v>
      </c>
      <c r="CE2" s="218" t="s">
        <v>389</v>
      </c>
      <c r="CF2" s="218" t="s">
        <v>390</v>
      </c>
      <c r="CG2" s="218" t="s">
        <v>391</v>
      </c>
      <c r="CH2" s="218" t="s">
        <v>392</v>
      </c>
      <c r="CI2" s="218" t="s">
        <v>378</v>
      </c>
      <c r="CJ2" s="226"/>
      <c r="CK2" s="218" t="s">
        <v>387</v>
      </c>
      <c r="CL2" s="224" t="s">
        <v>388</v>
      </c>
      <c r="CM2" s="218" t="s">
        <v>389</v>
      </c>
      <c r="CN2" s="218" t="s">
        <v>390</v>
      </c>
      <c r="CO2" s="218" t="s">
        <v>391</v>
      </c>
      <c r="CP2" s="218" t="s">
        <v>392</v>
      </c>
      <c r="CQ2" s="218" t="s">
        <v>378</v>
      </c>
      <c r="CR2" s="226"/>
      <c r="CS2" s="218" t="s">
        <v>387</v>
      </c>
      <c r="CT2" s="224" t="s">
        <v>388</v>
      </c>
      <c r="CU2" s="218" t="s">
        <v>389</v>
      </c>
      <c r="CV2" s="218" t="s">
        <v>390</v>
      </c>
      <c r="CW2" s="218" t="s">
        <v>391</v>
      </c>
      <c r="CX2" s="218" t="s">
        <v>392</v>
      </c>
      <c r="CY2" s="218" t="s">
        <v>378</v>
      </c>
      <c r="CZ2" s="226"/>
      <c r="DA2" s="218" t="s">
        <v>387</v>
      </c>
      <c r="DB2" s="224" t="s">
        <v>388</v>
      </c>
      <c r="DC2" s="218" t="s">
        <v>389</v>
      </c>
      <c r="DD2" s="218" t="s">
        <v>390</v>
      </c>
      <c r="DE2" s="218" t="s">
        <v>391</v>
      </c>
      <c r="DF2" s="218" t="s">
        <v>392</v>
      </c>
      <c r="DG2" s="218" t="s">
        <v>378</v>
      </c>
      <c r="DH2" s="218"/>
      <c r="DI2" s="218" t="s">
        <v>387</v>
      </c>
      <c r="DJ2" s="218" t="s">
        <v>388</v>
      </c>
      <c r="DK2" s="218" t="s">
        <v>389</v>
      </c>
      <c r="DL2" s="218" t="s">
        <v>390</v>
      </c>
      <c r="DM2" s="218" t="s">
        <v>391</v>
      </c>
      <c r="DN2" s="218" t="s">
        <v>392</v>
      </c>
      <c r="DO2" s="218" t="s">
        <v>378</v>
      </c>
      <c r="DP2" s="218"/>
      <c r="DQ2" s="227" t="s">
        <v>387</v>
      </c>
      <c r="DR2" s="224" t="s">
        <v>388</v>
      </c>
      <c r="DS2" s="218" t="s">
        <v>389</v>
      </c>
      <c r="DT2" s="218" t="s">
        <v>390</v>
      </c>
      <c r="DU2" s="218" t="s">
        <v>391</v>
      </c>
      <c r="DV2" s="218" t="s">
        <v>392</v>
      </c>
      <c r="DW2" s="218" t="s">
        <v>378</v>
      </c>
      <c r="DX2" s="218"/>
      <c r="DY2" s="218" t="s">
        <v>387</v>
      </c>
      <c r="DZ2" s="218" t="s">
        <v>388</v>
      </c>
      <c r="EA2" s="218" t="s">
        <v>389</v>
      </c>
      <c r="EB2" s="218" t="s">
        <v>390</v>
      </c>
      <c r="EC2" s="218" t="s">
        <v>391</v>
      </c>
      <c r="ED2" s="218" t="s">
        <v>392</v>
      </c>
      <c r="EE2" s="218" t="s">
        <v>378</v>
      </c>
      <c r="EF2" s="223" t="s">
        <v>388</v>
      </c>
      <c r="EG2" s="223" t="s">
        <v>389</v>
      </c>
      <c r="EH2" s="223" t="s">
        <v>390</v>
      </c>
      <c r="EI2" s="223" t="s">
        <v>391</v>
      </c>
      <c r="EJ2" s="223" t="s">
        <v>392</v>
      </c>
      <c r="EK2" s="223" t="s">
        <v>378</v>
      </c>
      <c r="EL2" s="218" t="s">
        <v>395</v>
      </c>
      <c r="EM2" s="218" t="s">
        <v>396</v>
      </c>
      <c r="EN2" s="218" t="s">
        <v>397</v>
      </c>
      <c r="EO2" s="226" t="s">
        <v>398</v>
      </c>
      <c r="EP2" s="200" t="s">
        <v>386</v>
      </c>
      <c r="EQ2" s="200" t="s">
        <v>399</v>
      </c>
      <c r="ER2" s="236" t="s">
        <v>400</v>
      </c>
      <c r="ES2" s="235" t="s">
        <v>401</v>
      </c>
      <c r="ET2" s="235" t="s">
        <v>402</v>
      </c>
      <c r="EU2" s="235" t="s">
        <v>403</v>
      </c>
    </row>
    <row r="3" s="200" customFormat="1" customHeight="1" spans="1:151">
      <c r="A3" s="237" t="s">
        <v>404</v>
      </c>
      <c r="B3" s="218">
        <v>1</v>
      </c>
      <c r="C3" s="238" t="s">
        <v>239</v>
      </c>
      <c r="D3" s="220" t="s">
        <v>13</v>
      </c>
      <c r="E3" s="220" t="s">
        <v>405</v>
      </c>
      <c r="F3" s="220" t="s">
        <v>120</v>
      </c>
      <c r="G3" s="220" t="s">
        <v>240</v>
      </c>
      <c r="H3" s="221" t="s">
        <v>241</v>
      </c>
      <c r="I3" s="220">
        <v>666345</v>
      </c>
      <c r="J3" s="220" t="s">
        <v>240</v>
      </c>
      <c r="K3" s="221" t="s">
        <v>241</v>
      </c>
      <c r="L3" s="220">
        <v>666345</v>
      </c>
      <c r="M3" s="239"/>
      <c r="N3" s="221"/>
      <c r="O3" s="221" t="s">
        <v>406</v>
      </c>
      <c r="P3" s="200" t="s">
        <v>407</v>
      </c>
      <c r="Q3" s="200" t="s">
        <v>408</v>
      </c>
      <c r="R3" s="200" t="s">
        <v>409</v>
      </c>
      <c r="S3" s="200" t="s">
        <v>409</v>
      </c>
      <c r="V3" s="200" t="s">
        <v>410</v>
      </c>
      <c r="W3" s="207"/>
      <c r="X3" s="200" t="s">
        <v>411</v>
      </c>
      <c r="Y3" s="240">
        <v>13421412591</v>
      </c>
      <c r="Z3" s="241" t="s">
        <v>412</v>
      </c>
      <c r="AA3" s="218">
        <v>200</v>
      </c>
      <c r="AB3" s="242">
        <v>1</v>
      </c>
      <c r="AC3" s="218">
        <v>0</v>
      </c>
      <c r="AD3" s="218" t="s">
        <v>409</v>
      </c>
      <c r="AE3" s="218"/>
      <c r="AF3" s="218"/>
      <c r="AG3" s="243">
        <v>46084</v>
      </c>
      <c r="AH3" s="244">
        <v>4</v>
      </c>
      <c r="AI3" s="244">
        <v>3</v>
      </c>
      <c r="AJ3" s="244">
        <v>3</v>
      </c>
      <c r="AK3" s="244">
        <v>3</v>
      </c>
      <c r="AL3" s="244">
        <v>3</v>
      </c>
      <c r="AM3" s="244">
        <f t="shared" ref="AM3:AM46" si="0">SUBTOTAL(9,AH3:AL3)</f>
        <v>16</v>
      </c>
      <c r="AN3" s="245" t="e">
        <f>AM3*16/AF3</f>
        <v>#DIV/0!</v>
      </c>
      <c r="AO3" s="246" t="e">
        <f>AG3+AN3*7</f>
        <v>#DIV/0!</v>
      </c>
      <c r="AP3" s="224"/>
      <c r="AQ3" s="218"/>
      <c r="AR3" s="218"/>
      <c r="AS3" s="218"/>
      <c r="AT3" s="218"/>
      <c r="AU3" s="247">
        <f t="shared" ref="AU3:AU46" si="1">SUM(AP3:AT3)</f>
        <v>0</v>
      </c>
      <c r="AV3" s="248" t="e">
        <f t="shared" ref="AV3:AV66" si="2">AU3*16/AF3</f>
        <v>#DIV/0!</v>
      </c>
      <c r="AW3" s="246"/>
      <c r="AX3" s="224"/>
      <c r="AY3" s="218"/>
      <c r="AZ3" s="218"/>
      <c r="BA3" s="218"/>
      <c r="BB3" s="218"/>
      <c r="BC3" s="247">
        <f t="shared" ref="BC3:BC62" si="3">AX3+AY3+AZ3+BA3+BB3</f>
        <v>0</v>
      </c>
      <c r="BD3" s="248" t="e">
        <f t="shared" ref="BD3:BD47" si="4">BC3*16/AF3</f>
        <v>#DIV/0!</v>
      </c>
      <c r="BE3" s="249"/>
      <c r="BF3" s="224"/>
      <c r="BG3" s="218"/>
      <c r="BH3" s="218"/>
      <c r="BI3" s="218"/>
      <c r="BJ3" s="218"/>
      <c r="BK3" s="247">
        <f t="shared" ref="BK3:BK25" si="5">BF3+BG3+BH3+BI3+BJ3</f>
        <v>0</v>
      </c>
      <c r="BL3" s="248" t="e">
        <f t="shared" ref="BL3:BL66" si="6">BK3*16/AF3</f>
        <v>#DIV/0!</v>
      </c>
      <c r="BM3" s="227"/>
      <c r="BN3" s="224"/>
      <c r="BO3" s="218"/>
      <c r="BP3" s="218"/>
      <c r="BQ3" s="218"/>
      <c r="BR3" s="218"/>
      <c r="BS3" s="250"/>
      <c r="BT3" s="245" t="e">
        <f t="shared" ref="BT3:BT53" si="7">BS3*16/AF3</f>
        <v>#DIV/0!</v>
      </c>
      <c r="BU3" s="246"/>
      <c r="BV3" s="224"/>
      <c r="BW3" s="218"/>
      <c r="BX3" s="218"/>
      <c r="BY3" s="218"/>
      <c r="BZ3" s="218"/>
      <c r="CA3" s="218"/>
      <c r="CB3" s="245" t="e">
        <f t="shared" ref="CB3:CB53" si="8">CA3*16/AF3</f>
        <v>#DIV/0!</v>
      </c>
      <c r="CC3" s="218"/>
      <c r="CD3" s="224"/>
      <c r="CE3" s="218"/>
      <c r="CF3" s="218"/>
      <c r="CG3" s="218"/>
      <c r="CH3" s="218"/>
      <c r="CI3" s="218"/>
      <c r="CJ3" s="245" t="e">
        <f t="shared" ref="CJ3:CJ62" si="9">CI3*16/AF3</f>
        <v>#DIV/0!</v>
      </c>
      <c r="CK3" s="218"/>
      <c r="CL3" s="224"/>
      <c r="CM3" s="218"/>
      <c r="CN3" s="218"/>
      <c r="CO3" s="218"/>
      <c r="CP3" s="218"/>
      <c r="CQ3" s="218"/>
      <c r="CR3" s="245" t="e">
        <f t="shared" ref="CR3:CR62" si="10">CQ3*16/AF3</f>
        <v>#DIV/0!</v>
      </c>
      <c r="CS3" s="218"/>
      <c r="CT3" s="224"/>
      <c r="CU3" s="218"/>
      <c r="CV3" s="218"/>
      <c r="CW3" s="218"/>
      <c r="CX3" s="218"/>
      <c r="CY3" s="218"/>
      <c r="CZ3" s="245" t="e">
        <f t="shared" ref="CZ3:CZ62" si="11">CY3*16/AF3</f>
        <v>#DIV/0!</v>
      </c>
      <c r="DA3" s="218"/>
      <c r="DB3" s="224"/>
      <c r="DC3" s="218"/>
      <c r="DD3" s="218"/>
      <c r="DE3" s="218"/>
      <c r="DF3" s="218"/>
      <c r="DG3" s="218"/>
      <c r="DH3" s="218"/>
      <c r="DI3" s="218"/>
      <c r="DJ3" s="218"/>
      <c r="DK3" s="218"/>
      <c r="DL3" s="218"/>
      <c r="DM3" s="218"/>
      <c r="DN3" s="218"/>
      <c r="DO3" s="218"/>
      <c r="DP3" s="218"/>
      <c r="DQ3" s="227"/>
      <c r="DR3" s="224"/>
      <c r="DS3" s="218"/>
      <c r="DT3" s="218"/>
      <c r="DU3" s="218"/>
      <c r="DV3" s="218"/>
      <c r="DW3" s="218"/>
      <c r="DX3" s="218"/>
      <c r="DY3" s="218"/>
      <c r="DZ3" s="218"/>
      <c r="EA3" s="218"/>
      <c r="EB3" s="218"/>
      <c r="EC3" s="218"/>
      <c r="ED3" s="218"/>
      <c r="EE3" s="218"/>
      <c r="EF3" s="223">
        <f t="shared" ref="EF3:EJ3" si="12">AH3+AP3+AX3+BF3+BN3+BV3+CD3+CL3+CT3+DB3+DJ3+DR3+DZ3</f>
        <v>4</v>
      </c>
      <c r="EG3" s="223">
        <f t="shared" si="12"/>
        <v>3</v>
      </c>
      <c r="EH3" s="223">
        <f t="shared" si="12"/>
        <v>3</v>
      </c>
      <c r="EI3" s="223">
        <f t="shared" si="12"/>
        <v>3</v>
      </c>
      <c r="EJ3" s="223">
        <f t="shared" si="12"/>
        <v>3</v>
      </c>
      <c r="EK3" s="223">
        <f t="shared" ref="EK3:EK62" si="13">SUM(EF3:EJ3)</f>
        <v>16</v>
      </c>
      <c r="EL3" s="218">
        <f t="shared" ref="EL3:EL62" si="14">AB3*100</f>
        <v>100</v>
      </c>
      <c r="EM3" s="218">
        <f t="shared" ref="EM3:EM62" si="15">EL3/16</f>
        <v>6.25</v>
      </c>
      <c r="EN3" s="223">
        <f t="shared" ref="EN3:EN62" si="16">EK3</f>
        <v>16</v>
      </c>
      <c r="EO3" s="226">
        <f t="shared" ref="EO3:EO62" si="17">EM3-EN3</f>
        <v>-9.75</v>
      </c>
      <c r="ER3" s="251"/>
      <c r="ES3" s="235" t="s">
        <v>413</v>
      </c>
      <c r="ET3" s="235" t="s">
        <v>414</v>
      </c>
      <c r="EU3" s="235" t="s">
        <v>415</v>
      </c>
    </row>
    <row r="4" s="200" customFormat="1" customHeight="1" spans="1:151">
      <c r="A4" s="237"/>
      <c r="B4" s="218">
        <v>2</v>
      </c>
      <c r="C4" s="219" t="s">
        <v>243</v>
      </c>
      <c r="D4" s="220" t="s">
        <v>13</v>
      </c>
      <c r="E4" s="220" t="s">
        <v>405</v>
      </c>
      <c r="F4" s="220" t="s">
        <v>125</v>
      </c>
      <c r="G4" s="220" t="s">
        <v>244</v>
      </c>
      <c r="H4" s="239">
        <v>13926633986</v>
      </c>
      <c r="I4" s="239">
        <v>613986</v>
      </c>
      <c r="J4" s="220" t="s">
        <v>245</v>
      </c>
      <c r="K4" s="221">
        <v>13727172989</v>
      </c>
      <c r="L4" s="239">
        <v>65989</v>
      </c>
      <c r="M4" s="239"/>
      <c r="N4" s="221"/>
      <c r="O4" s="221" t="s">
        <v>416</v>
      </c>
      <c r="P4" s="200" t="s">
        <v>417</v>
      </c>
      <c r="Q4" s="200" t="s">
        <v>408</v>
      </c>
      <c r="R4" s="200" t="s">
        <v>418</v>
      </c>
      <c r="S4" s="200" t="s">
        <v>418</v>
      </c>
      <c r="V4" s="200" t="s">
        <v>419</v>
      </c>
      <c r="W4" s="207" t="s">
        <v>420</v>
      </c>
      <c r="X4" s="220" t="s">
        <v>421</v>
      </c>
      <c r="Y4" s="221">
        <v>13539517801</v>
      </c>
      <c r="Z4" s="241" t="s">
        <v>422</v>
      </c>
      <c r="AA4" s="218">
        <v>200</v>
      </c>
      <c r="AB4" s="218">
        <f t="shared" ref="AB3:AB66" si="18">SUM(AC4:AD4)</f>
        <v>41</v>
      </c>
      <c r="AC4" s="218">
        <v>8</v>
      </c>
      <c r="AD4" s="218">
        <v>33</v>
      </c>
      <c r="AE4" s="218">
        <v>0</v>
      </c>
      <c r="AF4" s="218">
        <f t="shared" ref="AF4:AF46" si="19">AB4*5</f>
        <v>205</v>
      </c>
      <c r="AG4" s="243">
        <v>46084</v>
      </c>
      <c r="AH4" s="244">
        <v>7</v>
      </c>
      <c r="AI4" s="244">
        <v>10</v>
      </c>
      <c r="AJ4" s="244">
        <v>10</v>
      </c>
      <c r="AK4" s="244">
        <v>10</v>
      </c>
      <c r="AL4" s="244">
        <v>10</v>
      </c>
      <c r="AM4" s="244">
        <f t="shared" si="0"/>
        <v>47</v>
      </c>
      <c r="AN4" s="245">
        <f t="shared" ref="AN4:AN35" si="20">AM4*16/AF4</f>
        <v>3.66829268292683</v>
      </c>
      <c r="AO4" s="252">
        <v>46108</v>
      </c>
      <c r="AP4" s="253">
        <v>8</v>
      </c>
      <c r="AQ4" s="254">
        <v>10</v>
      </c>
      <c r="AR4" s="254">
        <v>10</v>
      </c>
      <c r="AS4" s="254">
        <v>10</v>
      </c>
      <c r="AT4" s="254">
        <v>10</v>
      </c>
      <c r="AU4" s="244">
        <f t="shared" si="1"/>
        <v>48</v>
      </c>
      <c r="AV4" s="248">
        <f t="shared" si="2"/>
        <v>3.74634146341463</v>
      </c>
      <c r="AW4" s="255">
        <f t="shared" ref="AW4:AW7" si="21">AO4+AV4*7</f>
        <v>46134.2243902439</v>
      </c>
      <c r="AX4" s="256">
        <v>7</v>
      </c>
      <c r="AY4" s="257">
        <v>10</v>
      </c>
      <c r="AZ4" s="257">
        <v>10</v>
      </c>
      <c r="BA4" s="257">
        <v>10</v>
      </c>
      <c r="BB4" s="257">
        <v>10</v>
      </c>
      <c r="BC4" s="258">
        <f t="shared" si="3"/>
        <v>47</v>
      </c>
      <c r="BD4" s="259">
        <f t="shared" si="4"/>
        <v>3.66829268292683</v>
      </c>
      <c r="BE4" s="246">
        <f t="shared" ref="BE4:BE7" si="22">AW4+BD4*7</f>
        <v>46159.9024390244</v>
      </c>
      <c r="BF4" s="224"/>
      <c r="BG4" s="218"/>
      <c r="BH4" s="218"/>
      <c r="BI4" s="218"/>
      <c r="BJ4" s="218"/>
      <c r="BK4" s="247">
        <f t="shared" si="5"/>
        <v>0</v>
      </c>
      <c r="BL4" s="248">
        <f t="shared" si="6"/>
        <v>0</v>
      </c>
      <c r="BM4" s="246">
        <f t="shared" ref="BM4:BM7" si="23">BE4+BL4*7</f>
        <v>46159.9024390244</v>
      </c>
      <c r="BN4" s="224"/>
      <c r="BO4" s="218"/>
      <c r="BP4" s="218"/>
      <c r="BQ4" s="218"/>
      <c r="BR4" s="218"/>
      <c r="BS4" s="250"/>
      <c r="BT4" s="245">
        <f t="shared" si="7"/>
        <v>0</v>
      </c>
      <c r="BU4" s="249"/>
      <c r="BV4" s="224"/>
      <c r="BW4" s="218"/>
      <c r="BX4" s="218"/>
      <c r="BY4" s="218"/>
      <c r="BZ4" s="218"/>
      <c r="CA4" s="218"/>
      <c r="CB4" s="245">
        <f t="shared" si="8"/>
        <v>0</v>
      </c>
      <c r="CC4" s="246"/>
      <c r="CD4" s="224"/>
      <c r="CE4" s="218"/>
      <c r="CF4" s="218"/>
      <c r="CG4" s="218"/>
      <c r="CH4" s="218"/>
      <c r="CI4" s="218"/>
      <c r="CJ4" s="245">
        <f t="shared" si="9"/>
        <v>0</v>
      </c>
      <c r="CK4" s="246"/>
      <c r="CL4" s="224"/>
      <c r="CM4" s="218"/>
      <c r="CN4" s="218"/>
      <c r="CO4" s="218"/>
      <c r="CP4" s="218"/>
      <c r="CQ4" s="218"/>
      <c r="CR4" s="245">
        <f t="shared" si="10"/>
        <v>0</v>
      </c>
      <c r="CS4" s="249"/>
      <c r="CT4" s="224"/>
      <c r="CU4" s="218"/>
      <c r="CV4" s="218"/>
      <c r="CW4" s="218"/>
      <c r="CX4" s="218"/>
      <c r="CY4" s="218"/>
      <c r="CZ4" s="245">
        <f t="shared" si="11"/>
        <v>0</v>
      </c>
      <c r="DA4" s="249"/>
      <c r="DB4" s="224"/>
      <c r="DC4" s="218"/>
      <c r="DD4" s="218"/>
      <c r="DE4" s="218"/>
      <c r="DF4" s="218"/>
      <c r="DG4" s="218"/>
      <c r="DH4" s="218"/>
      <c r="DI4" s="249"/>
      <c r="DJ4" s="218"/>
      <c r="DK4" s="218"/>
      <c r="DL4" s="218"/>
      <c r="DM4" s="218"/>
      <c r="DN4" s="218"/>
      <c r="DO4" s="218"/>
      <c r="DP4" s="218"/>
      <c r="DQ4" s="227"/>
      <c r="DR4" s="224"/>
      <c r="DS4" s="218"/>
      <c r="DT4" s="218"/>
      <c r="DU4" s="218"/>
      <c r="DV4" s="218"/>
      <c r="DW4" s="218"/>
      <c r="DX4" s="218"/>
      <c r="DY4" s="218"/>
      <c r="DZ4" s="218"/>
      <c r="EA4" s="218"/>
      <c r="EB4" s="218"/>
      <c r="EC4" s="218"/>
      <c r="ED4" s="218"/>
      <c r="EE4" s="218"/>
      <c r="EF4" s="223">
        <f t="shared" ref="EF4:EJ4" si="24">AH4+AP4+AX4+BF4+BN4+BV4+CD4+CL4+CT4+DB4+DJ4+DR4+DZ4</f>
        <v>22</v>
      </c>
      <c r="EG4" s="223">
        <f t="shared" si="24"/>
        <v>30</v>
      </c>
      <c r="EH4" s="223">
        <f t="shared" si="24"/>
        <v>30</v>
      </c>
      <c r="EI4" s="223">
        <f t="shared" si="24"/>
        <v>30</v>
      </c>
      <c r="EJ4" s="223">
        <f t="shared" si="24"/>
        <v>30</v>
      </c>
      <c r="EK4" s="223">
        <f t="shared" si="13"/>
        <v>142</v>
      </c>
      <c r="EL4" s="218">
        <f t="shared" si="14"/>
        <v>4100</v>
      </c>
      <c r="EM4" s="218">
        <f t="shared" si="15"/>
        <v>256.25</v>
      </c>
      <c r="EN4" s="223">
        <f t="shared" si="16"/>
        <v>142</v>
      </c>
      <c r="EO4" s="226">
        <f t="shared" si="17"/>
        <v>114.25</v>
      </c>
      <c r="ER4" s="251"/>
      <c r="ES4" s="235" t="s">
        <v>423</v>
      </c>
      <c r="ET4" s="235" t="s">
        <v>424</v>
      </c>
      <c r="EU4" s="235" t="s">
        <v>425</v>
      </c>
    </row>
    <row r="5" s="200" customFormat="1" customHeight="1" spans="1:151">
      <c r="A5" s="237"/>
      <c r="B5" s="218">
        <v>3</v>
      </c>
      <c r="C5" s="218" t="s">
        <v>426</v>
      </c>
      <c r="E5" s="220" t="s">
        <v>405</v>
      </c>
      <c r="J5" s="200" t="s">
        <v>427</v>
      </c>
      <c r="K5" s="207">
        <v>15813243351</v>
      </c>
      <c r="N5" s="207"/>
      <c r="O5" s="207" t="s">
        <v>428</v>
      </c>
      <c r="Q5" s="200" t="s">
        <v>408</v>
      </c>
      <c r="R5" s="200" t="s">
        <v>409</v>
      </c>
      <c r="S5" s="200" t="s">
        <v>409</v>
      </c>
      <c r="U5" s="200" t="s">
        <v>405</v>
      </c>
      <c r="V5" s="200" t="s">
        <v>429</v>
      </c>
      <c r="W5" s="207" t="s">
        <v>430</v>
      </c>
      <c r="X5" s="200" t="s">
        <v>429</v>
      </c>
      <c r="Y5" s="207" t="s">
        <v>430</v>
      </c>
      <c r="Z5" s="218"/>
      <c r="AA5" s="218">
        <v>125</v>
      </c>
      <c r="AB5" s="218">
        <f t="shared" si="18"/>
        <v>8</v>
      </c>
      <c r="AC5" s="218">
        <v>2</v>
      </c>
      <c r="AD5" s="218">
        <v>6</v>
      </c>
      <c r="AE5" s="218">
        <v>2</v>
      </c>
      <c r="AF5" s="218">
        <f t="shared" si="19"/>
        <v>40</v>
      </c>
      <c r="AG5" s="243">
        <v>46084</v>
      </c>
      <c r="AH5" s="244">
        <v>1</v>
      </c>
      <c r="AI5" s="244">
        <v>1</v>
      </c>
      <c r="AJ5" s="244">
        <v>1</v>
      </c>
      <c r="AK5" s="244">
        <v>1</v>
      </c>
      <c r="AL5" s="244"/>
      <c r="AM5" s="244">
        <f t="shared" si="0"/>
        <v>4</v>
      </c>
      <c r="AN5" s="245">
        <f t="shared" si="20"/>
        <v>1.6</v>
      </c>
      <c r="AO5" s="243">
        <v>46097</v>
      </c>
      <c r="AP5" s="253">
        <v>2</v>
      </c>
      <c r="AQ5" s="254">
        <v>2</v>
      </c>
      <c r="AR5" s="254">
        <v>2</v>
      </c>
      <c r="AS5" s="254">
        <v>2</v>
      </c>
      <c r="AT5" s="254"/>
      <c r="AU5" s="244">
        <f t="shared" si="1"/>
        <v>8</v>
      </c>
      <c r="AV5" s="248">
        <f t="shared" si="2"/>
        <v>3.2</v>
      </c>
      <c r="AW5" s="260">
        <v>46115</v>
      </c>
      <c r="AX5" s="253">
        <v>2</v>
      </c>
      <c r="AY5" s="254">
        <v>2</v>
      </c>
      <c r="AZ5" s="254">
        <v>2</v>
      </c>
      <c r="BA5" s="254">
        <v>2</v>
      </c>
      <c r="BB5" s="254"/>
      <c r="BC5" s="244">
        <f t="shared" si="3"/>
        <v>8</v>
      </c>
      <c r="BD5" s="248">
        <f t="shared" si="4"/>
        <v>3.2</v>
      </c>
      <c r="BE5" s="246">
        <f t="shared" si="22"/>
        <v>46137.4</v>
      </c>
      <c r="BF5" s="224"/>
      <c r="BG5" s="218"/>
      <c r="BH5" s="218"/>
      <c r="BI5" s="218"/>
      <c r="BJ5" s="218"/>
      <c r="BK5" s="247">
        <f t="shared" si="5"/>
        <v>0</v>
      </c>
      <c r="BL5" s="248">
        <f t="shared" si="6"/>
        <v>0</v>
      </c>
      <c r="BM5" s="246">
        <f t="shared" si="23"/>
        <v>46137.4</v>
      </c>
      <c r="BN5" s="224"/>
      <c r="BO5" s="218"/>
      <c r="BP5" s="218"/>
      <c r="BQ5" s="218"/>
      <c r="BR5" s="218"/>
      <c r="BS5" s="250"/>
      <c r="BT5" s="245">
        <f t="shared" si="7"/>
        <v>0</v>
      </c>
      <c r="BU5" s="246"/>
      <c r="BV5" s="224"/>
      <c r="BW5" s="218"/>
      <c r="BX5" s="218"/>
      <c r="BY5" s="218"/>
      <c r="BZ5" s="218"/>
      <c r="CA5" s="218"/>
      <c r="CB5" s="245">
        <f t="shared" si="8"/>
        <v>0</v>
      </c>
      <c r="CC5" s="249"/>
      <c r="CD5" s="224"/>
      <c r="CE5" s="218"/>
      <c r="CF5" s="218"/>
      <c r="CG5" s="218"/>
      <c r="CH5" s="218"/>
      <c r="CI5" s="218"/>
      <c r="CJ5" s="245">
        <f t="shared" si="9"/>
        <v>0</v>
      </c>
      <c r="CK5" s="218"/>
      <c r="CL5" s="224"/>
      <c r="CM5" s="218"/>
      <c r="CN5" s="218"/>
      <c r="CO5" s="218"/>
      <c r="CP5" s="218"/>
      <c r="CQ5" s="218"/>
      <c r="CR5" s="245">
        <f t="shared" si="10"/>
        <v>0</v>
      </c>
      <c r="CS5" s="218"/>
      <c r="CT5" s="224"/>
      <c r="CU5" s="218"/>
      <c r="CV5" s="218"/>
      <c r="CW5" s="218"/>
      <c r="CX5" s="218"/>
      <c r="CY5" s="218"/>
      <c r="CZ5" s="245">
        <f t="shared" si="11"/>
        <v>0</v>
      </c>
      <c r="DA5" s="218"/>
      <c r="DB5" s="224"/>
      <c r="DC5" s="218"/>
      <c r="DD5" s="218"/>
      <c r="DE5" s="218"/>
      <c r="DF5" s="218"/>
      <c r="DG5" s="218"/>
      <c r="DH5" s="218"/>
      <c r="DI5" s="218"/>
      <c r="DJ5" s="218"/>
      <c r="DK5" s="218"/>
      <c r="DL5" s="218"/>
      <c r="DM5" s="218"/>
      <c r="DN5" s="218"/>
      <c r="DO5" s="218"/>
      <c r="DP5" s="218"/>
      <c r="DQ5" s="227"/>
      <c r="DR5" s="224"/>
      <c r="DS5" s="218"/>
      <c r="DT5" s="218"/>
      <c r="DU5" s="218"/>
      <c r="DV5" s="218"/>
      <c r="DW5" s="218"/>
      <c r="DX5" s="218"/>
      <c r="DY5" s="218"/>
      <c r="DZ5" s="218"/>
      <c r="EA5" s="218"/>
      <c r="EB5" s="218"/>
      <c r="EC5" s="218"/>
      <c r="ED5" s="218"/>
      <c r="EE5" s="218"/>
      <c r="EF5" s="223">
        <f t="shared" ref="EF5:EJ5" si="25">AH5+AP5+AX5+BF5+BN5+BV5+CD5+CL5+CT5+DB5+DJ5+DR5+DZ5</f>
        <v>5</v>
      </c>
      <c r="EG5" s="223">
        <f t="shared" si="25"/>
        <v>5</v>
      </c>
      <c r="EH5" s="223">
        <f t="shared" si="25"/>
        <v>5</v>
      </c>
      <c r="EI5" s="223">
        <f t="shared" si="25"/>
        <v>5</v>
      </c>
      <c r="EJ5" s="223">
        <f t="shared" si="25"/>
        <v>0</v>
      </c>
      <c r="EK5" s="223">
        <f t="shared" si="13"/>
        <v>20</v>
      </c>
      <c r="EL5" s="218">
        <f t="shared" si="14"/>
        <v>800</v>
      </c>
      <c r="EM5" s="218">
        <f t="shared" si="15"/>
        <v>50</v>
      </c>
      <c r="EN5" s="223">
        <f t="shared" si="16"/>
        <v>20</v>
      </c>
      <c r="EO5" s="226">
        <f t="shared" si="17"/>
        <v>30</v>
      </c>
      <c r="ER5" s="251"/>
      <c r="ES5" s="235" t="s">
        <v>431</v>
      </c>
      <c r="ET5" s="235" t="s">
        <v>432</v>
      </c>
      <c r="EU5" s="235" t="s">
        <v>433</v>
      </c>
    </row>
    <row r="6" s="200" customFormat="1" customHeight="1" spans="1:151">
      <c r="A6" s="237"/>
      <c r="B6" s="218">
        <v>4</v>
      </c>
      <c r="C6" s="218" t="s">
        <v>434</v>
      </c>
      <c r="E6" s="220"/>
      <c r="J6" s="200" t="s">
        <v>435</v>
      </c>
      <c r="K6" s="207" t="s">
        <v>436</v>
      </c>
      <c r="N6" s="207"/>
      <c r="O6" s="207"/>
      <c r="W6" s="207"/>
      <c r="Y6" s="207"/>
      <c r="Z6" s="218"/>
      <c r="AA6" s="218">
        <v>125</v>
      </c>
      <c r="AB6" s="218">
        <f t="shared" si="18"/>
        <v>3</v>
      </c>
      <c r="AC6" s="218">
        <v>0</v>
      </c>
      <c r="AD6" s="218">
        <v>3</v>
      </c>
      <c r="AE6" s="218">
        <v>0</v>
      </c>
      <c r="AF6" s="218">
        <f t="shared" si="19"/>
        <v>15</v>
      </c>
      <c r="AG6" s="243">
        <v>46084</v>
      </c>
      <c r="AH6" s="244">
        <v>1</v>
      </c>
      <c r="AI6" s="244">
        <v>1</v>
      </c>
      <c r="AJ6" s="244">
        <v>1</v>
      </c>
      <c r="AK6" s="244">
        <v>1</v>
      </c>
      <c r="AL6" s="244"/>
      <c r="AM6" s="244">
        <f t="shared" si="0"/>
        <v>4</v>
      </c>
      <c r="AN6" s="245">
        <f t="shared" si="20"/>
        <v>4.26666666666667</v>
      </c>
      <c r="AO6" s="252">
        <v>46108</v>
      </c>
      <c r="AP6" s="253">
        <v>1</v>
      </c>
      <c r="AQ6" s="254">
        <v>1</v>
      </c>
      <c r="AR6" s="254">
        <v>1</v>
      </c>
      <c r="AS6" s="254">
        <v>1</v>
      </c>
      <c r="AT6" s="254"/>
      <c r="AU6" s="244">
        <f t="shared" si="1"/>
        <v>4</v>
      </c>
      <c r="AV6" s="248">
        <f t="shared" si="2"/>
        <v>4.26666666666667</v>
      </c>
      <c r="AW6" s="246">
        <f t="shared" si="21"/>
        <v>46137.8666666667</v>
      </c>
      <c r="AX6" s="224"/>
      <c r="AY6" s="218"/>
      <c r="AZ6" s="218"/>
      <c r="BA6" s="218"/>
      <c r="BB6" s="218"/>
      <c r="BC6" s="247">
        <f t="shared" si="3"/>
        <v>0</v>
      </c>
      <c r="BD6" s="248">
        <f t="shared" si="4"/>
        <v>0</v>
      </c>
      <c r="BE6" s="246">
        <f t="shared" si="22"/>
        <v>46137.8666666667</v>
      </c>
      <c r="BF6" s="224"/>
      <c r="BG6" s="218"/>
      <c r="BH6" s="218"/>
      <c r="BI6" s="218"/>
      <c r="BJ6" s="218"/>
      <c r="BK6" s="247">
        <f t="shared" si="5"/>
        <v>0</v>
      </c>
      <c r="BL6" s="248">
        <f t="shared" si="6"/>
        <v>0</v>
      </c>
      <c r="BM6" s="246">
        <f t="shared" si="23"/>
        <v>46137.8666666667</v>
      </c>
      <c r="BN6" s="224"/>
      <c r="BO6" s="218"/>
      <c r="BP6" s="218"/>
      <c r="BQ6" s="218"/>
      <c r="BR6" s="218"/>
      <c r="BS6" s="250"/>
      <c r="BT6" s="245"/>
      <c r="BU6" s="249"/>
      <c r="BV6" s="224"/>
      <c r="BW6" s="218"/>
      <c r="BX6" s="218"/>
      <c r="BY6" s="218"/>
      <c r="BZ6" s="218"/>
      <c r="CA6" s="218"/>
      <c r="CB6" s="245"/>
      <c r="CC6" s="249"/>
      <c r="CD6" s="224"/>
      <c r="CE6" s="218"/>
      <c r="CF6" s="218"/>
      <c r="CG6" s="218"/>
      <c r="CH6" s="218"/>
      <c r="CI6" s="218"/>
      <c r="CJ6" s="245"/>
      <c r="CK6" s="218"/>
      <c r="CL6" s="224"/>
      <c r="CM6" s="218"/>
      <c r="CN6" s="218"/>
      <c r="CO6" s="218"/>
      <c r="CP6" s="218"/>
      <c r="CQ6" s="218"/>
      <c r="CR6" s="245"/>
      <c r="CS6" s="218"/>
      <c r="CT6" s="224"/>
      <c r="CU6" s="218"/>
      <c r="CV6" s="218"/>
      <c r="CW6" s="218"/>
      <c r="CX6" s="218"/>
      <c r="CY6" s="218"/>
      <c r="CZ6" s="245"/>
      <c r="DA6" s="218"/>
      <c r="DB6" s="224"/>
      <c r="DC6" s="218"/>
      <c r="DD6" s="218"/>
      <c r="DE6" s="218"/>
      <c r="DF6" s="218"/>
      <c r="DG6" s="218"/>
      <c r="DH6" s="218"/>
      <c r="DI6" s="218"/>
      <c r="DJ6" s="218"/>
      <c r="DK6" s="218"/>
      <c r="DL6" s="218"/>
      <c r="DM6" s="218"/>
      <c r="DN6" s="218"/>
      <c r="DO6" s="218"/>
      <c r="DP6" s="218"/>
      <c r="DQ6" s="227"/>
      <c r="DR6" s="224"/>
      <c r="DS6" s="218"/>
      <c r="DT6" s="218"/>
      <c r="DU6" s="218"/>
      <c r="DV6" s="218"/>
      <c r="DW6" s="218"/>
      <c r="DX6" s="218"/>
      <c r="DY6" s="218"/>
      <c r="DZ6" s="218"/>
      <c r="EA6" s="218"/>
      <c r="EB6" s="218"/>
      <c r="EC6" s="218"/>
      <c r="ED6" s="218"/>
      <c r="EE6" s="218"/>
      <c r="EF6" s="223">
        <f t="shared" ref="EF6:EJ6" si="26">AH6+AP6+AX6+BF6+BN6+BV6+CD6+CL6+CT6+DB6+DJ6+DR6+DZ6</f>
        <v>2</v>
      </c>
      <c r="EG6" s="223">
        <f t="shared" si="26"/>
        <v>2</v>
      </c>
      <c r="EH6" s="223">
        <f t="shared" si="26"/>
        <v>2</v>
      </c>
      <c r="EI6" s="223">
        <f t="shared" si="26"/>
        <v>2</v>
      </c>
      <c r="EJ6" s="223">
        <f t="shared" si="26"/>
        <v>0</v>
      </c>
      <c r="EK6" s="223">
        <f t="shared" si="13"/>
        <v>8</v>
      </c>
      <c r="EL6" s="218">
        <f t="shared" si="14"/>
        <v>300</v>
      </c>
      <c r="EM6" s="218">
        <f t="shared" si="15"/>
        <v>18.75</v>
      </c>
      <c r="EN6" s="223">
        <f t="shared" si="16"/>
        <v>8</v>
      </c>
      <c r="EO6" s="226">
        <f t="shared" si="17"/>
        <v>10.75</v>
      </c>
      <c r="ER6" s="251"/>
      <c r="ES6" s="235" t="s">
        <v>437</v>
      </c>
      <c r="ET6" s="235" t="s">
        <v>438</v>
      </c>
      <c r="EU6" s="235" t="s">
        <v>439</v>
      </c>
    </row>
    <row r="7" s="200" customFormat="1" customHeight="1" spans="1:151">
      <c r="A7" s="237"/>
      <c r="B7" s="218">
        <v>5</v>
      </c>
      <c r="C7" s="261" t="s">
        <v>440</v>
      </c>
      <c r="E7" s="220" t="s">
        <v>405</v>
      </c>
      <c r="J7" s="200" t="s">
        <v>441</v>
      </c>
      <c r="K7" s="207">
        <v>13828586359</v>
      </c>
      <c r="N7" s="207"/>
      <c r="O7" s="207" t="s">
        <v>442</v>
      </c>
      <c r="Q7" s="200" t="s">
        <v>408</v>
      </c>
      <c r="R7" s="200" t="s">
        <v>409</v>
      </c>
      <c r="S7" s="200" t="s">
        <v>409</v>
      </c>
      <c r="U7" s="200" t="s">
        <v>405</v>
      </c>
      <c r="V7" s="200" t="s">
        <v>443</v>
      </c>
      <c r="W7" s="207" t="s">
        <v>444</v>
      </c>
      <c r="X7" s="200" t="s">
        <v>443</v>
      </c>
      <c r="Y7" s="207" t="s">
        <v>445</v>
      </c>
      <c r="Z7" s="218"/>
      <c r="AA7" s="218">
        <v>125</v>
      </c>
      <c r="AB7" s="218">
        <f t="shared" si="18"/>
        <v>5</v>
      </c>
      <c r="AC7" s="218">
        <v>1</v>
      </c>
      <c r="AD7" s="218">
        <v>4</v>
      </c>
      <c r="AE7" s="218"/>
      <c r="AF7" s="218">
        <f t="shared" si="19"/>
        <v>25</v>
      </c>
      <c r="AG7" s="243">
        <v>46084</v>
      </c>
      <c r="AH7" s="244">
        <v>1</v>
      </c>
      <c r="AI7" s="244">
        <v>1</v>
      </c>
      <c r="AJ7" s="244">
        <v>1</v>
      </c>
      <c r="AK7" s="244">
        <v>1</v>
      </c>
      <c r="AL7" s="244"/>
      <c r="AM7" s="244">
        <f t="shared" si="0"/>
        <v>4</v>
      </c>
      <c r="AN7" s="245">
        <f t="shared" si="20"/>
        <v>2.56</v>
      </c>
      <c r="AO7" s="262">
        <v>46114</v>
      </c>
      <c r="AP7" s="253">
        <v>1</v>
      </c>
      <c r="AQ7" s="254">
        <v>1</v>
      </c>
      <c r="AR7" s="254">
        <v>1</v>
      </c>
      <c r="AS7" s="254">
        <v>2</v>
      </c>
      <c r="AT7" s="254"/>
      <c r="AU7" s="244">
        <f t="shared" si="1"/>
        <v>5</v>
      </c>
      <c r="AV7" s="248">
        <f t="shared" si="2"/>
        <v>3.2</v>
      </c>
      <c r="AW7" s="246">
        <f t="shared" si="21"/>
        <v>46136.4</v>
      </c>
      <c r="AX7" s="224"/>
      <c r="AY7" s="218"/>
      <c r="AZ7" s="218"/>
      <c r="BA7" s="218"/>
      <c r="BB7" s="218"/>
      <c r="BC7" s="247">
        <f t="shared" si="3"/>
        <v>0</v>
      </c>
      <c r="BD7" s="248">
        <f t="shared" si="4"/>
        <v>0</v>
      </c>
      <c r="BE7" s="246">
        <f t="shared" si="22"/>
        <v>46136.4</v>
      </c>
      <c r="BF7" s="224"/>
      <c r="BG7" s="218"/>
      <c r="BH7" s="218"/>
      <c r="BI7" s="218"/>
      <c r="BJ7" s="218"/>
      <c r="BK7" s="247">
        <f t="shared" si="5"/>
        <v>0</v>
      </c>
      <c r="BL7" s="248">
        <f t="shared" si="6"/>
        <v>0</v>
      </c>
      <c r="BM7" s="246">
        <f t="shared" si="23"/>
        <v>46136.4</v>
      </c>
      <c r="BN7" s="224"/>
      <c r="BO7" s="218"/>
      <c r="BP7" s="218"/>
      <c r="BQ7" s="218"/>
      <c r="BR7" s="218"/>
      <c r="BS7" s="250"/>
      <c r="BT7" s="245">
        <f t="shared" si="7"/>
        <v>0</v>
      </c>
      <c r="BU7" s="249"/>
      <c r="BV7" s="224"/>
      <c r="BW7" s="218"/>
      <c r="BX7" s="218"/>
      <c r="BY7" s="218"/>
      <c r="BZ7" s="218"/>
      <c r="CA7" s="218"/>
      <c r="CB7" s="245">
        <f t="shared" si="8"/>
        <v>0</v>
      </c>
      <c r="CC7" s="249"/>
      <c r="CD7" s="224"/>
      <c r="CE7" s="218"/>
      <c r="CF7" s="218"/>
      <c r="CG7" s="218"/>
      <c r="CH7" s="218"/>
      <c r="CI7" s="218"/>
      <c r="CJ7" s="245">
        <f t="shared" si="9"/>
        <v>0</v>
      </c>
      <c r="CK7" s="249"/>
      <c r="CL7" s="224"/>
      <c r="CM7" s="218"/>
      <c r="CN7" s="218"/>
      <c r="CO7" s="218"/>
      <c r="CP7" s="218"/>
      <c r="CQ7" s="218"/>
      <c r="CR7" s="245">
        <f t="shared" si="10"/>
        <v>0</v>
      </c>
      <c r="CS7" s="218"/>
      <c r="CT7" s="224"/>
      <c r="CU7" s="218"/>
      <c r="CV7" s="218"/>
      <c r="CW7" s="218"/>
      <c r="CX7" s="218"/>
      <c r="CY7" s="218"/>
      <c r="CZ7" s="245">
        <f t="shared" si="11"/>
        <v>0</v>
      </c>
      <c r="DA7" s="218"/>
      <c r="DB7" s="224"/>
      <c r="DC7" s="218"/>
      <c r="DD7" s="218"/>
      <c r="DE7" s="218"/>
      <c r="DF7" s="218"/>
      <c r="DG7" s="218"/>
      <c r="DH7" s="218"/>
      <c r="DI7" s="218"/>
      <c r="DJ7" s="218"/>
      <c r="DK7" s="218"/>
      <c r="DL7" s="218"/>
      <c r="DM7" s="218"/>
      <c r="DN7" s="218"/>
      <c r="DO7" s="218"/>
      <c r="DP7" s="218"/>
      <c r="DQ7" s="227"/>
      <c r="DR7" s="224"/>
      <c r="DS7" s="218"/>
      <c r="DT7" s="218"/>
      <c r="DU7" s="218"/>
      <c r="DV7" s="218"/>
      <c r="DW7" s="218"/>
      <c r="DX7" s="218"/>
      <c r="DY7" s="218"/>
      <c r="DZ7" s="218"/>
      <c r="EA7" s="218"/>
      <c r="EB7" s="218"/>
      <c r="EC7" s="218"/>
      <c r="ED7" s="218"/>
      <c r="EE7" s="218"/>
      <c r="EF7" s="223">
        <f t="shared" ref="EF7:EJ7" si="27">AH7+AP7+AX7+BF7+BN7+BV7+CD7+CL7+CT7+DB7+DJ7+DR7+DZ7</f>
        <v>2</v>
      </c>
      <c r="EG7" s="223">
        <f t="shared" si="27"/>
        <v>2</v>
      </c>
      <c r="EH7" s="223">
        <f t="shared" si="27"/>
        <v>2</v>
      </c>
      <c r="EI7" s="223">
        <f t="shared" si="27"/>
        <v>3</v>
      </c>
      <c r="EJ7" s="223">
        <f t="shared" si="27"/>
        <v>0</v>
      </c>
      <c r="EK7" s="223">
        <f t="shared" si="13"/>
        <v>9</v>
      </c>
      <c r="EL7" s="218">
        <f t="shared" si="14"/>
        <v>500</v>
      </c>
      <c r="EM7" s="218">
        <f t="shared" si="15"/>
        <v>31.25</v>
      </c>
      <c r="EN7" s="223">
        <f t="shared" si="16"/>
        <v>9</v>
      </c>
      <c r="EO7" s="226">
        <f t="shared" si="17"/>
        <v>22.25</v>
      </c>
      <c r="ER7" s="251"/>
      <c r="ES7" s="235" t="s">
        <v>446</v>
      </c>
      <c r="ET7" s="235" t="s">
        <v>447</v>
      </c>
      <c r="EU7" s="235" t="s">
        <v>448</v>
      </c>
    </row>
    <row r="8" s="200" customFormat="1" customHeight="1" spans="1:151">
      <c r="A8" s="237" t="s">
        <v>449</v>
      </c>
      <c r="B8" s="218">
        <v>6</v>
      </c>
      <c r="C8" s="263" t="s">
        <v>450</v>
      </c>
      <c r="D8" s="220" t="s">
        <v>13</v>
      </c>
      <c r="E8" s="220" t="s">
        <v>405</v>
      </c>
      <c r="F8" s="220" t="s">
        <v>120</v>
      </c>
      <c r="G8" s="220" t="s">
        <v>151</v>
      </c>
      <c r="H8" s="220">
        <v>13750112198</v>
      </c>
      <c r="I8" s="220">
        <v>612198</v>
      </c>
      <c r="J8" s="220" t="s">
        <v>151</v>
      </c>
      <c r="K8" s="220">
        <v>13750112198</v>
      </c>
      <c r="L8" s="220">
        <v>612198</v>
      </c>
      <c r="M8" s="239"/>
      <c r="N8" s="221"/>
      <c r="O8" s="221" t="s">
        <v>451</v>
      </c>
      <c r="P8" s="200" t="s">
        <v>452</v>
      </c>
      <c r="Q8" s="200" t="s">
        <v>408</v>
      </c>
      <c r="R8" s="200" t="s">
        <v>409</v>
      </c>
      <c r="S8" s="200" t="s">
        <v>409</v>
      </c>
      <c r="W8" s="207"/>
      <c r="X8" s="200" t="s">
        <v>453</v>
      </c>
      <c r="Y8" s="207">
        <v>13553968101</v>
      </c>
      <c r="Z8" s="218"/>
      <c r="AA8" s="218">
        <v>200</v>
      </c>
      <c r="AB8" s="218">
        <f t="shared" si="18"/>
        <v>32</v>
      </c>
      <c r="AC8" s="218">
        <v>5</v>
      </c>
      <c r="AD8" s="218">
        <v>27</v>
      </c>
      <c r="AE8" s="218">
        <v>0</v>
      </c>
      <c r="AF8" s="218">
        <f t="shared" si="19"/>
        <v>160</v>
      </c>
      <c r="AG8" s="243">
        <v>46084</v>
      </c>
      <c r="AH8" s="244">
        <v>10</v>
      </c>
      <c r="AI8" s="244">
        <v>11</v>
      </c>
      <c r="AJ8" s="244">
        <v>10</v>
      </c>
      <c r="AK8" s="244">
        <v>0</v>
      </c>
      <c r="AL8" s="244">
        <v>11</v>
      </c>
      <c r="AM8" s="244">
        <f t="shared" si="0"/>
        <v>42</v>
      </c>
      <c r="AN8" s="245">
        <f t="shared" si="20"/>
        <v>4.2</v>
      </c>
      <c r="AO8" s="252">
        <v>46108</v>
      </c>
      <c r="AP8" s="253">
        <v>8</v>
      </c>
      <c r="AQ8" s="254">
        <v>9</v>
      </c>
      <c r="AR8" s="254">
        <v>9</v>
      </c>
      <c r="AS8" s="254">
        <v>9</v>
      </c>
      <c r="AT8" s="254">
        <v>9</v>
      </c>
      <c r="AU8" s="244">
        <f t="shared" si="1"/>
        <v>44</v>
      </c>
      <c r="AV8" s="248">
        <f t="shared" si="2"/>
        <v>4.4</v>
      </c>
      <c r="AW8" s="246">
        <f t="shared" ref="AW8:AW21" si="28">AO8+AV8*7</f>
        <v>46138.8</v>
      </c>
      <c r="AX8" s="224"/>
      <c r="AY8" s="218"/>
      <c r="AZ8" s="218"/>
      <c r="BA8" s="218"/>
      <c r="BB8" s="218"/>
      <c r="BC8" s="247">
        <f t="shared" si="3"/>
        <v>0</v>
      </c>
      <c r="BD8" s="248">
        <f t="shared" si="4"/>
        <v>0</v>
      </c>
      <c r="BE8" s="246">
        <f t="shared" ref="BE8:BE23" si="29">AW8+BD8*7</f>
        <v>46138.8</v>
      </c>
      <c r="BF8" s="224"/>
      <c r="BG8" s="218"/>
      <c r="BH8" s="218"/>
      <c r="BI8" s="218"/>
      <c r="BJ8" s="218"/>
      <c r="BK8" s="247">
        <f t="shared" si="5"/>
        <v>0</v>
      </c>
      <c r="BL8" s="248">
        <f t="shared" si="6"/>
        <v>0</v>
      </c>
      <c r="BM8" s="246">
        <f t="shared" ref="BM8:BM23" si="30">BE8+BL8*7</f>
        <v>46138.8</v>
      </c>
      <c r="BN8" s="224"/>
      <c r="BO8" s="218"/>
      <c r="BP8" s="218"/>
      <c r="BQ8" s="218"/>
      <c r="BR8" s="218"/>
      <c r="BS8" s="250"/>
      <c r="BT8" s="245">
        <f t="shared" si="7"/>
        <v>0</v>
      </c>
      <c r="BU8" s="249"/>
      <c r="BV8" s="224"/>
      <c r="BW8" s="218"/>
      <c r="BX8" s="218"/>
      <c r="BY8" s="218"/>
      <c r="BZ8" s="218"/>
      <c r="CA8" s="218"/>
      <c r="CB8" s="245">
        <f t="shared" si="8"/>
        <v>0</v>
      </c>
      <c r="CC8" s="249"/>
      <c r="CD8" s="224"/>
      <c r="CE8" s="218"/>
      <c r="CF8" s="218"/>
      <c r="CG8" s="218"/>
      <c r="CH8" s="218"/>
      <c r="CI8" s="218"/>
      <c r="CJ8" s="245">
        <f t="shared" si="9"/>
        <v>0</v>
      </c>
      <c r="CK8" s="249"/>
      <c r="CL8" s="224"/>
      <c r="CM8" s="218"/>
      <c r="CN8" s="218"/>
      <c r="CO8" s="218"/>
      <c r="CP8" s="218"/>
      <c r="CQ8" s="218"/>
      <c r="CR8" s="245">
        <f t="shared" si="10"/>
        <v>0</v>
      </c>
      <c r="CS8" s="246"/>
      <c r="CT8" s="224"/>
      <c r="CU8" s="218"/>
      <c r="CV8" s="218"/>
      <c r="CW8" s="218"/>
      <c r="CX8" s="218"/>
      <c r="CY8" s="218"/>
      <c r="CZ8" s="245">
        <f t="shared" si="11"/>
        <v>0</v>
      </c>
      <c r="DA8" s="218"/>
      <c r="DB8" s="224"/>
      <c r="DC8" s="218"/>
      <c r="DD8" s="218"/>
      <c r="DE8" s="218"/>
      <c r="DF8" s="218"/>
      <c r="DG8" s="218"/>
      <c r="DH8" s="218"/>
      <c r="DI8" s="218"/>
      <c r="DJ8" s="218"/>
      <c r="DK8" s="218"/>
      <c r="DL8" s="218"/>
      <c r="DM8" s="218"/>
      <c r="DN8" s="218"/>
      <c r="DO8" s="218"/>
      <c r="DP8" s="218"/>
      <c r="DQ8" s="227"/>
      <c r="DR8" s="224"/>
      <c r="DS8" s="218"/>
      <c r="DT8" s="218"/>
      <c r="DU8" s="218"/>
      <c r="DV8" s="218"/>
      <c r="DW8" s="218"/>
      <c r="DX8" s="218"/>
      <c r="DY8" s="218"/>
      <c r="DZ8" s="218"/>
      <c r="EA8" s="218"/>
      <c r="EB8" s="218"/>
      <c r="EC8" s="218"/>
      <c r="ED8" s="218"/>
      <c r="EE8" s="218"/>
      <c r="EF8" s="223">
        <f t="shared" ref="EF8:EJ8" si="31">AH8+AP8+AX8+BF8+BN8+BV8+CD8+CL8+CT8+DB8+DJ8+DR8+DZ8</f>
        <v>18</v>
      </c>
      <c r="EG8" s="223">
        <f t="shared" si="31"/>
        <v>20</v>
      </c>
      <c r="EH8" s="223">
        <f t="shared" si="31"/>
        <v>19</v>
      </c>
      <c r="EI8" s="223">
        <f t="shared" si="31"/>
        <v>9</v>
      </c>
      <c r="EJ8" s="223">
        <f t="shared" si="31"/>
        <v>20</v>
      </c>
      <c r="EK8" s="223">
        <f t="shared" si="13"/>
        <v>86</v>
      </c>
      <c r="EL8" s="218">
        <f t="shared" si="14"/>
        <v>3200</v>
      </c>
      <c r="EM8" s="218">
        <f t="shared" si="15"/>
        <v>200</v>
      </c>
      <c r="EN8" s="223">
        <f t="shared" si="16"/>
        <v>86</v>
      </c>
      <c r="EO8" s="226">
        <f t="shared" si="17"/>
        <v>114</v>
      </c>
      <c r="ER8" s="251"/>
      <c r="ES8" s="235" t="s">
        <v>454</v>
      </c>
      <c r="ET8" s="235" t="s">
        <v>455</v>
      </c>
      <c r="EU8" s="235" t="s">
        <v>456</v>
      </c>
    </row>
    <row r="9" s="200" customFormat="1" customHeight="1" spans="1:151">
      <c r="A9" s="237"/>
      <c r="B9" s="218">
        <v>7</v>
      </c>
      <c r="C9" s="263" t="s">
        <v>251</v>
      </c>
      <c r="D9" s="220" t="s">
        <v>13</v>
      </c>
      <c r="E9" s="220" t="s">
        <v>405</v>
      </c>
      <c r="F9" s="220" t="s">
        <v>125</v>
      </c>
      <c r="G9" s="220" t="s">
        <v>154</v>
      </c>
      <c r="H9" s="220">
        <v>13828525938</v>
      </c>
      <c r="I9" s="220">
        <v>655938</v>
      </c>
      <c r="J9" s="220" t="s">
        <v>155</v>
      </c>
      <c r="K9" s="220">
        <v>13828525739</v>
      </c>
      <c r="L9" s="220">
        <v>625739</v>
      </c>
      <c r="M9" s="239"/>
      <c r="N9" s="221"/>
      <c r="O9" s="221" t="s">
        <v>457</v>
      </c>
      <c r="Q9" s="200" t="s">
        <v>408</v>
      </c>
      <c r="R9" s="200" t="s">
        <v>418</v>
      </c>
      <c r="S9" s="200" t="s">
        <v>418</v>
      </c>
      <c r="V9" s="200" t="s">
        <v>458</v>
      </c>
      <c r="W9" s="207" t="s">
        <v>459</v>
      </c>
      <c r="X9" s="200" t="s">
        <v>460</v>
      </c>
      <c r="Y9" s="207" t="s">
        <v>461</v>
      </c>
      <c r="Z9" s="218"/>
      <c r="AA9" s="218">
        <v>200</v>
      </c>
      <c r="AB9" s="218">
        <f t="shared" si="18"/>
        <v>112</v>
      </c>
      <c r="AC9" s="218">
        <v>10</v>
      </c>
      <c r="AD9" s="218">
        <v>102</v>
      </c>
      <c r="AE9" s="218">
        <v>0</v>
      </c>
      <c r="AF9" s="218">
        <f t="shared" si="19"/>
        <v>560</v>
      </c>
      <c r="AG9" s="243">
        <v>46084</v>
      </c>
      <c r="AH9" s="244">
        <v>20</v>
      </c>
      <c r="AI9" s="244">
        <v>21</v>
      </c>
      <c r="AJ9" s="244">
        <v>20</v>
      </c>
      <c r="AK9" s="244">
        <v>0</v>
      </c>
      <c r="AL9" s="244">
        <v>19</v>
      </c>
      <c r="AM9" s="244">
        <f t="shared" si="0"/>
        <v>80</v>
      </c>
      <c r="AN9" s="245">
        <f t="shared" si="20"/>
        <v>2.28571428571429</v>
      </c>
      <c r="AO9" s="252">
        <v>46097</v>
      </c>
      <c r="AP9" s="253">
        <v>15</v>
      </c>
      <c r="AQ9" s="254">
        <v>20</v>
      </c>
      <c r="AR9" s="254">
        <v>20</v>
      </c>
      <c r="AS9" s="254">
        <v>20</v>
      </c>
      <c r="AT9" s="254">
        <v>20</v>
      </c>
      <c r="AU9" s="244">
        <f t="shared" si="1"/>
        <v>95</v>
      </c>
      <c r="AV9" s="248">
        <f t="shared" si="2"/>
        <v>2.71428571428571</v>
      </c>
      <c r="AW9" s="260">
        <v>46113</v>
      </c>
      <c r="AX9" s="253"/>
      <c r="AY9" s="254">
        <v>20</v>
      </c>
      <c r="AZ9" s="254">
        <v>20</v>
      </c>
      <c r="BA9" s="254">
        <v>38</v>
      </c>
      <c r="BB9" s="254">
        <v>20</v>
      </c>
      <c r="BC9" s="244">
        <f t="shared" si="3"/>
        <v>98</v>
      </c>
      <c r="BD9" s="248">
        <f t="shared" si="4"/>
        <v>2.8</v>
      </c>
      <c r="BE9" s="255">
        <f t="shared" si="29"/>
        <v>46132.6</v>
      </c>
      <c r="BF9" s="256">
        <v>10</v>
      </c>
      <c r="BG9" s="257">
        <v>20</v>
      </c>
      <c r="BH9" s="257">
        <v>20</v>
      </c>
      <c r="BI9" s="257">
        <v>20</v>
      </c>
      <c r="BJ9" s="257">
        <v>20</v>
      </c>
      <c r="BK9" s="258">
        <f t="shared" si="5"/>
        <v>90</v>
      </c>
      <c r="BL9" s="248">
        <f t="shared" si="6"/>
        <v>2.57142857142857</v>
      </c>
      <c r="BM9" s="246">
        <f t="shared" si="30"/>
        <v>46150.6</v>
      </c>
      <c r="BN9" s="224"/>
      <c r="BO9" s="218"/>
      <c r="BP9" s="218"/>
      <c r="BQ9" s="218"/>
      <c r="BR9" s="218"/>
      <c r="BS9" s="250"/>
      <c r="BT9" s="245">
        <f t="shared" si="7"/>
        <v>0</v>
      </c>
      <c r="BU9" s="249"/>
      <c r="BV9" s="224"/>
      <c r="BW9" s="218"/>
      <c r="BX9" s="218"/>
      <c r="BY9" s="218"/>
      <c r="BZ9" s="218"/>
      <c r="CA9" s="218"/>
      <c r="CB9" s="245">
        <f t="shared" si="8"/>
        <v>0</v>
      </c>
      <c r="CC9" s="249"/>
      <c r="CD9" s="224"/>
      <c r="CE9" s="218"/>
      <c r="CF9" s="218"/>
      <c r="CG9" s="218"/>
      <c r="CH9" s="218"/>
      <c r="CI9" s="218"/>
      <c r="CJ9" s="245">
        <f t="shared" si="9"/>
        <v>0</v>
      </c>
      <c r="CK9" s="249"/>
      <c r="CL9" s="224"/>
      <c r="CM9" s="218"/>
      <c r="CN9" s="218"/>
      <c r="CO9" s="218"/>
      <c r="CP9" s="218"/>
      <c r="CQ9" s="218"/>
      <c r="CR9" s="245">
        <f t="shared" si="10"/>
        <v>0</v>
      </c>
      <c r="CS9" s="246"/>
      <c r="CT9" s="224"/>
      <c r="CU9" s="218"/>
      <c r="CV9" s="218"/>
      <c r="CW9" s="218"/>
      <c r="CX9" s="218"/>
      <c r="CY9" s="218"/>
      <c r="CZ9" s="245">
        <f t="shared" si="11"/>
        <v>0</v>
      </c>
      <c r="DA9" s="246"/>
      <c r="DB9" s="224"/>
      <c r="DC9" s="218"/>
      <c r="DD9" s="218"/>
      <c r="DE9" s="218"/>
      <c r="DF9" s="218"/>
      <c r="DG9" s="218"/>
      <c r="DH9" s="218"/>
      <c r="DI9" s="249"/>
      <c r="DJ9" s="218"/>
      <c r="DK9" s="218"/>
      <c r="DL9" s="218"/>
      <c r="DM9" s="218"/>
      <c r="DN9" s="218"/>
      <c r="DO9" s="218"/>
      <c r="DP9" s="218"/>
      <c r="DQ9" s="227"/>
      <c r="DR9" s="224"/>
      <c r="DS9" s="218"/>
      <c r="DT9" s="218"/>
      <c r="DU9" s="218"/>
      <c r="DV9" s="218"/>
      <c r="DW9" s="218"/>
      <c r="DX9" s="218"/>
      <c r="DY9" s="218"/>
      <c r="DZ9" s="218"/>
      <c r="EA9" s="218"/>
      <c r="EB9" s="218"/>
      <c r="EC9" s="218"/>
      <c r="ED9" s="218"/>
      <c r="EE9" s="218"/>
      <c r="EF9" s="223">
        <f t="shared" ref="EF9:EJ9" si="32">AH9+AP9+AX9+BF9+BN9+BV9+CD9+CL9+CT9+DB9+DJ9+DR9+DZ9</f>
        <v>45</v>
      </c>
      <c r="EG9" s="223">
        <f t="shared" si="32"/>
        <v>81</v>
      </c>
      <c r="EH9" s="223">
        <f t="shared" si="32"/>
        <v>80</v>
      </c>
      <c r="EI9" s="223">
        <f t="shared" si="32"/>
        <v>78</v>
      </c>
      <c r="EJ9" s="223">
        <f t="shared" si="32"/>
        <v>79</v>
      </c>
      <c r="EK9" s="223">
        <f t="shared" si="13"/>
        <v>363</v>
      </c>
      <c r="EL9" s="218">
        <f t="shared" si="14"/>
        <v>11200</v>
      </c>
      <c r="EM9" s="218">
        <f t="shared" si="15"/>
        <v>700</v>
      </c>
      <c r="EN9" s="223">
        <f t="shared" si="16"/>
        <v>363</v>
      </c>
      <c r="EO9" s="226">
        <f t="shared" si="17"/>
        <v>337</v>
      </c>
      <c r="ER9" s="251"/>
      <c r="ES9" s="235" t="s">
        <v>462</v>
      </c>
      <c r="ET9" s="235" t="s">
        <v>463</v>
      </c>
      <c r="EU9" s="235" t="s">
        <v>464</v>
      </c>
    </row>
    <row r="10" s="201" customFormat="1" customHeight="1" spans="1:151">
      <c r="A10" s="264" t="s">
        <v>465</v>
      </c>
      <c r="B10" s="218">
        <v>8</v>
      </c>
      <c r="C10" s="218" t="s">
        <v>466</v>
      </c>
      <c r="D10" s="220" t="s">
        <v>13</v>
      </c>
      <c r="E10" s="220" t="s">
        <v>405</v>
      </c>
      <c r="F10" s="220" t="s">
        <v>120</v>
      </c>
      <c r="G10" s="220" t="s">
        <v>249</v>
      </c>
      <c r="H10" s="220">
        <v>18818468836</v>
      </c>
      <c r="I10" s="220">
        <v>678836</v>
      </c>
      <c r="J10" s="220" t="s">
        <v>249</v>
      </c>
      <c r="K10" s="220">
        <v>18818468836</v>
      </c>
      <c r="L10" s="220">
        <v>678836</v>
      </c>
      <c r="M10" s="200"/>
      <c r="N10" s="207"/>
      <c r="O10" s="207"/>
      <c r="P10" s="200"/>
      <c r="Q10" s="200"/>
      <c r="R10" s="200" t="s">
        <v>409</v>
      </c>
      <c r="S10" s="200" t="s">
        <v>409</v>
      </c>
      <c r="T10" s="200"/>
      <c r="U10" s="200"/>
      <c r="V10" s="200" t="s">
        <v>467</v>
      </c>
      <c r="W10" s="207" t="s">
        <v>468</v>
      </c>
      <c r="X10" s="200" t="s">
        <v>467</v>
      </c>
      <c r="Y10" s="207" t="s">
        <v>468</v>
      </c>
      <c r="AA10" s="218">
        <v>200</v>
      </c>
      <c r="AB10" s="242">
        <f t="shared" si="18"/>
        <v>0</v>
      </c>
      <c r="AC10" s="218"/>
      <c r="AD10" s="218" t="s">
        <v>409</v>
      </c>
      <c r="AE10" s="218"/>
      <c r="AF10" s="218">
        <f t="shared" si="19"/>
        <v>0</v>
      </c>
      <c r="AG10" s="265"/>
      <c r="AH10" s="247"/>
      <c r="AI10" s="223"/>
      <c r="AJ10" s="223"/>
      <c r="AK10" s="223"/>
      <c r="AL10" s="223"/>
      <c r="AM10" s="247">
        <f t="shared" si="0"/>
        <v>0</v>
      </c>
      <c r="AN10" s="245" t="e">
        <f t="shared" si="20"/>
        <v>#DIV/0!</v>
      </c>
      <c r="AO10" s="249"/>
      <c r="AP10" s="224"/>
      <c r="AQ10" s="218"/>
      <c r="AR10" s="218"/>
      <c r="AS10" s="218"/>
      <c r="AT10" s="218"/>
      <c r="AU10" s="247">
        <f t="shared" si="1"/>
        <v>0</v>
      </c>
      <c r="AV10" s="248" t="e">
        <f t="shared" si="2"/>
        <v>#DIV/0!</v>
      </c>
      <c r="AW10" s="249"/>
      <c r="AX10" s="224"/>
      <c r="AY10" s="218"/>
      <c r="AZ10" s="218"/>
      <c r="BA10" s="218"/>
      <c r="BB10" s="218"/>
      <c r="BC10" s="247">
        <f t="shared" si="3"/>
        <v>0</v>
      </c>
      <c r="BD10" s="248" t="e">
        <f t="shared" si="4"/>
        <v>#DIV/0!</v>
      </c>
      <c r="BE10" s="249"/>
      <c r="BF10" s="224"/>
      <c r="BG10" s="218"/>
      <c r="BH10" s="218"/>
      <c r="BI10" s="218"/>
      <c r="BJ10" s="218"/>
      <c r="BK10" s="247">
        <f t="shared" si="5"/>
        <v>0</v>
      </c>
      <c r="BL10" s="248" t="e">
        <f t="shared" si="6"/>
        <v>#DIV/0!</v>
      </c>
      <c r="BM10" s="246" t="e">
        <f t="shared" si="30"/>
        <v>#DIV/0!</v>
      </c>
      <c r="BN10" s="224"/>
      <c r="BO10" s="218"/>
      <c r="BP10" s="218"/>
      <c r="BQ10" s="218"/>
      <c r="BR10" s="218"/>
      <c r="BS10" s="250"/>
      <c r="BT10" s="245" t="e">
        <f t="shared" si="7"/>
        <v>#DIV/0!</v>
      </c>
      <c r="BU10" s="218"/>
      <c r="BV10" s="224"/>
      <c r="BW10" s="218"/>
      <c r="BX10" s="218"/>
      <c r="BY10" s="218"/>
      <c r="BZ10" s="218"/>
      <c r="CA10" s="218"/>
      <c r="CB10" s="245" t="e">
        <f t="shared" si="8"/>
        <v>#DIV/0!</v>
      </c>
      <c r="CC10" s="218"/>
      <c r="CD10" s="224"/>
      <c r="CE10" s="218"/>
      <c r="CF10" s="218"/>
      <c r="CG10" s="218"/>
      <c r="CH10" s="218"/>
      <c r="CI10" s="218"/>
      <c r="CJ10" s="245" t="e">
        <f t="shared" si="9"/>
        <v>#DIV/0!</v>
      </c>
      <c r="CK10" s="218"/>
      <c r="CL10" s="224"/>
      <c r="CM10" s="218"/>
      <c r="CN10" s="218"/>
      <c r="CO10" s="218"/>
      <c r="CP10" s="218"/>
      <c r="CQ10" s="218"/>
      <c r="CR10" s="245" t="e">
        <f t="shared" si="10"/>
        <v>#DIV/0!</v>
      </c>
      <c r="CS10" s="218"/>
      <c r="CT10" s="224"/>
      <c r="CU10" s="218"/>
      <c r="CV10" s="218"/>
      <c r="CW10" s="218"/>
      <c r="CX10" s="218"/>
      <c r="CY10" s="218"/>
      <c r="CZ10" s="245" t="e">
        <f t="shared" si="11"/>
        <v>#DIV/0!</v>
      </c>
      <c r="DA10" s="218"/>
      <c r="DB10" s="224"/>
      <c r="DC10" s="218"/>
      <c r="DD10" s="218"/>
      <c r="DE10" s="218"/>
      <c r="DF10" s="218"/>
      <c r="DG10" s="218"/>
      <c r="DH10" s="218"/>
      <c r="DI10" s="218"/>
      <c r="DJ10" s="218"/>
      <c r="DK10" s="218"/>
      <c r="DL10" s="218"/>
      <c r="DM10" s="218"/>
      <c r="DN10" s="218"/>
      <c r="DO10" s="218"/>
      <c r="DP10" s="218"/>
      <c r="DQ10" s="227"/>
      <c r="DR10" s="224"/>
      <c r="DS10" s="218"/>
      <c r="DT10" s="218"/>
      <c r="DU10" s="218"/>
      <c r="DV10" s="218"/>
      <c r="DW10" s="218"/>
      <c r="DX10" s="218"/>
      <c r="DY10" s="218"/>
      <c r="DZ10" s="218"/>
      <c r="EA10" s="218"/>
      <c r="EB10" s="218"/>
      <c r="EC10" s="218"/>
      <c r="ED10" s="218"/>
      <c r="EE10" s="218"/>
      <c r="EF10" s="223">
        <f t="shared" ref="EF10:EJ10" si="33">AH10+AP10+AX10+BF10+BN10+BV10+CD10+CL10+CT10+DB10+DJ10+DR10+DZ10</f>
        <v>0</v>
      </c>
      <c r="EG10" s="223">
        <f t="shared" si="33"/>
        <v>0</v>
      </c>
      <c r="EH10" s="223">
        <f t="shared" si="33"/>
        <v>0</v>
      </c>
      <c r="EI10" s="223">
        <f t="shared" si="33"/>
        <v>0</v>
      </c>
      <c r="EJ10" s="223">
        <f t="shared" si="33"/>
        <v>0</v>
      </c>
      <c r="EK10" s="223">
        <f t="shared" si="13"/>
        <v>0</v>
      </c>
      <c r="EL10" s="218">
        <f t="shared" si="14"/>
        <v>0</v>
      </c>
      <c r="EM10" s="218">
        <f t="shared" si="15"/>
        <v>0</v>
      </c>
      <c r="EN10" s="223">
        <f t="shared" si="16"/>
        <v>0</v>
      </c>
      <c r="EO10" s="226">
        <f t="shared" si="17"/>
        <v>0</v>
      </c>
      <c r="ER10" s="266"/>
      <c r="ES10" s="235" t="s">
        <v>469</v>
      </c>
      <c r="ET10" s="235" t="s">
        <v>470</v>
      </c>
      <c r="EU10" s="235" t="s">
        <v>471</v>
      </c>
    </row>
    <row r="11" s="200" customFormat="1" customHeight="1" spans="1:151">
      <c r="A11" s="267"/>
      <c r="B11" s="218">
        <v>9</v>
      </c>
      <c r="C11" s="219" t="s">
        <v>472</v>
      </c>
      <c r="D11" s="220" t="s">
        <v>13</v>
      </c>
      <c r="E11" s="220" t="s">
        <v>405</v>
      </c>
      <c r="F11" s="220" t="s">
        <v>125</v>
      </c>
      <c r="G11" s="220" t="s">
        <v>473</v>
      </c>
      <c r="H11" s="239"/>
      <c r="I11" s="239"/>
      <c r="J11" s="220" t="s">
        <v>474</v>
      </c>
      <c r="K11" s="221"/>
      <c r="L11" s="239">
        <v>632020</v>
      </c>
      <c r="M11" s="239"/>
      <c r="N11" s="221"/>
      <c r="O11" s="221" t="s">
        <v>475</v>
      </c>
      <c r="P11" s="200" t="s">
        <v>476</v>
      </c>
      <c r="Q11" s="200" t="s">
        <v>408</v>
      </c>
      <c r="R11" s="200" t="s">
        <v>418</v>
      </c>
      <c r="S11" s="200" t="s">
        <v>418</v>
      </c>
      <c r="V11" s="200" t="s">
        <v>477</v>
      </c>
      <c r="W11" s="207"/>
      <c r="X11" s="200" t="s">
        <v>478</v>
      </c>
      <c r="Y11" s="207" t="s">
        <v>479</v>
      </c>
      <c r="Z11" s="218"/>
      <c r="AA11" s="218">
        <v>200</v>
      </c>
      <c r="AB11" s="218">
        <f t="shared" si="18"/>
        <v>51</v>
      </c>
      <c r="AC11" s="218">
        <v>8</v>
      </c>
      <c r="AD11" s="218">
        <v>43</v>
      </c>
      <c r="AE11" s="218">
        <v>0</v>
      </c>
      <c r="AF11" s="218">
        <f t="shared" si="19"/>
        <v>255</v>
      </c>
      <c r="AG11" s="243">
        <v>46084</v>
      </c>
      <c r="AH11" s="244">
        <v>10</v>
      </c>
      <c r="AI11" s="244">
        <v>10</v>
      </c>
      <c r="AJ11" s="244">
        <v>10</v>
      </c>
      <c r="AK11" s="244">
        <v>10</v>
      </c>
      <c r="AL11" s="244">
        <v>10</v>
      </c>
      <c r="AM11" s="244">
        <f t="shared" si="0"/>
        <v>50</v>
      </c>
      <c r="AN11" s="245">
        <f t="shared" si="20"/>
        <v>3.13725490196078</v>
      </c>
      <c r="AO11" s="252">
        <v>46098</v>
      </c>
      <c r="AP11" s="268">
        <v>8</v>
      </c>
      <c r="AQ11" s="269">
        <v>10</v>
      </c>
      <c r="AR11" s="269">
        <v>10</v>
      </c>
      <c r="AS11" s="269">
        <v>10</v>
      </c>
      <c r="AT11" s="269">
        <v>10</v>
      </c>
      <c r="AU11" s="244">
        <f t="shared" si="1"/>
        <v>48</v>
      </c>
      <c r="AV11" s="248">
        <f t="shared" si="2"/>
        <v>3.01176470588235</v>
      </c>
      <c r="AW11" s="260">
        <v>46115</v>
      </c>
      <c r="AX11" s="253">
        <v>8</v>
      </c>
      <c r="AY11" s="254">
        <v>10</v>
      </c>
      <c r="AZ11" s="254">
        <v>10</v>
      </c>
      <c r="BA11" s="254">
        <v>10</v>
      </c>
      <c r="BB11" s="254">
        <v>10</v>
      </c>
      <c r="BC11" s="244">
        <f t="shared" si="3"/>
        <v>48</v>
      </c>
      <c r="BD11" s="248">
        <f t="shared" si="4"/>
        <v>3.01176470588235</v>
      </c>
      <c r="BE11" s="255">
        <f t="shared" si="29"/>
        <v>46136.0823529412</v>
      </c>
      <c r="BF11" s="256">
        <v>8</v>
      </c>
      <c r="BG11" s="257">
        <v>10</v>
      </c>
      <c r="BH11" s="257">
        <v>10</v>
      </c>
      <c r="BI11" s="257">
        <v>10</v>
      </c>
      <c r="BJ11" s="257">
        <v>10</v>
      </c>
      <c r="BK11" s="258">
        <f t="shared" si="5"/>
        <v>48</v>
      </c>
      <c r="BL11" s="248">
        <f t="shared" si="6"/>
        <v>3.01176470588235</v>
      </c>
      <c r="BM11" s="246">
        <f t="shared" si="30"/>
        <v>46157.1647058824</v>
      </c>
      <c r="BN11" s="224"/>
      <c r="BO11" s="218"/>
      <c r="BP11" s="218"/>
      <c r="BQ11" s="218"/>
      <c r="BR11" s="218"/>
      <c r="BS11" s="250"/>
      <c r="BT11" s="245">
        <f t="shared" si="7"/>
        <v>0</v>
      </c>
      <c r="BU11" s="249"/>
      <c r="BV11" s="224"/>
      <c r="BW11" s="218"/>
      <c r="BX11" s="218"/>
      <c r="BY11" s="218"/>
      <c r="BZ11" s="218"/>
      <c r="CA11" s="218"/>
      <c r="CB11" s="245">
        <f t="shared" si="8"/>
        <v>0</v>
      </c>
      <c r="CC11" s="249"/>
      <c r="CD11" s="224"/>
      <c r="CE11" s="218"/>
      <c r="CF11" s="218"/>
      <c r="CG11" s="218"/>
      <c r="CH11" s="218"/>
      <c r="CI11" s="218"/>
      <c r="CJ11" s="245">
        <f t="shared" si="9"/>
        <v>0</v>
      </c>
      <c r="CK11" s="246"/>
      <c r="CL11" s="224"/>
      <c r="CM11" s="218"/>
      <c r="CN11" s="218"/>
      <c r="CO11" s="218"/>
      <c r="CP11" s="218"/>
      <c r="CQ11" s="218"/>
      <c r="CR11" s="245">
        <f t="shared" si="10"/>
        <v>0</v>
      </c>
      <c r="CS11" s="249"/>
      <c r="CT11" s="224"/>
      <c r="CU11" s="218"/>
      <c r="CV11" s="218"/>
      <c r="CW11" s="218"/>
      <c r="CX11" s="218"/>
      <c r="CY11" s="218"/>
      <c r="CZ11" s="245">
        <f t="shared" si="11"/>
        <v>0</v>
      </c>
      <c r="DA11" s="249"/>
      <c r="DB11" s="224"/>
      <c r="DC11" s="218"/>
      <c r="DD11" s="218"/>
      <c r="DE11" s="218"/>
      <c r="DF11" s="218"/>
      <c r="DG11" s="218"/>
      <c r="DH11" s="218"/>
      <c r="DI11" s="218"/>
      <c r="DJ11" s="218"/>
      <c r="DK11" s="218"/>
      <c r="DL11" s="218"/>
      <c r="DM11" s="218"/>
      <c r="DN11" s="218"/>
      <c r="DO11" s="218"/>
      <c r="DP11" s="218"/>
      <c r="DQ11" s="227"/>
      <c r="DR11" s="224"/>
      <c r="DS11" s="218"/>
      <c r="DT11" s="218"/>
      <c r="DU11" s="218"/>
      <c r="DV11" s="218"/>
      <c r="DW11" s="218"/>
      <c r="DX11" s="218"/>
      <c r="DY11" s="218"/>
      <c r="DZ11" s="218"/>
      <c r="EA11" s="218"/>
      <c r="EB11" s="218"/>
      <c r="EC11" s="218"/>
      <c r="ED11" s="218"/>
      <c r="EE11" s="218"/>
      <c r="EF11" s="223">
        <f t="shared" ref="EF11:EJ11" si="34">AH11+AP11+AX11+BF11+BN11+BV11+CD11+CL11+CT11+DB11+DJ11+DR11+DZ11</f>
        <v>34</v>
      </c>
      <c r="EG11" s="223">
        <f t="shared" si="34"/>
        <v>40</v>
      </c>
      <c r="EH11" s="223">
        <f t="shared" si="34"/>
        <v>40</v>
      </c>
      <c r="EI11" s="223">
        <f t="shared" si="34"/>
        <v>40</v>
      </c>
      <c r="EJ11" s="223">
        <f t="shared" si="34"/>
        <v>40</v>
      </c>
      <c r="EK11" s="223">
        <f t="shared" si="13"/>
        <v>194</v>
      </c>
      <c r="EL11" s="218">
        <f t="shared" si="14"/>
        <v>5100</v>
      </c>
      <c r="EM11" s="218">
        <f t="shared" si="15"/>
        <v>318.75</v>
      </c>
      <c r="EN11" s="223">
        <f t="shared" si="16"/>
        <v>194</v>
      </c>
      <c r="EO11" s="226">
        <f t="shared" si="17"/>
        <v>124.75</v>
      </c>
      <c r="ER11" s="251"/>
      <c r="ES11" s="235" t="s">
        <v>480</v>
      </c>
      <c r="ET11" s="235" t="s">
        <v>481</v>
      </c>
      <c r="EU11" s="235" t="s">
        <v>482</v>
      </c>
    </row>
    <row r="12" s="200" customFormat="1" customHeight="1" spans="1:151">
      <c r="A12" s="267"/>
      <c r="B12" s="218">
        <v>10</v>
      </c>
      <c r="C12" s="219" t="s">
        <v>483</v>
      </c>
      <c r="D12" s="220"/>
      <c r="E12" s="220" t="s">
        <v>405</v>
      </c>
      <c r="F12" s="220"/>
      <c r="G12" s="220" t="s">
        <v>259</v>
      </c>
      <c r="H12" s="220">
        <v>13926639221</v>
      </c>
      <c r="I12" s="239"/>
      <c r="J12" s="221" t="s">
        <v>303</v>
      </c>
      <c r="K12" s="221" t="s">
        <v>304</v>
      </c>
      <c r="L12" s="239"/>
      <c r="M12" s="239"/>
      <c r="N12" s="221"/>
      <c r="O12" s="221" t="s">
        <v>484</v>
      </c>
      <c r="Q12" s="200" t="s">
        <v>408</v>
      </c>
      <c r="R12" s="200" t="s">
        <v>409</v>
      </c>
      <c r="S12" s="200" t="s">
        <v>409</v>
      </c>
      <c r="U12" s="221"/>
      <c r="V12" s="200" t="s">
        <v>485</v>
      </c>
      <c r="W12" s="207" t="s">
        <v>486</v>
      </c>
      <c r="X12" s="270" t="s">
        <v>487</v>
      </c>
      <c r="Y12" s="221">
        <v>13553981723</v>
      </c>
      <c r="Z12" s="218"/>
      <c r="AA12" s="218">
        <v>200</v>
      </c>
      <c r="AB12" s="218">
        <f t="shared" si="18"/>
        <v>77</v>
      </c>
      <c r="AC12" s="218">
        <v>10</v>
      </c>
      <c r="AD12" s="218">
        <v>67</v>
      </c>
      <c r="AE12" s="218">
        <v>0</v>
      </c>
      <c r="AF12" s="218">
        <f t="shared" si="19"/>
        <v>385</v>
      </c>
      <c r="AG12" s="243">
        <v>46084</v>
      </c>
      <c r="AH12" s="244">
        <v>15</v>
      </c>
      <c r="AI12" s="244">
        <v>8</v>
      </c>
      <c r="AJ12" s="244">
        <v>8</v>
      </c>
      <c r="AK12" s="244">
        <v>8</v>
      </c>
      <c r="AL12" s="244">
        <v>8</v>
      </c>
      <c r="AM12" s="244">
        <f t="shared" si="0"/>
        <v>47</v>
      </c>
      <c r="AN12" s="245">
        <f t="shared" si="20"/>
        <v>1.95324675324675</v>
      </c>
      <c r="AO12" s="243">
        <v>46097</v>
      </c>
      <c r="AP12" s="268">
        <v>10</v>
      </c>
      <c r="AQ12" s="269">
        <v>12</v>
      </c>
      <c r="AR12" s="269">
        <v>12</v>
      </c>
      <c r="AS12" s="269">
        <v>12</v>
      </c>
      <c r="AT12" s="269">
        <v>12</v>
      </c>
      <c r="AU12" s="244">
        <f t="shared" si="1"/>
        <v>58</v>
      </c>
      <c r="AV12" s="248">
        <f t="shared" si="2"/>
        <v>2.41038961038961</v>
      </c>
      <c r="AW12" s="271">
        <v>46112</v>
      </c>
      <c r="AX12" s="272">
        <v>12</v>
      </c>
      <c r="AY12" s="273">
        <v>15</v>
      </c>
      <c r="AZ12" s="273">
        <v>15</v>
      </c>
      <c r="BA12" s="273">
        <v>15</v>
      </c>
      <c r="BB12" s="273">
        <v>15</v>
      </c>
      <c r="BC12" s="274">
        <f t="shared" si="3"/>
        <v>72</v>
      </c>
      <c r="BD12" s="248">
        <f t="shared" si="4"/>
        <v>2.99220779220779</v>
      </c>
      <c r="BE12" s="255">
        <f t="shared" si="29"/>
        <v>46132.9454545455</v>
      </c>
      <c r="BF12" s="256">
        <v>12</v>
      </c>
      <c r="BG12" s="257">
        <v>15</v>
      </c>
      <c r="BH12" s="257">
        <v>15</v>
      </c>
      <c r="BI12" s="257">
        <v>15</v>
      </c>
      <c r="BJ12" s="257">
        <v>15</v>
      </c>
      <c r="BK12" s="258">
        <f t="shared" si="5"/>
        <v>72</v>
      </c>
      <c r="BL12" s="248">
        <f t="shared" si="6"/>
        <v>2.99220779220779</v>
      </c>
      <c r="BM12" s="246">
        <f t="shared" si="30"/>
        <v>46153.890909091</v>
      </c>
      <c r="BN12" s="224"/>
      <c r="BO12" s="218"/>
      <c r="BP12" s="218"/>
      <c r="BQ12" s="218"/>
      <c r="BR12" s="218"/>
      <c r="BS12" s="250"/>
      <c r="BT12" s="245">
        <f t="shared" si="7"/>
        <v>0</v>
      </c>
      <c r="BU12" s="249"/>
      <c r="BV12" s="224"/>
      <c r="BW12" s="218"/>
      <c r="BX12" s="218"/>
      <c r="BY12" s="218"/>
      <c r="BZ12" s="218"/>
      <c r="CA12" s="218"/>
      <c r="CB12" s="245">
        <f t="shared" si="8"/>
        <v>0</v>
      </c>
      <c r="CC12" s="249"/>
      <c r="CD12" s="224"/>
      <c r="CE12" s="218"/>
      <c r="CF12" s="218"/>
      <c r="CG12" s="218"/>
      <c r="CH12" s="218"/>
      <c r="CI12" s="218"/>
      <c r="CJ12" s="245">
        <f t="shared" si="9"/>
        <v>0</v>
      </c>
      <c r="CK12" s="249"/>
      <c r="CL12" s="224"/>
      <c r="CM12" s="218"/>
      <c r="CN12" s="218"/>
      <c r="CO12" s="218"/>
      <c r="CP12" s="218"/>
      <c r="CQ12" s="218"/>
      <c r="CR12" s="245">
        <f t="shared" si="10"/>
        <v>0</v>
      </c>
      <c r="CS12" s="249"/>
      <c r="CT12" s="224"/>
      <c r="CU12" s="218"/>
      <c r="CV12" s="218"/>
      <c r="CW12" s="218"/>
      <c r="CX12" s="218"/>
      <c r="CY12" s="218"/>
      <c r="CZ12" s="245">
        <f t="shared" si="11"/>
        <v>0</v>
      </c>
      <c r="DA12" s="246"/>
      <c r="DB12" s="224"/>
      <c r="DC12" s="218"/>
      <c r="DD12" s="218"/>
      <c r="DE12" s="218"/>
      <c r="DF12" s="218"/>
      <c r="DG12" s="218"/>
      <c r="DH12" s="218"/>
      <c r="DI12" s="218"/>
      <c r="DJ12" s="218"/>
      <c r="DK12" s="218"/>
      <c r="DL12" s="218"/>
      <c r="DM12" s="218"/>
      <c r="DN12" s="218"/>
      <c r="DO12" s="218"/>
      <c r="DP12" s="218"/>
      <c r="DQ12" s="227"/>
      <c r="DR12" s="224"/>
      <c r="DS12" s="218"/>
      <c r="DT12" s="218"/>
      <c r="DU12" s="218"/>
      <c r="DV12" s="218"/>
      <c r="DW12" s="218"/>
      <c r="DX12" s="218"/>
      <c r="DY12" s="218"/>
      <c r="DZ12" s="218"/>
      <c r="EA12" s="218"/>
      <c r="EB12" s="218"/>
      <c r="EC12" s="218"/>
      <c r="ED12" s="218"/>
      <c r="EE12" s="218"/>
      <c r="EF12" s="223">
        <f t="shared" ref="EF12:EJ12" si="35">AH12+AP12+AX12+BF12+BN12+BV12+CD12+CL12+CT12+DB12+DJ12+DR12+DZ12</f>
        <v>49</v>
      </c>
      <c r="EG12" s="223">
        <f t="shared" si="35"/>
        <v>50</v>
      </c>
      <c r="EH12" s="223">
        <f t="shared" si="35"/>
        <v>50</v>
      </c>
      <c r="EI12" s="223">
        <f t="shared" si="35"/>
        <v>50</v>
      </c>
      <c r="EJ12" s="223">
        <f t="shared" si="35"/>
        <v>50</v>
      </c>
      <c r="EK12" s="223">
        <f t="shared" si="13"/>
        <v>249</v>
      </c>
      <c r="EL12" s="218">
        <f t="shared" si="14"/>
        <v>7700</v>
      </c>
      <c r="EM12" s="218">
        <f t="shared" si="15"/>
        <v>481.25</v>
      </c>
      <c r="EN12" s="223">
        <f t="shared" si="16"/>
        <v>249</v>
      </c>
      <c r="EO12" s="226">
        <f t="shared" si="17"/>
        <v>232.25</v>
      </c>
      <c r="ER12" s="251"/>
      <c r="ES12" s="235" t="s">
        <v>488</v>
      </c>
      <c r="ET12" s="235" t="s">
        <v>489</v>
      </c>
      <c r="EU12" s="235" t="s">
        <v>490</v>
      </c>
    </row>
    <row r="13" s="200" customFormat="1" customHeight="1" spans="1:151">
      <c r="A13" s="267"/>
      <c r="B13" s="218">
        <v>11</v>
      </c>
      <c r="C13" s="218" t="s">
        <v>491</v>
      </c>
      <c r="D13" s="220" t="s">
        <v>492</v>
      </c>
      <c r="E13" s="220" t="s">
        <v>405</v>
      </c>
      <c r="J13" s="200" t="s">
        <v>493</v>
      </c>
      <c r="K13" s="207" t="s">
        <v>494</v>
      </c>
      <c r="N13" s="207"/>
      <c r="O13" s="207"/>
      <c r="P13" s="200" t="s">
        <v>495</v>
      </c>
      <c r="Q13" s="200" t="s">
        <v>408</v>
      </c>
      <c r="R13" s="200" t="s">
        <v>409</v>
      </c>
      <c r="S13" s="200" t="s">
        <v>409</v>
      </c>
      <c r="V13" s="200" t="s">
        <v>496</v>
      </c>
      <c r="W13" s="207"/>
      <c r="X13" s="200" t="s">
        <v>493</v>
      </c>
      <c r="Y13" s="207" t="s">
        <v>494</v>
      </c>
      <c r="Z13" s="218"/>
      <c r="AA13" s="218">
        <v>125</v>
      </c>
      <c r="AB13" s="218">
        <f t="shared" si="18"/>
        <v>24</v>
      </c>
      <c r="AC13" s="218">
        <v>6</v>
      </c>
      <c r="AD13" s="218">
        <v>18</v>
      </c>
      <c r="AE13" s="218"/>
      <c r="AF13" s="218">
        <f t="shared" si="19"/>
        <v>120</v>
      </c>
      <c r="AG13" s="243">
        <v>46084</v>
      </c>
      <c r="AH13" s="244">
        <v>5</v>
      </c>
      <c r="AI13" s="244">
        <v>2</v>
      </c>
      <c r="AJ13" s="244">
        <v>2</v>
      </c>
      <c r="AK13" s="244">
        <v>2</v>
      </c>
      <c r="AL13" s="244"/>
      <c r="AM13" s="244">
        <f t="shared" si="0"/>
        <v>11</v>
      </c>
      <c r="AN13" s="245">
        <f t="shared" si="20"/>
        <v>1.46666666666667</v>
      </c>
      <c r="AO13" s="243">
        <v>46097</v>
      </c>
      <c r="AP13" s="268">
        <v>8</v>
      </c>
      <c r="AQ13" s="269">
        <v>4</v>
      </c>
      <c r="AR13" s="269">
        <v>4</v>
      </c>
      <c r="AS13" s="269">
        <v>4</v>
      </c>
      <c r="AT13" s="269"/>
      <c r="AU13" s="244">
        <f t="shared" si="1"/>
        <v>20</v>
      </c>
      <c r="AV13" s="248">
        <f t="shared" si="2"/>
        <v>2.66666666666667</v>
      </c>
      <c r="AW13" s="260">
        <f t="shared" si="28"/>
        <v>46115.6666666667</v>
      </c>
      <c r="AX13" s="253">
        <v>10</v>
      </c>
      <c r="AY13" s="254">
        <v>5</v>
      </c>
      <c r="AZ13" s="254">
        <v>5</v>
      </c>
      <c r="BA13" s="254">
        <v>5</v>
      </c>
      <c r="BB13" s="254"/>
      <c r="BC13" s="244">
        <f t="shared" si="3"/>
        <v>25</v>
      </c>
      <c r="BD13" s="248">
        <f t="shared" si="4"/>
        <v>3.33333333333333</v>
      </c>
      <c r="BE13" s="246">
        <v>46135</v>
      </c>
      <c r="BF13" s="224">
        <v>8</v>
      </c>
      <c r="BG13" s="218">
        <v>6</v>
      </c>
      <c r="BH13" s="218">
        <v>6</v>
      </c>
      <c r="BI13" s="218">
        <v>6</v>
      </c>
      <c r="BJ13" s="218"/>
      <c r="BK13" s="247">
        <f t="shared" si="5"/>
        <v>26</v>
      </c>
      <c r="BL13" s="248">
        <f t="shared" si="6"/>
        <v>3.46666666666667</v>
      </c>
      <c r="BM13" s="246">
        <f t="shared" si="30"/>
        <v>46159.2666666667</v>
      </c>
      <c r="BN13" s="224"/>
      <c r="BO13" s="218"/>
      <c r="BP13" s="218"/>
      <c r="BQ13" s="218"/>
      <c r="BR13" s="218"/>
      <c r="BS13" s="250"/>
      <c r="BT13" s="245">
        <f t="shared" si="7"/>
        <v>0</v>
      </c>
      <c r="BU13" s="249"/>
      <c r="BV13" s="224"/>
      <c r="BW13" s="218"/>
      <c r="BX13" s="218"/>
      <c r="BY13" s="218"/>
      <c r="BZ13" s="218"/>
      <c r="CA13" s="218"/>
      <c r="CB13" s="245">
        <f t="shared" si="8"/>
        <v>0</v>
      </c>
      <c r="CC13" s="246"/>
      <c r="CD13" s="224"/>
      <c r="CE13" s="218"/>
      <c r="CF13" s="218"/>
      <c r="CG13" s="218"/>
      <c r="CH13" s="218"/>
      <c r="CI13" s="218"/>
      <c r="CJ13" s="245">
        <f t="shared" si="9"/>
        <v>0</v>
      </c>
      <c r="CK13" s="246"/>
      <c r="CL13" s="224"/>
      <c r="CM13" s="218"/>
      <c r="CN13" s="218"/>
      <c r="CO13" s="218"/>
      <c r="CP13" s="218"/>
      <c r="CQ13" s="218"/>
      <c r="CR13" s="245">
        <f t="shared" si="10"/>
        <v>0</v>
      </c>
      <c r="CS13" s="218"/>
      <c r="CT13" s="224"/>
      <c r="CU13" s="218"/>
      <c r="CV13" s="218"/>
      <c r="CW13" s="218"/>
      <c r="CX13" s="218"/>
      <c r="CY13" s="218"/>
      <c r="CZ13" s="245">
        <f t="shared" si="11"/>
        <v>0</v>
      </c>
      <c r="DA13" s="218"/>
      <c r="DB13" s="224"/>
      <c r="DC13" s="218"/>
      <c r="DD13" s="218"/>
      <c r="DE13" s="218"/>
      <c r="DF13" s="218"/>
      <c r="DG13" s="218"/>
      <c r="DH13" s="218"/>
      <c r="DI13" s="218"/>
      <c r="DJ13" s="218"/>
      <c r="DK13" s="218"/>
      <c r="DL13" s="218"/>
      <c r="DM13" s="218"/>
      <c r="DN13" s="218"/>
      <c r="DO13" s="218"/>
      <c r="DP13" s="218"/>
      <c r="DQ13" s="227"/>
      <c r="DR13" s="224"/>
      <c r="DS13" s="218"/>
      <c r="DT13" s="218"/>
      <c r="DU13" s="218"/>
      <c r="DV13" s="218"/>
      <c r="DW13" s="218"/>
      <c r="DX13" s="218"/>
      <c r="DY13" s="218"/>
      <c r="DZ13" s="218"/>
      <c r="EA13" s="218"/>
      <c r="EB13" s="218"/>
      <c r="EC13" s="218"/>
      <c r="ED13" s="218"/>
      <c r="EE13" s="218"/>
      <c r="EF13" s="223">
        <f t="shared" ref="EF13:EJ13" si="36">AH13+AP13+AX13+BF13+BN13+BV13+CD13+CL13+CT13+DB13+DJ13+DR13+DZ13</f>
        <v>31</v>
      </c>
      <c r="EG13" s="223">
        <f t="shared" si="36"/>
        <v>17</v>
      </c>
      <c r="EH13" s="223">
        <f t="shared" si="36"/>
        <v>17</v>
      </c>
      <c r="EI13" s="223">
        <f t="shared" si="36"/>
        <v>17</v>
      </c>
      <c r="EJ13" s="223">
        <f t="shared" si="36"/>
        <v>0</v>
      </c>
      <c r="EK13" s="223">
        <f t="shared" si="13"/>
        <v>82</v>
      </c>
      <c r="EL13" s="218">
        <f t="shared" si="14"/>
        <v>2400</v>
      </c>
      <c r="EM13" s="218">
        <f t="shared" si="15"/>
        <v>150</v>
      </c>
      <c r="EN13" s="223">
        <f t="shared" si="16"/>
        <v>82</v>
      </c>
      <c r="EO13" s="226">
        <f t="shared" si="17"/>
        <v>68</v>
      </c>
      <c r="ER13" s="251"/>
      <c r="ES13" s="235" t="s">
        <v>497</v>
      </c>
      <c r="ET13" s="235" t="s">
        <v>498</v>
      </c>
      <c r="EU13" s="235" t="s">
        <v>499</v>
      </c>
    </row>
    <row r="14" s="200" customFormat="1" customHeight="1" spans="1:151">
      <c r="A14" s="267"/>
      <c r="B14" s="218">
        <v>12</v>
      </c>
      <c r="C14" s="218" t="s">
        <v>500</v>
      </c>
      <c r="E14" s="220" t="s">
        <v>405</v>
      </c>
      <c r="J14" s="270" t="s">
        <v>501</v>
      </c>
      <c r="K14" s="221">
        <v>13824908946</v>
      </c>
      <c r="N14" s="207"/>
      <c r="O14" s="220">
        <v>28</v>
      </c>
      <c r="Q14" s="200" t="s">
        <v>408</v>
      </c>
      <c r="R14" s="200" t="s">
        <v>409</v>
      </c>
      <c r="S14" s="200" t="s">
        <v>409</v>
      </c>
      <c r="V14" s="270" t="s">
        <v>501</v>
      </c>
      <c r="W14" s="221">
        <v>13824908946</v>
      </c>
      <c r="X14" s="270" t="s">
        <v>501</v>
      </c>
      <c r="Y14" s="221">
        <v>13824908946</v>
      </c>
      <c r="Z14" s="218"/>
      <c r="AA14" s="218">
        <v>125</v>
      </c>
      <c r="AB14" s="218">
        <f t="shared" si="18"/>
        <v>20</v>
      </c>
      <c r="AC14" s="218">
        <v>1</v>
      </c>
      <c r="AD14" s="218">
        <v>19</v>
      </c>
      <c r="AE14" s="218">
        <v>0</v>
      </c>
      <c r="AF14" s="218">
        <f t="shared" si="19"/>
        <v>100</v>
      </c>
      <c r="AG14" s="243">
        <v>46084</v>
      </c>
      <c r="AH14" s="244">
        <v>8</v>
      </c>
      <c r="AI14" s="244">
        <v>5</v>
      </c>
      <c r="AJ14" s="244">
        <v>5</v>
      </c>
      <c r="AK14" s="244">
        <v>5</v>
      </c>
      <c r="AL14" s="244"/>
      <c r="AM14" s="244">
        <f t="shared" si="0"/>
        <v>23</v>
      </c>
      <c r="AN14" s="245">
        <f t="shared" si="20"/>
        <v>3.68</v>
      </c>
      <c r="AO14" s="252">
        <v>46108</v>
      </c>
      <c r="AP14" s="268">
        <v>5</v>
      </c>
      <c r="AQ14" s="269">
        <v>5</v>
      </c>
      <c r="AR14" s="269">
        <v>5</v>
      </c>
      <c r="AS14" s="269">
        <v>5</v>
      </c>
      <c r="AT14" s="269"/>
      <c r="AU14" s="244">
        <f t="shared" si="1"/>
        <v>20</v>
      </c>
      <c r="AV14" s="248">
        <f t="shared" si="2"/>
        <v>3.2</v>
      </c>
      <c r="AW14" s="271">
        <v>46127</v>
      </c>
      <c r="AX14" s="268">
        <v>5</v>
      </c>
      <c r="AY14" s="269">
        <v>5</v>
      </c>
      <c r="AZ14" s="269">
        <v>5</v>
      </c>
      <c r="BA14" s="269">
        <v>5</v>
      </c>
      <c r="BB14" s="269"/>
      <c r="BC14" s="244">
        <f t="shared" si="3"/>
        <v>20</v>
      </c>
      <c r="BD14" s="259">
        <f t="shared" si="4"/>
        <v>3.2</v>
      </c>
      <c r="BE14" s="246">
        <f t="shared" si="29"/>
        <v>46149.4</v>
      </c>
      <c r="BF14" s="224"/>
      <c r="BG14" s="218"/>
      <c r="BH14" s="218"/>
      <c r="BI14" s="218"/>
      <c r="BJ14" s="218"/>
      <c r="BK14" s="247">
        <f t="shared" si="5"/>
        <v>0</v>
      </c>
      <c r="BL14" s="248">
        <f t="shared" si="6"/>
        <v>0</v>
      </c>
      <c r="BM14" s="246">
        <f t="shared" si="30"/>
        <v>46149.4</v>
      </c>
      <c r="BN14" s="224"/>
      <c r="BO14" s="218"/>
      <c r="BP14" s="218"/>
      <c r="BQ14" s="218"/>
      <c r="BR14" s="218"/>
      <c r="BS14" s="250"/>
      <c r="BT14" s="245">
        <f t="shared" si="7"/>
        <v>0</v>
      </c>
      <c r="BU14" s="249"/>
      <c r="BV14" s="224"/>
      <c r="BW14" s="218"/>
      <c r="BX14" s="218"/>
      <c r="BY14" s="218"/>
      <c r="BZ14" s="218"/>
      <c r="CA14" s="218"/>
      <c r="CB14" s="245">
        <f t="shared" si="8"/>
        <v>0</v>
      </c>
      <c r="CC14" s="246"/>
      <c r="CD14" s="224"/>
      <c r="CE14" s="218"/>
      <c r="CF14" s="218"/>
      <c r="CG14" s="218"/>
      <c r="CH14" s="218"/>
      <c r="CI14" s="218"/>
      <c r="CJ14" s="245">
        <f t="shared" si="9"/>
        <v>0</v>
      </c>
      <c r="CK14" s="249"/>
      <c r="CL14" s="224"/>
      <c r="CM14" s="218"/>
      <c r="CN14" s="218"/>
      <c r="CO14" s="218"/>
      <c r="CP14" s="218"/>
      <c r="CQ14" s="218"/>
      <c r="CR14" s="245">
        <f t="shared" si="10"/>
        <v>0</v>
      </c>
      <c r="CS14" s="218"/>
      <c r="CT14" s="224"/>
      <c r="CU14" s="218"/>
      <c r="CV14" s="218"/>
      <c r="CW14" s="218"/>
      <c r="CX14" s="218"/>
      <c r="CY14" s="218"/>
      <c r="CZ14" s="245">
        <f t="shared" si="11"/>
        <v>0</v>
      </c>
      <c r="DA14" s="218"/>
      <c r="DB14" s="224"/>
      <c r="DC14" s="218"/>
      <c r="DD14" s="218"/>
      <c r="DE14" s="218"/>
      <c r="DF14" s="218"/>
      <c r="DG14" s="218"/>
      <c r="DH14" s="218"/>
      <c r="DI14" s="218"/>
      <c r="DJ14" s="218"/>
      <c r="DK14" s="218"/>
      <c r="DL14" s="218"/>
      <c r="DM14" s="218"/>
      <c r="DN14" s="218"/>
      <c r="DO14" s="218"/>
      <c r="DP14" s="218"/>
      <c r="DQ14" s="227"/>
      <c r="DR14" s="224"/>
      <c r="DS14" s="218"/>
      <c r="DT14" s="218"/>
      <c r="DU14" s="218"/>
      <c r="DV14" s="218"/>
      <c r="DW14" s="218"/>
      <c r="DX14" s="218"/>
      <c r="DY14" s="218"/>
      <c r="DZ14" s="218"/>
      <c r="EA14" s="218"/>
      <c r="EB14" s="218"/>
      <c r="EC14" s="218"/>
      <c r="ED14" s="218"/>
      <c r="EE14" s="218"/>
      <c r="EF14" s="223">
        <f t="shared" ref="EF14:EJ14" si="37">AH14+AP14+AX14+BF14+BN14+BV14+CD14+CL14+CT14+DB14+DJ14+DR14+DZ14</f>
        <v>18</v>
      </c>
      <c r="EG14" s="223">
        <f t="shared" si="37"/>
        <v>15</v>
      </c>
      <c r="EH14" s="223">
        <f t="shared" si="37"/>
        <v>15</v>
      </c>
      <c r="EI14" s="223">
        <f t="shared" si="37"/>
        <v>15</v>
      </c>
      <c r="EJ14" s="223">
        <f t="shared" si="37"/>
        <v>0</v>
      </c>
      <c r="EK14" s="223">
        <f t="shared" si="13"/>
        <v>63</v>
      </c>
      <c r="EL14" s="218">
        <f t="shared" si="14"/>
        <v>2000</v>
      </c>
      <c r="EM14" s="218">
        <f t="shared" si="15"/>
        <v>125</v>
      </c>
      <c r="EN14" s="223">
        <f t="shared" si="16"/>
        <v>63</v>
      </c>
      <c r="EO14" s="226">
        <f t="shared" si="17"/>
        <v>62</v>
      </c>
      <c r="ER14" s="251"/>
      <c r="ES14" s="235" t="s">
        <v>502</v>
      </c>
      <c r="ET14" s="235" t="s">
        <v>503</v>
      </c>
      <c r="EU14" s="235" t="s">
        <v>504</v>
      </c>
    </row>
    <row r="15" s="200" customFormat="1" customHeight="1" spans="1:151">
      <c r="A15" s="267"/>
      <c r="B15" s="218">
        <v>13</v>
      </c>
      <c r="C15" s="218" t="s">
        <v>505</v>
      </c>
      <c r="E15" s="220" t="s">
        <v>405</v>
      </c>
      <c r="J15" s="200" t="s">
        <v>506</v>
      </c>
      <c r="K15" s="240">
        <v>13927692228</v>
      </c>
      <c r="N15" s="207"/>
      <c r="O15" s="220">
        <v>52</v>
      </c>
      <c r="Q15" s="200" t="s">
        <v>408</v>
      </c>
      <c r="R15" s="200" t="s">
        <v>409</v>
      </c>
      <c r="S15" s="200" t="s">
        <v>409</v>
      </c>
      <c r="W15" s="207"/>
      <c r="X15" s="200" t="s">
        <v>453</v>
      </c>
      <c r="Y15" s="207" t="s">
        <v>507</v>
      </c>
      <c r="Z15" s="218"/>
      <c r="AA15" s="218">
        <v>125</v>
      </c>
      <c r="AB15" s="218">
        <f t="shared" si="18"/>
        <v>78</v>
      </c>
      <c r="AC15" s="218">
        <v>19</v>
      </c>
      <c r="AD15" s="218">
        <v>59</v>
      </c>
      <c r="AE15" s="218">
        <v>0</v>
      </c>
      <c r="AF15" s="218">
        <f t="shared" si="19"/>
        <v>390</v>
      </c>
      <c r="AG15" s="243">
        <v>46084</v>
      </c>
      <c r="AH15" s="244">
        <v>18</v>
      </c>
      <c r="AI15" s="244">
        <v>10</v>
      </c>
      <c r="AJ15" s="244">
        <v>10</v>
      </c>
      <c r="AK15" s="244">
        <v>10</v>
      </c>
      <c r="AL15" s="244"/>
      <c r="AM15" s="244">
        <f t="shared" si="0"/>
        <v>48</v>
      </c>
      <c r="AN15" s="245">
        <f t="shared" si="20"/>
        <v>1.96923076923077</v>
      </c>
      <c r="AO15" s="243">
        <v>46097</v>
      </c>
      <c r="AP15" s="268">
        <v>15</v>
      </c>
      <c r="AQ15" s="269">
        <v>15</v>
      </c>
      <c r="AR15" s="269">
        <v>15</v>
      </c>
      <c r="AS15" s="269">
        <v>15</v>
      </c>
      <c r="AT15" s="269"/>
      <c r="AU15" s="244">
        <f t="shared" si="1"/>
        <v>60</v>
      </c>
      <c r="AV15" s="248">
        <f t="shared" si="2"/>
        <v>2.46153846153846</v>
      </c>
      <c r="AW15" s="271">
        <v>46115</v>
      </c>
      <c r="AX15" s="272">
        <v>16</v>
      </c>
      <c r="AY15" s="273">
        <v>16</v>
      </c>
      <c r="AZ15" s="273">
        <v>16</v>
      </c>
      <c r="BA15" s="273">
        <v>16</v>
      </c>
      <c r="BB15" s="273"/>
      <c r="BC15" s="274">
        <f t="shared" si="3"/>
        <v>64</v>
      </c>
      <c r="BD15" s="248">
        <f t="shared" si="4"/>
        <v>2.62564102564103</v>
      </c>
      <c r="BE15" s="255">
        <f t="shared" si="29"/>
        <v>46133.3794871795</v>
      </c>
      <c r="BF15" s="256">
        <v>16</v>
      </c>
      <c r="BG15" s="257">
        <v>16</v>
      </c>
      <c r="BH15" s="257">
        <v>16</v>
      </c>
      <c r="BI15" s="257">
        <v>16</v>
      </c>
      <c r="BJ15" s="257"/>
      <c r="BK15" s="258">
        <f t="shared" si="5"/>
        <v>64</v>
      </c>
      <c r="BL15" s="248">
        <f t="shared" si="6"/>
        <v>2.62564102564103</v>
      </c>
      <c r="BM15" s="246">
        <f t="shared" si="30"/>
        <v>46151.758974359</v>
      </c>
      <c r="BN15" s="224"/>
      <c r="BO15" s="218"/>
      <c r="BP15" s="218"/>
      <c r="BQ15" s="218"/>
      <c r="BR15" s="218"/>
      <c r="BS15" s="250"/>
      <c r="BT15" s="245">
        <f t="shared" si="7"/>
        <v>0</v>
      </c>
      <c r="BU15" s="249"/>
      <c r="BV15" s="224"/>
      <c r="BW15" s="218"/>
      <c r="BX15" s="218"/>
      <c r="BY15" s="218"/>
      <c r="BZ15" s="218"/>
      <c r="CA15" s="218"/>
      <c r="CB15" s="245">
        <f t="shared" si="8"/>
        <v>0</v>
      </c>
      <c r="CC15" s="249"/>
      <c r="CD15" s="224"/>
      <c r="CE15" s="218"/>
      <c r="CF15" s="218"/>
      <c r="CG15" s="218"/>
      <c r="CH15" s="218"/>
      <c r="CI15" s="218"/>
      <c r="CJ15" s="245">
        <f t="shared" si="9"/>
        <v>0</v>
      </c>
      <c r="CK15" s="249"/>
      <c r="CL15" s="224"/>
      <c r="CM15" s="218"/>
      <c r="CN15" s="218"/>
      <c r="CO15" s="218"/>
      <c r="CP15" s="218"/>
      <c r="CQ15" s="218"/>
      <c r="CR15" s="245">
        <f t="shared" si="10"/>
        <v>0</v>
      </c>
      <c r="CS15" s="249"/>
      <c r="CT15" s="224"/>
      <c r="CU15" s="218"/>
      <c r="CV15" s="218"/>
      <c r="CW15" s="218"/>
      <c r="CX15" s="218"/>
      <c r="CY15" s="218"/>
      <c r="CZ15" s="245">
        <f t="shared" si="11"/>
        <v>0</v>
      </c>
      <c r="DA15" s="246"/>
      <c r="DB15" s="224"/>
      <c r="DC15" s="218"/>
      <c r="DD15" s="218"/>
      <c r="DE15" s="218"/>
      <c r="DF15" s="218"/>
      <c r="DG15" s="218"/>
      <c r="DH15" s="218"/>
      <c r="DI15" s="218"/>
      <c r="DJ15" s="218"/>
      <c r="DK15" s="218"/>
      <c r="DL15" s="218"/>
      <c r="DM15" s="218"/>
      <c r="DN15" s="218"/>
      <c r="DO15" s="218"/>
      <c r="DP15" s="218"/>
      <c r="DQ15" s="227"/>
      <c r="DR15" s="224"/>
      <c r="DS15" s="218"/>
      <c r="DT15" s="218"/>
      <c r="DU15" s="218"/>
      <c r="DV15" s="218"/>
      <c r="DW15" s="218"/>
      <c r="DX15" s="218"/>
      <c r="DY15" s="218"/>
      <c r="DZ15" s="218"/>
      <c r="EA15" s="218"/>
      <c r="EB15" s="218"/>
      <c r="EC15" s="218"/>
      <c r="ED15" s="218"/>
      <c r="EE15" s="218"/>
      <c r="EF15" s="223">
        <f t="shared" ref="EF15:EJ15" si="38">AH15+AP15+AX15+BF15+BN15+BV15+CD15+CL15+CT15+DB15+DJ15+DR15+DZ15</f>
        <v>65</v>
      </c>
      <c r="EG15" s="223">
        <f t="shared" si="38"/>
        <v>57</v>
      </c>
      <c r="EH15" s="223">
        <f t="shared" si="38"/>
        <v>57</v>
      </c>
      <c r="EI15" s="223">
        <f t="shared" si="38"/>
        <v>57</v>
      </c>
      <c r="EJ15" s="223">
        <f t="shared" si="38"/>
        <v>0</v>
      </c>
      <c r="EK15" s="223">
        <f t="shared" si="13"/>
        <v>236</v>
      </c>
      <c r="EL15" s="218">
        <f t="shared" si="14"/>
        <v>7800</v>
      </c>
      <c r="EM15" s="218">
        <f t="shared" si="15"/>
        <v>487.5</v>
      </c>
      <c r="EN15" s="223">
        <f t="shared" si="16"/>
        <v>236</v>
      </c>
      <c r="EO15" s="226">
        <f t="shared" si="17"/>
        <v>251.5</v>
      </c>
      <c r="ER15" s="251"/>
      <c r="ES15" s="235" t="s">
        <v>508</v>
      </c>
      <c r="ET15" s="235" t="s">
        <v>509</v>
      </c>
      <c r="EU15" s="235" t="s">
        <v>510</v>
      </c>
    </row>
    <row r="16" s="200" customFormat="1" customHeight="1" spans="1:151">
      <c r="A16" s="267"/>
      <c r="B16" s="218">
        <v>14</v>
      </c>
      <c r="C16" s="241" t="s">
        <v>511</v>
      </c>
      <c r="E16" s="220" t="s">
        <v>405</v>
      </c>
      <c r="J16" s="200" t="s">
        <v>512</v>
      </c>
      <c r="K16" s="207">
        <v>18933654189</v>
      </c>
      <c r="N16" s="207"/>
      <c r="O16" s="200">
        <v>3</v>
      </c>
      <c r="P16" s="200" t="s">
        <v>513</v>
      </c>
      <c r="Q16" s="200" t="s">
        <v>408</v>
      </c>
      <c r="R16" s="200" t="s">
        <v>409</v>
      </c>
      <c r="S16" s="200" t="s">
        <v>409</v>
      </c>
      <c r="V16" s="200" t="s">
        <v>512</v>
      </c>
      <c r="W16" s="207">
        <v>18933654189</v>
      </c>
      <c r="X16" s="200" t="s">
        <v>512</v>
      </c>
      <c r="Y16" s="207">
        <v>18933654189</v>
      </c>
      <c r="Z16" s="218"/>
      <c r="AA16" s="218">
        <v>125</v>
      </c>
      <c r="AB16" s="218">
        <f t="shared" si="18"/>
        <v>48</v>
      </c>
      <c r="AC16" s="218">
        <v>2</v>
      </c>
      <c r="AD16" s="218">
        <v>46</v>
      </c>
      <c r="AE16" s="218">
        <v>0</v>
      </c>
      <c r="AF16" s="218">
        <f t="shared" si="19"/>
        <v>240</v>
      </c>
      <c r="AG16" s="243">
        <v>46084</v>
      </c>
      <c r="AH16" s="244"/>
      <c r="AI16" s="244">
        <v>8</v>
      </c>
      <c r="AJ16" s="244">
        <v>8</v>
      </c>
      <c r="AK16" s="244">
        <v>8</v>
      </c>
      <c r="AL16" s="244"/>
      <c r="AM16" s="244">
        <f t="shared" si="0"/>
        <v>24</v>
      </c>
      <c r="AN16" s="245">
        <f t="shared" si="20"/>
        <v>1.6</v>
      </c>
      <c r="AO16" s="243">
        <v>46094</v>
      </c>
      <c r="AP16" s="268">
        <v>8</v>
      </c>
      <c r="AQ16" s="269">
        <v>12</v>
      </c>
      <c r="AR16" s="269">
        <v>12</v>
      </c>
      <c r="AS16" s="269">
        <v>12</v>
      </c>
      <c r="AT16" s="269"/>
      <c r="AU16" s="244">
        <f t="shared" si="1"/>
        <v>44</v>
      </c>
      <c r="AV16" s="248">
        <f t="shared" si="2"/>
        <v>2.93333333333333</v>
      </c>
      <c r="AW16" s="271">
        <v>46111</v>
      </c>
      <c r="AX16" s="272">
        <v>8</v>
      </c>
      <c r="AY16" s="273">
        <v>12</v>
      </c>
      <c r="AZ16" s="273">
        <v>12</v>
      </c>
      <c r="BA16" s="273">
        <v>12</v>
      </c>
      <c r="BB16" s="273"/>
      <c r="BC16" s="274">
        <f t="shared" si="3"/>
        <v>44</v>
      </c>
      <c r="BD16" s="248">
        <f t="shared" si="4"/>
        <v>2.93333333333333</v>
      </c>
      <c r="BE16" s="271">
        <v>46127</v>
      </c>
      <c r="BF16" s="275"/>
      <c r="BG16" s="254">
        <v>14</v>
      </c>
      <c r="BH16" s="254">
        <v>14</v>
      </c>
      <c r="BI16" s="254">
        <v>14</v>
      </c>
      <c r="BJ16" s="254"/>
      <c r="BK16" s="244">
        <f t="shared" si="5"/>
        <v>42</v>
      </c>
      <c r="BL16" s="248">
        <f t="shared" si="6"/>
        <v>2.8</v>
      </c>
      <c r="BM16" s="246">
        <f t="shared" si="30"/>
        <v>46146.6</v>
      </c>
      <c r="BN16" s="224"/>
      <c r="BO16" s="218"/>
      <c r="BP16" s="218"/>
      <c r="BQ16" s="218"/>
      <c r="BR16" s="218"/>
      <c r="BS16" s="250"/>
      <c r="BT16" s="245">
        <f t="shared" si="7"/>
        <v>0</v>
      </c>
      <c r="BU16" s="249"/>
      <c r="BV16" s="224"/>
      <c r="BW16" s="218"/>
      <c r="BX16" s="218"/>
      <c r="BY16" s="218"/>
      <c r="BZ16" s="218"/>
      <c r="CA16" s="218"/>
      <c r="CB16" s="245">
        <f t="shared" si="8"/>
        <v>0</v>
      </c>
      <c r="CC16" s="246"/>
      <c r="CD16" s="224"/>
      <c r="CE16" s="218"/>
      <c r="CF16" s="218"/>
      <c r="CG16" s="218"/>
      <c r="CH16" s="218"/>
      <c r="CI16" s="218"/>
      <c r="CJ16" s="245">
        <f t="shared" si="9"/>
        <v>0</v>
      </c>
      <c r="CK16" s="249"/>
      <c r="CL16" s="224"/>
      <c r="CM16" s="218"/>
      <c r="CN16" s="218"/>
      <c r="CO16" s="218"/>
      <c r="CP16" s="218"/>
      <c r="CQ16" s="218"/>
      <c r="CR16" s="245">
        <f t="shared" si="10"/>
        <v>0</v>
      </c>
      <c r="CS16" s="218"/>
      <c r="CT16" s="224"/>
      <c r="CU16" s="218"/>
      <c r="CV16" s="218"/>
      <c r="CW16" s="218"/>
      <c r="CX16" s="218"/>
      <c r="CY16" s="218"/>
      <c r="CZ16" s="245">
        <f t="shared" si="11"/>
        <v>0</v>
      </c>
      <c r="DA16" s="218"/>
      <c r="DB16" s="224"/>
      <c r="DC16" s="218"/>
      <c r="DD16" s="218"/>
      <c r="DE16" s="218"/>
      <c r="DF16" s="218"/>
      <c r="DG16" s="218"/>
      <c r="DH16" s="218"/>
      <c r="DI16" s="218"/>
      <c r="DJ16" s="218"/>
      <c r="DK16" s="218"/>
      <c r="DL16" s="218"/>
      <c r="DM16" s="218"/>
      <c r="DN16" s="218"/>
      <c r="DO16" s="218"/>
      <c r="DP16" s="218"/>
      <c r="DQ16" s="227"/>
      <c r="DR16" s="224"/>
      <c r="DS16" s="218"/>
      <c r="DT16" s="218"/>
      <c r="DU16" s="218"/>
      <c r="DV16" s="218"/>
      <c r="DW16" s="218"/>
      <c r="DX16" s="218"/>
      <c r="DY16" s="218"/>
      <c r="DZ16" s="218"/>
      <c r="EA16" s="218"/>
      <c r="EB16" s="218"/>
      <c r="EC16" s="218"/>
      <c r="ED16" s="218"/>
      <c r="EE16" s="218"/>
      <c r="EF16" s="223">
        <f t="shared" ref="EF16:EJ16" si="39">AH16+AP16+AX16+BF16+BN16+BV16+CD16+CL16+CT16+DB16+DJ16+DR16+DZ16</f>
        <v>16</v>
      </c>
      <c r="EG16" s="223">
        <f t="shared" si="39"/>
        <v>46</v>
      </c>
      <c r="EH16" s="223">
        <f t="shared" si="39"/>
        <v>46</v>
      </c>
      <c r="EI16" s="223">
        <f t="shared" si="39"/>
        <v>46</v>
      </c>
      <c r="EJ16" s="223">
        <f t="shared" si="39"/>
        <v>0</v>
      </c>
      <c r="EK16" s="223">
        <f t="shared" si="13"/>
        <v>154</v>
      </c>
      <c r="EL16" s="218">
        <f t="shared" si="14"/>
        <v>4800</v>
      </c>
      <c r="EM16" s="218">
        <f t="shared" si="15"/>
        <v>300</v>
      </c>
      <c r="EN16" s="223">
        <f t="shared" si="16"/>
        <v>154</v>
      </c>
      <c r="EO16" s="226">
        <f t="shared" si="17"/>
        <v>146</v>
      </c>
      <c r="ER16" s="251"/>
      <c r="ES16" s="235" t="s">
        <v>514</v>
      </c>
      <c r="ET16" s="235" t="s">
        <v>515</v>
      </c>
      <c r="EU16" s="235" t="s">
        <v>516</v>
      </c>
    </row>
    <row r="17" s="200" customFormat="1" customHeight="1" spans="1:151">
      <c r="A17" s="276" t="s">
        <v>517</v>
      </c>
      <c r="B17" s="218">
        <v>15</v>
      </c>
      <c r="C17" s="238" t="s">
        <v>262</v>
      </c>
      <c r="D17" s="220" t="s">
        <v>13</v>
      </c>
      <c r="E17" s="220" t="s">
        <v>405</v>
      </c>
      <c r="F17" s="220" t="s">
        <v>120</v>
      </c>
      <c r="G17" s="220" t="s">
        <v>263</v>
      </c>
      <c r="H17" s="220">
        <v>13416511608</v>
      </c>
      <c r="I17" s="220">
        <v>611608</v>
      </c>
      <c r="J17" s="220" t="s">
        <v>264</v>
      </c>
      <c r="K17" s="220">
        <v>13620579152</v>
      </c>
      <c r="L17" s="220">
        <v>669152</v>
      </c>
      <c r="M17" s="239"/>
      <c r="N17" s="221"/>
      <c r="O17" s="221" t="s">
        <v>518</v>
      </c>
      <c r="Q17" s="200" t="s">
        <v>408</v>
      </c>
      <c r="R17" s="200" t="s">
        <v>409</v>
      </c>
      <c r="S17" s="200" t="s">
        <v>409</v>
      </c>
      <c r="V17" s="200" t="s">
        <v>419</v>
      </c>
      <c r="W17" s="207" t="s">
        <v>519</v>
      </c>
      <c r="X17" s="200" t="s">
        <v>419</v>
      </c>
      <c r="Y17" s="207" t="s">
        <v>519</v>
      </c>
      <c r="Z17" s="218"/>
      <c r="AA17" s="218">
        <v>200</v>
      </c>
      <c r="AB17" s="218">
        <f t="shared" si="18"/>
        <v>7</v>
      </c>
      <c r="AC17" s="218">
        <v>1</v>
      </c>
      <c r="AD17" s="218">
        <v>6</v>
      </c>
      <c r="AE17" s="218">
        <v>0</v>
      </c>
      <c r="AF17" s="218">
        <f t="shared" si="19"/>
        <v>35</v>
      </c>
      <c r="AG17" s="243">
        <v>46084</v>
      </c>
      <c r="AH17" s="244">
        <v>2</v>
      </c>
      <c r="AI17" s="244">
        <v>2</v>
      </c>
      <c r="AJ17" s="244">
        <v>2</v>
      </c>
      <c r="AK17" s="244">
        <v>2</v>
      </c>
      <c r="AL17" s="244">
        <v>2</v>
      </c>
      <c r="AM17" s="244">
        <f t="shared" si="0"/>
        <v>10</v>
      </c>
      <c r="AN17" s="245">
        <f t="shared" si="20"/>
        <v>4.57142857142857</v>
      </c>
      <c r="AO17" s="271">
        <v>46113</v>
      </c>
      <c r="AP17" s="274">
        <v>2</v>
      </c>
      <c r="AQ17" s="274">
        <v>2</v>
      </c>
      <c r="AR17" s="274">
        <v>2</v>
      </c>
      <c r="AS17" s="274">
        <v>2</v>
      </c>
      <c r="AT17" s="274">
        <v>2</v>
      </c>
      <c r="AU17" s="274">
        <f t="shared" si="1"/>
        <v>10</v>
      </c>
      <c r="AV17" s="248">
        <f t="shared" si="2"/>
        <v>4.57142857142857</v>
      </c>
      <c r="AW17" s="246">
        <f t="shared" si="28"/>
        <v>46145</v>
      </c>
      <c r="AX17" s="224"/>
      <c r="AY17" s="218"/>
      <c r="AZ17" s="218"/>
      <c r="BA17" s="218"/>
      <c r="BB17" s="218"/>
      <c r="BC17" s="247">
        <f t="shared" si="3"/>
        <v>0</v>
      </c>
      <c r="BD17" s="248">
        <f t="shared" si="4"/>
        <v>0</v>
      </c>
      <c r="BE17" s="246">
        <f t="shared" si="29"/>
        <v>46145</v>
      </c>
      <c r="BF17" s="224"/>
      <c r="BG17" s="218"/>
      <c r="BH17" s="218"/>
      <c r="BI17" s="218"/>
      <c r="BJ17" s="218"/>
      <c r="BK17" s="247">
        <f t="shared" si="5"/>
        <v>0</v>
      </c>
      <c r="BL17" s="248">
        <f t="shared" si="6"/>
        <v>0</v>
      </c>
      <c r="BM17" s="246">
        <f t="shared" si="30"/>
        <v>46145</v>
      </c>
      <c r="BN17" s="224"/>
      <c r="BO17" s="218"/>
      <c r="BP17" s="218"/>
      <c r="BQ17" s="218"/>
      <c r="BR17" s="218"/>
      <c r="BS17" s="250"/>
      <c r="BT17" s="245">
        <f t="shared" si="7"/>
        <v>0</v>
      </c>
      <c r="BU17" s="249"/>
      <c r="BV17" s="224"/>
      <c r="BW17" s="218"/>
      <c r="BX17" s="218"/>
      <c r="BY17" s="218"/>
      <c r="BZ17" s="218"/>
      <c r="CA17" s="218"/>
      <c r="CB17" s="245">
        <f t="shared" si="8"/>
        <v>0</v>
      </c>
      <c r="CC17" s="246"/>
      <c r="CD17" s="224"/>
      <c r="CE17" s="218"/>
      <c r="CF17" s="218"/>
      <c r="CG17" s="218"/>
      <c r="CH17" s="218"/>
      <c r="CI17" s="218"/>
      <c r="CJ17" s="245">
        <f t="shared" si="9"/>
        <v>0</v>
      </c>
      <c r="CK17" s="218"/>
      <c r="CL17" s="224"/>
      <c r="CM17" s="218"/>
      <c r="CN17" s="218"/>
      <c r="CO17" s="218"/>
      <c r="CP17" s="218"/>
      <c r="CQ17" s="218"/>
      <c r="CR17" s="245">
        <f t="shared" si="10"/>
        <v>0</v>
      </c>
      <c r="CS17" s="218"/>
      <c r="CT17" s="224"/>
      <c r="CU17" s="218"/>
      <c r="CV17" s="218"/>
      <c r="CW17" s="218"/>
      <c r="CX17" s="218"/>
      <c r="CY17" s="218"/>
      <c r="CZ17" s="245">
        <f t="shared" si="11"/>
        <v>0</v>
      </c>
      <c r="DA17" s="218"/>
      <c r="DB17" s="224"/>
      <c r="DC17" s="218"/>
      <c r="DD17" s="218"/>
      <c r="DE17" s="218"/>
      <c r="DF17" s="218"/>
      <c r="DG17" s="218"/>
      <c r="DH17" s="218"/>
      <c r="DI17" s="218"/>
      <c r="DJ17" s="218"/>
      <c r="DK17" s="218"/>
      <c r="DL17" s="218"/>
      <c r="DM17" s="218"/>
      <c r="DN17" s="218"/>
      <c r="DO17" s="218"/>
      <c r="DP17" s="218"/>
      <c r="DQ17" s="227"/>
      <c r="DR17" s="224"/>
      <c r="DS17" s="218"/>
      <c r="DT17" s="218"/>
      <c r="DU17" s="218"/>
      <c r="DV17" s="218"/>
      <c r="DW17" s="218"/>
      <c r="DX17" s="218"/>
      <c r="DY17" s="218"/>
      <c r="DZ17" s="218"/>
      <c r="EA17" s="218"/>
      <c r="EB17" s="218"/>
      <c r="EC17" s="218"/>
      <c r="ED17" s="218"/>
      <c r="EE17" s="218"/>
      <c r="EF17" s="223">
        <f t="shared" ref="EF17:EJ17" si="40">AH17+AP17+AX17+BF17+BN17+BV17+CD17+CL17+CT17+DB17+DJ17+DR17+DZ17</f>
        <v>4</v>
      </c>
      <c r="EG17" s="223">
        <f t="shared" si="40"/>
        <v>4</v>
      </c>
      <c r="EH17" s="223">
        <f t="shared" si="40"/>
        <v>4</v>
      </c>
      <c r="EI17" s="223">
        <f t="shared" si="40"/>
        <v>4</v>
      </c>
      <c r="EJ17" s="223">
        <f t="shared" si="40"/>
        <v>4</v>
      </c>
      <c r="EK17" s="223">
        <f t="shared" si="13"/>
        <v>20</v>
      </c>
      <c r="EL17" s="218">
        <f t="shared" si="14"/>
        <v>700</v>
      </c>
      <c r="EM17" s="218">
        <f t="shared" si="15"/>
        <v>43.75</v>
      </c>
      <c r="EN17" s="223">
        <f t="shared" si="16"/>
        <v>20</v>
      </c>
      <c r="EO17" s="226">
        <f t="shared" si="17"/>
        <v>23.75</v>
      </c>
      <c r="ER17" s="251"/>
      <c r="ES17" s="235" t="s">
        <v>520</v>
      </c>
      <c r="ET17" s="235" t="s">
        <v>521</v>
      </c>
      <c r="EU17" s="235" t="s">
        <v>522</v>
      </c>
    </row>
    <row r="18" s="200" customFormat="1" customHeight="1" spans="1:151">
      <c r="A18" s="276"/>
      <c r="B18" s="218">
        <v>16</v>
      </c>
      <c r="C18" s="238" t="s">
        <v>523</v>
      </c>
      <c r="D18" s="220" t="s">
        <v>13</v>
      </c>
      <c r="E18" s="220" t="s">
        <v>405</v>
      </c>
      <c r="F18" s="220" t="s">
        <v>125</v>
      </c>
      <c r="G18" s="221" t="s">
        <v>267</v>
      </c>
      <c r="H18" s="221" t="s">
        <v>268</v>
      </c>
      <c r="I18" s="220">
        <v>619449</v>
      </c>
      <c r="J18" s="221" t="s">
        <v>269</v>
      </c>
      <c r="K18" s="221" t="s">
        <v>270</v>
      </c>
      <c r="L18" s="220">
        <v>628308</v>
      </c>
      <c r="M18" s="239"/>
      <c r="N18" s="221"/>
      <c r="O18" s="221" t="s">
        <v>524</v>
      </c>
      <c r="Q18" s="200" t="s">
        <v>408</v>
      </c>
      <c r="R18" s="200" t="s">
        <v>418</v>
      </c>
      <c r="S18" s="200" t="s">
        <v>418</v>
      </c>
      <c r="V18" s="200" t="s">
        <v>525</v>
      </c>
      <c r="W18" s="207" t="s">
        <v>526</v>
      </c>
      <c r="X18" s="270" t="s">
        <v>527</v>
      </c>
      <c r="Y18" s="221">
        <v>13727194332</v>
      </c>
      <c r="Z18" s="218"/>
      <c r="AA18" s="218">
        <v>200</v>
      </c>
      <c r="AB18" s="218">
        <v>30</v>
      </c>
      <c r="AC18" s="218">
        <v>3</v>
      </c>
      <c r="AD18" s="218">
        <v>27</v>
      </c>
      <c r="AE18" s="218">
        <v>0</v>
      </c>
      <c r="AF18" s="218">
        <f t="shared" si="19"/>
        <v>150</v>
      </c>
      <c r="AG18" s="243">
        <v>46084</v>
      </c>
      <c r="AH18" s="244">
        <v>5</v>
      </c>
      <c r="AI18" s="244">
        <v>8</v>
      </c>
      <c r="AJ18" s="244">
        <v>8</v>
      </c>
      <c r="AK18" s="244">
        <v>8</v>
      </c>
      <c r="AL18" s="244">
        <v>8</v>
      </c>
      <c r="AM18" s="244">
        <f t="shared" si="0"/>
        <v>37</v>
      </c>
      <c r="AN18" s="245">
        <f t="shared" si="20"/>
        <v>3.94666666666667</v>
      </c>
      <c r="AO18" s="252">
        <v>46106</v>
      </c>
      <c r="AP18" s="268">
        <v>5</v>
      </c>
      <c r="AQ18" s="269">
        <v>8</v>
      </c>
      <c r="AR18" s="269">
        <v>8</v>
      </c>
      <c r="AS18" s="269">
        <v>8</v>
      </c>
      <c r="AT18" s="269">
        <v>8</v>
      </c>
      <c r="AU18" s="244">
        <f t="shared" si="1"/>
        <v>37</v>
      </c>
      <c r="AV18" s="248">
        <f t="shared" si="2"/>
        <v>3.94666666666667</v>
      </c>
      <c r="AW18" s="255">
        <f t="shared" si="28"/>
        <v>46133.6266666667</v>
      </c>
      <c r="AX18" s="277">
        <v>5</v>
      </c>
      <c r="AY18" s="278">
        <v>8</v>
      </c>
      <c r="AZ18" s="278">
        <v>8</v>
      </c>
      <c r="BA18" s="278">
        <v>8</v>
      </c>
      <c r="BB18" s="278">
        <v>8</v>
      </c>
      <c r="BC18" s="258">
        <f t="shared" si="3"/>
        <v>37</v>
      </c>
      <c r="BD18" s="248">
        <f t="shared" si="4"/>
        <v>3.94666666666667</v>
      </c>
      <c r="BE18" s="246">
        <f t="shared" si="29"/>
        <v>46161.2533333333</v>
      </c>
      <c r="BF18" s="224"/>
      <c r="BG18" s="218"/>
      <c r="BH18" s="218"/>
      <c r="BI18" s="218"/>
      <c r="BJ18" s="218"/>
      <c r="BK18" s="247">
        <f t="shared" si="5"/>
        <v>0</v>
      </c>
      <c r="BL18" s="248">
        <f t="shared" si="6"/>
        <v>0</v>
      </c>
      <c r="BM18" s="246">
        <f t="shared" si="30"/>
        <v>46161.2533333333</v>
      </c>
      <c r="BN18" s="224"/>
      <c r="BO18" s="218"/>
      <c r="BP18" s="218"/>
      <c r="BQ18" s="218"/>
      <c r="BR18" s="218"/>
      <c r="BS18" s="250"/>
      <c r="BT18" s="245">
        <f t="shared" si="7"/>
        <v>0</v>
      </c>
      <c r="BU18" s="249"/>
      <c r="BV18" s="224"/>
      <c r="BW18" s="218"/>
      <c r="BX18" s="218"/>
      <c r="BY18" s="218"/>
      <c r="BZ18" s="218"/>
      <c r="CA18" s="218"/>
      <c r="CB18" s="245">
        <f t="shared" si="8"/>
        <v>0</v>
      </c>
      <c r="CC18" s="246"/>
      <c r="CD18" s="224"/>
      <c r="CE18" s="218"/>
      <c r="CF18" s="218"/>
      <c r="CG18" s="218"/>
      <c r="CH18" s="218"/>
      <c r="CI18" s="218"/>
      <c r="CJ18" s="245">
        <f t="shared" si="9"/>
        <v>0</v>
      </c>
      <c r="CK18" s="218"/>
      <c r="CL18" s="224"/>
      <c r="CM18" s="218"/>
      <c r="CN18" s="218"/>
      <c r="CO18" s="218"/>
      <c r="CP18" s="218"/>
      <c r="CQ18" s="218"/>
      <c r="CR18" s="245">
        <f t="shared" si="10"/>
        <v>0</v>
      </c>
      <c r="CS18" s="218"/>
      <c r="CT18" s="224"/>
      <c r="CU18" s="218"/>
      <c r="CV18" s="218"/>
      <c r="CW18" s="218"/>
      <c r="CX18" s="218"/>
      <c r="CY18" s="218"/>
      <c r="CZ18" s="245">
        <f t="shared" si="11"/>
        <v>0</v>
      </c>
      <c r="DA18" s="218"/>
      <c r="DB18" s="224"/>
      <c r="DC18" s="218"/>
      <c r="DD18" s="218"/>
      <c r="DE18" s="218"/>
      <c r="DF18" s="218"/>
      <c r="DG18" s="218"/>
      <c r="DH18" s="218"/>
      <c r="DI18" s="218"/>
      <c r="DJ18" s="218"/>
      <c r="DK18" s="218"/>
      <c r="DL18" s="218"/>
      <c r="DM18" s="218"/>
      <c r="DN18" s="218"/>
      <c r="DO18" s="218"/>
      <c r="DP18" s="218"/>
      <c r="DQ18" s="227"/>
      <c r="DR18" s="224"/>
      <c r="DS18" s="218"/>
      <c r="DT18" s="218"/>
      <c r="DU18" s="218"/>
      <c r="DV18" s="218"/>
      <c r="DW18" s="218"/>
      <c r="DX18" s="218"/>
      <c r="DY18" s="218"/>
      <c r="DZ18" s="218"/>
      <c r="EA18" s="218"/>
      <c r="EB18" s="218"/>
      <c r="EC18" s="218"/>
      <c r="ED18" s="218"/>
      <c r="EE18" s="218"/>
      <c r="EF18" s="223">
        <f t="shared" ref="EF18:EJ18" si="41">AH18+AP18+AX18+BF18+BN18+BV18+CD18+CL18+CT18+DB18+DJ18+DR18+DZ18</f>
        <v>15</v>
      </c>
      <c r="EG18" s="223">
        <f t="shared" si="41"/>
        <v>24</v>
      </c>
      <c r="EH18" s="223">
        <f t="shared" si="41"/>
        <v>24</v>
      </c>
      <c r="EI18" s="223">
        <f t="shared" si="41"/>
        <v>24</v>
      </c>
      <c r="EJ18" s="223">
        <f t="shared" si="41"/>
        <v>24</v>
      </c>
      <c r="EK18" s="223">
        <f t="shared" si="13"/>
        <v>111</v>
      </c>
      <c r="EL18" s="218">
        <f t="shared" si="14"/>
        <v>3000</v>
      </c>
      <c r="EM18" s="218">
        <f t="shared" si="15"/>
        <v>187.5</v>
      </c>
      <c r="EN18" s="223">
        <f t="shared" si="16"/>
        <v>111</v>
      </c>
      <c r="EO18" s="226">
        <f t="shared" si="17"/>
        <v>76.5</v>
      </c>
      <c r="ER18" s="251"/>
      <c r="ES18" s="235" t="s">
        <v>528</v>
      </c>
      <c r="ET18" s="235" t="s">
        <v>529</v>
      </c>
      <c r="EU18" s="235" t="s">
        <v>530</v>
      </c>
    </row>
    <row r="19" s="200" customFormat="1" customHeight="1" spans="1:151">
      <c r="A19" s="276"/>
      <c r="B19" s="218">
        <v>17</v>
      </c>
      <c r="C19" s="263" t="s">
        <v>531</v>
      </c>
      <c r="D19" s="220" t="s">
        <v>13</v>
      </c>
      <c r="E19" s="220" t="s">
        <v>405</v>
      </c>
      <c r="F19" s="220" t="s">
        <v>125</v>
      </c>
      <c r="G19" s="221" t="s">
        <v>267</v>
      </c>
      <c r="H19" s="221" t="s">
        <v>268</v>
      </c>
      <c r="I19" s="220">
        <v>619449</v>
      </c>
      <c r="J19" s="221" t="s">
        <v>269</v>
      </c>
      <c r="K19" s="221" t="s">
        <v>270</v>
      </c>
      <c r="L19" s="220">
        <v>628308</v>
      </c>
      <c r="M19" s="239"/>
      <c r="N19" s="221"/>
      <c r="O19" s="221" t="s">
        <v>532</v>
      </c>
      <c r="Q19" s="200" t="s">
        <v>408</v>
      </c>
      <c r="R19" s="200" t="s">
        <v>418</v>
      </c>
      <c r="S19" s="200" t="s">
        <v>418</v>
      </c>
      <c r="V19" s="270" t="s">
        <v>533</v>
      </c>
      <c r="W19" s="221" t="s">
        <v>534</v>
      </c>
      <c r="X19" s="270" t="s">
        <v>533</v>
      </c>
      <c r="Y19" s="221" t="s">
        <v>534</v>
      </c>
      <c r="Z19" s="218"/>
      <c r="AA19" s="218">
        <v>200</v>
      </c>
      <c r="AB19" s="218">
        <f t="shared" si="18"/>
        <v>41</v>
      </c>
      <c r="AC19" s="218">
        <v>9</v>
      </c>
      <c r="AD19" s="218">
        <v>32</v>
      </c>
      <c r="AE19" s="218">
        <v>0</v>
      </c>
      <c r="AF19" s="218">
        <f t="shared" si="19"/>
        <v>205</v>
      </c>
      <c r="AG19" s="243">
        <v>46084</v>
      </c>
      <c r="AH19" s="244">
        <v>5</v>
      </c>
      <c r="AI19" s="244">
        <v>5</v>
      </c>
      <c r="AJ19" s="279">
        <v>5</v>
      </c>
      <c r="AK19" s="279">
        <v>5</v>
      </c>
      <c r="AL19" s="279">
        <v>5</v>
      </c>
      <c r="AM19" s="244">
        <f t="shared" si="0"/>
        <v>25</v>
      </c>
      <c r="AN19" s="245">
        <f t="shared" si="20"/>
        <v>1.95121951219512</v>
      </c>
      <c r="AO19" s="252">
        <v>46097</v>
      </c>
      <c r="AP19" s="268">
        <v>5</v>
      </c>
      <c r="AQ19" s="269">
        <v>8</v>
      </c>
      <c r="AR19" s="269">
        <v>8</v>
      </c>
      <c r="AS19" s="269">
        <v>8</v>
      </c>
      <c r="AT19" s="269">
        <v>8</v>
      </c>
      <c r="AU19" s="244">
        <f t="shared" si="1"/>
        <v>37</v>
      </c>
      <c r="AV19" s="248">
        <f t="shared" si="2"/>
        <v>2.88780487804878</v>
      </c>
      <c r="AW19" s="271">
        <v>46113</v>
      </c>
      <c r="AX19" s="272">
        <v>6</v>
      </c>
      <c r="AY19" s="273">
        <v>9</v>
      </c>
      <c r="AZ19" s="273">
        <v>9</v>
      </c>
      <c r="BA19" s="273">
        <v>9</v>
      </c>
      <c r="BB19" s="273">
        <v>9</v>
      </c>
      <c r="BC19" s="274">
        <f t="shared" si="3"/>
        <v>42</v>
      </c>
      <c r="BD19" s="248">
        <f t="shared" si="4"/>
        <v>3.2780487804878</v>
      </c>
      <c r="BE19" s="255">
        <f t="shared" si="29"/>
        <v>46135.9463414634</v>
      </c>
      <c r="BF19" s="256">
        <v>6</v>
      </c>
      <c r="BG19" s="257">
        <v>9</v>
      </c>
      <c r="BH19" s="257">
        <v>9</v>
      </c>
      <c r="BI19" s="257">
        <v>9</v>
      </c>
      <c r="BJ19" s="257">
        <v>9</v>
      </c>
      <c r="BK19" s="258">
        <f t="shared" si="5"/>
        <v>42</v>
      </c>
      <c r="BL19" s="248">
        <f t="shared" si="6"/>
        <v>3.2780487804878</v>
      </c>
      <c r="BM19" s="246">
        <f t="shared" si="30"/>
        <v>46158.8926829268</v>
      </c>
      <c r="BN19" s="224"/>
      <c r="BO19" s="218"/>
      <c r="BP19" s="218"/>
      <c r="BQ19" s="218"/>
      <c r="BR19" s="218"/>
      <c r="BS19" s="250"/>
      <c r="BT19" s="245">
        <f t="shared" si="7"/>
        <v>0</v>
      </c>
      <c r="BU19" s="249"/>
      <c r="BV19" s="224"/>
      <c r="BW19" s="218"/>
      <c r="BX19" s="218"/>
      <c r="BY19" s="218"/>
      <c r="BZ19" s="218"/>
      <c r="CA19" s="218"/>
      <c r="CB19" s="245">
        <f t="shared" si="8"/>
        <v>0</v>
      </c>
      <c r="CC19" s="249"/>
      <c r="CD19" s="224"/>
      <c r="CE19" s="218"/>
      <c r="CF19" s="218"/>
      <c r="CG19" s="218"/>
      <c r="CH19" s="218"/>
      <c r="CI19" s="218"/>
      <c r="CJ19" s="245">
        <f t="shared" si="9"/>
        <v>0</v>
      </c>
      <c r="CK19" s="218"/>
      <c r="CL19" s="224"/>
      <c r="CM19" s="218"/>
      <c r="CN19" s="218"/>
      <c r="CO19" s="218"/>
      <c r="CP19" s="218"/>
      <c r="CQ19" s="218"/>
      <c r="CR19" s="245">
        <f t="shared" si="10"/>
        <v>0</v>
      </c>
      <c r="CS19" s="218"/>
      <c r="CT19" s="224"/>
      <c r="CU19" s="218"/>
      <c r="CV19" s="218"/>
      <c r="CW19" s="218"/>
      <c r="CX19" s="218"/>
      <c r="CY19" s="218"/>
      <c r="CZ19" s="245">
        <f t="shared" si="11"/>
        <v>0</v>
      </c>
      <c r="DA19" s="218"/>
      <c r="DB19" s="224"/>
      <c r="DC19" s="218"/>
      <c r="DD19" s="218"/>
      <c r="DE19" s="218"/>
      <c r="DF19" s="218"/>
      <c r="DG19" s="218"/>
      <c r="DH19" s="218"/>
      <c r="DI19" s="218"/>
      <c r="DJ19" s="218"/>
      <c r="DK19" s="218"/>
      <c r="DL19" s="218"/>
      <c r="DM19" s="218"/>
      <c r="DN19" s="218"/>
      <c r="DO19" s="218"/>
      <c r="DP19" s="218"/>
      <c r="DQ19" s="227"/>
      <c r="DR19" s="224"/>
      <c r="DS19" s="218"/>
      <c r="DT19" s="218"/>
      <c r="DU19" s="218"/>
      <c r="DV19" s="218"/>
      <c r="DW19" s="218"/>
      <c r="DX19" s="218"/>
      <c r="DY19" s="218"/>
      <c r="DZ19" s="218"/>
      <c r="EA19" s="218"/>
      <c r="EB19" s="218"/>
      <c r="EC19" s="218"/>
      <c r="ED19" s="218"/>
      <c r="EE19" s="218"/>
      <c r="EF19" s="223">
        <f t="shared" ref="EF19:EJ19" si="42">AH19+AP19+AX19+BF19+BN19+BV19+CD19+CL19+CT19+DB19+DJ19+DR19+DZ19</f>
        <v>22</v>
      </c>
      <c r="EG19" s="223">
        <f t="shared" si="42"/>
        <v>31</v>
      </c>
      <c r="EH19" s="223">
        <f t="shared" si="42"/>
        <v>31</v>
      </c>
      <c r="EI19" s="223">
        <f t="shared" si="42"/>
        <v>31</v>
      </c>
      <c r="EJ19" s="223">
        <f t="shared" si="42"/>
        <v>31</v>
      </c>
      <c r="EK19" s="223">
        <f t="shared" si="13"/>
        <v>146</v>
      </c>
      <c r="EL19" s="218">
        <f t="shared" si="14"/>
        <v>4100</v>
      </c>
      <c r="EM19" s="218">
        <f t="shared" si="15"/>
        <v>256.25</v>
      </c>
      <c r="EN19" s="223">
        <f t="shared" si="16"/>
        <v>146</v>
      </c>
      <c r="EO19" s="226">
        <f t="shared" si="17"/>
        <v>110.25</v>
      </c>
      <c r="ER19" s="251"/>
      <c r="ES19" s="235" t="s">
        <v>535</v>
      </c>
      <c r="ET19" s="235" t="s">
        <v>536</v>
      </c>
      <c r="EU19" s="235" t="s">
        <v>537</v>
      </c>
    </row>
    <row r="20" s="201" customFormat="1" customHeight="1" spans="1:151">
      <c r="A20" s="276"/>
      <c r="B20" s="218">
        <v>18</v>
      </c>
      <c r="C20" s="280" t="s">
        <v>538</v>
      </c>
      <c r="D20" s="200"/>
      <c r="E20" s="200"/>
      <c r="F20" s="200"/>
      <c r="G20" s="200"/>
      <c r="H20" s="200"/>
      <c r="I20" s="200"/>
      <c r="J20" s="200" t="s">
        <v>539</v>
      </c>
      <c r="K20" s="207" t="s">
        <v>540</v>
      </c>
      <c r="L20" s="200"/>
      <c r="M20" s="200"/>
      <c r="N20" s="207"/>
      <c r="O20" s="207"/>
      <c r="P20" s="200"/>
      <c r="Q20" s="200"/>
      <c r="R20" s="200" t="s">
        <v>409</v>
      </c>
      <c r="S20" s="200" t="s">
        <v>409</v>
      </c>
      <c r="T20" s="200"/>
      <c r="U20" s="200"/>
      <c r="V20" s="200"/>
      <c r="W20" s="207"/>
      <c r="X20" s="200" t="s">
        <v>541</v>
      </c>
      <c r="Y20" s="207" t="s">
        <v>542</v>
      </c>
      <c r="AA20" s="218">
        <v>125</v>
      </c>
      <c r="AB20" s="218">
        <f t="shared" si="18"/>
        <v>13</v>
      </c>
      <c r="AC20" s="218">
        <v>4</v>
      </c>
      <c r="AD20" s="218">
        <v>9</v>
      </c>
      <c r="AE20" s="218">
        <v>2</v>
      </c>
      <c r="AF20" s="218">
        <f t="shared" si="19"/>
        <v>65</v>
      </c>
      <c r="AG20" s="243">
        <v>46084</v>
      </c>
      <c r="AH20" s="244">
        <v>3</v>
      </c>
      <c r="AI20" s="244">
        <v>2</v>
      </c>
      <c r="AJ20" s="244">
        <v>2</v>
      </c>
      <c r="AK20" s="244">
        <v>2</v>
      </c>
      <c r="AL20" s="244"/>
      <c r="AM20" s="244">
        <f t="shared" si="0"/>
        <v>9</v>
      </c>
      <c r="AN20" s="245">
        <f t="shared" si="20"/>
        <v>2.21538461538462</v>
      </c>
      <c r="AO20" s="243">
        <v>46097</v>
      </c>
      <c r="AP20" s="268"/>
      <c r="AQ20" s="269">
        <v>4</v>
      </c>
      <c r="AR20" s="269">
        <v>4</v>
      </c>
      <c r="AS20" s="269">
        <v>4</v>
      </c>
      <c r="AT20" s="269"/>
      <c r="AU20" s="244">
        <f t="shared" si="1"/>
        <v>12</v>
      </c>
      <c r="AV20" s="248">
        <f t="shared" si="2"/>
        <v>2.95384615384615</v>
      </c>
      <c r="AW20" s="271">
        <v>46113</v>
      </c>
      <c r="AX20" s="281">
        <v>3</v>
      </c>
      <c r="AY20" s="282">
        <v>3</v>
      </c>
      <c r="AZ20" s="281">
        <v>3</v>
      </c>
      <c r="BA20" s="281">
        <v>3</v>
      </c>
      <c r="BB20" s="282"/>
      <c r="BC20" s="274">
        <f t="shared" si="3"/>
        <v>12</v>
      </c>
      <c r="BD20" s="248">
        <f t="shared" si="4"/>
        <v>2.95384615384615</v>
      </c>
      <c r="BE20" s="255">
        <f t="shared" si="29"/>
        <v>46133.6769230769</v>
      </c>
      <c r="BF20" s="256">
        <v>3</v>
      </c>
      <c r="BG20" s="257">
        <v>3</v>
      </c>
      <c r="BH20" s="257">
        <v>3</v>
      </c>
      <c r="BI20" s="257">
        <v>3</v>
      </c>
      <c r="BJ20" s="257"/>
      <c r="BK20" s="258">
        <f t="shared" si="5"/>
        <v>12</v>
      </c>
      <c r="BL20" s="248">
        <f t="shared" si="6"/>
        <v>2.95384615384615</v>
      </c>
      <c r="BM20" s="246">
        <f t="shared" si="30"/>
        <v>46154.3538461538</v>
      </c>
      <c r="BN20" s="224"/>
      <c r="BO20" s="218"/>
      <c r="BP20" s="218"/>
      <c r="BQ20" s="218"/>
      <c r="BR20" s="218"/>
      <c r="BS20" s="250"/>
      <c r="BT20" s="245">
        <f t="shared" si="7"/>
        <v>0</v>
      </c>
      <c r="BU20" s="249"/>
      <c r="BV20" s="224"/>
      <c r="BW20" s="218"/>
      <c r="BX20" s="218"/>
      <c r="BY20" s="218"/>
      <c r="BZ20" s="218"/>
      <c r="CA20" s="218"/>
      <c r="CB20" s="245">
        <f t="shared" si="8"/>
        <v>0</v>
      </c>
      <c r="CC20" s="249"/>
      <c r="CD20" s="224"/>
      <c r="CE20" s="218"/>
      <c r="CF20" s="218"/>
      <c r="CG20" s="218"/>
      <c r="CH20" s="218"/>
      <c r="CI20" s="218"/>
      <c r="CJ20" s="245">
        <f t="shared" si="9"/>
        <v>0</v>
      </c>
      <c r="CK20" s="246"/>
      <c r="CL20" s="224"/>
      <c r="CM20" s="218"/>
      <c r="CN20" s="218"/>
      <c r="CO20" s="218"/>
      <c r="CP20" s="218"/>
      <c r="CQ20" s="218"/>
      <c r="CR20" s="245">
        <f t="shared" si="10"/>
        <v>0</v>
      </c>
      <c r="CS20" s="218"/>
      <c r="CT20" s="224"/>
      <c r="CU20" s="218"/>
      <c r="CV20" s="218"/>
      <c r="CW20" s="218"/>
      <c r="CX20" s="218"/>
      <c r="CY20" s="218"/>
      <c r="CZ20" s="245">
        <f t="shared" si="11"/>
        <v>0</v>
      </c>
      <c r="DA20" s="218"/>
      <c r="DB20" s="224"/>
      <c r="DC20" s="218"/>
      <c r="DD20" s="218"/>
      <c r="DE20" s="218"/>
      <c r="DF20" s="218"/>
      <c r="DG20" s="218"/>
      <c r="DH20" s="218"/>
      <c r="DI20" s="218"/>
      <c r="DJ20" s="218"/>
      <c r="DK20" s="218"/>
      <c r="DL20" s="218"/>
      <c r="DM20" s="218"/>
      <c r="DN20" s="218"/>
      <c r="DO20" s="218"/>
      <c r="DP20" s="218"/>
      <c r="DQ20" s="227"/>
      <c r="DR20" s="224"/>
      <c r="DS20" s="218"/>
      <c r="DT20" s="218"/>
      <c r="DU20" s="218"/>
      <c r="DV20" s="218"/>
      <c r="DW20" s="218"/>
      <c r="DX20" s="218"/>
      <c r="DY20" s="218"/>
      <c r="DZ20" s="218"/>
      <c r="EA20" s="218"/>
      <c r="EB20" s="218"/>
      <c r="EC20" s="218"/>
      <c r="ED20" s="218"/>
      <c r="EE20" s="218"/>
      <c r="EF20" s="223">
        <f t="shared" ref="EF20:EJ20" si="43">AH20+AP20+AX20+BF20+BN20+BV20+CD20+CL20+CT20+DB20+DJ20+DR20+DZ20</f>
        <v>9</v>
      </c>
      <c r="EG20" s="223">
        <f t="shared" si="43"/>
        <v>12</v>
      </c>
      <c r="EH20" s="223">
        <f t="shared" si="43"/>
        <v>12</v>
      </c>
      <c r="EI20" s="223">
        <f t="shared" si="43"/>
        <v>12</v>
      </c>
      <c r="EJ20" s="223">
        <f t="shared" si="43"/>
        <v>0</v>
      </c>
      <c r="EK20" s="223">
        <f t="shared" si="13"/>
        <v>45</v>
      </c>
      <c r="EL20" s="218">
        <f t="shared" si="14"/>
        <v>1300</v>
      </c>
      <c r="EM20" s="218">
        <f t="shared" si="15"/>
        <v>81.25</v>
      </c>
      <c r="EN20" s="223">
        <f t="shared" si="16"/>
        <v>45</v>
      </c>
      <c r="EO20" s="226">
        <f t="shared" si="17"/>
        <v>36.25</v>
      </c>
      <c r="ER20" s="266"/>
      <c r="ES20" s="235" t="s">
        <v>543</v>
      </c>
      <c r="ET20" s="235" t="s">
        <v>544</v>
      </c>
      <c r="EU20" s="235" t="s">
        <v>545</v>
      </c>
    </row>
    <row r="21" s="200" customFormat="1" customHeight="1" spans="1:151">
      <c r="A21" s="276"/>
      <c r="B21" s="218">
        <v>19</v>
      </c>
      <c r="C21" s="280" t="s">
        <v>546</v>
      </c>
      <c r="D21" s="220" t="s">
        <v>492</v>
      </c>
      <c r="E21" s="220" t="s">
        <v>405</v>
      </c>
      <c r="F21" s="220"/>
      <c r="G21" s="220"/>
      <c r="H21" s="239"/>
      <c r="I21" s="239"/>
      <c r="J21" s="220" t="s">
        <v>547</v>
      </c>
      <c r="K21" s="221" t="s">
        <v>548</v>
      </c>
      <c r="L21" s="239"/>
      <c r="M21" s="239"/>
      <c r="N21" s="221"/>
      <c r="O21" s="221"/>
      <c r="R21" s="200" t="s">
        <v>409</v>
      </c>
      <c r="S21" s="200" t="s">
        <v>409</v>
      </c>
      <c r="V21" s="220" t="s">
        <v>547</v>
      </c>
      <c r="W21" s="221" t="s">
        <v>548</v>
      </c>
      <c r="X21" s="220" t="s">
        <v>547</v>
      </c>
      <c r="Y21" s="221" t="s">
        <v>548</v>
      </c>
      <c r="Z21" s="218"/>
      <c r="AA21" s="218">
        <v>125</v>
      </c>
      <c r="AB21" s="218">
        <f t="shared" si="18"/>
        <v>20</v>
      </c>
      <c r="AC21" s="218">
        <v>5</v>
      </c>
      <c r="AD21" s="218">
        <v>15</v>
      </c>
      <c r="AE21" s="218">
        <v>3</v>
      </c>
      <c r="AF21" s="218">
        <f t="shared" si="19"/>
        <v>100</v>
      </c>
      <c r="AG21" s="243">
        <v>46084</v>
      </c>
      <c r="AH21" s="244">
        <v>3</v>
      </c>
      <c r="AI21" s="244">
        <v>3</v>
      </c>
      <c r="AJ21" s="244">
        <v>3</v>
      </c>
      <c r="AK21" s="244">
        <v>3</v>
      </c>
      <c r="AL21" s="244"/>
      <c r="AM21" s="244">
        <f t="shared" si="0"/>
        <v>12</v>
      </c>
      <c r="AN21" s="283">
        <f t="shared" si="20"/>
        <v>1.92</v>
      </c>
      <c r="AO21" s="243">
        <v>46097</v>
      </c>
      <c r="AP21" s="268">
        <v>3</v>
      </c>
      <c r="AQ21" s="269">
        <v>5</v>
      </c>
      <c r="AR21" s="269">
        <v>5</v>
      </c>
      <c r="AS21" s="269">
        <v>5</v>
      </c>
      <c r="AT21" s="269"/>
      <c r="AU21" s="244">
        <f t="shared" si="1"/>
        <v>18</v>
      </c>
      <c r="AV21" s="248">
        <f t="shared" si="2"/>
        <v>2.88</v>
      </c>
      <c r="AW21" s="271">
        <v>46113</v>
      </c>
      <c r="AX21" s="272">
        <v>4</v>
      </c>
      <c r="AY21" s="273">
        <v>5</v>
      </c>
      <c r="AZ21" s="273">
        <v>5</v>
      </c>
      <c r="BA21" s="273">
        <v>5</v>
      </c>
      <c r="BB21" s="273"/>
      <c r="BC21" s="274">
        <f t="shared" si="3"/>
        <v>19</v>
      </c>
      <c r="BD21" s="248">
        <f t="shared" si="4"/>
        <v>3.04</v>
      </c>
      <c r="BE21" s="255">
        <f t="shared" si="29"/>
        <v>46134.28</v>
      </c>
      <c r="BF21" s="256">
        <v>4</v>
      </c>
      <c r="BG21" s="257">
        <v>5</v>
      </c>
      <c r="BH21" s="257">
        <v>5</v>
      </c>
      <c r="BI21" s="257">
        <v>5</v>
      </c>
      <c r="BJ21" s="257"/>
      <c r="BK21" s="258">
        <f t="shared" si="5"/>
        <v>19</v>
      </c>
      <c r="BL21" s="248">
        <f t="shared" si="6"/>
        <v>3.04</v>
      </c>
      <c r="BM21" s="246">
        <f t="shared" si="30"/>
        <v>46155.56</v>
      </c>
      <c r="BN21" s="224"/>
      <c r="BO21" s="218"/>
      <c r="BP21" s="218"/>
      <c r="BQ21" s="218"/>
      <c r="BR21" s="218"/>
      <c r="BS21" s="250"/>
      <c r="BT21" s="245">
        <f t="shared" si="7"/>
        <v>0</v>
      </c>
      <c r="BU21" s="249"/>
      <c r="BV21" s="224"/>
      <c r="BW21" s="218"/>
      <c r="BX21" s="218"/>
      <c r="BY21" s="218"/>
      <c r="BZ21" s="218"/>
      <c r="CA21" s="218"/>
      <c r="CB21" s="245">
        <f t="shared" si="8"/>
        <v>0</v>
      </c>
      <c r="CC21" s="249"/>
      <c r="CD21" s="224"/>
      <c r="CE21" s="218"/>
      <c r="CF21" s="218"/>
      <c r="CG21" s="218"/>
      <c r="CH21" s="218"/>
      <c r="CI21" s="218"/>
      <c r="CJ21" s="245">
        <f t="shared" si="9"/>
        <v>0</v>
      </c>
      <c r="CK21" s="249"/>
      <c r="CL21" s="224"/>
      <c r="CM21" s="218"/>
      <c r="CN21" s="218"/>
      <c r="CO21" s="218"/>
      <c r="CP21" s="218"/>
      <c r="CQ21" s="218"/>
      <c r="CR21" s="245">
        <f t="shared" si="10"/>
        <v>0</v>
      </c>
      <c r="CS21" s="249"/>
      <c r="CT21" s="224"/>
      <c r="CU21" s="218"/>
      <c r="CV21" s="218"/>
      <c r="CW21" s="218"/>
      <c r="CX21" s="218"/>
      <c r="CY21" s="218"/>
      <c r="CZ21" s="245">
        <f t="shared" si="11"/>
        <v>0</v>
      </c>
      <c r="DA21" s="246"/>
      <c r="DB21" s="224"/>
      <c r="DC21" s="218"/>
      <c r="DD21" s="218"/>
      <c r="DE21" s="218"/>
      <c r="DF21" s="218"/>
      <c r="DG21" s="218"/>
      <c r="DH21" s="245"/>
      <c r="DI21" s="218"/>
      <c r="DJ21" s="218"/>
      <c r="DK21" s="218"/>
      <c r="DL21" s="218"/>
      <c r="DM21" s="218"/>
      <c r="DN21" s="218"/>
      <c r="DO21" s="218"/>
      <c r="DP21" s="218"/>
      <c r="DQ21" s="227"/>
      <c r="DR21" s="224"/>
      <c r="DS21" s="218"/>
      <c r="DT21" s="218"/>
      <c r="DU21" s="218"/>
      <c r="DV21" s="218"/>
      <c r="DW21" s="218"/>
      <c r="DX21" s="218"/>
      <c r="DY21" s="218"/>
      <c r="DZ21" s="218"/>
      <c r="EA21" s="218"/>
      <c r="EB21" s="218"/>
      <c r="EC21" s="218"/>
      <c r="ED21" s="218"/>
      <c r="EE21" s="218"/>
      <c r="EF21" s="223">
        <f t="shared" ref="EF21:EJ21" si="44">AH21+AP21+AX21+BF21+BN21+BV21+CD21+CL21+CT21+DB21+DJ21+DR21+DZ21</f>
        <v>14</v>
      </c>
      <c r="EG21" s="223">
        <f t="shared" si="44"/>
        <v>18</v>
      </c>
      <c r="EH21" s="223">
        <f t="shared" si="44"/>
        <v>18</v>
      </c>
      <c r="EI21" s="223">
        <f t="shared" si="44"/>
        <v>18</v>
      </c>
      <c r="EJ21" s="223">
        <f t="shared" si="44"/>
        <v>0</v>
      </c>
      <c r="EK21" s="223">
        <f t="shared" si="13"/>
        <v>68</v>
      </c>
      <c r="EL21" s="218">
        <f t="shared" si="14"/>
        <v>2000</v>
      </c>
      <c r="EM21" s="218">
        <f t="shared" si="15"/>
        <v>125</v>
      </c>
      <c r="EN21" s="223">
        <f t="shared" si="16"/>
        <v>68</v>
      </c>
      <c r="EO21" s="226">
        <f t="shared" si="17"/>
        <v>57</v>
      </c>
      <c r="ER21" s="251"/>
      <c r="ES21" s="235" t="s">
        <v>549</v>
      </c>
      <c r="ET21" s="235" t="s">
        <v>550</v>
      </c>
      <c r="EU21" s="235" t="s">
        <v>551</v>
      </c>
    </row>
    <row r="22" s="200" customFormat="1" ht="20" customHeight="1" spans="1:151">
      <c r="A22" s="276"/>
      <c r="B22" s="218">
        <v>20</v>
      </c>
      <c r="C22" s="263" t="s">
        <v>552</v>
      </c>
      <c r="D22" s="220" t="s">
        <v>492</v>
      </c>
      <c r="E22" s="220" t="s">
        <v>405</v>
      </c>
      <c r="F22" s="220"/>
      <c r="G22" s="220"/>
      <c r="H22" s="239"/>
      <c r="I22" s="239"/>
      <c r="J22" s="220" t="s">
        <v>553</v>
      </c>
      <c r="K22" s="221" t="s">
        <v>554</v>
      </c>
      <c r="L22" s="239"/>
      <c r="M22" s="239" t="s">
        <v>555</v>
      </c>
      <c r="N22" s="221" t="s">
        <v>556</v>
      </c>
      <c r="O22" s="221"/>
      <c r="Q22" s="200" t="s">
        <v>408</v>
      </c>
      <c r="R22" s="200" t="s">
        <v>409</v>
      </c>
      <c r="S22" s="200" t="s">
        <v>409</v>
      </c>
      <c r="W22" s="207"/>
      <c r="X22" s="200" t="s">
        <v>557</v>
      </c>
      <c r="Y22" s="207" t="s">
        <v>558</v>
      </c>
      <c r="Z22" s="224"/>
      <c r="AA22" s="218">
        <v>125</v>
      </c>
      <c r="AB22" s="218">
        <f t="shared" si="18"/>
        <v>76</v>
      </c>
      <c r="AC22" s="218">
        <v>1</v>
      </c>
      <c r="AD22" s="218">
        <v>75</v>
      </c>
      <c r="AE22" s="218">
        <v>11</v>
      </c>
      <c r="AF22" s="218">
        <f t="shared" si="19"/>
        <v>380</v>
      </c>
      <c r="AG22" s="243">
        <v>46084</v>
      </c>
      <c r="AH22" s="244">
        <v>8</v>
      </c>
      <c r="AI22" s="244">
        <v>10</v>
      </c>
      <c r="AJ22" s="244">
        <v>10</v>
      </c>
      <c r="AK22" s="244">
        <v>10</v>
      </c>
      <c r="AL22" s="244"/>
      <c r="AM22" s="244">
        <f t="shared" si="0"/>
        <v>38</v>
      </c>
      <c r="AN22" s="245">
        <f t="shared" si="20"/>
        <v>1.6</v>
      </c>
      <c r="AO22" s="243">
        <v>46097</v>
      </c>
      <c r="AP22" s="268">
        <v>10</v>
      </c>
      <c r="AQ22" s="269">
        <v>15</v>
      </c>
      <c r="AR22" s="269">
        <v>15</v>
      </c>
      <c r="AS22" s="269">
        <v>15</v>
      </c>
      <c r="AT22" s="269"/>
      <c r="AU22" s="244">
        <f t="shared" si="1"/>
        <v>55</v>
      </c>
      <c r="AV22" s="248">
        <f t="shared" si="2"/>
        <v>2.31578947368421</v>
      </c>
      <c r="AW22" s="252">
        <v>46107</v>
      </c>
      <c r="AX22" s="268">
        <v>12</v>
      </c>
      <c r="AY22" s="269">
        <v>15</v>
      </c>
      <c r="AZ22" s="269">
        <v>15</v>
      </c>
      <c r="BA22" s="269">
        <v>15</v>
      </c>
      <c r="BB22" s="269"/>
      <c r="BC22" s="244">
        <f t="shared" si="3"/>
        <v>57</v>
      </c>
      <c r="BD22" s="248">
        <f t="shared" si="4"/>
        <v>2.4</v>
      </c>
      <c r="BE22" s="271">
        <v>46120</v>
      </c>
      <c r="BF22" s="253">
        <v>10</v>
      </c>
      <c r="BG22" s="254">
        <v>15</v>
      </c>
      <c r="BH22" s="254">
        <v>15</v>
      </c>
      <c r="BI22" s="254">
        <v>15</v>
      </c>
      <c r="BJ22" s="269"/>
      <c r="BK22" s="244">
        <f t="shared" si="5"/>
        <v>55</v>
      </c>
      <c r="BL22" s="248">
        <f t="shared" si="6"/>
        <v>2.31578947368421</v>
      </c>
      <c r="BM22" s="246">
        <f t="shared" si="30"/>
        <v>46136.2105263158</v>
      </c>
      <c r="BN22" s="224"/>
      <c r="BO22" s="218"/>
      <c r="BP22" s="218"/>
      <c r="BQ22" s="218"/>
      <c r="BR22" s="218"/>
      <c r="BS22" s="250"/>
      <c r="BT22" s="245">
        <f t="shared" si="7"/>
        <v>0</v>
      </c>
      <c r="BU22" s="249"/>
      <c r="BV22" s="224"/>
      <c r="BW22" s="218"/>
      <c r="BX22" s="218"/>
      <c r="BY22" s="218"/>
      <c r="BZ22" s="218"/>
      <c r="CA22" s="218"/>
      <c r="CB22" s="245">
        <f t="shared" si="8"/>
        <v>0</v>
      </c>
      <c r="CC22" s="249"/>
      <c r="CD22" s="224"/>
      <c r="CE22" s="218"/>
      <c r="CF22" s="218"/>
      <c r="CG22" s="218"/>
      <c r="CH22" s="218"/>
      <c r="CI22" s="218"/>
      <c r="CJ22" s="245">
        <f t="shared" si="9"/>
        <v>0</v>
      </c>
      <c r="CK22" s="249"/>
      <c r="CL22" s="224"/>
      <c r="CM22" s="218"/>
      <c r="CN22" s="218"/>
      <c r="CO22" s="218"/>
      <c r="CP22" s="218"/>
      <c r="CQ22" s="218"/>
      <c r="CR22" s="245">
        <f t="shared" si="10"/>
        <v>0</v>
      </c>
      <c r="CS22" s="249"/>
      <c r="CT22" s="224"/>
      <c r="CU22" s="218"/>
      <c r="CV22" s="218"/>
      <c r="CW22" s="218"/>
      <c r="CX22" s="218"/>
      <c r="CY22" s="218"/>
      <c r="CZ22" s="245">
        <f t="shared" si="11"/>
        <v>0</v>
      </c>
      <c r="DA22" s="246"/>
      <c r="DB22" s="224"/>
      <c r="DC22" s="218"/>
      <c r="DD22" s="218"/>
      <c r="DE22" s="218"/>
      <c r="DF22" s="218"/>
      <c r="DG22" s="218"/>
      <c r="DH22" s="218"/>
      <c r="DI22" s="218"/>
      <c r="DJ22" s="218"/>
      <c r="DK22" s="218"/>
      <c r="DL22" s="218"/>
      <c r="DM22" s="218"/>
      <c r="DN22" s="218"/>
      <c r="DO22" s="218"/>
      <c r="DP22" s="218"/>
      <c r="DQ22" s="227"/>
      <c r="DR22" s="224"/>
      <c r="DS22" s="218"/>
      <c r="DT22" s="218"/>
      <c r="DU22" s="218"/>
      <c r="DV22" s="218"/>
      <c r="DW22" s="218"/>
      <c r="DX22" s="218"/>
      <c r="DY22" s="218"/>
      <c r="DZ22" s="218"/>
      <c r="EA22" s="218"/>
      <c r="EB22" s="218"/>
      <c r="EC22" s="218"/>
      <c r="ED22" s="218"/>
      <c r="EE22" s="218"/>
      <c r="EF22" s="223">
        <f t="shared" ref="EF22:EJ22" si="45">AH22+AP22+AX22+BF22+BN22+BV22+CD22+CL22+CT22+DB22+DJ22+DR22+DZ22</f>
        <v>40</v>
      </c>
      <c r="EG22" s="223">
        <f t="shared" si="45"/>
        <v>55</v>
      </c>
      <c r="EH22" s="223">
        <f t="shared" si="45"/>
        <v>55</v>
      </c>
      <c r="EI22" s="223">
        <f t="shared" si="45"/>
        <v>55</v>
      </c>
      <c r="EJ22" s="223">
        <f t="shared" si="45"/>
        <v>0</v>
      </c>
      <c r="EK22" s="223">
        <f t="shared" si="13"/>
        <v>205</v>
      </c>
      <c r="EL22" s="218">
        <f t="shared" si="14"/>
        <v>7600</v>
      </c>
      <c r="EM22" s="218">
        <f t="shared" si="15"/>
        <v>475</v>
      </c>
      <c r="EN22" s="223">
        <f t="shared" si="16"/>
        <v>205</v>
      </c>
      <c r="EO22" s="226">
        <f t="shared" si="17"/>
        <v>270</v>
      </c>
      <c r="ER22" s="251"/>
      <c r="ES22" s="235" t="s">
        <v>559</v>
      </c>
      <c r="ET22" s="235" t="s">
        <v>560</v>
      </c>
      <c r="EU22" s="235" t="s">
        <v>561</v>
      </c>
    </row>
    <row r="23" s="200" customFormat="1" customHeight="1" spans="1:151">
      <c r="A23" s="276"/>
      <c r="B23" s="218">
        <v>22</v>
      </c>
      <c r="C23" s="280" t="s">
        <v>562</v>
      </c>
      <c r="D23" s="220" t="s">
        <v>492</v>
      </c>
      <c r="E23" s="220" t="s">
        <v>405</v>
      </c>
      <c r="F23" s="220"/>
      <c r="G23" s="220"/>
      <c r="H23" s="239"/>
      <c r="I23" s="239"/>
      <c r="J23" s="220" t="s">
        <v>563</v>
      </c>
      <c r="K23" s="239">
        <v>13727134423</v>
      </c>
      <c r="L23" s="239"/>
      <c r="M23" s="239"/>
      <c r="N23" s="221"/>
      <c r="O23" s="221"/>
      <c r="P23" s="200" t="s">
        <v>564</v>
      </c>
      <c r="Q23" s="200" t="s">
        <v>408</v>
      </c>
      <c r="R23" s="200" t="s">
        <v>409</v>
      </c>
      <c r="S23" s="200" t="s">
        <v>409</v>
      </c>
      <c r="W23" s="207"/>
      <c r="X23" s="200" t="s">
        <v>563</v>
      </c>
      <c r="Y23" s="207" t="s">
        <v>565</v>
      </c>
      <c r="Z23" s="224"/>
      <c r="AA23" s="218">
        <v>125</v>
      </c>
      <c r="AB23" s="218">
        <f t="shared" si="18"/>
        <v>46</v>
      </c>
      <c r="AC23" s="218">
        <v>1</v>
      </c>
      <c r="AD23" s="218">
        <v>45</v>
      </c>
      <c r="AE23" s="218">
        <v>0</v>
      </c>
      <c r="AF23" s="218">
        <f t="shared" si="19"/>
        <v>230</v>
      </c>
      <c r="AG23" s="243">
        <v>46084</v>
      </c>
      <c r="AH23" s="244">
        <v>5</v>
      </c>
      <c r="AI23" s="244">
        <v>5</v>
      </c>
      <c r="AJ23" s="244">
        <v>5</v>
      </c>
      <c r="AK23" s="244">
        <v>5</v>
      </c>
      <c r="AL23" s="244"/>
      <c r="AM23" s="244">
        <f t="shared" si="0"/>
        <v>20</v>
      </c>
      <c r="AN23" s="245">
        <f t="shared" si="20"/>
        <v>1.39130434782609</v>
      </c>
      <c r="AO23" s="243">
        <v>46093</v>
      </c>
      <c r="AP23" s="268">
        <v>8</v>
      </c>
      <c r="AQ23" s="269">
        <v>11</v>
      </c>
      <c r="AR23" s="269">
        <v>11</v>
      </c>
      <c r="AS23" s="269">
        <v>11</v>
      </c>
      <c r="AT23" s="269"/>
      <c r="AU23" s="244">
        <f t="shared" si="1"/>
        <v>41</v>
      </c>
      <c r="AV23" s="248">
        <f t="shared" si="2"/>
        <v>2.85217391304348</v>
      </c>
      <c r="AW23" s="271">
        <v>46113</v>
      </c>
      <c r="AX23" s="272">
        <v>8</v>
      </c>
      <c r="AY23" s="273">
        <v>12</v>
      </c>
      <c r="AZ23" s="273">
        <v>12</v>
      </c>
      <c r="BA23" s="273">
        <v>12</v>
      </c>
      <c r="BB23" s="273"/>
      <c r="BC23" s="274">
        <f t="shared" si="3"/>
        <v>44</v>
      </c>
      <c r="BD23" s="248">
        <f t="shared" si="4"/>
        <v>3.06086956521739</v>
      </c>
      <c r="BE23" s="255">
        <f t="shared" si="29"/>
        <v>46134.4260869565</v>
      </c>
      <c r="BF23" s="256">
        <v>8</v>
      </c>
      <c r="BG23" s="257">
        <v>12</v>
      </c>
      <c r="BH23" s="257">
        <v>12</v>
      </c>
      <c r="BI23" s="257">
        <v>12</v>
      </c>
      <c r="BJ23" s="257"/>
      <c r="BK23" s="258">
        <f t="shared" si="5"/>
        <v>44</v>
      </c>
      <c r="BL23" s="248">
        <f t="shared" si="6"/>
        <v>3.06086956521739</v>
      </c>
      <c r="BM23" s="246">
        <f t="shared" si="30"/>
        <v>46155.852173913</v>
      </c>
      <c r="BN23" s="224"/>
      <c r="BO23" s="218"/>
      <c r="BP23" s="218"/>
      <c r="BQ23" s="218"/>
      <c r="BR23" s="218"/>
      <c r="BS23" s="250"/>
      <c r="BT23" s="245">
        <f t="shared" si="7"/>
        <v>0</v>
      </c>
      <c r="BU23" s="249"/>
      <c r="BV23" s="224"/>
      <c r="BW23" s="218"/>
      <c r="BX23" s="218"/>
      <c r="BY23" s="218"/>
      <c r="BZ23" s="218"/>
      <c r="CA23" s="218"/>
      <c r="CB23" s="245">
        <f t="shared" si="8"/>
        <v>0</v>
      </c>
      <c r="CC23" s="249"/>
      <c r="CD23" s="224"/>
      <c r="CE23" s="218"/>
      <c r="CF23" s="218"/>
      <c r="CG23" s="218"/>
      <c r="CH23" s="218"/>
      <c r="CI23" s="218"/>
      <c r="CJ23" s="245">
        <f t="shared" si="9"/>
        <v>0</v>
      </c>
      <c r="CK23" s="246"/>
      <c r="CL23" s="224"/>
      <c r="CM23" s="218"/>
      <c r="CN23" s="218"/>
      <c r="CO23" s="218"/>
      <c r="CP23" s="218"/>
      <c r="CQ23" s="218"/>
      <c r="CR23" s="245">
        <f t="shared" si="10"/>
        <v>0</v>
      </c>
      <c r="CS23" s="246"/>
      <c r="CT23" s="224"/>
      <c r="CU23" s="218"/>
      <c r="CV23" s="218"/>
      <c r="CW23" s="218"/>
      <c r="CX23" s="218"/>
      <c r="CY23" s="218"/>
      <c r="CZ23" s="245">
        <f t="shared" si="11"/>
        <v>0</v>
      </c>
      <c r="DA23" s="218"/>
      <c r="DB23" s="224"/>
      <c r="DC23" s="218"/>
      <c r="DD23" s="218"/>
      <c r="DE23" s="218"/>
      <c r="DF23" s="218"/>
      <c r="DG23" s="218"/>
      <c r="DH23" s="218"/>
      <c r="DI23" s="218"/>
      <c r="DJ23" s="218"/>
      <c r="DK23" s="218"/>
      <c r="DL23" s="218"/>
      <c r="DM23" s="218"/>
      <c r="DN23" s="218"/>
      <c r="DO23" s="218"/>
      <c r="DP23" s="218"/>
      <c r="DQ23" s="227"/>
      <c r="DR23" s="224"/>
      <c r="DS23" s="218"/>
      <c r="DT23" s="218"/>
      <c r="DU23" s="218"/>
      <c r="DV23" s="218"/>
      <c r="DW23" s="218"/>
      <c r="DX23" s="218"/>
      <c r="DY23" s="218"/>
      <c r="DZ23" s="218"/>
      <c r="EA23" s="218"/>
      <c r="EB23" s="218"/>
      <c r="EC23" s="218"/>
      <c r="ED23" s="218"/>
      <c r="EE23" s="218"/>
      <c r="EF23" s="223">
        <f t="shared" ref="EF23:EJ23" si="46">AH23+AP23+AX23+BF23+BN23+BV23+CD23+CL23+CT23+DB23+DJ23+DR23+DZ23</f>
        <v>29</v>
      </c>
      <c r="EG23" s="223">
        <f t="shared" si="46"/>
        <v>40</v>
      </c>
      <c r="EH23" s="223">
        <f t="shared" si="46"/>
        <v>40</v>
      </c>
      <c r="EI23" s="223">
        <f t="shared" si="46"/>
        <v>40</v>
      </c>
      <c r="EJ23" s="223">
        <f t="shared" si="46"/>
        <v>0</v>
      </c>
      <c r="EK23" s="223">
        <f t="shared" si="13"/>
        <v>149</v>
      </c>
      <c r="EL23" s="218">
        <f t="shared" si="14"/>
        <v>4600</v>
      </c>
      <c r="EM23" s="218">
        <f t="shared" si="15"/>
        <v>287.5</v>
      </c>
      <c r="EN23" s="223">
        <f t="shared" si="16"/>
        <v>149</v>
      </c>
      <c r="EO23" s="226">
        <f t="shared" si="17"/>
        <v>138.5</v>
      </c>
      <c r="ER23" s="251"/>
      <c r="ES23" s="235" t="s">
        <v>566</v>
      </c>
      <c r="ET23" s="235" t="s">
        <v>567</v>
      </c>
      <c r="EU23" s="235" t="s">
        <v>568</v>
      </c>
    </row>
    <row r="24" s="200" customFormat="1" customHeight="1" spans="1:151">
      <c r="A24" s="276"/>
      <c r="B24" s="218">
        <v>23</v>
      </c>
      <c r="C24" s="280" t="s">
        <v>569</v>
      </c>
      <c r="D24" s="220" t="s">
        <v>492</v>
      </c>
      <c r="E24" s="220" t="s">
        <v>405</v>
      </c>
      <c r="F24" s="220"/>
      <c r="G24" s="220"/>
      <c r="H24" s="239"/>
      <c r="I24" s="239"/>
      <c r="J24" s="200" t="s">
        <v>570</v>
      </c>
      <c r="K24" s="207">
        <v>13450546912</v>
      </c>
      <c r="L24" s="239"/>
      <c r="M24" s="239"/>
      <c r="N24" s="221"/>
      <c r="O24" s="221"/>
      <c r="Q24" s="200" t="s">
        <v>408</v>
      </c>
      <c r="R24" s="200" t="s">
        <v>409</v>
      </c>
      <c r="S24" s="200" t="s">
        <v>409</v>
      </c>
      <c r="V24" s="200" t="s">
        <v>570</v>
      </c>
      <c r="W24" s="207">
        <v>13450546912</v>
      </c>
      <c r="X24" s="200" t="s">
        <v>570</v>
      </c>
      <c r="Y24" s="207">
        <v>13450546912</v>
      </c>
      <c r="Z24" s="218"/>
      <c r="AA24" s="218">
        <v>125</v>
      </c>
      <c r="AB24" s="242">
        <f t="shared" si="18"/>
        <v>0</v>
      </c>
      <c r="AC24" s="218" t="s">
        <v>409</v>
      </c>
      <c r="AD24" s="218"/>
      <c r="AE24" s="218"/>
      <c r="AF24" s="218">
        <f t="shared" si="19"/>
        <v>0</v>
      </c>
      <c r="AG24" s="265"/>
      <c r="AH24" s="247"/>
      <c r="AI24" s="247"/>
      <c r="AJ24" s="247"/>
      <c r="AK24" s="247"/>
      <c r="AL24" s="247"/>
      <c r="AM24" s="247">
        <f t="shared" si="0"/>
        <v>0</v>
      </c>
      <c r="AN24" s="245" t="e">
        <f t="shared" si="20"/>
        <v>#DIV/0!</v>
      </c>
      <c r="AO24" s="246"/>
      <c r="AP24" s="224"/>
      <c r="AQ24" s="218"/>
      <c r="AR24" s="218"/>
      <c r="AS24" s="218"/>
      <c r="AT24" s="218"/>
      <c r="AU24" s="247">
        <f t="shared" si="1"/>
        <v>0</v>
      </c>
      <c r="AV24" s="248" t="e">
        <f t="shared" si="2"/>
        <v>#DIV/0!</v>
      </c>
      <c r="AW24" s="249"/>
      <c r="AX24" s="224"/>
      <c r="AY24" s="218"/>
      <c r="AZ24" s="218"/>
      <c r="BA24" s="218"/>
      <c r="BB24" s="218"/>
      <c r="BC24" s="247">
        <f t="shared" si="3"/>
        <v>0</v>
      </c>
      <c r="BD24" s="248" t="e">
        <f t="shared" si="4"/>
        <v>#DIV/0!</v>
      </c>
      <c r="BE24" s="218"/>
      <c r="BF24" s="224"/>
      <c r="BG24" s="218"/>
      <c r="BH24" s="218"/>
      <c r="BI24" s="218"/>
      <c r="BJ24" s="218"/>
      <c r="BK24" s="247">
        <f t="shared" si="5"/>
        <v>0</v>
      </c>
      <c r="BL24" s="248" t="e">
        <f t="shared" si="6"/>
        <v>#DIV/0!</v>
      </c>
      <c r="BM24" s="227"/>
      <c r="BN24" s="224"/>
      <c r="BO24" s="218"/>
      <c r="BP24" s="218"/>
      <c r="BQ24" s="218"/>
      <c r="BR24" s="218"/>
      <c r="BS24" s="250"/>
      <c r="BT24" s="245" t="e">
        <f t="shared" si="7"/>
        <v>#DIV/0!</v>
      </c>
      <c r="BU24" s="218"/>
      <c r="BV24" s="224"/>
      <c r="BW24" s="218"/>
      <c r="BX24" s="218"/>
      <c r="BY24" s="218"/>
      <c r="BZ24" s="218"/>
      <c r="CA24" s="218"/>
      <c r="CB24" s="245" t="e">
        <f t="shared" si="8"/>
        <v>#DIV/0!</v>
      </c>
      <c r="CC24" s="218"/>
      <c r="CD24" s="224"/>
      <c r="CE24" s="218"/>
      <c r="CF24" s="218"/>
      <c r="CG24" s="218"/>
      <c r="CH24" s="218"/>
      <c r="CI24" s="218"/>
      <c r="CJ24" s="245" t="e">
        <f t="shared" si="9"/>
        <v>#DIV/0!</v>
      </c>
      <c r="CK24" s="218"/>
      <c r="CL24" s="224"/>
      <c r="CM24" s="218"/>
      <c r="CN24" s="218"/>
      <c r="CO24" s="218"/>
      <c r="CP24" s="218"/>
      <c r="CQ24" s="218"/>
      <c r="CR24" s="245" t="e">
        <f t="shared" si="10"/>
        <v>#DIV/0!</v>
      </c>
      <c r="CS24" s="218"/>
      <c r="CT24" s="224"/>
      <c r="CU24" s="218"/>
      <c r="CV24" s="218"/>
      <c r="CW24" s="218"/>
      <c r="CX24" s="218"/>
      <c r="CY24" s="218"/>
      <c r="CZ24" s="245" t="e">
        <f t="shared" si="11"/>
        <v>#DIV/0!</v>
      </c>
      <c r="DA24" s="218"/>
      <c r="DB24" s="224"/>
      <c r="DC24" s="218"/>
      <c r="DD24" s="218"/>
      <c r="DE24" s="218"/>
      <c r="DF24" s="218"/>
      <c r="DG24" s="218"/>
      <c r="DH24" s="218"/>
      <c r="DI24" s="218"/>
      <c r="DJ24" s="218"/>
      <c r="DK24" s="218"/>
      <c r="DL24" s="218"/>
      <c r="DM24" s="218"/>
      <c r="DN24" s="218"/>
      <c r="DO24" s="218"/>
      <c r="DP24" s="218"/>
      <c r="DQ24" s="227"/>
      <c r="DR24" s="224"/>
      <c r="DS24" s="218"/>
      <c r="DT24" s="218"/>
      <c r="DU24" s="218"/>
      <c r="DV24" s="218"/>
      <c r="DW24" s="218"/>
      <c r="DX24" s="218"/>
      <c r="DY24" s="218"/>
      <c r="DZ24" s="218"/>
      <c r="EA24" s="218"/>
      <c r="EB24" s="218"/>
      <c r="EC24" s="218"/>
      <c r="ED24" s="218"/>
      <c r="EE24" s="218"/>
      <c r="EF24" s="223">
        <f t="shared" ref="EF24:EJ24" si="47">AH24+AP24+AX24+BF24+BN24+BV24+CD24+CL24+CT24+DB24+DJ24+DR24+DZ24</f>
        <v>0</v>
      </c>
      <c r="EG24" s="223">
        <f t="shared" si="47"/>
        <v>0</v>
      </c>
      <c r="EH24" s="223">
        <f t="shared" si="47"/>
        <v>0</v>
      </c>
      <c r="EI24" s="223">
        <f t="shared" si="47"/>
        <v>0</v>
      </c>
      <c r="EJ24" s="223">
        <f t="shared" si="47"/>
        <v>0</v>
      </c>
      <c r="EK24" s="223">
        <f t="shared" si="13"/>
        <v>0</v>
      </c>
      <c r="EL24" s="218">
        <f t="shared" si="14"/>
        <v>0</v>
      </c>
      <c r="EM24" s="218">
        <f t="shared" si="15"/>
        <v>0</v>
      </c>
      <c r="EN24" s="223">
        <f t="shared" si="16"/>
        <v>0</v>
      </c>
      <c r="EO24" s="226">
        <f t="shared" si="17"/>
        <v>0</v>
      </c>
      <c r="ER24" s="251"/>
      <c r="ES24" s="235" t="s">
        <v>571</v>
      </c>
      <c r="ET24" s="235" t="s">
        <v>572</v>
      </c>
      <c r="EU24" s="235" t="s">
        <v>573</v>
      </c>
    </row>
    <row r="25" s="200" customFormat="1" customHeight="1" spans="1:151">
      <c r="A25" s="276"/>
      <c r="B25" s="218">
        <v>24</v>
      </c>
      <c r="C25" s="263" t="s">
        <v>272</v>
      </c>
      <c r="D25" s="220" t="s">
        <v>13</v>
      </c>
      <c r="E25" s="220" t="s">
        <v>405</v>
      </c>
      <c r="F25" s="220" t="s">
        <v>167</v>
      </c>
      <c r="G25" s="220" t="s">
        <v>273</v>
      </c>
      <c r="H25" s="220">
        <v>13729644466</v>
      </c>
      <c r="I25" s="220">
        <v>664466</v>
      </c>
      <c r="J25" s="221" t="s">
        <v>274</v>
      </c>
      <c r="K25" s="221" t="s">
        <v>275</v>
      </c>
      <c r="L25" s="220">
        <v>658840</v>
      </c>
      <c r="M25" s="239"/>
      <c r="N25" s="221"/>
      <c r="O25" s="221" t="s">
        <v>574</v>
      </c>
      <c r="Q25" s="200" t="s">
        <v>408</v>
      </c>
      <c r="R25" s="200" t="s">
        <v>409</v>
      </c>
      <c r="S25" s="200" t="s">
        <v>409</v>
      </c>
      <c r="W25" s="207"/>
      <c r="X25" s="270" t="s">
        <v>575</v>
      </c>
      <c r="Y25" s="221">
        <v>13553971539</v>
      </c>
      <c r="Z25" s="218"/>
      <c r="AA25" s="218">
        <v>200</v>
      </c>
      <c r="AB25" s="218">
        <v>58</v>
      </c>
      <c r="AC25" s="218">
        <v>10</v>
      </c>
      <c r="AD25" s="218">
        <v>49</v>
      </c>
      <c r="AE25" s="218">
        <v>0</v>
      </c>
      <c r="AF25" s="218">
        <f t="shared" si="19"/>
        <v>290</v>
      </c>
      <c r="AG25" s="243">
        <v>46084</v>
      </c>
      <c r="AH25" s="244">
        <v>12</v>
      </c>
      <c r="AI25" s="244">
        <v>12</v>
      </c>
      <c r="AJ25" s="244">
        <v>12</v>
      </c>
      <c r="AK25" s="244">
        <v>12</v>
      </c>
      <c r="AL25" s="244">
        <v>12</v>
      </c>
      <c r="AM25" s="244">
        <f t="shared" si="0"/>
        <v>60</v>
      </c>
      <c r="AN25" s="245">
        <f t="shared" si="20"/>
        <v>3.31034482758621</v>
      </c>
      <c r="AO25" s="243">
        <v>46093</v>
      </c>
      <c r="AP25" s="268">
        <v>8</v>
      </c>
      <c r="AQ25" s="269">
        <v>8</v>
      </c>
      <c r="AR25" s="269">
        <v>8</v>
      </c>
      <c r="AS25" s="269">
        <v>8</v>
      </c>
      <c r="AT25" s="269">
        <v>8</v>
      </c>
      <c r="AU25" s="244">
        <f t="shared" si="1"/>
        <v>40</v>
      </c>
      <c r="AV25" s="248">
        <f t="shared" si="2"/>
        <v>2.20689655172414</v>
      </c>
      <c r="AW25" s="271">
        <v>46113</v>
      </c>
      <c r="AX25" s="272">
        <v>12</v>
      </c>
      <c r="AY25" s="272">
        <v>12</v>
      </c>
      <c r="AZ25" s="272">
        <v>12</v>
      </c>
      <c r="BA25" s="272">
        <v>12</v>
      </c>
      <c r="BB25" s="272">
        <v>12</v>
      </c>
      <c r="BC25" s="274">
        <f t="shared" si="3"/>
        <v>60</v>
      </c>
      <c r="BD25" s="248">
        <f t="shared" si="4"/>
        <v>3.31034482758621</v>
      </c>
      <c r="BE25" s="246">
        <f t="shared" ref="BE25:BE33" si="48">AW25+BD25*7</f>
        <v>46136.1724137931</v>
      </c>
      <c r="BF25" s="224"/>
      <c r="BG25" s="218"/>
      <c r="BH25" s="218"/>
      <c r="BI25" s="218"/>
      <c r="BJ25" s="218"/>
      <c r="BK25" s="247">
        <f t="shared" si="5"/>
        <v>0</v>
      </c>
      <c r="BL25" s="248">
        <f t="shared" si="6"/>
        <v>0</v>
      </c>
      <c r="BM25" s="246">
        <f t="shared" ref="BM25:BM27" si="49">BE25+BL25*7</f>
        <v>46136.1724137931</v>
      </c>
      <c r="BN25" s="224"/>
      <c r="BO25" s="218"/>
      <c r="BP25" s="218"/>
      <c r="BQ25" s="218"/>
      <c r="BR25" s="218"/>
      <c r="BS25" s="250"/>
      <c r="BT25" s="245">
        <f t="shared" si="7"/>
        <v>0</v>
      </c>
      <c r="BU25" s="246"/>
      <c r="BV25" s="224"/>
      <c r="BW25" s="218"/>
      <c r="BX25" s="218"/>
      <c r="BY25" s="218"/>
      <c r="BZ25" s="218"/>
      <c r="CA25" s="218"/>
      <c r="CB25" s="245">
        <f t="shared" si="8"/>
        <v>0</v>
      </c>
      <c r="CC25" s="249"/>
      <c r="CD25" s="224"/>
      <c r="CE25" s="218"/>
      <c r="CF25" s="218"/>
      <c r="CG25" s="218"/>
      <c r="CH25" s="218"/>
      <c r="CI25" s="218"/>
      <c r="CJ25" s="245">
        <f t="shared" si="9"/>
        <v>0</v>
      </c>
      <c r="CK25" s="218"/>
      <c r="CL25" s="224"/>
      <c r="CM25" s="218"/>
      <c r="CN25" s="218"/>
      <c r="CO25" s="218"/>
      <c r="CP25" s="218"/>
      <c r="CQ25" s="218"/>
      <c r="CR25" s="245">
        <f t="shared" si="10"/>
        <v>0</v>
      </c>
      <c r="CS25" s="218"/>
      <c r="CT25" s="224"/>
      <c r="CU25" s="218"/>
      <c r="CV25" s="218"/>
      <c r="CW25" s="218"/>
      <c r="CX25" s="218"/>
      <c r="CY25" s="218"/>
      <c r="CZ25" s="245">
        <f t="shared" si="11"/>
        <v>0</v>
      </c>
      <c r="DA25" s="218"/>
      <c r="DB25" s="224"/>
      <c r="DC25" s="218"/>
      <c r="DD25" s="218"/>
      <c r="DE25" s="218"/>
      <c r="DF25" s="218"/>
      <c r="DG25" s="218"/>
      <c r="DH25" s="218"/>
      <c r="DI25" s="218"/>
      <c r="DJ25" s="218"/>
      <c r="DK25" s="218"/>
      <c r="DL25" s="218"/>
      <c r="DM25" s="218"/>
      <c r="DN25" s="218"/>
      <c r="DO25" s="218"/>
      <c r="DP25" s="218"/>
      <c r="DQ25" s="227"/>
      <c r="DR25" s="224"/>
      <c r="DS25" s="218"/>
      <c r="DT25" s="218"/>
      <c r="DU25" s="218"/>
      <c r="DV25" s="218"/>
      <c r="DW25" s="218"/>
      <c r="DX25" s="218"/>
      <c r="DY25" s="218"/>
      <c r="DZ25" s="218"/>
      <c r="EA25" s="218"/>
      <c r="EB25" s="218"/>
      <c r="EC25" s="218"/>
      <c r="ED25" s="218"/>
      <c r="EE25" s="218"/>
      <c r="EF25" s="223">
        <f t="shared" ref="EF25:EJ25" si="50">AH25+AP25+AX25+BF25+BN25+BV25+CD25+CL25+CT25+DB25+DJ25+DR25+DZ25</f>
        <v>32</v>
      </c>
      <c r="EG25" s="223">
        <f t="shared" si="50"/>
        <v>32</v>
      </c>
      <c r="EH25" s="223">
        <f t="shared" si="50"/>
        <v>32</v>
      </c>
      <c r="EI25" s="223">
        <f t="shared" si="50"/>
        <v>32</v>
      </c>
      <c r="EJ25" s="223">
        <f t="shared" si="50"/>
        <v>32</v>
      </c>
      <c r="EK25" s="223">
        <f t="shared" si="13"/>
        <v>160</v>
      </c>
      <c r="EL25" s="218">
        <f t="shared" si="14"/>
        <v>5800</v>
      </c>
      <c r="EM25" s="218">
        <f t="shared" si="15"/>
        <v>362.5</v>
      </c>
      <c r="EN25" s="223">
        <f t="shared" si="16"/>
        <v>160</v>
      </c>
      <c r="EO25" s="226">
        <f t="shared" si="17"/>
        <v>202.5</v>
      </c>
      <c r="ER25" s="251"/>
      <c r="ES25" s="235" t="s">
        <v>576</v>
      </c>
      <c r="ET25" s="235" t="s">
        <v>577</v>
      </c>
      <c r="EU25" s="235" t="s">
        <v>578</v>
      </c>
    </row>
    <row r="26" s="200" customFormat="1" ht="20" customHeight="1" spans="1:151">
      <c r="A26" s="276"/>
      <c r="B26" s="218">
        <v>25</v>
      </c>
      <c r="C26" s="263" t="s">
        <v>579</v>
      </c>
      <c r="D26" s="220"/>
      <c r="E26" s="220"/>
      <c r="F26" s="220" t="s">
        <v>167</v>
      </c>
      <c r="G26" s="220" t="s">
        <v>273</v>
      </c>
      <c r="H26" s="220">
        <v>13729644466</v>
      </c>
      <c r="I26" s="220">
        <v>664466</v>
      </c>
      <c r="J26" s="221" t="s">
        <v>274</v>
      </c>
      <c r="K26" s="221" t="s">
        <v>275</v>
      </c>
      <c r="L26" s="220">
        <v>658840</v>
      </c>
      <c r="M26" s="239"/>
      <c r="N26" s="221"/>
      <c r="O26" s="221"/>
      <c r="W26" s="207"/>
      <c r="X26" s="270"/>
      <c r="Y26" s="221"/>
      <c r="Z26" s="218"/>
      <c r="AA26" s="218">
        <v>200</v>
      </c>
      <c r="AB26" s="218">
        <f t="shared" si="18"/>
        <v>1</v>
      </c>
      <c r="AC26" s="218">
        <v>0</v>
      </c>
      <c r="AD26" s="218">
        <v>1</v>
      </c>
      <c r="AE26" s="218">
        <v>0</v>
      </c>
      <c r="AF26" s="218">
        <f t="shared" si="19"/>
        <v>5</v>
      </c>
      <c r="AG26" s="243">
        <v>46084</v>
      </c>
      <c r="AH26" s="244">
        <v>1</v>
      </c>
      <c r="AI26" s="244">
        <v>1</v>
      </c>
      <c r="AJ26" s="244">
        <v>0</v>
      </c>
      <c r="AK26" s="244">
        <v>0</v>
      </c>
      <c r="AL26" s="244">
        <v>0</v>
      </c>
      <c r="AM26" s="244">
        <f t="shared" si="0"/>
        <v>2</v>
      </c>
      <c r="AN26" s="245">
        <f t="shared" si="20"/>
        <v>6.4</v>
      </c>
      <c r="AO26" s="255">
        <f>AG26+AN26*7</f>
        <v>46128.8</v>
      </c>
      <c r="AP26" s="284"/>
      <c r="AQ26" s="284">
        <v>1</v>
      </c>
      <c r="AR26" s="284"/>
      <c r="AS26" s="284">
        <v>1</v>
      </c>
      <c r="AT26" s="284"/>
      <c r="AU26" s="285">
        <f>SUBTOTAL(9,AP26:AT26)</f>
        <v>2</v>
      </c>
      <c r="AV26" s="248">
        <f t="shared" si="2"/>
        <v>6.4</v>
      </c>
      <c r="AW26" s="246">
        <f>AO26+AV26*7</f>
        <v>46173.6</v>
      </c>
      <c r="AX26" s="286"/>
      <c r="AY26" s="250"/>
      <c r="AZ26" s="250"/>
      <c r="BA26" s="250"/>
      <c r="BB26" s="250"/>
      <c r="BC26" s="247">
        <f t="shared" si="3"/>
        <v>0</v>
      </c>
      <c r="BD26" s="248">
        <f t="shared" si="4"/>
        <v>0</v>
      </c>
      <c r="BE26" s="246">
        <f t="shared" si="48"/>
        <v>46173.6</v>
      </c>
      <c r="BF26" s="224"/>
      <c r="BG26" s="218"/>
      <c r="BH26" s="218"/>
      <c r="BI26" s="218"/>
      <c r="BJ26" s="218"/>
      <c r="BK26" s="247">
        <f t="shared" ref="BK26:BK34" si="51">BF26+BG26+BH26+BI26+BJ26</f>
        <v>0</v>
      </c>
      <c r="BL26" s="248">
        <f t="shared" si="6"/>
        <v>0</v>
      </c>
      <c r="BM26" s="246">
        <f t="shared" si="49"/>
        <v>46173.6</v>
      </c>
      <c r="BN26" s="224"/>
      <c r="BO26" s="218"/>
      <c r="BP26" s="218"/>
      <c r="BQ26" s="218"/>
      <c r="BR26" s="218"/>
      <c r="BS26" s="250"/>
      <c r="BT26" s="245">
        <f t="shared" si="7"/>
        <v>0</v>
      </c>
      <c r="BU26" s="249"/>
      <c r="BV26" s="224"/>
      <c r="BW26" s="218"/>
      <c r="BX26" s="218"/>
      <c r="BY26" s="218"/>
      <c r="BZ26" s="218"/>
      <c r="CA26" s="218"/>
      <c r="CB26" s="245">
        <f t="shared" si="8"/>
        <v>0</v>
      </c>
      <c r="CC26" s="249"/>
      <c r="CD26" s="224"/>
      <c r="CE26" s="218"/>
      <c r="CF26" s="218"/>
      <c r="CG26" s="218"/>
      <c r="CH26" s="218"/>
      <c r="CI26" s="218"/>
      <c r="CJ26" s="245">
        <f t="shared" si="9"/>
        <v>0</v>
      </c>
      <c r="CK26" s="218"/>
      <c r="CL26" s="224"/>
      <c r="CM26" s="218"/>
      <c r="CN26" s="218"/>
      <c r="CO26" s="218"/>
      <c r="CP26" s="218"/>
      <c r="CQ26" s="218"/>
      <c r="CR26" s="245">
        <f t="shared" si="10"/>
        <v>0</v>
      </c>
      <c r="CS26" s="218"/>
      <c r="CT26" s="224"/>
      <c r="CU26" s="218"/>
      <c r="CV26" s="218"/>
      <c r="CW26" s="218"/>
      <c r="CX26" s="218"/>
      <c r="CY26" s="218"/>
      <c r="CZ26" s="245">
        <f t="shared" si="11"/>
        <v>0</v>
      </c>
      <c r="DA26" s="218"/>
      <c r="DB26" s="224"/>
      <c r="DC26" s="218"/>
      <c r="DD26" s="218"/>
      <c r="DE26" s="218"/>
      <c r="DF26" s="218"/>
      <c r="DG26" s="218"/>
      <c r="DH26" s="218"/>
      <c r="DI26" s="218"/>
      <c r="DJ26" s="218"/>
      <c r="DK26" s="218"/>
      <c r="DL26" s="218"/>
      <c r="DM26" s="218"/>
      <c r="DN26" s="218"/>
      <c r="DO26" s="218"/>
      <c r="DP26" s="218"/>
      <c r="DQ26" s="227"/>
      <c r="DR26" s="224"/>
      <c r="DS26" s="218"/>
      <c r="DT26" s="218"/>
      <c r="DU26" s="218"/>
      <c r="DV26" s="218"/>
      <c r="DW26" s="218"/>
      <c r="DX26" s="218"/>
      <c r="DY26" s="218"/>
      <c r="DZ26" s="218"/>
      <c r="EA26" s="218"/>
      <c r="EB26" s="218"/>
      <c r="EC26" s="218"/>
      <c r="ED26" s="218"/>
      <c r="EE26" s="218"/>
      <c r="EF26" s="223">
        <f t="shared" ref="EF26:EJ26" si="52">AH26+AP26+AX26+BF26+BN26+BV26+CD26+CL26+CT26+DB26+DJ26+DR26+DZ26</f>
        <v>1</v>
      </c>
      <c r="EG26" s="223">
        <f t="shared" si="52"/>
        <v>2</v>
      </c>
      <c r="EH26" s="223">
        <f t="shared" si="52"/>
        <v>0</v>
      </c>
      <c r="EI26" s="223">
        <f t="shared" si="52"/>
        <v>1</v>
      </c>
      <c r="EJ26" s="223">
        <f t="shared" si="52"/>
        <v>0</v>
      </c>
      <c r="EK26" s="223">
        <f t="shared" si="13"/>
        <v>4</v>
      </c>
      <c r="EL26" s="218">
        <f t="shared" si="14"/>
        <v>100</v>
      </c>
      <c r="EM26" s="218">
        <f t="shared" si="15"/>
        <v>6.25</v>
      </c>
      <c r="EN26" s="223">
        <f t="shared" si="16"/>
        <v>4</v>
      </c>
      <c r="EO26" s="226">
        <f t="shared" si="17"/>
        <v>2.25</v>
      </c>
      <c r="ER26" s="251"/>
      <c r="ES26" s="235" t="s">
        <v>580</v>
      </c>
      <c r="ET26" s="235" t="s">
        <v>581</v>
      </c>
      <c r="EU26" s="235" t="s">
        <v>582</v>
      </c>
    </row>
    <row r="27" s="200" customFormat="1" customHeight="1" spans="1:151">
      <c r="A27" s="276"/>
      <c r="B27" s="218">
        <v>26</v>
      </c>
      <c r="C27" s="263" t="s">
        <v>583</v>
      </c>
      <c r="D27" s="220" t="s">
        <v>13</v>
      </c>
      <c r="E27" s="220" t="s">
        <v>405</v>
      </c>
      <c r="F27" s="220" t="s">
        <v>167</v>
      </c>
      <c r="G27" s="221" t="s">
        <v>278</v>
      </c>
      <c r="H27" s="221" t="s">
        <v>279</v>
      </c>
      <c r="I27" s="220">
        <v>684927</v>
      </c>
      <c r="J27" s="221" t="s">
        <v>278</v>
      </c>
      <c r="K27" s="221" t="s">
        <v>279</v>
      </c>
      <c r="L27" s="220">
        <v>684927</v>
      </c>
      <c r="M27" s="239"/>
      <c r="N27" s="221"/>
      <c r="O27" s="221" t="s">
        <v>574</v>
      </c>
      <c r="Q27" s="200" t="s">
        <v>408</v>
      </c>
      <c r="R27" s="200" t="s">
        <v>409</v>
      </c>
      <c r="S27" s="200" t="s">
        <v>409</v>
      </c>
      <c r="W27" s="207"/>
      <c r="X27" s="270" t="s">
        <v>584</v>
      </c>
      <c r="Y27" s="221">
        <v>13824913009</v>
      </c>
      <c r="Z27" s="218"/>
      <c r="AA27" s="218">
        <v>200</v>
      </c>
      <c r="AB27" s="218">
        <f t="shared" si="18"/>
        <v>26</v>
      </c>
      <c r="AC27" s="218">
        <v>2</v>
      </c>
      <c r="AD27" s="218">
        <v>24</v>
      </c>
      <c r="AE27" s="218">
        <v>0</v>
      </c>
      <c r="AF27" s="218">
        <f t="shared" si="19"/>
        <v>130</v>
      </c>
      <c r="AG27" s="243">
        <v>46090</v>
      </c>
      <c r="AH27" s="244">
        <v>5</v>
      </c>
      <c r="AI27" s="244">
        <v>5</v>
      </c>
      <c r="AJ27" s="244">
        <v>5</v>
      </c>
      <c r="AK27" s="244">
        <v>5</v>
      </c>
      <c r="AL27" s="244">
        <v>5</v>
      </c>
      <c r="AM27" s="244">
        <f t="shared" si="0"/>
        <v>25</v>
      </c>
      <c r="AN27" s="245">
        <f t="shared" si="20"/>
        <v>3.07692307692308</v>
      </c>
      <c r="AO27" s="243">
        <v>46103</v>
      </c>
      <c r="AP27" s="268">
        <v>3</v>
      </c>
      <c r="AQ27" s="269">
        <v>6</v>
      </c>
      <c r="AR27" s="269">
        <v>6</v>
      </c>
      <c r="AS27" s="269">
        <v>6</v>
      </c>
      <c r="AT27" s="269">
        <v>6</v>
      </c>
      <c r="AU27" s="244">
        <f t="shared" si="1"/>
        <v>27</v>
      </c>
      <c r="AV27" s="248">
        <f t="shared" si="2"/>
        <v>3.32307692307692</v>
      </c>
      <c r="AW27" s="260">
        <f>AO27+AV27*7</f>
        <v>46126.2615384615</v>
      </c>
      <c r="AX27" s="268">
        <v>3</v>
      </c>
      <c r="AY27" s="269">
        <v>6</v>
      </c>
      <c r="AZ27" s="269">
        <v>6</v>
      </c>
      <c r="BA27" s="269">
        <v>6</v>
      </c>
      <c r="BB27" s="269">
        <v>6</v>
      </c>
      <c r="BC27" s="244">
        <f t="shared" si="3"/>
        <v>27</v>
      </c>
      <c r="BD27" s="248">
        <f t="shared" si="4"/>
        <v>3.32307692307692</v>
      </c>
      <c r="BE27" s="246">
        <f t="shared" si="48"/>
        <v>46149.5230769231</v>
      </c>
      <c r="BF27" s="224"/>
      <c r="BG27" s="218"/>
      <c r="BH27" s="218"/>
      <c r="BI27" s="218"/>
      <c r="BJ27" s="218"/>
      <c r="BK27" s="247">
        <f t="shared" si="51"/>
        <v>0</v>
      </c>
      <c r="BL27" s="248">
        <f t="shared" si="6"/>
        <v>0</v>
      </c>
      <c r="BM27" s="246">
        <f t="shared" si="49"/>
        <v>46149.5230769231</v>
      </c>
      <c r="BN27" s="224"/>
      <c r="BO27" s="218"/>
      <c r="BP27" s="218"/>
      <c r="BQ27" s="218"/>
      <c r="BR27" s="218"/>
      <c r="BS27" s="250"/>
      <c r="BT27" s="245">
        <f t="shared" si="7"/>
        <v>0</v>
      </c>
      <c r="BU27" s="249"/>
      <c r="BV27" s="224"/>
      <c r="BW27" s="218"/>
      <c r="BX27" s="218"/>
      <c r="BY27" s="218"/>
      <c r="BZ27" s="218"/>
      <c r="CA27" s="218"/>
      <c r="CB27" s="245">
        <f t="shared" si="8"/>
        <v>0</v>
      </c>
      <c r="CC27" s="246"/>
      <c r="CD27" s="224"/>
      <c r="CE27" s="218"/>
      <c r="CF27" s="218"/>
      <c r="CG27" s="218"/>
      <c r="CH27" s="218"/>
      <c r="CI27" s="218"/>
      <c r="CJ27" s="245">
        <f t="shared" si="9"/>
        <v>0</v>
      </c>
      <c r="CK27" s="246"/>
      <c r="CL27" s="224"/>
      <c r="CM27" s="218"/>
      <c r="CN27" s="218"/>
      <c r="CO27" s="218"/>
      <c r="CP27" s="218"/>
      <c r="CQ27" s="218"/>
      <c r="CR27" s="245">
        <f t="shared" si="10"/>
        <v>0</v>
      </c>
      <c r="CS27" s="218"/>
      <c r="CT27" s="224"/>
      <c r="CU27" s="218"/>
      <c r="CV27" s="218"/>
      <c r="CW27" s="218"/>
      <c r="CX27" s="218"/>
      <c r="CY27" s="218"/>
      <c r="CZ27" s="245">
        <f t="shared" si="11"/>
        <v>0</v>
      </c>
      <c r="DA27" s="218"/>
      <c r="DB27" s="224"/>
      <c r="DC27" s="218"/>
      <c r="DD27" s="218"/>
      <c r="DE27" s="218"/>
      <c r="DF27" s="218"/>
      <c r="DG27" s="218"/>
      <c r="DH27" s="218"/>
      <c r="DI27" s="218"/>
      <c r="DJ27" s="218"/>
      <c r="DK27" s="218"/>
      <c r="DL27" s="218"/>
      <c r="DM27" s="218"/>
      <c r="DN27" s="218"/>
      <c r="DO27" s="218"/>
      <c r="DP27" s="218"/>
      <c r="DQ27" s="227"/>
      <c r="DR27" s="224"/>
      <c r="DS27" s="218"/>
      <c r="DT27" s="218"/>
      <c r="DU27" s="218"/>
      <c r="DV27" s="218"/>
      <c r="DW27" s="218"/>
      <c r="DX27" s="218"/>
      <c r="DY27" s="218"/>
      <c r="DZ27" s="218"/>
      <c r="EA27" s="218"/>
      <c r="EB27" s="218"/>
      <c r="EC27" s="218"/>
      <c r="ED27" s="218"/>
      <c r="EE27" s="218"/>
      <c r="EF27" s="223">
        <f t="shared" ref="EF27:EJ27" si="53">AH27+AP27+AX27+BF27+BN27+BV27+CD27+CL27+CT27+DB27+DJ27+DR27+DZ27</f>
        <v>11</v>
      </c>
      <c r="EG27" s="223">
        <f t="shared" si="53"/>
        <v>17</v>
      </c>
      <c r="EH27" s="223">
        <f t="shared" si="53"/>
        <v>17</v>
      </c>
      <c r="EI27" s="223">
        <f t="shared" si="53"/>
        <v>17</v>
      </c>
      <c r="EJ27" s="223">
        <f t="shared" si="53"/>
        <v>17</v>
      </c>
      <c r="EK27" s="223">
        <f t="shared" si="13"/>
        <v>79</v>
      </c>
      <c r="EL27" s="218">
        <f t="shared" si="14"/>
        <v>2600</v>
      </c>
      <c r="EM27" s="218">
        <f t="shared" si="15"/>
        <v>162.5</v>
      </c>
      <c r="EN27" s="223">
        <f t="shared" si="16"/>
        <v>79</v>
      </c>
      <c r="EO27" s="226">
        <f t="shared" si="17"/>
        <v>83.5</v>
      </c>
      <c r="ER27" s="251"/>
      <c r="ES27" s="235" t="s">
        <v>585</v>
      </c>
      <c r="ET27" s="235" t="s">
        <v>586</v>
      </c>
      <c r="EU27" s="235" t="s">
        <v>587</v>
      </c>
    </row>
    <row r="28" s="200" customFormat="1" customHeight="1" spans="1:151">
      <c r="A28" s="276"/>
      <c r="B28" s="218">
        <v>27</v>
      </c>
      <c r="C28" s="280" t="s">
        <v>588</v>
      </c>
      <c r="D28" s="220" t="s">
        <v>13</v>
      </c>
      <c r="E28" s="220" t="s">
        <v>405</v>
      </c>
      <c r="F28" s="220"/>
      <c r="G28" s="220" t="s">
        <v>589</v>
      </c>
      <c r="H28" s="221" t="s">
        <v>590</v>
      </c>
      <c r="I28" s="239"/>
      <c r="J28" s="220"/>
      <c r="K28" s="221"/>
      <c r="L28" s="239"/>
      <c r="M28" s="220" t="s">
        <v>591</v>
      </c>
      <c r="N28" s="220">
        <v>13620578133</v>
      </c>
      <c r="O28" s="221" t="s">
        <v>592</v>
      </c>
      <c r="Q28" s="200" t="s">
        <v>408</v>
      </c>
      <c r="R28" s="200" t="s">
        <v>418</v>
      </c>
      <c r="S28" s="200" t="s">
        <v>418</v>
      </c>
      <c r="V28" s="200" t="s">
        <v>593</v>
      </c>
      <c r="W28" s="207" t="s">
        <v>594</v>
      </c>
      <c r="X28" s="270" t="s">
        <v>584</v>
      </c>
      <c r="Y28" s="221">
        <v>13824913009</v>
      </c>
      <c r="Z28" s="218"/>
      <c r="AA28" s="218">
        <v>125</v>
      </c>
      <c r="AB28" s="218">
        <f t="shared" si="18"/>
        <v>33</v>
      </c>
      <c r="AC28" s="218">
        <v>1</v>
      </c>
      <c r="AD28" s="218">
        <v>32</v>
      </c>
      <c r="AE28" s="218">
        <v>0</v>
      </c>
      <c r="AF28" s="218">
        <f t="shared" si="19"/>
        <v>165</v>
      </c>
      <c r="AG28" s="243">
        <v>46084</v>
      </c>
      <c r="AH28" s="244">
        <v>3</v>
      </c>
      <c r="AI28" s="244">
        <v>3</v>
      </c>
      <c r="AJ28" s="244">
        <v>3</v>
      </c>
      <c r="AK28" s="244">
        <v>3</v>
      </c>
      <c r="AL28" s="244"/>
      <c r="AM28" s="244">
        <f t="shared" si="0"/>
        <v>12</v>
      </c>
      <c r="AN28" s="245">
        <f t="shared" si="20"/>
        <v>1.16363636363636</v>
      </c>
      <c r="AO28" s="243">
        <v>46093</v>
      </c>
      <c r="AP28" s="268">
        <v>6</v>
      </c>
      <c r="AQ28" s="269">
        <v>6</v>
      </c>
      <c r="AR28" s="269">
        <v>6</v>
      </c>
      <c r="AS28" s="269">
        <v>6</v>
      </c>
      <c r="AT28" s="269"/>
      <c r="AU28" s="244">
        <f t="shared" si="1"/>
        <v>24</v>
      </c>
      <c r="AV28" s="248">
        <f t="shared" si="2"/>
        <v>2.32727272727273</v>
      </c>
      <c r="AW28" s="287">
        <v>46103</v>
      </c>
      <c r="AX28" s="288">
        <v>6</v>
      </c>
      <c r="AY28" s="289">
        <v>6</v>
      </c>
      <c r="AZ28" s="289">
        <v>6</v>
      </c>
      <c r="BA28" s="289">
        <v>6</v>
      </c>
      <c r="BB28" s="289"/>
      <c r="BC28" s="290">
        <f t="shared" si="3"/>
        <v>24</v>
      </c>
      <c r="BD28" s="248">
        <f t="shared" si="4"/>
        <v>2.32727272727273</v>
      </c>
      <c r="BE28" s="260">
        <f t="shared" si="48"/>
        <v>46119.2909090909</v>
      </c>
      <c r="BF28" s="253">
        <v>9</v>
      </c>
      <c r="BG28" s="254">
        <v>9</v>
      </c>
      <c r="BH28" s="254">
        <v>9</v>
      </c>
      <c r="BI28" s="254">
        <v>9</v>
      </c>
      <c r="BJ28" s="254"/>
      <c r="BK28" s="244">
        <f t="shared" si="51"/>
        <v>36</v>
      </c>
      <c r="BL28" s="248">
        <f t="shared" si="6"/>
        <v>3.49090909090909</v>
      </c>
      <c r="BM28" s="246">
        <f t="shared" ref="BM28:BM38" si="54">BE28+BL28*7</f>
        <v>46143.7272727273</v>
      </c>
      <c r="BN28" s="224"/>
      <c r="BO28" s="218"/>
      <c r="BP28" s="218"/>
      <c r="BQ28" s="218"/>
      <c r="BR28" s="218"/>
      <c r="BS28" s="250"/>
      <c r="BT28" s="245">
        <f t="shared" si="7"/>
        <v>0</v>
      </c>
      <c r="BU28" s="249"/>
      <c r="BV28" s="224"/>
      <c r="BW28" s="218"/>
      <c r="BX28" s="218"/>
      <c r="BY28" s="218"/>
      <c r="BZ28" s="218"/>
      <c r="CA28" s="218"/>
      <c r="CB28" s="245">
        <f t="shared" si="8"/>
        <v>0</v>
      </c>
      <c r="CC28" s="246"/>
      <c r="CD28" s="224"/>
      <c r="CE28" s="218"/>
      <c r="CF28" s="218"/>
      <c r="CG28" s="218"/>
      <c r="CH28" s="218"/>
      <c r="CI28" s="218"/>
      <c r="CJ28" s="245">
        <f t="shared" si="9"/>
        <v>0</v>
      </c>
      <c r="CK28" s="246"/>
      <c r="CL28" s="224"/>
      <c r="CM28" s="218"/>
      <c r="CN28" s="218"/>
      <c r="CO28" s="218"/>
      <c r="CP28" s="218"/>
      <c r="CQ28" s="218"/>
      <c r="CR28" s="245">
        <f t="shared" si="10"/>
        <v>0</v>
      </c>
      <c r="CS28" s="218"/>
      <c r="CT28" s="224"/>
      <c r="CU28" s="218"/>
      <c r="CV28" s="218"/>
      <c r="CW28" s="218"/>
      <c r="CX28" s="218"/>
      <c r="CY28" s="218"/>
      <c r="CZ28" s="245">
        <f t="shared" si="11"/>
        <v>0</v>
      </c>
      <c r="DA28" s="218"/>
      <c r="DB28" s="224"/>
      <c r="DC28" s="218"/>
      <c r="DD28" s="218"/>
      <c r="DE28" s="218"/>
      <c r="DF28" s="218"/>
      <c r="DG28" s="218"/>
      <c r="DH28" s="218"/>
      <c r="DI28" s="218"/>
      <c r="DJ28" s="218"/>
      <c r="DK28" s="218"/>
      <c r="DL28" s="218"/>
      <c r="DM28" s="218"/>
      <c r="DN28" s="218"/>
      <c r="DO28" s="218"/>
      <c r="DP28" s="218"/>
      <c r="DQ28" s="227"/>
      <c r="DR28" s="224"/>
      <c r="DS28" s="218"/>
      <c r="DT28" s="218"/>
      <c r="DU28" s="218"/>
      <c r="DV28" s="218"/>
      <c r="DW28" s="218"/>
      <c r="DX28" s="218"/>
      <c r="DY28" s="218"/>
      <c r="DZ28" s="218"/>
      <c r="EA28" s="218"/>
      <c r="EB28" s="218"/>
      <c r="EC28" s="218"/>
      <c r="ED28" s="218"/>
      <c r="EE28" s="218"/>
      <c r="EF28" s="223">
        <f t="shared" ref="EF28:EJ28" si="55">AH28+AP28+AX28+BF28+BN28+BV28+CD28+CL28+CT28+DB28+DJ28+DR28+DZ28</f>
        <v>24</v>
      </c>
      <c r="EG28" s="223">
        <f t="shared" si="55"/>
        <v>24</v>
      </c>
      <c r="EH28" s="223">
        <f t="shared" si="55"/>
        <v>24</v>
      </c>
      <c r="EI28" s="223">
        <f t="shared" si="55"/>
        <v>24</v>
      </c>
      <c r="EJ28" s="223">
        <f t="shared" si="55"/>
        <v>0</v>
      </c>
      <c r="EK28" s="223">
        <f t="shared" si="13"/>
        <v>96</v>
      </c>
      <c r="EL28" s="218">
        <f t="shared" si="14"/>
        <v>3300</v>
      </c>
      <c r="EM28" s="218">
        <f t="shared" si="15"/>
        <v>206.25</v>
      </c>
      <c r="EN28" s="223">
        <f t="shared" si="16"/>
        <v>96</v>
      </c>
      <c r="EO28" s="226">
        <f t="shared" si="17"/>
        <v>110.25</v>
      </c>
      <c r="ER28" s="251"/>
      <c r="ES28" s="235" t="s">
        <v>595</v>
      </c>
      <c r="ET28" s="235" t="s">
        <v>596</v>
      </c>
      <c r="EU28" s="235" t="s">
        <v>597</v>
      </c>
    </row>
    <row r="29" s="200" customFormat="1" customHeight="1" spans="1:151">
      <c r="A29" s="291" t="s">
        <v>598</v>
      </c>
      <c r="B29" s="292">
        <v>28</v>
      </c>
      <c r="C29" s="293" t="s">
        <v>599</v>
      </c>
      <c r="D29" s="220" t="s">
        <v>13</v>
      </c>
      <c r="E29" s="220" t="s">
        <v>405</v>
      </c>
      <c r="F29" s="220" t="s">
        <v>167</v>
      </c>
      <c r="G29" s="220" t="s">
        <v>311</v>
      </c>
      <c r="H29" s="239">
        <v>13542460865</v>
      </c>
      <c r="I29" s="239">
        <v>660865</v>
      </c>
      <c r="J29" s="220" t="s">
        <v>311</v>
      </c>
      <c r="K29" s="221">
        <v>13542460865</v>
      </c>
      <c r="L29" s="239">
        <v>660865</v>
      </c>
      <c r="M29" s="239"/>
      <c r="N29" s="221"/>
      <c r="O29" s="221" t="s">
        <v>600</v>
      </c>
      <c r="P29" s="200" t="s">
        <v>601</v>
      </c>
      <c r="Q29" s="200" t="s">
        <v>408</v>
      </c>
      <c r="R29" s="200" t="s">
        <v>409</v>
      </c>
      <c r="S29" s="200" t="s">
        <v>409</v>
      </c>
      <c r="V29" s="200" t="s">
        <v>602</v>
      </c>
      <c r="W29" s="207" t="s">
        <v>603</v>
      </c>
      <c r="X29" s="200" t="s">
        <v>604</v>
      </c>
      <c r="Y29" s="207" t="s">
        <v>605</v>
      </c>
      <c r="Z29" s="218"/>
      <c r="AA29" s="218">
        <v>200</v>
      </c>
      <c r="AB29" s="218">
        <f t="shared" si="18"/>
        <v>10</v>
      </c>
      <c r="AC29" s="218">
        <v>0</v>
      </c>
      <c r="AD29" s="218">
        <v>10</v>
      </c>
      <c r="AE29" s="218">
        <v>0</v>
      </c>
      <c r="AF29" s="218">
        <f t="shared" si="19"/>
        <v>50</v>
      </c>
      <c r="AG29" s="243">
        <v>46084</v>
      </c>
      <c r="AH29" s="244">
        <v>3</v>
      </c>
      <c r="AI29" s="244">
        <v>3</v>
      </c>
      <c r="AJ29" s="244">
        <v>3</v>
      </c>
      <c r="AK29" s="244">
        <v>3</v>
      </c>
      <c r="AL29" s="244">
        <v>3</v>
      </c>
      <c r="AM29" s="244">
        <f t="shared" si="0"/>
        <v>15</v>
      </c>
      <c r="AN29" s="245">
        <f t="shared" si="20"/>
        <v>4.8</v>
      </c>
      <c r="AO29" s="243">
        <v>46106</v>
      </c>
      <c r="AP29" s="268">
        <v>2</v>
      </c>
      <c r="AQ29" s="269">
        <v>2</v>
      </c>
      <c r="AR29" s="269">
        <v>2</v>
      </c>
      <c r="AS29" s="269">
        <v>2</v>
      </c>
      <c r="AT29" s="269">
        <v>3</v>
      </c>
      <c r="AU29" s="244">
        <f t="shared" si="1"/>
        <v>11</v>
      </c>
      <c r="AV29" s="248">
        <f t="shared" si="2"/>
        <v>3.52</v>
      </c>
      <c r="AW29" s="271">
        <v>46127</v>
      </c>
      <c r="AX29" s="268">
        <v>2</v>
      </c>
      <c r="AY29" s="269">
        <v>2</v>
      </c>
      <c r="AZ29" s="269">
        <v>2</v>
      </c>
      <c r="BA29" s="269">
        <v>2</v>
      </c>
      <c r="BB29" s="269">
        <v>2</v>
      </c>
      <c r="BC29" s="244">
        <f t="shared" si="3"/>
        <v>10</v>
      </c>
      <c r="BD29" s="259">
        <f t="shared" si="4"/>
        <v>3.2</v>
      </c>
      <c r="BE29" s="246">
        <f t="shared" si="48"/>
        <v>46149.4</v>
      </c>
      <c r="BF29" s="224"/>
      <c r="BG29" s="218"/>
      <c r="BH29" s="218"/>
      <c r="BI29" s="218"/>
      <c r="BJ29" s="218"/>
      <c r="BK29" s="247">
        <f t="shared" si="51"/>
        <v>0</v>
      </c>
      <c r="BL29" s="248">
        <f t="shared" si="6"/>
        <v>0</v>
      </c>
      <c r="BM29" s="246">
        <f t="shared" si="54"/>
        <v>46149.4</v>
      </c>
      <c r="BN29" s="224"/>
      <c r="BO29" s="218"/>
      <c r="BP29" s="218"/>
      <c r="BQ29" s="218"/>
      <c r="BR29" s="218"/>
      <c r="BS29" s="250"/>
      <c r="BT29" s="245">
        <f t="shared" si="7"/>
        <v>0</v>
      </c>
      <c r="BU29" s="246"/>
      <c r="BV29" s="224"/>
      <c r="BW29" s="218"/>
      <c r="BX29" s="218"/>
      <c r="BY29" s="218"/>
      <c r="BZ29" s="218"/>
      <c r="CA29" s="218"/>
      <c r="CB29" s="245">
        <f t="shared" si="8"/>
        <v>0</v>
      </c>
      <c r="CC29" s="249"/>
      <c r="CD29" s="224"/>
      <c r="CE29" s="218"/>
      <c r="CF29" s="218"/>
      <c r="CG29" s="218"/>
      <c r="CH29" s="218"/>
      <c r="CI29" s="218"/>
      <c r="CJ29" s="245">
        <f t="shared" si="9"/>
        <v>0</v>
      </c>
      <c r="CK29" s="218"/>
      <c r="CL29" s="224"/>
      <c r="CM29" s="218"/>
      <c r="CN29" s="218"/>
      <c r="CO29" s="218"/>
      <c r="CP29" s="218"/>
      <c r="CQ29" s="218"/>
      <c r="CR29" s="245">
        <f t="shared" si="10"/>
        <v>0</v>
      </c>
      <c r="CS29" s="218"/>
      <c r="CT29" s="224"/>
      <c r="CU29" s="218"/>
      <c r="CV29" s="218"/>
      <c r="CW29" s="218"/>
      <c r="CX29" s="218"/>
      <c r="CY29" s="218"/>
      <c r="CZ29" s="245">
        <f t="shared" si="11"/>
        <v>0</v>
      </c>
      <c r="DA29" s="218"/>
      <c r="DB29" s="224"/>
      <c r="DC29" s="218"/>
      <c r="DD29" s="218"/>
      <c r="DE29" s="218"/>
      <c r="DF29" s="218"/>
      <c r="DG29" s="218"/>
      <c r="DH29" s="218"/>
      <c r="DI29" s="218"/>
      <c r="DJ29" s="218"/>
      <c r="DK29" s="218"/>
      <c r="DL29" s="218"/>
      <c r="DM29" s="218"/>
      <c r="DN29" s="218"/>
      <c r="DO29" s="218"/>
      <c r="DP29" s="218"/>
      <c r="DQ29" s="227"/>
      <c r="DR29" s="224"/>
      <c r="DS29" s="218"/>
      <c r="DT29" s="218"/>
      <c r="DU29" s="218"/>
      <c r="DV29" s="218"/>
      <c r="DW29" s="218"/>
      <c r="DX29" s="218"/>
      <c r="DY29" s="218"/>
      <c r="DZ29" s="218"/>
      <c r="EA29" s="218"/>
      <c r="EB29" s="218"/>
      <c r="EC29" s="218"/>
      <c r="ED29" s="218"/>
      <c r="EE29" s="218"/>
      <c r="EF29" s="223">
        <f t="shared" ref="EF29:EJ29" si="56">AH29+AP29+AX29+BF29+BN29+BV29+CD29+CL29+CT29+DB29+DJ29+DR29+DZ29</f>
        <v>7</v>
      </c>
      <c r="EG29" s="223">
        <f t="shared" si="56"/>
        <v>7</v>
      </c>
      <c r="EH29" s="223">
        <f t="shared" si="56"/>
        <v>7</v>
      </c>
      <c r="EI29" s="223">
        <f t="shared" si="56"/>
        <v>7</v>
      </c>
      <c r="EJ29" s="223">
        <f t="shared" si="56"/>
        <v>8</v>
      </c>
      <c r="EK29" s="223">
        <f t="shared" si="13"/>
        <v>36</v>
      </c>
      <c r="EL29" s="218">
        <f t="shared" si="14"/>
        <v>1000</v>
      </c>
      <c r="EM29" s="218">
        <f t="shared" si="15"/>
        <v>62.5</v>
      </c>
      <c r="EN29" s="223">
        <f t="shared" si="16"/>
        <v>36</v>
      </c>
      <c r="EO29" s="226">
        <f t="shared" si="17"/>
        <v>26.5</v>
      </c>
      <c r="ER29" s="251"/>
      <c r="ES29" s="235" t="s">
        <v>606</v>
      </c>
      <c r="ET29" s="235" t="s">
        <v>607</v>
      </c>
      <c r="EU29" s="235" t="s">
        <v>608</v>
      </c>
    </row>
    <row r="30" s="200" customFormat="1" customHeight="1" spans="1:151">
      <c r="A30" s="294"/>
      <c r="B30" s="292">
        <v>29</v>
      </c>
      <c r="C30" s="295" t="s">
        <v>609</v>
      </c>
      <c r="E30" s="220" t="s">
        <v>405</v>
      </c>
      <c r="G30" s="270" t="s">
        <v>610</v>
      </c>
      <c r="H30" s="221">
        <v>18023311581</v>
      </c>
      <c r="J30" s="270" t="s">
        <v>610</v>
      </c>
      <c r="K30" s="221">
        <v>18023311581</v>
      </c>
      <c r="N30" s="207"/>
      <c r="O30" s="207" t="s">
        <v>611</v>
      </c>
      <c r="P30" s="200" t="s">
        <v>513</v>
      </c>
      <c r="Q30" s="200" t="s">
        <v>408</v>
      </c>
      <c r="R30" s="200" t="s">
        <v>409</v>
      </c>
      <c r="S30" s="200" t="s">
        <v>409</v>
      </c>
      <c r="V30" s="270" t="s">
        <v>610</v>
      </c>
      <c r="W30" s="221">
        <v>18023311581</v>
      </c>
      <c r="X30" s="270" t="s">
        <v>610</v>
      </c>
      <c r="Y30" s="221">
        <v>18023311581</v>
      </c>
      <c r="Z30" s="219"/>
      <c r="AA30" s="218">
        <v>125</v>
      </c>
      <c r="AB30" s="218">
        <f t="shared" si="18"/>
        <v>29</v>
      </c>
      <c r="AC30" s="218">
        <v>2</v>
      </c>
      <c r="AD30" s="218">
        <v>27</v>
      </c>
      <c r="AE30" s="218">
        <v>0</v>
      </c>
      <c r="AF30" s="218">
        <f t="shared" si="19"/>
        <v>145</v>
      </c>
      <c r="AG30" s="243">
        <v>46084</v>
      </c>
      <c r="AH30" s="244">
        <v>8</v>
      </c>
      <c r="AI30" s="244">
        <v>8</v>
      </c>
      <c r="AJ30" s="244">
        <v>8</v>
      </c>
      <c r="AK30" s="244">
        <v>8</v>
      </c>
      <c r="AL30" s="244"/>
      <c r="AM30" s="244">
        <f t="shared" si="0"/>
        <v>32</v>
      </c>
      <c r="AN30" s="245">
        <f t="shared" si="20"/>
        <v>3.53103448275862</v>
      </c>
      <c r="AO30" s="243">
        <v>46103</v>
      </c>
      <c r="AP30" s="268">
        <v>10</v>
      </c>
      <c r="AQ30" s="269">
        <v>10</v>
      </c>
      <c r="AR30" s="269">
        <v>10</v>
      </c>
      <c r="AS30" s="269">
        <v>10</v>
      </c>
      <c r="AT30" s="269"/>
      <c r="AU30" s="244">
        <f t="shared" si="1"/>
        <v>40</v>
      </c>
      <c r="AV30" s="248">
        <f t="shared" si="2"/>
        <v>4.41379310344828</v>
      </c>
      <c r="AW30" s="260">
        <v>46124</v>
      </c>
      <c r="AX30" s="268">
        <v>10</v>
      </c>
      <c r="AY30" s="269">
        <v>10</v>
      </c>
      <c r="AZ30" s="269">
        <v>10</v>
      </c>
      <c r="BA30" s="269">
        <v>10</v>
      </c>
      <c r="BB30" s="269"/>
      <c r="BC30" s="244">
        <f t="shared" si="3"/>
        <v>40</v>
      </c>
      <c r="BD30" s="248">
        <f t="shared" si="4"/>
        <v>4.41379310344828</v>
      </c>
      <c r="BE30" s="246">
        <f t="shared" si="48"/>
        <v>46154.8965517241</v>
      </c>
      <c r="BF30" s="224"/>
      <c r="BG30" s="218"/>
      <c r="BH30" s="218"/>
      <c r="BI30" s="218"/>
      <c r="BJ30" s="218"/>
      <c r="BK30" s="247">
        <f t="shared" si="51"/>
        <v>0</v>
      </c>
      <c r="BL30" s="248">
        <f t="shared" si="6"/>
        <v>0</v>
      </c>
      <c r="BM30" s="246">
        <f t="shared" si="54"/>
        <v>46154.8965517241</v>
      </c>
      <c r="BN30" s="224"/>
      <c r="BO30" s="218"/>
      <c r="BP30" s="218"/>
      <c r="BQ30" s="218"/>
      <c r="BR30" s="218"/>
      <c r="BS30" s="250"/>
      <c r="BT30" s="245">
        <f t="shared" si="7"/>
        <v>0</v>
      </c>
      <c r="BU30" s="246"/>
      <c r="BV30" s="224"/>
      <c r="BW30" s="218"/>
      <c r="BX30" s="218"/>
      <c r="BY30" s="218"/>
      <c r="BZ30" s="218"/>
      <c r="CA30" s="218"/>
      <c r="CB30" s="245">
        <f t="shared" si="8"/>
        <v>0</v>
      </c>
      <c r="CC30" s="218"/>
      <c r="CD30" s="224"/>
      <c r="CE30" s="218"/>
      <c r="CF30" s="218"/>
      <c r="CG30" s="218"/>
      <c r="CH30" s="218"/>
      <c r="CI30" s="218"/>
      <c r="CJ30" s="245">
        <f t="shared" si="9"/>
        <v>0</v>
      </c>
      <c r="CK30" s="218"/>
      <c r="CL30" s="224"/>
      <c r="CM30" s="218"/>
      <c r="CN30" s="218"/>
      <c r="CO30" s="218"/>
      <c r="CP30" s="218"/>
      <c r="CQ30" s="218"/>
      <c r="CR30" s="245">
        <f t="shared" si="10"/>
        <v>0</v>
      </c>
      <c r="CS30" s="218"/>
      <c r="CT30" s="224"/>
      <c r="CU30" s="218"/>
      <c r="CV30" s="218"/>
      <c r="CW30" s="218"/>
      <c r="CX30" s="218"/>
      <c r="CY30" s="218"/>
      <c r="CZ30" s="245">
        <f t="shared" si="11"/>
        <v>0</v>
      </c>
      <c r="DA30" s="218"/>
      <c r="DB30" s="224"/>
      <c r="DC30" s="218"/>
      <c r="DD30" s="218"/>
      <c r="DE30" s="218"/>
      <c r="DF30" s="218"/>
      <c r="DG30" s="218"/>
      <c r="DH30" s="218"/>
      <c r="DI30" s="218"/>
      <c r="DJ30" s="218"/>
      <c r="DK30" s="218"/>
      <c r="DL30" s="218"/>
      <c r="DM30" s="218"/>
      <c r="DN30" s="218"/>
      <c r="DO30" s="218"/>
      <c r="DP30" s="218"/>
      <c r="DQ30" s="227"/>
      <c r="DR30" s="224"/>
      <c r="DS30" s="218"/>
      <c r="DT30" s="218"/>
      <c r="DU30" s="218"/>
      <c r="DV30" s="218"/>
      <c r="DW30" s="218"/>
      <c r="DX30" s="218"/>
      <c r="DY30" s="218"/>
      <c r="DZ30" s="218"/>
      <c r="EA30" s="218"/>
      <c r="EB30" s="218"/>
      <c r="EC30" s="218"/>
      <c r="ED30" s="218"/>
      <c r="EE30" s="218"/>
      <c r="EF30" s="223">
        <f t="shared" ref="EF30:EJ30" si="57">AH30+AP30+AX30+BF30+BN30+BV30+CD30+CL30+CT30+DB30+DJ30+DR30+DZ30</f>
        <v>28</v>
      </c>
      <c r="EG30" s="223">
        <f t="shared" si="57"/>
        <v>28</v>
      </c>
      <c r="EH30" s="223" t="e">
        <f>AJ30+AR30+AZ30+BH30+BP30+BX30+#REF!+CN30+CV30+DD30+DL30+DT30+EB30</f>
        <v>#REF!</v>
      </c>
      <c r="EI30" s="223">
        <f t="shared" si="57"/>
        <v>28</v>
      </c>
      <c r="EJ30" s="223">
        <f t="shared" si="57"/>
        <v>0</v>
      </c>
      <c r="EK30" s="223" t="e">
        <f t="shared" si="13"/>
        <v>#REF!</v>
      </c>
      <c r="EL30" s="218">
        <f t="shared" si="14"/>
        <v>2900</v>
      </c>
      <c r="EM30" s="218">
        <f t="shared" si="15"/>
        <v>181.25</v>
      </c>
      <c r="EN30" s="223" t="e">
        <f t="shared" si="16"/>
        <v>#REF!</v>
      </c>
      <c r="EO30" s="226" t="e">
        <f t="shared" si="17"/>
        <v>#REF!</v>
      </c>
      <c r="ER30" s="251"/>
      <c r="ES30" s="235" t="s">
        <v>612</v>
      </c>
      <c r="ET30" s="235" t="s">
        <v>613</v>
      </c>
      <c r="EU30" s="235" t="s">
        <v>614</v>
      </c>
    </row>
    <row r="31" s="200" customFormat="1" ht="50" customHeight="1" spans="1:151">
      <c r="A31" s="294"/>
      <c r="B31" s="218">
        <v>30</v>
      </c>
      <c r="C31" s="295" t="s">
        <v>615</v>
      </c>
      <c r="E31" s="220" t="s">
        <v>405</v>
      </c>
      <c r="F31" s="220" t="s">
        <v>167</v>
      </c>
      <c r="G31" s="221" t="s">
        <v>308</v>
      </c>
      <c r="H31" s="221">
        <v>13542457023</v>
      </c>
      <c r="I31" s="221">
        <v>667023</v>
      </c>
      <c r="J31" s="270"/>
      <c r="K31" s="296"/>
      <c r="L31" s="297"/>
      <c r="N31" s="207"/>
      <c r="O31" s="220">
        <v>48</v>
      </c>
      <c r="P31" s="200">
        <v>17</v>
      </c>
      <c r="Q31" s="200" t="s">
        <v>408</v>
      </c>
      <c r="R31" s="200" t="s">
        <v>418</v>
      </c>
      <c r="S31" s="200" t="s">
        <v>418</v>
      </c>
      <c r="U31" s="220"/>
      <c r="V31" s="220" t="s">
        <v>273</v>
      </c>
      <c r="W31" s="221">
        <v>13729644466</v>
      </c>
      <c r="X31" s="270" t="s">
        <v>616</v>
      </c>
      <c r="Y31" s="221" t="s">
        <v>617</v>
      </c>
      <c r="Z31" s="298" t="s">
        <v>618</v>
      </c>
      <c r="AA31" s="218">
        <v>200</v>
      </c>
      <c r="AB31" s="218">
        <f t="shared" si="18"/>
        <v>43</v>
      </c>
      <c r="AC31" s="218">
        <v>1</v>
      </c>
      <c r="AD31" s="218">
        <v>42</v>
      </c>
      <c r="AE31" s="218">
        <v>0</v>
      </c>
      <c r="AF31" s="218">
        <f t="shared" si="19"/>
        <v>215</v>
      </c>
      <c r="AG31" s="243">
        <v>46084</v>
      </c>
      <c r="AH31" s="244">
        <v>10</v>
      </c>
      <c r="AI31" s="244">
        <v>10</v>
      </c>
      <c r="AJ31" s="244">
        <v>10</v>
      </c>
      <c r="AK31" s="244">
        <v>10</v>
      </c>
      <c r="AL31" s="244">
        <v>10</v>
      </c>
      <c r="AM31" s="244">
        <f t="shared" si="0"/>
        <v>50</v>
      </c>
      <c r="AN31" s="245">
        <f t="shared" si="20"/>
        <v>3.72093023255814</v>
      </c>
      <c r="AO31" s="271">
        <v>46125</v>
      </c>
      <c r="AP31" s="268">
        <v>16</v>
      </c>
      <c r="AQ31" s="269">
        <v>13</v>
      </c>
      <c r="AR31" s="269">
        <v>13</v>
      </c>
      <c r="AS31" s="269">
        <v>13</v>
      </c>
      <c r="AT31" s="269">
        <v>13</v>
      </c>
      <c r="AU31" s="244">
        <f t="shared" si="1"/>
        <v>68</v>
      </c>
      <c r="AV31" s="248">
        <f t="shared" si="2"/>
        <v>5.06046511627907</v>
      </c>
      <c r="AW31" s="246">
        <v>46140</v>
      </c>
      <c r="AX31" s="299" t="s">
        <v>619</v>
      </c>
      <c r="AY31" s="250"/>
      <c r="AZ31" s="250"/>
      <c r="BA31" s="250"/>
      <c r="BB31" s="250"/>
      <c r="BC31" s="247" t="e">
        <f t="shared" si="3"/>
        <v>#VALUE!</v>
      </c>
      <c r="BD31" s="248" t="e">
        <f t="shared" si="4"/>
        <v>#VALUE!</v>
      </c>
      <c r="BE31" s="246" t="e">
        <f t="shared" si="48"/>
        <v>#VALUE!</v>
      </c>
      <c r="BF31" s="224"/>
      <c r="BG31" s="218"/>
      <c r="BH31" s="218"/>
      <c r="BI31" s="218"/>
      <c r="BJ31" s="218"/>
      <c r="BK31" s="247">
        <f t="shared" si="51"/>
        <v>0</v>
      </c>
      <c r="BL31" s="248">
        <f t="shared" si="6"/>
        <v>0</v>
      </c>
      <c r="BM31" s="246" t="e">
        <f t="shared" si="54"/>
        <v>#VALUE!</v>
      </c>
      <c r="BN31" s="224"/>
      <c r="BO31" s="218"/>
      <c r="BP31" s="218"/>
      <c r="BQ31" s="218"/>
      <c r="BR31" s="218"/>
      <c r="BS31" s="250"/>
      <c r="BT31" s="245">
        <f t="shared" si="7"/>
        <v>0</v>
      </c>
      <c r="BU31" s="246"/>
      <c r="BV31" s="224"/>
      <c r="BW31" s="218"/>
      <c r="BX31" s="218"/>
      <c r="BY31" s="218"/>
      <c r="BZ31" s="218"/>
      <c r="CA31" s="218"/>
      <c r="CB31" s="245">
        <f t="shared" si="8"/>
        <v>0</v>
      </c>
      <c r="CC31" s="249"/>
      <c r="CD31" s="224"/>
      <c r="CE31" s="218"/>
      <c r="CG31" s="218"/>
      <c r="CH31" s="218"/>
      <c r="CI31" s="218"/>
      <c r="CJ31" s="245">
        <f t="shared" si="9"/>
        <v>0</v>
      </c>
      <c r="CK31" s="249"/>
      <c r="CL31" s="224"/>
      <c r="CM31" s="218"/>
      <c r="CN31" s="218"/>
      <c r="CO31" s="218"/>
      <c r="CP31" s="218"/>
      <c r="CQ31" s="218"/>
      <c r="CR31" s="245">
        <f t="shared" si="10"/>
        <v>0</v>
      </c>
      <c r="CS31" s="218"/>
      <c r="CT31" s="224"/>
      <c r="CU31" s="218"/>
      <c r="CV31" s="218"/>
      <c r="CW31" s="218"/>
      <c r="CX31" s="218"/>
      <c r="CY31" s="218"/>
      <c r="CZ31" s="245">
        <f t="shared" si="11"/>
        <v>0</v>
      </c>
      <c r="DA31" s="218"/>
      <c r="DB31" s="224"/>
      <c r="DC31" s="218"/>
      <c r="DD31" s="218"/>
      <c r="DE31" s="218"/>
      <c r="DF31" s="218"/>
      <c r="DG31" s="218"/>
      <c r="DH31" s="218"/>
      <c r="DI31" s="218"/>
      <c r="DJ31" s="218"/>
      <c r="DK31" s="218"/>
      <c r="DL31" s="218"/>
      <c r="DM31" s="218"/>
      <c r="DN31" s="218"/>
      <c r="DO31" s="218"/>
      <c r="DP31" s="218"/>
      <c r="DQ31" s="227"/>
      <c r="DR31" s="224"/>
      <c r="DS31" s="218"/>
      <c r="DT31" s="218"/>
      <c r="DU31" s="218"/>
      <c r="DV31" s="218"/>
      <c r="DW31" s="218"/>
      <c r="DX31" s="218"/>
      <c r="DY31" s="218"/>
      <c r="DZ31" s="218"/>
      <c r="EA31" s="218"/>
      <c r="EB31" s="218"/>
      <c r="EC31" s="218"/>
      <c r="ED31" s="218"/>
      <c r="EE31" s="218"/>
      <c r="EF31" s="223" t="e">
        <f t="shared" ref="EF31:EJ31" si="58">AH31+AP31+AX31+BF31+BN31+BV31+CD31+CL31+CT31+DB31+DJ31+DR31+DZ31</f>
        <v>#VALUE!</v>
      </c>
      <c r="EG31" s="223">
        <f t="shared" si="58"/>
        <v>23</v>
      </c>
      <c r="EH31" s="223">
        <f>AJ31+AR31+AZ31+BH31+BP31+BX31+CF30+CN31+CV31+DD31+DL31+DT31+EB31</f>
        <v>23</v>
      </c>
      <c r="EI31" s="223">
        <f t="shared" si="58"/>
        <v>23</v>
      </c>
      <c r="EJ31" s="223">
        <f t="shared" si="58"/>
        <v>23</v>
      </c>
      <c r="EK31" s="223" t="e">
        <f t="shared" si="13"/>
        <v>#VALUE!</v>
      </c>
      <c r="EL31" s="218">
        <f t="shared" si="14"/>
        <v>4300</v>
      </c>
      <c r="EM31" s="218">
        <f t="shared" si="15"/>
        <v>268.75</v>
      </c>
      <c r="EN31" s="223" t="e">
        <f t="shared" si="16"/>
        <v>#VALUE!</v>
      </c>
      <c r="EO31" s="226" t="e">
        <f t="shared" si="17"/>
        <v>#VALUE!</v>
      </c>
      <c r="ER31" s="251"/>
      <c r="ES31" s="235" t="s">
        <v>620</v>
      </c>
      <c r="ET31" s="235" t="s">
        <v>621</v>
      </c>
      <c r="EU31" s="235" t="s">
        <v>622</v>
      </c>
    </row>
    <row r="32" s="200" customFormat="1" ht="21" customHeight="1" spans="1:151">
      <c r="A32" s="294"/>
      <c r="B32" s="218">
        <v>31</v>
      </c>
      <c r="C32" s="300" t="s">
        <v>623</v>
      </c>
      <c r="E32" s="220" t="s">
        <v>405</v>
      </c>
      <c r="J32" s="200" t="s">
        <v>624</v>
      </c>
      <c r="K32" s="240" t="s">
        <v>625</v>
      </c>
      <c r="N32" s="207"/>
      <c r="O32" s="207" t="s">
        <v>626</v>
      </c>
      <c r="P32" s="200">
        <v>3</v>
      </c>
      <c r="Q32" s="200" t="s">
        <v>408</v>
      </c>
      <c r="R32" s="200" t="s">
        <v>409</v>
      </c>
      <c r="S32" s="200" t="s">
        <v>409</v>
      </c>
      <c r="V32" s="200" t="s">
        <v>627</v>
      </c>
      <c r="W32" s="207" t="s">
        <v>628</v>
      </c>
      <c r="X32" s="200" t="s">
        <v>627</v>
      </c>
      <c r="Y32" s="207" t="s">
        <v>628</v>
      </c>
      <c r="Z32" s="218"/>
      <c r="AA32" s="218">
        <v>125</v>
      </c>
      <c r="AB32" s="218">
        <f t="shared" si="18"/>
        <v>25</v>
      </c>
      <c r="AC32" s="218">
        <v>4</v>
      </c>
      <c r="AD32" s="218">
        <v>21</v>
      </c>
      <c r="AE32" s="218">
        <v>0</v>
      </c>
      <c r="AF32" s="218">
        <f t="shared" si="19"/>
        <v>125</v>
      </c>
      <c r="AG32" s="243">
        <v>46084</v>
      </c>
      <c r="AH32" s="244">
        <v>8</v>
      </c>
      <c r="AI32" s="244">
        <v>8</v>
      </c>
      <c r="AJ32" s="244">
        <v>8</v>
      </c>
      <c r="AK32" s="244">
        <v>8</v>
      </c>
      <c r="AL32" s="244"/>
      <c r="AM32" s="244">
        <f t="shared" si="0"/>
        <v>32</v>
      </c>
      <c r="AN32" s="245">
        <f t="shared" si="20"/>
        <v>4.096</v>
      </c>
      <c r="AO32" s="243">
        <v>46106</v>
      </c>
      <c r="AP32" s="268">
        <v>6</v>
      </c>
      <c r="AQ32" s="269">
        <v>6</v>
      </c>
      <c r="AR32" s="269">
        <v>6</v>
      </c>
      <c r="AS32" s="269">
        <v>6</v>
      </c>
      <c r="AT32" s="269"/>
      <c r="AU32" s="244">
        <f t="shared" si="1"/>
        <v>24</v>
      </c>
      <c r="AV32" s="248">
        <f t="shared" si="2"/>
        <v>3.072</v>
      </c>
      <c r="AW32" s="260">
        <f t="shared" ref="AW29:AW33" si="59">AO32+AV32*7</f>
        <v>46127.504</v>
      </c>
      <c r="AX32" s="268">
        <v>6</v>
      </c>
      <c r="AY32" s="269">
        <v>6</v>
      </c>
      <c r="AZ32" s="269">
        <v>6</v>
      </c>
      <c r="BA32" s="269">
        <v>6</v>
      </c>
      <c r="BB32" s="269"/>
      <c r="BC32" s="244">
        <f t="shared" si="3"/>
        <v>24</v>
      </c>
      <c r="BD32" s="248">
        <f t="shared" si="4"/>
        <v>3.072</v>
      </c>
      <c r="BE32" s="246">
        <f t="shared" si="48"/>
        <v>46149.008</v>
      </c>
      <c r="BF32" s="224"/>
      <c r="BG32" s="218"/>
      <c r="BH32" s="218"/>
      <c r="BI32" s="218"/>
      <c r="BJ32" s="218"/>
      <c r="BK32" s="247">
        <f t="shared" si="51"/>
        <v>0</v>
      </c>
      <c r="BL32" s="248">
        <f t="shared" si="6"/>
        <v>0</v>
      </c>
      <c r="BM32" s="246">
        <f t="shared" si="54"/>
        <v>46149.008</v>
      </c>
      <c r="BN32" s="224"/>
      <c r="BO32" s="218"/>
      <c r="BP32" s="218"/>
      <c r="BQ32" s="218"/>
      <c r="BR32" s="218"/>
      <c r="BS32" s="250"/>
      <c r="BT32" s="245">
        <f t="shared" si="7"/>
        <v>0</v>
      </c>
      <c r="BU32" s="246"/>
      <c r="BV32" s="224"/>
      <c r="BW32" s="218"/>
      <c r="BX32" s="218"/>
      <c r="BY32" s="218"/>
      <c r="BZ32" s="218"/>
      <c r="CA32" s="218"/>
      <c r="CB32" s="245">
        <f t="shared" si="8"/>
        <v>0</v>
      </c>
      <c r="CC32" s="249"/>
      <c r="CD32" s="224"/>
      <c r="CE32" s="218"/>
      <c r="CF32" s="218"/>
      <c r="CG32" s="218"/>
      <c r="CH32" s="218"/>
      <c r="CI32" s="218"/>
      <c r="CJ32" s="245">
        <f t="shared" si="9"/>
        <v>0</v>
      </c>
      <c r="CK32" s="218"/>
      <c r="CL32" s="224"/>
      <c r="CM32" s="218"/>
      <c r="CN32" s="218"/>
      <c r="CO32" s="218"/>
      <c r="CP32" s="218"/>
      <c r="CQ32" s="218"/>
      <c r="CR32" s="245">
        <f t="shared" si="10"/>
        <v>0</v>
      </c>
      <c r="CS32" s="218"/>
      <c r="CT32" s="224"/>
      <c r="CU32" s="218"/>
      <c r="CV32" s="218"/>
      <c r="CW32" s="218"/>
      <c r="CX32" s="218"/>
      <c r="CY32" s="218"/>
      <c r="CZ32" s="245">
        <f t="shared" si="11"/>
        <v>0</v>
      </c>
      <c r="DA32" s="218"/>
      <c r="DB32" s="224"/>
      <c r="DC32" s="218"/>
      <c r="DD32" s="218"/>
      <c r="DE32" s="218"/>
      <c r="DF32" s="218"/>
      <c r="DG32" s="218"/>
      <c r="DH32" s="218"/>
      <c r="DI32" s="218"/>
      <c r="DJ32" s="218"/>
      <c r="DK32" s="218"/>
      <c r="DL32" s="218"/>
      <c r="DM32" s="218"/>
      <c r="DN32" s="218"/>
      <c r="DO32" s="218"/>
      <c r="DP32" s="218"/>
      <c r="DQ32" s="227"/>
      <c r="DR32" s="224"/>
      <c r="DS32" s="218"/>
      <c r="DT32" s="218"/>
      <c r="DU32" s="218"/>
      <c r="DV32" s="218"/>
      <c r="DW32" s="218"/>
      <c r="DX32" s="218"/>
      <c r="DY32" s="218"/>
      <c r="DZ32" s="218"/>
      <c r="EA32" s="218"/>
      <c r="EB32" s="218"/>
      <c r="EC32" s="218"/>
      <c r="ED32" s="218"/>
      <c r="EE32" s="218"/>
      <c r="EF32" s="223">
        <f t="shared" ref="EF32:EJ32" si="60">AH32+AP32+AX32+BF32+BN32+BV32+CD32+CL32+CT32+DB32+DJ32+DR32+DZ32</f>
        <v>20</v>
      </c>
      <c r="EG32" s="223">
        <f t="shared" si="60"/>
        <v>20</v>
      </c>
      <c r="EH32" s="223">
        <f t="shared" si="60"/>
        <v>20</v>
      </c>
      <c r="EI32" s="223">
        <f t="shared" si="60"/>
        <v>20</v>
      </c>
      <c r="EJ32" s="223">
        <f t="shared" si="60"/>
        <v>0</v>
      </c>
      <c r="EK32" s="223">
        <f t="shared" si="13"/>
        <v>80</v>
      </c>
      <c r="EL32" s="218">
        <f t="shared" si="14"/>
        <v>2500</v>
      </c>
      <c r="EM32" s="218">
        <f t="shared" si="15"/>
        <v>156.25</v>
      </c>
      <c r="EN32" s="223">
        <f t="shared" si="16"/>
        <v>80</v>
      </c>
      <c r="EO32" s="226">
        <f t="shared" si="17"/>
        <v>76.25</v>
      </c>
      <c r="ER32" s="251"/>
      <c r="ES32" s="235" t="s">
        <v>629</v>
      </c>
      <c r="ET32" s="235" t="s">
        <v>630</v>
      </c>
      <c r="EU32" s="235" t="s">
        <v>631</v>
      </c>
    </row>
    <row r="33" s="200" customFormat="1" customHeight="1" spans="1:151">
      <c r="A33" s="294"/>
      <c r="B33" s="218">
        <v>32</v>
      </c>
      <c r="C33" s="293" t="s">
        <v>291</v>
      </c>
      <c r="D33" s="220" t="s">
        <v>13</v>
      </c>
      <c r="E33" s="220" t="s">
        <v>405</v>
      </c>
      <c r="F33" s="220" t="s">
        <v>120</v>
      </c>
      <c r="G33" s="220" t="s">
        <v>292</v>
      </c>
      <c r="H33" s="220">
        <v>13729633555</v>
      </c>
      <c r="I33" s="220">
        <v>683555</v>
      </c>
      <c r="J33" s="220" t="s">
        <v>292</v>
      </c>
      <c r="K33" s="220">
        <v>13729633555</v>
      </c>
      <c r="L33" s="220">
        <v>683555</v>
      </c>
      <c r="M33" s="239"/>
      <c r="N33" s="221"/>
      <c r="O33" s="221" t="s">
        <v>632</v>
      </c>
      <c r="Q33" s="200" t="s">
        <v>408</v>
      </c>
      <c r="R33" s="200" t="s">
        <v>418</v>
      </c>
      <c r="S33" s="200" t="s">
        <v>418</v>
      </c>
      <c r="W33" s="207"/>
      <c r="X33" s="270" t="s">
        <v>633</v>
      </c>
      <c r="Y33" s="270">
        <v>13620579709</v>
      </c>
      <c r="Z33" s="218"/>
      <c r="AA33" s="218">
        <v>200</v>
      </c>
      <c r="AB33" s="218">
        <f t="shared" si="18"/>
        <v>78</v>
      </c>
      <c r="AC33" s="218">
        <v>16</v>
      </c>
      <c r="AD33" s="218">
        <v>62</v>
      </c>
      <c r="AE33" s="218">
        <v>0</v>
      </c>
      <c r="AF33" s="218">
        <f t="shared" si="19"/>
        <v>390</v>
      </c>
      <c r="AG33" s="243">
        <v>46084</v>
      </c>
      <c r="AH33" s="244">
        <v>20</v>
      </c>
      <c r="AI33" s="244">
        <v>15</v>
      </c>
      <c r="AJ33" s="244">
        <v>15</v>
      </c>
      <c r="AK33" s="244">
        <v>15</v>
      </c>
      <c r="AL33" s="244">
        <v>15</v>
      </c>
      <c r="AM33" s="244">
        <f t="shared" si="0"/>
        <v>80</v>
      </c>
      <c r="AN33" s="245">
        <f t="shared" si="20"/>
        <v>3.28205128205128</v>
      </c>
      <c r="AO33" s="301">
        <v>46099</v>
      </c>
      <c r="AP33" s="302">
        <v>20</v>
      </c>
      <c r="AQ33" s="303">
        <v>17</v>
      </c>
      <c r="AR33" s="303">
        <v>17</v>
      </c>
      <c r="AS33" s="303">
        <v>17</v>
      </c>
      <c r="AT33" s="303">
        <v>17</v>
      </c>
      <c r="AU33" s="290">
        <f t="shared" si="1"/>
        <v>88</v>
      </c>
      <c r="AV33" s="248">
        <f t="shared" si="2"/>
        <v>3.61025641025641</v>
      </c>
      <c r="AW33" s="260">
        <f t="shared" si="59"/>
        <v>46124.2717948718</v>
      </c>
      <c r="AX33" s="268">
        <v>20</v>
      </c>
      <c r="AY33" s="268">
        <v>20</v>
      </c>
      <c r="AZ33" s="269"/>
      <c r="BA33" s="268">
        <v>20</v>
      </c>
      <c r="BB33" s="268">
        <v>20</v>
      </c>
      <c r="BC33" s="244">
        <f t="shared" si="3"/>
        <v>80</v>
      </c>
      <c r="BD33" s="248">
        <f t="shared" si="4"/>
        <v>3.28205128205128</v>
      </c>
      <c r="BE33" s="246">
        <f t="shared" si="48"/>
        <v>46147.2461538462</v>
      </c>
      <c r="BF33" s="224"/>
      <c r="BG33" s="218"/>
      <c r="BH33" s="218"/>
      <c r="BI33" s="218"/>
      <c r="BJ33" s="218"/>
      <c r="BK33" s="247">
        <f t="shared" si="51"/>
        <v>0</v>
      </c>
      <c r="BL33" s="248">
        <f t="shared" si="6"/>
        <v>0</v>
      </c>
      <c r="BM33" s="246">
        <f t="shared" si="54"/>
        <v>46147.2461538462</v>
      </c>
      <c r="BN33" s="224"/>
      <c r="BO33" s="218"/>
      <c r="BP33" s="218"/>
      <c r="BQ33" s="218"/>
      <c r="BR33" s="218"/>
      <c r="BS33" s="250"/>
      <c r="BT33" s="245">
        <f t="shared" si="7"/>
        <v>0</v>
      </c>
      <c r="BU33" s="249"/>
      <c r="BV33" s="224"/>
      <c r="BW33" s="218"/>
      <c r="BX33" s="218"/>
      <c r="BY33" s="218"/>
      <c r="BZ33" s="218"/>
      <c r="CA33" s="218"/>
      <c r="CB33" s="245">
        <f t="shared" si="8"/>
        <v>0</v>
      </c>
      <c r="CC33" s="249"/>
      <c r="CD33" s="224"/>
      <c r="CE33" s="218"/>
      <c r="CF33" s="218"/>
      <c r="CG33" s="218"/>
      <c r="CH33" s="218"/>
      <c r="CI33" s="218"/>
      <c r="CJ33" s="245">
        <f t="shared" si="9"/>
        <v>0</v>
      </c>
      <c r="CK33" s="246"/>
      <c r="CL33" s="224"/>
      <c r="CM33" s="218"/>
      <c r="CN33" s="218"/>
      <c r="CO33" s="218"/>
      <c r="CP33" s="218"/>
      <c r="CQ33" s="218"/>
      <c r="CR33" s="245">
        <f t="shared" si="10"/>
        <v>0</v>
      </c>
      <c r="CS33" s="249"/>
      <c r="CT33" s="224"/>
      <c r="CU33" s="218"/>
      <c r="CV33" s="218"/>
      <c r="CW33" s="218"/>
      <c r="CX33" s="218"/>
      <c r="CY33" s="218"/>
      <c r="CZ33" s="245">
        <f t="shared" si="11"/>
        <v>0</v>
      </c>
      <c r="DA33" s="218"/>
      <c r="DB33" s="224"/>
      <c r="DC33" s="218"/>
      <c r="DD33" s="218"/>
      <c r="DE33" s="218"/>
      <c r="DF33" s="218"/>
      <c r="DG33" s="218"/>
      <c r="DH33" s="218"/>
      <c r="DI33" s="218"/>
      <c r="DJ33" s="218"/>
      <c r="DK33" s="218"/>
      <c r="DL33" s="218"/>
      <c r="DM33" s="218"/>
      <c r="DN33" s="218"/>
      <c r="DO33" s="218"/>
      <c r="DP33" s="218"/>
      <c r="DQ33" s="227"/>
      <c r="DR33" s="224"/>
      <c r="DS33" s="218"/>
      <c r="DT33" s="218"/>
      <c r="DU33" s="218"/>
      <c r="DV33" s="218"/>
      <c r="DW33" s="218"/>
      <c r="DX33" s="218"/>
      <c r="DY33" s="218"/>
      <c r="DZ33" s="218"/>
      <c r="EA33" s="218"/>
      <c r="EB33" s="218"/>
      <c r="EC33" s="218"/>
      <c r="ED33" s="218"/>
      <c r="EE33" s="218"/>
      <c r="EF33" s="223">
        <f t="shared" ref="EF33:EJ33" si="61">AH33+AP33+AX33+BF33+BN33+BV33+CD33+CL33+CT33+DB33+DJ33+DR33+DZ33</f>
        <v>60</v>
      </c>
      <c r="EG33" s="223">
        <f t="shared" si="61"/>
        <v>52</v>
      </c>
      <c r="EH33" s="223">
        <f t="shared" si="61"/>
        <v>32</v>
      </c>
      <c r="EI33" s="223">
        <f t="shared" si="61"/>
        <v>52</v>
      </c>
      <c r="EJ33" s="223">
        <f t="shared" si="61"/>
        <v>52</v>
      </c>
      <c r="EK33" s="223">
        <f t="shared" si="13"/>
        <v>248</v>
      </c>
      <c r="EL33" s="218">
        <f t="shared" si="14"/>
        <v>7800</v>
      </c>
      <c r="EM33" s="218">
        <f t="shared" si="15"/>
        <v>487.5</v>
      </c>
      <c r="EN33" s="223">
        <f t="shared" si="16"/>
        <v>248</v>
      </c>
      <c r="EO33" s="226">
        <f t="shared" si="17"/>
        <v>239.5</v>
      </c>
      <c r="ER33" s="251"/>
      <c r="ES33" s="235" t="s">
        <v>634</v>
      </c>
      <c r="ET33" s="235" t="s">
        <v>635</v>
      </c>
      <c r="EU33" s="235" t="s">
        <v>636</v>
      </c>
    </row>
    <row r="34" s="200" customFormat="1" customHeight="1" spans="1:151">
      <c r="A34" s="294"/>
      <c r="B34" s="218">
        <v>33</v>
      </c>
      <c r="C34" s="293" t="s">
        <v>294</v>
      </c>
      <c r="D34" s="220" t="s">
        <v>13</v>
      </c>
      <c r="E34" s="220" t="s">
        <v>405</v>
      </c>
      <c r="F34" s="220" t="s">
        <v>125</v>
      </c>
      <c r="G34" s="220" t="s">
        <v>295</v>
      </c>
      <c r="H34" s="221">
        <v>13729658183</v>
      </c>
      <c r="I34" s="239">
        <v>688183</v>
      </c>
      <c r="J34" s="220"/>
      <c r="K34" s="221"/>
      <c r="L34" s="239"/>
      <c r="M34" s="239"/>
      <c r="N34" s="221"/>
      <c r="O34" s="221" t="s">
        <v>637</v>
      </c>
      <c r="Q34" s="200" t="s">
        <v>408</v>
      </c>
      <c r="R34" s="200" t="s">
        <v>409</v>
      </c>
      <c r="S34" s="200" t="s">
        <v>409</v>
      </c>
      <c r="V34" s="200" t="s">
        <v>429</v>
      </c>
      <c r="W34" s="207" t="s">
        <v>638</v>
      </c>
      <c r="X34" s="200" t="s">
        <v>429</v>
      </c>
      <c r="Y34" s="207" t="s">
        <v>638</v>
      </c>
      <c r="Z34" s="218"/>
      <c r="AA34" s="218">
        <v>200</v>
      </c>
      <c r="AB34" s="218">
        <f t="shared" si="18"/>
        <v>254</v>
      </c>
      <c r="AC34" s="218">
        <v>21</v>
      </c>
      <c r="AD34" s="218">
        <v>233</v>
      </c>
      <c r="AE34" s="218">
        <v>0</v>
      </c>
      <c r="AF34" s="218">
        <f t="shared" si="19"/>
        <v>1270</v>
      </c>
      <c r="AG34" s="243">
        <v>46084</v>
      </c>
      <c r="AH34" s="244">
        <v>20</v>
      </c>
      <c r="AI34" s="244">
        <v>25</v>
      </c>
      <c r="AJ34" s="244">
        <v>25</v>
      </c>
      <c r="AK34" s="244">
        <v>25</v>
      </c>
      <c r="AL34" s="244">
        <v>25</v>
      </c>
      <c r="AM34" s="244">
        <f t="shared" si="0"/>
        <v>120</v>
      </c>
      <c r="AN34" s="245">
        <f t="shared" si="20"/>
        <v>1.51181102362205</v>
      </c>
      <c r="AO34" s="243">
        <v>46093</v>
      </c>
      <c r="AP34" s="268"/>
      <c r="AQ34" s="269">
        <v>35</v>
      </c>
      <c r="AR34" s="269">
        <v>35</v>
      </c>
      <c r="AS34" s="269">
        <v>35</v>
      </c>
      <c r="AT34" s="269">
        <v>35</v>
      </c>
      <c r="AU34" s="244">
        <f t="shared" si="1"/>
        <v>140</v>
      </c>
      <c r="AV34" s="248">
        <f t="shared" si="2"/>
        <v>1.76377952755906</v>
      </c>
      <c r="AW34" s="243">
        <v>46098</v>
      </c>
      <c r="AX34" s="268">
        <v>25</v>
      </c>
      <c r="AY34" s="269">
        <v>25</v>
      </c>
      <c r="AZ34" s="269">
        <v>25</v>
      </c>
      <c r="BA34" s="269">
        <v>25</v>
      </c>
      <c r="BB34" s="269">
        <v>25</v>
      </c>
      <c r="BC34" s="244">
        <f t="shared" si="3"/>
        <v>125</v>
      </c>
      <c r="BD34" s="248">
        <f t="shared" si="4"/>
        <v>1.5748031496063</v>
      </c>
      <c r="BE34" s="252">
        <v>46112</v>
      </c>
      <c r="BF34" s="253">
        <v>0</v>
      </c>
      <c r="BG34" s="269">
        <v>35</v>
      </c>
      <c r="BH34" s="269">
        <v>50</v>
      </c>
      <c r="BI34" s="269">
        <v>45</v>
      </c>
      <c r="BJ34" s="269">
        <v>35</v>
      </c>
      <c r="BK34" s="244">
        <f t="shared" si="51"/>
        <v>165</v>
      </c>
      <c r="BL34" s="248">
        <f t="shared" si="6"/>
        <v>2.07874015748031</v>
      </c>
      <c r="BM34" s="255">
        <f t="shared" si="54"/>
        <v>46126.5511811024</v>
      </c>
      <c r="BN34" s="256">
        <v>15</v>
      </c>
      <c r="BO34" s="257">
        <v>40</v>
      </c>
      <c r="BP34" s="257">
        <v>25</v>
      </c>
      <c r="BQ34" s="257">
        <v>40</v>
      </c>
      <c r="BR34" s="257">
        <v>40</v>
      </c>
      <c r="BS34" s="278">
        <f>SUBTOTAL(9,BN34:BR34)</f>
        <v>160</v>
      </c>
      <c r="BT34" s="245">
        <f t="shared" si="7"/>
        <v>2.01574803149606</v>
      </c>
      <c r="BU34" s="246">
        <f>BM34+BT34*7</f>
        <v>46140.6614173229</v>
      </c>
      <c r="BV34" s="224"/>
      <c r="BW34" s="218"/>
      <c r="BX34" s="218"/>
      <c r="BY34" s="218"/>
      <c r="BZ34" s="218"/>
      <c r="CA34" s="218"/>
      <c r="CB34" s="245">
        <f t="shared" si="8"/>
        <v>0</v>
      </c>
      <c r="CC34" s="246">
        <f>BU34+CB34*7</f>
        <v>46140.6614173229</v>
      </c>
      <c r="CD34" s="224"/>
      <c r="CE34" s="218"/>
      <c r="CF34" s="218"/>
      <c r="CG34" s="218"/>
      <c r="CH34" s="218"/>
      <c r="CI34" s="218"/>
      <c r="CJ34" s="245">
        <f t="shared" si="9"/>
        <v>0</v>
      </c>
      <c r="CK34" s="249"/>
      <c r="CL34" s="224"/>
      <c r="CM34" s="218"/>
      <c r="CN34" s="218"/>
      <c r="CO34" s="218"/>
      <c r="CP34" s="218"/>
      <c r="CQ34" s="218"/>
      <c r="CR34" s="245">
        <f t="shared" si="10"/>
        <v>0</v>
      </c>
      <c r="CS34" s="249"/>
      <c r="CT34" s="224"/>
      <c r="CU34" s="218"/>
      <c r="CV34" s="218"/>
      <c r="CW34" s="218"/>
      <c r="CX34" s="218"/>
      <c r="CY34" s="218"/>
      <c r="CZ34" s="245">
        <f t="shared" si="11"/>
        <v>0</v>
      </c>
      <c r="DA34" s="249"/>
      <c r="DB34" s="224"/>
      <c r="DC34" s="218"/>
      <c r="DD34" s="218"/>
      <c r="DE34" s="218"/>
      <c r="DF34" s="218"/>
      <c r="DG34" s="218"/>
      <c r="DH34" s="218"/>
      <c r="DI34" s="249"/>
      <c r="DJ34" s="218"/>
      <c r="DK34" s="218"/>
      <c r="DL34" s="218"/>
      <c r="DM34" s="218"/>
      <c r="DN34" s="218"/>
      <c r="DO34" s="218"/>
      <c r="DP34" s="218"/>
      <c r="DQ34" s="227"/>
      <c r="DR34" s="224"/>
      <c r="DS34" s="218"/>
      <c r="DT34" s="218"/>
      <c r="DU34" s="218"/>
      <c r="DV34" s="218"/>
      <c r="DW34" s="218"/>
      <c r="DX34" s="218"/>
      <c r="DY34" s="218"/>
      <c r="DZ34" s="218"/>
      <c r="EA34" s="218"/>
      <c r="EB34" s="218"/>
      <c r="EC34" s="218"/>
      <c r="ED34" s="218"/>
      <c r="EE34" s="218"/>
      <c r="EF34" s="223">
        <f t="shared" ref="EF34:EJ34" si="62">AH34+AP34+AX34+BF34+BN34+BV34+CD34+CL34+CT34+DB34+DJ34+DR34+DZ34</f>
        <v>60</v>
      </c>
      <c r="EG34" s="223">
        <f t="shared" si="62"/>
        <v>160</v>
      </c>
      <c r="EH34" s="223">
        <f t="shared" si="62"/>
        <v>160</v>
      </c>
      <c r="EI34" s="223">
        <f t="shared" si="62"/>
        <v>170</v>
      </c>
      <c r="EJ34" s="223">
        <f t="shared" si="62"/>
        <v>160</v>
      </c>
      <c r="EK34" s="223">
        <f t="shared" si="13"/>
        <v>710</v>
      </c>
      <c r="EL34" s="218">
        <f t="shared" si="14"/>
        <v>25400</v>
      </c>
      <c r="EM34" s="218">
        <f t="shared" si="15"/>
        <v>1587.5</v>
      </c>
      <c r="EN34" s="223">
        <f t="shared" si="16"/>
        <v>710</v>
      </c>
      <c r="EO34" s="226">
        <f t="shared" si="17"/>
        <v>877.5</v>
      </c>
      <c r="ER34" s="251"/>
      <c r="ES34" s="235" t="s">
        <v>639</v>
      </c>
      <c r="ET34" s="235" t="s">
        <v>640</v>
      </c>
      <c r="EU34" s="235" t="s">
        <v>641</v>
      </c>
    </row>
    <row r="35" s="200" customFormat="1" customHeight="1" spans="1:151">
      <c r="A35" s="294"/>
      <c r="B35" s="218">
        <v>35</v>
      </c>
      <c r="C35" s="293" t="s">
        <v>642</v>
      </c>
      <c r="D35" s="220"/>
      <c r="E35" s="220"/>
      <c r="F35" s="220"/>
      <c r="G35" s="220" t="s">
        <v>643</v>
      </c>
      <c r="H35" s="221" t="s">
        <v>644</v>
      </c>
      <c r="I35" s="239"/>
      <c r="J35" s="220"/>
      <c r="K35" s="221"/>
      <c r="L35" s="239"/>
      <c r="M35" s="239"/>
      <c r="N35" s="221"/>
      <c r="O35" s="221"/>
      <c r="V35" s="200" t="s">
        <v>645</v>
      </c>
      <c r="W35" s="200">
        <v>15218481363</v>
      </c>
      <c r="X35" s="200" t="s">
        <v>645</v>
      </c>
      <c r="Y35" s="200">
        <v>15218481363</v>
      </c>
      <c r="Z35" s="218"/>
      <c r="AA35" s="218">
        <v>125</v>
      </c>
      <c r="AB35" s="218">
        <f t="shared" si="18"/>
        <v>23</v>
      </c>
      <c r="AC35" s="218">
        <v>0</v>
      </c>
      <c r="AD35" s="218">
        <v>23</v>
      </c>
      <c r="AE35" s="218">
        <v>0</v>
      </c>
      <c r="AF35" s="218">
        <f t="shared" si="19"/>
        <v>115</v>
      </c>
      <c r="AG35" s="265"/>
      <c r="AH35" s="247">
        <v>5</v>
      </c>
      <c r="AI35" s="247">
        <v>5</v>
      </c>
      <c r="AJ35" s="247">
        <v>5</v>
      </c>
      <c r="AK35" s="247">
        <v>5</v>
      </c>
      <c r="AL35" s="247"/>
      <c r="AM35" s="247">
        <f t="shared" si="0"/>
        <v>20</v>
      </c>
      <c r="AN35" s="245">
        <f t="shared" si="20"/>
        <v>2.78260869565217</v>
      </c>
      <c r="AO35" s="243">
        <v>46090</v>
      </c>
      <c r="AP35" s="268">
        <v>5</v>
      </c>
      <c r="AQ35" s="253">
        <v>5</v>
      </c>
      <c r="AR35" s="269">
        <v>5</v>
      </c>
      <c r="AS35" s="269">
        <v>5</v>
      </c>
      <c r="AT35" s="254">
        <v>5</v>
      </c>
      <c r="AU35" s="244">
        <f t="shared" si="1"/>
        <v>25</v>
      </c>
      <c r="AV35" s="248">
        <f t="shared" si="2"/>
        <v>3.47826086956522</v>
      </c>
      <c r="AW35" s="252">
        <v>46098</v>
      </c>
      <c r="AX35" s="253">
        <v>5</v>
      </c>
      <c r="AY35" s="254">
        <v>5</v>
      </c>
      <c r="AZ35" s="254">
        <v>5</v>
      </c>
      <c r="BA35" s="254">
        <v>5</v>
      </c>
      <c r="BB35" s="254"/>
      <c r="BC35" s="244">
        <f t="shared" si="3"/>
        <v>20</v>
      </c>
      <c r="BD35" s="248">
        <f t="shared" si="4"/>
        <v>2.78260869565217</v>
      </c>
      <c r="BE35" s="252">
        <v>46120</v>
      </c>
      <c r="BF35" s="253">
        <v>5</v>
      </c>
      <c r="BG35" s="254">
        <v>6</v>
      </c>
      <c r="BH35" s="254">
        <v>6</v>
      </c>
      <c r="BI35" s="254">
        <v>6</v>
      </c>
      <c r="BJ35" s="254"/>
      <c r="BK35" s="244">
        <f t="shared" ref="BK35:BK66" si="63">BF35+BG35+BH35+BI35+BJ35</f>
        <v>23</v>
      </c>
      <c r="BL35" s="248">
        <f t="shared" si="6"/>
        <v>3.2</v>
      </c>
      <c r="BM35" s="246">
        <f t="shared" si="54"/>
        <v>46142.4</v>
      </c>
      <c r="BN35" s="224"/>
      <c r="BO35" s="218"/>
      <c r="BP35" s="218"/>
      <c r="BQ35" s="218"/>
      <c r="BR35" s="218"/>
      <c r="BS35" s="250"/>
      <c r="BT35" s="245">
        <f t="shared" si="7"/>
        <v>0</v>
      </c>
      <c r="BU35" s="249"/>
      <c r="BV35" s="224"/>
      <c r="BW35" s="218"/>
      <c r="BX35" s="218"/>
      <c r="BY35" s="218"/>
      <c r="BZ35" s="218"/>
      <c r="CA35" s="218"/>
      <c r="CB35" s="245">
        <f t="shared" si="8"/>
        <v>0</v>
      </c>
      <c r="CC35" s="249"/>
      <c r="CD35" s="224"/>
      <c r="CE35" s="218"/>
      <c r="CF35" s="218"/>
      <c r="CG35" s="218"/>
      <c r="CH35" s="218"/>
      <c r="CI35" s="218"/>
      <c r="CJ35" s="245">
        <f t="shared" si="9"/>
        <v>0</v>
      </c>
      <c r="CK35" s="246"/>
      <c r="CL35" s="224"/>
      <c r="CM35" s="218"/>
      <c r="CN35" s="218"/>
      <c r="CO35" s="218"/>
      <c r="CP35" s="218"/>
      <c r="CQ35" s="218"/>
      <c r="CR35" s="245">
        <f t="shared" si="10"/>
        <v>0</v>
      </c>
      <c r="CS35" s="218"/>
      <c r="CT35" s="224"/>
      <c r="CU35" s="218"/>
      <c r="CV35" s="218"/>
      <c r="CW35" s="218"/>
      <c r="CX35" s="218"/>
      <c r="CY35" s="218"/>
      <c r="CZ35" s="245">
        <f t="shared" si="11"/>
        <v>0</v>
      </c>
      <c r="DA35" s="218"/>
      <c r="DB35" s="224"/>
      <c r="DC35" s="218"/>
      <c r="DD35" s="218"/>
      <c r="DE35" s="218"/>
      <c r="DF35" s="218"/>
      <c r="DG35" s="218"/>
      <c r="DH35" s="218"/>
      <c r="DI35" s="218"/>
      <c r="DJ35" s="218"/>
      <c r="DK35" s="218"/>
      <c r="DL35" s="218"/>
      <c r="DM35" s="218"/>
      <c r="DN35" s="218"/>
      <c r="DO35" s="218"/>
      <c r="DP35" s="218"/>
      <c r="DQ35" s="227"/>
      <c r="DR35" s="224"/>
      <c r="DS35" s="218"/>
      <c r="DT35" s="218"/>
      <c r="DU35" s="218"/>
      <c r="DV35" s="218"/>
      <c r="DW35" s="218"/>
      <c r="DX35" s="218"/>
      <c r="DY35" s="218"/>
      <c r="DZ35" s="218"/>
      <c r="EA35" s="218"/>
      <c r="EB35" s="218"/>
      <c r="EC35" s="218"/>
      <c r="ED35" s="218"/>
      <c r="EE35" s="218"/>
      <c r="EF35" s="223">
        <f t="shared" ref="EF35:EJ35" si="64">AH35+AP35+AX35+BF35+BN35+BV35+CD35+CL35+CT35+DB35+DJ35+DR35+DZ35</f>
        <v>20</v>
      </c>
      <c r="EG35" s="223">
        <f t="shared" si="64"/>
        <v>21</v>
      </c>
      <c r="EH35" s="223">
        <f t="shared" si="64"/>
        <v>21</v>
      </c>
      <c r="EI35" s="223">
        <f t="shared" si="64"/>
        <v>21</v>
      </c>
      <c r="EJ35" s="223">
        <f t="shared" si="64"/>
        <v>5</v>
      </c>
      <c r="EK35" s="223">
        <f t="shared" si="13"/>
        <v>88</v>
      </c>
      <c r="EL35" s="218">
        <f t="shared" si="14"/>
        <v>2300</v>
      </c>
      <c r="EM35" s="218">
        <f t="shared" si="15"/>
        <v>143.75</v>
      </c>
      <c r="EN35" s="223">
        <f t="shared" si="16"/>
        <v>88</v>
      </c>
      <c r="EO35" s="226">
        <f t="shared" si="17"/>
        <v>55.75</v>
      </c>
      <c r="ER35" s="251"/>
      <c r="ES35" s="235" t="s">
        <v>646</v>
      </c>
      <c r="ET35" s="235" t="s">
        <v>647</v>
      </c>
      <c r="EU35" s="235" t="s">
        <v>648</v>
      </c>
    </row>
    <row r="36" s="200" customFormat="1" customHeight="1" spans="1:151">
      <c r="A36" s="294"/>
      <c r="B36" s="218">
        <v>36</v>
      </c>
      <c r="C36" s="293" t="s">
        <v>649</v>
      </c>
      <c r="D36" s="220" t="s">
        <v>13</v>
      </c>
      <c r="E36" s="220" t="s">
        <v>405</v>
      </c>
      <c r="F36" s="220"/>
      <c r="G36" s="220"/>
      <c r="H36" s="239"/>
      <c r="I36" s="239"/>
      <c r="J36" s="220"/>
      <c r="K36" s="221"/>
      <c r="L36" s="239"/>
      <c r="M36" s="239" t="s">
        <v>650</v>
      </c>
      <c r="N36" s="221"/>
      <c r="O36" s="221" t="s">
        <v>651</v>
      </c>
      <c r="Q36" s="200" t="s">
        <v>408</v>
      </c>
      <c r="R36" s="200" t="s">
        <v>418</v>
      </c>
      <c r="S36" s="200" t="s">
        <v>418</v>
      </c>
      <c r="V36" s="200" t="s">
        <v>652</v>
      </c>
      <c r="W36" s="207" t="s">
        <v>653</v>
      </c>
      <c r="X36" s="200" t="s">
        <v>654</v>
      </c>
      <c r="Y36" s="240">
        <v>13417209327</v>
      </c>
      <c r="Z36" s="218"/>
      <c r="AA36" s="218">
        <v>200</v>
      </c>
      <c r="AB36" s="218">
        <f t="shared" si="18"/>
        <v>32</v>
      </c>
      <c r="AC36" s="218">
        <v>1</v>
      </c>
      <c r="AD36" s="218">
        <v>31</v>
      </c>
      <c r="AE36" s="218">
        <v>0</v>
      </c>
      <c r="AF36" s="218">
        <f t="shared" si="19"/>
        <v>160</v>
      </c>
      <c r="AG36" s="243">
        <v>46084</v>
      </c>
      <c r="AH36" s="244">
        <v>8</v>
      </c>
      <c r="AI36" s="244">
        <v>5</v>
      </c>
      <c r="AJ36" s="244">
        <v>5</v>
      </c>
      <c r="AK36" s="244">
        <v>5</v>
      </c>
      <c r="AL36" s="244">
        <v>5</v>
      </c>
      <c r="AM36" s="244">
        <f t="shared" si="0"/>
        <v>28</v>
      </c>
      <c r="AN36" s="245">
        <f t="shared" ref="AN36:AN67" si="65">AM36*16/AF36</f>
        <v>2.8</v>
      </c>
      <c r="AO36" s="301">
        <v>46099</v>
      </c>
      <c r="AP36" s="302">
        <v>10</v>
      </c>
      <c r="AQ36" s="303">
        <v>8</v>
      </c>
      <c r="AR36" s="303">
        <v>8</v>
      </c>
      <c r="AS36" s="303">
        <v>8</v>
      </c>
      <c r="AT36" s="303">
        <v>8</v>
      </c>
      <c r="AU36" s="290">
        <f t="shared" si="1"/>
        <v>42</v>
      </c>
      <c r="AV36" s="248">
        <f t="shared" si="2"/>
        <v>4.2</v>
      </c>
      <c r="AW36" s="255">
        <f>AO36+AV36*7</f>
        <v>46128.4</v>
      </c>
      <c r="AX36" s="304">
        <v>8</v>
      </c>
      <c r="AY36" s="278">
        <v>7</v>
      </c>
      <c r="AZ36" s="278">
        <v>7</v>
      </c>
      <c r="BA36" s="278">
        <v>7</v>
      </c>
      <c r="BB36" s="278">
        <v>7</v>
      </c>
      <c r="BC36" s="258">
        <f t="shared" si="3"/>
        <v>36</v>
      </c>
      <c r="BD36" s="248">
        <f t="shared" si="4"/>
        <v>3.6</v>
      </c>
      <c r="BE36" s="246">
        <f t="shared" ref="BE35:BE38" si="66">AW36+BD36*7</f>
        <v>46153.6</v>
      </c>
      <c r="BF36" s="224"/>
      <c r="BG36" s="218"/>
      <c r="BH36" s="218"/>
      <c r="BI36" s="218"/>
      <c r="BJ36" s="218"/>
      <c r="BK36" s="247">
        <f t="shared" si="63"/>
        <v>0</v>
      </c>
      <c r="BL36" s="248">
        <f t="shared" si="6"/>
        <v>0</v>
      </c>
      <c r="BM36" s="246">
        <f t="shared" si="54"/>
        <v>46153.6</v>
      </c>
      <c r="BN36" s="224"/>
      <c r="BO36" s="218"/>
      <c r="BP36" s="218"/>
      <c r="BQ36" s="218"/>
      <c r="BR36" s="218"/>
      <c r="BS36" s="250"/>
      <c r="BT36" s="245">
        <f t="shared" si="7"/>
        <v>0</v>
      </c>
      <c r="BU36" s="249"/>
      <c r="BV36" s="224"/>
      <c r="BW36" s="218"/>
      <c r="BX36" s="218"/>
      <c r="BY36" s="218"/>
      <c r="BZ36" s="218"/>
      <c r="CA36" s="218"/>
      <c r="CB36" s="245">
        <f t="shared" si="8"/>
        <v>0</v>
      </c>
      <c r="CC36" s="249"/>
      <c r="CD36" s="224"/>
      <c r="CE36" s="218"/>
      <c r="CF36" s="218"/>
      <c r="CG36" s="218"/>
      <c r="CH36" s="218"/>
      <c r="CI36" s="218"/>
      <c r="CJ36" s="245">
        <f t="shared" si="9"/>
        <v>0</v>
      </c>
      <c r="CK36" s="246"/>
      <c r="CL36" s="224"/>
      <c r="CM36" s="218"/>
      <c r="CN36" s="218"/>
      <c r="CO36" s="218"/>
      <c r="CP36" s="218"/>
      <c r="CQ36" s="218"/>
      <c r="CR36" s="245">
        <f t="shared" si="10"/>
        <v>0</v>
      </c>
      <c r="CS36" s="218"/>
      <c r="CT36" s="224"/>
      <c r="CU36" s="218"/>
      <c r="CV36" s="218"/>
      <c r="CW36" s="218"/>
      <c r="CX36" s="218"/>
      <c r="CY36" s="218"/>
      <c r="CZ36" s="245">
        <f t="shared" si="11"/>
        <v>0</v>
      </c>
      <c r="DA36" s="218"/>
      <c r="DB36" s="224"/>
      <c r="DC36" s="218"/>
      <c r="DD36" s="218"/>
      <c r="DE36" s="218"/>
      <c r="DF36" s="218"/>
      <c r="DG36" s="218"/>
      <c r="DH36" s="218"/>
      <c r="DI36" s="218"/>
      <c r="DJ36" s="218"/>
      <c r="DK36" s="218"/>
      <c r="DL36" s="218"/>
      <c r="DM36" s="218"/>
      <c r="DN36" s="218"/>
      <c r="DO36" s="218"/>
      <c r="DP36" s="218"/>
      <c r="DQ36" s="227"/>
      <c r="DR36" s="224"/>
      <c r="DS36" s="218"/>
      <c r="DT36" s="218"/>
      <c r="DU36" s="218"/>
      <c r="DV36" s="218"/>
      <c r="DW36" s="218"/>
      <c r="DX36" s="218"/>
      <c r="DY36" s="218"/>
      <c r="DZ36" s="218"/>
      <c r="EA36" s="218"/>
      <c r="EB36" s="218"/>
      <c r="EC36" s="218"/>
      <c r="ED36" s="218"/>
      <c r="EE36" s="218"/>
      <c r="EF36" s="223">
        <f t="shared" ref="EF36:EJ36" si="67">AH36+AP36+AX36+BF36+BN36+BV36+CD36+CL36+CT36+DB36+DJ36+DR36+DZ36</f>
        <v>26</v>
      </c>
      <c r="EG36" s="223">
        <f t="shared" si="67"/>
        <v>20</v>
      </c>
      <c r="EH36" s="223">
        <f t="shared" si="67"/>
        <v>20</v>
      </c>
      <c r="EI36" s="223">
        <f t="shared" si="67"/>
        <v>20</v>
      </c>
      <c r="EJ36" s="223">
        <f t="shared" si="67"/>
        <v>20</v>
      </c>
      <c r="EK36" s="223">
        <f t="shared" si="13"/>
        <v>106</v>
      </c>
      <c r="EL36" s="218">
        <f t="shared" si="14"/>
        <v>3200</v>
      </c>
      <c r="EM36" s="218">
        <f t="shared" si="15"/>
        <v>200</v>
      </c>
      <c r="EN36" s="223">
        <f t="shared" si="16"/>
        <v>106</v>
      </c>
      <c r="EO36" s="226">
        <f t="shared" si="17"/>
        <v>94</v>
      </c>
      <c r="ER36" s="251"/>
      <c r="ES36" s="235" t="s">
        <v>655</v>
      </c>
      <c r="ET36" s="235" t="s">
        <v>656</v>
      </c>
      <c r="EU36" s="235" t="s">
        <v>657</v>
      </c>
    </row>
    <row r="37" s="200" customFormat="1" customHeight="1" spans="1:151">
      <c r="A37" s="294"/>
      <c r="B37" s="218">
        <v>37</v>
      </c>
      <c r="C37" s="293" t="s">
        <v>287</v>
      </c>
      <c r="D37" s="220" t="s">
        <v>13</v>
      </c>
      <c r="E37" s="220" t="s">
        <v>405</v>
      </c>
      <c r="F37" s="220" t="s">
        <v>125</v>
      </c>
      <c r="G37" s="220" t="s">
        <v>288</v>
      </c>
      <c r="H37" s="239">
        <v>13413477527</v>
      </c>
      <c r="I37" s="239">
        <v>667527</v>
      </c>
      <c r="J37" s="220" t="s">
        <v>267</v>
      </c>
      <c r="K37" s="221">
        <v>13610569686</v>
      </c>
      <c r="L37" s="239">
        <v>619449</v>
      </c>
      <c r="M37" s="239"/>
      <c r="N37" s="221"/>
      <c r="O37" s="221" t="s">
        <v>658</v>
      </c>
      <c r="Q37" s="200" t="s">
        <v>408</v>
      </c>
      <c r="R37" s="200" t="s">
        <v>418</v>
      </c>
      <c r="S37" s="200" t="s">
        <v>418</v>
      </c>
      <c r="W37" s="207"/>
      <c r="X37" s="270" t="s">
        <v>659</v>
      </c>
      <c r="Y37" s="221">
        <v>13416502363</v>
      </c>
      <c r="Z37" s="218"/>
      <c r="AA37" s="218">
        <v>200</v>
      </c>
      <c r="AB37" s="218">
        <f t="shared" si="18"/>
        <v>71</v>
      </c>
      <c r="AC37" s="218">
        <v>7</v>
      </c>
      <c r="AD37" s="218">
        <v>64</v>
      </c>
      <c r="AE37" s="218">
        <v>0</v>
      </c>
      <c r="AF37" s="218">
        <f t="shared" si="19"/>
        <v>355</v>
      </c>
      <c r="AG37" s="243">
        <v>46084</v>
      </c>
      <c r="AH37" s="244">
        <v>15</v>
      </c>
      <c r="AI37" s="244">
        <v>10</v>
      </c>
      <c r="AJ37" s="244">
        <v>10</v>
      </c>
      <c r="AK37" s="244">
        <v>10</v>
      </c>
      <c r="AL37" s="244">
        <v>10</v>
      </c>
      <c r="AM37" s="244">
        <f t="shared" si="0"/>
        <v>55</v>
      </c>
      <c r="AN37" s="245">
        <f t="shared" si="65"/>
        <v>2.47887323943662</v>
      </c>
      <c r="AO37" s="243">
        <v>46097</v>
      </c>
      <c r="AP37" s="268">
        <v>8</v>
      </c>
      <c r="AQ37" s="269">
        <v>12</v>
      </c>
      <c r="AR37" s="269">
        <v>12</v>
      </c>
      <c r="AS37" s="269">
        <v>12</v>
      </c>
      <c r="AT37" s="269">
        <v>12</v>
      </c>
      <c r="AU37" s="244">
        <f t="shared" si="1"/>
        <v>56</v>
      </c>
      <c r="AV37" s="248">
        <f t="shared" si="2"/>
        <v>2.52394366197183</v>
      </c>
      <c r="AW37" s="260">
        <f>AO37+AV37*7</f>
        <v>46114.6676056338</v>
      </c>
      <c r="AX37" s="268">
        <v>9</v>
      </c>
      <c r="AY37" s="269">
        <v>13</v>
      </c>
      <c r="AZ37" s="269">
        <v>13</v>
      </c>
      <c r="BA37" s="269">
        <v>13</v>
      </c>
      <c r="BB37" s="269">
        <v>13</v>
      </c>
      <c r="BC37" s="244">
        <f t="shared" si="3"/>
        <v>61</v>
      </c>
      <c r="BD37" s="248">
        <f t="shared" si="4"/>
        <v>2.74929577464789</v>
      </c>
      <c r="BE37" s="255">
        <f t="shared" si="66"/>
        <v>46133.9126760563</v>
      </c>
      <c r="BF37" s="256">
        <v>9</v>
      </c>
      <c r="BG37" s="257">
        <v>13</v>
      </c>
      <c r="BH37" s="257">
        <v>13</v>
      </c>
      <c r="BI37" s="257">
        <v>13</v>
      </c>
      <c r="BJ37" s="257">
        <v>13</v>
      </c>
      <c r="BK37" s="258">
        <f t="shared" si="63"/>
        <v>61</v>
      </c>
      <c r="BL37" s="248">
        <f t="shared" si="6"/>
        <v>2.74929577464789</v>
      </c>
      <c r="BM37" s="246">
        <f t="shared" si="54"/>
        <v>46153.1577464788</v>
      </c>
      <c r="BN37" s="224"/>
      <c r="BO37" s="218"/>
      <c r="BP37" s="218"/>
      <c r="BQ37" s="218"/>
      <c r="BR37" s="218"/>
      <c r="BS37" s="250"/>
      <c r="BT37" s="245">
        <f t="shared" si="7"/>
        <v>0</v>
      </c>
      <c r="BU37" s="249"/>
      <c r="BV37" s="224"/>
      <c r="BW37" s="218"/>
      <c r="BX37" s="218"/>
      <c r="BY37" s="218"/>
      <c r="BZ37" s="218"/>
      <c r="CA37" s="218"/>
      <c r="CB37" s="245">
        <f t="shared" si="8"/>
        <v>0</v>
      </c>
      <c r="CC37" s="249"/>
      <c r="CD37" s="224"/>
      <c r="CE37" s="218"/>
      <c r="CF37" s="218"/>
      <c r="CG37" s="218"/>
      <c r="CH37" s="218"/>
      <c r="CI37" s="218"/>
      <c r="CJ37" s="245">
        <f t="shared" si="9"/>
        <v>0</v>
      </c>
      <c r="CK37" s="246"/>
      <c r="CL37" s="224"/>
      <c r="CM37" s="218"/>
      <c r="CN37" s="218"/>
      <c r="CO37" s="218"/>
      <c r="CP37" s="218"/>
      <c r="CQ37" s="218"/>
      <c r="CR37" s="245">
        <f t="shared" si="10"/>
        <v>0</v>
      </c>
      <c r="CS37" s="246"/>
      <c r="CT37" s="224"/>
      <c r="CU37" s="218"/>
      <c r="CV37" s="218"/>
      <c r="CW37" s="218"/>
      <c r="CX37" s="218"/>
      <c r="CY37" s="218"/>
      <c r="CZ37" s="245">
        <f t="shared" si="11"/>
        <v>0</v>
      </c>
      <c r="DA37" s="218"/>
      <c r="DB37" s="224"/>
      <c r="DC37" s="218"/>
      <c r="DD37" s="218"/>
      <c r="DE37" s="218"/>
      <c r="DF37" s="218"/>
      <c r="DG37" s="218"/>
      <c r="DH37" s="218"/>
      <c r="DI37" s="218"/>
      <c r="DJ37" s="218"/>
      <c r="DK37" s="218"/>
      <c r="DL37" s="218"/>
      <c r="DM37" s="218"/>
      <c r="DN37" s="218"/>
      <c r="DO37" s="218"/>
      <c r="DP37" s="218"/>
      <c r="DQ37" s="227"/>
      <c r="DR37" s="224"/>
      <c r="DS37" s="218"/>
      <c r="DT37" s="218"/>
      <c r="DU37" s="218"/>
      <c r="DV37" s="218"/>
      <c r="DW37" s="218"/>
      <c r="DX37" s="218"/>
      <c r="DY37" s="218"/>
      <c r="DZ37" s="218"/>
      <c r="EA37" s="218"/>
      <c r="EB37" s="218"/>
      <c r="EC37" s="218"/>
      <c r="ED37" s="218"/>
      <c r="EE37" s="218"/>
      <c r="EF37" s="223">
        <f t="shared" ref="EF37:EJ37" si="68">AH37+AP37+AX37+BF37+BN37+BV37+CD37+CL37+CT37+DB37+DJ37+DR37+DZ37</f>
        <v>41</v>
      </c>
      <c r="EG37" s="223">
        <f t="shared" si="68"/>
        <v>48</v>
      </c>
      <c r="EH37" s="223">
        <f t="shared" si="68"/>
        <v>48</v>
      </c>
      <c r="EI37" s="223">
        <f t="shared" si="68"/>
        <v>48</v>
      </c>
      <c r="EJ37" s="223">
        <f t="shared" si="68"/>
        <v>48</v>
      </c>
      <c r="EK37" s="223">
        <f t="shared" si="13"/>
        <v>233</v>
      </c>
      <c r="EL37" s="218">
        <f t="shared" si="14"/>
        <v>7100</v>
      </c>
      <c r="EM37" s="218">
        <f t="shared" si="15"/>
        <v>443.75</v>
      </c>
      <c r="EN37" s="223">
        <f t="shared" si="16"/>
        <v>233</v>
      </c>
      <c r="EO37" s="226">
        <f t="shared" si="17"/>
        <v>210.75</v>
      </c>
      <c r="ER37" s="251"/>
      <c r="ES37" s="235" t="s">
        <v>660</v>
      </c>
      <c r="ET37" s="235" t="s">
        <v>661</v>
      </c>
      <c r="EU37" s="235" t="s">
        <v>662</v>
      </c>
    </row>
    <row r="38" s="200" customFormat="1" ht="27.5" customHeight="1" spans="1:151">
      <c r="A38" s="294"/>
      <c r="B38" s="218">
        <v>38</v>
      </c>
      <c r="C38" s="238" t="s">
        <v>663</v>
      </c>
      <c r="E38" s="220" t="s">
        <v>405</v>
      </c>
      <c r="F38" s="220" t="s">
        <v>120</v>
      </c>
      <c r="G38" s="220" t="s">
        <v>282</v>
      </c>
      <c r="H38" s="220">
        <v>13828525988</v>
      </c>
      <c r="I38" s="220">
        <v>6988</v>
      </c>
      <c r="J38" s="220" t="s">
        <v>282</v>
      </c>
      <c r="K38" s="220">
        <v>13828525988</v>
      </c>
      <c r="L38" s="220">
        <v>6988</v>
      </c>
      <c r="N38" s="207"/>
      <c r="O38" s="207" t="s">
        <v>664</v>
      </c>
      <c r="Q38" s="200" t="s">
        <v>408</v>
      </c>
      <c r="R38" s="200" t="s">
        <v>409</v>
      </c>
      <c r="S38" s="200" t="s">
        <v>409</v>
      </c>
      <c r="V38" s="200" t="s">
        <v>665</v>
      </c>
      <c r="W38" s="207" t="s">
        <v>666</v>
      </c>
      <c r="X38" s="200" t="s">
        <v>667</v>
      </c>
      <c r="Y38" s="207" t="s">
        <v>666</v>
      </c>
      <c r="Z38" s="218"/>
      <c r="AA38" s="218">
        <v>200</v>
      </c>
      <c r="AB38" s="218">
        <f t="shared" si="18"/>
        <v>7</v>
      </c>
      <c r="AC38" s="218">
        <v>1</v>
      </c>
      <c r="AD38" s="218">
        <v>6</v>
      </c>
      <c r="AE38" s="218">
        <v>0</v>
      </c>
      <c r="AF38" s="218">
        <f t="shared" si="19"/>
        <v>35</v>
      </c>
      <c r="AG38" s="265"/>
      <c r="AH38" s="247"/>
      <c r="AI38" s="247"/>
      <c r="AJ38" s="247"/>
      <c r="AK38" s="247"/>
      <c r="AL38" s="247"/>
      <c r="AM38" s="247">
        <f t="shared" si="0"/>
        <v>0</v>
      </c>
      <c r="AN38" s="245">
        <f t="shared" si="65"/>
        <v>0</v>
      </c>
      <c r="AO38" s="305"/>
      <c r="AP38" s="306"/>
      <c r="AQ38" s="250"/>
      <c r="AR38" s="250"/>
      <c r="AS38" s="250"/>
      <c r="AT38" s="250"/>
      <c r="AU38" s="247">
        <f t="shared" si="1"/>
        <v>0</v>
      </c>
      <c r="AV38" s="248">
        <f t="shared" si="2"/>
        <v>0</v>
      </c>
      <c r="AW38" s="249"/>
      <c r="AX38" s="306"/>
      <c r="AY38" s="250"/>
      <c r="AZ38" s="250"/>
      <c r="BA38" s="250"/>
      <c r="BB38" s="250"/>
      <c r="BC38" s="247">
        <f t="shared" si="3"/>
        <v>0</v>
      </c>
      <c r="BD38" s="248">
        <f t="shared" si="4"/>
        <v>0</v>
      </c>
      <c r="BE38" s="246"/>
      <c r="BF38" s="224"/>
      <c r="BH38" s="218"/>
      <c r="BI38" s="218"/>
      <c r="BJ38" s="218"/>
      <c r="BK38" s="247">
        <f>BF38+BG39+BH38+BI38+BJ38</f>
        <v>0</v>
      </c>
      <c r="BL38" s="248">
        <f t="shared" si="6"/>
        <v>0</v>
      </c>
      <c r="BM38" s="246">
        <f t="shared" si="54"/>
        <v>0</v>
      </c>
      <c r="BN38" s="224"/>
      <c r="BO38" s="218"/>
      <c r="BP38" s="218"/>
      <c r="BQ38" s="218"/>
      <c r="BR38" s="218"/>
      <c r="BS38" s="250"/>
      <c r="BT38" s="245">
        <f t="shared" si="7"/>
        <v>0</v>
      </c>
      <c r="BU38" s="249"/>
      <c r="BV38" s="224"/>
      <c r="BW38" s="218"/>
      <c r="BX38" s="218"/>
      <c r="BY38" s="218"/>
      <c r="BZ38" s="218"/>
      <c r="CA38" s="218"/>
      <c r="CB38" s="245">
        <f t="shared" si="8"/>
        <v>0</v>
      </c>
      <c r="CC38" s="246"/>
      <c r="CD38" s="224"/>
      <c r="CE38" s="218"/>
      <c r="CF38" s="218"/>
      <c r="CG38" s="218"/>
      <c r="CH38" s="218"/>
      <c r="CI38" s="218"/>
      <c r="CJ38" s="245">
        <f t="shared" si="9"/>
        <v>0</v>
      </c>
      <c r="CK38" s="246"/>
      <c r="CL38" s="224"/>
      <c r="CM38" s="218"/>
      <c r="CN38" s="218"/>
      <c r="CO38" s="218"/>
      <c r="CP38" s="218"/>
      <c r="CQ38" s="218"/>
      <c r="CR38" s="245">
        <f t="shared" si="10"/>
        <v>0</v>
      </c>
      <c r="CS38" s="249"/>
      <c r="CT38" s="224"/>
      <c r="CU38" s="218"/>
      <c r="CV38" s="218"/>
      <c r="CW38" s="218"/>
      <c r="CX38" s="218"/>
      <c r="CY38" s="218"/>
      <c r="CZ38" s="245">
        <f t="shared" si="11"/>
        <v>0</v>
      </c>
      <c r="DA38" s="218"/>
      <c r="DB38" s="224"/>
      <c r="DC38" s="218"/>
      <c r="DD38" s="218"/>
      <c r="DE38" s="218"/>
      <c r="DF38" s="218"/>
      <c r="DG38" s="218"/>
      <c r="DH38" s="218"/>
      <c r="DI38" s="218"/>
      <c r="DJ38" s="218"/>
      <c r="DK38" s="218"/>
      <c r="DL38" s="218"/>
      <c r="DM38" s="218"/>
      <c r="DN38" s="218"/>
      <c r="DO38" s="218"/>
      <c r="DP38" s="218"/>
      <c r="DQ38" s="227"/>
      <c r="DR38" s="224"/>
      <c r="DS38" s="218"/>
      <c r="DT38" s="218"/>
      <c r="DU38" s="218"/>
      <c r="DV38" s="218"/>
      <c r="DW38" s="218"/>
      <c r="DX38" s="218"/>
      <c r="DY38" s="218"/>
      <c r="DZ38" s="218"/>
      <c r="EA38" s="218"/>
      <c r="EB38" s="218"/>
      <c r="EC38" s="218"/>
      <c r="ED38" s="218"/>
      <c r="EE38" s="218"/>
      <c r="EF38" s="223">
        <f>AH38+AP38+AX38+BF38+BN38+BV38+CD38+CL38+CT38+DB38+DJ38+DR38+DZ38</f>
        <v>0</v>
      </c>
      <c r="EG38" s="223">
        <f>AI38+AQ38+AY38+BG39+BO38+BW38+CE38+CM38+CU38+DC38+DK38+DS38+EA38</f>
        <v>0</v>
      </c>
      <c r="EH38" s="223">
        <f>AJ38+AR38+AZ38+BH38+BP38+BX38+CF38+CN38+CV38+DD38+DL38+DT38+EB38</f>
        <v>0</v>
      </c>
      <c r="EI38" s="223">
        <f>AK38+AS38+BA38+BI38+BQ38+BY38+CG38+CO38+CW38+DE38+DM38+DU38+EC38</f>
        <v>0</v>
      </c>
      <c r="EJ38" s="223">
        <f>AL38+AT38+BB38+BJ38+BR38+BZ38+CH38+CP38+CX38+DF38+DN38+DV38+ED38</f>
        <v>0</v>
      </c>
      <c r="EK38" s="223">
        <f t="shared" si="13"/>
        <v>0</v>
      </c>
      <c r="EL38" s="218">
        <f t="shared" si="14"/>
        <v>700</v>
      </c>
      <c r="EM38" s="218">
        <f t="shared" si="15"/>
        <v>43.75</v>
      </c>
      <c r="EN38" s="223">
        <f t="shared" si="16"/>
        <v>0</v>
      </c>
      <c r="EO38" s="226">
        <f t="shared" si="17"/>
        <v>43.75</v>
      </c>
      <c r="ER38" s="251"/>
      <c r="ES38" s="235" t="s">
        <v>668</v>
      </c>
      <c r="ET38" s="235" t="s">
        <v>669</v>
      </c>
      <c r="EU38" s="235" t="s">
        <v>670</v>
      </c>
    </row>
    <row r="39" s="200" customFormat="1" customHeight="1" spans="1:151">
      <c r="A39" s="294"/>
      <c r="B39" s="218">
        <v>39</v>
      </c>
      <c r="C39" s="293" t="s">
        <v>671</v>
      </c>
      <c r="D39" s="220"/>
      <c r="E39" s="220"/>
      <c r="F39" s="220" t="s">
        <v>120</v>
      </c>
      <c r="G39" s="220" t="s">
        <v>285</v>
      </c>
      <c r="H39" s="220">
        <v>13620584097</v>
      </c>
      <c r="I39" s="220">
        <v>684097</v>
      </c>
      <c r="J39" s="220" t="s">
        <v>285</v>
      </c>
      <c r="K39" s="220">
        <v>13620584097</v>
      </c>
      <c r="L39" s="220">
        <v>684097</v>
      </c>
      <c r="M39" s="239"/>
      <c r="N39" s="221"/>
      <c r="O39" s="221"/>
      <c r="W39" s="207"/>
      <c r="Y39" s="207"/>
      <c r="Z39" s="218"/>
      <c r="AA39" s="218">
        <v>200</v>
      </c>
      <c r="AB39" s="242">
        <f t="shared" si="18"/>
        <v>0</v>
      </c>
      <c r="AC39" s="218" t="s">
        <v>409</v>
      </c>
      <c r="AD39" s="218"/>
      <c r="AE39" s="218"/>
      <c r="AF39" s="218">
        <f t="shared" si="19"/>
        <v>0</v>
      </c>
      <c r="AG39" s="265"/>
      <c r="AH39" s="247"/>
      <c r="AI39" s="247"/>
      <c r="AJ39" s="247"/>
      <c r="AK39" s="247"/>
      <c r="AL39" s="247"/>
      <c r="AM39" s="247">
        <f t="shared" si="0"/>
        <v>0</v>
      </c>
      <c r="AN39" s="245" t="e">
        <f t="shared" si="65"/>
        <v>#DIV/0!</v>
      </c>
      <c r="AO39" s="305"/>
      <c r="AP39" s="306"/>
      <c r="AQ39" s="250"/>
      <c r="AR39" s="250" t="s">
        <v>672</v>
      </c>
      <c r="AS39" s="250"/>
      <c r="AT39" s="250"/>
      <c r="AU39" s="247">
        <f t="shared" si="1"/>
        <v>0</v>
      </c>
      <c r="AV39" s="248" t="e">
        <f t="shared" si="2"/>
        <v>#DIV/0!</v>
      </c>
      <c r="AW39" s="249"/>
      <c r="AX39" s="306"/>
      <c r="AY39" s="250"/>
      <c r="AZ39" s="250"/>
      <c r="BA39" s="250"/>
      <c r="BB39" s="250"/>
      <c r="BC39" s="247">
        <f t="shared" si="3"/>
        <v>0</v>
      </c>
      <c r="BD39" s="248" t="e">
        <f t="shared" si="4"/>
        <v>#DIV/0!</v>
      </c>
      <c r="BE39" s="249"/>
      <c r="BF39" s="224"/>
      <c r="BG39" s="218"/>
      <c r="BH39" s="218"/>
      <c r="BI39" s="218"/>
      <c r="BJ39" s="218"/>
      <c r="BK39" s="247" t="e">
        <f>BF39+#REF!+BH39+BI39+BJ39</f>
        <v>#REF!</v>
      </c>
      <c r="BL39" s="248" t="e">
        <f t="shared" si="6"/>
        <v>#REF!</v>
      </c>
      <c r="BM39" s="227"/>
      <c r="BN39" s="224"/>
      <c r="BO39" s="218"/>
      <c r="BP39" s="218"/>
      <c r="BQ39" s="218"/>
      <c r="BR39" s="218"/>
      <c r="BS39" s="250"/>
      <c r="BT39" s="245" t="e">
        <f t="shared" si="7"/>
        <v>#DIV/0!</v>
      </c>
      <c r="BU39" s="249"/>
      <c r="BV39" s="224"/>
      <c r="BW39" s="218"/>
      <c r="BX39" s="218"/>
      <c r="BY39" s="218"/>
      <c r="BZ39" s="218"/>
      <c r="CA39" s="218"/>
      <c r="CB39" s="245" t="e">
        <f t="shared" si="8"/>
        <v>#DIV/0!</v>
      </c>
      <c r="CC39" s="249"/>
      <c r="CD39" s="224"/>
      <c r="CE39" s="218"/>
      <c r="CF39" s="218"/>
      <c r="CG39" s="218"/>
      <c r="CH39" s="218"/>
      <c r="CI39" s="218"/>
      <c r="CJ39" s="245" t="e">
        <f t="shared" si="9"/>
        <v>#DIV/0!</v>
      </c>
      <c r="CK39" s="249"/>
      <c r="CL39" s="224"/>
      <c r="CM39" s="218"/>
      <c r="CN39" s="218"/>
      <c r="CO39" s="218"/>
      <c r="CP39" s="218"/>
      <c r="CQ39" s="218"/>
      <c r="CR39" s="245" t="e">
        <f t="shared" si="10"/>
        <v>#DIV/0!</v>
      </c>
      <c r="CS39" s="249"/>
      <c r="CT39" s="224"/>
      <c r="CU39" s="218"/>
      <c r="CV39" s="218"/>
      <c r="CW39" s="218"/>
      <c r="CX39" s="218"/>
      <c r="CY39" s="218"/>
      <c r="CZ39" s="245" t="e">
        <f t="shared" si="11"/>
        <v>#DIV/0!</v>
      </c>
      <c r="DA39" s="218"/>
      <c r="DB39" s="224"/>
      <c r="DC39" s="218"/>
      <c r="DD39" s="218"/>
      <c r="DE39" s="218"/>
      <c r="DF39" s="218"/>
      <c r="DG39" s="218"/>
      <c r="DH39" s="218"/>
      <c r="DI39" s="218"/>
      <c r="DJ39" s="218"/>
      <c r="DK39" s="218"/>
      <c r="DL39" s="218"/>
      <c r="DM39" s="218"/>
      <c r="DN39" s="218"/>
      <c r="DO39" s="218"/>
      <c r="DP39" s="218"/>
      <c r="DQ39" s="227"/>
      <c r="DR39" s="224"/>
      <c r="DS39" s="218"/>
      <c r="DT39" s="218"/>
      <c r="DU39" s="218"/>
      <c r="DV39" s="218"/>
      <c r="DW39" s="218"/>
      <c r="DX39" s="218"/>
      <c r="DY39" s="218"/>
      <c r="DZ39" s="218"/>
      <c r="EA39" s="218"/>
      <c r="EB39" s="218"/>
      <c r="EC39" s="218"/>
      <c r="ED39" s="218"/>
      <c r="EE39" s="218"/>
      <c r="EF39" s="223">
        <f>AH39+AP39+AX39+BF39+BN39+BV39+CD39+CL39+CT39+DB39+DJ39+DR39+DZ39</f>
        <v>0</v>
      </c>
      <c r="EG39" s="223" t="e">
        <f>AI39+AQ39+AY39+#REF!+BO39+BW39+CE39+CM39+CU39+DC39+DK39+DS39+EA39</f>
        <v>#REF!</v>
      </c>
      <c r="EH39" s="223" t="e">
        <f>AJ39+AR39+AZ39+BH39+BP39+BX39+CF39+CN39+CV39+DD39+DL39+DT39+EB39</f>
        <v>#VALUE!</v>
      </c>
      <c r="EI39" s="223">
        <f>AK39+AS39+BA39+BI39+BQ39+BY39+CG39+CO39+CW39+DE39+DM39+DU39+EC39</f>
        <v>0</v>
      </c>
      <c r="EJ39" s="223">
        <f>AL39+AT39+BB39+BJ39+BR39+BZ39+CH39+CP39+CX39+DF39+DN39+DV39+ED39</f>
        <v>0</v>
      </c>
      <c r="EK39" s="223" t="e">
        <f t="shared" si="13"/>
        <v>#REF!</v>
      </c>
      <c r="EL39" s="218">
        <f t="shared" si="14"/>
        <v>0</v>
      </c>
      <c r="EM39" s="218">
        <f t="shared" si="15"/>
        <v>0</v>
      </c>
      <c r="EN39" s="223" t="e">
        <f t="shared" si="16"/>
        <v>#REF!</v>
      </c>
      <c r="EO39" s="226" t="e">
        <f t="shared" si="17"/>
        <v>#REF!</v>
      </c>
      <c r="ER39" s="251"/>
      <c r="ES39" s="235" t="s">
        <v>673</v>
      </c>
      <c r="ET39" s="235" t="s">
        <v>674</v>
      </c>
      <c r="EU39" s="235" t="s">
        <v>675</v>
      </c>
    </row>
    <row r="40" s="200" customFormat="1" customHeight="1" spans="1:151">
      <c r="A40" s="294"/>
      <c r="B40" s="218">
        <v>40</v>
      </c>
      <c r="C40" s="295" t="s">
        <v>676</v>
      </c>
      <c r="D40" s="220"/>
      <c r="E40" s="220"/>
      <c r="F40" s="220"/>
      <c r="G40" s="220" t="s">
        <v>677</v>
      </c>
      <c r="H40" s="221" t="s">
        <v>678</v>
      </c>
      <c r="I40" s="239"/>
      <c r="J40" s="220"/>
      <c r="K40" s="221"/>
      <c r="L40" s="239"/>
      <c r="M40" s="239"/>
      <c r="N40" s="221"/>
      <c r="O40" s="221"/>
      <c r="W40" s="207"/>
      <c r="X40" s="270"/>
      <c r="Y40" s="221"/>
      <c r="Z40" s="218"/>
      <c r="AA40" s="218">
        <v>125</v>
      </c>
      <c r="AB40" s="242">
        <f t="shared" si="18"/>
        <v>0</v>
      </c>
      <c r="AC40" s="218" t="s">
        <v>409</v>
      </c>
      <c r="AD40" s="218"/>
      <c r="AE40" s="218"/>
      <c r="AF40" s="218">
        <f t="shared" si="19"/>
        <v>0</v>
      </c>
      <c r="AG40" s="265"/>
      <c r="AH40" s="247"/>
      <c r="AI40" s="247"/>
      <c r="AJ40" s="247"/>
      <c r="AK40" s="247"/>
      <c r="AL40" s="247"/>
      <c r="AM40" s="247">
        <f t="shared" si="0"/>
        <v>0</v>
      </c>
      <c r="AN40" s="245" t="e">
        <f t="shared" si="65"/>
        <v>#DIV/0!</v>
      </c>
      <c r="AO40" s="249"/>
      <c r="AP40" s="306"/>
      <c r="AQ40" s="250"/>
      <c r="AR40" s="250"/>
      <c r="AS40" s="250"/>
      <c r="AT40" s="250"/>
      <c r="AU40" s="247">
        <f t="shared" si="1"/>
        <v>0</v>
      </c>
      <c r="AV40" s="248" t="e">
        <f t="shared" si="2"/>
        <v>#DIV/0!</v>
      </c>
      <c r="AW40" s="249"/>
      <c r="AX40" s="224"/>
      <c r="AY40" s="218"/>
      <c r="AZ40" s="218"/>
      <c r="BA40" s="218"/>
      <c r="BB40" s="218"/>
      <c r="BC40" s="247">
        <f t="shared" si="3"/>
        <v>0</v>
      </c>
      <c r="BD40" s="248" t="e">
        <f t="shared" si="4"/>
        <v>#DIV/0!</v>
      </c>
      <c r="BE40" s="249"/>
      <c r="BF40" s="224"/>
      <c r="BG40" s="218"/>
      <c r="BH40" s="218"/>
      <c r="BI40" s="218"/>
      <c r="BJ40" s="218"/>
      <c r="BK40" s="247">
        <f t="shared" si="63"/>
        <v>0</v>
      </c>
      <c r="BL40" s="248" t="e">
        <f t="shared" si="6"/>
        <v>#DIV/0!</v>
      </c>
      <c r="BM40" s="246" t="e">
        <f t="shared" ref="BM40:BM46" si="69">BE40+BL40*7</f>
        <v>#DIV/0!</v>
      </c>
      <c r="BN40" s="224"/>
      <c r="BO40" s="218"/>
      <c r="BP40" s="218"/>
      <c r="BQ40" s="218"/>
      <c r="BR40" s="218"/>
      <c r="BS40" s="250"/>
      <c r="BT40" s="245" t="e">
        <f t="shared" si="7"/>
        <v>#DIV/0!</v>
      </c>
      <c r="BU40" s="249"/>
      <c r="BV40" s="224"/>
      <c r="BW40" s="218"/>
      <c r="BX40" s="218"/>
      <c r="BY40" s="218"/>
      <c r="BZ40" s="218"/>
      <c r="CA40" s="218"/>
      <c r="CB40" s="245" t="e">
        <f t="shared" si="8"/>
        <v>#DIV/0!</v>
      </c>
      <c r="CC40" s="218"/>
      <c r="CD40" s="224"/>
      <c r="CE40" s="218"/>
      <c r="CF40" s="218"/>
      <c r="CG40" s="218"/>
      <c r="CH40" s="218"/>
      <c r="CI40" s="218"/>
      <c r="CJ40" s="245" t="e">
        <f t="shared" si="9"/>
        <v>#DIV/0!</v>
      </c>
      <c r="CK40" s="218"/>
      <c r="CL40" s="224"/>
      <c r="CM40" s="218"/>
      <c r="CN40" s="218"/>
      <c r="CO40" s="218"/>
      <c r="CP40" s="218"/>
      <c r="CQ40" s="218"/>
      <c r="CR40" s="245" t="e">
        <f t="shared" si="10"/>
        <v>#DIV/0!</v>
      </c>
      <c r="CS40" s="218"/>
      <c r="CT40" s="224"/>
      <c r="CU40" s="218"/>
      <c r="CV40" s="218"/>
      <c r="CW40" s="218"/>
      <c r="CX40" s="218"/>
      <c r="CY40" s="218"/>
      <c r="CZ40" s="245" t="e">
        <f t="shared" si="11"/>
        <v>#DIV/0!</v>
      </c>
      <c r="DA40" s="218"/>
      <c r="DB40" s="224"/>
      <c r="DC40" s="218"/>
      <c r="DD40" s="218"/>
      <c r="DE40" s="218"/>
      <c r="DF40" s="218"/>
      <c r="DG40" s="218"/>
      <c r="DH40" s="218"/>
      <c r="DI40" s="218"/>
      <c r="DJ40" s="218"/>
      <c r="DK40" s="218"/>
      <c r="DL40" s="218"/>
      <c r="DM40" s="218"/>
      <c r="DN40" s="218"/>
      <c r="DO40" s="218"/>
      <c r="DP40" s="218"/>
      <c r="DQ40" s="227"/>
      <c r="DR40" s="224"/>
      <c r="DS40" s="218"/>
      <c r="DT40" s="218"/>
      <c r="DU40" s="218"/>
      <c r="DV40" s="218"/>
      <c r="DW40" s="218"/>
      <c r="DX40" s="218"/>
      <c r="DY40" s="218"/>
      <c r="DZ40" s="218"/>
      <c r="EA40" s="218"/>
      <c r="EB40" s="218"/>
      <c r="EC40" s="218"/>
      <c r="ED40" s="218"/>
      <c r="EE40" s="218"/>
      <c r="EF40" s="223">
        <f t="shared" ref="EF40:EJ40" si="70">AH40+AP40+AX40+BF40+BN40+BV40+CD40+CL40+CT40+DB40+DJ40+DR40+DZ40</f>
        <v>0</v>
      </c>
      <c r="EG40" s="223">
        <f t="shared" si="70"/>
        <v>0</v>
      </c>
      <c r="EH40" s="223">
        <f t="shared" si="70"/>
        <v>0</v>
      </c>
      <c r="EI40" s="223">
        <f t="shared" si="70"/>
        <v>0</v>
      </c>
      <c r="EJ40" s="223">
        <f t="shared" si="70"/>
        <v>0</v>
      </c>
      <c r="EK40" s="223">
        <f t="shared" si="13"/>
        <v>0</v>
      </c>
      <c r="EL40" s="218">
        <f t="shared" si="14"/>
        <v>0</v>
      </c>
      <c r="EM40" s="218">
        <f t="shared" si="15"/>
        <v>0</v>
      </c>
      <c r="EN40" s="223">
        <f t="shared" si="16"/>
        <v>0</v>
      </c>
      <c r="EO40" s="226">
        <f t="shared" si="17"/>
        <v>0</v>
      </c>
      <c r="ER40" s="251"/>
      <c r="ES40" s="235" t="s">
        <v>679</v>
      </c>
      <c r="ET40" s="235" t="s">
        <v>680</v>
      </c>
      <c r="EU40" s="235" t="s">
        <v>681</v>
      </c>
    </row>
    <row r="41" s="200" customFormat="1" customHeight="1" spans="1:151">
      <c r="A41" s="294"/>
      <c r="B41" s="218">
        <v>41</v>
      </c>
      <c r="C41" s="295" t="s">
        <v>682</v>
      </c>
      <c r="E41" s="220" t="s">
        <v>405</v>
      </c>
      <c r="J41" s="200" t="s">
        <v>553</v>
      </c>
      <c r="K41" s="207"/>
      <c r="N41" s="207"/>
      <c r="O41" s="207" t="s">
        <v>664</v>
      </c>
      <c r="Q41" s="200" t="s">
        <v>408</v>
      </c>
      <c r="R41" s="200" t="s">
        <v>409</v>
      </c>
      <c r="S41" s="200" t="s">
        <v>409</v>
      </c>
      <c r="V41" s="200" t="s">
        <v>665</v>
      </c>
      <c r="W41" s="207" t="s">
        <v>666</v>
      </c>
      <c r="X41" s="200" t="s">
        <v>667</v>
      </c>
      <c r="Y41" s="207" t="s">
        <v>666</v>
      </c>
      <c r="Z41" s="218"/>
      <c r="AA41" s="218">
        <v>125</v>
      </c>
      <c r="AB41" s="242">
        <f t="shared" si="18"/>
        <v>0</v>
      </c>
      <c r="AC41" s="218" t="s">
        <v>409</v>
      </c>
      <c r="AD41" s="218"/>
      <c r="AE41" s="218"/>
      <c r="AF41" s="218">
        <f t="shared" si="19"/>
        <v>0</v>
      </c>
      <c r="AG41" s="265"/>
      <c r="AH41" s="247"/>
      <c r="AI41" s="247"/>
      <c r="AJ41" s="247"/>
      <c r="AK41" s="247"/>
      <c r="AL41" s="247"/>
      <c r="AM41" s="247">
        <f t="shared" si="0"/>
        <v>0</v>
      </c>
      <c r="AN41" s="245" t="e">
        <f t="shared" si="65"/>
        <v>#DIV/0!</v>
      </c>
      <c r="AO41" s="249"/>
      <c r="AP41" s="306"/>
      <c r="AQ41" s="250"/>
      <c r="AR41" s="250"/>
      <c r="AS41" s="250"/>
      <c r="AT41" s="250"/>
      <c r="AU41" s="247">
        <f t="shared" si="1"/>
        <v>0</v>
      </c>
      <c r="AV41" s="248" t="e">
        <f t="shared" si="2"/>
        <v>#DIV/0!</v>
      </c>
      <c r="AW41" s="249"/>
      <c r="AX41" s="224"/>
      <c r="AY41" s="218"/>
      <c r="AZ41" s="218"/>
      <c r="BA41" s="218"/>
      <c r="BB41" s="218"/>
      <c r="BC41" s="247">
        <f t="shared" si="3"/>
        <v>0</v>
      </c>
      <c r="BD41" s="248" t="e">
        <f t="shared" si="4"/>
        <v>#DIV/0!</v>
      </c>
      <c r="BE41" s="249"/>
      <c r="BF41" s="224"/>
      <c r="BG41" s="218"/>
      <c r="BH41" s="218"/>
      <c r="BI41" s="218"/>
      <c r="BJ41" s="218"/>
      <c r="BK41" s="247">
        <f t="shared" si="63"/>
        <v>0</v>
      </c>
      <c r="BL41" s="248" t="e">
        <f t="shared" si="6"/>
        <v>#DIV/0!</v>
      </c>
      <c r="BM41" s="246" t="e">
        <f t="shared" si="69"/>
        <v>#DIV/0!</v>
      </c>
      <c r="BN41" s="224"/>
      <c r="BO41" s="218"/>
      <c r="BP41" s="218"/>
      <c r="BQ41" s="218"/>
      <c r="BR41" s="218"/>
      <c r="BS41" s="250"/>
      <c r="BT41" s="245" t="e">
        <f t="shared" si="7"/>
        <v>#DIV/0!</v>
      </c>
      <c r="BU41" s="218"/>
      <c r="BV41" s="224"/>
      <c r="BW41" s="218"/>
      <c r="BX41" s="218"/>
      <c r="BY41" s="218"/>
      <c r="BZ41" s="218"/>
      <c r="CA41" s="218"/>
      <c r="CB41" s="245" t="e">
        <f t="shared" si="8"/>
        <v>#DIV/0!</v>
      </c>
      <c r="CC41" s="218"/>
      <c r="CD41" s="224"/>
      <c r="CE41" s="218"/>
      <c r="CF41" s="218"/>
      <c r="CG41" s="218"/>
      <c r="CH41" s="218"/>
      <c r="CI41" s="218"/>
      <c r="CJ41" s="245" t="e">
        <f t="shared" si="9"/>
        <v>#DIV/0!</v>
      </c>
      <c r="CK41" s="218"/>
      <c r="CL41" s="224"/>
      <c r="CM41" s="218"/>
      <c r="CN41" s="218"/>
      <c r="CO41" s="218"/>
      <c r="CP41" s="218"/>
      <c r="CQ41" s="218"/>
      <c r="CR41" s="245" t="e">
        <f t="shared" si="10"/>
        <v>#DIV/0!</v>
      </c>
      <c r="CS41" s="218"/>
      <c r="CT41" s="224"/>
      <c r="CU41" s="218"/>
      <c r="CV41" s="218"/>
      <c r="CW41" s="218"/>
      <c r="CX41" s="218"/>
      <c r="CY41" s="218"/>
      <c r="CZ41" s="245" t="e">
        <f t="shared" si="11"/>
        <v>#DIV/0!</v>
      </c>
      <c r="DA41" s="218"/>
      <c r="DB41" s="224"/>
      <c r="DC41" s="218"/>
      <c r="DD41" s="218"/>
      <c r="DE41" s="218"/>
      <c r="DF41" s="218"/>
      <c r="DG41" s="218"/>
      <c r="DH41" s="218"/>
      <c r="DI41" s="218"/>
      <c r="DJ41" s="218"/>
      <c r="DK41" s="218"/>
      <c r="DL41" s="218"/>
      <c r="DM41" s="218"/>
      <c r="DN41" s="218"/>
      <c r="DO41" s="218"/>
      <c r="DP41" s="218"/>
      <c r="DQ41" s="227"/>
      <c r="DR41" s="224"/>
      <c r="DS41" s="218"/>
      <c r="DT41" s="218"/>
      <c r="DU41" s="218"/>
      <c r="DV41" s="218"/>
      <c r="DW41" s="218"/>
      <c r="DX41" s="218"/>
      <c r="DY41" s="218"/>
      <c r="DZ41" s="218"/>
      <c r="EA41" s="218"/>
      <c r="EB41" s="218"/>
      <c r="EC41" s="218"/>
      <c r="ED41" s="218"/>
      <c r="EE41" s="218"/>
      <c r="EF41" s="223">
        <f t="shared" ref="EF41:EJ41" si="71">AH41+AP41+AX41+BF41+BN41+BV41+CD41+CL41+CT41+DB41+DJ41+DR41+DZ41</f>
        <v>0</v>
      </c>
      <c r="EG41" s="223">
        <f t="shared" si="71"/>
        <v>0</v>
      </c>
      <c r="EH41" s="223">
        <f t="shared" si="71"/>
        <v>0</v>
      </c>
      <c r="EI41" s="223">
        <f t="shared" si="71"/>
        <v>0</v>
      </c>
      <c r="EJ41" s="223">
        <f t="shared" si="71"/>
        <v>0</v>
      </c>
      <c r="EK41" s="223">
        <f t="shared" si="13"/>
        <v>0</v>
      </c>
      <c r="EL41" s="218">
        <f t="shared" si="14"/>
        <v>0</v>
      </c>
      <c r="EM41" s="218">
        <f t="shared" si="15"/>
        <v>0</v>
      </c>
      <c r="EN41" s="223">
        <f t="shared" si="16"/>
        <v>0</v>
      </c>
      <c r="EO41" s="226">
        <f t="shared" si="17"/>
        <v>0</v>
      </c>
      <c r="ER41" s="251"/>
      <c r="ES41" s="235" t="s">
        <v>683</v>
      </c>
      <c r="ET41" s="235" t="s">
        <v>684</v>
      </c>
      <c r="EU41" s="235" t="s">
        <v>685</v>
      </c>
    </row>
    <row r="42" s="200" customFormat="1" customHeight="1" spans="1:151">
      <c r="A42" s="294"/>
      <c r="B42" s="218">
        <v>42</v>
      </c>
      <c r="C42" s="293" t="s">
        <v>686</v>
      </c>
      <c r="E42" s="220"/>
      <c r="G42" s="200" t="s">
        <v>624</v>
      </c>
      <c r="H42" s="207" t="s">
        <v>687</v>
      </c>
      <c r="K42" s="207"/>
      <c r="N42" s="207"/>
      <c r="O42" s="207"/>
      <c r="W42" s="207"/>
      <c r="Y42" s="207"/>
      <c r="Z42" s="218"/>
      <c r="AA42" s="218">
        <v>125</v>
      </c>
      <c r="AB42" s="218">
        <f t="shared" si="18"/>
        <v>9</v>
      </c>
      <c r="AC42" s="218">
        <v>1</v>
      </c>
      <c r="AD42" s="218">
        <v>8</v>
      </c>
      <c r="AE42" s="218">
        <v>2</v>
      </c>
      <c r="AF42" s="218">
        <f t="shared" si="19"/>
        <v>45</v>
      </c>
      <c r="AG42" s="243">
        <v>46084</v>
      </c>
      <c r="AH42" s="244">
        <v>2</v>
      </c>
      <c r="AI42" s="244">
        <v>1</v>
      </c>
      <c r="AJ42" s="244">
        <v>1</v>
      </c>
      <c r="AK42" s="244">
        <v>1</v>
      </c>
      <c r="AL42" s="244"/>
      <c r="AM42" s="244">
        <f t="shared" si="0"/>
        <v>5</v>
      </c>
      <c r="AN42" s="245">
        <f t="shared" si="65"/>
        <v>1.77777777777778</v>
      </c>
      <c r="AO42" s="252">
        <v>46097</v>
      </c>
      <c r="AP42" s="268"/>
      <c r="AQ42" s="269">
        <v>2</v>
      </c>
      <c r="AR42" s="269">
        <v>2</v>
      </c>
      <c r="AS42" s="269">
        <v>2</v>
      </c>
      <c r="AT42" s="269"/>
      <c r="AU42" s="244">
        <f t="shared" si="1"/>
        <v>6</v>
      </c>
      <c r="AV42" s="248">
        <f t="shared" si="2"/>
        <v>2.13333333333333</v>
      </c>
      <c r="AW42" s="252">
        <v>46112</v>
      </c>
      <c r="AX42" s="253">
        <v>3</v>
      </c>
      <c r="AY42" s="254">
        <v>2</v>
      </c>
      <c r="AZ42" s="254">
        <v>2</v>
      </c>
      <c r="BA42" s="254">
        <v>2</v>
      </c>
      <c r="BB42" s="254"/>
      <c r="BC42" s="244">
        <f t="shared" si="3"/>
        <v>9</v>
      </c>
      <c r="BD42" s="248">
        <f t="shared" si="4"/>
        <v>3.2</v>
      </c>
      <c r="BE42" s="255">
        <f t="shared" ref="BE42:BE46" si="72">AW42+BD42*7</f>
        <v>46134.4</v>
      </c>
      <c r="BF42" s="256">
        <v>1</v>
      </c>
      <c r="BG42" s="257">
        <v>3</v>
      </c>
      <c r="BH42" s="257">
        <v>3</v>
      </c>
      <c r="BI42" s="257">
        <v>3</v>
      </c>
      <c r="BJ42" s="257"/>
      <c r="BK42" s="258">
        <f t="shared" si="63"/>
        <v>10</v>
      </c>
      <c r="BL42" s="248">
        <f t="shared" si="6"/>
        <v>3.55555555555556</v>
      </c>
      <c r="BM42" s="246">
        <f t="shared" si="69"/>
        <v>46159.2888888889</v>
      </c>
      <c r="BN42" s="224"/>
      <c r="BO42" s="218"/>
      <c r="BP42" s="218"/>
      <c r="BQ42" s="218"/>
      <c r="BR42" s="218"/>
      <c r="BS42" s="250"/>
      <c r="BT42" s="245">
        <f t="shared" si="7"/>
        <v>0</v>
      </c>
      <c r="BU42" s="249"/>
      <c r="BV42" s="224"/>
      <c r="BW42" s="218"/>
      <c r="BX42" s="218"/>
      <c r="BY42" s="218"/>
      <c r="BZ42" s="218"/>
      <c r="CA42" s="218"/>
      <c r="CB42" s="245">
        <f t="shared" si="8"/>
        <v>0</v>
      </c>
      <c r="CC42" s="242"/>
      <c r="CD42" s="224"/>
      <c r="CE42" s="218"/>
      <c r="CF42" s="218"/>
      <c r="CG42" s="218"/>
      <c r="CH42" s="218"/>
      <c r="CI42" s="218"/>
      <c r="CJ42" s="245">
        <f t="shared" si="9"/>
        <v>0</v>
      </c>
      <c r="CK42" s="218"/>
      <c r="CL42" s="224"/>
      <c r="CM42" s="218"/>
      <c r="CN42" s="218"/>
      <c r="CO42" s="218"/>
      <c r="CP42" s="218"/>
      <c r="CQ42" s="218"/>
      <c r="CR42" s="245">
        <f t="shared" si="10"/>
        <v>0</v>
      </c>
      <c r="CS42" s="218"/>
      <c r="CT42" s="224"/>
      <c r="CU42" s="218"/>
      <c r="CV42" s="218"/>
      <c r="CW42" s="218"/>
      <c r="CX42" s="218"/>
      <c r="CY42" s="218"/>
      <c r="CZ42" s="245">
        <f t="shared" si="11"/>
        <v>0</v>
      </c>
      <c r="DA42" s="218"/>
      <c r="DB42" s="224"/>
      <c r="DC42" s="218"/>
      <c r="DD42" s="218"/>
      <c r="DE42" s="218"/>
      <c r="DF42" s="218"/>
      <c r="DG42" s="218"/>
      <c r="DH42" s="218"/>
      <c r="DI42" s="218"/>
      <c r="DJ42" s="218"/>
      <c r="DK42" s="218"/>
      <c r="DL42" s="218"/>
      <c r="DM42" s="218"/>
      <c r="DN42" s="218"/>
      <c r="DO42" s="218"/>
      <c r="DP42" s="218"/>
      <c r="DQ42" s="227"/>
      <c r="DR42" s="224"/>
      <c r="DS42" s="218"/>
      <c r="DT42" s="218"/>
      <c r="DU42" s="218"/>
      <c r="DV42" s="218"/>
      <c r="DW42" s="218"/>
      <c r="DX42" s="218"/>
      <c r="DY42" s="218"/>
      <c r="DZ42" s="218"/>
      <c r="EA42" s="218"/>
      <c r="EB42" s="218"/>
      <c r="EC42" s="218"/>
      <c r="ED42" s="218"/>
      <c r="EE42" s="218"/>
      <c r="EF42" s="223">
        <f t="shared" ref="EF42:EJ42" si="73">AH42+AP42+AX42+BF42+BN42+BV42+CD42+CL42+CT42+DB42+DJ42+DR42+DZ42</f>
        <v>6</v>
      </c>
      <c r="EG42" s="223">
        <f t="shared" si="73"/>
        <v>8</v>
      </c>
      <c r="EH42" s="223">
        <f t="shared" si="73"/>
        <v>8</v>
      </c>
      <c r="EI42" s="223">
        <f t="shared" si="73"/>
        <v>8</v>
      </c>
      <c r="EJ42" s="223">
        <f t="shared" si="73"/>
        <v>0</v>
      </c>
      <c r="EK42" s="223">
        <f t="shared" si="13"/>
        <v>30</v>
      </c>
      <c r="EL42" s="218">
        <f t="shared" si="14"/>
        <v>900</v>
      </c>
      <c r="EM42" s="218">
        <f t="shared" si="15"/>
        <v>56.25</v>
      </c>
      <c r="EN42" s="223">
        <f t="shared" si="16"/>
        <v>30</v>
      </c>
      <c r="EO42" s="226">
        <f t="shared" si="17"/>
        <v>26.25</v>
      </c>
      <c r="ER42" s="251"/>
      <c r="ES42" s="235" t="s">
        <v>688</v>
      </c>
      <c r="ET42" s="235" t="s">
        <v>689</v>
      </c>
      <c r="EU42" s="235" t="s">
        <v>690</v>
      </c>
    </row>
    <row r="43" s="200" customFormat="1" customHeight="1" spans="1:151">
      <c r="A43" s="294"/>
      <c r="B43" s="218">
        <v>43</v>
      </c>
      <c r="C43" s="295" t="s">
        <v>691</v>
      </c>
      <c r="E43" s="220"/>
      <c r="K43" s="207"/>
      <c r="N43" s="207"/>
      <c r="O43" s="207"/>
      <c r="W43" s="207"/>
      <c r="Y43" s="207"/>
      <c r="Z43" s="218"/>
      <c r="AA43" s="218">
        <v>125</v>
      </c>
      <c r="AB43" s="242">
        <f t="shared" si="18"/>
        <v>0</v>
      </c>
      <c r="AC43" s="218" t="s">
        <v>409</v>
      </c>
      <c r="AD43" s="218"/>
      <c r="AE43" s="218"/>
      <c r="AF43" s="218">
        <f t="shared" si="19"/>
        <v>0</v>
      </c>
      <c r="AG43" s="265"/>
      <c r="AH43" s="247"/>
      <c r="AI43" s="247"/>
      <c r="AJ43" s="247"/>
      <c r="AK43" s="247"/>
      <c r="AL43" s="247"/>
      <c r="AM43" s="247">
        <f t="shared" si="0"/>
        <v>0</v>
      </c>
      <c r="AN43" s="245" t="e">
        <f t="shared" si="65"/>
        <v>#DIV/0!</v>
      </c>
      <c r="AO43" s="249"/>
      <c r="AP43" s="306"/>
      <c r="AQ43" s="250"/>
      <c r="AR43" s="250"/>
      <c r="AS43" s="250"/>
      <c r="AT43" s="250"/>
      <c r="AU43" s="247">
        <f t="shared" si="1"/>
        <v>0</v>
      </c>
      <c r="AV43" s="248" t="e">
        <f t="shared" si="2"/>
        <v>#DIV/0!</v>
      </c>
      <c r="AW43" s="249"/>
      <c r="AX43" s="224"/>
      <c r="AY43" s="218"/>
      <c r="AZ43" s="218"/>
      <c r="BA43" s="218"/>
      <c r="BB43" s="218"/>
      <c r="BC43" s="247">
        <f t="shared" si="3"/>
        <v>0</v>
      </c>
      <c r="BD43" s="248" t="e">
        <f t="shared" si="4"/>
        <v>#DIV/0!</v>
      </c>
      <c r="BE43" s="218"/>
      <c r="BF43" s="224"/>
      <c r="BG43" s="218"/>
      <c r="BH43" s="218"/>
      <c r="BI43" s="218"/>
      <c r="BJ43" s="218"/>
      <c r="BK43" s="247">
        <f t="shared" si="63"/>
        <v>0</v>
      </c>
      <c r="BL43" s="248" t="e">
        <f t="shared" si="6"/>
        <v>#DIV/0!</v>
      </c>
      <c r="BM43" s="246" t="e">
        <f t="shared" si="69"/>
        <v>#DIV/0!</v>
      </c>
      <c r="BN43" s="224"/>
      <c r="BO43" s="218"/>
      <c r="BP43" s="218"/>
      <c r="BQ43" s="218"/>
      <c r="BR43" s="218"/>
      <c r="BS43" s="250"/>
      <c r="BT43" s="245" t="e">
        <f t="shared" si="7"/>
        <v>#DIV/0!</v>
      </c>
      <c r="BU43" s="218"/>
      <c r="BV43" s="224"/>
      <c r="BW43" s="218"/>
      <c r="BX43" s="218"/>
      <c r="BY43" s="218"/>
      <c r="BZ43" s="218"/>
      <c r="CA43" s="218"/>
      <c r="CB43" s="245" t="e">
        <f t="shared" si="8"/>
        <v>#DIV/0!</v>
      </c>
      <c r="CC43" s="218"/>
      <c r="CD43" s="224"/>
      <c r="CE43" s="218"/>
      <c r="CF43" s="218"/>
      <c r="CG43" s="218"/>
      <c r="CH43" s="218"/>
      <c r="CI43" s="218"/>
      <c r="CJ43" s="245" t="e">
        <f t="shared" si="9"/>
        <v>#DIV/0!</v>
      </c>
      <c r="CK43" s="218"/>
      <c r="CL43" s="224"/>
      <c r="CM43" s="218"/>
      <c r="CN43" s="218"/>
      <c r="CO43" s="218"/>
      <c r="CP43" s="218"/>
      <c r="CQ43" s="218"/>
      <c r="CR43" s="245" t="e">
        <f t="shared" si="10"/>
        <v>#DIV/0!</v>
      </c>
      <c r="CS43" s="218"/>
      <c r="CT43" s="224"/>
      <c r="CU43" s="218"/>
      <c r="CV43" s="218"/>
      <c r="CW43" s="218"/>
      <c r="CX43" s="218"/>
      <c r="CY43" s="218"/>
      <c r="CZ43" s="245" t="e">
        <f t="shared" si="11"/>
        <v>#DIV/0!</v>
      </c>
      <c r="DA43" s="218"/>
      <c r="DB43" s="224"/>
      <c r="DC43" s="218"/>
      <c r="DD43" s="218"/>
      <c r="DE43" s="218"/>
      <c r="DF43" s="218"/>
      <c r="DG43" s="218"/>
      <c r="DH43" s="218"/>
      <c r="DI43" s="218"/>
      <c r="DJ43" s="218"/>
      <c r="DK43" s="218"/>
      <c r="DL43" s="218"/>
      <c r="DM43" s="218"/>
      <c r="DN43" s="218"/>
      <c r="DO43" s="218"/>
      <c r="DP43" s="218"/>
      <c r="DQ43" s="227"/>
      <c r="DR43" s="224"/>
      <c r="DS43" s="218"/>
      <c r="DT43" s="218"/>
      <c r="DU43" s="218"/>
      <c r="DV43" s="218"/>
      <c r="DW43" s="218"/>
      <c r="DX43" s="218"/>
      <c r="DY43" s="218"/>
      <c r="DZ43" s="218"/>
      <c r="EA43" s="218"/>
      <c r="EB43" s="218"/>
      <c r="EC43" s="218"/>
      <c r="ED43" s="218"/>
      <c r="EE43" s="218"/>
      <c r="EF43" s="223">
        <f t="shared" ref="EF43:EJ43" si="74">AH43+AP43+AX43+BF43+BN43+BV43+CD43+CL43+CT43+DB43+DJ43+DR43+DZ43</f>
        <v>0</v>
      </c>
      <c r="EG43" s="223">
        <f t="shared" si="74"/>
        <v>0</v>
      </c>
      <c r="EH43" s="223">
        <f t="shared" si="74"/>
        <v>0</v>
      </c>
      <c r="EI43" s="223">
        <f t="shared" si="74"/>
        <v>0</v>
      </c>
      <c r="EJ43" s="223">
        <f t="shared" si="74"/>
        <v>0</v>
      </c>
      <c r="EK43" s="223">
        <f t="shared" si="13"/>
        <v>0</v>
      </c>
      <c r="EL43" s="218">
        <f t="shared" si="14"/>
        <v>0</v>
      </c>
      <c r="EM43" s="218">
        <f t="shared" si="15"/>
        <v>0</v>
      </c>
      <c r="EN43" s="223">
        <f t="shared" si="16"/>
        <v>0</v>
      </c>
      <c r="EO43" s="226">
        <f t="shared" si="17"/>
        <v>0</v>
      </c>
      <c r="ER43" s="251"/>
      <c r="ES43" s="235" t="s">
        <v>692</v>
      </c>
      <c r="ET43" s="235" t="s">
        <v>693</v>
      </c>
      <c r="EU43" s="235" t="s">
        <v>694</v>
      </c>
    </row>
    <row r="44" s="200" customFormat="1" customHeight="1" spans="1:151">
      <c r="A44" s="294"/>
      <c r="B44" s="218">
        <v>44</v>
      </c>
      <c r="C44" s="293" t="s">
        <v>299</v>
      </c>
      <c r="D44" s="220" t="s">
        <v>13</v>
      </c>
      <c r="E44" s="220"/>
      <c r="F44" s="220" t="s">
        <v>120</v>
      </c>
      <c r="G44" s="220" t="s">
        <v>300</v>
      </c>
      <c r="H44" s="239">
        <v>13610524070</v>
      </c>
      <c r="I44" s="239">
        <v>674070</v>
      </c>
      <c r="J44" s="220" t="s">
        <v>300</v>
      </c>
      <c r="K44" s="221">
        <v>13610524070</v>
      </c>
      <c r="L44" s="239">
        <v>674070</v>
      </c>
      <c r="M44" s="239"/>
      <c r="N44" s="221"/>
      <c r="O44" s="221"/>
      <c r="Q44" s="200" t="s">
        <v>695</v>
      </c>
      <c r="R44" s="200" t="s">
        <v>409</v>
      </c>
      <c r="S44" s="200" t="s">
        <v>409</v>
      </c>
      <c r="W44" s="207"/>
      <c r="X44" s="200" t="s">
        <v>696</v>
      </c>
      <c r="Y44" s="207"/>
      <c r="Z44" s="218"/>
      <c r="AA44" s="218">
        <v>200</v>
      </c>
      <c r="AB44" s="242">
        <f t="shared" si="18"/>
        <v>0</v>
      </c>
      <c r="AC44" s="218" t="s">
        <v>409</v>
      </c>
      <c r="AD44" s="218"/>
      <c r="AE44" s="218"/>
      <c r="AF44" s="218">
        <f t="shared" si="19"/>
        <v>0</v>
      </c>
      <c r="AG44" s="265"/>
      <c r="AH44" s="247"/>
      <c r="AI44" s="223"/>
      <c r="AJ44" s="223"/>
      <c r="AK44" s="223"/>
      <c r="AL44" s="223"/>
      <c r="AM44" s="247">
        <f t="shared" si="0"/>
        <v>0</v>
      </c>
      <c r="AN44" s="245" t="e">
        <f t="shared" si="65"/>
        <v>#DIV/0!</v>
      </c>
      <c r="AO44" s="249"/>
      <c r="AP44" s="224"/>
      <c r="AQ44" s="218"/>
      <c r="AR44" s="218"/>
      <c r="AS44" s="218"/>
      <c r="AT44" s="218"/>
      <c r="AU44" s="247">
        <f t="shared" si="1"/>
        <v>0</v>
      </c>
      <c r="AV44" s="248" t="e">
        <f t="shared" si="2"/>
        <v>#DIV/0!</v>
      </c>
      <c r="AW44" s="218"/>
      <c r="AX44" s="224"/>
      <c r="AY44" s="218"/>
      <c r="AZ44" s="218"/>
      <c r="BA44" s="218"/>
      <c r="BB44" s="218"/>
      <c r="BC44" s="247">
        <f t="shared" si="3"/>
        <v>0</v>
      </c>
      <c r="BD44" s="248" t="e">
        <f t="shared" si="4"/>
        <v>#DIV/0!</v>
      </c>
      <c r="BE44" s="218"/>
      <c r="BF44" s="224"/>
      <c r="BG44" s="218"/>
      <c r="BH44" s="218"/>
      <c r="BI44" s="218"/>
      <c r="BJ44" s="218"/>
      <c r="BK44" s="247">
        <f t="shared" si="63"/>
        <v>0</v>
      </c>
      <c r="BL44" s="248" t="e">
        <f t="shared" si="6"/>
        <v>#DIV/0!</v>
      </c>
      <c r="BM44" s="246" t="e">
        <f t="shared" si="69"/>
        <v>#DIV/0!</v>
      </c>
      <c r="BN44" s="224"/>
      <c r="BO44" s="218"/>
      <c r="BP44" s="218"/>
      <c r="BQ44" s="218"/>
      <c r="BR44" s="218"/>
      <c r="BS44" s="250"/>
      <c r="BT44" s="245" t="e">
        <f t="shared" si="7"/>
        <v>#DIV/0!</v>
      </c>
      <c r="BU44" s="218"/>
      <c r="BV44" s="224"/>
      <c r="BW44" s="218"/>
      <c r="BX44" s="218"/>
      <c r="BY44" s="218"/>
      <c r="BZ44" s="218"/>
      <c r="CA44" s="218"/>
      <c r="CB44" s="245" t="e">
        <f t="shared" si="8"/>
        <v>#DIV/0!</v>
      </c>
      <c r="CC44" s="218"/>
      <c r="CD44" s="224"/>
      <c r="CE44" s="218"/>
      <c r="CF44" s="218"/>
      <c r="CG44" s="218"/>
      <c r="CH44" s="218"/>
      <c r="CI44" s="218"/>
      <c r="CJ44" s="245" t="e">
        <f t="shared" si="9"/>
        <v>#DIV/0!</v>
      </c>
      <c r="CK44" s="218"/>
      <c r="CL44" s="224"/>
      <c r="CM44" s="218"/>
      <c r="CN44" s="218"/>
      <c r="CO44" s="218"/>
      <c r="CP44" s="218"/>
      <c r="CQ44" s="218"/>
      <c r="CR44" s="245" t="e">
        <f t="shared" si="10"/>
        <v>#DIV/0!</v>
      </c>
      <c r="CS44" s="218"/>
      <c r="CT44" s="224"/>
      <c r="CU44" s="218"/>
      <c r="CV44" s="218"/>
      <c r="CW44" s="218"/>
      <c r="CX44" s="218"/>
      <c r="CY44" s="218"/>
      <c r="CZ44" s="245" t="e">
        <f t="shared" si="11"/>
        <v>#DIV/0!</v>
      </c>
      <c r="DA44" s="218"/>
      <c r="DB44" s="224"/>
      <c r="DC44" s="218"/>
      <c r="DD44" s="218"/>
      <c r="DE44" s="218"/>
      <c r="DF44" s="218"/>
      <c r="DG44" s="218"/>
      <c r="DH44" s="218"/>
      <c r="DI44" s="218"/>
      <c r="DJ44" s="218"/>
      <c r="DK44" s="218"/>
      <c r="DL44" s="218"/>
      <c r="DM44" s="218"/>
      <c r="DN44" s="218"/>
      <c r="DO44" s="218"/>
      <c r="DP44" s="218"/>
      <c r="DQ44" s="227"/>
      <c r="DR44" s="224"/>
      <c r="DS44" s="218"/>
      <c r="DT44" s="218"/>
      <c r="DU44" s="218"/>
      <c r="DV44" s="218"/>
      <c r="DW44" s="218"/>
      <c r="DX44" s="218"/>
      <c r="DY44" s="218"/>
      <c r="DZ44" s="218"/>
      <c r="EA44" s="218"/>
      <c r="EB44" s="218"/>
      <c r="EC44" s="218"/>
      <c r="ED44" s="218"/>
      <c r="EE44" s="218"/>
      <c r="EF44" s="223">
        <f t="shared" ref="EF44:EJ44" si="75">AH44+AP44+AX44+BF44+BN44+BV44+CD44+CL44+CT44+DB44+DJ44+DR44+DZ44</f>
        <v>0</v>
      </c>
      <c r="EG44" s="223">
        <f t="shared" si="75"/>
        <v>0</v>
      </c>
      <c r="EH44" s="223">
        <f t="shared" si="75"/>
        <v>0</v>
      </c>
      <c r="EI44" s="223">
        <f t="shared" si="75"/>
        <v>0</v>
      </c>
      <c r="EJ44" s="223">
        <f t="shared" si="75"/>
        <v>0</v>
      </c>
      <c r="EK44" s="223">
        <f t="shared" si="13"/>
        <v>0</v>
      </c>
      <c r="EL44" s="218">
        <f t="shared" si="14"/>
        <v>0</v>
      </c>
      <c r="EM44" s="218">
        <f t="shared" si="15"/>
        <v>0</v>
      </c>
      <c r="EN44" s="223">
        <f t="shared" si="16"/>
        <v>0</v>
      </c>
      <c r="EO44" s="226">
        <f t="shared" si="17"/>
        <v>0</v>
      </c>
      <c r="ER44" s="251"/>
      <c r="ES44" s="235" t="s">
        <v>697</v>
      </c>
      <c r="ET44" s="235" t="s">
        <v>698</v>
      </c>
      <c r="EU44" s="235" t="s">
        <v>699</v>
      </c>
    </row>
    <row r="45" s="200" customFormat="1" customHeight="1" spans="1:151">
      <c r="A45" s="294"/>
      <c r="B45" s="218">
        <v>45</v>
      </c>
      <c r="C45" s="293" t="s">
        <v>700</v>
      </c>
      <c r="D45" s="220" t="s">
        <v>13</v>
      </c>
      <c r="E45" s="220" t="s">
        <v>405</v>
      </c>
      <c r="F45" s="220" t="s">
        <v>125</v>
      </c>
      <c r="G45" s="221" t="s">
        <v>303</v>
      </c>
      <c r="H45" s="221" t="s">
        <v>304</v>
      </c>
      <c r="I45" s="220">
        <v>661081</v>
      </c>
      <c r="J45" s="221" t="s">
        <v>305</v>
      </c>
      <c r="K45" s="221">
        <v>13620586270</v>
      </c>
      <c r="L45" s="221">
        <v>696270</v>
      </c>
      <c r="M45" s="239"/>
      <c r="N45" s="221"/>
      <c r="O45" s="221" t="s">
        <v>701</v>
      </c>
      <c r="P45" s="200" t="s">
        <v>702</v>
      </c>
      <c r="Q45" s="200" t="s">
        <v>408</v>
      </c>
      <c r="R45" s="200" t="s">
        <v>409</v>
      </c>
      <c r="S45" s="200" t="s">
        <v>409</v>
      </c>
      <c r="W45" s="207"/>
      <c r="X45" s="270" t="s">
        <v>703</v>
      </c>
      <c r="Y45" s="221">
        <v>13729635154</v>
      </c>
      <c r="Z45" s="218"/>
      <c r="AA45" s="218">
        <v>200</v>
      </c>
      <c r="AB45" s="218">
        <f t="shared" si="18"/>
        <v>47</v>
      </c>
      <c r="AC45" s="218">
        <v>9</v>
      </c>
      <c r="AD45" s="218">
        <v>38</v>
      </c>
      <c r="AE45" s="218">
        <v>0</v>
      </c>
      <c r="AF45" s="218">
        <f t="shared" si="19"/>
        <v>235</v>
      </c>
      <c r="AG45" s="243">
        <v>46084</v>
      </c>
      <c r="AH45" s="244">
        <v>5</v>
      </c>
      <c r="AI45" s="244">
        <v>10</v>
      </c>
      <c r="AJ45" s="244">
        <v>10</v>
      </c>
      <c r="AK45" s="244">
        <v>10</v>
      </c>
      <c r="AL45" s="244">
        <v>10</v>
      </c>
      <c r="AM45" s="244">
        <f t="shared" si="0"/>
        <v>45</v>
      </c>
      <c r="AN45" s="307">
        <f t="shared" si="65"/>
        <v>3.06382978723404</v>
      </c>
      <c r="AO45" s="243">
        <v>46107</v>
      </c>
      <c r="AP45" s="268">
        <v>5</v>
      </c>
      <c r="AQ45" s="269">
        <v>8</v>
      </c>
      <c r="AR45" s="269">
        <v>8</v>
      </c>
      <c r="AS45" s="269">
        <v>8</v>
      </c>
      <c r="AT45" s="269">
        <v>5</v>
      </c>
      <c r="AU45" s="244">
        <f t="shared" si="1"/>
        <v>34</v>
      </c>
      <c r="AV45" s="248">
        <f t="shared" si="2"/>
        <v>2.31489361702128</v>
      </c>
      <c r="AW45" s="271">
        <v>46121</v>
      </c>
      <c r="AX45" s="268">
        <v>5</v>
      </c>
      <c r="AY45" s="269">
        <v>10</v>
      </c>
      <c r="AZ45" s="269">
        <v>10</v>
      </c>
      <c r="BA45" s="269">
        <v>10</v>
      </c>
      <c r="BB45" s="269">
        <v>5</v>
      </c>
      <c r="BC45" s="244">
        <f t="shared" si="3"/>
        <v>40</v>
      </c>
      <c r="BD45" s="248">
        <f t="shared" si="4"/>
        <v>2.72340425531915</v>
      </c>
      <c r="BE45" s="246">
        <f t="shared" si="72"/>
        <v>46140.0638297872</v>
      </c>
      <c r="BF45" s="224"/>
      <c r="BG45" s="218"/>
      <c r="BH45" s="218"/>
      <c r="BI45" s="218"/>
      <c r="BJ45" s="218"/>
      <c r="BK45" s="247">
        <f t="shared" si="63"/>
        <v>0</v>
      </c>
      <c r="BL45" s="248">
        <f t="shared" si="6"/>
        <v>0</v>
      </c>
      <c r="BM45" s="246">
        <f t="shared" si="69"/>
        <v>46140.0638297872</v>
      </c>
      <c r="BN45" s="224"/>
      <c r="BO45" s="218"/>
      <c r="BP45" s="218"/>
      <c r="BQ45" s="218"/>
      <c r="BR45" s="218"/>
      <c r="BS45" s="250"/>
      <c r="BT45" s="245">
        <f t="shared" si="7"/>
        <v>0</v>
      </c>
      <c r="BU45" s="249"/>
      <c r="BV45" s="224"/>
      <c r="BW45" s="218"/>
      <c r="BX45" s="218"/>
      <c r="BY45" s="218"/>
      <c r="BZ45" s="218"/>
      <c r="CA45" s="218"/>
      <c r="CB45" s="245">
        <f t="shared" si="8"/>
        <v>0</v>
      </c>
      <c r="CC45" s="249"/>
      <c r="CD45" s="224"/>
      <c r="CE45" s="218"/>
      <c r="CF45" s="218"/>
      <c r="CG45" s="218"/>
      <c r="CH45" s="218"/>
      <c r="CI45" s="218"/>
      <c r="CJ45" s="245">
        <f t="shared" si="9"/>
        <v>0</v>
      </c>
      <c r="CK45" s="249"/>
      <c r="CL45" s="224"/>
      <c r="CM45" s="218"/>
      <c r="CN45" s="218"/>
      <c r="CO45" s="218"/>
      <c r="CP45" s="218"/>
      <c r="CQ45" s="218"/>
      <c r="CR45" s="245">
        <f t="shared" si="10"/>
        <v>0</v>
      </c>
      <c r="CS45" s="246"/>
      <c r="CT45" s="224"/>
      <c r="CU45" s="218"/>
      <c r="CV45" s="218"/>
      <c r="CW45" s="218"/>
      <c r="CX45" s="218"/>
      <c r="CY45" s="218"/>
      <c r="CZ45" s="245">
        <f t="shared" si="11"/>
        <v>0</v>
      </c>
      <c r="DA45" s="246"/>
      <c r="DB45" s="224"/>
      <c r="DC45" s="218"/>
      <c r="DD45" s="218"/>
      <c r="DE45" s="218"/>
      <c r="DF45" s="218"/>
      <c r="DG45" s="218"/>
      <c r="DH45" s="218"/>
      <c r="DI45" s="249"/>
      <c r="DJ45" s="218"/>
      <c r="DK45" s="218"/>
      <c r="DL45" s="218"/>
      <c r="DM45" s="218"/>
      <c r="DN45" s="218"/>
      <c r="DO45" s="218"/>
      <c r="DP45" s="218"/>
      <c r="DQ45" s="227"/>
      <c r="DR45" s="224"/>
      <c r="DS45" s="218"/>
      <c r="DT45" s="218"/>
      <c r="DU45" s="218"/>
      <c r="DV45" s="218"/>
      <c r="DW45" s="218"/>
      <c r="DX45" s="218"/>
      <c r="DY45" s="218"/>
      <c r="DZ45" s="218"/>
      <c r="EA45" s="218"/>
      <c r="EB45" s="218"/>
      <c r="EC45" s="218"/>
      <c r="ED45" s="218"/>
      <c r="EE45" s="218"/>
      <c r="EF45" s="223">
        <f t="shared" ref="EF45:EJ45" si="76">AH45+AP45+AX45+BF45+BN45+BV45+CD45+CL45+CT45+DB45+DJ45+DR45+DZ45</f>
        <v>15</v>
      </c>
      <c r="EG45" s="223">
        <f t="shared" si="76"/>
        <v>28</v>
      </c>
      <c r="EH45" s="223">
        <f t="shared" si="76"/>
        <v>28</v>
      </c>
      <c r="EI45" s="223">
        <f t="shared" si="76"/>
        <v>28</v>
      </c>
      <c r="EJ45" s="223">
        <f t="shared" si="76"/>
        <v>20</v>
      </c>
      <c r="EK45" s="223">
        <f t="shared" si="13"/>
        <v>119</v>
      </c>
      <c r="EL45" s="218">
        <f t="shared" si="14"/>
        <v>4700</v>
      </c>
      <c r="EM45" s="218">
        <f t="shared" si="15"/>
        <v>293.75</v>
      </c>
      <c r="EN45" s="223">
        <f t="shared" si="16"/>
        <v>119</v>
      </c>
      <c r="EO45" s="226">
        <f t="shared" si="17"/>
        <v>174.75</v>
      </c>
      <c r="ER45" s="251"/>
      <c r="ES45" s="235" t="s">
        <v>704</v>
      </c>
      <c r="ET45" s="235" t="s">
        <v>705</v>
      </c>
      <c r="EU45" s="235" t="s">
        <v>706</v>
      </c>
    </row>
    <row r="46" s="200" customFormat="1" customHeight="1" spans="1:151">
      <c r="A46" s="308"/>
      <c r="B46" s="218">
        <v>46</v>
      </c>
      <c r="C46" s="295" t="s">
        <v>707</v>
      </c>
      <c r="E46" s="220" t="s">
        <v>405</v>
      </c>
      <c r="J46" s="270" t="s">
        <v>708</v>
      </c>
      <c r="K46" s="221">
        <v>13926624823</v>
      </c>
      <c r="N46" s="207"/>
      <c r="O46" s="207" t="s">
        <v>518</v>
      </c>
      <c r="Q46" s="200" t="s">
        <v>408</v>
      </c>
      <c r="R46" s="200" t="s">
        <v>409</v>
      </c>
      <c r="S46" s="200" t="s">
        <v>409</v>
      </c>
      <c r="V46" s="270" t="s">
        <v>709</v>
      </c>
      <c r="W46" s="221">
        <v>13926624823</v>
      </c>
      <c r="X46" s="270" t="s">
        <v>709</v>
      </c>
      <c r="Y46" s="221">
        <v>13926624823</v>
      </c>
      <c r="Z46" s="218"/>
      <c r="AA46" s="218">
        <v>125</v>
      </c>
      <c r="AB46" s="218">
        <f t="shared" si="18"/>
        <v>17</v>
      </c>
      <c r="AC46" s="218">
        <v>1</v>
      </c>
      <c r="AD46" s="218">
        <v>16</v>
      </c>
      <c r="AE46" s="218">
        <v>24</v>
      </c>
      <c r="AF46" s="218">
        <f t="shared" si="19"/>
        <v>85</v>
      </c>
      <c r="AG46" s="243">
        <v>46084</v>
      </c>
      <c r="AH46" s="244">
        <v>5</v>
      </c>
      <c r="AI46" s="244">
        <v>3</v>
      </c>
      <c r="AJ46" s="244">
        <v>3</v>
      </c>
      <c r="AK46" s="244">
        <v>3</v>
      </c>
      <c r="AL46" s="244"/>
      <c r="AM46" s="244">
        <f t="shared" si="0"/>
        <v>14</v>
      </c>
      <c r="AN46" s="307">
        <f t="shared" si="65"/>
        <v>2.63529411764706</v>
      </c>
      <c r="AO46" s="243">
        <v>46099</v>
      </c>
      <c r="AP46" s="268">
        <v>5</v>
      </c>
      <c r="AQ46" s="269">
        <v>4</v>
      </c>
      <c r="AR46" s="269">
        <v>4</v>
      </c>
      <c r="AS46" s="269">
        <v>4</v>
      </c>
      <c r="AT46" s="269"/>
      <c r="AU46" s="244">
        <f t="shared" si="1"/>
        <v>17</v>
      </c>
      <c r="AV46" s="248">
        <f t="shared" si="2"/>
        <v>3.2</v>
      </c>
      <c r="AW46" s="271">
        <v>46119</v>
      </c>
      <c r="AX46" s="268">
        <v>5</v>
      </c>
      <c r="AY46" s="269">
        <v>4</v>
      </c>
      <c r="AZ46" s="269">
        <v>4</v>
      </c>
      <c r="BA46" s="269">
        <v>4</v>
      </c>
      <c r="BB46" s="269"/>
      <c r="BC46" s="244">
        <f t="shared" si="3"/>
        <v>17</v>
      </c>
      <c r="BD46" s="248">
        <f t="shared" si="4"/>
        <v>3.2</v>
      </c>
      <c r="BE46" s="246">
        <f t="shared" si="72"/>
        <v>46141.4</v>
      </c>
      <c r="BF46" s="224"/>
      <c r="BG46" s="218"/>
      <c r="BH46" s="218"/>
      <c r="BI46" s="218"/>
      <c r="BJ46" s="218"/>
      <c r="BK46" s="247">
        <f t="shared" si="63"/>
        <v>0</v>
      </c>
      <c r="BL46" s="248">
        <f t="shared" si="6"/>
        <v>0</v>
      </c>
      <c r="BM46" s="246">
        <f t="shared" si="69"/>
        <v>46141.4</v>
      </c>
      <c r="BN46" s="224"/>
      <c r="BO46" s="218"/>
      <c r="BP46" s="218"/>
      <c r="BQ46" s="218"/>
      <c r="BR46" s="218"/>
      <c r="BS46" s="250"/>
      <c r="BT46" s="245">
        <f t="shared" si="7"/>
        <v>0</v>
      </c>
      <c r="BU46" s="249"/>
      <c r="BV46" s="224"/>
      <c r="BW46" s="218"/>
      <c r="BX46" s="218"/>
      <c r="BY46" s="218"/>
      <c r="BZ46" s="218"/>
      <c r="CA46" s="218"/>
      <c r="CB46" s="245">
        <f t="shared" si="8"/>
        <v>0</v>
      </c>
      <c r="CC46" s="249"/>
      <c r="CD46" s="224"/>
      <c r="CE46" s="218"/>
      <c r="CF46" s="218"/>
      <c r="CG46" s="218"/>
      <c r="CH46" s="218"/>
      <c r="CI46" s="218"/>
      <c r="CJ46" s="245">
        <f t="shared" si="9"/>
        <v>0</v>
      </c>
      <c r="CK46" s="242"/>
      <c r="CL46" s="224"/>
      <c r="CM46" s="218"/>
      <c r="CN46" s="218"/>
      <c r="CO46" s="218"/>
      <c r="CP46" s="218"/>
      <c r="CQ46" s="218"/>
      <c r="CR46" s="245">
        <f t="shared" si="10"/>
        <v>0</v>
      </c>
      <c r="CS46" s="218"/>
      <c r="CT46" s="224"/>
      <c r="CU46" s="218"/>
      <c r="CV46" s="218"/>
      <c r="CW46" s="218"/>
      <c r="CX46" s="218"/>
      <c r="CY46" s="218"/>
      <c r="CZ46" s="245">
        <f t="shared" si="11"/>
        <v>0</v>
      </c>
      <c r="DA46" s="218"/>
      <c r="DB46" s="224"/>
      <c r="DC46" s="218"/>
      <c r="DD46" s="218"/>
      <c r="DE46" s="218"/>
      <c r="DF46" s="218"/>
      <c r="DG46" s="218"/>
      <c r="DH46" s="218"/>
      <c r="DI46" s="218"/>
      <c r="DJ46" s="218"/>
      <c r="DK46" s="218"/>
      <c r="DL46" s="218"/>
      <c r="DM46" s="218"/>
      <c r="DN46" s="218"/>
      <c r="DO46" s="218"/>
      <c r="DP46" s="218"/>
      <c r="DQ46" s="227"/>
      <c r="DR46" s="224"/>
      <c r="DS46" s="218"/>
      <c r="DT46" s="218"/>
      <c r="DU46" s="218"/>
      <c r="DV46" s="218"/>
      <c r="DW46" s="218"/>
      <c r="DX46" s="218"/>
      <c r="DY46" s="218"/>
      <c r="DZ46" s="218"/>
      <c r="EA46" s="218"/>
      <c r="EB46" s="218"/>
      <c r="EC46" s="218"/>
      <c r="ED46" s="218"/>
      <c r="EE46" s="218"/>
      <c r="EF46" s="223">
        <f t="shared" ref="EF46:EJ46" si="77">AH46+AP46+AX46+BF46+BN46+BV46+CD46+CL46+CT46+DB46+DJ46+DR46+DZ46</f>
        <v>15</v>
      </c>
      <c r="EG46" s="223">
        <f t="shared" si="77"/>
        <v>11</v>
      </c>
      <c r="EH46" s="223">
        <f t="shared" si="77"/>
        <v>11</v>
      </c>
      <c r="EI46" s="223">
        <f t="shared" si="77"/>
        <v>11</v>
      </c>
      <c r="EJ46" s="223">
        <f t="shared" si="77"/>
        <v>0</v>
      </c>
      <c r="EK46" s="223">
        <f t="shared" si="13"/>
        <v>48</v>
      </c>
      <c r="EL46" s="218">
        <f t="shared" si="14"/>
        <v>1700</v>
      </c>
      <c r="EM46" s="218">
        <f t="shared" si="15"/>
        <v>106.25</v>
      </c>
      <c r="EN46" s="223">
        <f t="shared" si="16"/>
        <v>48</v>
      </c>
      <c r="EO46" s="226">
        <f t="shared" si="17"/>
        <v>58.25</v>
      </c>
      <c r="ER46" s="251"/>
      <c r="ES46" s="235" t="s">
        <v>710</v>
      </c>
      <c r="ET46" s="235" t="s">
        <v>711</v>
      </c>
      <c r="EU46" s="235" t="s">
        <v>712</v>
      </c>
    </row>
    <row r="47" s="202" customFormat="1" customHeight="1" spans="1:151">
      <c r="A47" s="309" t="s">
        <v>713</v>
      </c>
      <c r="B47" s="230">
        <v>1</v>
      </c>
      <c r="C47" s="310" t="s">
        <v>714</v>
      </c>
      <c r="D47" s="200" t="s">
        <v>13</v>
      </c>
      <c r="E47" s="220" t="s">
        <v>405</v>
      </c>
      <c r="F47" s="200"/>
      <c r="G47" s="200" t="s">
        <v>441</v>
      </c>
      <c r="H47" s="207" t="s">
        <v>715</v>
      </c>
      <c r="I47" s="200"/>
      <c r="J47" s="200"/>
      <c r="K47" s="207"/>
      <c r="L47" s="200"/>
      <c r="M47" s="200"/>
      <c r="N47" s="207"/>
      <c r="O47" s="207" t="s">
        <v>716</v>
      </c>
      <c r="P47" s="200"/>
      <c r="Q47" s="200"/>
      <c r="R47" s="200" t="s">
        <v>409</v>
      </c>
      <c r="S47" s="200"/>
      <c r="T47" s="200"/>
      <c r="U47" s="200"/>
      <c r="V47" s="200" t="s">
        <v>717</v>
      </c>
      <c r="W47" s="207" t="s">
        <v>718</v>
      </c>
      <c r="X47" s="200"/>
      <c r="Y47" s="207"/>
      <c r="Z47" s="218"/>
      <c r="AA47" s="310">
        <v>125</v>
      </c>
      <c r="AB47" s="218">
        <v>1</v>
      </c>
      <c r="AC47" s="310">
        <v>0</v>
      </c>
      <c r="AD47" s="310">
        <v>1</v>
      </c>
      <c r="AE47" s="310"/>
      <c r="AF47" s="222">
        <v>5</v>
      </c>
      <c r="AG47" s="311">
        <v>46107</v>
      </c>
      <c r="AH47" s="312">
        <v>1</v>
      </c>
      <c r="AI47" s="312">
        <v>1</v>
      </c>
      <c r="AJ47" s="313">
        <v>1</v>
      </c>
      <c r="AK47" s="313">
        <v>1</v>
      </c>
      <c r="AL47" s="312">
        <v>1</v>
      </c>
      <c r="AM47" s="312">
        <v>1</v>
      </c>
      <c r="AN47" s="307">
        <f t="shared" si="65"/>
        <v>3.2</v>
      </c>
      <c r="AO47" s="249">
        <v>46107</v>
      </c>
      <c r="AP47" s="314">
        <v>1</v>
      </c>
      <c r="AQ47" s="310">
        <v>1</v>
      </c>
      <c r="AR47" s="310">
        <v>1</v>
      </c>
      <c r="AS47" s="310">
        <v>1</v>
      </c>
      <c r="AT47" s="310"/>
      <c r="AU47" s="315">
        <f t="shared" ref="AU47:AU74" si="78">AP47+AQ47+AR47+AS47+AT47</f>
        <v>4</v>
      </c>
      <c r="AV47" s="316">
        <f t="shared" si="2"/>
        <v>12.8</v>
      </c>
      <c r="AW47" s="246">
        <f t="shared" ref="AW45:AW52" si="79">AO47+AV47*7</f>
        <v>46196.6</v>
      </c>
      <c r="AX47" s="314"/>
      <c r="AY47" s="310"/>
      <c r="AZ47" s="310"/>
      <c r="BA47" s="310"/>
      <c r="BB47" s="310"/>
      <c r="BC47" s="315">
        <f t="shared" si="3"/>
        <v>0</v>
      </c>
      <c r="BD47" s="316">
        <f t="shared" si="4"/>
        <v>0</v>
      </c>
      <c r="BE47" s="317"/>
      <c r="BF47" s="314"/>
      <c r="BG47" s="310"/>
      <c r="BH47" s="310"/>
      <c r="BI47" s="310"/>
      <c r="BJ47" s="310"/>
      <c r="BK47" s="247">
        <f t="shared" si="63"/>
        <v>0</v>
      </c>
      <c r="BL47" s="248">
        <f t="shared" si="6"/>
        <v>0</v>
      </c>
      <c r="BM47" s="318"/>
      <c r="BN47" s="314"/>
      <c r="BO47" s="310"/>
      <c r="BP47" s="310"/>
      <c r="BQ47" s="310"/>
      <c r="BR47" s="310"/>
      <c r="BS47" s="250"/>
      <c r="BT47" s="245">
        <f t="shared" si="7"/>
        <v>0</v>
      </c>
      <c r="BU47" s="317"/>
      <c r="BV47" s="314"/>
      <c r="BW47" s="310"/>
      <c r="BX47" s="310"/>
      <c r="BY47" s="310"/>
      <c r="BZ47" s="310"/>
      <c r="CA47" s="315"/>
      <c r="CB47" s="319">
        <f t="shared" si="8"/>
        <v>0</v>
      </c>
      <c r="CC47" s="317"/>
      <c r="CD47" s="314"/>
      <c r="CE47" s="310"/>
      <c r="CF47" s="310"/>
      <c r="CG47" s="310"/>
      <c r="CH47" s="310"/>
      <c r="CI47" s="218"/>
      <c r="CJ47" s="245">
        <f t="shared" si="9"/>
        <v>0</v>
      </c>
      <c r="CK47" s="310"/>
      <c r="CL47" s="314"/>
      <c r="CM47" s="310"/>
      <c r="CN47" s="310"/>
      <c r="CO47" s="310"/>
      <c r="CP47" s="310"/>
      <c r="CQ47" s="218"/>
      <c r="CR47" s="245">
        <f t="shared" si="10"/>
        <v>0</v>
      </c>
      <c r="CS47" s="310"/>
      <c r="CT47" s="314"/>
      <c r="CU47" s="310"/>
      <c r="CV47" s="310"/>
      <c r="CW47" s="310"/>
      <c r="CX47" s="310"/>
      <c r="CY47" s="218"/>
      <c r="CZ47" s="245">
        <f t="shared" si="11"/>
        <v>0</v>
      </c>
      <c r="DA47" s="310"/>
      <c r="DB47" s="314"/>
      <c r="DC47" s="310"/>
      <c r="DD47" s="310"/>
      <c r="DE47" s="310"/>
      <c r="DF47" s="310"/>
      <c r="DG47" s="218"/>
      <c r="DH47" s="310"/>
      <c r="DI47" s="310"/>
      <c r="DJ47" s="310"/>
      <c r="DK47" s="310"/>
      <c r="DL47" s="310"/>
      <c r="DM47" s="310"/>
      <c r="DN47" s="310"/>
      <c r="DO47" s="218"/>
      <c r="DP47" s="218"/>
      <c r="DQ47" s="318"/>
      <c r="DR47" s="314"/>
      <c r="DS47" s="310"/>
      <c r="DT47" s="310"/>
      <c r="DU47" s="310"/>
      <c r="DV47" s="310"/>
      <c r="DW47" s="218"/>
      <c r="DX47" s="218"/>
      <c r="DY47" s="310"/>
      <c r="DZ47" s="310"/>
      <c r="EA47" s="310"/>
      <c r="EB47" s="310"/>
      <c r="EC47" s="310"/>
      <c r="ED47" s="310"/>
      <c r="EE47" s="218"/>
      <c r="EF47" s="223">
        <f t="shared" ref="EF47:EJ47" si="80">AH47+AP47+AX47+BF47+BN47+BV47+CD47+CL47+CT47+DB47+DJ47+DR47+DZ47</f>
        <v>2</v>
      </c>
      <c r="EG47" s="223">
        <f t="shared" si="80"/>
        <v>2</v>
      </c>
      <c r="EH47" s="223">
        <f t="shared" si="80"/>
        <v>2</v>
      </c>
      <c r="EI47" s="223">
        <f t="shared" si="80"/>
        <v>2</v>
      </c>
      <c r="EJ47" s="223">
        <f t="shared" si="80"/>
        <v>1</v>
      </c>
      <c r="EK47" s="223">
        <f t="shared" si="13"/>
        <v>9</v>
      </c>
      <c r="EL47" s="218">
        <f t="shared" si="14"/>
        <v>100</v>
      </c>
      <c r="EM47" s="218">
        <f t="shared" si="15"/>
        <v>6.25</v>
      </c>
      <c r="EN47" s="223">
        <f t="shared" si="16"/>
        <v>9</v>
      </c>
      <c r="EO47" s="226">
        <f t="shared" si="17"/>
        <v>-2.75</v>
      </c>
      <c r="ER47" s="320"/>
      <c r="ES47" s="235" t="s">
        <v>719</v>
      </c>
      <c r="ET47" s="235" t="s">
        <v>720</v>
      </c>
      <c r="EU47" s="235" t="s">
        <v>721</v>
      </c>
    </row>
    <row r="48" s="200" customFormat="1" customHeight="1" spans="1:151">
      <c r="A48" s="309"/>
      <c r="B48" s="230">
        <v>2</v>
      </c>
      <c r="C48" s="218" t="s">
        <v>722</v>
      </c>
      <c r="D48" s="321" t="s">
        <v>13</v>
      </c>
      <c r="E48" s="322" t="s">
        <v>405</v>
      </c>
      <c r="F48" s="220" t="s">
        <v>125</v>
      </c>
      <c r="G48" s="220" t="s">
        <v>129</v>
      </c>
      <c r="H48" s="221" t="s">
        <v>130</v>
      </c>
      <c r="I48" s="220">
        <v>662388</v>
      </c>
      <c r="J48" s="220" t="s">
        <v>131</v>
      </c>
      <c r="K48" s="220">
        <v>13535958668</v>
      </c>
      <c r="L48" s="220">
        <v>6468</v>
      </c>
      <c r="M48" s="202"/>
      <c r="N48" s="323"/>
      <c r="O48" s="323" t="s">
        <v>723</v>
      </c>
      <c r="P48" s="202"/>
      <c r="Q48" s="202" t="s">
        <v>408</v>
      </c>
      <c r="R48" s="202" t="s">
        <v>418</v>
      </c>
      <c r="S48" s="202" t="s">
        <v>418</v>
      </c>
      <c r="T48" s="202"/>
      <c r="U48" s="322"/>
      <c r="V48" s="322" t="s">
        <v>724</v>
      </c>
      <c r="W48" s="324" t="s">
        <v>725</v>
      </c>
      <c r="X48" s="322" t="s">
        <v>726</v>
      </c>
      <c r="Y48" s="324" t="s">
        <v>727</v>
      </c>
      <c r="Z48" s="218"/>
      <c r="AA48" s="218">
        <v>200</v>
      </c>
      <c r="AB48" s="218">
        <v>36</v>
      </c>
      <c r="AC48" s="218">
        <v>3</v>
      </c>
      <c r="AD48" s="218">
        <v>33</v>
      </c>
      <c r="AE48" s="218"/>
      <c r="AF48" s="222">
        <f t="shared" ref="AF48:AF111" si="81">AB48*5</f>
        <v>180</v>
      </c>
      <c r="AG48" s="311">
        <v>46084</v>
      </c>
      <c r="AH48" s="325">
        <v>10</v>
      </c>
      <c r="AI48" s="326">
        <v>15</v>
      </c>
      <c r="AJ48" s="326">
        <v>15</v>
      </c>
      <c r="AK48" s="327">
        <v>15</v>
      </c>
      <c r="AL48" s="326">
        <v>15</v>
      </c>
      <c r="AM48" s="312">
        <f t="shared" ref="AM47:AM96" si="82">SUM(AH48:AL48)</f>
        <v>70</v>
      </c>
      <c r="AN48" s="245">
        <f t="shared" si="65"/>
        <v>6.22222222222222</v>
      </c>
      <c r="AO48" s="271">
        <v>46119</v>
      </c>
      <c r="AP48" s="328">
        <v>10</v>
      </c>
      <c r="AQ48" s="329">
        <v>15</v>
      </c>
      <c r="AR48" s="329">
        <v>15</v>
      </c>
      <c r="AS48" s="329">
        <v>15</v>
      </c>
      <c r="AT48" s="329">
        <v>15</v>
      </c>
      <c r="AU48" s="330">
        <f t="shared" si="78"/>
        <v>70</v>
      </c>
      <c r="AV48" s="316">
        <f t="shared" si="2"/>
        <v>6.22222222222222</v>
      </c>
      <c r="AW48" s="246">
        <f t="shared" si="79"/>
        <v>46162.5555555556</v>
      </c>
      <c r="AX48" s="331"/>
      <c r="AY48" s="332"/>
      <c r="AZ48" s="332"/>
      <c r="BA48" s="332"/>
      <c r="BB48" s="332"/>
      <c r="BC48" s="315">
        <f t="shared" si="3"/>
        <v>0</v>
      </c>
      <c r="BD48" s="316" t="e">
        <f>BC48*16/#REF!</f>
        <v>#REF!</v>
      </c>
      <c r="BE48" s="333"/>
      <c r="BF48" s="331"/>
      <c r="BG48" s="332"/>
      <c r="BH48" s="332"/>
      <c r="BI48" s="332"/>
      <c r="BJ48" s="332"/>
      <c r="BK48" s="247">
        <f t="shared" si="63"/>
        <v>0</v>
      </c>
      <c r="BL48" s="248">
        <f t="shared" si="6"/>
        <v>0</v>
      </c>
      <c r="BM48" s="227"/>
      <c r="BN48" s="224"/>
      <c r="BO48" s="218"/>
      <c r="BP48" s="218"/>
      <c r="BQ48" s="218"/>
      <c r="BR48" s="218"/>
      <c r="BS48" s="250"/>
      <c r="BT48" s="245">
        <f t="shared" si="7"/>
        <v>0</v>
      </c>
      <c r="BU48" s="246"/>
      <c r="BV48" s="224"/>
      <c r="BW48" s="218"/>
      <c r="BX48" s="218"/>
      <c r="BY48" s="218"/>
      <c r="BZ48" s="218"/>
      <c r="CA48" s="315"/>
      <c r="CB48" s="319">
        <f t="shared" si="8"/>
        <v>0</v>
      </c>
      <c r="CC48" s="246"/>
      <c r="CD48" s="224"/>
      <c r="CE48" s="218"/>
      <c r="CF48" s="218"/>
      <c r="CG48" s="218"/>
      <c r="CH48" s="218"/>
      <c r="CI48" s="218"/>
      <c r="CJ48" s="245">
        <f t="shared" si="9"/>
        <v>0</v>
      </c>
      <c r="CK48" s="249"/>
      <c r="CL48" s="224"/>
      <c r="CM48" s="218"/>
      <c r="CN48" s="218"/>
      <c r="CO48" s="218"/>
      <c r="CP48" s="218"/>
      <c r="CQ48" s="218"/>
      <c r="CR48" s="245">
        <f t="shared" si="10"/>
        <v>0</v>
      </c>
      <c r="CS48" s="249"/>
      <c r="CT48" s="224"/>
      <c r="CU48" s="218"/>
      <c r="CV48" s="218"/>
      <c r="CW48" s="218"/>
      <c r="CX48" s="218"/>
      <c r="CY48" s="218"/>
      <c r="CZ48" s="245">
        <f t="shared" si="11"/>
        <v>0</v>
      </c>
      <c r="DA48" s="249"/>
      <c r="DB48" s="224"/>
      <c r="DC48" s="218"/>
      <c r="DD48" s="218"/>
      <c r="DE48" s="218"/>
      <c r="DF48" s="218"/>
      <c r="DG48" s="218"/>
      <c r="DH48" s="218"/>
      <c r="DI48" s="218"/>
      <c r="DJ48" s="218"/>
      <c r="DK48" s="218"/>
      <c r="DL48" s="218"/>
      <c r="DM48" s="218"/>
      <c r="DN48" s="218"/>
      <c r="DO48" s="218"/>
      <c r="DP48" s="218"/>
      <c r="DQ48" s="227"/>
      <c r="DR48" s="224"/>
      <c r="DS48" s="218"/>
      <c r="DT48" s="218"/>
      <c r="DU48" s="218"/>
      <c r="DV48" s="218"/>
      <c r="DW48" s="218"/>
      <c r="DX48" s="218"/>
      <c r="DY48" s="218"/>
      <c r="DZ48" s="218"/>
      <c r="EA48" s="218"/>
      <c r="EB48" s="218"/>
      <c r="EC48" s="218"/>
      <c r="ED48" s="218"/>
      <c r="EE48" s="218"/>
      <c r="EF48" s="223">
        <f t="shared" ref="EF48:EH48" si="83">AH48+AP48+AX48+BF48+BN48+BV48+CD48+CL48+CT48+DB48+DJ48+DR48+DZ48</f>
        <v>20</v>
      </c>
      <c r="EG48" s="223">
        <f t="shared" si="83"/>
        <v>30</v>
      </c>
      <c r="EH48" s="223">
        <f t="shared" si="83"/>
        <v>30</v>
      </c>
      <c r="EI48" s="223">
        <f>AL48+AS48+BA48+BI48+BQ48+BY48+CG48+CO48+CW48+DE48+DM48+DU48+EC48</f>
        <v>30</v>
      </c>
      <c r="EJ48" s="223" t="e">
        <f>#REF!+AT48+BB48+BJ48+BR48+BZ48+CH48+CP48+CX48+DF48+DN48+DV48+ED48</f>
        <v>#REF!</v>
      </c>
      <c r="EK48" s="223" t="e">
        <f t="shared" si="13"/>
        <v>#REF!</v>
      </c>
      <c r="EL48" s="218">
        <f t="shared" si="14"/>
        <v>3600</v>
      </c>
      <c r="EM48" s="218">
        <f t="shared" si="15"/>
        <v>225</v>
      </c>
      <c r="EN48" s="223" t="e">
        <f t="shared" si="16"/>
        <v>#REF!</v>
      </c>
      <c r="EO48" s="226" t="e">
        <f t="shared" si="17"/>
        <v>#REF!</v>
      </c>
      <c r="ER48" s="251"/>
      <c r="ES48" s="235" t="s">
        <v>728</v>
      </c>
      <c r="ET48" s="235" t="s">
        <v>729</v>
      </c>
      <c r="EU48" s="235" t="s">
        <v>730</v>
      </c>
    </row>
    <row r="49" s="200" customFormat="1" customHeight="1" spans="1:151 16352:16384">
      <c r="A49" s="309"/>
      <c r="B49" s="230">
        <v>3</v>
      </c>
      <c r="C49" s="219" t="s">
        <v>731</v>
      </c>
      <c r="D49" s="270" t="s">
        <v>732</v>
      </c>
      <c r="E49" s="334"/>
      <c r="F49" s="270" t="s">
        <v>125</v>
      </c>
      <c r="G49" s="220" t="s">
        <v>139</v>
      </c>
      <c r="H49" s="220" t="s">
        <v>140</v>
      </c>
      <c r="I49" s="220">
        <v>665327</v>
      </c>
      <c r="J49" s="220" t="s">
        <v>141</v>
      </c>
      <c r="K49" s="220">
        <v>13727180943</v>
      </c>
      <c r="L49" s="220">
        <v>690943</v>
      </c>
      <c r="M49" s="239"/>
      <c r="N49" s="221"/>
      <c r="O49" s="221" t="s">
        <v>626</v>
      </c>
      <c r="Q49" s="200" t="s">
        <v>695</v>
      </c>
      <c r="R49" s="200" t="s">
        <v>418</v>
      </c>
      <c r="V49" s="200" t="s">
        <v>485</v>
      </c>
      <c r="W49" s="207"/>
      <c r="X49" s="200" t="s">
        <v>733</v>
      </c>
      <c r="Y49" s="200">
        <v>13620516837</v>
      </c>
      <c r="Z49" s="218"/>
      <c r="AA49" s="332">
        <v>200</v>
      </c>
      <c r="AB49" s="218">
        <f t="shared" si="18"/>
        <v>14</v>
      </c>
      <c r="AC49" s="218">
        <v>4</v>
      </c>
      <c r="AD49" s="218">
        <v>10</v>
      </c>
      <c r="AE49" s="218"/>
      <c r="AF49" s="222">
        <f t="shared" si="81"/>
        <v>70</v>
      </c>
      <c r="AG49" s="311">
        <v>46084</v>
      </c>
      <c r="AH49" s="253">
        <v>10</v>
      </c>
      <c r="AI49" s="254">
        <v>7</v>
      </c>
      <c r="AJ49" s="254">
        <v>7</v>
      </c>
      <c r="AK49" s="254">
        <v>5</v>
      </c>
      <c r="AL49" s="254">
        <v>9</v>
      </c>
      <c r="AM49" s="312">
        <f t="shared" si="82"/>
        <v>38</v>
      </c>
      <c r="AN49" s="245">
        <f t="shared" si="65"/>
        <v>8.68571428571429</v>
      </c>
      <c r="AO49" s="252">
        <v>46100</v>
      </c>
      <c r="AP49" s="253">
        <v>10</v>
      </c>
      <c r="AQ49" s="254">
        <v>7</v>
      </c>
      <c r="AR49" s="254">
        <v>7</v>
      </c>
      <c r="AS49" s="254">
        <v>7</v>
      </c>
      <c r="AT49" s="254">
        <v>7</v>
      </c>
      <c r="AU49" s="312">
        <f t="shared" si="78"/>
        <v>38</v>
      </c>
      <c r="AV49" s="316">
        <f t="shared" si="2"/>
        <v>8.68571428571429</v>
      </c>
      <c r="AW49" s="246">
        <f t="shared" si="79"/>
        <v>46160.8</v>
      </c>
      <c r="AX49" s="224"/>
      <c r="AY49" s="218"/>
      <c r="AZ49" s="218"/>
      <c r="BA49" s="218"/>
      <c r="BB49" s="218"/>
      <c r="BC49" s="315">
        <f t="shared" si="3"/>
        <v>0</v>
      </c>
      <c r="BD49" s="316">
        <f t="shared" ref="BD49:BD62" si="84">BC49*16/AF49</f>
        <v>0</v>
      </c>
      <c r="BE49" s="249"/>
      <c r="BF49" s="224"/>
      <c r="BG49" s="218"/>
      <c r="BH49" s="218"/>
      <c r="BI49" s="218"/>
      <c r="BJ49" s="218"/>
      <c r="BK49" s="247">
        <f t="shared" si="63"/>
        <v>0</v>
      </c>
      <c r="BL49" s="248">
        <f t="shared" si="6"/>
        <v>0</v>
      </c>
      <c r="BM49" s="227"/>
      <c r="BN49" s="224"/>
      <c r="BO49" s="218"/>
      <c r="BP49" s="218"/>
      <c r="BQ49" s="218"/>
      <c r="BR49" s="218"/>
      <c r="BS49" s="250"/>
      <c r="BT49" s="245">
        <f t="shared" si="7"/>
        <v>0</v>
      </c>
      <c r="BU49" s="249"/>
      <c r="BV49" s="224"/>
      <c r="BW49" s="218"/>
      <c r="BX49" s="218"/>
      <c r="BY49" s="218"/>
      <c r="BZ49" s="218"/>
      <c r="CA49" s="315"/>
      <c r="CB49" s="319">
        <f t="shared" si="8"/>
        <v>0</v>
      </c>
      <c r="CC49" s="249"/>
      <c r="CD49" s="224"/>
      <c r="CE49" s="218"/>
      <c r="CF49" s="218"/>
      <c r="CG49" s="218"/>
      <c r="CH49" s="218"/>
      <c r="CI49" s="218"/>
      <c r="CJ49" s="245">
        <f t="shared" si="9"/>
        <v>0</v>
      </c>
      <c r="CK49" s="249"/>
      <c r="CL49" s="224"/>
      <c r="CM49" s="218"/>
      <c r="CN49" s="218"/>
      <c r="CO49" s="218"/>
      <c r="CP49" s="218"/>
      <c r="CQ49" s="218"/>
      <c r="CR49" s="245">
        <f t="shared" si="10"/>
        <v>0</v>
      </c>
      <c r="CS49" s="249"/>
      <c r="CT49" s="224"/>
      <c r="CU49" s="218"/>
      <c r="CV49" s="218"/>
      <c r="CW49" s="218"/>
      <c r="CX49" s="218"/>
      <c r="CY49" s="218"/>
      <c r="CZ49" s="245">
        <f t="shared" si="11"/>
        <v>0</v>
      </c>
      <c r="DA49" s="246"/>
      <c r="DB49" s="224"/>
      <c r="DC49" s="218"/>
      <c r="DD49" s="218"/>
      <c r="DE49" s="218"/>
      <c r="DF49" s="218"/>
      <c r="DG49" s="218"/>
      <c r="DH49" s="218"/>
      <c r="DI49" s="218"/>
      <c r="DJ49" s="218"/>
      <c r="DK49" s="218"/>
      <c r="DL49" s="218"/>
      <c r="DM49" s="218"/>
      <c r="DN49" s="218"/>
      <c r="DO49" s="218"/>
      <c r="DP49" s="218"/>
      <c r="DQ49" s="227"/>
      <c r="DR49" s="224"/>
      <c r="DS49" s="218"/>
      <c r="DT49" s="218"/>
      <c r="DU49" s="218"/>
      <c r="DV49" s="218"/>
      <c r="DW49" s="218"/>
      <c r="DX49" s="218"/>
      <c r="DY49" s="218"/>
      <c r="DZ49" s="218"/>
      <c r="EA49" s="218"/>
      <c r="EB49" s="218"/>
      <c r="EC49" s="218"/>
      <c r="ED49" s="218"/>
      <c r="EE49" s="218"/>
      <c r="EF49" s="223">
        <f t="shared" ref="EF49:EJ49" si="85">AH49+AP49+AX49+BF49+BN49+BV49+CD49+CL49+CT49+DB49+DJ49+DR49+DZ49</f>
        <v>20</v>
      </c>
      <c r="EG49" s="223">
        <f t="shared" si="85"/>
        <v>14</v>
      </c>
      <c r="EH49" s="223">
        <f t="shared" si="85"/>
        <v>14</v>
      </c>
      <c r="EI49" s="223">
        <f t="shared" si="85"/>
        <v>12</v>
      </c>
      <c r="EJ49" s="223">
        <f t="shared" si="85"/>
        <v>16</v>
      </c>
      <c r="EK49" s="223">
        <f t="shared" si="13"/>
        <v>76</v>
      </c>
      <c r="EL49" s="218">
        <f t="shared" si="14"/>
        <v>1400</v>
      </c>
      <c r="EM49" s="218">
        <f t="shared" si="15"/>
        <v>87.5</v>
      </c>
      <c r="EN49" s="223">
        <f t="shared" si="16"/>
        <v>76</v>
      </c>
      <c r="EO49" s="226">
        <f t="shared" si="17"/>
        <v>11.5</v>
      </c>
      <c r="ER49" s="251"/>
      <c r="ES49" s="235" t="s">
        <v>734</v>
      </c>
      <c r="ET49" s="235" t="s">
        <v>735</v>
      </c>
      <c r="EU49" s="235" t="s">
        <v>736</v>
      </c>
    </row>
    <row r="50" s="200" customFormat="1" customHeight="1" spans="1:151 16352:16384">
      <c r="A50" s="309"/>
      <c r="B50" s="230">
        <v>4</v>
      </c>
      <c r="C50" s="218" t="s">
        <v>737</v>
      </c>
      <c r="J50" s="200" t="s">
        <v>738</v>
      </c>
      <c r="K50" s="207" t="s">
        <v>739</v>
      </c>
      <c r="N50" s="207"/>
      <c r="O50" s="207"/>
      <c r="W50" s="207"/>
      <c r="X50" s="200" t="s">
        <v>487</v>
      </c>
      <c r="Y50" s="207" t="s">
        <v>740</v>
      </c>
      <c r="Z50" s="218"/>
      <c r="AA50" s="332">
        <v>200</v>
      </c>
      <c r="AB50" s="218">
        <v>34</v>
      </c>
      <c r="AC50" s="218">
        <v>0</v>
      </c>
      <c r="AD50" s="218">
        <v>13</v>
      </c>
      <c r="AE50" s="218"/>
      <c r="AF50" s="222">
        <f t="shared" si="81"/>
        <v>170</v>
      </c>
      <c r="AG50" s="311">
        <v>46090</v>
      </c>
      <c r="AH50" s="253">
        <v>5</v>
      </c>
      <c r="AI50" s="254">
        <v>5</v>
      </c>
      <c r="AJ50" s="254">
        <v>5</v>
      </c>
      <c r="AK50" s="254">
        <v>5</v>
      </c>
      <c r="AL50" s="254">
        <v>5</v>
      </c>
      <c r="AM50" s="312">
        <f t="shared" si="82"/>
        <v>25</v>
      </c>
      <c r="AN50" s="245">
        <f t="shared" si="65"/>
        <v>2.35294117647059</v>
      </c>
      <c r="AO50" s="252">
        <v>46100</v>
      </c>
      <c r="AP50" s="253">
        <v>5</v>
      </c>
      <c r="AQ50" s="254">
        <v>7</v>
      </c>
      <c r="AR50" s="254">
        <v>7</v>
      </c>
      <c r="AS50" s="254">
        <v>7</v>
      </c>
      <c r="AT50" s="254">
        <v>7</v>
      </c>
      <c r="AU50" s="312">
        <f t="shared" si="78"/>
        <v>33</v>
      </c>
      <c r="AV50" s="316">
        <f t="shared" si="2"/>
        <v>3.10588235294118</v>
      </c>
      <c r="AW50" s="255">
        <f t="shared" si="79"/>
        <v>46121.7411764706</v>
      </c>
      <c r="AX50" s="256">
        <v>5</v>
      </c>
      <c r="AY50" s="257">
        <v>7</v>
      </c>
      <c r="AZ50" s="257">
        <v>7</v>
      </c>
      <c r="BA50" s="257">
        <v>7</v>
      </c>
      <c r="BB50" s="257">
        <v>7</v>
      </c>
      <c r="BC50" s="335">
        <f t="shared" si="3"/>
        <v>33</v>
      </c>
      <c r="BD50" s="316">
        <f t="shared" si="84"/>
        <v>3.10588235294118</v>
      </c>
      <c r="BE50" s="249">
        <f>AW50+BD50*7</f>
        <v>46143.4823529412</v>
      </c>
      <c r="BF50" s="224"/>
      <c r="BG50" s="218"/>
      <c r="BH50" s="218"/>
      <c r="BI50" s="218"/>
      <c r="BJ50" s="218"/>
      <c r="BK50" s="247">
        <f t="shared" si="63"/>
        <v>0</v>
      </c>
      <c r="BL50" s="248">
        <f t="shared" si="6"/>
        <v>0</v>
      </c>
      <c r="BM50" s="227"/>
      <c r="BN50" s="224"/>
      <c r="BO50" s="218"/>
      <c r="BP50" s="218"/>
      <c r="BQ50" s="218"/>
      <c r="BR50" s="218"/>
      <c r="BS50" s="250"/>
      <c r="BT50" s="245">
        <f t="shared" si="7"/>
        <v>0</v>
      </c>
      <c r="BU50" s="249"/>
      <c r="BV50" s="224"/>
      <c r="BW50" s="218"/>
      <c r="BX50" s="218"/>
      <c r="BY50" s="218"/>
      <c r="BZ50" s="218"/>
      <c r="CA50" s="315"/>
      <c r="CB50" s="319">
        <f t="shared" si="8"/>
        <v>0</v>
      </c>
      <c r="CC50" s="246"/>
      <c r="CD50" s="224"/>
      <c r="CE50" s="218"/>
      <c r="CF50" s="218"/>
      <c r="CG50" s="218"/>
      <c r="CH50" s="218"/>
      <c r="CI50" s="218"/>
      <c r="CJ50" s="245">
        <f t="shared" si="9"/>
        <v>0</v>
      </c>
      <c r="CK50" s="246"/>
      <c r="CL50" s="224"/>
      <c r="CM50" s="218"/>
      <c r="CN50" s="218"/>
      <c r="CO50" s="218"/>
      <c r="CP50" s="218"/>
      <c r="CQ50" s="218"/>
      <c r="CR50" s="245">
        <f t="shared" si="10"/>
        <v>0</v>
      </c>
      <c r="CS50" s="218"/>
      <c r="CT50" s="224"/>
      <c r="CU50" s="218"/>
      <c r="CV50" s="218"/>
      <c r="CW50" s="218"/>
      <c r="CX50" s="218"/>
      <c r="CY50" s="218"/>
      <c r="CZ50" s="245">
        <f t="shared" si="11"/>
        <v>0</v>
      </c>
      <c r="DA50" s="218"/>
      <c r="DB50" s="224"/>
      <c r="DC50" s="218"/>
      <c r="DD50" s="218"/>
      <c r="DE50" s="218"/>
      <c r="DF50" s="218"/>
      <c r="DG50" s="218"/>
      <c r="DH50" s="218"/>
      <c r="DI50" s="218"/>
      <c r="DJ50" s="218"/>
      <c r="DK50" s="218"/>
      <c r="DL50" s="218"/>
      <c r="DM50" s="218"/>
      <c r="DN50" s="218"/>
      <c r="DO50" s="218"/>
      <c r="DP50" s="218"/>
      <c r="DQ50" s="227"/>
      <c r="DR50" s="224"/>
      <c r="DS50" s="218"/>
      <c r="DT50" s="218"/>
      <c r="DU50" s="218"/>
      <c r="DV50" s="218"/>
      <c r="DW50" s="218"/>
      <c r="DX50" s="218"/>
      <c r="DY50" s="218"/>
      <c r="DZ50" s="218"/>
      <c r="EA50" s="218"/>
      <c r="EB50" s="218"/>
      <c r="EC50" s="218"/>
      <c r="ED50" s="218"/>
      <c r="EE50" s="218"/>
      <c r="EF50" s="223">
        <f t="shared" ref="EF50:EJ50" si="86">AH50+AP50+AX50+BF50+BN50+BV50+CD50+CL50+CT50+DB50+DJ50+DR50+DZ50</f>
        <v>15</v>
      </c>
      <c r="EG50" s="223">
        <f t="shared" si="86"/>
        <v>19</v>
      </c>
      <c r="EH50" s="223">
        <f t="shared" si="86"/>
        <v>19</v>
      </c>
      <c r="EI50" s="223">
        <f t="shared" si="86"/>
        <v>19</v>
      </c>
      <c r="EJ50" s="223">
        <f t="shared" si="86"/>
        <v>19</v>
      </c>
      <c r="EK50" s="223">
        <f t="shared" si="13"/>
        <v>91</v>
      </c>
      <c r="EL50" s="218">
        <f t="shared" si="14"/>
        <v>3400</v>
      </c>
      <c r="EM50" s="218">
        <f t="shared" si="15"/>
        <v>212.5</v>
      </c>
      <c r="EN50" s="223">
        <f t="shared" si="16"/>
        <v>91</v>
      </c>
      <c r="EO50" s="226">
        <f t="shared" si="17"/>
        <v>121.5</v>
      </c>
      <c r="ER50" s="251"/>
      <c r="ES50" s="235" t="s">
        <v>741</v>
      </c>
      <c r="ET50" s="235" t="s">
        <v>742</v>
      </c>
      <c r="EU50" s="235" t="s">
        <v>743</v>
      </c>
    </row>
    <row r="51" s="200" customFormat="1" customHeight="1" spans="1:151 16352:16384">
      <c r="A51" s="309"/>
      <c r="B51" s="230">
        <v>5</v>
      </c>
      <c r="C51" s="219" t="s">
        <v>744</v>
      </c>
      <c r="D51" s="220" t="s">
        <v>492</v>
      </c>
      <c r="E51" s="220" t="s">
        <v>405</v>
      </c>
      <c r="F51" s="220"/>
      <c r="G51" s="220"/>
      <c r="H51" s="239"/>
      <c r="I51" s="239"/>
      <c r="J51" s="220" t="s">
        <v>745</v>
      </c>
      <c r="K51" s="221" t="s">
        <v>746</v>
      </c>
      <c r="L51" s="239"/>
      <c r="M51" s="221"/>
      <c r="O51" s="221"/>
      <c r="Q51" s="200" t="s">
        <v>408</v>
      </c>
      <c r="W51" s="207"/>
      <c r="X51" s="200" t="s">
        <v>745</v>
      </c>
      <c r="Y51" s="207" t="s">
        <v>746</v>
      </c>
      <c r="Z51" s="218"/>
      <c r="AA51" s="332">
        <v>125</v>
      </c>
      <c r="AB51" s="218">
        <f t="shared" si="18"/>
        <v>7</v>
      </c>
      <c r="AC51" s="218">
        <v>2</v>
      </c>
      <c r="AD51" s="218">
        <v>5</v>
      </c>
      <c r="AE51" s="218">
        <v>2</v>
      </c>
      <c r="AF51" s="222">
        <f t="shared" si="81"/>
        <v>35</v>
      </c>
      <c r="AG51" s="311">
        <v>46084</v>
      </c>
      <c r="AH51" s="253">
        <v>1</v>
      </c>
      <c r="AI51" s="254">
        <v>1</v>
      </c>
      <c r="AJ51" s="254">
        <v>1</v>
      </c>
      <c r="AK51" s="254">
        <v>1</v>
      </c>
      <c r="AL51" s="254"/>
      <c r="AM51" s="312">
        <f t="shared" si="82"/>
        <v>4</v>
      </c>
      <c r="AN51" s="245">
        <f t="shared" si="65"/>
        <v>1.82857142857143</v>
      </c>
      <c r="AO51" s="252">
        <v>46097</v>
      </c>
      <c r="AP51" s="253">
        <v>2</v>
      </c>
      <c r="AQ51" s="254">
        <v>2</v>
      </c>
      <c r="AR51" s="254">
        <v>2</v>
      </c>
      <c r="AS51" s="254">
        <v>2</v>
      </c>
      <c r="AT51" s="254"/>
      <c r="AU51" s="312">
        <f t="shared" si="78"/>
        <v>8</v>
      </c>
      <c r="AV51" s="316">
        <f t="shared" si="2"/>
        <v>3.65714285714286</v>
      </c>
      <c r="AW51" s="255">
        <f t="shared" si="79"/>
        <v>46122.6</v>
      </c>
      <c r="AX51" s="256">
        <v>2</v>
      </c>
      <c r="AY51" s="257">
        <v>2</v>
      </c>
      <c r="AZ51" s="257">
        <v>2</v>
      </c>
      <c r="BA51" s="257">
        <v>2</v>
      </c>
      <c r="BB51" s="257"/>
      <c r="BC51" s="335">
        <f t="shared" si="3"/>
        <v>8</v>
      </c>
      <c r="BD51" s="316">
        <f t="shared" si="84"/>
        <v>3.65714285714286</v>
      </c>
      <c r="BE51" s="249">
        <f>AW51+BD51*7</f>
        <v>46148.2</v>
      </c>
      <c r="BF51" s="224"/>
      <c r="BG51" s="218"/>
      <c r="BH51" s="218"/>
      <c r="BI51" s="218"/>
      <c r="BJ51" s="218"/>
      <c r="BK51" s="247">
        <f t="shared" si="63"/>
        <v>0</v>
      </c>
      <c r="BL51" s="248">
        <f t="shared" si="6"/>
        <v>0</v>
      </c>
      <c r="BM51" s="227"/>
      <c r="BN51" s="224"/>
      <c r="BO51" s="218"/>
      <c r="BP51" s="218"/>
      <c r="BQ51" s="218"/>
      <c r="BR51" s="218"/>
      <c r="BS51" s="250"/>
      <c r="BT51" s="245">
        <f t="shared" si="7"/>
        <v>0</v>
      </c>
      <c r="BU51" s="249"/>
      <c r="BV51" s="224"/>
      <c r="BW51" s="218"/>
      <c r="BX51" s="218"/>
      <c r="BY51" s="218"/>
      <c r="BZ51" s="218"/>
      <c r="CA51" s="315"/>
      <c r="CB51" s="319">
        <f t="shared" si="8"/>
        <v>0</v>
      </c>
      <c r="CC51" s="249"/>
      <c r="CD51" s="224"/>
      <c r="CE51" s="218"/>
      <c r="CF51" s="218"/>
      <c r="CG51" s="218"/>
      <c r="CH51" s="218"/>
      <c r="CI51" s="218"/>
      <c r="CJ51" s="245">
        <f t="shared" si="9"/>
        <v>0</v>
      </c>
      <c r="CK51" s="246"/>
      <c r="CL51" s="224"/>
      <c r="CM51" s="218"/>
      <c r="CN51" s="218"/>
      <c r="CO51" s="218"/>
      <c r="CP51" s="218"/>
      <c r="CQ51" s="218"/>
      <c r="CR51" s="245">
        <f t="shared" si="10"/>
        <v>0</v>
      </c>
      <c r="CS51" s="218"/>
      <c r="CT51" s="224"/>
      <c r="CU51" s="218"/>
      <c r="CV51" s="218"/>
      <c r="CW51" s="218"/>
      <c r="CX51" s="218"/>
      <c r="CY51" s="218"/>
      <c r="CZ51" s="245">
        <f t="shared" si="11"/>
        <v>0</v>
      </c>
      <c r="DA51" s="218"/>
      <c r="DB51" s="224"/>
      <c r="DC51" s="218"/>
      <c r="DD51" s="218"/>
      <c r="DE51" s="218"/>
      <c r="DF51" s="218"/>
      <c r="DG51" s="218"/>
      <c r="DH51" s="218"/>
      <c r="DI51" s="218"/>
      <c r="DJ51" s="218"/>
      <c r="DK51" s="218"/>
      <c r="DL51" s="218"/>
      <c r="DM51" s="218"/>
      <c r="DN51" s="218"/>
      <c r="DO51" s="218"/>
      <c r="DP51" s="218"/>
      <c r="DQ51" s="227"/>
      <c r="DR51" s="224"/>
      <c r="DS51" s="218"/>
      <c r="DT51" s="218"/>
      <c r="DU51" s="218"/>
      <c r="DV51" s="218"/>
      <c r="DW51" s="218"/>
      <c r="DX51" s="218"/>
      <c r="DY51" s="218"/>
      <c r="DZ51" s="218"/>
      <c r="EA51" s="218"/>
      <c r="EB51" s="218"/>
      <c r="EC51" s="218"/>
      <c r="ED51" s="218"/>
      <c r="EE51" s="218"/>
      <c r="EF51" s="223">
        <f t="shared" ref="EF51:EJ51" si="87">AH51+AP51+AX51+BF51+BN51+BV51+CD51+CL51+CT51+DB51+DJ51+DR51+DZ51</f>
        <v>5</v>
      </c>
      <c r="EG51" s="223">
        <f t="shared" si="87"/>
        <v>5</v>
      </c>
      <c r="EH51" s="223">
        <f t="shared" si="87"/>
        <v>5</v>
      </c>
      <c r="EI51" s="223">
        <f t="shared" si="87"/>
        <v>5</v>
      </c>
      <c r="EJ51" s="223">
        <f t="shared" si="87"/>
        <v>0</v>
      </c>
      <c r="EK51" s="223">
        <f t="shared" si="13"/>
        <v>20</v>
      </c>
      <c r="EL51" s="218">
        <f t="shared" si="14"/>
        <v>700</v>
      </c>
      <c r="EM51" s="218">
        <f t="shared" si="15"/>
        <v>43.75</v>
      </c>
      <c r="EN51" s="223">
        <f t="shared" si="16"/>
        <v>20</v>
      </c>
      <c r="EO51" s="226">
        <f t="shared" si="17"/>
        <v>23.75</v>
      </c>
      <c r="ER51" s="251"/>
      <c r="ES51" s="235" t="s">
        <v>747</v>
      </c>
      <c r="ET51" s="235" t="s">
        <v>748</v>
      </c>
      <c r="EU51" s="235" t="s">
        <v>749</v>
      </c>
    </row>
    <row r="52" s="200" customFormat="1" customHeight="1" spans="1:151 16352:16384">
      <c r="A52" s="309"/>
      <c r="B52" s="230">
        <v>6</v>
      </c>
      <c r="C52" s="219" t="s">
        <v>750</v>
      </c>
      <c r="D52" s="220"/>
      <c r="E52" s="220"/>
      <c r="F52" s="220"/>
      <c r="G52" s="220"/>
      <c r="H52" s="239"/>
      <c r="I52" s="239"/>
      <c r="J52" s="220" t="s">
        <v>751</v>
      </c>
      <c r="K52" s="221" t="s">
        <v>752</v>
      </c>
      <c r="L52" s="239"/>
      <c r="M52" s="239"/>
      <c r="N52" s="221"/>
      <c r="O52" s="221" t="s">
        <v>753</v>
      </c>
      <c r="W52" s="207"/>
      <c r="X52" s="220" t="s">
        <v>754</v>
      </c>
      <c r="Y52" s="221" t="s">
        <v>755</v>
      </c>
      <c r="Z52" s="218"/>
      <c r="AA52" s="332">
        <v>125</v>
      </c>
      <c r="AB52" s="218">
        <f t="shared" si="18"/>
        <v>10</v>
      </c>
      <c r="AC52" s="218">
        <v>2</v>
      </c>
      <c r="AD52" s="218">
        <v>8</v>
      </c>
      <c r="AE52" s="218">
        <v>6</v>
      </c>
      <c r="AF52" s="222">
        <f t="shared" si="81"/>
        <v>50</v>
      </c>
      <c r="AG52" s="311">
        <v>46084</v>
      </c>
      <c r="AH52" s="253">
        <v>2</v>
      </c>
      <c r="AI52" s="254">
        <v>3</v>
      </c>
      <c r="AJ52" s="254">
        <v>3</v>
      </c>
      <c r="AK52" s="254">
        <v>3</v>
      </c>
      <c r="AL52" s="312">
        <v>0</v>
      </c>
      <c r="AM52" s="312">
        <f t="shared" si="82"/>
        <v>11</v>
      </c>
      <c r="AN52" s="245">
        <f t="shared" si="65"/>
        <v>3.52</v>
      </c>
      <c r="AO52" s="252">
        <v>46105</v>
      </c>
      <c r="AP52" s="253">
        <v>10</v>
      </c>
      <c r="AQ52" s="254">
        <v>3</v>
      </c>
      <c r="AR52" s="254">
        <v>3</v>
      </c>
      <c r="AS52" s="254">
        <v>3</v>
      </c>
      <c r="AT52" s="312"/>
      <c r="AU52" s="312">
        <f t="shared" si="78"/>
        <v>19</v>
      </c>
      <c r="AV52" s="316">
        <f t="shared" si="2"/>
        <v>6.08</v>
      </c>
      <c r="AW52" s="246">
        <f t="shared" si="79"/>
        <v>46147.56</v>
      </c>
      <c r="AX52" s="224"/>
      <c r="AY52" s="218"/>
      <c r="AZ52" s="218"/>
      <c r="BA52" s="218"/>
      <c r="BB52" s="218"/>
      <c r="BC52" s="315">
        <f t="shared" si="3"/>
        <v>0</v>
      </c>
      <c r="BD52" s="316">
        <f t="shared" si="84"/>
        <v>0</v>
      </c>
      <c r="BE52" s="249"/>
      <c r="BF52" s="224"/>
      <c r="BG52" s="218"/>
      <c r="BH52" s="218"/>
      <c r="BI52" s="218"/>
      <c r="BJ52" s="218"/>
      <c r="BK52" s="247">
        <f t="shared" si="63"/>
        <v>0</v>
      </c>
      <c r="BL52" s="248">
        <f t="shared" si="6"/>
        <v>0</v>
      </c>
      <c r="BM52" s="227"/>
      <c r="BN52" s="224"/>
      <c r="BO52" s="218"/>
      <c r="BP52" s="218"/>
      <c r="BQ52" s="218"/>
      <c r="BR52" s="218"/>
      <c r="BS52" s="315"/>
      <c r="BT52" s="336">
        <f t="shared" si="7"/>
        <v>0</v>
      </c>
      <c r="BU52" s="249"/>
      <c r="BV52" s="224"/>
      <c r="BW52" s="218"/>
      <c r="BX52" s="218"/>
      <c r="BY52" s="218"/>
      <c r="BZ52" s="218"/>
      <c r="CA52" s="315"/>
      <c r="CB52" s="319">
        <f t="shared" si="8"/>
        <v>0</v>
      </c>
      <c r="CC52" s="249"/>
      <c r="CD52" s="224"/>
      <c r="CE52" s="218"/>
      <c r="CF52" s="218"/>
      <c r="CG52" s="218"/>
      <c r="CH52" s="218"/>
      <c r="CI52" s="218"/>
      <c r="CJ52" s="245">
        <f t="shared" si="9"/>
        <v>0</v>
      </c>
      <c r="CK52" s="246"/>
      <c r="CL52" s="224"/>
      <c r="CM52" s="218"/>
      <c r="CN52" s="218"/>
      <c r="CO52" s="218"/>
      <c r="CP52" s="218"/>
      <c r="CQ52" s="218"/>
      <c r="CR52" s="245">
        <f t="shared" si="10"/>
        <v>0</v>
      </c>
      <c r="CS52" s="218"/>
      <c r="CT52" s="224"/>
      <c r="CU52" s="218"/>
      <c r="CV52" s="218"/>
      <c r="CW52" s="218"/>
      <c r="CX52" s="218"/>
      <c r="CY52" s="218"/>
      <c r="CZ52" s="245">
        <f t="shared" si="11"/>
        <v>0</v>
      </c>
      <c r="DA52" s="218"/>
      <c r="DB52" s="224"/>
      <c r="DC52" s="218"/>
      <c r="DD52" s="218"/>
      <c r="DE52" s="218"/>
      <c r="DF52" s="218"/>
      <c r="DG52" s="218"/>
      <c r="DH52" s="218"/>
      <c r="DI52" s="218"/>
      <c r="DJ52" s="218"/>
      <c r="DK52" s="218"/>
      <c r="DL52" s="218"/>
      <c r="DM52" s="218"/>
      <c r="DN52" s="218"/>
      <c r="DO52" s="218"/>
      <c r="DP52" s="218"/>
      <c r="DQ52" s="227"/>
      <c r="DR52" s="224"/>
      <c r="DS52" s="218"/>
      <c r="DT52" s="218"/>
      <c r="DU52" s="218"/>
      <c r="DV52" s="218"/>
      <c r="DW52" s="218"/>
      <c r="DX52" s="218"/>
      <c r="DY52" s="218"/>
      <c r="DZ52" s="218"/>
      <c r="EA52" s="218"/>
      <c r="EB52" s="218"/>
      <c r="EC52" s="218"/>
      <c r="ED52" s="218"/>
      <c r="EE52" s="218"/>
      <c r="EF52" s="223">
        <f t="shared" ref="EF52:EJ52" si="88">AH52+AP52+AX52+BF52+BN52+BV52+CD52+CL52+CT52+DB52+DJ52+DR52+DZ52</f>
        <v>12</v>
      </c>
      <c r="EG52" s="223">
        <f t="shared" si="88"/>
        <v>6</v>
      </c>
      <c r="EH52" s="223">
        <f t="shared" si="88"/>
        <v>6</v>
      </c>
      <c r="EI52" s="223">
        <f t="shared" si="88"/>
        <v>6</v>
      </c>
      <c r="EJ52" s="223">
        <f t="shared" si="88"/>
        <v>0</v>
      </c>
      <c r="EK52" s="223">
        <f t="shared" si="13"/>
        <v>30</v>
      </c>
      <c r="EL52" s="218">
        <f t="shared" si="14"/>
        <v>1000</v>
      </c>
      <c r="EM52" s="218">
        <f t="shared" si="15"/>
        <v>62.5</v>
      </c>
      <c r="EN52" s="223">
        <f t="shared" si="16"/>
        <v>30</v>
      </c>
      <c r="EO52" s="226">
        <f t="shared" si="17"/>
        <v>32.5</v>
      </c>
      <c r="ER52" s="251"/>
      <c r="ES52" s="235" t="s">
        <v>756</v>
      </c>
      <c r="ET52" s="235" t="s">
        <v>757</v>
      </c>
      <c r="EU52" s="235" t="s">
        <v>758</v>
      </c>
    </row>
    <row r="53" s="200" customFormat="1" customHeight="1" spans="1:151 16352:16384">
      <c r="A53" s="309"/>
      <c r="B53" s="230">
        <v>7</v>
      </c>
      <c r="C53" s="219" t="s">
        <v>750</v>
      </c>
      <c r="D53" s="220"/>
      <c r="E53" s="220"/>
      <c r="F53" s="220"/>
      <c r="G53" s="220"/>
      <c r="H53" s="239"/>
      <c r="I53" s="239"/>
      <c r="J53" s="220"/>
      <c r="K53" s="221"/>
      <c r="L53" s="239"/>
      <c r="M53" s="239"/>
      <c r="N53" s="221"/>
      <c r="O53" s="221"/>
      <c r="W53" s="207"/>
      <c r="X53" s="220"/>
      <c r="Y53" s="221"/>
      <c r="Z53" s="218"/>
      <c r="AA53" s="332">
        <v>200</v>
      </c>
      <c r="AB53" s="242">
        <f t="shared" si="18"/>
        <v>0</v>
      </c>
      <c r="AC53" s="218"/>
      <c r="AD53" s="218"/>
      <c r="AE53" s="218"/>
      <c r="AF53" s="222">
        <f t="shared" si="81"/>
        <v>0</v>
      </c>
      <c r="AG53" s="333">
        <v>46090</v>
      </c>
      <c r="AH53" s="315">
        <v>0</v>
      </c>
      <c r="AI53" s="315"/>
      <c r="AJ53" s="315"/>
      <c r="AK53" s="315"/>
      <c r="AL53" s="315"/>
      <c r="AM53" s="315">
        <f t="shared" si="82"/>
        <v>0</v>
      </c>
      <c r="AN53" s="245" t="e">
        <f t="shared" si="65"/>
        <v>#DIV/0!</v>
      </c>
      <c r="AO53" s="333"/>
      <c r="AP53" s="331"/>
      <c r="AQ53" s="332"/>
      <c r="AR53" s="332"/>
      <c r="AS53" s="332"/>
      <c r="AT53" s="332"/>
      <c r="AU53" s="315">
        <f t="shared" si="78"/>
        <v>0</v>
      </c>
      <c r="AV53" s="316" t="e">
        <f t="shared" si="2"/>
        <v>#DIV/0!</v>
      </c>
      <c r="AW53" s="333"/>
      <c r="AX53" s="331"/>
      <c r="AY53" s="332"/>
      <c r="AZ53" s="332"/>
      <c r="BA53" s="332"/>
      <c r="BB53" s="332"/>
      <c r="BC53" s="315">
        <f t="shared" si="3"/>
        <v>0</v>
      </c>
      <c r="BD53" s="316" t="e">
        <f t="shared" si="84"/>
        <v>#DIV/0!</v>
      </c>
      <c r="BE53" s="249"/>
      <c r="BF53" s="224"/>
      <c r="BG53" s="218"/>
      <c r="BH53" s="218"/>
      <c r="BI53" s="218"/>
      <c r="BJ53" s="218"/>
      <c r="BK53" s="247">
        <f t="shared" si="63"/>
        <v>0</v>
      </c>
      <c r="BL53" s="248" t="e">
        <f t="shared" si="6"/>
        <v>#DIV/0!</v>
      </c>
      <c r="BM53" s="227"/>
      <c r="BN53" s="224"/>
      <c r="BO53" s="218"/>
      <c r="BP53" s="218"/>
      <c r="BQ53" s="218"/>
      <c r="BR53" s="218"/>
      <c r="BS53" s="315"/>
      <c r="BT53" s="336" t="e">
        <f t="shared" si="7"/>
        <v>#DIV/0!</v>
      </c>
      <c r="BU53" s="249"/>
      <c r="BV53" s="224"/>
      <c r="BW53" s="218"/>
      <c r="BX53" s="218"/>
      <c r="BY53" s="218"/>
      <c r="BZ53" s="218"/>
      <c r="CA53" s="315"/>
      <c r="CB53" s="319" t="e">
        <f t="shared" si="8"/>
        <v>#DIV/0!</v>
      </c>
      <c r="CC53" s="249"/>
      <c r="CD53" s="224"/>
      <c r="CE53" s="218"/>
      <c r="CF53" s="218"/>
      <c r="CG53" s="218"/>
      <c r="CH53" s="218"/>
      <c r="CI53" s="218"/>
      <c r="CJ53" s="245" t="e">
        <f t="shared" si="9"/>
        <v>#DIV/0!</v>
      </c>
      <c r="CK53" s="246"/>
      <c r="CL53" s="224"/>
      <c r="CM53" s="218"/>
      <c r="CN53" s="218"/>
      <c r="CO53" s="218"/>
      <c r="CP53" s="218"/>
      <c r="CQ53" s="218"/>
      <c r="CR53" s="245" t="e">
        <f t="shared" si="10"/>
        <v>#DIV/0!</v>
      </c>
      <c r="CS53" s="249"/>
      <c r="CT53" s="224"/>
      <c r="CU53" s="218"/>
      <c r="CV53" s="218"/>
      <c r="CW53" s="218"/>
      <c r="CX53" s="218"/>
      <c r="CY53" s="218"/>
      <c r="CZ53" s="245" t="e">
        <f t="shared" si="11"/>
        <v>#DIV/0!</v>
      </c>
      <c r="DA53" s="218"/>
      <c r="DB53" s="224"/>
      <c r="DC53" s="218"/>
      <c r="DD53" s="218"/>
      <c r="DE53" s="218"/>
      <c r="DF53" s="218"/>
      <c r="DG53" s="218"/>
      <c r="DH53" s="218"/>
      <c r="DI53" s="218"/>
      <c r="DJ53" s="218"/>
      <c r="DK53" s="218"/>
      <c r="DL53" s="218"/>
      <c r="DM53" s="218"/>
      <c r="DN53" s="218"/>
      <c r="DO53" s="218"/>
      <c r="DP53" s="218"/>
      <c r="DQ53" s="227"/>
      <c r="DR53" s="224"/>
      <c r="DS53" s="218"/>
      <c r="DT53" s="218"/>
      <c r="DU53" s="218"/>
      <c r="DV53" s="218"/>
      <c r="DW53" s="218"/>
      <c r="DX53" s="218"/>
      <c r="DY53" s="218"/>
      <c r="DZ53" s="218"/>
      <c r="EA53" s="218"/>
      <c r="EB53" s="218"/>
      <c r="EC53" s="218"/>
      <c r="ED53" s="218"/>
      <c r="EE53" s="218"/>
      <c r="EF53" s="223">
        <f t="shared" ref="EF53:EJ53" si="89">AH53+AP53+AX53+BF53+BN53+BV53+CD53+CL53+CT53+DB53+DJ53+DR53+DZ53</f>
        <v>0</v>
      </c>
      <c r="EG53" s="223">
        <f t="shared" si="89"/>
        <v>0</v>
      </c>
      <c r="EH53" s="223">
        <f t="shared" si="89"/>
        <v>0</v>
      </c>
      <c r="EI53" s="223">
        <f t="shared" si="89"/>
        <v>0</v>
      </c>
      <c r="EJ53" s="223">
        <f t="shared" si="89"/>
        <v>0</v>
      </c>
      <c r="EK53" s="223">
        <f t="shared" si="13"/>
        <v>0</v>
      </c>
      <c r="EL53" s="218">
        <f t="shared" si="14"/>
        <v>0</v>
      </c>
      <c r="EM53" s="218">
        <f t="shared" si="15"/>
        <v>0</v>
      </c>
      <c r="EN53" s="223">
        <f t="shared" si="16"/>
        <v>0</v>
      </c>
      <c r="EO53" s="226">
        <f t="shared" si="17"/>
        <v>0</v>
      </c>
      <c r="ER53" s="251"/>
      <c r="ES53" s="235" t="s">
        <v>759</v>
      </c>
      <c r="ET53" s="235" t="s">
        <v>760</v>
      </c>
      <c r="EU53" s="235" t="s">
        <v>761</v>
      </c>
    </row>
    <row r="54" s="200" customFormat="1" customHeight="1" spans="1:151 16352:16384">
      <c r="A54" s="309"/>
      <c r="B54" s="230">
        <v>8</v>
      </c>
      <c r="C54" s="219" t="s">
        <v>762</v>
      </c>
      <c r="D54" s="321" t="s">
        <v>13</v>
      </c>
      <c r="E54" s="322" t="s">
        <v>405</v>
      </c>
      <c r="F54" s="220" t="s">
        <v>120</v>
      </c>
      <c r="G54" s="220" t="s">
        <v>134</v>
      </c>
      <c r="H54" s="220">
        <v>15820328712</v>
      </c>
      <c r="I54" s="220">
        <v>638712</v>
      </c>
      <c r="J54" s="220" t="s">
        <v>135</v>
      </c>
      <c r="K54" s="221" t="s">
        <v>136</v>
      </c>
      <c r="L54" s="220">
        <v>662967</v>
      </c>
      <c r="M54" s="220"/>
      <c r="N54" s="221"/>
      <c r="O54" s="221"/>
      <c r="V54" s="337" t="s">
        <v>763</v>
      </c>
      <c r="W54" s="207" t="s">
        <v>764</v>
      </c>
      <c r="X54" s="337" t="s">
        <v>763</v>
      </c>
      <c r="Y54" s="207" t="s">
        <v>764</v>
      </c>
      <c r="Z54" s="218"/>
      <c r="AA54" s="332">
        <v>200</v>
      </c>
      <c r="AB54" s="218">
        <f t="shared" si="18"/>
        <v>2</v>
      </c>
      <c r="AC54" s="218">
        <v>2</v>
      </c>
      <c r="AD54" s="218">
        <v>0</v>
      </c>
      <c r="AE54" s="218"/>
      <c r="AF54" s="222">
        <f t="shared" si="81"/>
        <v>10</v>
      </c>
      <c r="AG54" s="311">
        <v>46097</v>
      </c>
      <c r="AH54" s="325">
        <v>2</v>
      </c>
      <c r="AI54" s="326"/>
      <c r="AJ54" s="326"/>
      <c r="AK54" s="326"/>
      <c r="AL54" s="326"/>
      <c r="AM54" s="312">
        <f t="shared" si="82"/>
        <v>2</v>
      </c>
      <c r="AN54" s="245">
        <f t="shared" si="65"/>
        <v>3.2</v>
      </c>
      <c r="AO54" s="246">
        <f>AG54+AN54*7</f>
        <v>46119.4</v>
      </c>
      <c r="AP54" s="331">
        <v>2</v>
      </c>
      <c r="AQ54" s="332"/>
      <c r="AR54" s="332"/>
      <c r="AS54" s="332"/>
      <c r="AT54" s="332"/>
      <c r="AU54" s="315">
        <f t="shared" si="78"/>
        <v>2</v>
      </c>
      <c r="AV54" s="316">
        <f t="shared" si="2"/>
        <v>3.2</v>
      </c>
      <c r="AW54" s="246">
        <f>AO54+AV54*7</f>
        <v>46141.8</v>
      </c>
      <c r="AX54" s="331"/>
      <c r="AY54" s="332"/>
      <c r="AZ54" s="332"/>
      <c r="BA54" s="332"/>
      <c r="BB54" s="332"/>
      <c r="BC54" s="315">
        <f t="shared" si="3"/>
        <v>0</v>
      </c>
      <c r="BD54" s="316">
        <f t="shared" si="84"/>
        <v>0</v>
      </c>
      <c r="BE54" s="249"/>
      <c r="BF54" s="224"/>
      <c r="BG54" s="218"/>
      <c r="BH54" s="218"/>
      <c r="BI54" s="218"/>
      <c r="BJ54" s="218"/>
      <c r="BK54" s="247">
        <f t="shared" si="63"/>
        <v>0</v>
      </c>
      <c r="BL54" s="248">
        <f t="shared" si="6"/>
        <v>0</v>
      </c>
      <c r="BM54" s="338"/>
      <c r="BN54" s="224"/>
      <c r="BO54" s="218"/>
      <c r="BP54" s="218"/>
      <c r="BQ54" s="218"/>
      <c r="BR54" s="218"/>
      <c r="BS54" s="315"/>
      <c r="BT54" s="336"/>
      <c r="BU54" s="249"/>
      <c r="BV54" s="224"/>
      <c r="BW54" s="218"/>
      <c r="BX54" s="218"/>
      <c r="BY54" s="218"/>
      <c r="BZ54" s="218"/>
      <c r="CA54" s="315"/>
      <c r="CB54" s="319"/>
      <c r="CC54" s="249"/>
      <c r="CD54" s="224"/>
      <c r="CE54" s="218"/>
      <c r="CF54" s="218"/>
      <c r="CG54" s="218"/>
      <c r="CH54" s="218"/>
      <c r="CI54" s="218"/>
      <c r="CJ54" s="245">
        <f t="shared" si="9"/>
        <v>0</v>
      </c>
      <c r="CK54" s="249"/>
      <c r="CL54" s="224"/>
      <c r="CM54" s="218"/>
      <c r="CN54" s="218"/>
      <c r="CO54" s="218"/>
      <c r="CP54" s="218"/>
      <c r="CQ54" s="218"/>
      <c r="CR54" s="245">
        <f t="shared" si="10"/>
        <v>0</v>
      </c>
      <c r="CS54" s="249"/>
      <c r="CT54" s="224"/>
      <c r="CU54" s="218"/>
      <c r="CV54" s="218"/>
      <c r="CW54" s="218"/>
      <c r="CX54" s="218"/>
      <c r="CY54" s="218"/>
      <c r="CZ54" s="245">
        <f t="shared" si="11"/>
        <v>0</v>
      </c>
      <c r="DA54" s="218"/>
      <c r="DB54" s="224"/>
      <c r="DC54" s="218"/>
      <c r="DD54" s="218"/>
      <c r="DE54" s="218"/>
      <c r="DF54" s="218"/>
      <c r="DG54" s="218"/>
      <c r="DH54" s="218"/>
      <c r="DI54" s="218"/>
      <c r="DJ54" s="218"/>
      <c r="DK54" s="218"/>
      <c r="DL54" s="218"/>
      <c r="DM54" s="218"/>
      <c r="DN54" s="218"/>
      <c r="DO54" s="218"/>
      <c r="DP54" s="218"/>
      <c r="DQ54" s="227"/>
      <c r="DR54" s="224"/>
      <c r="DS54" s="218"/>
      <c r="DT54" s="218"/>
      <c r="DU54" s="218"/>
      <c r="DV54" s="218"/>
      <c r="DW54" s="218"/>
      <c r="DX54" s="218"/>
      <c r="DY54" s="218"/>
      <c r="DZ54" s="218"/>
      <c r="EA54" s="218"/>
      <c r="EB54" s="218"/>
      <c r="EC54" s="218"/>
      <c r="ED54" s="218"/>
      <c r="EE54" s="218"/>
      <c r="EF54" s="223">
        <f t="shared" ref="EF54:EJ54" si="90">AH54+AP54+AX54+BF54+BN54+BV54+CD54+CL54+CT54+DB54+DJ54+DR54+DZ54</f>
        <v>4</v>
      </c>
      <c r="EG54" s="223">
        <f t="shared" si="90"/>
        <v>0</v>
      </c>
      <c r="EH54" s="223">
        <f t="shared" si="90"/>
        <v>0</v>
      </c>
      <c r="EI54" s="223">
        <f t="shared" si="90"/>
        <v>0</v>
      </c>
      <c r="EJ54" s="223">
        <f t="shared" si="90"/>
        <v>0</v>
      </c>
      <c r="EK54" s="223">
        <f t="shared" si="13"/>
        <v>4</v>
      </c>
      <c r="EL54" s="218">
        <f t="shared" si="14"/>
        <v>200</v>
      </c>
      <c r="EM54" s="218">
        <f t="shared" si="15"/>
        <v>12.5</v>
      </c>
      <c r="EN54" s="223">
        <f t="shared" si="16"/>
        <v>4</v>
      </c>
      <c r="EO54" s="226">
        <f t="shared" si="17"/>
        <v>8.5</v>
      </c>
      <c r="ER54" s="251"/>
      <c r="ES54" s="235" t="s">
        <v>765</v>
      </c>
      <c r="ET54" s="235" t="s">
        <v>766</v>
      </c>
      <c r="EU54" s="235" t="s">
        <v>767</v>
      </c>
    </row>
    <row r="55" s="200" customFormat="1" customHeight="1" spans="1:151 16352:16384">
      <c r="A55" s="309"/>
      <c r="B55" s="230">
        <v>9</v>
      </c>
      <c r="C55" s="219" t="s">
        <v>768</v>
      </c>
      <c r="D55" s="220" t="s">
        <v>13</v>
      </c>
      <c r="E55" s="220" t="s">
        <v>405</v>
      </c>
      <c r="F55" s="220" t="s">
        <v>120</v>
      </c>
      <c r="G55" s="220" t="s">
        <v>144</v>
      </c>
      <c r="H55" s="239">
        <v>13602923323</v>
      </c>
      <c r="I55" s="239">
        <v>63323</v>
      </c>
      <c r="J55" s="220" t="s">
        <v>144</v>
      </c>
      <c r="K55" s="221">
        <v>13602923323</v>
      </c>
      <c r="L55" s="239">
        <v>63323</v>
      </c>
      <c r="M55" s="239"/>
      <c r="N55" s="221"/>
      <c r="O55" s="221" t="s">
        <v>769</v>
      </c>
      <c r="P55" s="200" t="s">
        <v>770</v>
      </c>
      <c r="Q55" s="200" t="s">
        <v>408</v>
      </c>
      <c r="R55" s="200" t="s">
        <v>771</v>
      </c>
      <c r="V55" s="200" t="s">
        <v>772</v>
      </c>
      <c r="W55" s="207" t="s">
        <v>773</v>
      </c>
      <c r="X55" s="220" t="s">
        <v>774</v>
      </c>
      <c r="Y55" s="221">
        <v>13926628029</v>
      </c>
      <c r="Z55" s="218"/>
      <c r="AA55" s="332">
        <v>200</v>
      </c>
      <c r="AB55" s="218">
        <v>30</v>
      </c>
      <c r="AC55" s="218">
        <v>10</v>
      </c>
      <c r="AD55" s="218">
        <v>20</v>
      </c>
      <c r="AE55" s="218"/>
      <c r="AF55" s="222">
        <f t="shared" si="81"/>
        <v>150</v>
      </c>
      <c r="AG55" s="311">
        <v>46084</v>
      </c>
      <c r="AH55" s="325">
        <v>8</v>
      </c>
      <c r="AI55" s="326">
        <v>2</v>
      </c>
      <c r="AJ55" s="326">
        <v>2</v>
      </c>
      <c r="AK55" s="326"/>
      <c r="AL55" s="326">
        <v>2</v>
      </c>
      <c r="AM55" s="312">
        <f t="shared" si="82"/>
        <v>14</v>
      </c>
      <c r="AN55" s="245">
        <f t="shared" si="65"/>
        <v>1.49333333333333</v>
      </c>
      <c r="AO55" s="333">
        <v>46099</v>
      </c>
      <c r="AP55" s="331">
        <v>8</v>
      </c>
      <c r="AQ55" s="332">
        <v>5</v>
      </c>
      <c r="AR55" s="332">
        <v>5</v>
      </c>
      <c r="AS55" s="332">
        <v>5</v>
      </c>
      <c r="AT55" s="332">
        <v>5</v>
      </c>
      <c r="AU55" s="315">
        <f t="shared" si="78"/>
        <v>28</v>
      </c>
      <c r="AV55" s="316">
        <f t="shared" si="2"/>
        <v>2.98666666666667</v>
      </c>
      <c r="AW55" s="311">
        <v>46107</v>
      </c>
      <c r="AX55" s="325">
        <v>4</v>
      </c>
      <c r="AY55" s="326">
        <v>2</v>
      </c>
      <c r="AZ55" s="326">
        <v>1</v>
      </c>
      <c r="BA55" s="326">
        <v>1</v>
      </c>
      <c r="BB55" s="326">
        <v>1</v>
      </c>
      <c r="BC55" s="312">
        <f t="shared" si="3"/>
        <v>9</v>
      </c>
      <c r="BD55" s="316">
        <f t="shared" si="84"/>
        <v>0.96</v>
      </c>
      <c r="BE55" s="271">
        <v>46127</v>
      </c>
      <c r="BF55" s="253">
        <v>5</v>
      </c>
      <c r="BG55" s="254">
        <v>3</v>
      </c>
      <c r="BH55" s="254">
        <v>3</v>
      </c>
      <c r="BI55" s="254">
        <v>3</v>
      </c>
      <c r="BJ55" s="254">
        <v>3</v>
      </c>
      <c r="BK55" s="244">
        <f t="shared" si="63"/>
        <v>17</v>
      </c>
      <c r="BL55" s="248">
        <f t="shared" si="6"/>
        <v>1.81333333333333</v>
      </c>
      <c r="BM55" s="246">
        <f>BE55+BL55*7</f>
        <v>46139.6933333333</v>
      </c>
      <c r="BN55" s="224"/>
      <c r="BO55" s="218"/>
      <c r="BP55" s="218"/>
      <c r="BQ55" s="218"/>
      <c r="BR55" s="218"/>
      <c r="BS55" s="315"/>
      <c r="BT55" s="336">
        <f t="shared" ref="BT55:BT62" si="91">BS55*16/AF55</f>
        <v>0</v>
      </c>
      <c r="BU55" s="249"/>
      <c r="BV55" s="224"/>
      <c r="BW55" s="218"/>
      <c r="BX55" s="218"/>
      <c r="BY55" s="218"/>
      <c r="BZ55" s="218"/>
      <c r="CA55" s="315"/>
      <c r="CB55" s="319">
        <f t="shared" ref="CB55:CB62" si="92">CA55*16/AF55</f>
        <v>0</v>
      </c>
      <c r="CC55" s="249"/>
      <c r="CD55" s="224"/>
      <c r="CE55" s="218"/>
      <c r="CF55" s="218"/>
      <c r="CG55" s="218"/>
      <c r="CH55" s="218"/>
      <c r="CI55" s="218"/>
      <c r="CJ55" s="245">
        <f t="shared" si="9"/>
        <v>0</v>
      </c>
      <c r="CK55" s="246"/>
      <c r="CL55" s="224"/>
      <c r="CM55" s="218"/>
      <c r="CN55" s="218"/>
      <c r="CO55" s="218"/>
      <c r="CP55" s="218"/>
      <c r="CQ55" s="218"/>
      <c r="CR55" s="245">
        <f t="shared" si="10"/>
        <v>0</v>
      </c>
      <c r="CS55" s="249"/>
      <c r="CT55" s="224"/>
      <c r="CU55" s="218"/>
      <c r="CV55" s="218"/>
      <c r="CW55" s="218"/>
      <c r="CX55" s="218"/>
      <c r="CY55" s="218"/>
      <c r="CZ55" s="245">
        <f t="shared" si="11"/>
        <v>0</v>
      </c>
      <c r="DA55" s="218"/>
      <c r="DB55" s="224"/>
      <c r="DC55" s="218"/>
      <c r="DD55" s="218"/>
      <c r="DE55" s="218"/>
      <c r="DF55" s="218"/>
      <c r="DG55" s="218"/>
      <c r="DH55" s="218"/>
      <c r="DI55" s="218"/>
      <c r="DJ55" s="218"/>
      <c r="DK55" s="218"/>
      <c r="DL55" s="218"/>
      <c r="DM55" s="218"/>
      <c r="DN55" s="218"/>
      <c r="DO55" s="218"/>
      <c r="DP55" s="218"/>
      <c r="DQ55" s="227"/>
      <c r="DR55" s="224"/>
      <c r="DS55" s="218"/>
      <c r="DT55" s="218"/>
      <c r="DU55" s="218"/>
      <c r="DV55" s="218"/>
      <c r="DW55" s="218"/>
      <c r="DX55" s="218"/>
      <c r="DY55" s="218"/>
      <c r="DZ55" s="218"/>
      <c r="EA55" s="218"/>
      <c r="EB55" s="218"/>
      <c r="EC55" s="218"/>
      <c r="ED55" s="218"/>
      <c r="EE55" s="218"/>
      <c r="EF55" s="223">
        <f t="shared" ref="EF55:EJ55" si="93">AH55+AP55+AX55+BF55+BN55+BV55+CD55+CL55+CT55+DB55+DJ55+DR55+DZ55</f>
        <v>25</v>
      </c>
      <c r="EG55" s="223">
        <f t="shared" si="93"/>
        <v>12</v>
      </c>
      <c r="EH55" s="223">
        <f t="shared" si="93"/>
        <v>11</v>
      </c>
      <c r="EI55" s="223">
        <f t="shared" si="93"/>
        <v>9</v>
      </c>
      <c r="EJ55" s="223">
        <f t="shared" si="93"/>
        <v>11</v>
      </c>
      <c r="EK55" s="223">
        <f t="shared" si="13"/>
        <v>68</v>
      </c>
      <c r="EL55" s="218">
        <f t="shared" si="14"/>
        <v>3000</v>
      </c>
      <c r="EM55" s="218">
        <f t="shared" si="15"/>
        <v>187.5</v>
      </c>
      <c r="EN55" s="223">
        <f t="shared" si="16"/>
        <v>68</v>
      </c>
      <c r="EO55" s="226">
        <f t="shared" si="17"/>
        <v>119.5</v>
      </c>
      <c r="ER55" s="251"/>
      <c r="ES55" s="235" t="s">
        <v>775</v>
      </c>
      <c r="ET55" s="235" t="s">
        <v>776</v>
      </c>
      <c r="EU55" s="235" t="s">
        <v>777</v>
      </c>
    </row>
    <row r="56" s="200" customFormat="1" customHeight="1" spans="1:151 16352:16384">
      <c r="A56" s="309"/>
      <c r="B56" s="230">
        <v>10</v>
      </c>
      <c r="C56" s="219" t="s">
        <v>778</v>
      </c>
      <c r="D56" s="220" t="s">
        <v>13</v>
      </c>
      <c r="E56" s="220"/>
      <c r="F56" s="220" t="s">
        <v>125</v>
      </c>
      <c r="G56" s="220" t="s">
        <v>147</v>
      </c>
      <c r="H56" s="220">
        <v>15816231318</v>
      </c>
      <c r="I56" s="220">
        <v>661318</v>
      </c>
      <c r="J56" s="220" t="s">
        <v>148</v>
      </c>
      <c r="K56" s="220">
        <v>13679518212</v>
      </c>
      <c r="L56" s="220">
        <v>668212</v>
      </c>
      <c r="M56" s="239"/>
      <c r="N56" s="221"/>
      <c r="O56" s="221" t="s">
        <v>779</v>
      </c>
      <c r="Q56" s="200" t="s">
        <v>408</v>
      </c>
      <c r="R56" s="200" t="s">
        <v>418</v>
      </c>
      <c r="W56" s="207"/>
      <c r="X56" s="200" t="s">
        <v>780</v>
      </c>
      <c r="Y56" s="207" t="s">
        <v>781</v>
      </c>
      <c r="Z56" s="218"/>
      <c r="AA56" s="332">
        <v>200</v>
      </c>
      <c r="AB56" s="218">
        <f t="shared" si="18"/>
        <v>58</v>
      </c>
      <c r="AC56" s="218">
        <v>4</v>
      </c>
      <c r="AD56" s="218">
        <v>54</v>
      </c>
      <c r="AE56" s="218"/>
      <c r="AF56" s="222">
        <f t="shared" si="81"/>
        <v>290</v>
      </c>
      <c r="AG56" s="311">
        <v>46084</v>
      </c>
      <c r="AH56" s="325">
        <v>15</v>
      </c>
      <c r="AI56" s="326">
        <v>12</v>
      </c>
      <c r="AJ56" s="326">
        <v>12</v>
      </c>
      <c r="AK56" s="326">
        <v>12</v>
      </c>
      <c r="AL56" s="326">
        <v>12</v>
      </c>
      <c r="AM56" s="312">
        <f t="shared" si="82"/>
        <v>63</v>
      </c>
      <c r="AN56" s="245">
        <f t="shared" si="65"/>
        <v>3.47586206896552</v>
      </c>
      <c r="AO56" s="311">
        <v>46107</v>
      </c>
      <c r="AP56" s="325">
        <v>15</v>
      </c>
      <c r="AQ56" s="326">
        <v>12</v>
      </c>
      <c r="AR56" s="326">
        <v>12</v>
      </c>
      <c r="AS56" s="326">
        <v>12</v>
      </c>
      <c r="AT56" s="326">
        <v>12</v>
      </c>
      <c r="AU56" s="312">
        <f t="shared" si="78"/>
        <v>63</v>
      </c>
      <c r="AV56" s="316">
        <f t="shared" si="2"/>
        <v>3.47586206896552</v>
      </c>
      <c r="AW56" s="255">
        <f>AO56+AV56*7</f>
        <v>46131.3310344828</v>
      </c>
      <c r="AX56" s="339">
        <v>13</v>
      </c>
      <c r="AY56" s="340">
        <v>10</v>
      </c>
      <c r="AZ56" s="340">
        <v>10</v>
      </c>
      <c r="BA56" s="340">
        <v>10</v>
      </c>
      <c r="BB56" s="340">
        <v>10</v>
      </c>
      <c r="BC56" s="335">
        <f t="shared" si="3"/>
        <v>53</v>
      </c>
      <c r="BD56" s="316">
        <f t="shared" si="84"/>
        <v>2.92413793103448</v>
      </c>
      <c r="BE56" s="249">
        <f>AW56+BD56*7</f>
        <v>46151.8</v>
      </c>
      <c r="BF56" s="331"/>
      <c r="BG56" s="332"/>
      <c r="BH56" s="332"/>
      <c r="BI56" s="332"/>
      <c r="BJ56" s="332"/>
      <c r="BK56" s="247">
        <f t="shared" si="63"/>
        <v>0</v>
      </c>
      <c r="BL56" s="248">
        <f t="shared" si="6"/>
        <v>0</v>
      </c>
      <c r="BM56" s="227"/>
      <c r="BN56" s="224"/>
      <c r="BO56" s="218"/>
      <c r="BP56" s="218"/>
      <c r="BQ56" s="218"/>
      <c r="BR56" s="218"/>
      <c r="BS56" s="315"/>
      <c r="BT56" s="336">
        <f t="shared" si="91"/>
        <v>0</v>
      </c>
      <c r="BU56" s="249"/>
      <c r="BV56" s="224"/>
      <c r="BW56" s="218"/>
      <c r="BX56" s="218"/>
      <c r="BY56" s="218"/>
      <c r="BZ56" s="218"/>
      <c r="CA56" s="315"/>
      <c r="CB56" s="319">
        <f t="shared" si="92"/>
        <v>0</v>
      </c>
      <c r="CC56" s="246"/>
      <c r="CD56" s="224"/>
      <c r="CE56" s="218"/>
      <c r="CF56" s="218"/>
      <c r="CG56" s="218"/>
      <c r="CH56" s="218"/>
      <c r="CI56" s="218"/>
      <c r="CJ56" s="245">
        <f t="shared" si="9"/>
        <v>0</v>
      </c>
      <c r="CK56" s="246"/>
      <c r="CL56" s="224"/>
      <c r="CM56" s="218"/>
      <c r="CN56" s="218"/>
      <c r="CO56" s="218"/>
      <c r="CP56" s="218"/>
      <c r="CQ56" s="218"/>
      <c r="CR56" s="245">
        <f t="shared" si="10"/>
        <v>0</v>
      </c>
      <c r="CS56" s="249"/>
      <c r="CT56" s="224"/>
      <c r="CU56" s="218"/>
      <c r="CV56" s="218"/>
      <c r="CW56" s="218"/>
      <c r="CX56" s="218"/>
      <c r="CY56" s="218"/>
      <c r="CZ56" s="245">
        <f t="shared" si="11"/>
        <v>0</v>
      </c>
      <c r="DA56" s="249"/>
      <c r="DB56" s="224"/>
      <c r="DC56" s="218"/>
      <c r="DD56" s="218"/>
      <c r="DE56" s="218"/>
      <c r="DF56" s="218"/>
      <c r="DG56" s="218"/>
      <c r="DH56" s="218"/>
      <c r="DI56" s="249"/>
      <c r="DJ56" s="218"/>
      <c r="DK56" s="218"/>
      <c r="DL56" s="218"/>
      <c r="DM56" s="218"/>
      <c r="DN56" s="218"/>
      <c r="DO56" s="218"/>
      <c r="DP56" s="218"/>
      <c r="DQ56" s="227"/>
      <c r="DR56" s="224"/>
      <c r="DS56" s="218"/>
      <c r="DT56" s="218"/>
      <c r="DU56" s="218"/>
      <c r="DV56" s="218"/>
      <c r="DW56" s="218"/>
      <c r="DX56" s="218"/>
      <c r="DY56" s="218"/>
      <c r="DZ56" s="218"/>
      <c r="EA56" s="218"/>
      <c r="EB56" s="218"/>
      <c r="EC56" s="218"/>
      <c r="ED56" s="218"/>
      <c r="EE56" s="218"/>
      <c r="EF56" s="223">
        <f t="shared" ref="EF56:EJ56" si="94">AH56+AP56+AX56+BF56+BN56+BV56+CD56+CL56+CT56+DB56+DJ56+DR56+DZ56</f>
        <v>43</v>
      </c>
      <c r="EG56" s="223">
        <f t="shared" si="94"/>
        <v>34</v>
      </c>
      <c r="EH56" s="223">
        <f t="shared" si="94"/>
        <v>34</v>
      </c>
      <c r="EI56" s="223">
        <f t="shared" si="94"/>
        <v>34</v>
      </c>
      <c r="EJ56" s="223">
        <f t="shared" si="94"/>
        <v>34</v>
      </c>
      <c r="EK56" s="223">
        <f t="shared" si="13"/>
        <v>179</v>
      </c>
      <c r="EL56" s="218">
        <f t="shared" si="14"/>
        <v>5800</v>
      </c>
      <c r="EM56" s="218">
        <f t="shared" si="15"/>
        <v>362.5</v>
      </c>
      <c r="EN56" s="223">
        <f t="shared" si="16"/>
        <v>179</v>
      </c>
      <c r="EO56" s="226">
        <f t="shared" si="17"/>
        <v>183.5</v>
      </c>
      <c r="ER56" s="251"/>
      <c r="ES56" s="235" t="s">
        <v>782</v>
      </c>
      <c r="ET56" s="235" t="s">
        <v>783</v>
      </c>
      <c r="EU56" s="235" t="s">
        <v>784</v>
      </c>
    </row>
    <row r="57" s="200" customFormat="1" ht="20" customHeight="1" spans="1:151 16352:16384">
      <c r="A57" s="309"/>
      <c r="B57" s="230">
        <v>11</v>
      </c>
      <c r="C57" s="218" t="s">
        <v>785</v>
      </c>
      <c r="D57" s="220" t="s">
        <v>13</v>
      </c>
      <c r="E57" s="220"/>
      <c r="F57" s="220" t="s">
        <v>125</v>
      </c>
      <c r="G57" s="220" t="s">
        <v>147</v>
      </c>
      <c r="H57" s="220">
        <v>15816231318</v>
      </c>
      <c r="I57" s="220">
        <v>661318</v>
      </c>
      <c r="J57" s="220" t="s">
        <v>148</v>
      </c>
      <c r="K57" s="220">
        <v>13679518212</v>
      </c>
      <c r="L57" s="220">
        <v>668212</v>
      </c>
      <c r="M57" s="239"/>
      <c r="N57" s="221"/>
      <c r="O57" s="221" t="s">
        <v>779</v>
      </c>
      <c r="Q57" s="200" t="s">
        <v>408</v>
      </c>
      <c r="R57" s="200" t="s">
        <v>418</v>
      </c>
      <c r="W57" s="207"/>
      <c r="X57" s="337" t="s">
        <v>786</v>
      </c>
      <c r="Y57" s="207" t="s">
        <v>787</v>
      </c>
      <c r="Z57" s="218"/>
      <c r="AA57" s="218">
        <v>200</v>
      </c>
      <c r="AB57" s="218">
        <f t="shared" si="18"/>
        <v>76</v>
      </c>
      <c r="AC57" s="218">
        <v>8</v>
      </c>
      <c r="AD57" s="218">
        <v>68</v>
      </c>
      <c r="AE57" s="218"/>
      <c r="AF57" s="222">
        <f t="shared" si="81"/>
        <v>380</v>
      </c>
      <c r="AG57" s="311">
        <v>46084</v>
      </c>
      <c r="AH57" s="312">
        <v>12</v>
      </c>
      <c r="AI57" s="312">
        <v>10</v>
      </c>
      <c r="AJ57" s="312">
        <v>10</v>
      </c>
      <c r="AK57" s="312">
        <v>10</v>
      </c>
      <c r="AL57" s="312">
        <v>10</v>
      </c>
      <c r="AM57" s="312">
        <f t="shared" si="82"/>
        <v>52</v>
      </c>
      <c r="AN57" s="245">
        <f t="shared" si="65"/>
        <v>2.18947368421053</v>
      </c>
      <c r="AO57" s="311">
        <v>46097</v>
      </c>
      <c r="AP57" s="325">
        <v>10</v>
      </c>
      <c r="AQ57" s="326">
        <v>15</v>
      </c>
      <c r="AR57" s="326">
        <v>15</v>
      </c>
      <c r="AS57" s="326">
        <v>15</v>
      </c>
      <c r="AT57" s="326">
        <v>15</v>
      </c>
      <c r="AU57" s="312">
        <f t="shared" si="78"/>
        <v>70</v>
      </c>
      <c r="AV57" s="316">
        <f t="shared" si="2"/>
        <v>2.94736842105263</v>
      </c>
      <c r="AW57" s="311">
        <v>46111</v>
      </c>
      <c r="AX57" s="325">
        <v>10</v>
      </c>
      <c r="AY57" s="326">
        <v>15</v>
      </c>
      <c r="AZ57" s="326">
        <v>15</v>
      </c>
      <c r="BA57" s="326">
        <v>15</v>
      </c>
      <c r="BB57" s="326">
        <v>15</v>
      </c>
      <c r="BC57" s="312">
        <f t="shared" si="3"/>
        <v>70</v>
      </c>
      <c r="BD57" s="316">
        <f t="shared" si="84"/>
        <v>2.94736842105263</v>
      </c>
      <c r="BE57" s="255">
        <f>AW57+BD57*7</f>
        <v>46131.6315789474</v>
      </c>
      <c r="BF57" s="256">
        <v>10</v>
      </c>
      <c r="BG57" s="257">
        <v>15</v>
      </c>
      <c r="BH57" s="257">
        <v>15</v>
      </c>
      <c r="BI57" s="257">
        <v>15</v>
      </c>
      <c r="BJ57" s="257">
        <v>15</v>
      </c>
      <c r="BK57" s="258">
        <f t="shared" si="63"/>
        <v>70</v>
      </c>
      <c r="BL57" s="248">
        <f t="shared" si="6"/>
        <v>2.94736842105263</v>
      </c>
      <c r="BM57" s="246">
        <f t="shared" ref="BM57:BM62" si="95">BE57+BL57*7</f>
        <v>46152.2631578948</v>
      </c>
      <c r="BN57" s="224"/>
      <c r="BO57" s="218"/>
      <c r="BP57" s="218"/>
      <c r="BQ57" s="218"/>
      <c r="BR57" s="218"/>
      <c r="BS57" s="315"/>
      <c r="BT57" s="336">
        <f t="shared" si="91"/>
        <v>0</v>
      </c>
      <c r="BU57" s="249"/>
      <c r="BV57" s="224"/>
      <c r="BW57" s="218"/>
      <c r="BX57" s="218"/>
      <c r="BY57" s="218"/>
      <c r="BZ57" s="218"/>
      <c r="CA57" s="315"/>
      <c r="CB57" s="319">
        <f t="shared" si="92"/>
        <v>0</v>
      </c>
      <c r="CC57" s="249"/>
      <c r="CD57" s="224"/>
      <c r="CE57" s="218"/>
      <c r="CF57" s="218"/>
      <c r="CG57" s="218"/>
      <c r="CH57" s="218"/>
      <c r="CI57" s="218"/>
      <c r="CJ57" s="245">
        <f t="shared" si="9"/>
        <v>0</v>
      </c>
      <c r="CK57" s="249"/>
      <c r="CL57" s="224"/>
      <c r="CM57" s="218"/>
      <c r="CN57" s="218"/>
      <c r="CO57" s="218"/>
      <c r="CP57" s="218"/>
      <c r="CQ57" s="218"/>
      <c r="CR57" s="245">
        <f t="shared" si="10"/>
        <v>0</v>
      </c>
      <c r="CS57" s="246"/>
      <c r="CT57" s="224"/>
      <c r="CU57" s="218"/>
      <c r="CV57" s="218"/>
      <c r="CW57" s="218"/>
      <c r="CX57" s="218"/>
      <c r="CY57" s="218"/>
      <c r="CZ57" s="245">
        <f t="shared" si="11"/>
        <v>0</v>
      </c>
      <c r="DA57" s="249"/>
      <c r="DB57" s="224"/>
      <c r="DC57" s="218"/>
      <c r="DD57" s="218"/>
      <c r="DE57" s="218"/>
      <c r="DF57" s="218"/>
      <c r="DG57" s="218"/>
      <c r="DH57" s="218"/>
      <c r="DI57" s="218"/>
      <c r="DJ57" s="218"/>
      <c r="DK57" s="218"/>
      <c r="DL57" s="218"/>
      <c r="DM57" s="218"/>
      <c r="DN57" s="218"/>
      <c r="DO57" s="218"/>
      <c r="DP57" s="218"/>
      <c r="DQ57" s="227"/>
      <c r="DR57" s="224"/>
      <c r="DS57" s="218"/>
      <c r="DT57" s="218"/>
      <c r="DU57" s="218"/>
      <c r="DV57" s="218"/>
      <c r="DW57" s="218"/>
      <c r="DX57" s="218"/>
      <c r="DY57" s="218"/>
      <c r="DZ57" s="218"/>
      <c r="EA57" s="218"/>
      <c r="EB57" s="218"/>
      <c r="EC57" s="218"/>
      <c r="ED57" s="218"/>
      <c r="EE57" s="218"/>
      <c r="EF57" s="223">
        <f t="shared" ref="EF57:EJ57" si="96">AH57+AP57+AX57+BF57+BN57+BV57+CD57+CL57+CT57+DB57+DJ57+DR57+DZ57</f>
        <v>42</v>
      </c>
      <c r="EG57" s="223">
        <f t="shared" si="96"/>
        <v>55</v>
      </c>
      <c r="EH57" s="223">
        <f t="shared" si="96"/>
        <v>55</v>
      </c>
      <c r="EI57" s="223">
        <f t="shared" si="96"/>
        <v>55</v>
      </c>
      <c r="EJ57" s="223">
        <f t="shared" si="96"/>
        <v>55</v>
      </c>
      <c r="EK57" s="223">
        <f t="shared" si="13"/>
        <v>262</v>
      </c>
      <c r="EL57" s="218">
        <f t="shared" si="14"/>
        <v>7600</v>
      </c>
      <c r="EM57" s="218">
        <f t="shared" si="15"/>
        <v>475</v>
      </c>
      <c r="EN57" s="223">
        <f t="shared" si="16"/>
        <v>262</v>
      </c>
      <c r="EO57" s="226">
        <f t="shared" si="17"/>
        <v>213</v>
      </c>
      <c r="ER57" s="251"/>
      <c r="ES57" s="235" t="s">
        <v>788</v>
      </c>
      <c r="ET57" s="235" t="s">
        <v>789</v>
      </c>
      <c r="EU57" s="235" t="s">
        <v>790</v>
      </c>
    </row>
    <row r="58" s="200" customFormat="1" ht="18" customHeight="1" spans="1:151 16352:16384">
      <c r="A58" s="309"/>
      <c r="B58" s="230">
        <v>0</v>
      </c>
      <c r="C58" s="218" t="s">
        <v>791</v>
      </c>
      <c r="G58" s="200" t="s">
        <v>792</v>
      </c>
      <c r="K58" s="207"/>
      <c r="N58" s="207"/>
      <c r="O58" s="207"/>
      <c r="W58" s="207"/>
      <c r="X58" s="200" t="s">
        <v>793</v>
      </c>
      <c r="Y58" s="207" t="s">
        <v>794</v>
      </c>
      <c r="Z58" s="218"/>
      <c r="AA58" s="218">
        <v>125</v>
      </c>
      <c r="AB58" s="218">
        <f t="shared" si="18"/>
        <v>6</v>
      </c>
      <c r="AC58" s="218">
        <v>1</v>
      </c>
      <c r="AD58" s="218">
        <v>5</v>
      </c>
      <c r="AE58" s="218">
        <v>1</v>
      </c>
      <c r="AF58" s="222">
        <f t="shared" si="81"/>
        <v>30</v>
      </c>
      <c r="AG58" s="311">
        <v>46084</v>
      </c>
      <c r="AH58" s="253">
        <v>1</v>
      </c>
      <c r="AI58" s="254">
        <v>1</v>
      </c>
      <c r="AJ58" s="254">
        <v>1</v>
      </c>
      <c r="AK58" s="254">
        <v>1</v>
      </c>
      <c r="AL58" s="312">
        <v>0</v>
      </c>
      <c r="AM58" s="312">
        <f t="shared" si="82"/>
        <v>4</v>
      </c>
      <c r="AN58" s="245">
        <f t="shared" si="65"/>
        <v>2.13333333333333</v>
      </c>
      <c r="AO58" s="252">
        <v>46097</v>
      </c>
      <c r="AP58" s="253">
        <v>1</v>
      </c>
      <c r="AQ58" s="254">
        <v>1</v>
      </c>
      <c r="AR58" s="254">
        <v>1</v>
      </c>
      <c r="AS58" s="254">
        <v>1</v>
      </c>
      <c r="AT58" s="312"/>
      <c r="AU58" s="312">
        <f t="shared" si="78"/>
        <v>4</v>
      </c>
      <c r="AV58" s="316">
        <f t="shared" si="2"/>
        <v>2.13333333333333</v>
      </c>
      <c r="AW58" s="252">
        <v>46107</v>
      </c>
      <c r="AX58" s="253">
        <v>1</v>
      </c>
      <c r="AY58" s="254">
        <v>1</v>
      </c>
      <c r="AZ58" s="254">
        <v>1</v>
      </c>
      <c r="BA58" s="254">
        <v>1</v>
      </c>
      <c r="BB58" s="254"/>
      <c r="BC58" s="312">
        <f t="shared" si="3"/>
        <v>4</v>
      </c>
      <c r="BD58" s="316">
        <f t="shared" si="84"/>
        <v>2.13333333333333</v>
      </c>
      <c r="BE58" s="271">
        <v>46127</v>
      </c>
      <c r="BF58" s="281">
        <v>2</v>
      </c>
      <c r="BG58" s="282">
        <v>2</v>
      </c>
      <c r="BH58" s="282">
        <v>2</v>
      </c>
      <c r="BI58" s="282">
        <v>2</v>
      </c>
      <c r="BJ58" s="282"/>
      <c r="BK58" s="274">
        <f t="shared" si="63"/>
        <v>8</v>
      </c>
      <c r="BL58" s="248">
        <f t="shared" si="6"/>
        <v>4.26666666666667</v>
      </c>
      <c r="BM58" s="246">
        <f t="shared" si="95"/>
        <v>46156.8666666667</v>
      </c>
      <c r="BN58" s="224"/>
      <c r="BO58" s="218"/>
      <c r="BP58" s="218"/>
      <c r="BQ58" s="218"/>
      <c r="BR58" s="218"/>
      <c r="BS58" s="315"/>
      <c r="BT58" s="336">
        <f t="shared" si="91"/>
        <v>0</v>
      </c>
      <c r="BU58" s="249"/>
      <c r="BV58" s="224"/>
      <c r="BW58" s="218"/>
      <c r="BX58" s="218"/>
      <c r="BY58" s="218"/>
      <c r="BZ58" s="218"/>
      <c r="CA58" s="315"/>
      <c r="CB58" s="319">
        <f t="shared" si="92"/>
        <v>0</v>
      </c>
      <c r="CC58" s="246"/>
      <c r="CD58" s="224"/>
      <c r="CE58" s="218"/>
      <c r="CF58" s="218"/>
      <c r="CG58" s="218"/>
      <c r="CH58" s="218"/>
      <c r="CI58" s="218"/>
      <c r="CJ58" s="245">
        <f t="shared" si="9"/>
        <v>0</v>
      </c>
      <c r="CK58" s="218"/>
      <c r="CL58" s="224"/>
      <c r="CM58" s="218"/>
      <c r="CN58" s="218"/>
      <c r="CO58" s="218"/>
      <c r="CP58" s="218"/>
      <c r="CQ58" s="218"/>
      <c r="CR58" s="245">
        <f t="shared" si="10"/>
        <v>0</v>
      </c>
      <c r="CS58" s="218"/>
      <c r="CT58" s="224"/>
      <c r="CU58" s="218"/>
      <c r="CV58" s="218"/>
      <c r="CW58" s="218"/>
      <c r="CX58" s="218"/>
      <c r="CY58" s="218"/>
      <c r="CZ58" s="245">
        <f t="shared" si="11"/>
        <v>0</v>
      </c>
      <c r="DA58" s="218"/>
      <c r="DB58" s="224"/>
      <c r="DC58" s="218"/>
      <c r="DD58" s="218"/>
      <c r="DE58" s="218"/>
      <c r="DF58" s="218"/>
      <c r="DG58" s="218"/>
      <c r="DH58" s="218"/>
      <c r="DI58" s="218"/>
      <c r="DJ58" s="218"/>
      <c r="DK58" s="218"/>
      <c r="DL58" s="218"/>
      <c r="DM58" s="218"/>
      <c r="DN58" s="218"/>
      <c r="DO58" s="218"/>
      <c r="DP58" s="218"/>
      <c r="DQ58" s="227"/>
      <c r="DR58" s="224"/>
      <c r="DS58" s="218"/>
      <c r="DT58" s="218"/>
      <c r="DU58" s="218"/>
      <c r="DV58" s="218"/>
      <c r="DW58" s="218"/>
      <c r="DX58" s="218"/>
      <c r="DY58" s="218"/>
      <c r="DZ58" s="218"/>
      <c r="EA58" s="218"/>
      <c r="EB58" s="218"/>
      <c r="EC58" s="218"/>
      <c r="ED58" s="218"/>
      <c r="EE58" s="218"/>
      <c r="EF58" s="223">
        <f t="shared" ref="EF58:EJ58" si="97">AH58+AP58+AX58+BF58+BN58+BV58+CD58+CL58+CT58+DB58+DJ58+DR58+DZ58</f>
        <v>5</v>
      </c>
      <c r="EG58" s="223">
        <f t="shared" si="97"/>
        <v>5</v>
      </c>
      <c r="EH58" s="223">
        <f t="shared" si="97"/>
        <v>5</v>
      </c>
      <c r="EI58" s="223">
        <f t="shared" si="97"/>
        <v>5</v>
      </c>
      <c r="EJ58" s="223">
        <f t="shared" si="97"/>
        <v>0</v>
      </c>
      <c r="EK58" s="223">
        <f t="shared" si="13"/>
        <v>20</v>
      </c>
      <c r="EL58" s="218">
        <f t="shared" si="14"/>
        <v>600</v>
      </c>
      <c r="EM58" s="218">
        <f t="shared" si="15"/>
        <v>37.5</v>
      </c>
      <c r="EN58" s="223">
        <f t="shared" si="16"/>
        <v>20</v>
      </c>
      <c r="EO58" s="226">
        <f t="shared" si="17"/>
        <v>17.5</v>
      </c>
      <c r="ER58" s="251"/>
      <c r="ES58" s="235" t="s">
        <v>795</v>
      </c>
      <c r="ET58" s="235" t="s">
        <v>796</v>
      </c>
      <c r="EU58" s="235" t="s">
        <v>797</v>
      </c>
    </row>
    <row r="59" s="200" customFormat="1" customHeight="1" spans="1:151 16352:16384">
      <c r="A59" s="309"/>
      <c r="B59" s="230">
        <v>13</v>
      </c>
      <c r="C59" s="218" t="s">
        <v>798</v>
      </c>
      <c r="D59" s="220" t="s">
        <v>492</v>
      </c>
      <c r="E59" s="220"/>
      <c r="F59" s="220"/>
      <c r="G59" s="220"/>
      <c r="H59" s="239"/>
      <c r="I59" s="239"/>
      <c r="J59" s="200" t="s">
        <v>799</v>
      </c>
      <c r="K59" s="207">
        <v>18826601199</v>
      </c>
      <c r="L59" s="239"/>
      <c r="M59" s="239"/>
      <c r="N59" s="221"/>
      <c r="O59" s="221" t="s">
        <v>406</v>
      </c>
      <c r="R59" s="200" t="s">
        <v>418</v>
      </c>
      <c r="V59" s="200" t="s">
        <v>799</v>
      </c>
      <c r="W59" s="207" t="s">
        <v>800</v>
      </c>
      <c r="Z59" s="218">
        <v>0</v>
      </c>
      <c r="AA59" s="218">
        <v>125</v>
      </c>
      <c r="AB59" s="218">
        <f t="shared" si="18"/>
        <v>1</v>
      </c>
      <c r="AC59" s="218">
        <v>0</v>
      </c>
      <c r="AD59" s="218">
        <v>1</v>
      </c>
      <c r="AE59" s="218"/>
      <c r="AF59" s="222">
        <f t="shared" si="81"/>
        <v>5</v>
      </c>
      <c r="AG59" s="311">
        <v>46084</v>
      </c>
      <c r="AH59" s="312">
        <v>1</v>
      </c>
      <c r="AI59" s="312">
        <v>1</v>
      </c>
      <c r="AJ59" s="312">
        <v>1</v>
      </c>
      <c r="AK59" s="312">
        <v>1</v>
      </c>
      <c r="AL59" s="312"/>
      <c r="AM59" s="312">
        <f t="shared" si="82"/>
        <v>4</v>
      </c>
      <c r="AN59" s="245">
        <f t="shared" si="65"/>
        <v>12.8</v>
      </c>
      <c r="AO59" s="246">
        <f>AG59+AN59*7</f>
        <v>46173.6</v>
      </c>
      <c r="AP59" s="315"/>
      <c r="AQ59" s="315"/>
      <c r="AR59" s="315"/>
      <c r="AS59" s="315"/>
      <c r="AT59" s="218"/>
      <c r="AU59" s="315">
        <f t="shared" si="78"/>
        <v>0</v>
      </c>
      <c r="AV59" s="316">
        <f t="shared" si="2"/>
        <v>0</v>
      </c>
      <c r="AW59" s="227"/>
      <c r="AX59" s="224"/>
      <c r="AY59" s="218"/>
      <c r="AZ59" s="218"/>
      <c r="BA59" s="218"/>
      <c r="BB59" s="218"/>
      <c r="BC59" s="315">
        <f t="shared" si="3"/>
        <v>0</v>
      </c>
      <c r="BD59" s="316">
        <f t="shared" si="84"/>
        <v>0</v>
      </c>
      <c r="BE59" s="246"/>
      <c r="BF59" s="224"/>
      <c r="BG59" s="218"/>
      <c r="BH59" s="218"/>
      <c r="BI59" s="218"/>
      <c r="BJ59" s="218"/>
      <c r="BK59" s="247">
        <f t="shared" si="63"/>
        <v>0</v>
      </c>
      <c r="BL59" s="248">
        <f t="shared" si="6"/>
        <v>0</v>
      </c>
      <c r="BM59" s="227"/>
      <c r="BN59" s="224"/>
      <c r="BO59" s="218"/>
      <c r="BP59" s="218"/>
      <c r="BQ59" s="218"/>
      <c r="BR59" s="218"/>
      <c r="BS59" s="315"/>
      <c r="BT59" s="336">
        <f t="shared" si="91"/>
        <v>0</v>
      </c>
      <c r="BU59" s="249"/>
      <c r="BV59" s="224"/>
      <c r="BW59" s="218"/>
      <c r="BX59" s="218"/>
      <c r="BY59" s="218"/>
      <c r="BZ59" s="218"/>
      <c r="CA59" s="315"/>
      <c r="CB59" s="319">
        <f t="shared" si="92"/>
        <v>0</v>
      </c>
      <c r="CC59" s="249"/>
      <c r="CD59" s="224"/>
      <c r="CE59" s="218"/>
      <c r="CF59" s="218"/>
      <c r="CG59" s="218"/>
      <c r="CH59" s="218"/>
      <c r="CI59" s="218"/>
      <c r="CJ59" s="245">
        <f t="shared" si="9"/>
        <v>0</v>
      </c>
      <c r="CK59" s="218"/>
      <c r="CL59" s="224"/>
      <c r="CM59" s="218"/>
      <c r="CN59" s="218"/>
      <c r="CO59" s="218"/>
      <c r="CP59" s="218"/>
      <c r="CQ59" s="218"/>
      <c r="CR59" s="245">
        <f t="shared" si="10"/>
        <v>0</v>
      </c>
      <c r="CS59" s="218"/>
      <c r="CT59" s="224"/>
      <c r="CU59" s="218"/>
      <c r="CV59" s="218"/>
      <c r="CW59" s="218"/>
      <c r="CX59" s="218"/>
      <c r="CY59" s="218"/>
      <c r="CZ59" s="245">
        <f t="shared" si="11"/>
        <v>0</v>
      </c>
      <c r="DA59" s="218"/>
      <c r="DB59" s="224"/>
      <c r="DC59" s="218"/>
      <c r="DD59" s="218"/>
      <c r="DE59" s="218"/>
      <c r="DF59" s="218"/>
      <c r="DG59" s="218"/>
      <c r="DH59" s="218"/>
      <c r="DI59" s="218"/>
      <c r="DJ59" s="218"/>
      <c r="DK59" s="218"/>
      <c r="DL59" s="218"/>
      <c r="DM59" s="218"/>
      <c r="DN59" s="218"/>
      <c r="DO59" s="218"/>
      <c r="DP59" s="218"/>
      <c r="DQ59" s="227"/>
      <c r="DR59" s="224"/>
      <c r="DS59" s="218"/>
      <c r="DT59" s="218"/>
      <c r="DU59" s="218"/>
      <c r="DV59" s="218"/>
      <c r="DW59" s="218"/>
      <c r="DX59" s="218"/>
      <c r="DY59" s="218"/>
      <c r="DZ59" s="218"/>
      <c r="EA59" s="218"/>
      <c r="EB59" s="218"/>
      <c r="EC59" s="218"/>
      <c r="ED59" s="218"/>
      <c r="EE59" s="218"/>
      <c r="EF59" s="223">
        <f t="shared" ref="EF59:EJ59" si="98">AH59+AP59+AX59+BF59+BN59+BV59+CD59+CL59+CT59+DB59+DJ59+DR59+DZ59</f>
        <v>1</v>
      </c>
      <c r="EG59" s="223">
        <f t="shared" si="98"/>
        <v>1</v>
      </c>
      <c r="EH59" s="223">
        <f t="shared" si="98"/>
        <v>1</v>
      </c>
      <c r="EI59" s="223">
        <f t="shared" si="98"/>
        <v>1</v>
      </c>
      <c r="EJ59" s="223">
        <f t="shared" si="98"/>
        <v>0</v>
      </c>
      <c r="EK59" s="223">
        <f t="shared" si="13"/>
        <v>4</v>
      </c>
      <c r="EL59" s="218">
        <f t="shared" si="14"/>
        <v>100</v>
      </c>
      <c r="EM59" s="218">
        <f t="shared" si="15"/>
        <v>6.25</v>
      </c>
      <c r="EN59" s="223">
        <f t="shared" si="16"/>
        <v>4</v>
      </c>
      <c r="EO59" s="226">
        <f t="shared" si="17"/>
        <v>2.25</v>
      </c>
      <c r="ER59" s="251"/>
      <c r="ES59" s="235" t="s">
        <v>801</v>
      </c>
      <c r="ET59" s="235" t="s">
        <v>802</v>
      </c>
      <c r="EU59" s="235" t="s">
        <v>803</v>
      </c>
    </row>
    <row r="60" s="200" customFormat="1" ht="18.5" customHeight="1" spans="1:151 16352:16384">
      <c r="A60" s="309"/>
      <c r="B60" s="230">
        <v>14</v>
      </c>
      <c r="C60" s="219" t="s">
        <v>804</v>
      </c>
      <c r="E60" s="220" t="s">
        <v>405</v>
      </c>
      <c r="J60" s="200" t="s">
        <v>627</v>
      </c>
      <c r="K60" s="207">
        <v>13828592885</v>
      </c>
      <c r="L60" s="200" t="s">
        <v>805</v>
      </c>
      <c r="N60" s="207"/>
      <c r="O60" s="207" t="s">
        <v>806</v>
      </c>
      <c r="Q60" s="200" t="s">
        <v>408</v>
      </c>
      <c r="W60" s="207"/>
      <c r="X60" s="200" t="s">
        <v>807</v>
      </c>
      <c r="Y60" s="207" t="s">
        <v>808</v>
      </c>
      <c r="Z60" s="218"/>
      <c r="AA60" s="218">
        <v>125</v>
      </c>
      <c r="AB60" s="298" t="s">
        <v>809</v>
      </c>
      <c r="AC60" s="218"/>
      <c r="AD60" s="218"/>
      <c r="AE60" s="218"/>
      <c r="AF60" s="222" t="e">
        <f t="shared" si="81"/>
        <v>#VALUE!</v>
      </c>
      <c r="AG60" s="311">
        <v>46084</v>
      </c>
      <c r="AH60" s="312">
        <v>5</v>
      </c>
      <c r="AI60" s="312">
        <v>5</v>
      </c>
      <c r="AJ60" s="312">
        <v>5</v>
      </c>
      <c r="AK60" s="312">
        <v>5</v>
      </c>
      <c r="AL60" s="312">
        <v>0</v>
      </c>
      <c r="AM60" s="312">
        <f t="shared" si="82"/>
        <v>20</v>
      </c>
      <c r="AN60" s="245" t="e">
        <f t="shared" si="65"/>
        <v>#VALUE!</v>
      </c>
      <c r="AO60" s="252">
        <v>46100</v>
      </c>
      <c r="AP60" s="312"/>
      <c r="AQ60" s="312">
        <v>7</v>
      </c>
      <c r="AR60" s="312">
        <v>10</v>
      </c>
      <c r="AS60" s="312">
        <v>10</v>
      </c>
      <c r="AT60" s="312"/>
      <c r="AU60" s="312">
        <f t="shared" si="78"/>
        <v>27</v>
      </c>
      <c r="AV60" s="316" t="e">
        <f t="shared" si="2"/>
        <v>#VALUE!</v>
      </c>
      <c r="AW60" s="246">
        <v>46135</v>
      </c>
      <c r="AX60" s="331">
        <v>5</v>
      </c>
      <c r="AY60" s="332">
        <v>5</v>
      </c>
      <c r="AZ60" s="332">
        <v>5</v>
      </c>
      <c r="BA60" s="332">
        <v>5</v>
      </c>
      <c r="BB60" s="332"/>
      <c r="BC60" s="315">
        <f t="shared" si="3"/>
        <v>20</v>
      </c>
      <c r="BD60" s="316" t="e">
        <f t="shared" si="84"/>
        <v>#VALUE!</v>
      </c>
      <c r="BE60" s="249"/>
      <c r="BF60" s="224"/>
      <c r="BG60" s="218"/>
      <c r="BH60" s="218"/>
      <c r="BI60" s="218"/>
      <c r="BJ60" s="218"/>
      <c r="BK60" s="247">
        <f t="shared" si="63"/>
        <v>0</v>
      </c>
      <c r="BL60" s="248" t="e">
        <f t="shared" si="6"/>
        <v>#VALUE!</v>
      </c>
      <c r="BM60" s="227"/>
      <c r="BN60" s="224"/>
      <c r="BO60" s="218"/>
      <c r="BP60" s="218"/>
      <c r="BQ60" s="218"/>
      <c r="BR60" s="218"/>
      <c r="BS60" s="315"/>
      <c r="BT60" s="336" t="e">
        <f t="shared" si="91"/>
        <v>#VALUE!</v>
      </c>
      <c r="BU60" s="249"/>
      <c r="BV60" s="224"/>
      <c r="BW60" s="218"/>
      <c r="BX60" s="218"/>
      <c r="BY60" s="218"/>
      <c r="BZ60" s="218"/>
      <c r="CA60" s="315"/>
      <c r="CB60" s="319" t="e">
        <f t="shared" si="92"/>
        <v>#VALUE!</v>
      </c>
      <c r="CC60" s="249"/>
      <c r="CD60" s="224"/>
      <c r="CE60" s="218"/>
      <c r="CF60" s="218"/>
      <c r="CG60" s="218"/>
      <c r="CH60" s="218"/>
      <c r="CI60" s="218"/>
      <c r="CJ60" s="245" t="e">
        <f t="shared" si="9"/>
        <v>#VALUE!</v>
      </c>
      <c r="CK60" s="249"/>
      <c r="CL60" s="224"/>
      <c r="CM60" s="218"/>
      <c r="CN60" s="218"/>
      <c r="CO60" s="218"/>
      <c r="CP60" s="218"/>
      <c r="CQ60" s="218"/>
      <c r="CR60" s="245" t="e">
        <f t="shared" si="10"/>
        <v>#VALUE!</v>
      </c>
      <c r="CS60" s="246"/>
      <c r="CT60" s="224"/>
      <c r="CU60" s="218"/>
      <c r="CV60" s="218"/>
      <c r="CW60" s="218"/>
      <c r="CX60" s="218"/>
      <c r="CY60" s="218"/>
      <c r="CZ60" s="245" t="e">
        <f t="shared" si="11"/>
        <v>#VALUE!</v>
      </c>
      <c r="DA60" s="249"/>
      <c r="DB60" s="224"/>
      <c r="DC60" s="218"/>
      <c r="DD60" s="218"/>
      <c r="DE60" s="218"/>
      <c r="DF60" s="218"/>
      <c r="DG60" s="218"/>
      <c r="DH60" s="218"/>
      <c r="DI60" s="249"/>
      <c r="DJ60" s="218"/>
      <c r="DK60" s="218"/>
      <c r="DL60" s="218"/>
      <c r="DM60" s="218"/>
      <c r="DN60" s="218"/>
      <c r="DO60" s="218"/>
      <c r="DP60" s="218"/>
      <c r="DQ60" s="227"/>
      <c r="DR60" s="224"/>
      <c r="DS60" s="218"/>
      <c r="DT60" s="218"/>
      <c r="DU60" s="218"/>
      <c r="DV60" s="218"/>
      <c r="DW60" s="218"/>
      <c r="DX60" s="218"/>
      <c r="DY60" s="218"/>
      <c r="DZ60" s="218"/>
      <c r="EA60" s="218"/>
      <c r="EB60" s="218"/>
      <c r="EC60" s="218"/>
      <c r="ED60" s="218"/>
      <c r="EE60" s="218"/>
      <c r="EF60" s="223">
        <f t="shared" ref="EF60:EJ60" si="99">AH60+AP60+AX60+BF60+BN60+BV60+CD60+CL60+CT60+DB60+DJ60+DR60+DZ60</f>
        <v>10</v>
      </c>
      <c r="EG60" s="223">
        <f t="shared" si="99"/>
        <v>17</v>
      </c>
      <c r="EH60" s="223">
        <f t="shared" si="99"/>
        <v>20</v>
      </c>
      <c r="EI60" s="223">
        <f t="shared" si="99"/>
        <v>20</v>
      </c>
      <c r="EJ60" s="223">
        <f t="shared" si="99"/>
        <v>0</v>
      </c>
      <c r="EK60" s="223">
        <f t="shared" si="13"/>
        <v>67</v>
      </c>
      <c r="EL60" s="218" t="e">
        <f t="shared" si="14"/>
        <v>#VALUE!</v>
      </c>
      <c r="EM60" s="218" t="e">
        <f t="shared" si="15"/>
        <v>#VALUE!</v>
      </c>
      <c r="EN60" s="223">
        <f t="shared" si="16"/>
        <v>67</v>
      </c>
      <c r="EO60" s="226" t="e">
        <f t="shared" si="17"/>
        <v>#VALUE!</v>
      </c>
      <c r="ER60" s="251"/>
      <c r="ES60" s="235" t="s">
        <v>810</v>
      </c>
      <c r="ET60" s="235" t="s">
        <v>811</v>
      </c>
      <c r="EU60" s="235" t="s">
        <v>812</v>
      </c>
    </row>
    <row r="61" s="200" customFormat="1" ht="18.5" customHeight="1" spans="1:151 16352:16384">
      <c r="A61" s="309"/>
      <c r="B61" s="230">
        <v>15</v>
      </c>
      <c r="C61" s="219" t="s">
        <v>804</v>
      </c>
      <c r="E61" s="220"/>
      <c r="K61" s="207"/>
      <c r="N61" s="207"/>
      <c r="O61" s="207"/>
      <c r="W61" s="207"/>
      <c r="Y61" s="207"/>
      <c r="Z61" s="218"/>
      <c r="AA61" s="218">
        <v>200</v>
      </c>
      <c r="AB61" s="298" t="s">
        <v>809</v>
      </c>
      <c r="AC61" s="218"/>
      <c r="AD61" s="218"/>
      <c r="AE61" s="218"/>
      <c r="AF61" s="222" t="e">
        <f t="shared" si="81"/>
        <v>#VALUE!</v>
      </c>
      <c r="AG61" s="311">
        <v>46084</v>
      </c>
      <c r="AH61" s="326">
        <v>5</v>
      </c>
      <c r="AI61" s="326">
        <v>5</v>
      </c>
      <c r="AJ61" s="326">
        <v>5</v>
      </c>
      <c r="AK61" s="326">
        <v>5</v>
      </c>
      <c r="AL61" s="326">
        <v>5</v>
      </c>
      <c r="AM61" s="312">
        <f t="shared" si="82"/>
        <v>25</v>
      </c>
      <c r="AN61" s="245" t="e">
        <f t="shared" si="65"/>
        <v>#VALUE!</v>
      </c>
      <c r="AO61" s="252">
        <v>46100</v>
      </c>
      <c r="AP61" s="326"/>
      <c r="AQ61" s="326">
        <v>15</v>
      </c>
      <c r="AR61" s="326">
        <v>10</v>
      </c>
      <c r="AS61" s="326">
        <v>10</v>
      </c>
      <c r="AT61" s="326"/>
      <c r="AU61" s="312">
        <f t="shared" si="78"/>
        <v>35</v>
      </c>
      <c r="AV61" s="316" t="e">
        <f t="shared" si="2"/>
        <v>#VALUE!</v>
      </c>
      <c r="AW61" s="246">
        <v>46135</v>
      </c>
      <c r="AX61" s="224">
        <v>5</v>
      </c>
      <c r="AY61" s="218">
        <v>5</v>
      </c>
      <c r="AZ61" s="218">
        <v>5</v>
      </c>
      <c r="BA61" s="218">
        <v>5</v>
      </c>
      <c r="BB61" s="218"/>
      <c r="BC61" s="315">
        <f t="shared" si="3"/>
        <v>20</v>
      </c>
      <c r="BD61" s="316" t="e">
        <f t="shared" si="84"/>
        <v>#VALUE!</v>
      </c>
      <c r="BE61" s="249"/>
      <c r="BF61" s="224"/>
      <c r="BG61" s="218"/>
      <c r="BH61" s="218"/>
      <c r="BI61" s="218"/>
      <c r="BJ61" s="218"/>
      <c r="BK61" s="247">
        <f t="shared" si="63"/>
        <v>0</v>
      </c>
      <c r="BL61" s="248" t="e">
        <f t="shared" si="6"/>
        <v>#VALUE!</v>
      </c>
      <c r="BM61" s="227"/>
      <c r="BN61" s="224"/>
      <c r="BO61" s="218"/>
      <c r="BP61" s="218"/>
      <c r="BQ61" s="218"/>
      <c r="BR61" s="218"/>
      <c r="BS61" s="315"/>
      <c r="BT61" s="336" t="e">
        <f t="shared" si="91"/>
        <v>#VALUE!</v>
      </c>
      <c r="BU61" s="249"/>
      <c r="BV61" s="224"/>
      <c r="BW61" s="218"/>
      <c r="BX61" s="218"/>
      <c r="BY61" s="218"/>
      <c r="BZ61" s="218"/>
      <c r="CA61" s="315"/>
      <c r="CB61" s="319" t="e">
        <f t="shared" si="92"/>
        <v>#VALUE!</v>
      </c>
      <c r="CC61" s="246"/>
      <c r="CD61" s="224"/>
      <c r="CE61" s="218"/>
      <c r="CF61" s="218"/>
      <c r="CG61" s="218"/>
      <c r="CH61" s="218"/>
      <c r="CI61" s="218"/>
      <c r="CJ61" s="245" t="e">
        <f t="shared" si="9"/>
        <v>#VALUE!</v>
      </c>
      <c r="CK61" s="249"/>
      <c r="CL61" s="224"/>
      <c r="CM61" s="218"/>
      <c r="CN61" s="218"/>
      <c r="CO61" s="218"/>
      <c r="CP61" s="218"/>
      <c r="CQ61" s="218"/>
      <c r="CR61" s="245" t="e">
        <f t="shared" si="10"/>
        <v>#VALUE!</v>
      </c>
      <c r="CS61" s="249"/>
      <c r="CT61" s="224"/>
      <c r="CU61" s="218"/>
      <c r="CV61" s="218"/>
      <c r="CW61" s="218"/>
      <c r="CX61" s="218"/>
      <c r="CY61" s="218"/>
      <c r="CZ61" s="245" t="e">
        <f t="shared" si="11"/>
        <v>#VALUE!</v>
      </c>
      <c r="DA61" s="249"/>
      <c r="DB61" s="224"/>
      <c r="DC61" s="218"/>
      <c r="DD61" s="218"/>
      <c r="DE61" s="218"/>
      <c r="DF61" s="218"/>
      <c r="DG61" s="218"/>
      <c r="DH61" s="218"/>
      <c r="DI61" s="249"/>
      <c r="DJ61" s="218"/>
      <c r="DK61" s="218"/>
      <c r="DL61" s="218"/>
      <c r="DM61" s="218"/>
      <c r="DN61" s="218"/>
      <c r="DO61" s="218"/>
      <c r="DP61" s="218"/>
      <c r="DQ61" s="227"/>
      <c r="DR61" s="224"/>
      <c r="DS61" s="218"/>
      <c r="DT61" s="218"/>
      <c r="DU61" s="218"/>
      <c r="DV61" s="218"/>
      <c r="DW61" s="218"/>
      <c r="DX61" s="218"/>
      <c r="DY61" s="218"/>
      <c r="DZ61" s="218"/>
      <c r="EA61" s="218"/>
      <c r="EB61" s="218"/>
      <c r="EC61" s="218"/>
      <c r="ED61" s="218"/>
      <c r="EE61" s="218"/>
      <c r="EF61" s="223">
        <f t="shared" ref="EF61:EJ61" si="100">AH61+AP61+AX61+BF61+BN61+BV61+CD61+CL61+CT61+DB61+DJ61+DR61+DZ61</f>
        <v>10</v>
      </c>
      <c r="EG61" s="223">
        <f t="shared" si="100"/>
        <v>25</v>
      </c>
      <c r="EH61" s="223">
        <f t="shared" si="100"/>
        <v>20</v>
      </c>
      <c r="EI61" s="223">
        <f t="shared" si="100"/>
        <v>20</v>
      </c>
      <c r="EJ61" s="223">
        <f t="shared" si="100"/>
        <v>5</v>
      </c>
      <c r="EK61" s="223">
        <f t="shared" si="13"/>
        <v>80</v>
      </c>
      <c r="EL61" s="218" t="e">
        <f t="shared" si="14"/>
        <v>#VALUE!</v>
      </c>
      <c r="EM61" s="218" t="e">
        <f t="shared" si="15"/>
        <v>#VALUE!</v>
      </c>
      <c r="EN61" s="223">
        <f t="shared" si="16"/>
        <v>80</v>
      </c>
      <c r="EO61" s="226" t="e">
        <f t="shared" si="17"/>
        <v>#VALUE!</v>
      </c>
      <c r="ER61" s="251"/>
      <c r="ES61" s="235" t="s">
        <v>813</v>
      </c>
      <c r="ET61" s="235" t="s">
        <v>814</v>
      </c>
      <c r="EU61" s="235" t="s">
        <v>815</v>
      </c>
    </row>
    <row r="62" s="201" customFormat="1" ht="21" customHeight="1" spans="1:151 16352:16384">
      <c r="A62" s="309"/>
      <c r="B62" s="230">
        <v>16</v>
      </c>
      <c r="C62" s="218" t="s">
        <v>816</v>
      </c>
      <c r="D62" s="200"/>
      <c r="E62" s="220" t="s">
        <v>405</v>
      </c>
      <c r="F62" s="200"/>
      <c r="G62" s="200"/>
      <c r="H62" s="200"/>
      <c r="I62" s="200"/>
      <c r="J62" s="200" t="s">
        <v>441</v>
      </c>
      <c r="K62" s="200">
        <v>13729629919</v>
      </c>
      <c r="L62" s="200"/>
      <c r="M62" s="200" t="s">
        <v>817</v>
      </c>
      <c r="N62" s="207" t="s">
        <v>818</v>
      </c>
      <c r="O62" s="207" t="s">
        <v>819</v>
      </c>
      <c r="P62" s="200" t="s">
        <v>820</v>
      </c>
      <c r="Q62" s="200" t="s">
        <v>408</v>
      </c>
      <c r="R62" s="200"/>
      <c r="S62" s="200"/>
      <c r="T62" s="200"/>
      <c r="U62" s="200"/>
      <c r="V62" s="200"/>
      <c r="W62" s="207"/>
      <c r="X62" s="200"/>
      <c r="Y62" s="207"/>
      <c r="Z62" s="218"/>
      <c r="AA62" s="218">
        <v>125</v>
      </c>
      <c r="AB62" s="218">
        <f t="shared" si="18"/>
        <v>5</v>
      </c>
      <c r="AC62" s="218">
        <v>0</v>
      </c>
      <c r="AD62" s="218">
        <v>5</v>
      </c>
      <c r="AE62" s="218">
        <v>4</v>
      </c>
      <c r="AF62" s="222">
        <f t="shared" si="81"/>
        <v>25</v>
      </c>
      <c r="AG62" s="311">
        <v>46084</v>
      </c>
      <c r="AH62" s="312">
        <v>1</v>
      </c>
      <c r="AI62" s="312">
        <v>1</v>
      </c>
      <c r="AJ62" s="312">
        <v>1</v>
      </c>
      <c r="AK62" s="312">
        <v>1</v>
      </c>
      <c r="AL62" s="312">
        <v>0</v>
      </c>
      <c r="AM62" s="312">
        <f t="shared" si="82"/>
        <v>4</v>
      </c>
      <c r="AN62" s="245">
        <f t="shared" si="65"/>
        <v>2.56</v>
      </c>
      <c r="AO62" s="252">
        <v>46098</v>
      </c>
      <c r="AP62" s="312">
        <v>1</v>
      </c>
      <c r="AQ62" s="312">
        <v>1</v>
      </c>
      <c r="AR62" s="312">
        <v>1</v>
      </c>
      <c r="AS62" s="312">
        <v>1</v>
      </c>
      <c r="AT62" s="312"/>
      <c r="AU62" s="312">
        <f t="shared" si="78"/>
        <v>4</v>
      </c>
      <c r="AV62" s="316">
        <f t="shared" si="2"/>
        <v>2.56</v>
      </c>
      <c r="AW62" s="252">
        <v>46107</v>
      </c>
      <c r="AX62" s="253">
        <v>1</v>
      </c>
      <c r="AY62" s="254">
        <v>1</v>
      </c>
      <c r="AZ62" s="254">
        <v>1</v>
      </c>
      <c r="BA62" s="254">
        <v>1</v>
      </c>
      <c r="BB62" s="254"/>
      <c r="BC62" s="312">
        <f t="shared" si="3"/>
        <v>4</v>
      </c>
      <c r="BD62" s="316">
        <f t="shared" si="84"/>
        <v>2.56</v>
      </c>
      <c r="BE62" s="255">
        <f>AW62+BD62*7</f>
        <v>46124.92</v>
      </c>
      <c r="BF62" s="256">
        <v>1</v>
      </c>
      <c r="BG62" s="257">
        <v>1</v>
      </c>
      <c r="BH62" s="257">
        <v>1</v>
      </c>
      <c r="BI62" s="257">
        <v>1</v>
      </c>
      <c r="BJ62" s="257"/>
      <c r="BK62" s="258">
        <f t="shared" si="63"/>
        <v>4</v>
      </c>
      <c r="BL62" s="248">
        <f t="shared" si="6"/>
        <v>2.56</v>
      </c>
      <c r="BM62" s="246">
        <f t="shared" si="95"/>
        <v>46142.84</v>
      </c>
      <c r="BN62" s="224"/>
      <c r="BO62" s="218"/>
      <c r="BP62" s="218"/>
      <c r="BQ62" s="218"/>
      <c r="BR62" s="218"/>
      <c r="BS62" s="315"/>
      <c r="BT62" s="336">
        <f t="shared" si="91"/>
        <v>0</v>
      </c>
      <c r="BU62" s="246"/>
      <c r="BV62" s="224"/>
      <c r="BW62" s="218"/>
      <c r="BX62" s="218"/>
      <c r="BY62" s="218"/>
      <c r="BZ62" s="218"/>
      <c r="CA62" s="315"/>
      <c r="CB62" s="319">
        <f t="shared" si="92"/>
        <v>0</v>
      </c>
      <c r="CC62" s="218"/>
      <c r="CD62" s="224"/>
      <c r="CE62" s="218"/>
      <c r="CF62" s="218"/>
      <c r="CG62" s="218"/>
      <c r="CH62" s="218"/>
      <c r="CI62" s="218"/>
      <c r="CJ62" s="245">
        <f t="shared" si="9"/>
        <v>0</v>
      </c>
      <c r="CK62" s="218"/>
      <c r="CL62" s="224"/>
      <c r="CM62" s="218"/>
      <c r="CN62" s="218"/>
      <c r="CO62" s="218"/>
      <c r="CP62" s="218"/>
      <c r="CQ62" s="218"/>
      <c r="CR62" s="245">
        <f t="shared" si="10"/>
        <v>0</v>
      </c>
      <c r="CS62" s="218"/>
      <c r="CT62" s="224"/>
      <c r="CU62" s="218"/>
      <c r="CV62" s="218"/>
      <c r="CW62" s="218"/>
      <c r="CX62" s="218"/>
      <c r="CY62" s="218"/>
      <c r="CZ62" s="245">
        <f t="shared" si="11"/>
        <v>0</v>
      </c>
      <c r="DA62" s="218"/>
      <c r="DB62" s="224"/>
      <c r="DC62" s="218"/>
      <c r="DD62" s="218"/>
      <c r="DE62" s="218"/>
      <c r="DF62" s="218"/>
      <c r="DG62" s="218"/>
      <c r="DH62" s="218"/>
      <c r="DI62" s="218"/>
      <c r="DJ62" s="218"/>
      <c r="DK62" s="218"/>
      <c r="DL62" s="218"/>
      <c r="DM62" s="218"/>
      <c r="DN62" s="218"/>
      <c r="DO62" s="218"/>
      <c r="DP62" s="218"/>
      <c r="DQ62" s="227"/>
      <c r="DR62" s="224"/>
      <c r="DS62" s="218"/>
      <c r="DT62" s="218"/>
      <c r="DU62" s="218"/>
      <c r="DV62" s="218"/>
      <c r="DW62" s="218"/>
      <c r="DX62" s="218"/>
      <c r="DY62" s="218"/>
      <c r="DZ62" s="218"/>
      <c r="EA62" s="218"/>
      <c r="EB62" s="218"/>
      <c r="EC62" s="218"/>
      <c r="ED62" s="218"/>
      <c r="EE62" s="218"/>
      <c r="EF62" s="223">
        <f t="shared" ref="EF62:EJ62" si="101">AH62+AP62+AX62+BF62+BN62+BV62+CD62+CL62+CT62+DB62+DJ62+DR62+DZ62</f>
        <v>4</v>
      </c>
      <c r="EG62" s="223">
        <f t="shared" si="101"/>
        <v>4</v>
      </c>
      <c r="EH62" s="223">
        <f t="shared" si="101"/>
        <v>4</v>
      </c>
      <c r="EI62" s="223">
        <f t="shared" si="101"/>
        <v>4</v>
      </c>
      <c r="EJ62" s="223">
        <f t="shared" si="101"/>
        <v>0</v>
      </c>
      <c r="EK62" s="223">
        <f t="shared" si="13"/>
        <v>16</v>
      </c>
      <c r="EL62" s="218">
        <f t="shared" si="14"/>
        <v>500</v>
      </c>
      <c r="EM62" s="218">
        <f t="shared" si="15"/>
        <v>31.25</v>
      </c>
      <c r="EN62" s="223">
        <f t="shared" si="16"/>
        <v>16</v>
      </c>
      <c r="EO62" s="226">
        <f t="shared" si="17"/>
        <v>15.25</v>
      </c>
      <c r="ER62" s="266"/>
      <c r="ES62" s="235" t="s">
        <v>821</v>
      </c>
      <c r="ET62" s="235" t="s">
        <v>822</v>
      </c>
      <c r="EU62" s="235" t="s">
        <v>823</v>
      </c>
      <c r="XDX62" s="341"/>
      <c r="XDY62" s="341"/>
      <c r="XDZ62" s="341"/>
      <c r="XEA62" s="341"/>
      <c r="XEB62" s="341"/>
      <c r="XEC62" s="341"/>
      <c r="XED62" s="341"/>
      <c r="XEE62" s="341"/>
      <c r="XEF62" s="341"/>
      <c r="XEG62" s="200"/>
      <c r="XEH62" s="200"/>
      <c r="XEI62" s="200"/>
      <c r="XEJ62" s="200"/>
      <c r="XEK62" s="200"/>
      <c r="XEL62" s="200"/>
      <c r="XEM62" s="200"/>
      <c r="XEN62" s="200"/>
      <c r="XEO62" s="200"/>
      <c r="XEP62" s="200"/>
      <c r="XEQ62" s="200"/>
      <c r="XER62" s="200"/>
      <c r="XES62" s="200"/>
      <c r="XET62" s="200"/>
      <c r="XEU62" s="200"/>
      <c r="XEV62" s="200"/>
      <c r="XEW62" s="200"/>
      <c r="XEX62" s="200"/>
      <c r="XEY62" s="200"/>
      <c r="XEZ62" s="200"/>
      <c r="XFA62" s="200"/>
      <c r="XFB62" s="200"/>
      <c r="XFC62" s="200"/>
      <c r="XFD62" s="200"/>
    </row>
    <row r="63" s="200" customFormat="1" ht="21" customHeight="1" spans="1:151 16352:16384">
      <c r="A63" s="309"/>
      <c r="B63" s="230">
        <v>17</v>
      </c>
      <c r="C63" s="218" t="s">
        <v>824</v>
      </c>
      <c r="E63" s="220"/>
      <c r="N63" s="207"/>
      <c r="O63" s="207"/>
      <c r="W63" s="207"/>
      <c r="X63" s="201"/>
      <c r="Y63" s="342"/>
      <c r="Z63" s="218"/>
      <c r="AA63" s="218"/>
      <c r="AB63" s="242">
        <f t="shared" si="18"/>
        <v>0</v>
      </c>
      <c r="AC63" s="218"/>
      <c r="AD63" s="218"/>
      <c r="AE63" s="218"/>
      <c r="AF63" s="222">
        <f t="shared" si="81"/>
        <v>0</v>
      </c>
      <c r="AG63" s="333">
        <v>46090</v>
      </c>
      <c r="AH63" s="331"/>
      <c r="AI63" s="332"/>
      <c r="AJ63" s="332"/>
      <c r="AK63" s="332"/>
      <c r="AL63" s="332"/>
      <c r="AM63" s="315">
        <f t="shared" si="82"/>
        <v>0</v>
      </c>
      <c r="AN63" s="245" t="e">
        <f t="shared" si="65"/>
        <v>#DIV/0!</v>
      </c>
      <c r="AO63" s="333"/>
      <c r="AP63" s="315"/>
      <c r="AQ63" s="315"/>
      <c r="AR63" s="315"/>
      <c r="AS63" s="315"/>
      <c r="AT63" s="315"/>
      <c r="AU63" s="315">
        <f t="shared" si="78"/>
        <v>0</v>
      </c>
      <c r="AV63" s="316" t="e">
        <f t="shared" si="2"/>
        <v>#DIV/0!</v>
      </c>
      <c r="AW63" s="249"/>
      <c r="AX63" s="224"/>
      <c r="AY63" s="218"/>
      <c r="AZ63" s="218"/>
      <c r="BA63" s="218"/>
      <c r="BB63" s="218"/>
      <c r="BC63" s="315"/>
      <c r="BD63" s="316"/>
      <c r="BE63" s="249"/>
      <c r="BF63" s="224"/>
      <c r="BG63" s="218"/>
      <c r="BH63" s="218"/>
      <c r="BI63" s="218"/>
      <c r="BJ63" s="218"/>
      <c r="BK63" s="247">
        <f t="shared" si="63"/>
        <v>0</v>
      </c>
      <c r="BL63" s="248" t="e">
        <f t="shared" si="6"/>
        <v>#DIV/0!</v>
      </c>
      <c r="BM63" s="227"/>
      <c r="BN63" s="224"/>
      <c r="BO63" s="218"/>
      <c r="BP63" s="218"/>
      <c r="BQ63" s="218"/>
      <c r="BR63" s="218"/>
      <c r="BS63" s="315"/>
      <c r="BT63" s="336"/>
      <c r="BU63" s="246"/>
      <c r="BV63" s="224"/>
      <c r="BW63" s="218"/>
      <c r="BX63" s="218"/>
      <c r="BY63" s="218"/>
      <c r="BZ63" s="218"/>
      <c r="CA63" s="315"/>
      <c r="CB63" s="319"/>
      <c r="CC63" s="218"/>
      <c r="CD63" s="224"/>
      <c r="CE63" s="218"/>
      <c r="CF63" s="218"/>
      <c r="CG63" s="218"/>
      <c r="CH63" s="218"/>
      <c r="CI63" s="218"/>
      <c r="CJ63" s="245"/>
      <c r="CK63" s="218"/>
      <c r="CL63" s="224"/>
      <c r="CM63" s="218"/>
      <c r="CN63" s="218"/>
      <c r="CO63" s="218"/>
      <c r="CP63" s="218"/>
      <c r="CQ63" s="218"/>
      <c r="CR63" s="245"/>
      <c r="CS63" s="218"/>
      <c r="CT63" s="224"/>
      <c r="CU63" s="218"/>
      <c r="CV63" s="218"/>
      <c r="CW63" s="218"/>
      <c r="CX63" s="218"/>
      <c r="CY63" s="218"/>
      <c r="CZ63" s="245"/>
      <c r="DA63" s="218"/>
      <c r="DB63" s="224"/>
      <c r="DC63" s="218"/>
      <c r="DD63" s="218"/>
      <c r="DE63" s="218"/>
      <c r="DF63" s="218"/>
      <c r="DG63" s="218"/>
      <c r="DH63" s="218"/>
      <c r="DI63" s="218"/>
      <c r="DJ63" s="218"/>
      <c r="DK63" s="218"/>
      <c r="DL63" s="218"/>
      <c r="DM63" s="218"/>
      <c r="DN63" s="218"/>
      <c r="DO63" s="218"/>
      <c r="DP63" s="218"/>
      <c r="DQ63" s="227"/>
      <c r="DR63" s="224"/>
      <c r="DS63" s="218"/>
      <c r="DT63" s="218"/>
      <c r="DU63" s="218"/>
      <c r="DV63" s="218"/>
      <c r="DW63" s="218"/>
      <c r="DX63" s="218"/>
      <c r="DY63" s="218"/>
      <c r="DZ63" s="218"/>
      <c r="EA63" s="218"/>
      <c r="EB63" s="218"/>
      <c r="EC63" s="218"/>
      <c r="ED63" s="218"/>
      <c r="EE63" s="218"/>
      <c r="EF63" s="223"/>
      <c r="EG63" s="223"/>
      <c r="EH63" s="223"/>
      <c r="EI63" s="223"/>
      <c r="EJ63" s="223"/>
      <c r="EK63" s="223"/>
      <c r="EL63" s="218"/>
      <c r="EM63" s="218"/>
      <c r="EN63" s="223"/>
      <c r="EO63" s="226"/>
      <c r="ER63" s="251"/>
      <c r="EU63" s="220"/>
    </row>
    <row r="64" s="200" customFormat="1" ht="21" customHeight="1" spans="1:151 16352:16384">
      <c r="A64" s="309"/>
      <c r="B64" s="230">
        <v>18</v>
      </c>
      <c r="C64" s="218" t="s">
        <v>825</v>
      </c>
      <c r="E64" s="220"/>
      <c r="N64" s="207"/>
      <c r="O64" s="207"/>
      <c r="W64" s="207"/>
      <c r="X64" s="201"/>
      <c r="Y64" s="342"/>
      <c r="Z64" s="218"/>
      <c r="AA64" s="218"/>
      <c r="AB64" s="242">
        <f t="shared" si="18"/>
        <v>0</v>
      </c>
      <c r="AC64" s="218"/>
      <c r="AD64" s="218"/>
      <c r="AE64" s="218"/>
      <c r="AF64" s="222">
        <f t="shared" si="81"/>
        <v>0</v>
      </c>
      <c r="AG64" s="333">
        <v>46090</v>
      </c>
      <c r="AH64" s="331"/>
      <c r="AI64" s="332"/>
      <c r="AJ64" s="332"/>
      <c r="AK64" s="332"/>
      <c r="AL64" s="315"/>
      <c r="AM64" s="315">
        <f t="shared" si="82"/>
        <v>0</v>
      </c>
      <c r="AN64" s="245" t="e">
        <f t="shared" si="65"/>
        <v>#DIV/0!</v>
      </c>
      <c r="AO64" s="333"/>
      <c r="AP64" s="315"/>
      <c r="AQ64" s="315"/>
      <c r="AR64" s="315"/>
      <c r="AS64" s="315"/>
      <c r="AT64" s="315"/>
      <c r="AU64" s="315">
        <f t="shared" si="78"/>
        <v>0</v>
      </c>
      <c r="AV64" s="316" t="e">
        <f t="shared" si="2"/>
        <v>#DIV/0!</v>
      </c>
      <c r="AW64" s="249"/>
      <c r="AX64" s="224"/>
      <c r="AY64" s="218"/>
      <c r="AZ64" s="218"/>
      <c r="BA64" s="218"/>
      <c r="BB64" s="218"/>
      <c r="BC64" s="315"/>
      <c r="BD64" s="316"/>
      <c r="BE64" s="249"/>
      <c r="BF64" s="224"/>
      <c r="BG64" s="218"/>
      <c r="BH64" s="218"/>
      <c r="BI64" s="218"/>
      <c r="BJ64" s="218"/>
      <c r="BK64" s="247">
        <f t="shared" si="63"/>
        <v>0</v>
      </c>
      <c r="BL64" s="248" t="e">
        <f t="shared" si="6"/>
        <v>#DIV/0!</v>
      </c>
      <c r="BM64" s="227"/>
      <c r="BN64" s="224"/>
      <c r="BO64" s="218"/>
      <c r="BP64" s="218"/>
      <c r="BQ64" s="218"/>
      <c r="BR64" s="218"/>
      <c r="BS64" s="315"/>
      <c r="BT64" s="336"/>
      <c r="BU64" s="246"/>
      <c r="BV64" s="224"/>
      <c r="BW64" s="218"/>
      <c r="BX64" s="218"/>
      <c r="BY64" s="218"/>
      <c r="BZ64" s="218"/>
      <c r="CA64" s="315"/>
      <c r="CB64" s="319"/>
      <c r="CC64" s="218"/>
      <c r="CD64" s="224"/>
      <c r="CE64" s="218"/>
      <c r="CF64" s="218"/>
      <c r="CG64" s="218"/>
      <c r="CH64" s="218"/>
      <c r="CI64" s="218"/>
      <c r="CJ64" s="245"/>
      <c r="CK64" s="218"/>
      <c r="CL64" s="224"/>
      <c r="CM64" s="218"/>
      <c r="CN64" s="218"/>
      <c r="CO64" s="218"/>
      <c r="CP64" s="218"/>
      <c r="CQ64" s="218"/>
      <c r="CR64" s="245"/>
      <c r="CS64" s="218"/>
      <c r="CT64" s="224"/>
      <c r="CU64" s="218"/>
      <c r="CV64" s="218"/>
      <c r="CW64" s="218"/>
      <c r="CX64" s="218"/>
      <c r="CY64" s="218"/>
      <c r="CZ64" s="245"/>
      <c r="DA64" s="218"/>
      <c r="DB64" s="224"/>
      <c r="DC64" s="218"/>
      <c r="DD64" s="218"/>
      <c r="DE64" s="218"/>
      <c r="DF64" s="218"/>
      <c r="DG64" s="218"/>
      <c r="DH64" s="218"/>
      <c r="DI64" s="218"/>
      <c r="DJ64" s="218"/>
      <c r="DK64" s="218"/>
      <c r="DL64" s="218"/>
      <c r="DM64" s="218"/>
      <c r="DN64" s="218"/>
      <c r="DO64" s="218"/>
      <c r="DP64" s="218"/>
      <c r="DQ64" s="227"/>
      <c r="DR64" s="224"/>
      <c r="DS64" s="218"/>
      <c r="DT64" s="218"/>
      <c r="DU64" s="218"/>
      <c r="DV64" s="218"/>
      <c r="DW64" s="218"/>
      <c r="DX64" s="218"/>
      <c r="DY64" s="218"/>
      <c r="DZ64" s="218"/>
      <c r="EA64" s="218"/>
      <c r="EB64" s="218"/>
      <c r="EC64" s="218"/>
      <c r="ED64" s="218"/>
      <c r="EE64" s="218"/>
      <c r="EF64" s="223"/>
      <c r="EG64" s="223"/>
      <c r="EH64" s="223"/>
      <c r="EI64" s="223"/>
      <c r="EJ64" s="223"/>
      <c r="EK64" s="223"/>
      <c r="EL64" s="218"/>
      <c r="EM64" s="218"/>
      <c r="EN64" s="223"/>
      <c r="EO64" s="226"/>
      <c r="ER64" s="251"/>
      <c r="EU64" s="220"/>
    </row>
    <row r="65" s="200" customFormat="1" customHeight="1" spans="1:151">
      <c r="A65" s="309"/>
      <c r="B65" s="230">
        <v>19</v>
      </c>
      <c r="C65" s="218" t="s">
        <v>826</v>
      </c>
      <c r="D65" s="200" t="s">
        <v>13</v>
      </c>
      <c r="E65" s="220" t="s">
        <v>405</v>
      </c>
      <c r="F65" s="270" t="s">
        <v>125</v>
      </c>
      <c r="G65" s="270" t="s">
        <v>186</v>
      </c>
      <c r="H65" s="297">
        <v>13620579034</v>
      </c>
      <c r="I65" s="297">
        <v>619034</v>
      </c>
      <c r="J65" s="270" t="s">
        <v>827</v>
      </c>
      <c r="K65" s="296">
        <v>13431981807</v>
      </c>
      <c r="L65" s="297">
        <v>621807</v>
      </c>
      <c r="M65" s="200" t="s">
        <v>774</v>
      </c>
      <c r="N65" s="207" t="s">
        <v>828</v>
      </c>
      <c r="O65" s="207" t="s">
        <v>518</v>
      </c>
      <c r="P65" s="200" t="s">
        <v>829</v>
      </c>
      <c r="Q65" s="200" t="s">
        <v>408</v>
      </c>
      <c r="R65" s="200" t="s">
        <v>418</v>
      </c>
      <c r="S65" s="200" t="s">
        <v>418</v>
      </c>
      <c r="V65" s="200" t="s">
        <v>830</v>
      </c>
      <c r="W65" s="240" t="s">
        <v>831</v>
      </c>
      <c r="X65" s="343" t="s">
        <v>832</v>
      </c>
      <c r="Y65" s="343">
        <v>15975893742</v>
      </c>
      <c r="Z65" s="218"/>
      <c r="AA65" s="218">
        <v>200</v>
      </c>
      <c r="AB65" s="218">
        <f t="shared" si="18"/>
        <v>56</v>
      </c>
      <c r="AC65" s="218">
        <v>4</v>
      </c>
      <c r="AD65" s="218">
        <v>52</v>
      </c>
      <c r="AE65" s="218"/>
      <c r="AF65" s="222">
        <f t="shared" si="81"/>
        <v>280</v>
      </c>
      <c r="AG65" s="311">
        <v>46084</v>
      </c>
      <c r="AH65" s="325">
        <v>10</v>
      </c>
      <c r="AI65" s="326">
        <v>7</v>
      </c>
      <c r="AJ65" s="326">
        <v>7</v>
      </c>
      <c r="AK65" s="326">
        <v>7</v>
      </c>
      <c r="AL65" s="326">
        <v>7</v>
      </c>
      <c r="AM65" s="312">
        <f t="shared" si="82"/>
        <v>38</v>
      </c>
      <c r="AN65" s="245">
        <f t="shared" si="65"/>
        <v>2.17142857142857</v>
      </c>
      <c r="AO65" s="311">
        <v>46097</v>
      </c>
      <c r="AP65" s="325">
        <v>10</v>
      </c>
      <c r="AQ65" s="326">
        <v>8</v>
      </c>
      <c r="AR65" s="326">
        <v>8</v>
      </c>
      <c r="AS65" s="326">
        <v>8</v>
      </c>
      <c r="AT65" s="326">
        <v>8</v>
      </c>
      <c r="AU65" s="312">
        <f t="shared" si="78"/>
        <v>42</v>
      </c>
      <c r="AV65" s="316">
        <f t="shared" si="2"/>
        <v>2.4</v>
      </c>
      <c r="AW65" s="311">
        <v>46107</v>
      </c>
      <c r="AX65" s="325">
        <v>10</v>
      </c>
      <c r="AY65" s="326">
        <v>8</v>
      </c>
      <c r="AZ65" s="326">
        <v>8</v>
      </c>
      <c r="BA65" s="326">
        <v>8</v>
      </c>
      <c r="BB65" s="326">
        <v>8</v>
      </c>
      <c r="BC65" s="312">
        <f t="shared" ref="BC65:BC75" si="102">AX65+AY65+AZ65+BA65+BB65</f>
        <v>42</v>
      </c>
      <c r="BD65" s="316">
        <f t="shared" ref="BD65:BD85" si="103">BC65*16/AF65</f>
        <v>2.4</v>
      </c>
      <c r="BE65" s="344">
        <v>46121</v>
      </c>
      <c r="BF65" s="256">
        <v>10</v>
      </c>
      <c r="BG65" s="257">
        <v>8</v>
      </c>
      <c r="BH65" s="257">
        <v>8</v>
      </c>
      <c r="BI65" s="257">
        <v>8</v>
      </c>
      <c r="BJ65" s="257">
        <v>8</v>
      </c>
      <c r="BK65" s="258">
        <f t="shared" si="63"/>
        <v>42</v>
      </c>
      <c r="BL65" s="248">
        <f t="shared" si="6"/>
        <v>2.4</v>
      </c>
      <c r="BM65" s="246">
        <f t="shared" ref="BM65:BM69" si="104">BE65+BL65*7</f>
        <v>46137.8</v>
      </c>
      <c r="BN65" s="224"/>
      <c r="BO65" s="218"/>
      <c r="BP65" s="218"/>
      <c r="BQ65" s="218"/>
      <c r="BR65" s="218"/>
      <c r="BS65" s="315"/>
      <c r="BT65" s="336">
        <f t="shared" ref="BT65:BT85" si="105">BS65*16/AF65</f>
        <v>0</v>
      </c>
      <c r="BU65" s="249"/>
      <c r="BV65" s="224"/>
      <c r="BW65" s="218"/>
      <c r="BX65" s="218"/>
      <c r="BY65" s="218"/>
      <c r="BZ65" s="218"/>
      <c r="CA65" s="315"/>
      <c r="CB65" s="319">
        <f t="shared" ref="CB65:CB74" si="106">CA65*16/AF65</f>
        <v>0</v>
      </c>
      <c r="CC65" s="249"/>
      <c r="CD65" s="224"/>
      <c r="CE65" s="218"/>
      <c r="CF65" s="218"/>
      <c r="CG65" s="218"/>
      <c r="CH65" s="218"/>
      <c r="CI65" s="218"/>
      <c r="CJ65" s="245">
        <f t="shared" ref="CJ65:CJ74" si="107">CI65*16/AF65</f>
        <v>0</v>
      </c>
      <c r="CK65" s="249"/>
      <c r="CL65" s="224"/>
      <c r="CM65" s="218"/>
      <c r="CN65" s="218"/>
      <c r="CO65" s="218"/>
      <c r="CP65" s="218"/>
      <c r="CQ65" s="218"/>
      <c r="CR65" s="245">
        <f t="shared" ref="CR65:CR74" si="108">CQ65*16/AF65</f>
        <v>0</v>
      </c>
      <c r="CS65" s="249"/>
      <c r="CT65" s="224"/>
      <c r="CU65" s="218"/>
      <c r="CV65" s="218"/>
      <c r="CW65" s="218"/>
      <c r="CX65" s="218"/>
      <c r="CY65" s="218"/>
      <c r="CZ65" s="245">
        <f t="shared" ref="CZ65:CZ73" si="109">CY65*16/AF65</f>
        <v>0</v>
      </c>
      <c r="DA65" s="249"/>
      <c r="DB65" s="224"/>
      <c r="DC65" s="218"/>
      <c r="DD65" s="218"/>
      <c r="DE65" s="218"/>
      <c r="DF65" s="218"/>
      <c r="DG65" s="218"/>
      <c r="DH65" s="242"/>
      <c r="DI65" s="249"/>
      <c r="DJ65" s="218"/>
      <c r="DK65" s="218"/>
      <c r="DL65" s="218"/>
      <c r="DM65" s="218"/>
      <c r="DN65" s="218"/>
      <c r="DO65" s="218"/>
      <c r="DP65" s="218"/>
      <c r="DQ65" s="227"/>
      <c r="DR65" s="224"/>
      <c r="DS65" s="218"/>
      <c r="DT65" s="218"/>
      <c r="DU65" s="218"/>
      <c r="DV65" s="218"/>
      <c r="DW65" s="218"/>
      <c r="DX65" s="218"/>
      <c r="DY65" s="218"/>
      <c r="DZ65" s="218"/>
      <c r="EA65" s="218"/>
      <c r="EB65" s="218"/>
      <c r="EC65" s="218"/>
      <c r="ED65" s="218"/>
      <c r="EE65" s="218"/>
      <c r="EF65" s="223">
        <f t="shared" ref="EF65:EJ65" si="110">AH65+AP65+AX65+BF65+BN65+BV65+CD65+CL65+CT65+DB65+DJ65+DR65+DZ65</f>
        <v>40</v>
      </c>
      <c r="EG65" s="223">
        <f t="shared" si="110"/>
        <v>31</v>
      </c>
      <c r="EH65" s="223">
        <f t="shared" si="110"/>
        <v>31</v>
      </c>
      <c r="EI65" s="223">
        <f t="shared" si="110"/>
        <v>31</v>
      </c>
      <c r="EJ65" s="223">
        <f t="shared" si="110"/>
        <v>31</v>
      </c>
      <c r="EK65" s="223">
        <f t="shared" ref="EK65:EK85" si="111">SUM(EF65:EJ65)</f>
        <v>164</v>
      </c>
      <c r="EL65" s="218">
        <f t="shared" ref="EL65:EL95" si="112">AB65*100</f>
        <v>5600</v>
      </c>
      <c r="EM65" s="218">
        <f t="shared" ref="EM65:EM95" si="113">EL65/16</f>
        <v>350</v>
      </c>
      <c r="EN65" s="223">
        <f t="shared" ref="EN65:EN95" si="114">EK65</f>
        <v>164</v>
      </c>
      <c r="EO65" s="226">
        <f t="shared" ref="EO65:EO95" si="115">EM65-EN65</f>
        <v>186</v>
      </c>
      <c r="ER65" s="251"/>
      <c r="EU65" s="220"/>
    </row>
    <row r="66" s="200" customFormat="1" customHeight="1" spans="1:151">
      <c r="A66" s="309"/>
      <c r="B66" s="230">
        <v>18</v>
      </c>
      <c r="C66" s="218" t="s">
        <v>833</v>
      </c>
      <c r="E66" s="220" t="s">
        <v>405</v>
      </c>
      <c r="J66" s="200" t="s">
        <v>834</v>
      </c>
      <c r="K66" s="207" t="s">
        <v>835</v>
      </c>
      <c r="N66" s="207"/>
      <c r="O66" s="207" t="s">
        <v>753</v>
      </c>
      <c r="P66" s="200" t="s">
        <v>820</v>
      </c>
      <c r="Q66" s="200" t="s">
        <v>408</v>
      </c>
      <c r="V66" s="200" t="s">
        <v>834</v>
      </c>
      <c r="W66" s="207" t="s">
        <v>835</v>
      </c>
      <c r="Y66" s="207"/>
      <c r="Z66" s="218"/>
      <c r="AA66" s="218">
        <v>125</v>
      </c>
      <c r="AB66" s="218">
        <v>36</v>
      </c>
      <c r="AC66" s="218">
        <v>5</v>
      </c>
      <c r="AD66" s="218">
        <v>31</v>
      </c>
      <c r="AE66" s="218"/>
      <c r="AF66" s="222">
        <f t="shared" si="81"/>
        <v>180</v>
      </c>
      <c r="AG66" s="311">
        <v>46084</v>
      </c>
      <c r="AH66" s="325">
        <v>2</v>
      </c>
      <c r="AI66" s="326">
        <v>2</v>
      </c>
      <c r="AJ66" s="326">
        <v>2</v>
      </c>
      <c r="AK66" s="326">
        <v>2</v>
      </c>
      <c r="AL66" s="326"/>
      <c r="AM66" s="312">
        <f t="shared" si="82"/>
        <v>8</v>
      </c>
      <c r="AN66" s="245">
        <f t="shared" si="65"/>
        <v>0.711111111111111</v>
      </c>
      <c r="AO66" s="311">
        <v>46097</v>
      </c>
      <c r="AP66" s="325">
        <v>5</v>
      </c>
      <c r="AQ66" s="326">
        <v>5</v>
      </c>
      <c r="AR66" s="326">
        <v>5</v>
      </c>
      <c r="AS66" s="326">
        <v>5</v>
      </c>
      <c r="AT66" s="312"/>
      <c r="AU66" s="312">
        <f t="shared" si="78"/>
        <v>20</v>
      </c>
      <c r="AV66" s="316">
        <f t="shared" si="2"/>
        <v>1.77777777777778</v>
      </c>
      <c r="AW66" s="311">
        <v>46106</v>
      </c>
      <c r="AX66" s="325">
        <v>6</v>
      </c>
      <c r="AY66" s="326">
        <v>7</v>
      </c>
      <c r="AZ66" s="326">
        <v>7</v>
      </c>
      <c r="BA66" s="326">
        <v>7</v>
      </c>
      <c r="BB66" s="326"/>
      <c r="BC66" s="312">
        <f t="shared" si="102"/>
        <v>27</v>
      </c>
      <c r="BD66" s="316">
        <f t="shared" si="103"/>
        <v>2.4</v>
      </c>
      <c r="BE66" s="345">
        <v>46121</v>
      </c>
      <c r="BF66" s="339">
        <v>6</v>
      </c>
      <c r="BG66" s="340">
        <v>7</v>
      </c>
      <c r="BH66" s="340">
        <v>7</v>
      </c>
      <c r="BI66" s="340">
        <v>7</v>
      </c>
      <c r="BJ66" s="340"/>
      <c r="BK66" s="258">
        <f t="shared" si="63"/>
        <v>27</v>
      </c>
      <c r="BL66" s="248">
        <f t="shared" si="6"/>
        <v>2.4</v>
      </c>
      <c r="BM66" s="246">
        <f t="shared" si="104"/>
        <v>46137.8</v>
      </c>
      <c r="BN66" s="224"/>
      <c r="BO66" s="218"/>
      <c r="BP66" s="218"/>
      <c r="BQ66" s="218"/>
      <c r="BR66" s="218"/>
      <c r="BS66" s="315"/>
      <c r="BT66" s="336">
        <f t="shared" si="105"/>
        <v>0</v>
      </c>
      <c r="BU66" s="249"/>
      <c r="BV66" s="224"/>
      <c r="BW66" s="218"/>
      <c r="BX66" s="218"/>
      <c r="BY66" s="218"/>
      <c r="BZ66" s="218"/>
      <c r="CA66" s="315"/>
      <c r="CB66" s="319">
        <f t="shared" si="106"/>
        <v>0</v>
      </c>
      <c r="CC66" s="249"/>
      <c r="CD66" s="224"/>
      <c r="CE66" s="218"/>
      <c r="CF66" s="218"/>
      <c r="CG66" s="218"/>
      <c r="CH66" s="218"/>
      <c r="CI66" s="218"/>
      <c r="CJ66" s="245">
        <f t="shared" si="107"/>
        <v>0</v>
      </c>
      <c r="CK66" s="246"/>
      <c r="CL66" s="224"/>
      <c r="CM66" s="218"/>
      <c r="CN66" s="218"/>
      <c r="CO66" s="218"/>
      <c r="CP66" s="218"/>
      <c r="CQ66" s="218"/>
      <c r="CR66" s="245">
        <f t="shared" si="108"/>
        <v>0</v>
      </c>
      <c r="CS66" s="249"/>
      <c r="CT66" s="224"/>
      <c r="CU66" s="218"/>
      <c r="CV66" s="218"/>
      <c r="CW66" s="218"/>
      <c r="CX66" s="218"/>
      <c r="CY66" s="218"/>
      <c r="CZ66" s="245">
        <f t="shared" si="109"/>
        <v>0</v>
      </c>
      <c r="DA66" s="249"/>
      <c r="DB66" s="224"/>
      <c r="DC66" s="218"/>
      <c r="DD66" s="218"/>
      <c r="DE66" s="218"/>
      <c r="DF66" s="218"/>
      <c r="DG66" s="218"/>
      <c r="DH66" s="218"/>
      <c r="DI66" s="249"/>
      <c r="DJ66" s="218"/>
      <c r="DK66" s="218"/>
      <c r="DL66" s="218"/>
      <c r="DM66" s="218"/>
      <c r="DN66" s="218"/>
      <c r="DO66" s="218"/>
      <c r="DP66" s="218"/>
      <c r="DQ66" s="227"/>
      <c r="DR66" s="224"/>
      <c r="DS66" s="218"/>
      <c r="DT66" s="218"/>
      <c r="DU66" s="218"/>
      <c r="DV66" s="218"/>
      <c r="DW66" s="218"/>
      <c r="DX66" s="218"/>
      <c r="DY66" s="249"/>
      <c r="DZ66" s="218"/>
      <c r="EA66" s="218"/>
      <c r="EB66" s="218"/>
      <c r="EC66" s="218"/>
      <c r="ED66" s="218"/>
      <c r="EE66" s="218"/>
      <c r="EF66" s="223">
        <f t="shared" ref="EF66:EJ66" si="116">AH66+AP66+AX66+BF66+BN66+BV66+CD66+CL66+CT66+DB66+DJ66+DR66+DZ66</f>
        <v>19</v>
      </c>
      <c r="EG66" s="223">
        <f t="shared" si="116"/>
        <v>21</v>
      </c>
      <c r="EH66" s="223">
        <f t="shared" si="116"/>
        <v>21</v>
      </c>
      <c r="EI66" s="223">
        <f t="shared" si="116"/>
        <v>21</v>
      </c>
      <c r="EJ66" s="223">
        <f t="shared" si="116"/>
        <v>0</v>
      </c>
      <c r="EK66" s="223">
        <f t="shared" si="111"/>
        <v>82</v>
      </c>
      <c r="EL66" s="218">
        <f t="shared" si="112"/>
        <v>3600</v>
      </c>
      <c r="EM66" s="218">
        <f t="shared" si="113"/>
        <v>225</v>
      </c>
      <c r="EN66" s="223">
        <f t="shared" si="114"/>
        <v>82</v>
      </c>
      <c r="EO66" s="226">
        <f t="shared" si="115"/>
        <v>143</v>
      </c>
      <c r="ER66" s="251"/>
      <c r="EU66" s="220"/>
    </row>
    <row r="67" s="200" customFormat="1" ht="22" customHeight="1" spans="1:151">
      <c r="A67" s="309"/>
      <c r="B67" s="230">
        <v>19</v>
      </c>
      <c r="C67" s="219" t="s">
        <v>836</v>
      </c>
      <c r="D67" s="220" t="s">
        <v>13</v>
      </c>
      <c r="E67" s="220" t="s">
        <v>405</v>
      </c>
      <c r="F67" s="220" t="s">
        <v>120</v>
      </c>
      <c r="G67" s="220" t="s">
        <v>183</v>
      </c>
      <c r="H67" s="220">
        <v>13631063961</v>
      </c>
      <c r="I67" s="220">
        <v>663961</v>
      </c>
      <c r="J67" s="220" t="s">
        <v>183</v>
      </c>
      <c r="K67" s="220">
        <v>13631063961</v>
      </c>
      <c r="L67" s="220">
        <v>663961</v>
      </c>
      <c r="M67" s="200" t="s">
        <v>419</v>
      </c>
      <c r="N67" s="207" t="s">
        <v>837</v>
      </c>
      <c r="O67" s="207" t="s">
        <v>406</v>
      </c>
      <c r="P67" s="200" t="s">
        <v>838</v>
      </c>
      <c r="Q67" s="200" t="s">
        <v>408</v>
      </c>
      <c r="R67" s="200" t="s">
        <v>418</v>
      </c>
      <c r="V67" s="200" t="s">
        <v>419</v>
      </c>
      <c r="W67" s="207" t="s">
        <v>837</v>
      </c>
      <c r="Y67" s="207"/>
      <c r="Z67" s="218"/>
      <c r="AA67" s="218">
        <v>200</v>
      </c>
      <c r="AB67" s="218">
        <f t="shared" ref="AB67:AB95" si="117">SUM(AC67:AD67)</f>
        <v>27</v>
      </c>
      <c r="AC67" s="218">
        <v>6</v>
      </c>
      <c r="AD67" s="218">
        <v>21</v>
      </c>
      <c r="AE67" s="218"/>
      <c r="AF67" s="222">
        <f t="shared" si="81"/>
        <v>135</v>
      </c>
      <c r="AG67" s="311">
        <v>46084</v>
      </c>
      <c r="AH67" s="325">
        <v>12</v>
      </c>
      <c r="AI67" s="326">
        <v>15</v>
      </c>
      <c r="AJ67" s="326">
        <v>15</v>
      </c>
      <c r="AK67" s="326">
        <v>15</v>
      </c>
      <c r="AL67" s="312">
        <v>15</v>
      </c>
      <c r="AM67" s="312">
        <f t="shared" si="82"/>
        <v>72</v>
      </c>
      <c r="AN67" s="245">
        <f t="shared" si="65"/>
        <v>8.53333333333333</v>
      </c>
      <c r="AO67" s="311">
        <v>46107</v>
      </c>
      <c r="AP67" s="325">
        <v>12</v>
      </c>
      <c r="AQ67" s="326">
        <v>15</v>
      </c>
      <c r="AR67" s="326">
        <v>15</v>
      </c>
      <c r="AS67" s="326">
        <v>15</v>
      </c>
      <c r="AT67" s="326">
        <v>15</v>
      </c>
      <c r="AU67" s="312">
        <f t="shared" si="78"/>
        <v>72</v>
      </c>
      <c r="AV67" s="316">
        <f t="shared" ref="AV67:AV85" si="118">AU67*16/AF67</f>
        <v>8.53333333333333</v>
      </c>
      <c r="AW67" s="246">
        <f>AO67+AV67*7</f>
        <v>46166.7333333333</v>
      </c>
      <c r="AX67" s="331"/>
      <c r="AY67" s="332"/>
      <c r="AZ67" s="332"/>
      <c r="BA67" s="332"/>
      <c r="BB67" s="332"/>
      <c r="BC67" s="315">
        <f t="shared" si="102"/>
        <v>0</v>
      </c>
      <c r="BD67" s="316">
        <f t="shared" si="103"/>
        <v>0</v>
      </c>
      <c r="BE67" s="333"/>
      <c r="BF67" s="331"/>
      <c r="BG67" s="332"/>
      <c r="BH67" s="332"/>
      <c r="BI67" s="332"/>
      <c r="BJ67" s="332"/>
      <c r="BK67" s="247">
        <f t="shared" ref="BK67:BK98" si="119">BF67+BG67+BH67+BI67+BJ67</f>
        <v>0</v>
      </c>
      <c r="BL67" s="248">
        <f t="shared" ref="BL67:BL130" si="120">BK67*16/AF67</f>
        <v>0</v>
      </c>
      <c r="BM67" s="227"/>
      <c r="BN67" s="224"/>
      <c r="BO67" s="218"/>
      <c r="BP67" s="218"/>
      <c r="BQ67" s="218"/>
      <c r="BR67" s="218"/>
      <c r="BS67" s="315"/>
      <c r="BT67" s="336">
        <f t="shared" si="105"/>
        <v>0</v>
      </c>
      <c r="BU67" s="246"/>
      <c r="BV67" s="224"/>
      <c r="BW67" s="218"/>
      <c r="BX67" s="218"/>
      <c r="BY67" s="218"/>
      <c r="BZ67" s="218"/>
      <c r="CA67" s="315"/>
      <c r="CB67" s="319">
        <f t="shared" si="106"/>
        <v>0</v>
      </c>
      <c r="CC67" s="249"/>
      <c r="CD67" s="224"/>
      <c r="CE67" s="218"/>
      <c r="CF67" s="218"/>
      <c r="CG67" s="218"/>
      <c r="CH67" s="218"/>
      <c r="CI67" s="218"/>
      <c r="CJ67" s="245">
        <f t="shared" si="107"/>
        <v>0</v>
      </c>
      <c r="CK67" s="249"/>
      <c r="CL67" s="224"/>
      <c r="CM67" s="218"/>
      <c r="CN67" s="218"/>
      <c r="CO67" s="218"/>
      <c r="CP67" s="218"/>
      <c r="CQ67" s="218"/>
      <c r="CR67" s="245">
        <f t="shared" si="108"/>
        <v>0</v>
      </c>
      <c r="CS67" s="218"/>
      <c r="CT67" s="224"/>
      <c r="CU67" s="218"/>
      <c r="CV67" s="218"/>
      <c r="CW67" s="218"/>
      <c r="CX67" s="218"/>
      <c r="CY67" s="218"/>
      <c r="CZ67" s="245">
        <f t="shared" si="109"/>
        <v>0</v>
      </c>
      <c r="DA67" s="218"/>
      <c r="DB67" s="224"/>
      <c r="DC67" s="218"/>
      <c r="DD67" s="218"/>
      <c r="DE67" s="218"/>
      <c r="DF67" s="218"/>
      <c r="DG67" s="218"/>
      <c r="DH67" s="218"/>
      <c r="DI67" s="218"/>
      <c r="DJ67" s="218"/>
      <c r="DK67" s="218"/>
      <c r="DL67" s="218"/>
      <c r="DM67" s="218"/>
      <c r="DN67" s="218"/>
      <c r="DO67" s="218"/>
      <c r="DP67" s="218"/>
      <c r="DQ67" s="227"/>
      <c r="DR67" s="224"/>
      <c r="DS67" s="218"/>
      <c r="DT67" s="218"/>
      <c r="DU67" s="218"/>
      <c r="DV67" s="218"/>
      <c r="DW67" s="218"/>
      <c r="DX67" s="218"/>
      <c r="DY67" s="218"/>
      <c r="DZ67" s="218"/>
      <c r="EA67" s="218"/>
      <c r="EB67" s="218"/>
      <c r="EC67" s="218"/>
      <c r="ED67" s="218"/>
      <c r="EE67" s="218"/>
      <c r="EF67" s="223">
        <f t="shared" ref="EF67:EJ67" si="121">AH67+AP67+AX67+BF67+BN67+BV67+CD67+CL67+CT67+DB67+DJ67+DR67+DZ67</f>
        <v>24</v>
      </c>
      <c r="EG67" s="223">
        <f t="shared" si="121"/>
        <v>30</v>
      </c>
      <c r="EH67" s="223">
        <f t="shared" si="121"/>
        <v>30</v>
      </c>
      <c r="EI67" s="223">
        <f t="shared" si="121"/>
        <v>30</v>
      </c>
      <c r="EJ67" s="223">
        <f t="shared" si="121"/>
        <v>30</v>
      </c>
      <c r="EK67" s="223">
        <f t="shared" si="111"/>
        <v>144</v>
      </c>
      <c r="EL67" s="218">
        <f t="shared" si="112"/>
        <v>2700</v>
      </c>
      <c r="EM67" s="218">
        <f t="shared" si="113"/>
        <v>168.75</v>
      </c>
      <c r="EN67" s="223">
        <f t="shared" si="114"/>
        <v>144</v>
      </c>
      <c r="EO67" s="226">
        <f t="shared" si="115"/>
        <v>24.75</v>
      </c>
      <c r="ER67" s="251"/>
      <c r="EU67" s="220"/>
    </row>
    <row r="68" s="200" customFormat="1" customHeight="1" spans="1:151">
      <c r="A68" s="309"/>
      <c r="B68" s="230">
        <v>20</v>
      </c>
      <c r="C68" s="218" t="s">
        <v>839</v>
      </c>
      <c r="D68" s="200" t="s">
        <v>492</v>
      </c>
      <c r="E68" s="220" t="s">
        <v>405</v>
      </c>
      <c r="G68" s="200" t="s">
        <v>840</v>
      </c>
      <c r="H68" s="200">
        <v>13828516861</v>
      </c>
      <c r="J68" s="200" t="s">
        <v>841</v>
      </c>
      <c r="K68" s="207">
        <v>13620513685</v>
      </c>
      <c r="M68" s="200" t="s">
        <v>842</v>
      </c>
      <c r="N68" s="207" t="s">
        <v>843</v>
      </c>
      <c r="O68" s="207" t="s">
        <v>844</v>
      </c>
      <c r="P68" s="200" t="s">
        <v>845</v>
      </c>
      <c r="Q68" s="200" t="s">
        <v>408</v>
      </c>
      <c r="V68" s="200" t="s">
        <v>842</v>
      </c>
      <c r="W68" s="207" t="s">
        <v>843</v>
      </c>
      <c r="Z68" s="218"/>
      <c r="AA68" s="218">
        <v>125</v>
      </c>
      <c r="AB68" s="218">
        <v>11</v>
      </c>
      <c r="AC68" s="218">
        <v>0</v>
      </c>
      <c r="AD68" s="218">
        <v>11</v>
      </c>
      <c r="AE68" s="218"/>
      <c r="AF68" s="222">
        <f t="shared" si="81"/>
        <v>55</v>
      </c>
      <c r="AG68" s="311">
        <v>46084</v>
      </c>
      <c r="AH68" s="312">
        <v>3</v>
      </c>
      <c r="AI68" s="279">
        <v>3</v>
      </c>
      <c r="AJ68" s="279">
        <v>3</v>
      </c>
      <c r="AK68" s="279">
        <v>3</v>
      </c>
      <c r="AL68" s="279">
        <v>0</v>
      </c>
      <c r="AM68" s="312">
        <f t="shared" si="82"/>
        <v>12</v>
      </c>
      <c r="AN68" s="245">
        <f t="shared" ref="AN68:AN100" si="122">AM68*16/AF68</f>
        <v>3.49090909090909</v>
      </c>
      <c r="AO68" s="311">
        <v>46107</v>
      </c>
      <c r="AP68" s="325">
        <v>3</v>
      </c>
      <c r="AQ68" s="326">
        <v>3</v>
      </c>
      <c r="AR68" s="326">
        <v>3</v>
      </c>
      <c r="AS68" s="326">
        <v>3</v>
      </c>
      <c r="AT68" s="326"/>
      <c r="AU68" s="312">
        <f t="shared" si="78"/>
        <v>12</v>
      </c>
      <c r="AV68" s="316">
        <f t="shared" si="118"/>
        <v>3.49090909090909</v>
      </c>
      <c r="AW68" s="255">
        <f>AO68+AV68*7</f>
        <v>46131.4363636364</v>
      </c>
      <c r="AX68" s="339">
        <v>3</v>
      </c>
      <c r="AY68" s="340">
        <v>3</v>
      </c>
      <c r="AZ68" s="340">
        <v>3</v>
      </c>
      <c r="BA68" s="340">
        <v>3</v>
      </c>
      <c r="BB68" s="340"/>
      <c r="BC68" s="335">
        <f t="shared" si="102"/>
        <v>12</v>
      </c>
      <c r="BD68" s="316">
        <f t="shared" si="103"/>
        <v>3.49090909090909</v>
      </c>
      <c r="BE68" s="249">
        <f>AW68+BD68*7</f>
        <v>46155.8727272727</v>
      </c>
      <c r="BF68" s="331"/>
      <c r="BG68" s="332"/>
      <c r="BH68" s="332"/>
      <c r="BI68" s="332"/>
      <c r="BJ68" s="332"/>
      <c r="BK68" s="247">
        <f t="shared" si="119"/>
        <v>0</v>
      </c>
      <c r="BL68" s="248">
        <f t="shared" si="120"/>
        <v>0</v>
      </c>
      <c r="BM68" s="227"/>
      <c r="BN68" s="224"/>
      <c r="BO68" s="218"/>
      <c r="BP68" s="218"/>
      <c r="BQ68" s="218"/>
      <c r="BR68" s="218"/>
      <c r="BS68" s="315"/>
      <c r="BT68" s="336">
        <f t="shared" si="105"/>
        <v>0</v>
      </c>
      <c r="BU68" s="249"/>
      <c r="BV68" s="224"/>
      <c r="BW68" s="218"/>
      <c r="BX68" s="218"/>
      <c r="BY68" s="218"/>
      <c r="BZ68" s="218"/>
      <c r="CA68" s="315"/>
      <c r="CB68" s="319">
        <f t="shared" si="106"/>
        <v>0</v>
      </c>
      <c r="CC68" s="249"/>
      <c r="CD68" s="224"/>
      <c r="CE68" s="218"/>
      <c r="CF68" s="218"/>
      <c r="CG68" s="218"/>
      <c r="CH68" s="218"/>
      <c r="CI68" s="218"/>
      <c r="CJ68" s="245">
        <f t="shared" si="107"/>
        <v>0</v>
      </c>
      <c r="CK68" s="246"/>
      <c r="CL68" s="224"/>
      <c r="CM68" s="218"/>
      <c r="CN68" s="218"/>
      <c r="CO68" s="218"/>
      <c r="CP68" s="218"/>
      <c r="CQ68" s="218"/>
      <c r="CR68" s="245">
        <f t="shared" si="108"/>
        <v>0</v>
      </c>
      <c r="CS68" s="218"/>
      <c r="CT68" s="224"/>
      <c r="CU68" s="218"/>
      <c r="CV68" s="218"/>
      <c r="CW68" s="218"/>
      <c r="CX68" s="218"/>
      <c r="CY68" s="218"/>
      <c r="CZ68" s="245">
        <f t="shared" si="109"/>
        <v>0</v>
      </c>
      <c r="DA68" s="218"/>
      <c r="DB68" s="224"/>
      <c r="DC68" s="218"/>
      <c r="DD68" s="218"/>
      <c r="DE68" s="218"/>
      <c r="DF68" s="218"/>
      <c r="DG68" s="218"/>
      <c r="DH68" s="218"/>
      <c r="DI68" s="218"/>
      <c r="DJ68" s="218"/>
      <c r="DK68" s="218"/>
      <c r="DL68" s="218"/>
      <c r="DM68" s="218"/>
      <c r="DN68" s="218"/>
      <c r="DO68" s="218"/>
      <c r="DP68" s="218"/>
      <c r="DQ68" s="227"/>
      <c r="DR68" s="224"/>
      <c r="DS68" s="218"/>
      <c r="DT68" s="218"/>
      <c r="DU68" s="218"/>
      <c r="DV68" s="218"/>
      <c r="DW68" s="218"/>
      <c r="DX68" s="218"/>
      <c r="DY68" s="218"/>
      <c r="DZ68" s="218"/>
      <c r="EA68" s="218"/>
      <c r="EB68" s="218"/>
      <c r="EC68" s="218"/>
      <c r="ED68" s="218"/>
      <c r="EE68" s="218"/>
      <c r="EF68" s="223">
        <f t="shared" ref="EF68:EJ68" si="123">AH68+AP68+AX68+BF68+BN68+BV68+CD68+CL68+CT68+DB68+DJ68+DR68+DZ68</f>
        <v>9</v>
      </c>
      <c r="EG68" s="223">
        <f t="shared" si="123"/>
        <v>9</v>
      </c>
      <c r="EH68" s="223">
        <f t="shared" si="123"/>
        <v>9</v>
      </c>
      <c r="EI68" s="223">
        <f t="shared" si="123"/>
        <v>9</v>
      </c>
      <c r="EJ68" s="223">
        <f t="shared" si="123"/>
        <v>0</v>
      </c>
      <c r="EK68" s="223">
        <f t="shared" si="111"/>
        <v>36</v>
      </c>
      <c r="EL68" s="218">
        <f t="shared" si="112"/>
        <v>1100</v>
      </c>
      <c r="EM68" s="218">
        <f t="shared" si="113"/>
        <v>68.75</v>
      </c>
      <c r="EN68" s="223">
        <f t="shared" si="114"/>
        <v>36</v>
      </c>
      <c r="EO68" s="226">
        <f t="shared" si="115"/>
        <v>32.75</v>
      </c>
      <c r="ER68" s="251"/>
      <c r="EU68" s="220"/>
    </row>
    <row r="69" s="200" customFormat="1" customHeight="1" spans="1:151">
      <c r="A69" s="309"/>
      <c r="B69" s="230">
        <v>21</v>
      </c>
      <c r="C69" s="218" t="s">
        <v>846</v>
      </c>
      <c r="E69" s="220" t="s">
        <v>405</v>
      </c>
      <c r="J69" s="270" t="s">
        <v>847</v>
      </c>
      <c r="K69" s="221">
        <v>13680016953</v>
      </c>
      <c r="N69" s="207"/>
      <c r="O69" s="207" t="s">
        <v>848</v>
      </c>
      <c r="P69" s="200" t="s">
        <v>820</v>
      </c>
      <c r="Q69" s="200" t="s">
        <v>408</v>
      </c>
      <c r="R69" s="200" t="s">
        <v>418</v>
      </c>
      <c r="W69" s="207"/>
      <c r="X69" s="200" t="s">
        <v>849</v>
      </c>
      <c r="Y69" s="207" t="s">
        <v>850</v>
      </c>
      <c r="Z69" s="218"/>
      <c r="AA69" s="218">
        <v>125</v>
      </c>
      <c r="AB69" s="218">
        <f t="shared" si="117"/>
        <v>24</v>
      </c>
      <c r="AC69" s="218">
        <v>4</v>
      </c>
      <c r="AD69" s="218">
        <v>20</v>
      </c>
      <c r="AE69" s="218">
        <v>1</v>
      </c>
      <c r="AF69" s="222">
        <f t="shared" si="81"/>
        <v>120</v>
      </c>
      <c r="AG69" s="311">
        <v>46084</v>
      </c>
      <c r="AH69" s="325">
        <v>3</v>
      </c>
      <c r="AI69" s="326">
        <v>3</v>
      </c>
      <c r="AJ69" s="326">
        <v>3</v>
      </c>
      <c r="AK69" s="326">
        <v>3</v>
      </c>
      <c r="AL69" s="312"/>
      <c r="AM69" s="312">
        <f t="shared" si="82"/>
        <v>12</v>
      </c>
      <c r="AN69" s="245">
        <f t="shared" si="122"/>
        <v>1.6</v>
      </c>
      <c r="AO69" s="252">
        <v>46098</v>
      </c>
      <c r="AP69" s="325">
        <v>4</v>
      </c>
      <c r="AQ69" s="326">
        <v>5</v>
      </c>
      <c r="AR69" s="326">
        <v>5</v>
      </c>
      <c r="AS69" s="326">
        <v>5</v>
      </c>
      <c r="AT69" s="312"/>
      <c r="AU69" s="312">
        <f t="shared" si="78"/>
        <v>19</v>
      </c>
      <c r="AV69" s="316">
        <f t="shared" si="118"/>
        <v>2.53333333333333</v>
      </c>
      <c r="AW69" s="311">
        <v>46111</v>
      </c>
      <c r="AX69" s="325">
        <v>5</v>
      </c>
      <c r="AY69" s="326">
        <v>6</v>
      </c>
      <c r="AZ69" s="326">
        <v>6</v>
      </c>
      <c r="BA69" s="326">
        <v>6</v>
      </c>
      <c r="BB69" s="326"/>
      <c r="BC69" s="312">
        <f t="shared" si="102"/>
        <v>23</v>
      </c>
      <c r="BD69" s="316">
        <f t="shared" si="103"/>
        <v>3.06666666666667</v>
      </c>
      <c r="BE69" s="345">
        <v>46121</v>
      </c>
      <c r="BF69" s="339">
        <v>5</v>
      </c>
      <c r="BG69" s="340">
        <v>6</v>
      </c>
      <c r="BH69" s="340">
        <v>6</v>
      </c>
      <c r="BI69" s="340">
        <v>6</v>
      </c>
      <c r="BJ69" s="340"/>
      <c r="BK69" s="258">
        <f t="shared" si="119"/>
        <v>23</v>
      </c>
      <c r="BL69" s="248">
        <f t="shared" si="120"/>
        <v>3.06666666666667</v>
      </c>
      <c r="BM69" s="246">
        <f t="shared" si="104"/>
        <v>46142.4666666667</v>
      </c>
      <c r="BN69" s="224"/>
      <c r="BO69" s="218"/>
      <c r="BP69" s="218"/>
      <c r="BQ69" s="218"/>
      <c r="BR69" s="218"/>
      <c r="BS69" s="315"/>
      <c r="BT69" s="336">
        <f t="shared" si="105"/>
        <v>0</v>
      </c>
      <c r="BU69" s="249"/>
      <c r="BV69" s="224"/>
      <c r="BW69" s="218"/>
      <c r="BX69" s="218"/>
      <c r="BY69" s="218"/>
      <c r="BZ69" s="218"/>
      <c r="CA69" s="315"/>
      <c r="CB69" s="319">
        <f t="shared" si="106"/>
        <v>0</v>
      </c>
      <c r="CC69" s="249"/>
      <c r="CD69" s="224"/>
      <c r="CE69" s="218"/>
      <c r="CF69" s="218"/>
      <c r="CG69" s="218"/>
      <c r="CH69" s="218"/>
      <c r="CI69" s="218"/>
      <c r="CJ69" s="245">
        <f t="shared" si="107"/>
        <v>0</v>
      </c>
      <c r="CK69" s="246"/>
      <c r="CL69" s="224"/>
      <c r="CM69" s="218"/>
      <c r="CN69" s="218"/>
      <c r="CO69" s="218"/>
      <c r="CP69" s="218"/>
      <c r="CQ69" s="218"/>
      <c r="CR69" s="245">
        <f t="shared" si="108"/>
        <v>0</v>
      </c>
      <c r="CS69" s="218"/>
      <c r="CT69" s="224"/>
      <c r="CU69" s="218"/>
      <c r="CV69" s="218"/>
      <c r="CW69" s="218"/>
      <c r="CX69" s="218"/>
      <c r="CY69" s="218"/>
      <c r="CZ69" s="245">
        <f t="shared" si="109"/>
        <v>0</v>
      </c>
      <c r="DA69" s="218"/>
      <c r="DB69" s="224"/>
      <c r="DC69" s="218"/>
      <c r="DD69" s="218"/>
      <c r="DE69" s="218"/>
      <c r="DF69" s="218"/>
      <c r="DG69" s="218"/>
      <c r="DH69" s="218"/>
      <c r="DI69" s="218"/>
      <c r="DJ69" s="218"/>
      <c r="DK69" s="218"/>
      <c r="DL69" s="218"/>
      <c r="DM69" s="218"/>
      <c r="DN69" s="218"/>
      <c r="DO69" s="218"/>
      <c r="DP69" s="218"/>
      <c r="DQ69" s="227"/>
      <c r="DR69" s="224"/>
      <c r="DS69" s="218"/>
      <c r="DT69" s="218"/>
      <c r="DU69" s="218"/>
      <c r="DV69" s="218"/>
      <c r="DW69" s="218"/>
      <c r="DX69" s="218"/>
      <c r="DY69" s="218"/>
      <c r="DZ69" s="218"/>
      <c r="EA69" s="218"/>
      <c r="EB69" s="218"/>
      <c r="EC69" s="218"/>
      <c r="ED69" s="218"/>
      <c r="EE69" s="218"/>
      <c r="EF69" s="223">
        <f t="shared" ref="EF69:EJ69" si="124">AH69+AP69+AX69+BF69+BN69+BV69+CD69+CL69+CT69+DB69+DJ69+DR69+DZ69</f>
        <v>17</v>
      </c>
      <c r="EG69" s="223">
        <f t="shared" si="124"/>
        <v>20</v>
      </c>
      <c r="EH69" s="223">
        <f t="shared" si="124"/>
        <v>20</v>
      </c>
      <c r="EI69" s="223">
        <f t="shared" si="124"/>
        <v>20</v>
      </c>
      <c r="EJ69" s="223">
        <f t="shared" si="124"/>
        <v>0</v>
      </c>
      <c r="EK69" s="223">
        <f t="shared" si="111"/>
        <v>77</v>
      </c>
      <c r="EL69" s="218">
        <f t="shared" si="112"/>
        <v>2400</v>
      </c>
      <c r="EM69" s="218">
        <f t="shared" si="113"/>
        <v>150</v>
      </c>
      <c r="EN69" s="223">
        <f t="shared" si="114"/>
        <v>77</v>
      </c>
      <c r="EO69" s="226">
        <f t="shared" si="115"/>
        <v>73</v>
      </c>
      <c r="ER69" s="251"/>
      <c r="EU69" s="220"/>
    </row>
    <row r="70" s="200" customFormat="1" customHeight="1" spans="1:151">
      <c r="A70" s="309"/>
      <c r="B70" s="230">
        <v>22</v>
      </c>
      <c r="C70" s="218" t="s">
        <v>851</v>
      </c>
      <c r="J70" s="270" t="s">
        <v>852</v>
      </c>
      <c r="K70" s="221">
        <v>13620506972</v>
      </c>
      <c r="N70" s="207"/>
      <c r="O70" s="207"/>
      <c r="W70" s="207"/>
      <c r="Y70" s="207"/>
      <c r="Z70" s="218"/>
      <c r="AA70" s="218">
        <v>125</v>
      </c>
      <c r="AB70" s="242">
        <f t="shared" si="117"/>
        <v>0</v>
      </c>
      <c r="AC70" s="218"/>
      <c r="AD70" s="218"/>
      <c r="AE70" s="218"/>
      <c r="AF70" s="222">
        <f t="shared" si="81"/>
        <v>0</v>
      </c>
      <c r="AG70" s="333">
        <v>46090</v>
      </c>
      <c r="AH70" s="315">
        <v>0</v>
      </c>
      <c r="AI70" s="223"/>
      <c r="AJ70" s="223"/>
      <c r="AK70" s="223"/>
      <c r="AL70" s="332"/>
      <c r="AM70" s="315">
        <f t="shared" si="82"/>
        <v>0</v>
      </c>
      <c r="AN70" s="245" t="e">
        <f t="shared" si="122"/>
        <v>#DIV/0!</v>
      </c>
      <c r="AO70" s="218"/>
      <c r="AP70" s="224"/>
      <c r="AQ70" s="218"/>
      <c r="AR70" s="218"/>
      <c r="AS70" s="218"/>
      <c r="AT70" s="218"/>
      <c r="AU70" s="315">
        <f t="shared" si="78"/>
        <v>0</v>
      </c>
      <c r="AV70" s="316" t="e">
        <f t="shared" si="118"/>
        <v>#DIV/0!</v>
      </c>
      <c r="AW70" s="218"/>
      <c r="AX70" s="224"/>
      <c r="AY70" s="218"/>
      <c r="AZ70" s="218"/>
      <c r="BA70" s="218"/>
      <c r="BB70" s="218"/>
      <c r="BC70" s="315">
        <f t="shared" si="102"/>
        <v>0</v>
      </c>
      <c r="BD70" s="316" t="e">
        <f t="shared" si="103"/>
        <v>#DIV/0!</v>
      </c>
      <c r="BE70" s="333"/>
      <c r="BF70" s="224"/>
      <c r="BG70" s="218"/>
      <c r="BH70" s="218"/>
      <c r="BI70" s="218"/>
      <c r="BJ70" s="218"/>
      <c r="BK70" s="247">
        <f t="shared" si="119"/>
        <v>0</v>
      </c>
      <c r="BL70" s="248" t="e">
        <f t="shared" si="120"/>
        <v>#DIV/0!</v>
      </c>
      <c r="BM70" s="227"/>
      <c r="BN70" s="224"/>
      <c r="BO70" s="218"/>
      <c r="BP70" s="218"/>
      <c r="BQ70" s="218"/>
      <c r="BR70" s="218"/>
      <c r="BS70" s="315"/>
      <c r="BT70" s="336" t="e">
        <f t="shared" si="105"/>
        <v>#DIV/0!</v>
      </c>
      <c r="BU70" s="218"/>
      <c r="BV70" s="224"/>
      <c r="BW70" s="218"/>
      <c r="BX70" s="218"/>
      <c r="BY70" s="218"/>
      <c r="BZ70" s="218"/>
      <c r="CA70" s="315"/>
      <c r="CB70" s="319" t="e">
        <f t="shared" si="106"/>
        <v>#DIV/0!</v>
      </c>
      <c r="CC70" s="218"/>
      <c r="CD70" s="224"/>
      <c r="CE70" s="218"/>
      <c r="CF70" s="218"/>
      <c r="CG70" s="218"/>
      <c r="CH70" s="218"/>
      <c r="CI70" s="218"/>
      <c r="CJ70" s="245" t="e">
        <f t="shared" si="107"/>
        <v>#DIV/0!</v>
      </c>
      <c r="CK70" s="218"/>
      <c r="CL70" s="224"/>
      <c r="CM70" s="218"/>
      <c r="CN70" s="218"/>
      <c r="CO70" s="218"/>
      <c r="CP70" s="218"/>
      <c r="CQ70" s="218"/>
      <c r="CR70" s="245" t="e">
        <f t="shared" si="108"/>
        <v>#DIV/0!</v>
      </c>
      <c r="CS70" s="218"/>
      <c r="CT70" s="224"/>
      <c r="CU70" s="218"/>
      <c r="CV70" s="218"/>
      <c r="CW70" s="218"/>
      <c r="CX70" s="218"/>
      <c r="CY70" s="218"/>
      <c r="CZ70" s="245" t="e">
        <f t="shared" si="109"/>
        <v>#DIV/0!</v>
      </c>
      <c r="DA70" s="218"/>
      <c r="DB70" s="224"/>
      <c r="DC70" s="218"/>
      <c r="DD70" s="218"/>
      <c r="DE70" s="218"/>
      <c r="DF70" s="218"/>
      <c r="DG70" s="218"/>
      <c r="DH70" s="218"/>
      <c r="DI70" s="218"/>
      <c r="DJ70" s="218"/>
      <c r="DK70" s="218"/>
      <c r="DL70" s="218"/>
      <c r="DM70" s="218"/>
      <c r="DN70" s="218"/>
      <c r="DO70" s="218"/>
      <c r="DP70" s="218"/>
      <c r="DQ70" s="227"/>
      <c r="DR70" s="224"/>
      <c r="DS70" s="218"/>
      <c r="DT70" s="218"/>
      <c r="DU70" s="218"/>
      <c r="DV70" s="218"/>
      <c r="DW70" s="218"/>
      <c r="DX70" s="218"/>
      <c r="DY70" s="218"/>
      <c r="DZ70" s="218"/>
      <c r="EA70" s="218"/>
      <c r="EB70" s="218"/>
      <c r="EC70" s="218"/>
      <c r="ED70" s="218"/>
      <c r="EE70" s="218"/>
      <c r="EF70" s="223">
        <f t="shared" ref="EF70:EI70" si="125">AH70+AP70+AX70+BF70+BN70+BV70+CD70+CL70+CT70+DB70+DJ70+DR70+DZ70</f>
        <v>0</v>
      </c>
      <c r="EG70" s="223">
        <f t="shared" si="125"/>
        <v>0</v>
      </c>
      <c r="EH70" s="223">
        <f t="shared" si="125"/>
        <v>0</v>
      </c>
      <c r="EI70" s="223">
        <f t="shared" si="125"/>
        <v>0</v>
      </c>
      <c r="EJ70" s="223" t="e">
        <f>#REF!+AT70+BB70+BJ70+BR70+BZ70+CH70+CP70+CX70+DF70+DN70+DV70+ED70</f>
        <v>#REF!</v>
      </c>
      <c r="EK70" s="223" t="e">
        <f t="shared" si="111"/>
        <v>#REF!</v>
      </c>
      <c r="EL70" s="218">
        <f t="shared" si="112"/>
        <v>0</v>
      </c>
      <c r="EM70" s="218">
        <f t="shared" si="113"/>
        <v>0</v>
      </c>
      <c r="EN70" s="223" t="e">
        <f t="shared" si="114"/>
        <v>#REF!</v>
      </c>
      <c r="EO70" s="226" t="e">
        <f t="shared" si="115"/>
        <v>#REF!</v>
      </c>
      <c r="ER70" s="251"/>
      <c r="EU70" s="220"/>
    </row>
    <row r="71" s="200" customFormat="1" customHeight="1" spans="1:151">
      <c r="A71" s="309"/>
      <c r="B71" s="230">
        <v>23</v>
      </c>
      <c r="C71" s="218" t="s">
        <v>853</v>
      </c>
      <c r="E71" s="220" t="s">
        <v>405</v>
      </c>
      <c r="J71" s="270" t="s">
        <v>854</v>
      </c>
      <c r="K71" s="221">
        <v>15816200780</v>
      </c>
      <c r="N71" s="207"/>
      <c r="O71" s="207" t="s">
        <v>855</v>
      </c>
      <c r="P71" s="200" t="s">
        <v>856</v>
      </c>
      <c r="Q71" s="200" t="s">
        <v>408</v>
      </c>
      <c r="W71" s="207"/>
      <c r="X71" s="200" t="s">
        <v>857</v>
      </c>
      <c r="Y71" s="207" t="s">
        <v>858</v>
      </c>
      <c r="Z71" s="218"/>
      <c r="AA71" s="218">
        <v>125</v>
      </c>
      <c r="AB71" s="218">
        <f t="shared" si="117"/>
        <v>86</v>
      </c>
      <c r="AC71" s="218">
        <v>7</v>
      </c>
      <c r="AD71" s="218">
        <v>79</v>
      </c>
      <c r="AE71" s="218">
        <v>18</v>
      </c>
      <c r="AF71" s="222">
        <f t="shared" si="81"/>
        <v>430</v>
      </c>
      <c r="AG71" s="311">
        <v>46084</v>
      </c>
      <c r="AH71" s="325">
        <v>5</v>
      </c>
      <c r="AI71" s="326">
        <v>5</v>
      </c>
      <c r="AJ71" s="326">
        <v>5</v>
      </c>
      <c r="AK71" s="326">
        <v>5</v>
      </c>
      <c r="AL71" s="327"/>
      <c r="AM71" s="312">
        <f t="shared" si="82"/>
        <v>20</v>
      </c>
      <c r="AN71" s="245">
        <f t="shared" si="122"/>
        <v>0.744186046511628</v>
      </c>
      <c r="AO71" s="252">
        <v>46098</v>
      </c>
      <c r="AP71" s="325">
        <v>24</v>
      </c>
      <c r="AQ71" s="326">
        <v>25</v>
      </c>
      <c r="AR71" s="326">
        <v>25</v>
      </c>
      <c r="AS71" s="326">
        <v>25</v>
      </c>
      <c r="AT71" s="326"/>
      <c r="AU71" s="312">
        <f t="shared" si="78"/>
        <v>99</v>
      </c>
      <c r="AV71" s="316">
        <f t="shared" si="118"/>
        <v>3.68372093023256</v>
      </c>
      <c r="AW71" s="311">
        <v>46121</v>
      </c>
      <c r="AX71" s="325">
        <v>24</v>
      </c>
      <c r="AY71" s="326">
        <v>25</v>
      </c>
      <c r="AZ71" s="326">
        <v>25</v>
      </c>
      <c r="BA71" s="326">
        <v>25</v>
      </c>
      <c r="BB71" s="326"/>
      <c r="BC71" s="312">
        <f t="shared" si="102"/>
        <v>99</v>
      </c>
      <c r="BD71" s="316">
        <f t="shared" si="103"/>
        <v>3.68372093023256</v>
      </c>
      <c r="BE71" s="249">
        <f>AW71+BD71*7</f>
        <v>46146.7860465116</v>
      </c>
      <c r="BF71" s="331"/>
      <c r="BG71" s="332"/>
      <c r="BH71" s="332"/>
      <c r="BI71" s="332"/>
      <c r="BJ71" s="332"/>
      <c r="BK71" s="247">
        <f t="shared" si="119"/>
        <v>0</v>
      </c>
      <c r="BL71" s="248">
        <f t="shared" si="120"/>
        <v>0</v>
      </c>
      <c r="BM71" s="227"/>
      <c r="BN71" s="224"/>
      <c r="BO71" s="218"/>
      <c r="BP71" s="218"/>
      <c r="BQ71" s="218"/>
      <c r="BR71" s="218"/>
      <c r="BS71" s="315"/>
      <c r="BT71" s="336">
        <f t="shared" si="105"/>
        <v>0</v>
      </c>
      <c r="BU71" s="249"/>
      <c r="BV71" s="224"/>
      <c r="BW71" s="218"/>
      <c r="BX71" s="218"/>
      <c r="BY71" s="218"/>
      <c r="BZ71" s="218"/>
      <c r="CA71" s="315"/>
      <c r="CB71" s="319">
        <f t="shared" si="106"/>
        <v>0</v>
      </c>
      <c r="CC71" s="249"/>
      <c r="CD71" s="224"/>
      <c r="CE71" s="218"/>
      <c r="CF71" s="218"/>
      <c r="CG71" s="218"/>
      <c r="CH71" s="218"/>
      <c r="CI71" s="218"/>
      <c r="CJ71" s="245">
        <f t="shared" si="107"/>
        <v>0</v>
      </c>
      <c r="CK71" s="246"/>
      <c r="CL71" s="224"/>
      <c r="CM71" s="218"/>
      <c r="CN71" s="218"/>
      <c r="CO71" s="218"/>
      <c r="CP71" s="218"/>
      <c r="CQ71" s="218"/>
      <c r="CR71" s="245">
        <f t="shared" si="108"/>
        <v>0</v>
      </c>
      <c r="CS71" s="246"/>
      <c r="CT71" s="224"/>
      <c r="CU71" s="218"/>
      <c r="CV71" s="218"/>
      <c r="CW71" s="218"/>
      <c r="CX71" s="218"/>
      <c r="CY71" s="218"/>
      <c r="CZ71" s="245">
        <f t="shared" si="109"/>
        <v>0</v>
      </c>
      <c r="DA71" s="218"/>
      <c r="DB71" s="224"/>
      <c r="DC71" s="218"/>
      <c r="DD71" s="218"/>
      <c r="DE71" s="218"/>
      <c r="DF71" s="218"/>
      <c r="DG71" s="218"/>
      <c r="DH71" s="218"/>
      <c r="DI71" s="218"/>
      <c r="DJ71" s="218"/>
      <c r="DK71" s="218"/>
      <c r="DL71" s="218"/>
      <c r="DM71" s="218"/>
      <c r="DN71" s="218"/>
      <c r="DO71" s="218"/>
      <c r="DP71" s="218"/>
      <c r="DQ71" s="227"/>
      <c r="DR71" s="224"/>
      <c r="DS71" s="218"/>
      <c r="DT71" s="218"/>
      <c r="DU71" s="218"/>
      <c r="DV71" s="218"/>
      <c r="DW71" s="218"/>
      <c r="DX71" s="218"/>
      <c r="DY71" s="218"/>
      <c r="DZ71" s="218"/>
      <c r="EA71" s="218"/>
      <c r="EB71" s="218"/>
      <c r="EC71" s="218"/>
      <c r="ED71" s="218"/>
      <c r="EE71" s="218"/>
      <c r="EF71" s="223">
        <f t="shared" ref="EF71:EI71" si="126">AH71+AP71+AX71+BF71+BN71+BV71+CD71+CL71+CT71+DB71+DJ71+DR71+DZ71</f>
        <v>53</v>
      </c>
      <c r="EG71" s="223">
        <f t="shared" si="126"/>
        <v>55</v>
      </c>
      <c r="EH71" s="223">
        <f t="shared" si="126"/>
        <v>55</v>
      </c>
      <c r="EI71" s="223">
        <f t="shared" si="126"/>
        <v>55</v>
      </c>
      <c r="EJ71" s="223">
        <f>AL70+AT71+BB71+BJ71+BR71+BZ71+CH71+CP71+CX71+DF71+DN71+DV71+ED71</f>
        <v>0</v>
      </c>
      <c r="EK71" s="223">
        <f t="shared" si="111"/>
        <v>218</v>
      </c>
      <c r="EL71" s="218">
        <f t="shared" si="112"/>
        <v>8600</v>
      </c>
      <c r="EM71" s="218">
        <f t="shared" si="113"/>
        <v>537.5</v>
      </c>
      <c r="EN71" s="223">
        <f t="shared" si="114"/>
        <v>218</v>
      </c>
      <c r="EO71" s="226">
        <f t="shared" si="115"/>
        <v>319.5</v>
      </c>
      <c r="ER71" s="251"/>
      <c r="EU71" s="220"/>
    </row>
    <row r="72" s="200" customFormat="1" customHeight="1" spans="1:151">
      <c r="A72" s="309"/>
      <c r="B72" s="230">
        <v>24</v>
      </c>
      <c r="C72" s="218" t="s">
        <v>859</v>
      </c>
      <c r="J72" s="200" t="s">
        <v>860</v>
      </c>
      <c r="K72" s="207">
        <v>13620586779</v>
      </c>
      <c r="N72" s="207"/>
      <c r="O72" s="207"/>
      <c r="W72" s="207"/>
      <c r="Y72" s="207"/>
      <c r="Z72" s="218"/>
      <c r="AA72" s="218">
        <v>125</v>
      </c>
      <c r="AB72" s="242">
        <f t="shared" si="117"/>
        <v>0</v>
      </c>
      <c r="AC72" s="218"/>
      <c r="AD72" s="218"/>
      <c r="AE72" s="218"/>
      <c r="AF72" s="222">
        <f t="shared" si="81"/>
        <v>0</v>
      </c>
      <c r="AG72" s="333">
        <v>46090</v>
      </c>
      <c r="AH72" s="315">
        <v>0</v>
      </c>
      <c r="AI72" s="315"/>
      <c r="AJ72" s="223"/>
      <c r="AK72" s="223"/>
      <c r="AL72" s="315"/>
      <c r="AM72" s="315">
        <f t="shared" si="82"/>
        <v>0</v>
      </c>
      <c r="AN72" s="245" t="e">
        <f t="shared" si="122"/>
        <v>#DIV/0!</v>
      </c>
      <c r="AO72" s="218"/>
      <c r="AP72" s="224"/>
      <c r="AQ72" s="218"/>
      <c r="AR72" s="218"/>
      <c r="AS72" s="218"/>
      <c r="AT72" s="218"/>
      <c r="AU72" s="315">
        <f t="shared" si="78"/>
        <v>0</v>
      </c>
      <c r="AV72" s="316" t="e">
        <f t="shared" si="118"/>
        <v>#DIV/0!</v>
      </c>
      <c r="AW72" s="218"/>
      <c r="AX72" s="224"/>
      <c r="AY72" s="218"/>
      <c r="AZ72" s="218"/>
      <c r="BA72" s="218"/>
      <c r="BB72" s="218"/>
      <c r="BC72" s="315">
        <f t="shared" si="102"/>
        <v>0</v>
      </c>
      <c r="BD72" s="316" t="e">
        <f t="shared" si="103"/>
        <v>#DIV/0!</v>
      </c>
      <c r="BE72" s="333"/>
      <c r="BF72" s="224"/>
      <c r="BG72" s="218"/>
      <c r="BH72" s="218"/>
      <c r="BI72" s="218"/>
      <c r="BJ72" s="218"/>
      <c r="BK72" s="247">
        <f t="shared" si="119"/>
        <v>0</v>
      </c>
      <c r="BL72" s="248" t="e">
        <f t="shared" si="120"/>
        <v>#DIV/0!</v>
      </c>
      <c r="BM72" s="227"/>
      <c r="BN72" s="224"/>
      <c r="BO72" s="218"/>
      <c r="BP72" s="218"/>
      <c r="BQ72" s="218"/>
      <c r="BR72" s="218"/>
      <c r="BS72" s="315"/>
      <c r="BT72" s="336" t="e">
        <f t="shared" si="105"/>
        <v>#DIV/0!</v>
      </c>
      <c r="BU72" s="218"/>
      <c r="BV72" s="224"/>
      <c r="BW72" s="218"/>
      <c r="BX72" s="218"/>
      <c r="BY72" s="218"/>
      <c r="BZ72" s="218"/>
      <c r="CA72" s="315"/>
      <c r="CB72" s="319" t="e">
        <f t="shared" si="106"/>
        <v>#DIV/0!</v>
      </c>
      <c r="CC72" s="218"/>
      <c r="CD72" s="224"/>
      <c r="CE72" s="218"/>
      <c r="CF72" s="218"/>
      <c r="CG72" s="218"/>
      <c r="CH72" s="218"/>
      <c r="CI72" s="218"/>
      <c r="CJ72" s="245" t="e">
        <f t="shared" si="107"/>
        <v>#DIV/0!</v>
      </c>
      <c r="CK72" s="218"/>
      <c r="CL72" s="224"/>
      <c r="CM72" s="218"/>
      <c r="CN72" s="218"/>
      <c r="CO72" s="218"/>
      <c r="CP72" s="218"/>
      <c r="CQ72" s="218"/>
      <c r="CR72" s="245" t="e">
        <f t="shared" si="108"/>
        <v>#DIV/0!</v>
      </c>
      <c r="CS72" s="218"/>
      <c r="CT72" s="224"/>
      <c r="CU72" s="218"/>
      <c r="CV72" s="218"/>
      <c r="CW72" s="218"/>
      <c r="CX72" s="218"/>
      <c r="CY72" s="218"/>
      <c r="CZ72" s="245" t="e">
        <f t="shared" si="109"/>
        <v>#DIV/0!</v>
      </c>
      <c r="DA72" s="218"/>
      <c r="DB72" s="224"/>
      <c r="DC72" s="218"/>
      <c r="DD72" s="218"/>
      <c r="DE72" s="218"/>
      <c r="DF72" s="218"/>
      <c r="DG72" s="218"/>
      <c r="DH72" s="218"/>
      <c r="DI72" s="218"/>
      <c r="DJ72" s="218"/>
      <c r="DK72" s="218"/>
      <c r="DL72" s="218"/>
      <c r="DM72" s="218"/>
      <c r="DN72" s="218"/>
      <c r="DO72" s="218"/>
      <c r="DP72" s="218"/>
      <c r="DQ72" s="227"/>
      <c r="DR72" s="224"/>
      <c r="DS72" s="218"/>
      <c r="DT72" s="218"/>
      <c r="DU72" s="218"/>
      <c r="DV72" s="218"/>
      <c r="DW72" s="218"/>
      <c r="DX72" s="218"/>
      <c r="DY72" s="218"/>
      <c r="DZ72" s="218"/>
      <c r="EA72" s="218"/>
      <c r="EB72" s="218"/>
      <c r="EC72" s="218"/>
      <c r="ED72" s="218"/>
      <c r="EE72" s="218"/>
      <c r="EF72" s="223">
        <f t="shared" ref="EF72:EJ72" si="127">AH72+AP72+AX72+BF72+BN72+BV72+CD72+CL72+CT72+DB72+DJ72+DR72+DZ72</f>
        <v>0</v>
      </c>
      <c r="EG72" s="223">
        <f t="shared" si="127"/>
        <v>0</v>
      </c>
      <c r="EH72" s="223">
        <f t="shared" si="127"/>
        <v>0</v>
      </c>
      <c r="EI72" s="223">
        <f t="shared" si="127"/>
        <v>0</v>
      </c>
      <c r="EJ72" s="223">
        <f t="shared" si="127"/>
        <v>0</v>
      </c>
      <c r="EK72" s="223">
        <f t="shared" si="111"/>
        <v>0</v>
      </c>
      <c r="EL72" s="218">
        <f t="shared" si="112"/>
        <v>0</v>
      </c>
      <c r="EM72" s="218">
        <f t="shared" si="113"/>
        <v>0</v>
      </c>
      <c r="EN72" s="223">
        <f t="shared" si="114"/>
        <v>0</v>
      </c>
      <c r="EO72" s="226">
        <f t="shared" si="115"/>
        <v>0</v>
      </c>
      <c r="ER72" s="251"/>
      <c r="EU72" s="220"/>
    </row>
    <row r="73" s="200" customFormat="1" ht="18" customHeight="1" spans="1:151">
      <c r="A73" s="309"/>
      <c r="B73" s="230">
        <v>25</v>
      </c>
      <c r="C73" s="219" t="s">
        <v>166</v>
      </c>
      <c r="D73" s="220" t="s">
        <v>13</v>
      </c>
      <c r="E73" s="220" t="s">
        <v>405</v>
      </c>
      <c r="F73" s="220" t="s">
        <v>167</v>
      </c>
      <c r="G73" s="221" t="s">
        <v>168</v>
      </c>
      <c r="H73" s="221" t="s">
        <v>169</v>
      </c>
      <c r="I73" s="220">
        <v>68892</v>
      </c>
      <c r="J73" s="220" t="s">
        <v>170</v>
      </c>
      <c r="K73" s="221" t="s">
        <v>171</v>
      </c>
      <c r="L73" s="220">
        <v>679352</v>
      </c>
      <c r="N73" s="207"/>
      <c r="O73" s="207" t="s">
        <v>600</v>
      </c>
      <c r="Q73" s="200" t="s">
        <v>408</v>
      </c>
      <c r="W73" s="207"/>
      <c r="X73" s="200" t="s">
        <v>861</v>
      </c>
      <c r="Y73" s="207" t="s">
        <v>862</v>
      </c>
      <c r="Z73" s="218"/>
      <c r="AA73" s="218">
        <v>200</v>
      </c>
      <c r="AB73" s="218">
        <f t="shared" si="117"/>
        <v>29</v>
      </c>
      <c r="AC73" s="218">
        <v>9</v>
      </c>
      <c r="AD73" s="218">
        <v>20</v>
      </c>
      <c r="AE73" s="218"/>
      <c r="AF73" s="222">
        <f t="shared" si="81"/>
        <v>145</v>
      </c>
      <c r="AG73" s="311">
        <v>46084</v>
      </c>
      <c r="AH73" s="325">
        <v>2</v>
      </c>
      <c r="AI73" s="326">
        <v>2</v>
      </c>
      <c r="AJ73" s="326">
        <v>2</v>
      </c>
      <c r="AK73" s="326">
        <v>2</v>
      </c>
      <c r="AL73" s="326">
        <v>2</v>
      </c>
      <c r="AM73" s="312">
        <f t="shared" si="82"/>
        <v>10</v>
      </c>
      <c r="AN73" s="245">
        <f t="shared" si="122"/>
        <v>1.10344827586207</v>
      </c>
      <c r="AO73" s="252">
        <v>46097</v>
      </c>
      <c r="AP73" s="325">
        <v>5</v>
      </c>
      <c r="AQ73" s="326">
        <v>5</v>
      </c>
      <c r="AR73" s="326">
        <v>5</v>
      </c>
      <c r="AS73" s="326">
        <v>5</v>
      </c>
      <c r="AT73" s="326">
        <v>5</v>
      </c>
      <c r="AU73" s="312">
        <f t="shared" si="78"/>
        <v>25</v>
      </c>
      <c r="AV73" s="316">
        <f t="shared" si="118"/>
        <v>2.75862068965517</v>
      </c>
      <c r="AW73" s="311">
        <v>46098</v>
      </c>
      <c r="AX73" s="325">
        <v>10</v>
      </c>
      <c r="AY73" s="326">
        <v>5</v>
      </c>
      <c r="AZ73" s="326">
        <v>5</v>
      </c>
      <c r="BA73" s="326">
        <v>5</v>
      </c>
      <c r="BB73" s="326">
        <v>5</v>
      </c>
      <c r="BC73" s="312">
        <f t="shared" si="102"/>
        <v>30</v>
      </c>
      <c r="BD73" s="316">
        <f t="shared" si="103"/>
        <v>3.31034482758621</v>
      </c>
      <c r="BE73" s="345">
        <v>46125</v>
      </c>
      <c r="BF73" s="339">
        <v>8</v>
      </c>
      <c r="BG73" s="340">
        <v>5</v>
      </c>
      <c r="BH73" s="340">
        <v>5</v>
      </c>
      <c r="BI73" s="340">
        <v>5</v>
      </c>
      <c r="BJ73" s="340">
        <v>5</v>
      </c>
      <c r="BK73" s="258">
        <f t="shared" si="119"/>
        <v>28</v>
      </c>
      <c r="BL73" s="248">
        <f t="shared" si="120"/>
        <v>3.08965517241379</v>
      </c>
      <c r="BM73" s="246">
        <f t="shared" ref="BM73:BM76" si="128">BE73+BL73*7</f>
        <v>46146.6275862069</v>
      </c>
      <c r="BN73" s="224"/>
      <c r="BO73" s="218"/>
      <c r="BP73" s="218"/>
      <c r="BQ73" s="218"/>
      <c r="BR73" s="218"/>
      <c r="BS73" s="315"/>
      <c r="BT73" s="336">
        <f t="shared" si="105"/>
        <v>0</v>
      </c>
      <c r="BU73" s="246"/>
      <c r="BV73" s="224"/>
      <c r="BW73" s="218"/>
      <c r="BX73" s="218"/>
      <c r="BY73" s="218"/>
      <c r="BZ73" s="218"/>
      <c r="CA73" s="315"/>
      <c r="CB73" s="319">
        <f t="shared" si="106"/>
        <v>0</v>
      </c>
      <c r="CC73" s="249"/>
      <c r="CD73" s="224"/>
      <c r="CE73" s="218"/>
      <c r="CF73" s="218"/>
      <c r="CG73" s="218"/>
      <c r="CH73" s="218"/>
      <c r="CI73" s="218"/>
      <c r="CJ73" s="245">
        <f t="shared" si="107"/>
        <v>0</v>
      </c>
      <c r="CK73" s="249"/>
      <c r="CL73" s="224"/>
      <c r="CM73" s="218"/>
      <c r="CN73" s="218"/>
      <c r="CO73" s="218"/>
      <c r="CP73" s="218"/>
      <c r="CQ73" s="218"/>
      <c r="CR73" s="245">
        <f t="shared" si="108"/>
        <v>0</v>
      </c>
      <c r="CS73" s="249"/>
      <c r="CT73" s="224"/>
      <c r="CU73" s="218"/>
      <c r="CV73" s="218"/>
      <c r="CW73" s="218"/>
      <c r="CX73" s="218"/>
      <c r="CY73" s="218"/>
      <c r="CZ73" s="245">
        <f t="shared" si="109"/>
        <v>0</v>
      </c>
      <c r="DA73" s="218"/>
      <c r="DB73" s="224"/>
      <c r="DC73" s="218"/>
      <c r="DD73" s="218"/>
      <c r="DE73" s="218"/>
      <c r="DF73" s="218"/>
      <c r="DG73" s="218"/>
      <c r="DH73" s="218"/>
      <c r="DI73" s="218"/>
      <c r="DJ73" s="218"/>
      <c r="DK73" s="218"/>
      <c r="DL73" s="218"/>
      <c r="DM73" s="218"/>
      <c r="DN73" s="218"/>
      <c r="DO73" s="218"/>
      <c r="DP73" s="218"/>
      <c r="DQ73" s="227"/>
      <c r="DR73" s="224"/>
      <c r="DS73" s="218"/>
      <c r="DT73" s="218"/>
      <c r="DU73" s="218"/>
      <c r="DV73" s="218"/>
      <c r="DW73" s="218"/>
      <c r="DX73" s="218"/>
      <c r="DY73" s="218"/>
      <c r="DZ73" s="218"/>
      <c r="EA73" s="218"/>
      <c r="EB73" s="218"/>
      <c r="EC73" s="218"/>
      <c r="ED73" s="218"/>
      <c r="EE73" s="218"/>
      <c r="EF73" s="223">
        <f t="shared" ref="EF73:EJ73" si="129">AH73+AP73+AX73+BF73+BN73+BV73+CD73+CL73+CT73+DB73+DJ73+DR73+DZ73</f>
        <v>25</v>
      </c>
      <c r="EG73" s="223">
        <f t="shared" si="129"/>
        <v>17</v>
      </c>
      <c r="EH73" s="223">
        <f t="shared" si="129"/>
        <v>17</v>
      </c>
      <c r="EI73" s="223">
        <f t="shared" si="129"/>
        <v>17</v>
      </c>
      <c r="EJ73" s="223">
        <f t="shared" si="129"/>
        <v>17</v>
      </c>
      <c r="EK73" s="223">
        <f t="shared" si="111"/>
        <v>93</v>
      </c>
      <c r="EL73" s="218">
        <f t="shared" si="112"/>
        <v>2900</v>
      </c>
      <c r="EM73" s="218">
        <f t="shared" si="113"/>
        <v>181.25</v>
      </c>
      <c r="EN73" s="223">
        <f t="shared" si="114"/>
        <v>93</v>
      </c>
      <c r="EO73" s="226">
        <f t="shared" si="115"/>
        <v>88.25</v>
      </c>
      <c r="ER73" s="251"/>
      <c r="EU73" s="220"/>
    </row>
    <row r="74" s="200" customFormat="1" customHeight="1" spans="1:151">
      <c r="A74" s="346"/>
      <c r="B74" s="230">
        <v>26</v>
      </c>
      <c r="C74" s="218" t="s">
        <v>863</v>
      </c>
      <c r="G74" s="200" t="s">
        <v>864</v>
      </c>
      <c r="H74" s="207" t="s">
        <v>865</v>
      </c>
      <c r="J74" s="200" t="s">
        <v>854</v>
      </c>
      <c r="K74" s="207" t="s">
        <v>865</v>
      </c>
      <c r="N74" s="207"/>
      <c r="O74" s="207"/>
      <c r="V74" s="200" t="s">
        <v>866</v>
      </c>
      <c r="W74" s="207" t="s">
        <v>867</v>
      </c>
      <c r="X74" s="200" t="s">
        <v>866</v>
      </c>
      <c r="Y74" s="207" t="s">
        <v>867</v>
      </c>
      <c r="Z74" s="218"/>
      <c r="AA74" s="218">
        <v>125</v>
      </c>
      <c r="AB74" s="218">
        <f t="shared" si="117"/>
        <v>19</v>
      </c>
      <c r="AC74" s="218">
        <v>1</v>
      </c>
      <c r="AD74" s="218">
        <v>18</v>
      </c>
      <c r="AE74" s="218">
        <v>4</v>
      </c>
      <c r="AF74" s="222">
        <f t="shared" si="81"/>
        <v>95</v>
      </c>
      <c r="AG74" s="311">
        <v>46084</v>
      </c>
      <c r="AH74" s="312">
        <v>1</v>
      </c>
      <c r="AI74" s="312">
        <v>1</v>
      </c>
      <c r="AJ74" s="279">
        <v>1</v>
      </c>
      <c r="AK74" s="279">
        <v>1</v>
      </c>
      <c r="AL74" s="312">
        <v>0</v>
      </c>
      <c r="AM74" s="312">
        <f t="shared" si="82"/>
        <v>4</v>
      </c>
      <c r="AN74" s="245">
        <f t="shared" si="122"/>
        <v>0.673684210526316</v>
      </c>
      <c r="AO74" s="252">
        <v>46097</v>
      </c>
      <c r="AP74" s="253">
        <v>4</v>
      </c>
      <c r="AQ74" s="254">
        <v>4</v>
      </c>
      <c r="AR74" s="254">
        <v>4</v>
      </c>
      <c r="AS74" s="254">
        <v>4</v>
      </c>
      <c r="AT74" s="254"/>
      <c r="AU74" s="312">
        <f t="shared" si="78"/>
        <v>16</v>
      </c>
      <c r="AV74" s="316">
        <f t="shared" si="118"/>
        <v>2.69473684210526</v>
      </c>
      <c r="AW74" s="252">
        <v>46107</v>
      </c>
      <c r="AX74" s="253">
        <v>4</v>
      </c>
      <c r="AY74" s="254">
        <v>4</v>
      </c>
      <c r="AZ74" s="254">
        <v>4</v>
      </c>
      <c r="BA74" s="254">
        <v>4</v>
      </c>
      <c r="BB74" s="254"/>
      <c r="BC74" s="312">
        <f t="shared" si="102"/>
        <v>16</v>
      </c>
      <c r="BD74" s="316">
        <f t="shared" si="103"/>
        <v>2.69473684210526</v>
      </c>
      <c r="BE74" s="347">
        <v>46119</v>
      </c>
      <c r="BF74" s="256">
        <v>5</v>
      </c>
      <c r="BG74" s="257">
        <v>5</v>
      </c>
      <c r="BH74" s="257">
        <v>5</v>
      </c>
      <c r="BI74" s="257">
        <v>5</v>
      </c>
      <c r="BJ74" s="257"/>
      <c r="BK74" s="258">
        <f t="shared" si="119"/>
        <v>20</v>
      </c>
      <c r="BL74" s="248">
        <f t="shared" si="120"/>
        <v>3.36842105263158</v>
      </c>
      <c r="BM74" s="246">
        <f t="shared" si="128"/>
        <v>46142.5789473684</v>
      </c>
      <c r="BN74" s="224"/>
      <c r="BO74" s="218"/>
      <c r="BP74" s="218"/>
      <c r="BQ74" s="218"/>
      <c r="BR74" s="218"/>
      <c r="BS74" s="315"/>
      <c r="BT74" s="336">
        <f t="shared" si="105"/>
        <v>0</v>
      </c>
      <c r="BU74" s="249"/>
      <c r="BV74" s="224"/>
      <c r="BW74" s="218"/>
      <c r="BX74" s="218"/>
      <c r="BY74" s="218"/>
      <c r="BZ74" s="218"/>
      <c r="CA74" s="315"/>
      <c r="CB74" s="319">
        <f t="shared" si="106"/>
        <v>0</v>
      </c>
      <c r="CC74" s="249"/>
      <c r="CD74" s="224"/>
      <c r="CE74" s="218"/>
      <c r="CF74" s="218"/>
      <c r="CG74" s="218"/>
      <c r="CH74" s="218"/>
      <c r="CI74" s="218"/>
      <c r="CJ74" s="245">
        <f t="shared" si="107"/>
        <v>0</v>
      </c>
      <c r="CK74" s="249"/>
      <c r="CL74" s="224"/>
      <c r="CM74" s="218"/>
      <c r="CN74" s="218"/>
      <c r="CO74" s="218"/>
      <c r="CP74" s="218"/>
      <c r="CQ74" s="218"/>
      <c r="CR74" s="245">
        <f t="shared" si="108"/>
        <v>0</v>
      </c>
      <c r="CS74" s="249"/>
      <c r="CT74" s="224"/>
      <c r="CU74" s="218"/>
      <c r="CV74" s="218"/>
      <c r="CW74" s="218"/>
      <c r="CX74" s="218"/>
      <c r="CY74" s="218"/>
      <c r="CZ74" s="348">
        <v>45995</v>
      </c>
      <c r="DA74" s="349"/>
      <c r="DB74" s="349"/>
      <c r="DC74" s="350"/>
      <c r="DD74" s="350"/>
      <c r="DE74" s="350"/>
      <c r="DF74" s="315"/>
      <c r="DG74" s="319"/>
      <c r="DH74" s="351"/>
      <c r="DI74" s="352"/>
      <c r="DJ74" s="353"/>
      <c r="DK74" s="354"/>
      <c r="DL74" s="354"/>
      <c r="DM74" s="354"/>
      <c r="DN74" s="354"/>
      <c r="DO74" s="315"/>
      <c r="DP74" s="316"/>
      <c r="DQ74" s="355"/>
      <c r="DR74" s="224"/>
      <c r="DS74" s="218"/>
      <c r="DT74" s="218"/>
      <c r="DU74" s="218"/>
      <c r="DV74" s="218"/>
      <c r="DW74" s="315">
        <f>DR74+DS74+DT74+DU74+DV74</f>
        <v>0</v>
      </c>
      <c r="DX74" s="242" t="s">
        <v>868</v>
      </c>
      <c r="DY74" s="218"/>
      <c r="DZ74" s="218"/>
      <c r="EA74" s="218"/>
      <c r="EB74" s="218"/>
      <c r="EC74" s="218"/>
      <c r="ED74" s="218"/>
      <c r="EE74" s="218"/>
      <c r="EF74" s="223">
        <f t="shared" ref="EF74:EH74" si="130">AH74+AP74+AX74+BF74+BN74+BV74+CD74+CL74+CT74+DB74+DJ74+DR74+DZ74</f>
        <v>14</v>
      </c>
      <c r="EG74" s="223">
        <f t="shared" si="130"/>
        <v>14</v>
      </c>
      <c r="EH74" s="223">
        <f t="shared" si="130"/>
        <v>14</v>
      </c>
      <c r="EI74" s="223">
        <v>37.25</v>
      </c>
      <c r="EJ74" s="223"/>
      <c r="EK74" s="223">
        <f t="shared" si="111"/>
        <v>79.25</v>
      </c>
      <c r="EL74" s="218">
        <f t="shared" si="112"/>
        <v>1900</v>
      </c>
      <c r="EM74" s="218">
        <f t="shared" si="113"/>
        <v>118.75</v>
      </c>
      <c r="EN74" s="223">
        <f t="shared" si="114"/>
        <v>79.25</v>
      </c>
      <c r="EO74" s="226">
        <f t="shared" si="115"/>
        <v>39.5</v>
      </c>
      <c r="ER74" s="251"/>
      <c r="EU74" s="220"/>
    </row>
    <row r="75" s="203" customFormat="1" customHeight="1" spans="1:151">
      <c r="A75" s="356" t="s">
        <v>869</v>
      </c>
      <c r="B75" s="357">
        <v>1</v>
      </c>
      <c r="C75" s="358" t="s">
        <v>870</v>
      </c>
      <c r="D75" s="359" t="s">
        <v>13</v>
      </c>
      <c r="E75" s="359" t="s">
        <v>405</v>
      </c>
      <c r="F75" s="359" t="s">
        <v>120</v>
      </c>
      <c r="G75" s="359" t="s">
        <v>198</v>
      </c>
      <c r="H75" s="360">
        <v>13553988842</v>
      </c>
      <c r="I75" s="360"/>
      <c r="J75" s="359"/>
      <c r="K75" s="361"/>
      <c r="L75" s="360"/>
      <c r="M75" s="360"/>
      <c r="N75" s="361"/>
      <c r="O75" s="361" t="s">
        <v>844</v>
      </c>
      <c r="P75" s="362"/>
      <c r="Q75" s="362" t="s">
        <v>408</v>
      </c>
      <c r="R75" s="362" t="s">
        <v>418</v>
      </c>
      <c r="S75" s="362" t="s">
        <v>418</v>
      </c>
      <c r="T75" s="362"/>
      <c r="U75" s="362"/>
      <c r="V75" s="362" t="s">
        <v>871</v>
      </c>
      <c r="W75" s="362">
        <v>13620579152</v>
      </c>
      <c r="X75" s="362"/>
      <c r="Y75" s="363"/>
      <c r="Z75" s="354" t="s">
        <v>872</v>
      </c>
      <c r="AA75" s="354">
        <v>200</v>
      </c>
      <c r="AB75" s="218">
        <v>6</v>
      </c>
      <c r="AC75" s="354">
        <v>0</v>
      </c>
      <c r="AD75" s="354">
        <v>6</v>
      </c>
      <c r="AE75" s="354"/>
      <c r="AF75" s="364">
        <f t="shared" si="81"/>
        <v>30</v>
      </c>
      <c r="AG75" s="365">
        <v>46093</v>
      </c>
      <c r="AH75" s="281">
        <v>2</v>
      </c>
      <c r="AI75" s="366">
        <v>2</v>
      </c>
      <c r="AJ75" s="366">
        <v>2</v>
      </c>
      <c r="AK75" s="366">
        <v>2</v>
      </c>
      <c r="AL75" s="366">
        <v>2</v>
      </c>
      <c r="AM75" s="274">
        <f t="shared" si="82"/>
        <v>10</v>
      </c>
      <c r="AN75" s="245">
        <f t="shared" si="122"/>
        <v>5.33333333333333</v>
      </c>
      <c r="AO75" s="367">
        <v>46097</v>
      </c>
      <c r="AP75" s="368">
        <v>5</v>
      </c>
      <c r="AQ75" s="368"/>
      <c r="AR75" s="368"/>
      <c r="AS75" s="368"/>
      <c r="AT75" s="368"/>
      <c r="AU75" s="368">
        <v>5</v>
      </c>
      <c r="AV75" s="316">
        <f t="shared" si="118"/>
        <v>2.66666666666667</v>
      </c>
      <c r="AW75" s="271">
        <v>46115</v>
      </c>
      <c r="AX75" s="369"/>
      <c r="AY75" s="366">
        <v>2</v>
      </c>
      <c r="AZ75" s="366">
        <v>1</v>
      </c>
      <c r="BA75" s="366">
        <v>1</v>
      </c>
      <c r="BB75" s="366">
        <v>1</v>
      </c>
      <c r="BC75" s="330">
        <f t="shared" si="102"/>
        <v>5</v>
      </c>
      <c r="BD75" s="370">
        <f t="shared" si="103"/>
        <v>2.66666666666667</v>
      </c>
      <c r="BE75" s="255">
        <f t="shared" ref="BE75:BE80" si="131">AW75+BD75*7</f>
        <v>46133.6666666667</v>
      </c>
      <c r="BF75" s="371">
        <v>1</v>
      </c>
      <c r="BG75" s="372">
        <v>1</v>
      </c>
      <c r="BH75" s="372">
        <v>1</v>
      </c>
      <c r="BI75" s="372">
        <v>1</v>
      </c>
      <c r="BJ75" s="372">
        <v>1</v>
      </c>
      <c r="BK75" s="258">
        <f t="shared" si="119"/>
        <v>5</v>
      </c>
      <c r="BL75" s="248">
        <f t="shared" si="120"/>
        <v>2.66666666666667</v>
      </c>
      <c r="BM75" s="246">
        <f t="shared" si="128"/>
        <v>46152.3333333334</v>
      </c>
      <c r="BN75" s="373"/>
      <c r="BO75" s="354"/>
      <c r="BP75" s="354"/>
      <c r="BQ75" s="354"/>
      <c r="BR75" s="354"/>
      <c r="BS75" s="349"/>
      <c r="BT75" s="370">
        <f t="shared" si="105"/>
        <v>0</v>
      </c>
      <c r="BU75" s="374"/>
      <c r="BV75" s="373"/>
      <c r="BW75" s="354"/>
      <c r="BX75" s="354"/>
      <c r="BY75" s="354"/>
      <c r="BZ75" s="354"/>
      <c r="CA75" s="375"/>
      <c r="CB75" s="376"/>
      <c r="CC75" s="354"/>
      <c r="CD75" s="373"/>
      <c r="CE75" s="354"/>
      <c r="CF75" s="354"/>
      <c r="CG75" s="354"/>
      <c r="CH75" s="354"/>
      <c r="CI75" s="354"/>
      <c r="CJ75" s="376"/>
      <c r="CK75" s="354"/>
      <c r="CL75" s="373"/>
      <c r="CM75" s="354"/>
      <c r="CN75" s="354"/>
      <c r="CO75" s="354"/>
      <c r="CP75" s="354"/>
      <c r="CQ75" s="354"/>
      <c r="CR75" s="375"/>
      <c r="CS75" s="354"/>
      <c r="CT75" s="373"/>
      <c r="CU75" s="354"/>
      <c r="CV75" s="354"/>
      <c r="CW75" s="354"/>
      <c r="CX75" s="354"/>
      <c r="CY75" s="218"/>
      <c r="CZ75" s="245">
        <f t="shared" ref="CZ75:CZ85" si="132">CY75*16/AF75</f>
        <v>0</v>
      </c>
      <c r="DA75" s="354"/>
      <c r="DB75" s="373"/>
      <c r="DC75" s="354"/>
      <c r="DD75" s="354"/>
      <c r="DE75" s="354"/>
      <c r="DF75" s="354"/>
      <c r="DG75" s="364"/>
      <c r="DH75" s="354"/>
      <c r="DI75" s="354"/>
      <c r="DJ75" s="354"/>
      <c r="DK75" s="354"/>
      <c r="DL75" s="354"/>
      <c r="DM75" s="354"/>
      <c r="DN75" s="354"/>
      <c r="DO75" s="364"/>
      <c r="DP75" s="364"/>
      <c r="DQ75" s="377"/>
      <c r="DR75" s="373"/>
      <c r="DS75" s="354"/>
      <c r="DT75" s="354"/>
      <c r="DU75" s="354"/>
      <c r="DV75" s="354"/>
      <c r="DW75" s="364"/>
      <c r="DX75" s="364"/>
      <c r="DY75" s="354"/>
      <c r="DZ75" s="354"/>
      <c r="EA75" s="354"/>
      <c r="EB75" s="354"/>
      <c r="EC75" s="354"/>
      <c r="ED75" s="354"/>
      <c r="EE75" s="364"/>
      <c r="EF75" s="223" t="e">
        <f>#REF!+AH75+AX75+BF75+BN75+BV75+CD75+CL75+CT75+DB75+DJ75+DR75+DZ75</f>
        <v>#REF!</v>
      </c>
      <c r="EG75" s="223" t="e">
        <f>#REF!+AI75+AY75+BG75+BO75+BW75+CE75+CM75+CU75+DC75+DK75+DS75+EA75</f>
        <v>#REF!</v>
      </c>
      <c r="EH75" s="223" t="e">
        <f>#REF!+AJ75+AZ75+BH75+BP75+BX75+CF75+CN75+CV75+DD75+DL75+DT75+EB75</f>
        <v>#REF!</v>
      </c>
      <c r="EI75" s="223" t="e">
        <f>#REF!+AK75+BA75+BI75+BQ75+BY75+CG75+CO75+CW75+DE75+DM75+DU75+EC75</f>
        <v>#REF!</v>
      </c>
      <c r="EJ75" s="223" t="e">
        <f>#REF!+AL75+BB75+BJ75+BR75+BZ75+CH75+CP75+CX75+DF75+DN75+DV75+ED75</f>
        <v>#REF!</v>
      </c>
      <c r="EK75" s="223" t="e">
        <f t="shared" si="111"/>
        <v>#REF!</v>
      </c>
      <c r="EL75" s="218">
        <f t="shared" si="112"/>
        <v>600</v>
      </c>
      <c r="EM75" s="218">
        <f t="shared" si="113"/>
        <v>37.5</v>
      </c>
      <c r="EN75" s="223" t="e">
        <f t="shared" si="114"/>
        <v>#REF!</v>
      </c>
      <c r="EO75" s="226" t="e">
        <f t="shared" si="115"/>
        <v>#REF!</v>
      </c>
      <c r="ER75" s="378"/>
      <c r="EU75" s="379"/>
    </row>
    <row r="76" s="200" customFormat="1" customHeight="1" spans="1:151">
      <c r="A76" s="380"/>
      <c r="B76" s="381">
        <v>2</v>
      </c>
      <c r="C76" s="220" t="s">
        <v>873</v>
      </c>
      <c r="D76" s="220" t="s">
        <v>13</v>
      </c>
      <c r="E76" s="220" t="s">
        <v>405</v>
      </c>
      <c r="F76" s="220" t="s">
        <v>125</v>
      </c>
      <c r="G76" s="220" t="s">
        <v>202</v>
      </c>
      <c r="H76" s="221" t="s">
        <v>203</v>
      </c>
      <c r="I76" s="220">
        <v>639020</v>
      </c>
      <c r="J76" s="220" t="s">
        <v>204</v>
      </c>
      <c r="K76" s="220">
        <v>13553996633</v>
      </c>
      <c r="L76" s="220">
        <v>66633</v>
      </c>
      <c r="M76" s="239"/>
      <c r="N76" s="221"/>
      <c r="O76" s="221" t="s">
        <v>874</v>
      </c>
      <c r="Q76" s="200" t="s">
        <v>408</v>
      </c>
      <c r="R76" s="200" t="s">
        <v>418</v>
      </c>
      <c r="S76" s="200" t="s">
        <v>418</v>
      </c>
      <c r="V76" s="200" t="s">
        <v>875</v>
      </c>
      <c r="W76" s="200">
        <v>13729669700</v>
      </c>
      <c r="Y76" s="207"/>
      <c r="Z76" s="354" t="s">
        <v>875</v>
      </c>
      <c r="AA76" s="200">
        <v>200</v>
      </c>
      <c r="AB76" s="218">
        <f t="shared" si="117"/>
        <v>71</v>
      </c>
      <c r="AC76" s="382">
        <v>8</v>
      </c>
      <c r="AD76" s="382">
        <v>63</v>
      </c>
      <c r="AE76" s="382"/>
      <c r="AF76" s="364">
        <f t="shared" si="81"/>
        <v>355</v>
      </c>
      <c r="AG76" s="383">
        <v>46084</v>
      </c>
      <c r="AH76" s="244">
        <v>2</v>
      </c>
      <c r="AI76" s="244">
        <v>2</v>
      </c>
      <c r="AJ76" s="244">
        <v>2</v>
      </c>
      <c r="AK76" s="244">
        <v>2</v>
      </c>
      <c r="AL76" s="384">
        <v>2</v>
      </c>
      <c r="AM76" s="244">
        <f t="shared" si="82"/>
        <v>10</v>
      </c>
      <c r="AN76" s="245">
        <f t="shared" si="122"/>
        <v>0.450704225352113</v>
      </c>
      <c r="AO76" s="385">
        <v>46093</v>
      </c>
      <c r="AP76" s="386">
        <v>15</v>
      </c>
      <c r="AQ76" s="386">
        <v>15</v>
      </c>
      <c r="AR76" s="386">
        <v>15</v>
      </c>
      <c r="AS76" s="386">
        <v>15</v>
      </c>
      <c r="AT76" s="386">
        <v>15</v>
      </c>
      <c r="AU76" s="274">
        <f t="shared" ref="AU76:AU95" si="133">SUM(AP76:AT76)</f>
        <v>75</v>
      </c>
      <c r="AV76" s="248">
        <f t="shared" si="118"/>
        <v>3.38028169014084</v>
      </c>
      <c r="AW76" s="271">
        <v>46115</v>
      </c>
      <c r="AX76" s="387">
        <v>15</v>
      </c>
      <c r="AY76" s="388">
        <v>15</v>
      </c>
      <c r="AZ76" s="388">
        <v>15</v>
      </c>
      <c r="BA76" s="388">
        <v>15</v>
      </c>
      <c r="BB76" s="388">
        <v>15</v>
      </c>
      <c r="BC76" s="389">
        <f t="shared" ref="BC76:BC85" si="134">AX76+AY76+AZ76+BA76+BB76</f>
        <v>75</v>
      </c>
      <c r="BD76" s="248">
        <f t="shared" si="103"/>
        <v>3.38028169014084</v>
      </c>
      <c r="BE76" s="246">
        <f t="shared" si="131"/>
        <v>46138.661971831</v>
      </c>
      <c r="BF76" s="390"/>
      <c r="BK76" s="247">
        <f t="shared" si="119"/>
        <v>0</v>
      </c>
      <c r="BL76" s="248">
        <f t="shared" si="120"/>
        <v>0</v>
      </c>
      <c r="BM76" s="246">
        <f t="shared" si="128"/>
        <v>46138.661971831</v>
      </c>
      <c r="BN76" s="390"/>
      <c r="BS76" s="247"/>
      <c r="BT76" s="248">
        <f t="shared" si="105"/>
        <v>0</v>
      </c>
      <c r="BV76" s="390"/>
      <c r="CA76" s="245"/>
      <c r="CB76" s="248">
        <f t="shared" ref="CB76:CB85" si="135">CA76*16/AF76</f>
        <v>0</v>
      </c>
      <c r="CD76" s="390"/>
      <c r="CI76" s="245"/>
      <c r="CJ76" s="248">
        <f t="shared" ref="CJ76:CJ85" si="136">CI76*16/AF76</f>
        <v>0</v>
      </c>
      <c r="CL76" s="390"/>
      <c r="CQ76" s="245"/>
      <c r="CR76" s="248">
        <f t="shared" ref="CR76:CR85" si="137">CQ76*16/AF76</f>
        <v>0</v>
      </c>
      <c r="CT76" s="390"/>
      <c r="CY76" s="218"/>
      <c r="CZ76" s="245">
        <f t="shared" si="132"/>
        <v>0</v>
      </c>
      <c r="DB76" s="390"/>
      <c r="DG76" s="218"/>
      <c r="DO76" s="218"/>
      <c r="DP76" s="218"/>
      <c r="DQ76" s="391"/>
      <c r="DR76" s="390"/>
      <c r="DW76" s="218"/>
      <c r="DX76" s="218"/>
      <c r="EE76" s="218"/>
      <c r="EF76" s="223">
        <f t="shared" ref="EF76:EJ76" si="138">AH76+AP76+AX76+BF76+BN76+BV76+CD76+CL76+CT76+DB76+DJ76+DR76+DZ76</f>
        <v>32</v>
      </c>
      <c r="EG76" s="223">
        <f t="shared" si="138"/>
        <v>32</v>
      </c>
      <c r="EH76" s="223">
        <f t="shared" si="138"/>
        <v>32</v>
      </c>
      <c r="EI76" s="223">
        <f t="shared" si="138"/>
        <v>32</v>
      </c>
      <c r="EJ76" s="223">
        <f t="shared" si="138"/>
        <v>32</v>
      </c>
      <c r="EK76" s="223">
        <f t="shared" si="111"/>
        <v>160</v>
      </c>
      <c r="EL76" s="218">
        <f t="shared" si="112"/>
        <v>7100</v>
      </c>
      <c r="EM76" s="218">
        <f t="shared" si="113"/>
        <v>443.75</v>
      </c>
      <c r="EN76" s="223">
        <f t="shared" si="114"/>
        <v>160</v>
      </c>
      <c r="EO76" s="226">
        <f t="shared" si="115"/>
        <v>283.75</v>
      </c>
      <c r="ER76" s="251"/>
      <c r="EU76" s="220"/>
    </row>
    <row r="77" s="200" customFormat="1" customHeight="1" spans="1:151">
      <c r="A77" s="380"/>
      <c r="B77" s="357">
        <v>3</v>
      </c>
      <c r="C77" s="200" t="s">
        <v>876</v>
      </c>
      <c r="D77" s="220" t="s">
        <v>492</v>
      </c>
      <c r="E77" s="220" t="s">
        <v>405</v>
      </c>
      <c r="F77" s="220" t="s">
        <v>106</v>
      </c>
      <c r="G77" s="220"/>
      <c r="H77" s="239"/>
      <c r="I77" s="239"/>
      <c r="J77" s="200" t="s">
        <v>877</v>
      </c>
      <c r="K77" s="207" t="s">
        <v>878</v>
      </c>
      <c r="L77" s="239"/>
      <c r="M77" s="239"/>
      <c r="N77" s="221"/>
      <c r="O77" s="221"/>
      <c r="P77" s="200" t="s">
        <v>879</v>
      </c>
      <c r="Q77" s="200" t="s">
        <v>408</v>
      </c>
      <c r="W77" s="207"/>
      <c r="Y77" s="207"/>
      <c r="Z77" s="354" t="s">
        <v>880</v>
      </c>
      <c r="AA77" s="200">
        <v>125</v>
      </c>
      <c r="AB77" s="242">
        <v>2</v>
      </c>
      <c r="AC77" s="382"/>
      <c r="AD77" s="382">
        <v>2</v>
      </c>
      <c r="AE77" s="382"/>
      <c r="AF77" s="364">
        <f t="shared" si="81"/>
        <v>10</v>
      </c>
      <c r="AG77" s="392">
        <v>46119</v>
      </c>
      <c r="AH77" s="393"/>
      <c r="AI77" s="327">
        <v>1</v>
      </c>
      <c r="AJ77" s="327">
        <v>1</v>
      </c>
      <c r="AK77" s="327"/>
      <c r="AL77" s="327"/>
      <c r="AM77" s="394">
        <f t="shared" si="82"/>
        <v>2</v>
      </c>
      <c r="AN77" s="245">
        <f t="shared" si="122"/>
        <v>3.2</v>
      </c>
      <c r="AO77" s="246">
        <f>AG77+AN77*7</f>
        <v>46141.4</v>
      </c>
      <c r="AP77" s="390"/>
      <c r="AQ77" s="200"/>
      <c r="AR77" s="200"/>
      <c r="AU77" s="349"/>
      <c r="AV77" s="248">
        <f t="shared" si="118"/>
        <v>0</v>
      </c>
      <c r="AW77" s="395"/>
      <c r="AX77" s="396"/>
      <c r="BC77" s="397">
        <f t="shared" si="134"/>
        <v>0</v>
      </c>
      <c r="BD77" s="248">
        <f t="shared" si="103"/>
        <v>0</v>
      </c>
      <c r="BE77" s="395"/>
      <c r="BF77" s="390"/>
      <c r="BK77" s="247">
        <f t="shared" si="119"/>
        <v>0</v>
      </c>
      <c r="BL77" s="248">
        <f t="shared" si="120"/>
        <v>0</v>
      </c>
      <c r="BM77" s="395"/>
      <c r="BN77" s="390"/>
      <c r="BS77" s="247"/>
      <c r="BT77" s="248">
        <f t="shared" si="105"/>
        <v>0</v>
      </c>
      <c r="BU77" s="395"/>
      <c r="BV77" s="390"/>
      <c r="CA77" s="245"/>
      <c r="CB77" s="248">
        <f t="shared" si="135"/>
        <v>0</v>
      </c>
      <c r="CC77" s="246"/>
      <c r="CD77" s="390"/>
      <c r="CI77" s="245"/>
      <c r="CJ77" s="248">
        <f t="shared" si="136"/>
        <v>0</v>
      </c>
      <c r="CK77" s="246"/>
      <c r="CL77" s="390"/>
      <c r="CQ77" s="245"/>
      <c r="CR77" s="248">
        <f t="shared" si="137"/>
        <v>0</v>
      </c>
      <c r="CT77" s="390"/>
      <c r="CY77" s="218"/>
      <c r="CZ77" s="245">
        <f t="shared" si="132"/>
        <v>0</v>
      </c>
      <c r="DB77" s="390"/>
      <c r="DG77" s="218"/>
      <c r="DO77" s="218"/>
      <c r="DP77" s="218"/>
      <c r="DQ77" s="391"/>
      <c r="DR77" s="390"/>
      <c r="DW77" s="218"/>
      <c r="DX77" s="218"/>
      <c r="EE77" s="218"/>
      <c r="EF77" s="223">
        <f t="shared" ref="EF77:EJ77" si="139">AH77+AP77+AX77+BF77+BN77+BV77+CD77+CL77+CT77+DB77+DJ77+DR77+DZ77</f>
        <v>0</v>
      </c>
      <c r="EG77" s="223">
        <f t="shared" si="139"/>
        <v>1</v>
      </c>
      <c r="EH77" s="223">
        <f t="shared" si="139"/>
        <v>1</v>
      </c>
      <c r="EI77" s="223">
        <f t="shared" si="139"/>
        <v>0</v>
      </c>
      <c r="EJ77" s="223">
        <f t="shared" si="139"/>
        <v>0</v>
      </c>
      <c r="EK77" s="223">
        <f t="shared" si="111"/>
        <v>2</v>
      </c>
      <c r="EL77" s="218">
        <f t="shared" si="112"/>
        <v>200</v>
      </c>
      <c r="EM77" s="218">
        <f t="shared" si="113"/>
        <v>12.5</v>
      </c>
      <c r="EN77" s="223">
        <f t="shared" si="114"/>
        <v>2</v>
      </c>
      <c r="EO77" s="226">
        <f t="shared" si="115"/>
        <v>10.5</v>
      </c>
      <c r="ER77" s="251"/>
      <c r="EU77" s="220"/>
    </row>
    <row r="78" s="200" customFormat="1" customHeight="1" spans="1:151">
      <c r="A78" s="380"/>
      <c r="B78" s="357">
        <v>4</v>
      </c>
      <c r="C78" s="200" t="s">
        <v>881</v>
      </c>
      <c r="D78" s="220" t="s">
        <v>492</v>
      </c>
      <c r="E78" s="220" t="s">
        <v>405</v>
      </c>
      <c r="F78" s="220" t="s">
        <v>106</v>
      </c>
      <c r="G78" s="220"/>
      <c r="H78" s="239"/>
      <c r="I78" s="239"/>
      <c r="J78" s="200" t="s">
        <v>882</v>
      </c>
      <c r="K78" s="398">
        <v>13417242568</v>
      </c>
      <c r="L78" s="239"/>
      <c r="M78" s="239"/>
      <c r="N78" s="221"/>
      <c r="O78" s="221"/>
      <c r="Q78" s="200" t="s">
        <v>408</v>
      </c>
      <c r="W78" s="207"/>
      <c r="Y78" s="207"/>
      <c r="Z78" s="354" t="s">
        <v>880</v>
      </c>
      <c r="AA78" s="200">
        <v>125</v>
      </c>
      <c r="AB78" s="242">
        <v>3</v>
      </c>
      <c r="AC78" s="382">
        <v>1</v>
      </c>
      <c r="AD78" s="382">
        <v>2</v>
      </c>
      <c r="AE78" s="382"/>
      <c r="AF78" s="364">
        <f t="shared" si="81"/>
        <v>15</v>
      </c>
      <c r="AG78" s="243">
        <v>46122</v>
      </c>
      <c r="AH78" s="244"/>
      <c r="AI78" s="244">
        <v>1</v>
      </c>
      <c r="AJ78" s="384"/>
      <c r="AK78" s="384">
        <v>1</v>
      </c>
      <c r="AL78" s="244"/>
      <c r="AM78" s="244">
        <f t="shared" si="82"/>
        <v>2</v>
      </c>
      <c r="AN78" s="245">
        <f t="shared" si="122"/>
        <v>2.13333333333333</v>
      </c>
      <c r="AO78" s="246">
        <f>AG78+AN78*7</f>
        <v>46136.9333333333</v>
      </c>
      <c r="AP78" s="390"/>
      <c r="AQ78" s="200"/>
      <c r="AR78" s="200"/>
      <c r="AS78" s="200"/>
      <c r="AT78" s="200"/>
      <c r="AU78" s="349"/>
      <c r="AV78" s="248">
        <f t="shared" si="118"/>
        <v>0</v>
      </c>
      <c r="AW78" s="395"/>
      <c r="AX78" s="396"/>
      <c r="BC78" s="397">
        <f t="shared" si="134"/>
        <v>0</v>
      </c>
      <c r="BD78" s="248">
        <f t="shared" si="103"/>
        <v>0</v>
      </c>
      <c r="BE78" s="399"/>
      <c r="BF78" s="390"/>
      <c r="BK78" s="247">
        <f t="shared" si="119"/>
        <v>0</v>
      </c>
      <c r="BL78" s="248">
        <f t="shared" si="120"/>
        <v>0</v>
      </c>
      <c r="BM78" s="391"/>
      <c r="BN78" s="390"/>
      <c r="BS78" s="247"/>
      <c r="BT78" s="248">
        <f t="shared" si="105"/>
        <v>0</v>
      </c>
      <c r="BV78" s="390"/>
      <c r="CA78" s="245"/>
      <c r="CB78" s="248">
        <f t="shared" si="135"/>
        <v>0</v>
      </c>
      <c r="CD78" s="390"/>
      <c r="CI78" s="245"/>
      <c r="CJ78" s="248">
        <f t="shared" si="136"/>
        <v>0</v>
      </c>
      <c r="CL78" s="390"/>
      <c r="CQ78" s="245"/>
      <c r="CR78" s="248">
        <f t="shared" si="137"/>
        <v>0</v>
      </c>
      <c r="CT78" s="390"/>
      <c r="CY78" s="218"/>
      <c r="CZ78" s="245">
        <f t="shared" si="132"/>
        <v>0</v>
      </c>
      <c r="DB78" s="390"/>
      <c r="DG78" s="218"/>
      <c r="DO78" s="218"/>
      <c r="DP78" s="218"/>
      <c r="DQ78" s="391"/>
      <c r="DR78" s="390"/>
      <c r="DW78" s="218"/>
      <c r="DX78" s="218"/>
      <c r="EE78" s="218"/>
      <c r="EF78" s="223">
        <f t="shared" ref="EF78:EJ78" si="140">AH78+AP78+AX78+BF78+BN78+BV78+CD78+CL78+CT78+DB78+DJ78+DR78+DZ78</f>
        <v>0</v>
      </c>
      <c r="EG78" s="223">
        <f t="shared" si="140"/>
        <v>1</v>
      </c>
      <c r="EH78" s="223">
        <f t="shared" si="140"/>
        <v>0</v>
      </c>
      <c r="EI78" s="223">
        <f t="shared" si="140"/>
        <v>1</v>
      </c>
      <c r="EJ78" s="223">
        <f t="shared" si="140"/>
        <v>0</v>
      </c>
      <c r="EK78" s="223">
        <f t="shared" si="111"/>
        <v>2</v>
      </c>
      <c r="EL78" s="218">
        <f t="shared" si="112"/>
        <v>300</v>
      </c>
      <c r="EM78" s="218">
        <f t="shared" si="113"/>
        <v>18.75</v>
      </c>
      <c r="EN78" s="223">
        <f t="shared" si="114"/>
        <v>2</v>
      </c>
      <c r="EO78" s="226">
        <f t="shared" si="115"/>
        <v>16.75</v>
      </c>
      <c r="ER78" s="251"/>
      <c r="EU78" s="220"/>
    </row>
    <row r="79" s="200" customFormat="1" customHeight="1" spans="1:151">
      <c r="A79" s="380"/>
      <c r="B79" s="357">
        <v>5</v>
      </c>
      <c r="C79" s="200" t="s">
        <v>883</v>
      </c>
      <c r="D79" s="220" t="s">
        <v>492</v>
      </c>
      <c r="E79" s="220"/>
      <c r="F79" s="220" t="s">
        <v>106</v>
      </c>
      <c r="G79" s="220"/>
      <c r="H79" s="239"/>
      <c r="I79" s="239"/>
      <c r="J79" s="200" t="s">
        <v>884</v>
      </c>
      <c r="K79" s="207" t="s">
        <v>885</v>
      </c>
      <c r="L79" s="239"/>
      <c r="M79" s="239"/>
      <c r="N79" s="221"/>
      <c r="O79" s="221"/>
      <c r="W79" s="207"/>
      <c r="Y79" s="207"/>
      <c r="Z79" s="354" t="s">
        <v>880</v>
      </c>
      <c r="AA79" s="200">
        <v>125</v>
      </c>
      <c r="AB79" s="242">
        <f t="shared" si="117"/>
        <v>0</v>
      </c>
      <c r="AC79" s="382"/>
      <c r="AD79" s="382"/>
      <c r="AE79" s="382"/>
      <c r="AF79" s="364">
        <f t="shared" si="81"/>
        <v>0</v>
      </c>
      <c r="AG79" s="265"/>
      <c r="AH79" s="247"/>
      <c r="AI79" s="247"/>
      <c r="AJ79" s="400"/>
      <c r="AK79" s="400"/>
      <c r="AL79" s="247"/>
      <c r="AM79" s="247">
        <f t="shared" si="82"/>
        <v>0</v>
      </c>
      <c r="AN79" s="245" t="e">
        <f t="shared" si="122"/>
        <v>#DIV/0!</v>
      </c>
      <c r="AO79" s="395"/>
      <c r="AP79" s="390"/>
      <c r="AU79" s="349">
        <f t="shared" si="133"/>
        <v>0</v>
      </c>
      <c r="AV79" s="248" t="e">
        <f t="shared" si="118"/>
        <v>#DIV/0!</v>
      </c>
      <c r="AW79" s="395"/>
      <c r="AX79" s="396"/>
      <c r="BC79" s="397">
        <f t="shared" si="134"/>
        <v>0</v>
      </c>
      <c r="BD79" s="248" t="e">
        <f t="shared" si="103"/>
        <v>#DIV/0!</v>
      </c>
      <c r="BF79" s="390"/>
      <c r="BK79" s="247">
        <f t="shared" si="119"/>
        <v>0</v>
      </c>
      <c r="BL79" s="248" t="e">
        <f t="shared" si="120"/>
        <v>#DIV/0!</v>
      </c>
      <c r="BM79" s="391"/>
      <c r="BN79" s="390"/>
      <c r="BS79" s="247"/>
      <c r="BT79" s="248" t="e">
        <f t="shared" si="105"/>
        <v>#DIV/0!</v>
      </c>
      <c r="BV79" s="390"/>
      <c r="CA79" s="245"/>
      <c r="CB79" s="248" t="e">
        <f t="shared" si="135"/>
        <v>#DIV/0!</v>
      </c>
      <c r="CD79" s="390"/>
      <c r="CI79" s="245"/>
      <c r="CJ79" s="248" t="e">
        <f t="shared" si="136"/>
        <v>#DIV/0!</v>
      </c>
      <c r="CL79" s="390"/>
      <c r="CQ79" s="245"/>
      <c r="CR79" s="248" t="e">
        <f t="shared" si="137"/>
        <v>#DIV/0!</v>
      </c>
      <c r="CT79" s="390"/>
      <c r="CY79" s="218"/>
      <c r="CZ79" s="245" t="e">
        <f t="shared" si="132"/>
        <v>#DIV/0!</v>
      </c>
      <c r="DB79" s="390"/>
      <c r="DG79" s="218"/>
      <c r="DO79" s="218"/>
      <c r="DP79" s="218"/>
      <c r="DQ79" s="391"/>
      <c r="DR79" s="390"/>
      <c r="DW79" s="218"/>
      <c r="DX79" s="218"/>
      <c r="EE79" s="218"/>
      <c r="EF79" s="223">
        <f t="shared" ref="EF79:EJ79" si="141">AH79+AP79+AX79+BF79+BN79+BV79+CD79+CL79+CT79+DB79+DJ79+DR79+DZ79</f>
        <v>0</v>
      </c>
      <c r="EG79" s="223">
        <f t="shared" si="141"/>
        <v>0</v>
      </c>
      <c r="EH79" s="223">
        <f t="shared" si="141"/>
        <v>0</v>
      </c>
      <c r="EI79" s="223">
        <f t="shared" si="141"/>
        <v>0</v>
      </c>
      <c r="EJ79" s="223">
        <f t="shared" si="141"/>
        <v>0</v>
      </c>
      <c r="EK79" s="223">
        <f t="shared" si="111"/>
        <v>0</v>
      </c>
      <c r="EL79" s="218">
        <f t="shared" si="112"/>
        <v>0</v>
      </c>
      <c r="EM79" s="218">
        <f t="shared" si="113"/>
        <v>0</v>
      </c>
      <c r="EN79" s="223">
        <f t="shared" si="114"/>
        <v>0</v>
      </c>
      <c r="EO79" s="226">
        <f t="shared" si="115"/>
        <v>0</v>
      </c>
      <c r="ER79" s="251"/>
      <c r="EU79" s="220"/>
    </row>
    <row r="80" s="200" customFormat="1" customHeight="1" spans="1:151">
      <c r="A80" s="380"/>
      <c r="B80" s="357">
        <v>6</v>
      </c>
      <c r="C80" s="200" t="s">
        <v>886</v>
      </c>
      <c r="D80" s="220" t="s">
        <v>492</v>
      </c>
      <c r="E80" s="220" t="s">
        <v>405</v>
      </c>
      <c r="F80" s="220" t="s">
        <v>106</v>
      </c>
      <c r="G80" s="220"/>
      <c r="H80" s="239"/>
      <c r="I80" s="239"/>
      <c r="J80" s="200" t="s">
        <v>887</v>
      </c>
      <c r="K80" s="207">
        <v>13926686503</v>
      </c>
      <c r="L80" s="239"/>
      <c r="M80" s="239"/>
      <c r="N80" s="221"/>
      <c r="O80" s="221"/>
      <c r="Q80" s="200" t="s">
        <v>408</v>
      </c>
      <c r="V80" s="200" t="s">
        <v>717</v>
      </c>
      <c r="W80" s="200">
        <v>18998606623</v>
      </c>
      <c r="Y80" s="207"/>
      <c r="Z80" s="354" t="s">
        <v>880</v>
      </c>
      <c r="AA80" s="200">
        <v>125</v>
      </c>
      <c r="AB80" s="218">
        <f t="shared" si="117"/>
        <v>16</v>
      </c>
      <c r="AC80" s="382">
        <v>1</v>
      </c>
      <c r="AD80" s="382">
        <v>15</v>
      </c>
      <c r="AE80" s="382"/>
      <c r="AF80" s="364">
        <f t="shared" si="81"/>
        <v>80</v>
      </c>
      <c r="AG80" s="265"/>
      <c r="AH80" s="247"/>
      <c r="AI80" s="247"/>
      <c r="AJ80" s="400"/>
      <c r="AK80" s="400"/>
      <c r="AL80" s="247"/>
      <c r="AM80" s="247">
        <f t="shared" si="82"/>
        <v>0</v>
      </c>
      <c r="AN80" s="245">
        <f t="shared" si="122"/>
        <v>0</v>
      </c>
      <c r="AO80" s="392">
        <v>46093</v>
      </c>
      <c r="AP80" s="393">
        <v>5</v>
      </c>
      <c r="AQ80" s="327">
        <v>1</v>
      </c>
      <c r="AR80" s="327">
        <v>5</v>
      </c>
      <c r="AS80" s="327">
        <v>5</v>
      </c>
      <c r="AT80" s="327"/>
      <c r="AU80" s="394">
        <f t="shared" si="133"/>
        <v>16</v>
      </c>
      <c r="AV80" s="248">
        <f t="shared" si="118"/>
        <v>3.2</v>
      </c>
      <c r="AW80" s="271">
        <f>AO80+AV80*7</f>
        <v>46115.4</v>
      </c>
      <c r="AX80" s="387">
        <v>3</v>
      </c>
      <c r="AY80" s="388">
        <v>3</v>
      </c>
      <c r="AZ80" s="388">
        <v>3</v>
      </c>
      <c r="BA80" s="388">
        <v>3</v>
      </c>
      <c r="BB80" s="388"/>
      <c r="BC80" s="401">
        <f t="shared" si="134"/>
        <v>12</v>
      </c>
      <c r="BD80" s="248">
        <f t="shared" si="103"/>
        <v>2.4</v>
      </c>
      <c r="BE80" s="255">
        <f t="shared" si="131"/>
        <v>46132.2</v>
      </c>
      <c r="BF80" s="402">
        <v>3</v>
      </c>
      <c r="BG80" s="403">
        <v>3</v>
      </c>
      <c r="BH80" s="403">
        <v>3</v>
      </c>
      <c r="BI80" s="403">
        <v>3</v>
      </c>
      <c r="BJ80" s="403"/>
      <c r="BK80" s="258">
        <f t="shared" si="119"/>
        <v>12</v>
      </c>
      <c r="BL80" s="248">
        <f t="shared" si="120"/>
        <v>2.4</v>
      </c>
      <c r="BM80" s="246">
        <f>BE80+BL80*7</f>
        <v>46149</v>
      </c>
      <c r="BN80" s="390"/>
      <c r="BS80" s="247"/>
      <c r="BT80" s="248">
        <f t="shared" si="105"/>
        <v>0</v>
      </c>
      <c r="BV80" s="390"/>
      <c r="CA80" s="245"/>
      <c r="CB80" s="248">
        <f t="shared" si="135"/>
        <v>0</v>
      </c>
      <c r="CD80" s="390"/>
      <c r="CI80" s="245"/>
      <c r="CJ80" s="248">
        <f t="shared" si="136"/>
        <v>0</v>
      </c>
      <c r="CL80" s="390"/>
      <c r="CQ80" s="245"/>
      <c r="CR80" s="248">
        <f t="shared" si="137"/>
        <v>0</v>
      </c>
      <c r="CT80" s="390"/>
      <c r="CY80" s="218"/>
      <c r="CZ80" s="245">
        <f t="shared" si="132"/>
        <v>0</v>
      </c>
      <c r="DB80" s="390"/>
      <c r="DG80" s="218"/>
      <c r="DO80" s="218"/>
      <c r="DP80" s="218"/>
      <c r="DQ80" s="391"/>
      <c r="DR80" s="390"/>
      <c r="DW80" s="218"/>
      <c r="DX80" s="218"/>
      <c r="EE80" s="218"/>
      <c r="EF80" s="223">
        <f t="shared" ref="EF80:EJ80" si="142">AH80+AP80+AX80+BF80+BN80+BV80+CD80+CL80+CT80+DB80+DJ80+DR80+DZ80</f>
        <v>11</v>
      </c>
      <c r="EG80" s="223">
        <f t="shared" si="142"/>
        <v>7</v>
      </c>
      <c r="EH80" s="223">
        <f t="shared" si="142"/>
        <v>11</v>
      </c>
      <c r="EI80" s="223">
        <f t="shared" si="142"/>
        <v>11</v>
      </c>
      <c r="EJ80" s="223">
        <f t="shared" si="142"/>
        <v>0</v>
      </c>
      <c r="EK80" s="223">
        <f t="shared" si="111"/>
        <v>40</v>
      </c>
      <c r="EL80" s="218">
        <f t="shared" si="112"/>
        <v>1600</v>
      </c>
      <c r="EM80" s="218">
        <f t="shared" si="113"/>
        <v>100</v>
      </c>
      <c r="EN80" s="223">
        <f t="shared" si="114"/>
        <v>40</v>
      </c>
      <c r="EO80" s="226">
        <f t="shared" si="115"/>
        <v>60</v>
      </c>
      <c r="ER80" s="251"/>
      <c r="EU80" s="220"/>
    </row>
    <row r="81" s="200" customFormat="1" customHeight="1" spans="1:151 16353:16384">
      <c r="A81" s="380"/>
      <c r="B81" s="357">
        <v>7</v>
      </c>
      <c r="C81" s="201" t="s">
        <v>888</v>
      </c>
      <c r="D81" s="220"/>
      <c r="E81" s="220"/>
      <c r="F81" s="220"/>
      <c r="G81" s="220"/>
      <c r="H81" s="239"/>
      <c r="I81" s="239"/>
      <c r="K81" s="207"/>
      <c r="L81" s="239"/>
      <c r="M81" s="239"/>
      <c r="N81" s="221"/>
      <c r="O81" s="221"/>
      <c r="Y81" s="207"/>
      <c r="Z81" s="354" t="s">
        <v>880</v>
      </c>
      <c r="AA81" s="200">
        <v>125</v>
      </c>
      <c r="AB81" s="218">
        <f t="shared" si="117"/>
        <v>1</v>
      </c>
      <c r="AC81" s="382"/>
      <c r="AD81" s="382">
        <v>1</v>
      </c>
      <c r="AE81" s="382"/>
      <c r="AF81" s="364">
        <f t="shared" si="81"/>
        <v>5</v>
      </c>
      <c r="AG81" s="265">
        <v>46101</v>
      </c>
      <c r="AH81" s="306"/>
      <c r="AI81" s="306"/>
      <c r="AJ81" s="404"/>
      <c r="AK81" s="404"/>
      <c r="AL81" s="306"/>
      <c r="AM81" s="247">
        <f t="shared" si="82"/>
        <v>0</v>
      </c>
      <c r="AN81" s="245">
        <f t="shared" si="122"/>
        <v>0</v>
      </c>
      <c r="AO81" s="392">
        <v>46106</v>
      </c>
      <c r="AP81" s="268">
        <v>0.5</v>
      </c>
      <c r="AQ81" s="268">
        <v>0.5</v>
      </c>
      <c r="AR81" s="405">
        <v>0.5</v>
      </c>
      <c r="AS81" s="405">
        <v>0.5</v>
      </c>
      <c r="AT81" s="268"/>
      <c r="AU81" s="394">
        <f t="shared" si="133"/>
        <v>2</v>
      </c>
      <c r="AV81" s="248">
        <f t="shared" si="118"/>
        <v>6.4</v>
      </c>
      <c r="AW81" s="246">
        <f t="shared" ref="AW81:AW85" si="143">AO81+AV81*7</f>
        <v>46150.8</v>
      </c>
      <c r="AX81" s="306"/>
      <c r="AY81" s="306"/>
      <c r="AZ81" s="404"/>
      <c r="BA81" s="404"/>
      <c r="BB81" s="306"/>
      <c r="BC81" s="397">
        <f t="shared" si="134"/>
        <v>0</v>
      </c>
      <c r="BD81" s="248">
        <f t="shared" si="103"/>
        <v>0</v>
      </c>
      <c r="BE81" s="399"/>
      <c r="BF81" s="390"/>
      <c r="BK81" s="247">
        <f t="shared" si="119"/>
        <v>0</v>
      </c>
      <c r="BL81" s="248">
        <f t="shared" si="120"/>
        <v>0</v>
      </c>
      <c r="BM81" s="391"/>
      <c r="BN81" s="390"/>
      <c r="BS81" s="247"/>
      <c r="BT81" s="248">
        <f t="shared" si="105"/>
        <v>0</v>
      </c>
      <c r="BV81" s="390"/>
      <c r="CA81" s="245"/>
      <c r="CB81" s="248">
        <f t="shared" si="135"/>
        <v>0</v>
      </c>
      <c r="CD81" s="390"/>
      <c r="CI81" s="245"/>
      <c r="CJ81" s="248">
        <f t="shared" si="136"/>
        <v>0</v>
      </c>
      <c r="CL81" s="390"/>
      <c r="CQ81" s="245"/>
      <c r="CR81" s="248">
        <f t="shared" si="137"/>
        <v>0</v>
      </c>
      <c r="CT81" s="390"/>
      <c r="CY81" s="218"/>
      <c r="CZ81" s="245">
        <f t="shared" si="132"/>
        <v>0</v>
      </c>
      <c r="DB81" s="390"/>
      <c r="DG81" s="218"/>
      <c r="DO81" s="218"/>
      <c r="DP81" s="218"/>
      <c r="DQ81" s="391"/>
      <c r="DR81" s="390"/>
      <c r="DW81" s="218"/>
      <c r="DX81" s="218"/>
      <c r="EE81" s="218"/>
      <c r="EF81" s="223">
        <f t="shared" ref="EF81:EJ81" si="144">AH81+AP81+AX81+BF81+BN81+BV81+CD81+CL81+CT81+DB81+DJ81+DR81+DZ81</f>
        <v>0.5</v>
      </c>
      <c r="EG81" s="223">
        <f t="shared" si="144"/>
        <v>0.5</v>
      </c>
      <c r="EH81" s="223">
        <f t="shared" si="144"/>
        <v>0.5</v>
      </c>
      <c r="EI81" s="223">
        <f t="shared" si="144"/>
        <v>0.5</v>
      </c>
      <c r="EJ81" s="223">
        <f t="shared" si="144"/>
        <v>0</v>
      </c>
      <c r="EK81" s="223">
        <f t="shared" si="111"/>
        <v>2</v>
      </c>
      <c r="EL81" s="218">
        <f t="shared" si="112"/>
        <v>100</v>
      </c>
      <c r="EM81" s="218">
        <f t="shared" si="113"/>
        <v>6.25</v>
      </c>
      <c r="EN81" s="223">
        <f t="shared" si="114"/>
        <v>2</v>
      </c>
      <c r="EO81" s="226">
        <f t="shared" si="115"/>
        <v>4.25</v>
      </c>
      <c r="ER81" s="251"/>
      <c r="EU81" s="220"/>
    </row>
    <row r="82" s="200" customFormat="1" ht="20" customHeight="1" spans="1:151 16353:16384">
      <c r="A82" s="380"/>
      <c r="B82" s="406">
        <v>8</v>
      </c>
      <c r="C82" s="219" t="s">
        <v>889</v>
      </c>
      <c r="D82" s="220"/>
      <c r="E82" s="220"/>
      <c r="F82" s="220" t="s">
        <v>120</v>
      </c>
      <c r="G82" s="220" t="s">
        <v>190</v>
      </c>
      <c r="H82" s="220">
        <v>13620599985</v>
      </c>
      <c r="I82" s="220">
        <v>66985</v>
      </c>
      <c r="J82" s="220" t="s">
        <v>190</v>
      </c>
      <c r="K82" s="220">
        <v>13620599985</v>
      </c>
      <c r="L82" s="220">
        <v>66985</v>
      </c>
      <c r="M82" s="239"/>
      <c r="N82" s="221"/>
      <c r="O82" s="221"/>
      <c r="X82" s="343" t="s">
        <v>541</v>
      </c>
      <c r="Y82" s="343">
        <v>13642526451</v>
      </c>
      <c r="Z82" s="354" t="s">
        <v>541</v>
      </c>
      <c r="AA82" s="218">
        <v>200</v>
      </c>
      <c r="AB82" s="218">
        <v>57</v>
      </c>
      <c r="AC82" s="218">
        <v>8</v>
      </c>
      <c r="AD82" s="218">
        <v>49</v>
      </c>
      <c r="AE82" s="218"/>
      <c r="AF82" s="364">
        <f t="shared" si="81"/>
        <v>285</v>
      </c>
      <c r="AG82" s="243">
        <v>46084</v>
      </c>
      <c r="AH82" s="268">
        <v>10</v>
      </c>
      <c r="AI82" s="268">
        <v>10</v>
      </c>
      <c r="AJ82" s="405">
        <v>9</v>
      </c>
      <c r="AK82" s="405">
        <v>9</v>
      </c>
      <c r="AL82" s="268">
        <v>9</v>
      </c>
      <c r="AM82" s="244">
        <f t="shared" si="82"/>
        <v>47</v>
      </c>
      <c r="AN82" s="245">
        <f t="shared" si="122"/>
        <v>2.63859649122807</v>
      </c>
      <c r="AO82" s="252">
        <v>46099</v>
      </c>
      <c r="AP82" s="393">
        <v>10</v>
      </c>
      <c r="AQ82" s="327">
        <v>10</v>
      </c>
      <c r="AR82" s="327">
        <v>9</v>
      </c>
      <c r="AS82" s="327">
        <v>9</v>
      </c>
      <c r="AT82" s="327">
        <v>9</v>
      </c>
      <c r="AU82" s="394">
        <f t="shared" si="133"/>
        <v>47</v>
      </c>
      <c r="AV82" s="248">
        <f t="shared" si="118"/>
        <v>2.63859649122807</v>
      </c>
      <c r="AW82" s="271">
        <v>46115</v>
      </c>
      <c r="AX82" s="407">
        <v>10</v>
      </c>
      <c r="AY82" s="273">
        <v>10</v>
      </c>
      <c r="AZ82" s="273">
        <v>10</v>
      </c>
      <c r="BA82" s="273">
        <v>10</v>
      </c>
      <c r="BB82" s="273">
        <v>10</v>
      </c>
      <c r="BC82" s="401">
        <f t="shared" si="134"/>
        <v>50</v>
      </c>
      <c r="BD82" s="248">
        <f t="shared" si="103"/>
        <v>2.80701754385965</v>
      </c>
      <c r="BE82" s="255">
        <f>AW82+BD82*7</f>
        <v>46134.649122807</v>
      </c>
      <c r="BF82" s="256">
        <v>5</v>
      </c>
      <c r="BG82" s="278">
        <v>5</v>
      </c>
      <c r="BH82" s="278">
        <v>5</v>
      </c>
      <c r="BI82" s="278">
        <v>5</v>
      </c>
      <c r="BJ82" s="278">
        <v>5</v>
      </c>
      <c r="BK82" s="258">
        <f t="shared" si="119"/>
        <v>25</v>
      </c>
      <c r="BL82" s="248">
        <f t="shared" si="120"/>
        <v>1.40350877192982</v>
      </c>
      <c r="BM82" s="246">
        <f>BE82+BL82*7</f>
        <v>46144.4736842105</v>
      </c>
      <c r="BN82" s="390"/>
      <c r="BS82" s="247"/>
      <c r="BT82" s="248">
        <f t="shared" si="105"/>
        <v>0</v>
      </c>
      <c r="BU82" s="395"/>
      <c r="BV82" s="390"/>
      <c r="CA82" s="245"/>
      <c r="CB82" s="248">
        <f t="shared" si="135"/>
        <v>0</v>
      </c>
      <c r="CC82" s="395"/>
      <c r="CD82" s="390"/>
      <c r="CI82" s="245"/>
      <c r="CJ82" s="248">
        <f t="shared" si="136"/>
        <v>0</v>
      </c>
      <c r="CK82" s="395"/>
      <c r="CL82" s="390"/>
      <c r="CQ82" s="245"/>
      <c r="CR82" s="248">
        <f t="shared" si="137"/>
        <v>0</v>
      </c>
      <c r="CS82" s="395"/>
      <c r="CT82" s="390"/>
      <c r="CY82" s="218"/>
      <c r="CZ82" s="245">
        <f t="shared" si="132"/>
        <v>0</v>
      </c>
      <c r="DA82" s="246"/>
      <c r="DB82" s="390"/>
      <c r="DG82" s="218"/>
      <c r="DO82" s="218"/>
      <c r="DP82" s="218"/>
      <c r="DQ82" s="391"/>
      <c r="DR82" s="390"/>
      <c r="DW82" s="218"/>
      <c r="DX82" s="218"/>
      <c r="EE82" s="218"/>
      <c r="EF82" s="223">
        <f t="shared" ref="EF82:EJ82" si="145">AH82+AP82+AX82+BF82+BN82+BV82+CD82+CL82+CT82+DB82+DJ82+DR82+DZ82</f>
        <v>35</v>
      </c>
      <c r="EG82" s="223">
        <f t="shared" si="145"/>
        <v>35</v>
      </c>
      <c r="EH82" s="223">
        <f t="shared" si="145"/>
        <v>33</v>
      </c>
      <c r="EI82" s="223">
        <f t="shared" si="145"/>
        <v>33</v>
      </c>
      <c r="EJ82" s="223">
        <f t="shared" si="145"/>
        <v>33</v>
      </c>
      <c r="EK82" s="223">
        <f t="shared" si="111"/>
        <v>169</v>
      </c>
      <c r="EL82" s="218">
        <f t="shared" si="112"/>
        <v>5700</v>
      </c>
      <c r="EM82" s="218">
        <f t="shared" si="113"/>
        <v>356.25</v>
      </c>
      <c r="EN82" s="223">
        <f t="shared" si="114"/>
        <v>169</v>
      </c>
      <c r="EO82" s="226">
        <f t="shared" si="115"/>
        <v>187.25</v>
      </c>
      <c r="ER82" s="251"/>
      <c r="EU82" s="220"/>
    </row>
    <row r="83" s="200" customFormat="1" customHeight="1" spans="1:151 16353:16384">
      <c r="A83" s="380"/>
      <c r="B83" s="406">
        <v>9</v>
      </c>
      <c r="C83" s="219" t="s">
        <v>890</v>
      </c>
      <c r="D83" s="220"/>
      <c r="E83" s="220"/>
      <c r="F83" s="220" t="s">
        <v>120</v>
      </c>
      <c r="G83" s="220" t="s">
        <v>190</v>
      </c>
      <c r="H83" s="220">
        <v>13620599985</v>
      </c>
      <c r="I83" s="220">
        <v>66985</v>
      </c>
      <c r="J83" s="220" t="s">
        <v>190</v>
      </c>
      <c r="K83" s="220">
        <v>13620599985</v>
      </c>
      <c r="L83" s="220">
        <v>66985</v>
      </c>
      <c r="M83" s="239"/>
      <c r="N83" s="221"/>
      <c r="O83" s="221"/>
      <c r="W83" s="207"/>
      <c r="X83" s="343" t="s">
        <v>891</v>
      </c>
      <c r="Y83" s="343">
        <v>13828511868</v>
      </c>
      <c r="Z83" s="354" t="s">
        <v>891</v>
      </c>
      <c r="AA83" s="218">
        <v>200</v>
      </c>
      <c r="AB83" s="218">
        <v>20</v>
      </c>
      <c r="AC83" s="218">
        <v>3</v>
      </c>
      <c r="AD83" s="218">
        <v>17</v>
      </c>
      <c r="AE83" s="218"/>
      <c r="AF83" s="364">
        <f t="shared" si="81"/>
        <v>100</v>
      </c>
      <c r="AG83" s="243">
        <v>46084</v>
      </c>
      <c r="AH83" s="244">
        <v>8</v>
      </c>
      <c r="AI83" s="244">
        <v>7</v>
      </c>
      <c r="AJ83" s="244">
        <v>7</v>
      </c>
      <c r="AK83" s="244">
        <v>7</v>
      </c>
      <c r="AL83" s="244">
        <v>7</v>
      </c>
      <c r="AM83" s="244">
        <f t="shared" si="82"/>
        <v>36</v>
      </c>
      <c r="AN83" s="245">
        <f t="shared" si="122"/>
        <v>5.76</v>
      </c>
      <c r="AO83" s="271">
        <v>46112</v>
      </c>
      <c r="AP83" s="281">
        <v>6</v>
      </c>
      <c r="AQ83" s="273">
        <v>6</v>
      </c>
      <c r="AR83" s="273">
        <v>6</v>
      </c>
      <c r="AS83" s="273">
        <v>6</v>
      </c>
      <c r="AT83" s="273">
        <v>6</v>
      </c>
      <c r="AU83" s="274">
        <f t="shared" si="133"/>
        <v>30</v>
      </c>
      <c r="AV83" s="248">
        <f t="shared" si="118"/>
        <v>4.8</v>
      </c>
      <c r="AW83" s="246">
        <f t="shared" si="143"/>
        <v>46145.6</v>
      </c>
      <c r="AX83" s="223"/>
      <c r="AY83" s="250"/>
      <c r="AZ83" s="250"/>
      <c r="BA83" s="250"/>
      <c r="BB83" s="250"/>
      <c r="BC83" s="397">
        <f t="shared" si="134"/>
        <v>0</v>
      </c>
      <c r="BD83" s="248">
        <f t="shared" si="103"/>
        <v>0</v>
      </c>
      <c r="BE83" s="395"/>
      <c r="BF83" s="224"/>
      <c r="BG83" s="250"/>
      <c r="BH83" s="250"/>
      <c r="BI83" s="250"/>
      <c r="BJ83" s="250"/>
      <c r="BK83" s="247">
        <f t="shared" si="119"/>
        <v>0</v>
      </c>
      <c r="BL83" s="248">
        <f t="shared" si="120"/>
        <v>0</v>
      </c>
      <c r="BM83" s="395"/>
      <c r="BN83" s="224"/>
      <c r="BO83" s="218"/>
      <c r="BP83" s="218"/>
      <c r="BQ83" s="218"/>
      <c r="BR83" s="218"/>
      <c r="BS83" s="247"/>
      <c r="BT83" s="248">
        <f t="shared" si="105"/>
        <v>0</v>
      </c>
      <c r="BU83" s="249"/>
      <c r="BV83" s="408"/>
      <c r="BW83" s="218"/>
      <c r="BX83" s="218"/>
      <c r="BY83" s="218"/>
      <c r="BZ83" s="218"/>
      <c r="CA83" s="245"/>
      <c r="CB83" s="248">
        <f t="shared" si="135"/>
        <v>0</v>
      </c>
      <c r="CC83" s="246"/>
      <c r="CD83" s="224"/>
      <c r="CE83" s="218"/>
      <c r="CF83" s="218"/>
      <c r="CG83" s="218"/>
      <c r="CH83" s="218"/>
      <c r="CI83" s="245"/>
      <c r="CJ83" s="248">
        <f t="shared" si="136"/>
        <v>0</v>
      </c>
      <c r="CK83" s="218"/>
      <c r="CL83" s="224"/>
      <c r="CM83" s="218"/>
      <c r="CN83" s="218"/>
      <c r="CO83" s="218"/>
      <c r="CP83" s="218"/>
      <c r="CQ83" s="245"/>
      <c r="CR83" s="248">
        <f t="shared" si="137"/>
        <v>0</v>
      </c>
      <c r="CS83" s="218"/>
      <c r="CT83" s="224"/>
      <c r="CU83" s="218"/>
      <c r="CV83" s="218"/>
      <c r="CW83" s="218"/>
      <c r="CX83" s="218"/>
      <c r="CY83" s="218"/>
      <c r="CZ83" s="245">
        <f t="shared" si="132"/>
        <v>0</v>
      </c>
      <c r="DA83" s="218"/>
      <c r="DB83" s="224"/>
      <c r="DC83" s="218"/>
      <c r="DD83" s="218"/>
      <c r="DE83" s="218"/>
      <c r="DF83" s="218"/>
      <c r="DG83" s="218"/>
      <c r="DH83" s="218"/>
      <c r="DI83" s="218"/>
      <c r="DJ83" s="249"/>
      <c r="DK83" s="218"/>
      <c r="DL83" s="218"/>
      <c r="DM83" s="218"/>
      <c r="DN83" s="218"/>
      <c r="DO83" s="218"/>
      <c r="DP83" s="218"/>
      <c r="DQ83" s="227"/>
      <c r="DR83" s="224"/>
      <c r="DS83" s="218"/>
      <c r="DT83" s="218"/>
      <c r="DU83" s="218"/>
      <c r="DV83" s="218"/>
      <c r="DW83" s="218"/>
      <c r="DX83" s="218"/>
      <c r="DY83" s="218"/>
      <c r="DZ83" s="218"/>
      <c r="EA83" s="218"/>
      <c r="EB83" s="218"/>
      <c r="EC83" s="218"/>
      <c r="ED83" s="218"/>
      <c r="EE83" s="218"/>
      <c r="EF83" s="223">
        <f t="shared" ref="EF83:EJ83" si="146">AH83+AP83+AX83+BF83+BN83+BV83+CD83+CL83+CT83+DB83+DJ83+DR83+DZ83</f>
        <v>14</v>
      </c>
      <c r="EG83" s="223">
        <f t="shared" si="146"/>
        <v>13</v>
      </c>
      <c r="EH83" s="223">
        <f t="shared" si="146"/>
        <v>13</v>
      </c>
      <c r="EI83" s="223">
        <f t="shared" si="146"/>
        <v>13</v>
      </c>
      <c r="EJ83" s="223">
        <f t="shared" si="146"/>
        <v>13</v>
      </c>
      <c r="EK83" s="223">
        <f t="shared" si="111"/>
        <v>66</v>
      </c>
      <c r="EL83" s="218">
        <f t="shared" si="112"/>
        <v>2000</v>
      </c>
      <c r="EM83" s="218">
        <f t="shared" si="113"/>
        <v>125</v>
      </c>
      <c r="EN83" s="223">
        <f t="shared" si="114"/>
        <v>66</v>
      </c>
      <c r="EO83" s="226">
        <f t="shared" si="115"/>
        <v>59</v>
      </c>
      <c r="ER83" s="251"/>
      <c r="EU83" s="220"/>
    </row>
    <row r="84" s="200" customFormat="1" customHeight="1" spans="1:151 16353:16384">
      <c r="A84" s="380"/>
      <c r="B84" s="406">
        <v>10</v>
      </c>
      <c r="C84" s="219" t="s">
        <v>892</v>
      </c>
      <c r="D84" s="220"/>
      <c r="E84" s="220"/>
      <c r="F84" s="220" t="s">
        <v>125</v>
      </c>
      <c r="G84" s="220" t="s">
        <v>193</v>
      </c>
      <c r="H84" s="221" t="s">
        <v>194</v>
      </c>
      <c r="I84" s="220">
        <v>682788</v>
      </c>
      <c r="J84" s="220" t="s">
        <v>195</v>
      </c>
      <c r="K84" s="220">
        <v>13610586071</v>
      </c>
      <c r="L84" s="220">
        <v>676071</v>
      </c>
      <c r="M84" s="239"/>
      <c r="N84" s="221"/>
      <c r="O84" s="221"/>
      <c r="W84" s="207"/>
      <c r="X84" s="200" t="s">
        <v>861</v>
      </c>
      <c r="Y84" s="207" t="s">
        <v>893</v>
      </c>
      <c r="Z84" s="354" t="s">
        <v>861</v>
      </c>
      <c r="AA84" s="218">
        <v>200</v>
      </c>
      <c r="AB84" s="218">
        <f t="shared" si="117"/>
        <v>58</v>
      </c>
      <c r="AC84" s="218">
        <v>10</v>
      </c>
      <c r="AD84" s="218">
        <v>48</v>
      </c>
      <c r="AE84" s="218"/>
      <c r="AF84" s="364">
        <f t="shared" si="81"/>
        <v>290</v>
      </c>
      <c r="AG84" s="243">
        <v>46084</v>
      </c>
      <c r="AH84" s="244">
        <v>13</v>
      </c>
      <c r="AI84" s="244">
        <v>12</v>
      </c>
      <c r="AJ84" s="244">
        <v>12</v>
      </c>
      <c r="AK84" s="244">
        <v>12</v>
      </c>
      <c r="AL84" s="244">
        <v>12</v>
      </c>
      <c r="AM84" s="244">
        <f t="shared" si="82"/>
        <v>61</v>
      </c>
      <c r="AN84" s="245">
        <f t="shared" si="122"/>
        <v>3.36551724137931</v>
      </c>
      <c r="AO84" s="252">
        <v>46099</v>
      </c>
      <c r="AP84" s="253">
        <v>13</v>
      </c>
      <c r="AQ84" s="269">
        <v>12</v>
      </c>
      <c r="AR84" s="269">
        <v>12</v>
      </c>
      <c r="AS84" s="269">
        <v>12</v>
      </c>
      <c r="AT84" s="269">
        <v>12</v>
      </c>
      <c r="AU84" s="394">
        <f t="shared" si="133"/>
        <v>61</v>
      </c>
      <c r="AV84" s="245">
        <f t="shared" si="118"/>
        <v>3.36551724137931</v>
      </c>
      <c r="AW84" s="271">
        <f t="shared" si="143"/>
        <v>46122.5586206897</v>
      </c>
      <c r="AX84" s="407">
        <v>12</v>
      </c>
      <c r="AY84" s="273">
        <v>12</v>
      </c>
      <c r="AZ84" s="273">
        <v>12</v>
      </c>
      <c r="BA84" s="273">
        <v>12</v>
      </c>
      <c r="BB84" s="273">
        <v>12</v>
      </c>
      <c r="BC84" s="401">
        <f t="shared" si="134"/>
        <v>60</v>
      </c>
      <c r="BD84" s="248">
        <f t="shared" si="103"/>
        <v>3.31034482758621</v>
      </c>
      <c r="BE84" s="249">
        <f>AW84+BD84*7</f>
        <v>46145.7310344828</v>
      </c>
      <c r="BF84" s="224"/>
      <c r="BG84" s="250"/>
      <c r="BH84" s="250"/>
      <c r="BI84" s="250"/>
      <c r="BJ84" s="250"/>
      <c r="BK84" s="247">
        <f t="shared" si="119"/>
        <v>0</v>
      </c>
      <c r="BL84" s="248">
        <f t="shared" si="120"/>
        <v>0</v>
      </c>
      <c r="BM84" s="395"/>
      <c r="BN84" s="224"/>
      <c r="BO84" s="218"/>
      <c r="BP84" s="218"/>
      <c r="BQ84" s="218"/>
      <c r="BR84" s="218"/>
      <c r="BS84" s="247"/>
      <c r="BT84" s="248">
        <f t="shared" si="105"/>
        <v>0</v>
      </c>
      <c r="BU84" s="395"/>
      <c r="BV84" s="408"/>
      <c r="BW84" s="218"/>
      <c r="BX84" s="218"/>
      <c r="BY84" s="218"/>
      <c r="BZ84" s="218"/>
      <c r="CA84" s="245"/>
      <c r="CB84" s="248">
        <f t="shared" si="135"/>
        <v>0</v>
      </c>
      <c r="CC84" s="246"/>
      <c r="CD84" s="408"/>
      <c r="CE84" s="218"/>
      <c r="CF84" s="218"/>
      <c r="CG84" s="218"/>
      <c r="CH84" s="218"/>
      <c r="CI84" s="245"/>
      <c r="CJ84" s="248">
        <f t="shared" si="136"/>
        <v>0</v>
      </c>
      <c r="CK84" s="218"/>
      <c r="CL84" s="224"/>
      <c r="CM84" s="218"/>
      <c r="CN84" s="218"/>
      <c r="CO84" s="218"/>
      <c r="CP84" s="218"/>
      <c r="CQ84" s="245"/>
      <c r="CR84" s="248">
        <f t="shared" si="137"/>
        <v>0</v>
      </c>
      <c r="CS84" s="218"/>
      <c r="CT84" s="224"/>
      <c r="CU84" s="218"/>
      <c r="CV84" s="218"/>
      <c r="CW84" s="218"/>
      <c r="CX84" s="218"/>
      <c r="CY84" s="218"/>
      <c r="CZ84" s="245">
        <f t="shared" si="132"/>
        <v>0</v>
      </c>
      <c r="DA84" s="218"/>
      <c r="DB84" s="224"/>
      <c r="DC84" s="218"/>
      <c r="DD84" s="218"/>
      <c r="DE84" s="218"/>
      <c r="DF84" s="218"/>
      <c r="DG84" s="218"/>
      <c r="DH84" s="218"/>
      <c r="DI84" s="218"/>
      <c r="DJ84" s="249"/>
      <c r="DK84" s="218"/>
      <c r="DL84" s="218"/>
      <c r="DM84" s="218"/>
      <c r="DN84" s="218"/>
      <c r="DO84" s="218"/>
      <c r="DP84" s="218"/>
      <c r="DQ84" s="227"/>
      <c r="DR84" s="224"/>
      <c r="DS84" s="218"/>
      <c r="DT84" s="218"/>
      <c r="DU84" s="218"/>
      <c r="DV84" s="218"/>
      <c r="DW84" s="218"/>
      <c r="DX84" s="218"/>
      <c r="DY84" s="218"/>
      <c r="DZ84" s="218"/>
      <c r="EA84" s="218"/>
      <c r="EB84" s="218"/>
      <c r="EC84" s="218"/>
      <c r="ED84" s="218"/>
      <c r="EE84" s="218"/>
      <c r="EF84" s="223">
        <f t="shared" ref="EF84:EJ84" si="147">AH84+AP84+AX84+BF84+BN84+BV84+CD84+CL84+CT84+DB84+DJ84+DR84+DZ84</f>
        <v>38</v>
      </c>
      <c r="EG84" s="223">
        <f t="shared" si="147"/>
        <v>36</v>
      </c>
      <c r="EH84" s="223">
        <f t="shared" si="147"/>
        <v>36</v>
      </c>
      <c r="EI84" s="223">
        <f t="shared" si="147"/>
        <v>36</v>
      </c>
      <c r="EJ84" s="223">
        <f t="shared" si="147"/>
        <v>36</v>
      </c>
      <c r="EK84" s="223">
        <f t="shared" si="111"/>
        <v>182</v>
      </c>
      <c r="EL84" s="218">
        <f t="shared" si="112"/>
        <v>5800</v>
      </c>
      <c r="EM84" s="218">
        <f t="shared" si="113"/>
        <v>362.5</v>
      </c>
      <c r="EN84" s="223">
        <f t="shared" si="114"/>
        <v>182</v>
      </c>
      <c r="EO84" s="226">
        <f t="shared" si="115"/>
        <v>180.5</v>
      </c>
      <c r="ER84" s="251"/>
      <c r="EU84" s="220"/>
    </row>
    <row r="85" s="200" customFormat="1" ht="21" spans="1:151 16353:16384">
      <c r="A85" s="380"/>
      <c r="B85" s="357">
        <v>11</v>
      </c>
      <c r="C85" s="235" t="s">
        <v>894</v>
      </c>
      <c r="D85" s="220"/>
      <c r="E85" s="220"/>
      <c r="F85" s="220"/>
      <c r="G85" s="220" t="s">
        <v>717</v>
      </c>
      <c r="H85" s="221" t="s">
        <v>895</v>
      </c>
      <c r="I85" s="239"/>
      <c r="K85" s="207"/>
      <c r="L85" s="239"/>
      <c r="M85" s="239"/>
      <c r="N85" s="221"/>
      <c r="O85" s="221"/>
      <c r="Y85" s="207"/>
      <c r="Z85" s="354" t="s">
        <v>896</v>
      </c>
      <c r="AA85" s="200">
        <v>125</v>
      </c>
      <c r="AB85" s="218">
        <f t="shared" si="117"/>
        <v>149</v>
      </c>
      <c r="AC85" s="205">
        <v>24</v>
      </c>
      <c r="AD85" s="205">
        <v>125</v>
      </c>
      <c r="AE85" s="205"/>
      <c r="AF85" s="364">
        <f t="shared" si="81"/>
        <v>745</v>
      </c>
      <c r="AG85" s="243">
        <v>46082</v>
      </c>
      <c r="AH85" s="244">
        <v>18</v>
      </c>
      <c r="AI85" s="244">
        <v>15</v>
      </c>
      <c r="AJ85" s="409">
        <v>15</v>
      </c>
      <c r="AK85" s="409">
        <v>15</v>
      </c>
      <c r="AL85" s="244"/>
      <c r="AM85" s="244">
        <f t="shared" si="82"/>
        <v>63</v>
      </c>
      <c r="AN85" s="245">
        <f t="shared" si="122"/>
        <v>1.35302013422819</v>
      </c>
      <c r="AO85" s="392">
        <v>46097</v>
      </c>
      <c r="AP85" s="393">
        <v>25</v>
      </c>
      <c r="AQ85" s="327">
        <v>25</v>
      </c>
      <c r="AR85" s="327">
        <v>25</v>
      </c>
      <c r="AS85" s="327">
        <v>25</v>
      </c>
      <c r="AT85" s="327"/>
      <c r="AU85" s="394">
        <f t="shared" si="133"/>
        <v>100</v>
      </c>
      <c r="AV85" s="248">
        <f t="shared" si="118"/>
        <v>2.14765100671141</v>
      </c>
      <c r="AW85" s="271">
        <f t="shared" si="143"/>
        <v>46112.033557047</v>
      </c>
      <c r="AX85" s="387">
        <v>25</v>
      </c>
      <c r="AY85" s="388">
        <v>25</v>
      </c>
      <c r="AZ85" s="388">
        <v>25</v>
      </c>
      <c r="BA85" s="388">
        <v>25</v>
      </c>
      <c r="BB85" s="388"/>
      <c r="BC85" s="401">
        <f t="shared" si="134"/>
        <v>100</v>
      </c>
      <c r="BD85" s="248">
        <f t="shared" si="103"/>
        <v>2.14765100671141</v>
      </c>
      <c r="BE85" s="260">
        <v>46127.067114094</v>
      </c>
      <c r="BF85" s="282">
        <v>20</v>
      </c>
      <c r="BG85" s="282">
        <v>26</v>
      </c>
      <c r="BH85" s="282">
        <v>26</v>
      </c>
      <c r="BI85" s="282">
        <v>26</v>
      </c>
      <c r="BJ85" s="282"/>
      <c r="BK85" s="274">
        <v>98</v>
      </c>
      <c r="BL85" s="248">
        <f t="shared" si="120"/>
        <v>2.10469798657718</v>
      </c>
      <c r="BM85" s="246">
        <f>BE85+BL85*7</f>
        <v>46141.8</v>
      </c>
      <c r="BN85" s="390"/>
      <c r="BR85" s="247"/>
      <c r="BS85" s="247"/>
      <c r="BT85" s="248">
        <f t="shared" si="105"/>
        <v>0</v>
      </c>
      <c r="BU85" s="391"/>
      <c r="BV85" s="390"/>
      <c r="BZ85" s="247"/>
      <c r="CA85" s="245"/>
      <c r="CB85" s="248">
        <f t="shared" si="135"/>
        <v>0</v>
      </c>
      <c r="CC85" s="395"/>
      <c r="CD85" s="390"/>
      <c r="CI85" s="245"/>
      <c r="CJ85" s="248">
        <f t="shared" si="136"/>
        <v>0</v>
      </c>
      <c r="CK85" s="395"/>
      <c r="CL85" s="390"/>
      <c r="CQ85" s="245"/>
      <c r="CR85" s="248">
        <f t="shared" si="137"/>
        <v>0</v>
      </c>
      <c r="CS85" s="395"/>
      <c r="CT85" s="390"/>
      <c r="CY85" s="218"/>
      <c r="CZ85" s="245">
        <f t="shared" si="132"/>
        <v>0</v>
      </c>
      <c r="DA85" s="395"/>
      <c r="DB85" s="390"/>
      <c r="DG85" s="218"/>
      <c r="DI85" s="395"/>
      <c r="DO85" s="218"/>
      <c r="DP85" s="218"/>
      <c r="DQ85" s="391"/>
      <c r="DR85" s="390"/>
      <c r="DW85" s="218"/>
      <c r="DX85" s="218"/>
      <c r="EE85" s="218"/>
      <c r="EF85" s="223">
        <f t="shared" ref="EF85:EJ85" si="148">AH85+AP85+AX85+BF85+BN85+BV85+CD85+CL85+CT85+DB85+DJ85+DR85+DZ85</f>
        <v>88</v>
      </c>
      <c r="EG85" s="223">
        <f t="shared" si="148"/>
        <v>91</v>
      </c>
      <c r="EH85" s="223">
        <f t="shared" si="148"/>
        <v>91</v>
      </c>
      <c r="EI85" s="223">
        <f t="shared" si="148"/>
        <v>91</v>
      </c>
      <c r="EJ85" s="223">
        <f t="shared" si="148"/>
        <v>0</v>
      </c>
      <c r="EK85" s="223">
        <f t="shared" si="111"/>
        <v>361</v>
      </c>
      <c r="EL85" s="218">
        <f t="shared" si="112"/>
        <v>14900</v>
      </c>
      <c r="EM85" s="218">
        <f t="shared" si="113"/>
        <v>931.25</v>
      </c>
      <c r="EN85" s="223">
        <f t="shared" si="114"/>
        <v>361</v>
      </c>
      <c r="EO85" s="226">
        <f t="shared" si="115"/>
        <v>570.25</v>
      </c>
      <c r="ER85" s="251"/>
      <c r="EU85" s="220"/>
    </row>
    <row r="86" s="200" customFormat="1" customHeight="1" spans="1:151 16353:16384">
      <c r="A86" s="380"/>
      <c r="B86" s="357">
        <v>12</v>
      </c>
      <c r="C86" s="410"/>
      <c r="D86" s="220"/>
      <c r="E86" s="220"/>
      <c r="F86" s="220"/>
      <c r="G86" s="220"/>
      <c r="H86" s="221"/>
      <c r="I86" s="239"/>
      <c r="K86" s="207"/>
      <c r="L86" s="239"/>
      <c r="M86" s="239"/>
      <c r="N86" s="221"/>
      <c r="O86" s="221"/>
      <c r="Y86" s="207"/>
      <c r="Z86" s="354"/>
      <c r="AB86" s="242">
        <f t="shared" si="117"/>
        <v>0</v>
      </c>
      <c r="AC86" s="205"/>
      <c r="AD86" s="205"/>
      <c r="AE86" s="205"/>
      <c r="AF86" s="364">
        <f t="shared" si="81"/>
        <v>0</v>
      </c>
      <c r="AG86" s="265"/>
      <c r="AH86" s="247"/>
      <c r="AI86" s="411"/>
      <c r="AJ86" s="412"/>
      <c r="AK86" s="412"/>
      <c r="AL86" s="411"/>
      <c r="AM86" s="247">
        <f t="shared" si="82"/>
        <v>0</v>
      </c>
      <c r="AN86" s="245" t="e">
        <f t="shared" si="122"/>
        <v>#DIV/0!</v>
      </c>
      <c r="AO86" s="395"/>
      <c r="AP86" s="390"/>
      <c r="AU86" s="349">
        <f t="shared" si="133"/>
        <v>0</v>
      </c>
      <c r="AV86" s="248"/>
      <c r="AW86" s="395"/>
      <c r="AX86" s="396"/>
      <c r="BC86" s="397"/>
      <c r="BD86" s="248"/>
      <c r="BE86" s="395"/>
      <c r="BF86" s="390"/>
      <c r="BK86" s="247">
        <f t="shared" si="119"/>
        <v>0</v>
      </c>
      <c r="BL86" s="248" t="e">
        <f t="shared" si="120"/>
        <v>#DIV/0!</v>
      </c>
      <c r="BM86" s="391"/>
      <c r="BN86" s="390"/>
      <c r="BR86" s="411"/>
      <c r="BS86" s="247"/>
      <c r="BT86" s="248"/>
      <c r="BU86" s="391"/>
      <c r="BV86" s="390"/>
      <c r="BZ86" s="411"/>
      <c r="CA86" s="245"/>
      <c r="CB86" s="248"/>
      <c r="CC86" s="395"/>
      <c r="CD86" s="390"/>
      <c r="CI86" s="245"/>
      <c r="CJ86" s="248"/>
      <c r="CK86" s="395"/>
      <c r="CL86" s="390"/>
      <c r="CQ86" s="245"/>
      <c r="CR86" s="248"/>
      <c r="CS86" s="395"/>
      <c r="CT86" s="390"/>
      <c r="CY86" s="218"/>
      <c r="CZ86" s="245"/>
      <c r="DA86" s="395"/>
      <c r="DB86" s="390"/>
      <c r="DG86" s="218"/>
      <c r="DO86" s="218"/>
      <c r="DP86" s="218"/>
      <c r="DQ86" s="391"/>
      <c r="DR86" s="390"/>
      <c r="DW86" s="218"/>
      <c r="DX86" s="218"/>
      <c r="EE86" s="218"/>
      <c r="EF86" s="223"/>
      <c r="EG86" s="223"/>
      <c r="EH86" s="223"/>
      <c r="EI86" s="223"/>
      <c r="EJ86" s="223"/>
      <c r="EK86" s="223"/>
      <c r="EL86" s="218">
        <f t="shared" si="112"/>
        <v>0</v>
      </c>
      <c r="EM86" s="218">
        <f t="shared" si="113"/>
        <v>0</v>
      </c>
      <c r="EN86" s="223">
        <f t="shared" si="114"/>
        <v>0</v>
      </c>
      <c r="EO86" s="226">
        <f t="shared" si="115"/>
        <v>0</v>
      </c>
      <c r="ER86" s="251"/>
      <c r="EU86" s="220"/>
    </row>
    <row r="87" s="200" customFormat="1" customHeight="1" spans="1:151 16353:16384">
      <c r="A87" s="380"/>
      <c r="B87" s="357">
        <v>13</v>
      </c>
      <c r="C87" s="201" t="s">
        <v>897</v>
      </c>
      <c r="D87" s="220"/>
      <c r="E87" s="220"/>
      <c r="F87" s="220"/>
      <c r="G87" s="220" t="s">
        <v>624</v>
      </c>
      <c r="H87" s="239">
        <v>18318695383</v>
      </c>
      <c r="I87" s="239"/>
      <c r="K87" s="207"/>
      <c r="L87" s="239"/>
      <c r="M87" s="239"/>
      <c r="N87" s="221"/>
      <c r="O87" s="221"/>
      <c r="Y87" s="207"/>
      <c r="Z87" s="354" t="s">
        <v>624</v>
      </c>
      <c r="AA87" s="200">
        <v>125</v>
      </c>
      <c r="AB87" s="218">
        <v>14</v>
      </c>
      <c r="AC87" s="205">
        <v>1</v>
      </c>
      <c r="AD87" s="205">
        <v>13</v>
      </c>
      <c r="AE87" s="205"/>
      <c r="AF87" s="364">
        <f t="shared" si="81"/>
        <v>70</v>
      </c>
      <c r="AG87" s="243">
        <v>46084</v>
      </c>
      <c r="AH87" s="413">
        <v>6</v>
      </c>
      <c r="AI87" s="409">
        <v>5</v>
      </c>
      <c r="AJ87" s="409">
        <v>5</v>
      </c>
      <c r="AK87" s="409">
        <v>5</v>
      </c>
      <c r="AL87" s="413"/>
      <c r="AM87" s="244">
        <f t="shared" si="82"/>
        <v>21</v>
      </c>
      <c r="AN87" s="245">
        <f t="shared" si="122"/>
        <v>4.8</v>
      </c>
      <c r="AO87" s="271">
        <f>AG87+AN87*7</f>
        <v>46117.6</v>
      </c>
      <c r="AP87" s="386">
        <v>3</v>
      </c>
      <c r="AQ87" s="388">
        <v>3</v>
      </c>
      <c r="AR87" s="388">
        <v>3</v>
      </c>
      <c r="AS87" s="388">
        <v>3</v>
      </c>
      <c r="AT87" s="388"/>
      <c r="AU87" s="274">
        <f t="shared" si="133"/>
        <v>12</v>
      </c>
      <c r="AV87" s="248">
        <f t="shared" ref="AV87:AV95" si="149">AU87*16/AF87</f>
        <v>2.74285714285714</v>
      </c>
      <c r="AW87" s="246">
        <f t="shared" ref="AW87:AW98" si="150">AO87+AV87*7</f>
        <v>46136.8</v>
      </c>
      <c r="AX87" s="396"/>
      <c r="BC87" s="397">
        <f t="shared" ref="BC87:BC95" si="151">AX87+AY87+AZ87+BA87+BB87</f>
        <v>0</v>
      </c>
      <c r="BD87" s="248">
        <f t="shared" ref="BD87:BD95" si="152">BC87*16/AF87</f>
        <v>0</v>
      </c>
      <c r="BE87" s="395"/>
      <c r="BF87" s="390"/>
      <c r="BK87" s="247">
        <f t="shared" si="119"/>
        <v>0</v>
      </c>
      <c r="BL87" s="248">
        <f t="shared" si="120"/>
        <v>0</v>
      </c>
      <c r="BM87" s="395"/>
      <c r="BN87" s="390"/>
      <c r="BS87" s="247"/>
      <c r="BT87" s="248">
        <f t="shared" ref="BT87:BT95" si="153">BS87*16/AF87</f>
        <v>0</v>
      </c>
      <c r="BU87" s="395"/>
      <c r="BV87" s="390"/>
      <c r="CA87" s="245"/>
      <c r="CB87" s="248">
        <f t="shared" ref="CB87:CB95" si="154">CA87*16/AF87</f>
        <v>0</v>
      </c>
      <c r="CC87" s="395"/>
      <c r="CD87" s="390"/>
      <c r="CI87" s="245"/>
      <c r="CJ87" s="248">
        <f t="shared" ref="CJ87:CJ95" si="155">CI87*16/AF87</f>
        <v>0</v>
      </c>
      <c r="CK87" s="249"/>
      <c r="CL87" s="390"/>
      <c r="CQ87" s="245"/>
      <c r="CR87" s="248">
        <f t="shared" ref="CR87:CR95" si="156">CQ87*16/AF87</f>
        <v>0</v>
      </c>
      <c r="CS87" s="246"/>
      <c r="CT87" s="390"/>
      <c r="CY87" s="218"/>
      <c r="CZ87" s="245">
        <f t="shared" ref="CZ87:CZ95" si="157">CY87*16/AF87</f>
        <v>0</v>
      </c>
      <c r="DB87" s="390"/>
      <c r="DG87" s="218"/>
      <c r="DO87" s="218"/>
      <c r="DP87" s="218"/>
      <c r="DQ87" s="391"/>
      <c r="DR87" s="390"/>
      <c r="DW87" s="218"/>
      <c r="DX87" s="218"/>
      <c r="EE87" s="218"/>
      <c r="EF87" s="223">
        <f t="shared" ref="EF87:EJ87" si="158">AH87+AP87+AX87+BF87+BN87+BV87+CD87+CL87+CT87+DB87+DJ87+DR87+DZ87</f>
        <v>9</v>
      </c>
      <c r="EG87" s="223">
        <f t="shared" si="158"/>
        <v>8</v>
      </c>
      <c r="EH87" s="223">
        <f t="shared" si="158"/>
        <v>8</v>
      </c>
      <c r="EI87" s="223">
        <f t="shared" si="158"/>
        <v>8</v>
      </c>
      <c r="EJ87" s="223">
        <f t="shared" si="158"/>
        <v>0</v>
      </c>
      <c r="EK87" s="223">
        <f t="shared" ref="EK87:EK95" si="159">SUM(EF87:EJ87)</f>
        <v>33</v>
      </c>
      <c r="EL87" s="218">
        <f t="shared" si="112"/>
        <v>1400</v>
      </c>
      <c r="EM87" s="218">
        <f t="shared" si="113"/>
        <v>87.5</v>
      </c>
      <c r="EN87" s="223">
        <f t="shared" si="114"/>
        <v>33</v>
      </c>
      <c r="EO87" s="226">
        <f t="shared" si="115"/>
        <v>54.5</v>
      </c>
      <c r="ER87" s="251"/>
      <c r="EU87" s="220"/>
    </row>
    <row r="88" s="200" customFormat="1" customHeight="1" spans="1:151 16353:16384">
      <c r="A88" s="380"/>
      <c r="B88" s="406">
        <v>14</v>
      </c>
      <c r="C88" s="220" t="s">
        <v>898</v>
      </c>
      <c r="D88" s="220" t="s">
        <v>13</v>
      </c>
      <c r="E88" s="220"/>
      <c r="F88" s="220" t="s">
        <v>125</v>
      </c>
      <c r="G88" s="220" t="s">
        <v>209</v>
      </c>
      <c r="H88" s="239">
        <v>13729608990</v>
      </c>
      <c r="I88" s="239">
        <v>66990</v>
      </c>
      <c r="J88" s="220" t="s">
        <v>210</v>
      </c>
      <c r="K88" s="221">
        <v>13828520309</v>
      </c>
      <c r="L88" s="239">
        <v>620309</v>
      </c>
      <c r="M88" s="239"/>
      <c r="N88" s="221"/>
      <c r="O88" s="221"/>
      <c r="Q88" s="200" t="s">
        <v>695</v>
      </c>
      <c r="W88" s="207"/>
      <c r="X88" s="343" t="s">
        <v>899</v>
      </c>
      <c r="Y88" s="343">
        <v>18820542882</v>
      </c>
      <c r="Z88" s="354" t="s">
        <v>900</v>
      </c>
      <c r="AA88" s="200">
        <v>200</v>
      </c>
      <c r="AB88" s="218">
        <v>49</v>
      </c>
      <c r="AC88" s="200">
        <v>3</v>
      </c>
      <c r="AD88" s="200">
        <v>46</v>
      </c>
      <c r="AF88" s="364">
        <f t="shared" si="81"/>
        <v>245</v>
      </c>
      <c r="AG88" s="243">
        <v>46082</v>
      </c>
      <c r="AH88" s="244">
        <v>18</v>
      </c>
      <c r="AI88" s="414">
        <v>13</v>
      </c>
      <c r="AJ88" s="414">
        <v>13</v>
      </c>
      <c r="AK88" s="414">
        <v>13</v>
      </c>
      <c r="AL88" s="414">
        <v>13</v>
      </c>
      <c r="AM88" s="244">
        <f t="shared" si="82"/>
        <v>70</v>
      </c>
      <c r="AN88" s="245">
        <f t="shared" si="122"/>
        <v>4.57142857142857</v>
      </c>
      <c r="AO88" s="243">
        <v>46107</v>
      </c>
      <c r="AP88" s="244">
        <v>15</v>
      </c>
      <c r="AQ88" s="414">
        <v>15</v>
      </c>
      <c r="AR88" s="414">
        <v>15</v>
      </c>
      <c r="AS88" s="414">
        <v>15</v>
      </c>
      <c r="AT88" s="414">
        <v>15</v>
      </c>
      <c r="AU88" s="394">
        <f t="shared" si="133"/>
        <v>75</v>
      </c>
      <c r="AV88" s="248">
        <f t="shared" si="149"/>
        <v>4.89795918367347</v>
      </c>
      <c r="AW88" s="246">
        <f t="shared" si="150"/>
        <v>46141.2857142857</v>
      </c>
      <c r="AX88" s="247"/>
      <c r="AY88" s="396"/>
      <c r="AZ88" s="396"/>
      <c r="BA88" s="396"/>
      <c r="BB88" s="396"/>
      <c r="BC88" s="397">
        <f t="shared" si="151"/>
        <v>0</v>
      </c>
      <c r="BD88" s="248">
        <f t="shared" si="152"/>
        <v>0</v>
      </c>
      <c r="BE88" s="395"/>
      <c r="BF88" s="390"/>
      <c r="BK88" s="247">
        <f t="shared" si="119"/>
        <v>0</v>
      </c>
      <c r="BL88" s="248">
        <f t="shared" si="120"/>
        <v>0</v>
      </c>
      <c r="BM88" s="395"/>
      <c r="BN88" s="390"/>
      <c r="BS88" s="247"/>
      <c r="BT88" s="248">
        <f t="shared" si="153"/>
        <v>0</v>
      </c>
      <c r="BU88" s="395"/>
      <c r="BV88" s="390"/>
      <c r="CA88" s="245"/>
      <c r="CB88" s="248">
        <f t="shared" si="154"/>
        <v>0</v>
      </c>
      <c r="CC88" s="395"/>
      <c r="CD88" s="390"/>
      <c r="CI88" s="245"/>
      <c r="CJ88" s="248">
        <f t="shared" si="155"/>
        <v>0</v>
      </c>
      <c r="CK88" s="415"/>
      <c r="CL88" s="390"/>
      <c r="CQ88" s="245"/>
      <c r="CR88" s="248">
        <f t="shared" si="156"/>
        <v>0</v>
      </c>
      <c r="CS88" s="246"/>
      <c r="CT88" s="390"/>
      <c r="CY88" s="218"/>
      <c r="CZ88" s="245">
        <f t="shared" si="157"/>
        <v>0</v>
      </c>
      <c r="DB88" s="390"/>
      <c r="DG88" s="218"/>
      <c r="DO88" s="218"/>
      <c r="DP88" s="218"/>
      <c r="DQ88" s="391"/>
      <c r="DR88" s="390"/>
      <c r="DW88" s="218"/>
      <c r="DX88" s="218"/>
      <c r="EE88" s="218"/>
      <c r="EF88" s="223">
        <f t="shared" ref="EF88:EJ88" si="160">AH88+AP88+AX88+BF88+BN88+BV88+CD88+CL88+CT88+DB88+DJ88+DR88+DZ88</f>
        <v>33</v>
      </c>
      <c r="EG88" s="223">
        <f t="shared" si="160"/>
        <v>28</v>
      </c>
      <c r="EH88" s="223">
        <f t="shared" si="160"/>
        <v>28</v>
      </c>
      <c r="EI88" s="223">
        <f t="shared" si="160"/>
        <v>28</v>
      </c>
      <c r="EJ88" s="223">
        <f t="shared" si="160"/>
        <v>28</v>
      </c>
      <c r="EK88" s="223">
        <f t="shared" si="159"/>
        <v>145</v>
      </c>
      <c r="EL88" s="218">
        <f t="shared" si="112"/>
        <v>4900</v>
      </c>
      <c r="EM88" s="218">
        <f t="shared" si="113"/>
        <v>306.25</v>
      </c>
      <c r="EN88" s="223">
        <f t="shared" si="114"/>
        <v>145</v>
      </c>
      <c r="EO88" s="226">
        <f t="shared" si="115"/>
        <v>161.25</v>
      </c>
      <c r="ER88" s="251"/>
      <c r="EU88" s="220"/>
    </row>
    <row r="89" s="200" customFormat="1" ht="21" spans="1:151 16353:16384">
      <c r="A89" s="380"/>
      <c r="B89" s="406">
        <v>15</v>
      </c>
      <c r="C89" s="235" t="s">
        <v>901</v>
      </c>
      <c r="D89" s="220"/>
      <c r="E89" s="220"/>
      <c r="F89" s="220"/>
      <c r="G89" s="220" t="s">
        <v>512</v>
      </c>
      <c r="H89" s="239">
        <v>13425224488</v>
      </c>
      <c r="I89" s="239"/>
      <c r="J89" s="220"/>
      <c r="K89" s="221"/>
      <c r="L89" s="239"/>
      <c r="M89" s="239"/>
      <c r="N89" s="221"/>
      <c r="O89" s="221"/>
      <c r="Y89" s="390"/>
      <c r="Z89" s="354" t="s">
        <v>880</v>
      </c>
      <c r="AA89" s="200">
        <v>125</v>
      </c>
      <c r="AB89" s="218">
        <v>63</v>
      </c>
      <c r="AC89" s="200">
        <v>7</v>
      </c>
      <c r="AD89" s="200">
        <v>56</v>
      </c>
      <c r="AF89" s="364">
        <f t="shared" si="81"/>
        <v>315</v>
      </c>
      <c r="AG89" s="243">
        <v>46082</v>
      </c>
      <c r="AH89" s="393">
        <v>2</v>
      </c>
      <c r="AI89" s="327">
        <v>2</v>
      </c>
      <c r="AJ89" s="327">
        <v>2</v>
      </c>
      <c r="AK89" s="327">
        <v>2</v>
      </c>
      <c r="AL89" s="414"/>
      <c r="AM89" s="244">
        <f t="shared" si="82"/>
        <v>8</v>
      </c>
      <c r="AN89" s="245">
        <f t="shared" si="122"/>
        <v>0.406349206349206</v>
      </c>
      <c r="AO89" s="392">
        <v>46093</v>
      </c>
      <c r="AP89" s="393">
        <v>6</v>
      </c>
      <c r="AQ89" s="327">
        <v>6</v>
      </c>
      <c r="AR89" s="327">
        <v>6</v>
      </c>
      <c r="AS89" s="327">
        <v>6</v>
      </c>
      <c r="AT89" s="327"/>
      <c r="AU89" s="394">
        <f t="shared" si="133"/>
        <v>24</v>
      </c>
      <c r="AV89" s="248">
        <f t="shared" si="149"/>
        <v>1.21904761904762</v>
      </c>
      <c r="AW89" s="243">
        <v>46099</v>
      </c>
      <c r="AX89" s="414">
        <v>10</v>
      </c>
      <c r="AY89" s="327">
        <v>10</v>
      </c>
      <c r="AZ89" s="327">
        <v>10</v>
      </c>
      <c r="BA89" s="327">
        <v>10</v>
      </c>
      <c r="BB89" s="327"/>
      <c r="BC89" s="389">
        <f t="shared" si="151"/>
        <v>40</v>
      </c>
      <c r="BD89" s="248">
        <f t="shared" si="152"/>
        <v>2.03174603174603</v>
      </c>
      <c r="BE89" s="392">
        <v>46108</v>
      </c>
      <c r="BF89" s="393">
        <v>15</v>
      </c>
      <c r="BG89" s="327">
        <v>15</v>
      </c>
      <c r="BH89" s="327">
        <v>15</v>
      </c>
      <c r="BI89" s="327">
        <v>15</v>
      </c>
      <c r="BJ89" s="327"/>
      <c r="BK89" s="244">
        <f t="shared" si="119"/>
        <v>60</v>
      </c>
      <c r="BL89" s="248">
        <f t="shared" si="120"/>
        <v>3.04761904761905</v>
      </c>
      <c r="BM89" s="260">
        <v>46129.3333333333</v>
      </c>
      <c r="BN89" s="282">
        <v>5</v>
      </c>
      <c r="BO89" s="282">
        <v>5</v>
      </c>
      <c r="BP89" s="282">
        <v>5</v>
      </c>
      <c r="BQ89" s="282">
        <v>5</v>
      </c>
      <c r="BR89" s="282"/>
      <c r="BS89" s="274">
        <v>20</v>
      </c>
      <c r="BT89" s="248">
        <f t="shared" si="153"/>
        <v>1.01587301587302</v>
      </c>
      <c r="BU89" s="246">
        <f>BM89+BT89*7</f>
        <v>46136.4444444444</v>
      </c>
      <c r="BV89" s="390"/>
      <c r="CA89" s="245"/>
      <c r="CB89" s="248">
        <f t="shared" si="154"/>
        <v>0</v>
      </c>
      <c r="CC89" s="246">
        <f>BU89+CB89*7</f>
        <v>46136.4444444444</v>
      </c>
      <c r="CD89" s="390"/>
      <c r="CI89" s="245"/>
      <c r="CJ89" s="248">
        <f t="shared" si="155"/>
        <v>0</v>
      </c>
      <c r="CL89" s="390"/>
      <c r="CQ89" s="245"/>
      <c r="CR89" s="248">
        <f t="shared" si="156"/>
        <v>0</v>
      </c>
      <c r="CT89" s="390"/>
      <c r="CY89" s="218"/>
      <c r="CZ89" s="245">
        <f t="shared" si="157"/>
        <v>0</v>
      </c>
      <c r="DB89" s="390"/>
      <c r="DG89" s="218"/>
      <c r="DO89" s="218"/>
      <c r="DP89" s="218"/>
      <c r="DQ89" s="391"/>
      <c r="DR89" s="390"/>
      <c r="DW89" s="218"/>
      <c r="DX89" s="218"/>
      <c r="EE89" s="218"/>
      <c r="EF89" s="223">
        <f t="shared" ref="EF89:EJ89" si="161">AH89+AP89+AX89+BF89+BN89+BV89+CD89+CL89+CT89+DB89+DJ89+DR89+DZ89</f>
        <v>38</v>
      </c>
      <c r="EG89" s="223">
        <f t="shared" si="161"/>
        <v>38</v>
      </c>
      <c r="EH89" s="223">
        <f t="shared" si="161"/>
        <v>38</v>
      </c>
      <c r="EI89" s="223">
        <f t="shared" si="161"/>
        <v>38</v>
      </c>
      <c r="EJ89" s="223">
        <f t="shared" si="161"/>
        <v>0</v>
      </c>
      <c r="EK89" s="223">
        <f t="shared" si="159"/>
        <v>152</v>
      </c>
      <c r="EL89" s="218">
        <f t="shared" si="112"/>
        <v>6300</v>
      </c>
      <c r="EM89" s="218">
        <f t="shared" si="113"/>
        <v>393.75</v>
      </c>
      <c r="EN89" s="223">
        <f t="shared" si="114"/>
        <v>152</v>
      </c>
      <c r="EO89" s="226">
        <f t="shared" si="115"/>
        <v>241.75</v>
      </c>
      <c r="ER89" s="251"/>
      <c r="EU89" s="220"/>
    </row>
    <row r="90" s="200" customFormat="1" customHeight="1" spans="1:151 16353:16384">
      <c r="A90" s="380"/>
      <c r="B90" s="406">
        <v>16</v>
      </c>
      <c r="C90" s="220" t="s">
        <v>902</v>
      </c>
      <c r="D90" s="220" t="s">
        <v>13</v>
      </c>
      <c r="E90" s="220" t="s">
        <v>405</v>
      </c>
      <c r="F90" s="220" t="s">
        <v>120</v>
      </c>
      <c r="G90" s="221" t="s">
        <v>214</v>
      </c>
      <c r="H90" s="221" t="s">
        <v>215</v>
      </c>
      <c r="I90" s="220">
        <v>668209</v>
      </c>
      <c r="J90" s="221" t="s">
        <v>214</v>
      </c>
      <c r="K90" s="221" t="s">
        <v>215</v>
      </c>
      <c r="L90" s="220">
        <v>668209</v>
      </c>
      <c r="M90" s="239">
        <f>SUM(A90:B90)</f>
        <v>16</v>
      </c>
      <c r="N90" s="221"/>
      <c r="O90" s="221" t="s">
        <v>451</v>
      </c>
      <c r="Q90" s="200" t="s">
        <v>408</v>
      </c>
      <c r="R90" s="200" t="s">
        <v>418</v>
      </c>
      <c r="S90" s="200" t="s">
        <v>418</v>
      </c>
      <c r="V90" s="200" t="s">
        <v>903</v>
      </c>
      <c r="W90" s="200">
        <v>13435258931</v>
      </c>
      <c r="X90" s="200" t="s">
        <v>904</v>
      </c>
      <c r="Y90" s="390">
        <v>13413484889</v>
      </c>
      <c r="Z90" s="354"/>
      <c r="AA90" s="200">
        <v>200</v>
      </c>
      <c r="AB90" s="242">
        <f t="shared" si="117"/>
        <v>0</v>
      </c>
      <c r="AF90" s="364">
        <f t="shared" si="81"/>
        <v>0</v>
      </c>
      <c r="AG90" s="265"/>
      <c r="AH90" s="390"/>
      <c r="AM90" s="247">
        <f t="shared" si="82"/>
        <v>0</v>
      </c>
      <c r="AN90" s="245" t="e">
        <f t="shared" si="122"/>
        <v>#DIV/0!</v>
      </c>
      <c r="AO90" s="395"/>
      <c r="AP90" s="390"/>
      <c r="AU90" s="349">
        <f t="shared" si="133"/>
        <v>0</v>
      </c>
      <c r="AV90" s="248" t="e">
        <f t="shared" si="149"/>
        <v>#DIV/0!</v>
      </c>
      <c r="AW90" s="395"/>
      <c r="AX90" s="396"/>
      <c r="BC90" s="397">
        <f t="shared" si="151"/>
        <v>0</v>
      </c>
      <c r="BD90" s="248" t="e">
        <f t="shared" si="152"/>
        <v>#DIV/0!</v>
      </c>
      <c r="BE90" s="395"/>
      <c r="BF90" s="390"/>
      <c r="BK90" s="247">
        <f t="shared" si="119"/>
        <v>0</v>
      </c>
      <c r="BL90" s="248" t="e">
        <f t="shared" si="120"/>
        <v>#DIV/0!</v>
      </c>
      <c r="BM90" s="416"/>
      <c r="BN90" s="390"/>
      <c r="BS90" s="247"/>
      <c r="BT90" s="248" t="e">
        <f t="shared" si="153"/>
        <v>#DIV/0!</v>
      </c>
      <c r="BU90" s="395"/>
      <c r="BV90" s="390"/>
      <c r="CA90" s="245"/>
      <c r="CB90" s="248" t="e">
        <f t="shared" si="154"/>
        <v>#DIV/0!</v>
      </c>
      <c r="CC90" s="395"/>
      <c r="CD90" s="390"/>
      <c r="CI90" s="245"/>
      <c r="CJ90" s="248" t="e">
        <f t="shared" si="155"/>
        <v>#DIV/0!</v>
      </c>
      <c r="CL90" s="390"/>
      <c r="CQ90" s="245"/>
      <c r="CR90" s="248" t="e">
        <f t="shared" si="156"/>
        <v>#DIV/0!</v>
      </c>
      <c r="CT90" s="390"/>
      <c r="CY90" s="218"/>
      <c r="CZ90" s="245" t="e">
        <f t="shared" si="157"/>
        <v>#DIV/0!</v>
      </c>
      <c r="DB90" s="390"/>
      <c r="DG90" s="218"/>
      <c r="DO90" s="218"/>
      <c r="DP90" s="218"/>
      <c r="DQ90" s="391"/>
      <c r="DR90" s="390"/>
      <c r="DW90" s="218"/>
      <c r="DX90" s="218"/>
      <c r="EE90" s="218"/>
      <c r="EF90" s="223">
        <f t="shared" ref="EF90:EJ90" si="162">AH90+AP90+AX90+BF90+BN90+BV90+CD90+CL90+CT90+DB90+DJ90+DR90+DZ90</f>
        <v>0</v>
      </c>
      <c r="EG90" s="223">
        <f t="shared" si="162"/>
        <v>0</v>
      </c>
      <c r="EH90" s="223">
        <f t="shared" si="162"/>
        <v>0</v>
      </c>
      <c r="EI90" s="223">
        <f t="shared" si="162"/>
        <v>0</v>
      </c>
      <c r="EJ90" s="223">
        <f t="shared" si="162"/>
        <v>0</v>
      </c>
      <c r="EK90" s="223">
        <f t="shared" si="159"/>
        <v>0</v>
      </c>
      <c r="EL90" s="218">
        <f t="shared" si="112"/>
        <v>0</v>
      </c>
      <c r="EM90" s="218">
        <f t="shared" si="113"/>
        <v>0</v>
      </c>
      <c r="EN90" s="223">
        <f t="shared" si="114"/>
        <v>0</v>
      </c>
      <c r="EO90" s="226">
        <f t="shared" si="115"/>
        <v>0</v>
      </c>
      <c r="ER90" s="251"/>
      <c r="EU90" s="220"/>
    </row>
    <row r="91" s="202" customFormat="1" customHeight="1" spans="1:151 16353:16384">
      <c r="A91" s="380"/>
      <c r="B91" s="357">
        <v>17</v>
      </c>
      <c r="C91" s="417" t="s">
        <v>905</v>
      </c>
      <c r="D91" s="322" t="s">
        <v>13</v>
      </c>
      <c r="E91" s="322" t="s">
        <v>405</v>
      </c>
      <c r="F91" s="220" t="s">
        <v>125</v>
      </c>
      <c r="G91" s="221" t="s">
        <v>218</v>
      </c>
      <c r="H91" s="221" t="s">
        <v>219</v>
      </c>
      <c r="I91" s="220">
        <v>68334</v>
      </c>
      <c r="J91" s="220" t="s">
        <v>220</v>
      </c>
      <c r="K91" s="220">
        <v>13922567493</v>
      </c>
      <c r="L91" s="220">
        <v>667493</v>
      </c>
      <c r="M91" s="418"/>
      <c r="N91" s="324"/>
      <c r="O91" s="324" t="s">
        <v>906</v>
      </c>
      <c r="Q91" s="202" t="s">
        <v>408</v>
      </c>
      <c r="R91" s="202" t="s">
        <v>418</v>
      </c>
      <c r="S91" s="202" t="s">
        <v>418</v>
      </c>
      <c r="V91" s="202" t="s">
        <v>907</v>
      </c>
      <c r="W91" s="202">
        <v>15975835018</v>
      </c>
      <c r="X91" s="200" t="s">
        <v>907</v>
      </c>
      <c r="Y91" s="200">
        <v>15975835018</v>
      </c>
      <c r="Z91" s="354" t="s">
        <v>907</v>
      </c>
      <c r="AA91" s="310">
        <v>200</v>
      </c>
      <c r="AB91" s="218">
        <v>20</v>
      </c>
      <c r="AC91" s="310">
        <v>1</v>
      </c>
      <c r="AD91" s="310">
        <v>19</v>
      </c>
      <c r="AE91" s="310"/>
      <c r="AF91" s="364">
        <f t="shared" si="81"/>
        <v>100</v>
      </c>
      <c r="AG91" s="243">
        <v>46084</v>
      </c>
      <c r="AH91" s="419">
        <v>3</v>
      </c>
      <c r="AI91" s="420">
        <v>3</v>
      </c>
      <c r="AJ91" s="420">
        <v>4</v>
      </c>
      <c r="AK91" s="420">
        <v>3</v>
      </c>
      <c r="AL91" s="420">
        <v>7</v>
      </c>
      <c r="AM91" s="244">
        <f t="shared" si="82"/>
        <v>20</v>
      </c>
      <c r="AN91" s="245">
        <f t="shared" si="122"/>
        <v>3.2</v>
      </c>
      <c r="AO91" s="271">
        <v>46112</v>
      </c>
      <c r="AP91" s="281">
        <v>4</v>
      </c>
      <c r="AQ91" s="421">
        <v>4</v>
      </c>
      <c r="AR91" s="421">
        <v>4</v>
      </c>
      <c r="AS91" s="421">
        <v>4.5</v>
      </c>
      <c r="AT91" s="421">
        <v>5</v>
      </c>
      <c r="AU91" s="422">
        <f t="shared" si="133"/>
        <v>21.5</v>
      </c>
      <c r="AV91" s="248">
        <f t="shared" si="149"/>
        <v>3.44</v>
      </c>
      <c r="AW91" s="255">
        <v>46125</v>
      </c>
      <c r="AX91" s="423">
        <v>3</v>
      </c>
      <c r="AY91" s="424">
        <v>3</v>
      </c>
      <c r="AZ91" s="424">
        <v>3</v>
      </c>
      <c r="BA91" s="424">
        <v>3</v>
      </c>
      <c r="BB91" s="424">
        <v>3</v>
      </c>
      <c r="BC91" s="425">
        <f t="shared" si="151"/>
        <v>15</v>
      </c>
      <c r="BD91" s="248">
        <f t="shared" si="152"/>
        <v>2.4</v>
      </c>
      <c r="BE91" s="249">
        <f t="shared" ref="BE91:BE93" si="163">AW91+BD91*7</f>
        <v>46141.8</v>
      </c>
      <c r="BF91" s="224"/>
      <c r="BG91" s="310"/>
      <c r="BH91" s="310"/>
      <c r="BI91" s="310"/>
      <c r="BJ91" s="310"/>
      <c r="BK91" s="247">
        <f t="shared" si="119"/>
        <v>0</v>
      </c>
      <c r="BL91" s="248">
        <f t="shared" si="120"/>
        <v>0</v>
      </c>
      <c r="BM91" s="246">
        <f>BE91+BL91*7</f>
        <v>46141.8</v>
      </c>
      <c r="BN91" s="314"/>
      <c r="BO91" s="310"/>
      <c r="BP91" s="310"/>
      <c r="BQ91" s="310"/>
      <c r="BR91" s="310"/>
      <c r="BS91" s="247"/>
      <c r="BT91" s="248">
        <f t="shared" si="153"/>
        <v>0</v>
      </c>
      <c r="BU91" s="317"/>
      <c r="BV91" s="314"/>
      <c r="BW91" s="310"/>
      <c r="BX91" s="310"/>
      <c r="BY91" s="310"/>
      <c r="BZ91" s="310"/>
      <c r="CA91" s="245"/>
      <c r="CB91" s="248">
        <f t="shared" si="154"/>
        <v>0</v>
      </c>
      <c r="CC91" s="317"/>
      <c r="CD91" s="314"/>
      <c r="CE91" s="310"/>
      <c r="CF91" s="310"/>
      <c r="CG91" s="310"/>
      <c r="CH91" s="310"/>
      <c r="CI91" s="245"/>
      <c r="CJ91" s="248">
        <f t="shared" si="155"/>
        <v>0</v>
      </c>
      <c r="CK91" s="246"/>
      <c r="CL91" s="314"/>
      <c r="CM91" s="310"/>
      <c r="CN91" s="310"/>
      <c r="CO91" s="310"/>
      <c r="CP91" s="310"/>
      <c r="CQ91" s="245"/>
      <c r="CR91" s="248">
        <f t="shared" si="156"/>
        <v>0</v>
      </c>
      <c r="CS91" s="310"/>
      <c r="CT91" s="314"/>
      <c r="CU91" s="310"/>
      <c r="CV91" s="310"/>
      <c r="CW91" s="310"/>
      <c r="CX91" s="310"/>
      <c r="CY91" s="218"/>
      <c r="CZ91" s="245">
        <f t="shared" si="157"/>
        <v>0</v>
      </c>
      <c r="DA91" s="310"/>
      <c r="DB91" s="314"/>
      <c r="DC91" s="310"/>
      <c r="DD91" s="310"/>
      <c r="DE91" s="310"/>
      <c r="DF91" s="310"/>
      <c r="DG91" s="218"/>
      <c r="DH91" s="310"/>
      <c r="DI91" s="310"/>
      <c r="DJ91" s="310"/>
      <c r="DK91" s="310"/>
      <c r="DL91" s="310"/>
      <c r="DM91" s="310"/>
      <c r="DN91" s="310"/>
      <c r="DO91" s="218"/>
      <c r="DP91" s="218"/>
      <c r="DQ91" s="318"/>
      <c r="DR91" s="314"/>
      <c r="DS91" s="310"/>
      <c r="DT91" s="310"/>
      <c r="DU91" s="310"/>
      <c r="DV91" s="310"/>
      <c r="DW91" s="218"/>
      <c r="DX91" s="218"/>
      <c r="DY91" s="310"/>
      <c r="DZ91" s="310"/>
      <c r="EA91" s="310"/>
      <c r="EB91" s="310"/>
      <c r="EC91" s="310"/>
      <c r="ED91" s="310"/>
      <c r="EE91" s="218"/>
      <c r="EF91" s="223">
        <f t="shared" ref="EF91:EJ91" si="164">AH91+AP91+AX91+BF91+BN91+BV91+CD91+CL91+CT91+DB91+DJ91+DR91+DZ91</f>
        <v>10</v>
      </c>
      <c r="EG91" s="223">
        <f t="shared" si="164"/>
        <v>10</v>
      </c>
      <c r="EH91" s="223">
        <f t="shared" si="164"/>
        <v>11</v>
      </c>
      <c r="EI91" s="223">
        <f t="shared" si="164"/>
        <v>10.5</v>
      </c>
      <c r="EJ91" s="223">
        <f t="shared" si="164"/>
        <v>15</v>
      </c>
      <c r="EK91" s="223">
        <f t="shared" si="159"/>
        <v>56.5</v>
      </c>
      <c r="EL91" s="218">
        <f t="shared" si="112"/>
        <v>2000</v>
      </c>
      <c r="EM91" s="218">
        <f t="shared" si="113"/>
        <v>125</v>
      </c>
      <c r="EN91" s="223">
        <f t="shared" si="114"/>
        <v>56.5</v>
      </c>
      <c r="EO91" s="226">
        <f t="shared" si="115"/>
        <v>68.5</v>
      </c>
      <c r="ER91" s="320"/>
      <c r="EU91" s="322"/>
    </row>
    <row r="92" s="200" customFormat="1" customHeight="1" spans="1:151 16353:16384">
      <c r="A92" s="380"/>
      <c r="B92" s="357">
        <v>18</v>
      </c>
      <c r="C92" s="219" t="s">
        <v>908</v>
      </c>
      <c r="D92" s="220"/>
      <c r="E92" s="220"/>
      <c r="F92" s="220"/>
      <c r="G92" s="200" t="s">
        <v>909</v>
      </c>
      <c r="H92" s="239"/>
      <c r="I92" s="239"/>
      <c r="K92" s="207"/>
      <c r="L92" s="239"/>
      <c r="M92" s="239"/>
      <c r="N92" s="221"/>
      <c r="O92" s="221"/>
      <c r="X92" s="426" t="s">
        <v>910</v>
      </c>
      <c r="Y92" s="426">
        <v>13535988483</v>
      </c>
      <c r="Z92" s="354" t="s">
        <v>910</v>
      </c>
      <c r="AA92" s="218">
        <v>200</v>
      </c>
      <c r="AB92" s="218">
        <f t="shared" si="117"/>
        <v>13</v>
      </c>
      <c r="AC92" s="218">
        <v>5</v>
      </c>
      <c r="AD92" s="218">
        <v>8</v>
      </c>
      <c r="AE92" s="218"/>
      <c r="AF92" s="364">
        <f t="shared" si="81"/>
        <v>65</v>
      </c>
      <c r="AG92" s="252">
        <v>46093</v>
      </c>
      <c r="AH92" s="253">
        <v>3</v>
      </c>
      <c r="AI92" s="254">
        <v>3</v>
      </c>
      <c r="AJ92" s="254">
        <v>3</v>
      </c>
      <c r="AK92" s="254">
        <v>3</v>
      </c>
      <c r="AL92" s="254">
        <v>3</v>
      </c>
      <c r="AM92" s="394">
        <f t="shared" si="82"/>
        <v>15</v>
      </c>
      <c r="AN92" s="245">
        <f t="shared" si="122"/>
        <v>3.69230769230769</v>
      </c>
      <c r="AO92" s="252">
        <v>46106</v>
      </c>
      <c r="AP92" s="253">
        <v>3</v>
      </c>
      <c r="AQ92" s="254">
        <v>3</v>
      </c>
      <c r="AR92" s="254">
        <v>3</v>
      </c>
      <c r="AS92" s="254">
        <v>3</v>
      </c>
      <c r="AT92" s="254">
        <v>3</v>
      </c>
      <c r="AU92" s="394">
        <f t="shared" si="133"/>
        <v>15</v>
      </c>
      <c r="AV92" s="248">
        <f t="shared" si="149"/>
        <v>3.69230769230769</v>
      </c>
      <c r="AW92" s="260">
        <v>46131.8461538462</v>
      </c>
      <c r="AX92" s="407">
        <v>3</v>
      </c>
      <c r="AY92" s="282">
        <v>3</v>
      </c>
      <c r="AZ92" s="282">
        <v>3</v>
      </c>
      <c r="BA92" s="282">
        <v>3</v>
      </c>
      <c r="BB92" s="282">
        <v>3</v>
      </c>
      <c r="BC92" s="401">
        <v>15</v>
      </c>
      <c r="BD92" s="248">
        <f t="shared" si="152"/>
        <v>3.69230769230769</v>
      </c>
      <c r="BE92" s="249">
        <f t="shared" si="163"/>
        <v>46157.6923076924</v>
      </c>
      <c r="BF92" s="224"/>
      <c r="BG92" s="218"/>
      <c r="BH92" s="218"/>
      <c r="BI92" s="218"/>
      <c r="BJ92" s="218"/>
      <c r="BK92" s="247">
        <f t="shared" si="119"/>
        <v>0</v>
      </c>
      <c r="BL92" s="248">
        <f t="shared" si="120"/>
        <v>0</v>
      </c>
      <c r="BM92" s="391"/>
      <c r="BN92" s="224"/>
      <c r="BO92" s="218"/>
      <c r="BP92" s="218"/>
      <c r="BQ92" s="218"/>
      <c r="BR92" s="218"/>
      <c r="BS92" s="247"/>
      <c r="BT92" s="248">
        <f t="shared" si="153"/>
        <v>0</v>
      </c>
      <c r="BU92" s="246"/>
      <c r="BV92" s="224"/>
      <c r="BW92" s="218"/>
      <c r="BX92" s="218"/>
      <c r="BY92" s="218"/>
      <c r="BZ92" s="218"/>
      <c r="CA92" s="245"/>
      <c r="CB92" s="248">
        <f t="shared" si="154"/>
        <v>0</v>
      </c>
      <c r="CC92" s="246"/>
      <c r="CD92" s="224"/>
      <c r="CE92" s="218"/>
      <c r="CF92" s="218"/>
      <c r="CG92" s="218"/>
      <c r="CH92" s="218"/>
      <c r="CI92" s="245"/>
      <c r="CJ92" s="248">
        <f t="shared" si="155"/>
        <v>0</v>
      </c>
      <c r="CK92" s="218"/>
      <c r="CL92" s="224"/>
      <c r="CM92" s="218"/>
      <c r="CN92" s="218"/>
      <c r="CO92" s="218"/>
      <c r="CP92" s="218"/>
      <c r="CQ92" s="245"/>
      <c r="CR92" s="248">
        <f t="shared" si="156"/>
        <v>0</v>
      </c>
      <c r="CS92" s="218"/>
      <c r="CT92" s="224"/>
      <c r="CU92" s="218"/>
      <c r="CV92" s="218"/>
      <c r="CW92" s="218"/>
      <c r="CX92" s="218"/>
      <c r="CY92" s="218"/>
      <c r="CZ92" s="245">
        <f t="shared" si="157"/>
        <v>0</v>
      </c>
      <c r="DA92" s="218"/>
      <c r="DB92" s="224"/>
      <c r="DC92" s="218"/>
      <c r="DD92" s="218"/>
      <c r="DE92" s="218"/>
      <c r="DF92" s="218"/>
      <c r="DG92" s="218"/>
      <c r="DH92" s="218"/>
      <c r="DI92" s="218"/>
      <c r="DJ92" s="218"/>
      <c r="DK92" s="218"/>
      <c r="DL92" s="218"/>
      <c r="DM92" s="218"/>
      <c r="DN92" s="218"/>
      <c r="DO92" s="218"/>
      <c r="DP92" s="218"/>
      <c r="DQ92" s="227"/>
      <c r="DR92" s="224"/>
      <c r="DS92" s="218"/>
      <c r="DT92" s="218"/>
      <c r="DU92" s="218"/>
      <c r="DV92" s="218"/>
      <c r="DW92" s="218"/>
      <c r="DX92" s="218"/>
      <c r="DY92" s="218"/>
      <c r="DZ92" s="218"/>
      <c r="EA92" s="218"/>
      <c r="EB92" s="218"/>
      <c r="EC92" s="218"/>
      <c r="ED92" s="218"/>
      <c r="EE92" s="218"/>
      <c r="EF92" s="223">
        <f t="shared" ref="EF92:EJ92" si="165">AH92+AP92+AX92+BF92+BN92+BV92+CD92+CL92+CT92+DB92+DJ92+DR92+DZ92</f>
        <v>9</v>
      </c>
      <c r="EG92" s="223">
        <f t="shared" si="165"/>
        <v>9</v>
      </c>
      <c r="EH92" s="223">
        <f t="shared" si="165"/>
        <v>9</v>
      </c>
      <c r="EI92" s="223">
        <f t="shared" si="165"/>
        <v>9</v>
      </c>
      <c r="EJ92" s="223">
        <f t="shared" si="165"/>
        <v>9</v>
      </c>
      <c r="EK92" s="223">
        <f t="shared" si="159"/>
        <v>45</v>
      </c>
      <c r="EL92" s="218">
        <f t="shared" si="112"/>
        <v>1300</v>
      </c>
      <c r="EM92" s="218">
        <f t="shared" si="113"/>
        <v>81.25</v>
      </c>
      <c r="EN92" s="223">
        <f t="shared" si="114"/>
        <v>45</v>
      </c>
      <c r="EO92" s="226">
        <f t="shared" si="115"/>
        <v>36.25</v>
      </c>
      <c r="ER92" s="251"/>
      <c r="EU92" s="220"/>
    </row>
    <row r="93" s="204" customFormat="1" customHeight="1" spans="1:151 16353:16384">
      <c r="A93" s="380"/>
      <c r="B93" s="427">
        <v>19</v>
      </c>
      <c r="C93" s="219" t="s">
        <v>911</v>
      </c>
      <c r="D93" s="220"/>
      <c r="E93" s="220" t="s">
        <v>405</v>
      </c>
      <c r="F93" s="220" t="s">
        <v>106</v>
      </c>
      <c r="G93" s="220"/>
      <c r="H93" s="239"/>
      <c r="I93" s="239"/>
      <c r="J93" s="200" t="s">
        <v>912</v>
      </c>
      <c r="K93" s="200">
        <v>13631063126</v>
      </c>
      <c r="L93" s="240"/>
      <c r="M93" s="239"/>
      <c r="N93" s="221"/>
      <c r="O93" s="221" t="s">
        <v>913</v>
      </c>
      <c r="P93" s="200" t="s">
        <v>914</v>
      </c>
      <c r="Q93" s="200" t="s">
        <v>408</v>
      </c>
      <c r="R93" s="200"/>
      <c r="S93" s="200"/>
      <c r="T93" s="200"/>
      <c r="U93" s="200"/>
      <c r="V93" s="200" t="s">
        <v>915</v>
      </c>
      <c r="W93" s="200">
        <v>13535964776</v>
      </c>
      <c r="X93" s="200"/>
      <c r="Y93" s="207"/>
      <c r="Z93" s="354" t="s">
        <v>916</v>
      </c>
      <c r="AA93" s="218">
        <v>125</v>
      </c>
      <c r="AB93" s="218">
        <v>15</v>
      </c>
      <c r="AC93" s="218"/>
      <c r="AD93" s="218">
        <v>15</v>
      </c>
      <c r="AE93" s="218"/>
      <c r="AF93" s="364">
        <f t="shared" si="81"/>
        <v>75</v>
      </c>
      <c r="AG93" s="243">
        <v>46093</v>
      </c>
      <c r="AH93" s="253">
        <v>2</v>
      </c>
      <c r="AI93" s="254">
        <v>2</v>
      </c>
      <c r="AJ93" s="254">
        <v>2</v>
      </c>
      <c r="AK93" s="254">
        <v>2</v>
      </c>
      <c r="AL93" s="254"/>
      <c r="AM93" s="244">
        <f t="shared" si="82"/>
        <v>8</v>
      </c>
      <c r="AN93" s="245">
        <f t="shared" si="122"/>
        <v>1.70666666666667</v>
      </c>
      <c r="AO93" s="252">
        <v>46100</v>
      </c>
      <c r="AP93" s="253">
        <v>5</v>
      </c>
      <c r="AQ93" s="254">
        <v>5</v>
      </c>
      <c r="AR93" s="254">
        <v>5</v>
      </c>
      <c r="AS93" s="254">
        <v>5</v>
      </c>
      <c r="AT93" s="244"/>
      <c r="AU93" s="394">
        <f t="shared" si="133"/>
        <v>20</v>
      </c>
      <c r="AV93" s="248">
        <f t="shared" si="149"/>
        <v>4.26666666666667</v>
      </c>
      <c r="AW93" s="260">
        <v>46129.8666666667</v>
      </c>
      <c r="AX93" s="407">
        <v>5</v>
      </c>
      <c r="AY93" s="282">
        <v>5</v>
      </c>
      <c r="AZ93" s="282">
        <v>5</v>
      </c>
      <c r="BA93" s="282">
        <v>5</v>
      </c>
      <c r="BB93" s="282"/>
      <c r="BC93" s="401">
        <v>20</v>
      </c>
      <c r="BD93" s="248">
        <f t="shared" si="152"/>
        <v>4.26666666666667</v>
      </c>
      <c r="BE93" s="249">
        <f t="shared" si="163"/>
        <v>46159.7333333334</v>
      </c>
      <c r="BF93" s="224"/>
      <c r="BG93" s="218"/>
      <c r="BH93" s="218"/>
      <c r="BI93" s="218"/>
      <c r="BJ93" s="218"/>
      <c r="BK93" s="247">
        <f t="shared" si="119"/>
        <v>0</v>
      </c>
      <c r="BL93" s="248">
        <f t="shared" si="120"/>
        <v>0</v>
      </c>
      <c r="BM93" s="227"/>
      <c r="BN93" s="224"/>
      <c r="BO93" s="218"/>
      <c r="BP93" s="218"/>
      <c r="BQ93" s="218"/>
      <c r="BR93" s="218"/>
      <c r="BS93" s="247"/>
      <c r="BT93" s="248">
        <f t="shared" si="153"/>
        <v>0</v>
      </c>
      <c r="BU93" s="249"/>
      <c r="BV93" s="224"/>
      <c r="BW93" s="218"/>
      <c r="BX93" s="218"/>
      <c r="BY93" s="218"/>
      <c r="BZ93" s="218"/>
      <c r="CA93" s="245"/>
      <c r="CB93" s="248">
        <f t="shared" si="154"/>
        <v>0</v>
      </c>
      <c r="CC93" s="246"/>
      <c r="CD93" s="224"/>
      <c r="CE93" s="218"/>
      <c r="CF93" s="218"/>
      <c r="CG93" s="218"/>
      <c r="CH93" s="218"/>
      <c r="CI93" s="245"/>
      <c r="CJ93" s="248">
        <f t="shared" si="155"/>
        <v>0</v>
      </c>
      <c r="CK93" s="218"/>
      <c r="CL93" s="224"/>
      <c r="CM93" s="218"/>
      <c r="CN93" s="218"/>
      <c r="CO93" s="218"/>
      <c r="CP93" s="218"/>
      <c r="CQ93" s="245"/>
      <c r="CR93" s="248">
        <f t="shared" si="156"/>
        <v>0</v>
      </c>
      <c r="CS93" s="218"/>
      <c r="CT93" s="224"/>
      <c r="CU93" s="218"/>
      <c r="CV93" s="218"/>
      <c r="CW93" s="218"/>
      <c r="CX93" s="218"/>
      <c r="CY93" s="218"/>
      <c r="CZ93" s="245">
        <f t="shared" si="157"/>
        <v>0</v>
      </c>
      <c r="DA93" s="218"/>
      <c r="DB93" s="224"/>
      <c r="DC93" s="218"/>
      <c r="DD93" s="218"/>
      <c r="DE93" s="218"/>
      <c r="DF93" s="218"/>
      <c r="DG93" s="218"/>
      <c r="DH93" s="218"/>
      <c r="DI93" s="218"/>
      <c r="DJ93" s="218"/>
      <c r="DK93" s="218"/>
      <c r="DL93" s="218"/>
      <c r="DM93" s="218"/>
      <c r="DN93" s="218"/>
      <c r="DO93" s="218"/>
      <c r="DP93" s="218"/>
      <c r="DQ93" s="227"/>
      <c r="DR93" s="224"/>
      <c r="DS93" s="218"/>
      <c r="DT93" s="218"/>
      <c r="DU93" s="218"/>
      <c r="DV93" s="218"/>
      <c r="DW93" s="218"/>
      <c r="DX93" s="218"/>
      <c r="DY93" s="218"/>
      <c r="DZ93" s="218"/>
      <c r="EA93" s="218"/>
      <c r="EB93" s="218"/>
      <c r="EC93" s="218"/>
      <c r="ED93" s="218"/>
      <c r="EE93" s="218"/>
      <c r="EF93" s="223">
        <f t="shared" ref="EF93:EJ93" si="166">AH93+AP93+AX93+BF93+BN93+BV93+CD93+CL93+CT93+DB93+DJ93+DR93+DZ93</f>
        <v>12</v>
      </c>
      <c r="EG93" s="223">
        <f t="shared" si="166"/>
        <v>12</v>
      </c>
      <c r="EH93" s="223">
        <f t="shared" si="166"/>
        <v>12</v>
      </c>
      <c r="EI93" s="223">
        <f t="shared" si="166"/>
        <v>12</v>
      </c>
      <c r="EJ93" s="223">
        <f t="shared" si="166"/>
        <v>0</v>
      </c>
      <c r="EK93" s="223">
        <f t="shared" si="159"/>
        <v>48</v>
      </c>
      <c r="EL93" s="218">
        <f t="shared" si="112"/>
        <v>1500</v>
      </c>
      <c r="EM93" s="218">
        <f t="shared" si="113"/>
        <v>93.75</v>
      </c>
      <c r="EN93" s="223">
        <f t="shared" si="114"/>
        <v>48</v>
      </c>
      <c r="EO93" s="226">
        <f t="shared" si="115"/>
        <v>45.75</v>
      </c>
      <c r="EP93" s="200"/>
      <c r="ER93" s="214"/>
      <c r="EU93" s="215"/>
      <c r="XDY93" s="216"/>
      <c r="XDZ93" s="216"/>
      <c r="XEA93" s="216"/>
      <c r="XEB93" s="216"/>
      <c r="XEC93" s="216"/>
      <c r="XED93" s="216"/>
      <c r="XEE93" s="216"/>
      <c r="XEF93" s="216"/>
      <c r="XEG93" s="216"/>
      <c r="XEH93" s="216"/>
      <c r="XEI93" s="216"/>
      <c r="XEJ93" s="216"/>
      <c r="XEK93" s="216"/>
      <c r="XEL93" s="216"/>
      <c r="XEM93" s="216"/>
      <c r="XEN93" s="216"/>
      <c r="XEO93" s="216"/>
      <c r="XEP93" s="216"/>
      <c r="XEQ93" s="216"/>
      <c r="XER93" s="216"/>
      <c r="XES93" s="216"/>
      <c r="XET93" s="216"/>
      <c r="XEU93" s="216"/>
      <c r="XEV93" s="216"/>
      <c r="XEW93" s="216"/>
      <c r="XEX93" s="216"/>
      <c r="XEY93" s="216"/>
      <c r="XEZ93" s="216"/>
      <c r="XFA93" s="216"/>
      <c r="XFB93" s="216"/>
      <c r="XFC93" s="216"/>
      <c r="XFD93" s="216"/>
    </row>
    <row r="94" s="200" customFormat="1" customHeight="1" spans="1:151 16353:16384">
      <c r="A94" s="380"/>
      <c r="B94" s="406">
        <v>20</v>
      </c>
      <c r="C94" s="219" t="s">
        <v>917</v>
      </c>
      <c r="D94" s="220"/>
      <c r="E94" s="220"/>
      <c r="F94" s="220"/>
      <c r="G94" s="220" t="s">
        <v>918</v>
      </c>
      <c r="H94" s="221" t="s">
        <v>919</v>
      </c>
      <c r="I94" s="239"/>
      <c r="J94" s="220"/>
      <c r="K94" s="221"/>
      <c r="L94" s="239"/>
      <c r="M94" s="239"/>
      <c r="N94" s="221"/>
      <c r="O94" s="221"/>
      <c r="X94" s="200" t="s">
        <v>920</v>
      </c>
      <c r="Y94" s="207"/>
      <c r="Z94" s="354" t="s">
        <v>501</v>
      </c>
      <c r="AA94" s="218">
        <v>125</v>
      </c>
      <c r="AB94" s="218">
        <v>41</v>
      </c>
      <c r="AC94" s="218">
        <v>1</v>
      </c>
      <c r="AD94" s="218">
        <v>40</v>
      </c>
      <c r="AE94" s="218"/>
      <c r="AF94" s="364">
        <f t="shared" si="81"/>
        <v>205</v>
      </c>
      <c r="AG94" s="243">
        <v>46082</v>
      </c>
      <c r="AH94" s="244">
        <v>5</v>
      </c>
      <c r="AI94" s="244">
        <v>5</v>
      </c>
      <c r="AJ94" s="279">
        <v>5</v>
      </c>
      <c r="AK94" s="279">
        <v>5</v>
      </c>
      <c r="AL94" s="244"/>
      <c r="AM94" s="244">
        <f t="shared" si="82"/>
        <v>20</v>
      </c>
      <c r="AN94" s="245">
        <f t="shared" si="122"/>
        <v>1.5609756097561</v>
      </c>
      <c r="AO94" s="392">
        <v>46097</v>
      </c>
      <c r="AP94" s="253">
        <v>2</v>
      </c>
      <c r="AQ94" s="254">
        <v>10</v>
      </c>
      <c r="AR94" s="254">
        <v>10</v>
      </c>
      <c r="AS94" s="254">
        <v>10</v>
      </c>
      <c r="AT94" s="254"/>
      <c r="AU94" s="394">
        <f t="shared" si="133"/>
        <v>32</v>
      </c>
      <c r="AV94" s="248">
        <f t="shared" si="149"/>
        <v>2.49756097560976</v>
      </c>
      <c r="AW94" s="271">
        <f t="shared" si="150"/>
        <v>46114.4829268293</v>
      </c>
      <c r="AX94" s="407">
        <v>8</v>
      </c>
      <c r="AY94" s="282">
        <v>8</v>
      </c>
      <c r="AZ94" s="282">
        <v>8</v>
      </c>
      <c r="BA94" s="282">
        <v>8</v>
      </c>
      <c r="BB94" s="282"/>
      <c r="BC94" s="401">
        <f t="shared" si="151"/>
        <v>32</v>
      </c>
      <c r="BD94" s="248">
        <f t="shared" si="152"/>
        <v>2.49756097560976</v>
      </c>
      <c r="BE94" s="271">
        <v>46131.9658536586</v>
      </c>
      <c r="BF94" s="282">
        <v>8</v>
      </c>
      <c r="BG94" s="282">
        <v>8</v>
      </c>
      <c r="BH94" s="282">
        <v>8</v>
      </c>
      <c r="BI94" s="282">
        <v>8</v>
      </c>
      <c r="BJ94" s="282"/>
      <c r="BK94" s="274">
        <v>32</v>
      </c>
      <c r="BL94" s="248">
        <f t="shared" si="120"/>
        <v>2.49756097560976</v>
      </c>
      <c r="BM94" s="246">
        <f>BE94+BL94*7</f>
        <v>46149.4487804879</v>
      </c>
      <c r="BN94" s="224"/>
      <c r="BO94" s="218"/>
      <c r="BP94" s="218"/>
      <c r="BQ94" s="218"/>
      <c r="BR94" s="218"/>
      <c r="BS94" s="247"/>
      <c r="BT94" s="248">
        <f t="shared" si="153"/>
        <v>0</v>
      </c>
      <c r="BU94" s="249"/>
      <c r="BV94" s="224"/>
      <c r="BW94" s="218"/>
      <c r="BX94" s="218"/>
      <c r="BY94" s="218"/>
      <c r="BZ94" s="218"/>
      <c r="CA94" s="245"/>
      <c r="CB94" s="248">
        <f t="shared" si="154"/>
        <v>0</v>
      </c>
      <c r="CC94" s="249"/>
      <c r="CD94" s="224"/>
      <c r="CE94" s="218"/>
      <c r="CF94" s="218"/>
      <c r="CG94" s="218"/>
      <c r="CH94" s="218"/>
      <c r="CI94" s="245"/>
      <c r="CJ94" s="248">
        <f t="shared" si="155"/>
        <v>0</v>
      </c>
      <c r="CK94" s="249"/>
      <c r="CL94" s="224"/>
      <c r="CM94" s="218"/>
      <c r="CN94" s="218"/>
      <c r="CO94" s="218"/>
      <c r="CP94" s="218"/>
      <c r="CQ94" s="245"/>
      <c r="CR94" s="248">
        <f t="shared" si="156"/>
        <v>0</v>
      </c>
      <c r="CS94" s="246"/>
      <c r="CT94" s="224"/>
      <c r="CU94" s="218"/>
      <c r="CV94" s="218"/>
      <c r="CW94" s="218"/>
      <c r="CX94" s="218"/>
      <c r="CY94" s="218"/>
      <c r="CZ94" s="245">
        <f t="shared" si="157"/>
        <v>0</v>
      </c>
      <c r="DA94" s="218"/>
      <c r="DB94" s="224"/>
      <c r="DC94" s="218"/>
      <c r="DD94" s="218"/>
      <c r="DE94" s="218"/>
      <c r="DF94" s="218"/>
      <c r="DG94" s="218"/>
      <c r="DH94" s="218"/>
      <c r="DI94" s="218"/>
      <c r="DJ94" s="218"/>
      <c r="DK94" s="218"/>
      <c r="DL94" s="218"/>
      <c r="DM94" s="218"/>
      <c r="DN94" s="218"/>
      <c r="DO94" s="218"/>
      <c r="DP94" s="218"/>
      <c r="DQ94" s="227"/>
      <c r="DR94" s="224"/>
      <c r="DS94" s="218"/>
      <c r="DT94" s="218"/>
      <c r="DU94" s="218"/>
      <c r="DV94" s="218"/>
      <c r="DW94" s="218"/>
      <c r="DX94" s="218"/>
      <c r="DY94" s="218"/>
      <c r="DZ94" s="218"/>
      <c r="EA94" s="218"/>
      <c r="EB94" s="218"/>
      <c r="EC94" s="218"/>
      <c r="ED94" s="218"/>
      <c r="EE94" s="218"/>
      <c r="EF94" s="223">
        <f t="shared" ref="EF94:EJ94" si="167">AH94+AP94+AX94+BF94+BN94+BV94+CD94+CL94+CT94+DB94+DJ94+DR94+DZ94</f>
        <v>23</v>
      </c>
      <c r="EG94" s="223">
        <f t="shared" si="167"/>
        <v>31</v>
      </c>
      <c r="EH94" s="223">
        <f t="shared" si="167"/>
        <v>31</v>
      </c>
      <c r="EI94" s="223">
        <f t="shared" si="167"/>
        <v>31</v>
      </c>
      <c r="EJ94" s="223">
        <f t="shared" si="167"/>
        <v>0</v>
      </c>
      <c r="EK94" s="223">
        <f t="shared" si="159"/>
        <v>116</v>
      </c>
      <c r="EL94" s="218">
        <f t="shared" si="112"/>
        <v>4100</v>
      </c>
      <c r="EM94" s="218">
        <f t="shared" si="113"/>
        <v>256.25</v>
      </c>
      <c r="EN94" s="223">
        <f t="shared" si="114"/>
        <v>116</v>
      </c>
      <c r="EO94" s="226">
        <f t="shared" si="115"/>
        <v>140.25</v>
      </c>
      <c r="ER94" s="251"/>
      <c r="EU94" s="220"/>
    </row>
    <row r="95" s="200" customFormat="1" customHeight="1" spans="1:151 16353:16384">
      <c r="A95" s="380"/>
      <c r="B95" s="357">
        <v>21</v>
      </c>
      <c r="C95" s="219" t="s">
        <v>921</v>
      </c>
      <c r="D95" s="220"/>
      <c r="E95" s="220"/>
      <c r="F95" s="270"/>
      <c r="G95" s="270" t="s">
        <v>512</v>
      </c>
      <c r="H95" s="296">
        <v>13610521755</v>
      </c>
      <c r="I95" s="297"/>
      <c r="J95" s="270"/>
      <c r="K95" s="296"/>
      <c r="L95" s="297"/>
      <c r="M95" s="239"/>
      <c r="N95" s="221"/>
      <c r="O95" s="221"/>
      <c r="W95" s="207"/>
      <c r="Y95" s="207"/>
      <c r="Z95" s="354" t="s">
        <v>880</v>
      </c>
      <c r="AA95" s="218">
        <v>125</v>
      </c>
      <c r="AB95" s="218">
        <v>4</v>
      </c>
      <c r="AC95" s="218">
        <v>1</v>
      </c>
      <c r="AD95" s="218">
        <v>3</v>
      </c>
      <c r="AE95" s="218"/>
      <c r="AF95" s="364">
        <f t="shared" si="81"/>
        <v>20</v>
      </c>
      <c r="AG95" s="243">
        <v>46093</v>
      </c>
      <c r="AH95" s="253">
        <v>1</v>
      </c>
      <c r="AI95" s="254">
        <v>1</v>
      </c>
      <c r="AJ95" s="254">
        <v>1</v>
      </c>
      <c r="AK95" s="254">
        <v>1</v>
      </c>
      <c r="AL95" s="254"/>
      <c r="AM95" s="244">
        <f t="shared" si="82"/>
        <v>4</v>
      </c>
      <c r="AN95" s="245">
        <f t="shared" si="122"/>
        <v>3.2</v>
      </c>
      <c r="AO95" s="271">
        <f>AG95+AN95*7</f>
        <v>46115.4</v>
      </c>
      <c r="AP95" s="281">
        <v>1</v>
      </c>
      <c r="AQ95" s="282">
        <v>1</v>
      </c>
      <c r="AR95" s="282">
        <v>1</v>
      </c>
      <c r="AS95" s="282">
        <v>1</v>
      </c>
      <c r="AT95" s="282"/>
      <c r="AU95" s="274">
        <f t="shared" si="133"/>
        <v>4</v>
      </c>
      <c r="AV95" s="248">
        <f t="shared" si="149"/>
        <v>3.2</v>
      </c>
      <c r="AW95" s="246">
        <f t="shared" si="150"/>
        <v>46137.8</v>
      </c>
      <c r="AX95" s="223"/>
      <c r="AY95" s="218"/>
      <c r="AZ95" s="218"/>
      <c r="BA95" s="218"/>
      <c r="BB95" s="218"/>
      <c r="BC95" s="397">
        <f t="shared" si="151"/>
        <v>0</v>
      </c>
      <c r="BD95" s="248">
        <f t="shared" si="152"/>
        <v>0</v>
      </c>
      <c r="BE95" s="399"/>
      <c r="BF95" s="224"/>
      <c r="BG95" s="218"/>
      <c r="BH95" s="218"/>
      <c r="BI95" s="218"/>
      <c r="BJ95" s="218"/>
      <c r="BK95" s="247">
        <f t="shared" si="119"/>
        <v>0</v>
      </c>
      <c r="BL95" s="248">
        <f t="shared" si="120"/>
        <v>0</v>
      </c>
      <c r="BM95" s="227"/>
      <c r="BN95" s="224"/>
      <c r="BO95" s="218"/>
      <c r="BP95" s="218"/>
      <c r="BQ95" s="218"/>
      <c r="BR95" s="218"/>
      <c r="BS95" s="247"/>
      <c r="BT95" s="248">
        <f t="shared" si="153"/>
        <v>0</v>
      </c>
      <c r="BU95" s="218"/>
      <c r="BV95" s="224"/>
      <c r="BW95" s="218"/>
      <c r="BX95" s="218"/>
      <c r="BY95" s="218"/>
      <c r="BZ95" s="218"/>
      <c r="CA95" s="245"/>
      <c r="CB95" s="248">
        <f t="shared" si="154"/>
        <v>0</v>
      </c>
      <c r="CC95" s="218"/>
      <c r="CD95" s="224"/>
      <c r="CE95" s="218"/>
      <c r="CF95" s="218"/>
      <c r="CG95" s="218"/>
      <c r="CH95" s="218"/>
      <c r="CI95" s="245"/>
      <c r="CJ95" s="248">
        <f t="shared" si="155"/>
        <v>0</v>
      </c>
      <c r="CK95" s="218"/>
      <c r="CL95" s="224"/>
      <c r="CM95" s="218"/>
      <c r="CN95" s="218"/>
      <c r="CO95" s="218"/>
      <c r="CP95" s="218"/>
      <c r="CQ95" s="245"/>
      <c r="CR95" s="248">
        <f t="shared" si="156"/>
        <v>0</v>
      </c>
      <c r="CS95" s="218"/>
      <c r="CT95" s="224"/>
      <c r="CU95" s="218"/>
      <c r="CV95" s="218"/>
      <c r="CW95" s="218"/>
      <c r="CX95" s="218"/>
      <c r="CY95" s="218"/>
      <c r="CZ95" s="245">
        <f t="shared" si="157"/>
        <v>0</v>
      </c>
      <c r="DA95" s="218"/>
      <c r="DB95" s="224"/>
      <c r="DC95" s="218"/>
      <c r="DD95" s="218"/>
      <c r="DE95" s="218"/>
      <c r="DF95" s="218"/>
      <c r="DG95" s="218"/>
      <c r="DH95" s="218"/>
      <c r="DI95" s="218"/>
      <c r="DJ95" s="218"/>
      <c r="DK95" s="218"/>
      <c r="DL95" s="218"/>
      <c r="DM95" s="218"/>
      <c r="DN95" s="218"/>
      <c r="DO95" s="218"/>
      <c r="DP95" s="218"/>
      <c r="DQ95" s="227"/>
      <c r="DR95" s="224"/>
      <c r="DS95" s="218"/>
      <c r="DT95" s="218"/>
      <c r="DU95" s="218"/>
      <c r="DV95" s="218"/>
      <c r="DW95" s="218"/>
      <c r="DX95" s="218"/>
      <c r="DY95" s="218"/>
      <c r="DZ95" s="218"/>
      <c r="EA95" s="218"/>
      <c r="EB95" s="218"/>
      <c r="EC95" s="218"/>
      <c r="ED95" s="218"/>
      <c r="EE95" s="218"/>
      <c r="EF95" s="223">
        <f t="shared" ref="EF95:EJ95" si="168">AH95+AP95+AX95+BF95+BN95+BV95+CD95+CL95+CT95+DB95+DJ95+DR95+DZ95</f>
        <v>2</v>
      </c>
      <c r="EG95" s="223">
        <f t="shared" si="168"/>
        <v>2</v>
      </c>
      <c r="EH95" s="223">
        <f t="shared" si="168"/>
        <v>2</v>
      </c>
      <c r="EI95" s="223">
        <f t="shared" si="168"/>
        <v>2</v>
      </c>
      <c r="EJ95" s="223">
        <f t="shared" si="168"/>
        <v>0</v>
      </c>
      <c r="EK95" s="223">
        <f t="shared" si="159"/>
        <v>8</v>
      </c>
      <c r="EL95" s="218">
        <f t="shared" si="112"/>
        <v>400</v>
      </c>
      <c r="EM95" s="218">
        <f t="shared" si="113"/>
        <v>25</v>
      </c>
      <c r="EN95" s="223">
        <f t="shared" si="114"/>
        <v>8</v>
      </c>
      <c r="EO95" s="226">
        <f t="shared" si="115"/>
        <v>17</v>
      </c>
      <c r="ER95" s="251"/>
      <c r="EU95" s="220"/>
    </row>
    <row r="96" s="200" customFormat="1" customHeight="1" spans="1:151 16353:16384">
      <c r="A96" s="380"/>
      <c r="B96" s="357"/>
      <c r="C96" s="219" t="s">
        <v>922</v>
      </c>
      <c r="D96" s="220"/>
      <c r="E96" s="220"/>
      <c r="F96" s="270"/>
      <c r="G96" s="270"/>
      <c r="H96" s="296"/>
      <c r="I96" s="297"/>
      <c r="J96" s="270"/>
      <c r="K96" s="296"/>
      <c r="L96" s="297"/>
      <c r="M96" s="239"/>
      <c r="N96" s="221"/>
      <c r="O96" s="221"/>
      <c r="W96" s="207"/>
      <c r="Y96" s="207"/>
      <c r="Z96" s="354"/>
      <c r="AA96" s="218">
        <v>200</v>
      </c>
      <c r="AB96" s="218">
        <v>23</v>
      </c>
      <c r="AC96" s="200">
        <v>5</v>
      </c>
      <c r="AD96" s="218">
        <v>18</v>
      </c>
      <c r="AE96" s="218"/>
      <c r="AF96" s="364">
        <f t="shared" si="81"/>
        <v>115</v>
      </c>
      <c r="AG96" s="243">
        <v>46105</v>
      </c>
      <c r="AH96" s="253">
        <v>6</v>
      </c>
      <c r="AI96" s="254">
        <v>6</v>
      </c>
      <c r="AJ96" s="254">
        <v>6</v>
      </c>
      <c r="AK96" s="254">
        <v>6</v>
      </c>
      <c r="AL96" s="254">
        <v>6</v>
      </c>
      <c r="AM96" s="244">
        <f t="shared" si="82"/>
        <v>30</v>
      </c>
      <c r="AN96" s="245">
        <f t="shared" si="122"/>
        <v>4.17391304347826</v>
      </c>
      <c r="AO96" s="271">
        <v>46128</v>
      </c>
      <c r="AP96" s="224"/>
      <c r="AQ96" s="218"/>
      <c r="AR96" s="218"/>
      <c r="AS96" s="218"/>
      <c r="AT96" s="218"/>
      <c r="AU96" s="349"/>
      <c r="AV96" s="248"/>
      <c r="AW96" s="246">
        <f t="shared" si="150"/>
        <v>46128</v>
      </c>
      <c r="AX96" s="223"/>
      <c r="AY96" s="218"/>
      <c r="AZ96" s="218"/>
      <c r="BA96" s="218"/>
      <c r="BB96" s="218"/>
      <c r="BC96" s="397"/>
      <c r="BD96" s="248"/>
      <c r="BE96" s="399"/>
      <c r="BF96" s="224"/>
      <c r="BG96" s="218"/>
      <c r="BH96" s="218"/>
      <c r="BI96" s="218"/>
      <c r="BJ96" s="218"/>
      <c r="BK96" s="247">
        <f t="shared" si="119"/>
        <v>0</v>
      </c>
      <c r="BL96" s="248">
        <f t="shared" si="120"/>
        <v>0</v>
      </c>
      <c r="BM96" s="227"/>
      <c r="BN96" s="224"/>
      <c r="BO96" s="218"/>
      <c r="BP96" s="218"/>
      <c r="BQ96" s="218"/>
      <c r="BR96" s="218"/>
      <c r="BS96" s="247"/>
      <c r="BT96" s="248"/>
      <c r="BU96" s="218"/>
      <c r="BV96" s="224"/>
      <c r="BW96" s="218"/>
      <c r="BX96" s="218"/>
      <c r="BY96" s="218"/>
      <c r="BZ96" s="218"/>
      <c r="CA96" s="245"/>
      <c r="CB96" s="248"/>
      <c r="CC96" s="218"/>
      <c r="CD96" s="224"/>
      <c r="CE96" s="218"/>
      <c r="CF96" s="218"/>
      <c r="CG96" s="218"/>
      <c r="CH96" s="218"/>
      <c r="CI96" s="245"/>
      <c r="CJ96" s="248"/>
      <c r="CK96" s="218"/>
      <c r="CL96" s="224"/>
      <c r="CM96" s="218"/>
      <c r="CN96" s="218"/>
      <c r="CO96" s="218"/>
      <c r="CP96" s="218"/>
      <c r="CQ96" s="245"/>
      <c r="CR96" s="248"/>
      <c r="CS96" s="218"/>
      <c r="CT96" s="224"/>
      <c r="CU96" s="218"/>
      <c r="CV96" s="218"/>
      <c r="CW96" s="218"/>
      <c r="CX96" s="218"/>
      <c r="CY96" s="218"/>
      <c r="CZ96" s="245"/>
      <c r="DA96" s="218"/>
      <c r="DB96" s="224"/>
      <c r="DC96" s="218"/>
      <c r="DD96" s="218"/>
      <c r="DE96" s="218"/>
      <c r="DF96" s="218"/>
      <c r="DG96" s="218"/>
      <c r="DH96" s="218"/>
      <c r="DI96" s="218"/>
      <c r="DJ96" s="218"/>
      <c r="DK96" s="218"/>
      <c r="DL96" s="218"/>
      <c r="DM96" s="218"/>
      <c r="DN96" s="218"/>
      <c r="DO96" s="218"/>
      <c r="DP96" s="218"/>
      <c r="DQ96" s="227"/>
      <c r="DR96" s="224"/>
      <c r="DS96" s="218"/>
      <c r="DT96" s="218"/>
      <c r="DU96" s="218"/>
      <c r="DV96" s="218"/>
      <c r="DW96" s="218"/>
      <c r="DX96" s="218"/>
      <c r="DY96" s="218"/>
      <c r="DZ96" s="218"/>
      <c r="EA96" s="218"/>
      <c r="EB96" s="218"/>
      <c r="EC96" s="218"/>
      <c r="ED96" s="218"/>
      <c r="EE96" s="218"/>
      <c r="EF96" s="223"/>
      <c r="EG96" s="223"/>
      <c r="EH96" s="223"/>
      <c r="EI96" s="223"/>
      <c r="EJ96" s="223"/>
      <c r="EK96" s="223"/>
      <c r="EL96" s="218"/>
      <c r="EM96" s="218"/>
      <c r="EN96" s="223"/>
      <c r="EO96" s="226"/>
      <c r="ER96" s="251"/>
      <c r="EU96" s="220"/>
    </row>
    <row r="97" s="200" customFormat="1" customHeight="1" spans="1:151">
      <c r="A97" s="380"/>
      <c r="B97" s="357">
        <v>22</v>
      </c>
      <c r="C97" s="219" t="s">
        <v>923</v>
      </c>
      <c r="D97" s="220" t="s">
        <v>13</v>
      </c>
      <c r="E97" s="220" t="s">
        <v>405</v>
      </c>
      <c r="F97" s="220" t="s">
        <v>125</v>
      </c>
      <c r="G97" s="220" t="s">
        <v>226</v>
      </c>
      <c r="H97" s="220">
        <v>13824931717</v>
      </c>
      <c r="I97" s="220">
        <v>66717</v>
      </c>
      <c r="J97" s="220" t="s">
        <v>227</v>
      </c>
      <c r="K97" s="207" t="s">
        <v>228</v>
      </c>
      <c r="L97" s="220">
        <v>664577</v>
      </c>
      <c r="M97" s="239"/>
      <c r="N97" s="221"/>
      <c r="O97" s="221" t="s">
        <v>924</v>
      </c>
      <c r="P97" s="200" t="s">
        <v>925</v>
      </c>
      <c r="Q97" s="200" t="s">
        <v>408</v>
      </c>
      <c r="V97" s="200" t="s">
        <v>817</v>
      </c>
      <c r="W97" s="207" t="s">
        <v>926</v>
      </c>
      <c r="Y97" s="207"/>
      <c r="Z97" s="354" t="s">
        <v>817</v>
      </c>
      <c r="AA97" s="218">
        <v>200</v>
      </c>
      <c r="AB97" s="218">
        <f>SUM(AD97:AD97)</f>
        <v>7</v>
      </c>
      <c r="AD97" s="218">
        <v>7</v>
      </c>
      <c r="AE97" s="218"/>
      <c r="AF97" s="364">
        <f t="shared" ref="AF97:AF112" si="169">AB97*5</f>
        <v>35</v>
      </c>
      <c r="AG97" s="243">
        <v>46082</v>
      </c>
      <c r="AH97" s="253">
        <v>10</v>
      </c>
      <c r="AI97" s="254">
        <v>5</v>
      </c>
      <c r="AJ97" s="254">
        <v>5</v>
      </c>
      <c r="AK97" s="254">
        <v>5</v>
      </c>
      <c r="AL97" s="254">
        <v>5</v>
      </c>
      <c r="AM97" s="244">
        <f t="shared" ref="AM97:AM140" si="170">SUM(AH97:AL97)</f>
        <v>30</v>
      </c>
      <c r="AN97" s="245">
        <f t="shared" si="122"/>
        <v>13.7142857142857</v>
      </c>
      <c r="AO97" s="246">
        <f>AG97+AN97*7</f>
        <v>46178</v>
      </c>
      <c r="AP97" s="224"/>
      <c r="AQ97" s="218"/>
      <c r="AR97" s="218"/>
      <c r="AS97" s="218"/>
      <c r="AT97" s="218"/>
      <c r="AU97" s="349">
        <f t="shared" ref="AU97:AU136" si="171">SUM(AP97:AT97)</f>
        <v>0</v>
      </c>
      <c r="AV97" s="248">
        <f t="shared" ref="AV97:AV152" si="172">AU97*16/AF97</f>
        <v>0</v>
      </c>
      <c r="AW97" s="246">
        <f t="shared" si="150"/>
        <v>46178</v>
      </c>
      <c r="AX97" s="223"/>
      <c r="AY97" s="218"/>
      <c r="AZ97" s="218"/>
      <c r="BA97" s="218"/>
      <c r="BB97" s="218"/>
      <c r="BC97" s="397">
        <f t="shared" ref="BC97:BC152" si="173">AX97+AY97+AZ97+BA97+BB97</f>
        <v>0</v>
      </c>
      <c r="BD97" s="248">
        <f t="shared" ref="BD97:BD152" si="174">BC97*16/AF97</f>
        <v>0</v>
      </c>
      <c r="BE97" s="249"/>
      <c r="BF97" s="224"/>
      <c r="BG97" s="218"/>
      <c r="BH97" s="218"/>
      <c r="BI97" s="218"/>
      <c r="BJ97" s="218"/>
      <c r="BK97" s="247">
        <f t="shared" si="119"/>
        <v>0</v>
      </c>
      <c r="BL97" s="248">
        <f t="shared" si="120"/>
        <v>0</v>
      </c>
      <c r="BM97" s="227"/>
      <c r="BN97" s="224"/>
      <c r="BO97" s="218"/>
      <c r="BP97" s="218"/>
      <c r="BQ97" s="218"/>
      <c r="BR97" s="218"/>
      <c r="BS97" s="247"/>
      <c r="BT97" s="248">
        <f t="shared" ref="BT97:BT152" si="175">BS97*16/AF97</f>
        <v>0</v>
      </c>
      <c r="BU97" s="249"/>
      <c r="BV97" s="224"/>
      <c r="BW97" s="218"/>
      <c r="BX97" s="218"/>
      <c r="BY97" s="218"/>
      <c r="BZ97" s="218"/>
      <c r="CA97" s="245"/>
      <c r="CB97" s="248">
        <f t="shared" ref="CB97:CB152" si="176">CA97*16/AF97</f>
        <v>0</v>
      </c>
      <c r="CC97" s="338"/>
      <c r="CD97" s="224"/>
      <c r="CE97" s="218"/>
      <c r="CF97" s="218"/>
      <c r="CG97" s="218"/>
      <c r="CH97" s="218"/>
      <c r="CI97" s="245"/>
      <c r="CJ97" s="248">
        <f t="shared" ref="CJ97:CJ152" si="177">CI97*16/AF97</f>
        <v>0</v>
      </c>
      <c r="CK97" s="218"/>
      <c r="CL97" s="224"/>
      <c r="CM97" s="218"/>
      <c r="CN97" s="218"/>
      <c r="CO97" s="218"/>
      <c r="CP97" s="218"/>
      <c r="CQ97" s="245"/>
      <c r="CR97" s="248">
        <f t="shared" ref="CR97:CR152" si="178">CQ97*16/AF97</f>
        <v>0</v>
      </c>
      <c r="CS97" s="218"/>
      <c r="CT97" s="224"/>
      <c r="CU97" s="218"/>
      <c r="CV97" s="218"/>
      <c r="CW97" s="218"/>
      <c r="CX97" s="218"/>
      <c r="CY97" s="218"/>
      <c r="CZ97" s="245">
        <f t="shared" ref="CZ97:CZ152" si="179">CY97*16/AF97</f>
        <v>0</v>
      </c>
      <c r="DA97" s="218"/>
      <c r="DB97" s="224"/>
      <c r="DC97" s="218"/>
      <c r="DD97" s="218"/>
      <c r="DE97" s="218"/>
      <c r="DF97" s="218"/>
      <c r="DG97" s="218"/>
      <c r="DH97" s="218"/>
      <c r="DI97" s="218"/>
      <c r="DJ97" s="218"/>
      <c r="DK97" s="218"/>
      <c r="DL97" s="218"/>
      <c r="DM97" s="218"/>
      <c r="DN97" s="218"/>
      <c r="DO97" s="218"/>
      <c r="DP97" s="218"/>
      <c r="DQ97" s="227"/>
      <c r="DR97" s="224"/>
      <c r="DS97" s="218"/>
      <c r="DT97" s="218"/>
      <c r="DU97" s="218"/>
      <c r="DV97" s="218"/>
      <c r="DW97" s="218"/>
      <c r="DX97" s="218"/>
      <c r="DY97" s="218"/>
      <c r="DZ97" s="218"/>
      <c r="EA97" s="218"/>
      <c r="EB97" s="218"/>
      <c r="EC97" s="218"/>
      <c r="ED97" s="218"/>
      <c r="EE97" s="218"/>
      <c r="EF97" s="223">
        <f t="shared" ref="EF97:EJ97" si="180">AH97+AP97+AX97+BF97+BN97+BV97+CD97+CL97+CT97+DB97+DJ97+DR97+DZ97</f>
        <v>10</v>
      </c>
      <c r="EG97" s="223">
        <f t="shared" si="180"/>
        <v>5</v>
      </c>
      <c r="EH97" s="223">
        <f t="shared" si="180"/>
        <v>5</v>
      </c>
      <c r="EI97" s="223">
        <f t="shared" si="180"/>
        <v>5</v>
      </c>
      <c r="EJ97" s="223">
        <f t="shared" si="180"/>
        <v>5</v>
      </c>
      <c r="EK97" s="223">
        <f t="shared" ref="EK97:EK152" si="181">SUM(EF97:EJ97)</f>
        <v>30</v>
      </c>
      <c r="EL97" s="218">
        <f t="shared" ref="EL97:EL136" si="182">AB97*100</f>
        <v>700</v>
      </c>
      <c r="EM97" s="218">
        <f t="shared" ref="EM97:EM136" si="183">EL97/16</f>
        <v>43.75</v>
      </c>
      <c r="EN97" s="223">
        <f t="shared" ref="EN97:EN136" si="184">EK97</f>
        <v>30</v>
      </c>
      <c r="EO97" s="226">
        <f t="shared" ref="EO97:EO136" si="185">EM97-EN97</f>
        <v>13.75</v>
      </c>
      <c r="ER97" s="251"/>
      <c r="EU97" s="220"/>
    </row>
    <row r="98" s="200" customFormat="1" customHeight="1" spans="1:151">
      <c r="A98" s="380"/>
      <c r="B98" s="357">
        <v>23</v>
      </c>
      <c r="C98" s="219" t="s">
        <v>927</v>
      </c>
      <c r="D98" s="220"/>
      <c r="E98" s="220" t="s">
        <v>405</v>
      </c>
      <c r="F98" s="220" t="s">
        <v>125</v>
      </c>
      <c r="G98" s="220" t="s">
        <v>871</v>
      </c>
      <c r="H98" s="239"/>
      <c r="I98" s="239"/>
      <c r="J98" s="200" t="s">
        <v>817</v>
      </c>
      <c r="K98" s="240">
        <v>18814386002</v>
      </c>
      <c r="L98" s="239"/>
      <c r="M98" s="239"/>
      <c r="N98" s="221"/>
      <c r="O98" s="221" t="s">
        <v>475</v>
      </c>
      <c r="P98" s="200" t="s">
        <v>928</v>
      </c>
      <c r="Q98" s="200" t="s">
        <v>408</v>
      </c>
      <c r="S98" s="200" t="s">
        <v>418</v>
      </c>
      <c r="V98" s="200" t="s">
        <v>817</v>
      </c>
      <c r="W98" s="207" t="s">
        <v>926</v>
      </c>
      <c r="X98" s="200" t="s">
        <v>929</v>
      </c>
      <c r="Y98" s="390">
        <v>150166976055</v>
      </c>
      <c r="Z98" s="354" t="s">
        <v>817</v>
      </c>
      <c r="AA98" s="218">
        <v>200</v>
      </c>
      <c r="AB98" s="218">
        <f t="shared" ref="AB98:AB161" si="186">SUM(AC98:AD98)</f>
        <v>25</v>
      </c>
      <c r="AC98" s="218">
        <v>2</v>
      </c>
      <c r="AD98" s="218">
        <v>23</v>
      </c>
      <c r="AE98" s="218"/>
      <c r="AF98" s="364">
        <f t="shared" si="169"/>
        <v>125</v>
      </c>
      <c r="AG98" s="243">
        <v>46082</v>
      </c>
      <c r="AH98" s="253">
        <v>10</v>
      </c>
      <c r="AI98" s="254">
        <v>5</v>
      </c>
      <c r="AJ98" s="254">
        <v>5</v>
      </c>
      <c r="AK98" s="254">
        <v>5</v>
      </c>
      <c r="AL98" s="254">
        <v>5</v>
      </c>
      <c r="AM98" s="244">
        <f t="shared" si="170"/>
        <v>30</v>
      </c>
      <c r="AN98" s="245">
        <f t="shared" si="122"/>
        <v>3.84</v>
      </c>
      <c r="AO98" s="252">
        <v>46106</v>
      </c>
      <c r="AP98" s="253">
        <v>6</v>
      </c>
      <c r="AQ98" s="253">
        <v>6</v>
      </c>
      <c r="AR98" s="253">
        <v>6</v>
      </c>
      <c r="AS98" s="253">
        <v>6</v>
      </c>
      <c r="AT98" s="253">
        <v>6</v>
      </c>
      <c r="AU98" s="394">
        <f t="shared" si="171"/>
        <v>30</v>
      </c>
      <c r="AV98" s="248">
        <f t="shared" si="172"/>
        <v>3.84</v>
      </c>
      <c r="AW98" s="271">
        <v>46127</v>
      </c>
      <c r="AX98" s="279">
        <v>6</v>
      </c>
      <c r="AY98" s="254">
        <v>6</v>
      </c>
      <c r="AZ98" s="254">
        <v>6</v>
      </c>
      <c r="BA98" s="254">
        <v>6</v>
      </c>
      <c r="BB98" s="254">
        <v>6</v>
      </c>
      <c r="BC98" s="389">
        <f t="shared" si="173"/>
        <v>30</v>
      </c>
      <c r="BD98" s="248">
        <f t="shared" si="174"/>
        <v>3.84</v>
      </c>
      <c r="BE98" s="246">
        <f>AW98+BD98*7</f>
        <v>46153.88</v>
      </c>
      <c r="BF98" s="224"/>
      <c r="BG98" s="218"/>
      <c r="BH98" s="218"/>
      <c r="BI98" s="218"/>
      <c r="BJ98" s="218"/>
      <c r="BK98" s="247">
        <f t="shared" si="119"/>
        <v>0</v>
      </c>
      <c r="BL98" s="248">
        <f t="shared" si="120"/>
        <v>0</v>
      </c>
      <c r="BM98" s="227"/>
      <c r="BN98" s="224"/>
      <c r="BO98" s="218"/>
      <c r="BP98" s="218"/>
      <c r="BQ98" s="218"/>
      <c r="BR98" s="218"/>
      <c r="BS98" s="247"/>
      <c r="BT98" s="248">
        <f t="shared" si="175"/>
        <v>0</v>
      </c>
      <c r="BU98" s="249"/>
      <c r="BV98" s="224"/>
      <c r="BW98" s="218"/>
      <c r="BX98" s="218"/>
      <c r="BY98" s="218"/>
      <c r="BZ98" s="218"/>
      <c r="CA98" s="245"/>
      <c r="CB98" s="248">
        <f t="shared" si="176"/>
        <v>0</v>
      </c>
      <c r="CC98" s="338"/>
      <c r="CD98" s="224"/>
      <c r="CE98" s="218"/>
      <c r="CF98" s="218"/>
      <c r="CG98" s="218"/>
      <c r="CH98" s="218"/>
      <c r="CI98" s="245"/>
      <c r="CJ98" s="248">
        <f t="shared" si="177"/>
        <v>0</v>
      </c>
      <c r="CK98" s="218"/>
      <c r="CL98" s="224"/>
      <c r="CM98" s="218"/>
      <c r="CN98" s="218"/>
      <c r="CO98" s="218"/>
      <c r="CP98" s="218"/>
      <c r="CQ98" s="245"/>
      <c r="CR98" s="248">
        <f t="shared" si="178"/>
        <v>0</v>
      </c>
      <c r="CS98" s="218"/>
      <c r="CT98" s="224"/>
      <c r="CU98" s="218"/>
      <c r="CV98" s="218"/>
      <c r="CW98" s="218"/>
      <c r="CX98" s="218"/>
      <c r="CY98" s="218"/>
      <c r="CZ98" s="245">
        <f t="shared" si="179"/>
        <v>0</v>
      </c>
      <c r="DA98" s="218"/>
      <c r="DB98" s="224"/>
      <c r="DC98" s="218"/>
      <c r="DD98" s="218"/>
      <c r="DE98" s="218"/>
      <c r="DF98" s="218"/>
      <c r="DG98" s="218"/>
      <c r="DH98" s="218"/>
      <c r="DI98" s="218"/>
      <c r="DJ98" s="218"/>
      <c r="DK98" s="218"/>
      <c r="DL98" s="218"/>
      <c r="DM98" s="218"/>
      <c r="DN98" s="218"/>
      <c r="DO98" s="218"/>
      <c r="DP98" s="218"/>
      <c r="DQ98" s="227"/>
      <c r="DR98" s="224"/>
      <c r="DS98" s="218"/>
      <c r="DT98" s="218"/>
      <c r="DU98" s="218"/>
      <c r="DV98" s="218"/>
      <c r="DW98" s="218"/>
      <c r="DX98" s="218"/>
      <c r="DY98" s="218"/>
      <c r="DZ98" s="218"/>
      <c r="EA98" s="218"/>
      <c r="EB98" s="218"/>
      <c r="EC98" s="218"/>
      <c r="ED98" s="218"/>
      <c r="EE98" s="218"/>
      <c r="EF98" s="223">
        <f t="shared" ref="EF98:EJ98" si="187">AH98+AP98+AX98+BF98+BN98+BV98+CD98+CL98+CT98+DB98+DJ98+DR98+DZ98</f>
        <v>22</v>
      </c>
      <c r="EG98" s="223">
        <f t="shared" si="187"/>
        <v>17</v>
      </c>
      <c r="EH98" s="223">
        <f t="shared" si="187"/>
        <v>17</v>
      </c>
      <c r="EI98" s="223">
        <f t="shared" si="187"/>
        <v>17</v>
      </c>
      <c r="EJ98" s="223">
        <f t="shared" si="187"/>
        <v>17</v>
      </c>
      <c r="EK98" s="223">
        <f t="shared" si="181"/>
        <v>90</v>
      </c>
      <c r="EL98" s="218">
        <f t="shared" si="182"/>
        <v>2500</v>
      </c>
      <c r="EM98" s="218">
        <f t="shared" si="183"/>
        <v>156.25</v>
      </c>
      <c r="EN98" s="223">
        <f t="shared" si="184"/>
        <v>90</v>
      </c>
      <c r="EO98" s="226">
        <f t="shared" si="185"/>
        <v>66.25</v>
      </c>
      <c r="ER98" s="251"/>
      <c r="EU98" s="220"/>
    </row>
    <row r="99" s="200" customFormat="1" customHeight="1" spans="1:151">
      <c r="A99" s="380"/>
      <c r="B99" s="357">
        <v>24</v>
      </c>
      <c r="C99" s="219" t="s">
        <v>930</v>
      </c>
      <c r="D99" s="220"/>
      <c r="E99" s="220" t="s">
        <v>405</v>
      </c>
      <c r="F99" s="220" t="s">
        <v>125</v>
      </c>
      <c r="G99" s="220"/>
      <c r="H99" s="239"/>
      <c r="I99" s="239"/>
      <c r="J99" s="220" t="s">
        <v>931</v>
      </c>
      <c r="K99" s="221" t="s">
        <v>932</v>
      </c>
      <c r="L99" s="239"/>
      <c r="M99" s="239"/>
      <c r="N99" s="221"/>
      <c r="O99" s="221"/>
      <c r="P99" s="200" t="s">
        <v>933</v>
      </c>
      <c r="Q99" s="200" t="s">
        <v>408</v>
      </c>
      <c r="V99" s="200" t="s">
        <v>931</v>
      </c>
      <c r="W99" s="207" t="s">
        <v>932</v>
      </c>
      <c r="Y99" s="207"/>
      <c r="Z99" s="354"/>
      <c r="AA99" s="218">
        <v>200</v>
      </c>
      <c r="AB99" s="242">
        <f t="shared" si="186"/>
        <v>0</v>
      </c>
      <c r="AC99" s="218"/>
      <c r="AD99" s="218"/>
      <c r="AE99" s="218"/>
      <c r="AF99" s="364">
        <f t="shared" si="169"/>
        <v>0</v>
      </c>
      <c r="AG99" s="265">
        <v>46084</v>
      </c>
      <c r="AH99" s="247"/>
      <c r="AI99" s="247"/>
      <c r="AJ99" s="223"/>
      <c r="AK99" s="223"/>
      <c r="AL99" s="223"/>
      <c r="AM99" s="247">
        <f t="shared" si="170"/>
        <v>0</v>
      </c>
      <c r="AN99" s="245" t="e">
        <f t="shared" si="122"/>
        <v>#DIV/0!</v>
      </c>
      <c r="AO99" s="265"/>
      <c r="AP99" s="247"/>
      <c r="AQ99" s="247"/>
      <c r="AR99" s="223"/>
      <c r="AS99" s="223"/>
      <c r="AT99" s="223"/>
      <c r="AU99" s="349">
        <f t="shared" si="171"/>
        <v>0</v>
      </c>
      <c r="AV99" s="248" t="e">
        <f t="shared" si="172"/>
        <v>#DIV/0!</v>
      </c>
      <c r="AW99" s="249"/>
      <c r="AX99" s="223"/>
      <c r="AY99" s="218"/>
      <c r="AZ99" s="218"/>
      <c r="BA99" s="218"/>
      <c r="BB99" s="218"/>
      <c r="BC99" s="397">
        <f t="shared" si="173"/>
        <v>0</v>
      </c>
      <c r="BD99" s="248" t="e">
        <f t="shared" si="174"/>
        <v>#DIV/0!</v>
      </c>
      <c r="BE99" s="249"/>
      <c r="BF99" s="224"/>
      <c r="BG99" s="218"/>
      <c r="BH99" s="218"/>
      <c r="BI99" s="218"/>
      <c r="BJ99" s="218"/>
      <c r="BK99" s="247">
        <f t="shared" ref="BK99:BK136" si="188">BF99+BG99+BH99+BI99+BJ99</f>
        <v>0</v>
      </c>
      <c r="BL99" s="248" t="e">
        <f t="shared" si="120"/>
        <v>#DIV/0!</v>
      </c>
      <c r="BM99" s="338"/>
      <c r="BN99" s="224"/>
      <c r="BO99" s="218"/>
      <c r="BP99" s="218"/>
      <c r="BQ99" s="218"/>
      <c r="BR99" s="218"/>
      <c r="BS99" s="247"/>
      <c r="BT99" s="248" t="e">
        <f t="shared" si="175"/>
        <v>#DIV/0!</v>
      </c>
      <c r="BU99" s="218"/>
      <c r="BV99" s="224"/>
      <c r="BW99" s="218"/>
      <c r="BX99" s="218"/>
      <c r="BY99" s="218"/>
      <c r="BZ99" s="218"/>
      <c r="CA99" s="245"/>
      <c r="CB99" s="248" t="e">
        <f t="shared" si="176"/>
        <v>#DIV/0!</v>
      </c>
      <c r="CC99" s="218"/>
      <c r="CD99" s="224"/>
      <c r="CE99" s="218"/>
      <c r="CF99" s="218"/>
      <c r="CG99" s="218"/>
      <c r="CH99" s="218"/>
      <c r="CI99" s="245"/>
      <c r="CJ99" s="248" t="e">
        <f t="shared" si="177"/>
        <v>#DIV/0!</v>
      </c>
      <c r="CK99" s="218"/>
      <c r="CL99" s="224"/>
      <c r="CM99" s="218"/>
      <c r="CN99" s="218"/>
      <c r="CO99" s="218"/>
      <c r="CP99" s="218"/>
      <c r="CQ99" s="245"/>
      <c r="CR99" s="248" t="e">
        <f t="shared" si="178"/>
        <v>#DIV/0!</v>
      </c>
      <c r="CS99" s="218"/>
      <c r="CT99" s="224"/>
      <c r="CU99" s="218"/>
      <c r="CV99" s="218"/>
      <c r="CW99" s="218"/>
      <c r="CX99" s="218"/>
      <c r="CY99" s="218"/>
      <c r="CZ99" s="245" t="e">
        <f t="shared" si="179"/>
        <v>#DIV/0!</v>
      </c>
      <c r="DA99" s="218"/>
      <c r="DB99" s="224"/>
      <c r="DC99" s="218"/>
      <c r="DD99" s="218"/>
      <c r="DE99" s="218"/>
      <c r="DF99" s="218"/>
      <c r="DG99" s="218"/>
      <c r="DH99" s="218"/>
      <c r="DI99" s="218"/>
      <c r="DJ99" s="218"/>
      <c r="DK99" s="218"/>
      <c r="DL99" s="218"/>
      <c r="DM99" s="218"/>
      <c r="DN99" s="218"/>
      <c r="DO99" s="218"/>
      <c r="DP99" s="218"/>
      <c r="DQ99" s="227"/>
      <c r="DR99" s="224"/>
      <c r="DS99" s="218"/>
      <c r="DT99" s="218"/>
      <c r="DU99" s="218"/>
      <c r="DV99" s="218"/>
      <c r="DW99" s="218"/>
      <c r="DX99" s="218"/>
      <c r="DY99" s="218"/>
      <c r="DZ99" s="218"/>
      <c r="EA99" s="218"/>
      <c r="EB99" s="218"/>
      <c r="EC99" s="218"/>
      <c r="ED99" s="218"/>
      <c r="EE99" s="218"/>
      <c r="EF99" s="223">
        <f t="shared" ref="EF99:EJ99" si="189">AH99+AP99+AX99+BF99+BN99+BV99+CD99+CL99+CT99+DB99+DJ99+DR99+DZ99</f>
        <v>0</v>
      </c>
      <c r="EG99" s="223">
        <f t="shared" si="189"/>
        <v>0</v>
      </c>
      <c r="EH99" s="223">
        <f t="shared" si="189"/>
        <v>0</v>
      </c>
      <c r="EI99" s="223">
        <f t="shared" si="189"/>
        <v>0</v>
      </c>
      <c r="EJ99" s="223">
        <f t="shared" si="189"/>
        <v>0</v>
      </c>
      <c r="EK99" s="223">
        <f t="shared" si="181"/>
        <v>0</v>
      </c>
      <c r="EL99" s="218">
        <f t="shared" si="182"/>
        <v>0</v>
      </c>
      <c r="EM99" s="218">
        <f t="shared" si="183"/>
        <v>0</v>
      </c>
      <c r="EN99" s="223">
        <f t="shared" si="184"/>
        <v>0</v>
      </c>
      <c r="EO99" s="226">
        <f t="shared" si="185"/>
        <v>0</v>
      </c>
      <c r="ER99" s="251"/>
      <c r="EU99" s="220"/>
    </row>
    <row r="100" s="200" customFormat="1" ht="21" spans="1:151">
      <c r="A100" s="380"/>
      <c r="B100" s="357">
        <v>25</v>
      </c>
      <c r="C100" s="219" t="s">
        <v>934</v>
      </c>
      <c r="D100" s="220"/>
      <c r="E100" s="220" t="s">
        <v>405</v>
      </c>
      <c r="F100" s="220" t="s">
        <v>106</v>
      </c>
      <c r="G100" s="220"/>
      <c r="H100" s="239"/>
      <c r="I100" s="239"/>
      <c r="J100" s="200" t="s">
        <v>935</v>
      </c>
      <c r="K100" s="398">
        <v>19878052960</v>
      </c>
      <c r="L100" s="239"/>
      <c r="M100" s="239"/>
      <c r="N100" s="221"/>
      <c r="O100" s="221" t="s">
        <v>874</v>
      </c>
      <c r="P100" s="200" t="s">
        <v>936</v>
      </c>
      <c r="Q100" s="200" t="s">
        <v>408</v>
      </c>
      <c r="W100" s="207"/>
      <c r="X100" s="200" t="s">
        <v>935</v>
      </c>
      <c r="Y100" s="207" t="s">
        <v>937</v>
      </c>
      <c r="Z100" s="354"/>
      <c r="AA100" s="218">
        <v>125</v>
      </c>
      <c r="AB100" s="242">
        <f t="shared" si="186"/>
        <v>0</v>
      </c>
      <c r="AC100" s="218"/>
      <c r="AD100" s="218"/>
      <c r="AE100" s="218"/>
      <c r="AF100" s="364">
        <f t="shared" si="169"/>
        <v>0</v>
      </c>
      <c r="AG100" s="249"/>
      <c r="AH100" s="224"/>
      <c r="AI100" s="218"/>
      <c r="AJ100" s="218"/>
      <c r="AK100" s="218"/>
      <c r="AL100" s="218"/>
      <c r="AM100" s="247">
        <f t="shared" si="170"/>
        <v>0</v>
      </c>
      <c r="AN100" s="245" t="e">
        <f t="shared" si="122"/>
        <v>#DIV/0!</v>
      </c>
      <c r="AO100" s="265"/>
      <c r="AP100" s="247"/>
      <c r="AQ100" s="247"/>
      <c r="AR100" s="223"/>
      <c r="AS100" s="223"/>
      <c r="AT100" s="247"/>
      <c r="AU100" s="349">
        <f t="shared" si="171"/>
        <v>0</v>
      </c>
      <c r="AV100" s="248" t="e">
        <f t="shared" si="172"/>
        <v>#DIV/0!</v>
      </c>
      <c r="AW100" s="428"/>
      <c r="AX100" s="247"/>
      <c r="AY100" s="247"/>
      <c r="AZ100" s="223"/>
      <c r="BA100" s="223"/>
      <c r="BB100" s="247"/>
      <c r="BC100" s="397">
        <f t="shared" si="173"/>
        <v>0</v>
      </c>
      <c r="BD100" s="248" t="e">
        <f t="shared" si="174"/>
        <v>#DIV/0!</v>
      </c>
      <c r="BE100" s="249"/>
      <c r="BF100" s="224"/>
      <c r="BG100" s="218"/>
      <c r="BH100" s="218"/>
      <c r="BI100" s="218"/>
      <c r="BJ100" s="218"/>
      <c r="BK100" s="247">
        <f t="shared" si="188"/>
        <v>0</v>
      </c>
      <c r="BL100" s="248" t="e">
        <f t="shared" si="120"/>
        <v>#DIV/0!</v>
      </c>
      <c r="BM100" s="227"/>
      <c r="BN100" s="224"/>
      <c r="BO100" s="218"/>
      <c r="BP100" s="218"/>
      <c r="BQ100" s="218"/>
      <c r="BR100" s="218"/>
      <c r="BS100" s="247"/>
      <c r="BT100" s="248" t="e">
        <f t="shared" si="175"/>
        <v>#DIV/0!</v>
      </c>
      <c r="BU100" s="218"/>
      <c r="BV100" s="224"/>
      <c r="BW100" s="218"/>
      <c r="BX100" s="218"/>
      <c r="BY100" s="218"/>
      <c r="BZ100" s="218"/>
      <c r="CA100" s="245"/>
      <c r="CB100" s="248" t="e">
        <f t="shared" si="176"/>
        <v>#DIV/0!</v>
      </c>
      <c r="CC100" s="218"/>
      <c r="CD100" s="224"/>
      <c r="CE100" s="218"/>
      <c r="CF100" s="218"/>
      <c r="CG100" s="218"/>
      <c r="CH100" s="218"/>
      <c r="CI100" s="245"/>
      <c r="CJ100" s="248" t="e">
        <f t="shared" si="177"/>
        <v>#DIV/0!</v>
      </c>
      <c r="CK100" s="218"/>
      <c r="CL100" s="224"/>
      <c r="CM100" s="218"/>
      <c r="CN100" s="218"/>
      <c r="CO100" s="218"/>
      <c r="CP100" s="218"/>
      <c r="CQ100" s="245"/>
      <c r="CR100" s="248" t="e">
        <f t="shared" si="178"/>
        <v>#DIV/0!</v>
      </c>
      <c r="CS100" s="218"/>
      <c r="CT100" s="224"/>
      <c r="CU100" s="218"/>
      <c r="CV100" s="218"/>
      <c r="CW100" s="218"/>
      <c r="CX100" s="218"/>
      <c r="CY100" s="218"/>
      <c r="CZ100" s="245" t="e">
        <f t="shared" si="179"/>
        <v>#DIV/0!</v>
      </c>
      <c r="DA100" s="218"/>
      <c r="DB100" s="224"/>
      <c r="DC100" s="218"/>
      <c r="DD100" s="218"/>
      <c r="DE100" s="218"/>
      <c r="DF100" s="218"/>
      <c r="DG100" s="218"/>
      <c r="DH100" s="218"/>
      <c r="DI100" s="218"/>
      <c r="DJ100" s="218"/>
      <c r="DK100" s="218"/>
      <c r="DL100" s="218"/>
      <c r="DM100" s="218"/>
      <c r="DN100" s="218"/>
      <c r="DO100" s="218"/>
      <c r="DP100" s="218"/>
      <c r="DQ100" s="227"/>
      <c r="DR100" s="224"/>
      <c r="DS100" s="218"/>
      <c r="DT100" s="218"/>
      <c r="DU100" s="218"/>
      <c r="DV100" s="218"/>
      <c r="DW100" s="218"/>
      <c r="DX100" s="218"/>
      <c r="DY100" s="218"/>
      <c r="DZ100" s="218"/>
      <c r="EA100" s="218"/>
      <c r="EB100" s="218"/>
      <c r="EC100" s="218"/>
      <c r="ED100" s="218"/>
      <c r="EE100" s="218"/>
      <c r="EF100" s="223">
        <f t="shared" ref="EF100:EJ100" si="190">AH100+AP100+AX100+BF100+BN100+BV100+CD100+CL100+CT100+DB100+DJ100+DR100+DZ100</f>
        <v>0</v>
      </c>
      <c r="EG100" s="223">
        <f t="shared" si="190"/>
        <v>0</v>
      </c>
      <c r="EH100" s="223">
        <f t="shared" si="190"/>
        <v>0</v>
      </c>
      <c r="EI100" s="223">
        <f t="shared" si="190"/>
        <v>0</v>
      </c>
      <c r="EJ100" s="223">
        <f t="shared" si="190"/>
        <v>0</v>
      </c>
      <c r="EK100" s="223">
        <f t="shared" si="181"/>
        <v>0</v>
      </c>
      <c r="EL100" s="218">
        <f t="shared" si="182"/>
        <v>0</v>
      </c>
      <c r="EM100" s="218">
        <f t="shared" si="183"/>
        <v>0</v>
      </c>
      <c r="EN100" s="223">
        <f t="shared" si="184"/>
        <v>0</v>
      </c>
      <c r="EO100" s="226">
        <f t="shared" si="185"/>
        <v>0</v>
      </c>
      <c r="ER100" s="251"/>
      <c r="EU100" s="220"/>
    </row>
    <row r="101" s="200" customFormat="1" customHeight="1" spans="1:151">
      <c r="A101" s="380"/>
      <c r="B101" s="406">
        <v>26</v>
      </c>
      <c r="C101" s="218" t="s">
        <v>938</v>
      </c>
      <c r="E101" s="220" t="s">
        <v>405</v>
      </c>
      <c r="F101" s="220" t="s">
        <v>106</v>
      </c>
      <c r="J101" s="200" t="s">
        <v>939</v>
      </c>
      <c r="K101" s="240">
        <v>13828529498</v>
      </c>
      <c r="N101" s="207"/>
      <c r="O101" s="200">
        <v>25</v>
      </c>
      <c r="Q101" s="200" t="s">
        <v>408</v>
      </c>
      <c r="V101" s="200" t="s">
        <v>939</v>
      </c>
      <c r="W101" s="200">
        <v>13828529498</v>
      </c>
      <c r="Y101" s="207"/>
      <c r="Z101" s="354"/>
      <c r="AA101" s="218">
        <v>125</v>
      </c>
      <c r="AB101" s="218">
        <v>10</v>
      </c>
      <c r="AC101" s="218">
        <v>3</v>
      </c>
      <c r="AD101" s="218">
        <v>7</v>
      </c>
      <c r="AE101" s="218"/>
      <c r="AF101" s="364">
        <f t="shared" si="169"/>
        <v>50</v>
      </c>
      <c r="AG101" s="243">
        <v>46082</v>
      </c>
      <c r="AH101" s="253"/>
      <c r="AI101" s="254">
        <v>2</v>
      </c>
      <c r="AJ101" s="254">
        <v>2</v>
      </c>
      <c r="AK101" s="254">
        <v>2</v>
      </c>
      <c r="AL101" s="244"/>
      <c r="AM101" s="244">
        <f t="shared" si="170"/>
        <v>6</v>
      </c>
      <c r="AN101" s="245">
        <f t="shared" ref="AN101:AN152" si="191">AM101*16/AF101</f>
        <v>1.92</v>
      </c>
      <c r="AO101" s="243">
        <v>46107</v>
      </c>
      <c r="AP101" s="253">
        <v>4</v>
      </c>
      <c r="AQ101" s="254">
        <v>3</v>
      </c>
      <c r="AR101" s="254">
        <v>3</v>
      </c>
      <c r="AS101" s="254">
        <v>3</v>
      </c>
      <c r="AT101" s="244"/>
      <c r="AU101" s="244">
        <f t="shared" si="171"/>
        <v>13</v>
      </c>
      <c r="AV101" s="248">
        <f t="shared" si="172"/>
        <v>4.16</v>
      </c>
      <c r="AW101" s="255">
        <v>46120</v>
      </c>
      <c r="AX101" s="423">
        <v>2</v>
      </c>
      <c r="AY101" s="257">
        <v>2</v>
      </c>
      <c r="AZ101" s="257">
        <v>3</v>
      </c>
      <c r="BA101" s="257">
        <v>3</v>
      </c>
      <c r="BB101" s="257"/>
      <c r="BC101" s="425">
        <f t="shared" si="173"/>
        <v>10</v>
      </c>
      <c r="BD101" s="248">
        <f t="shared" si="174"/>
        <v>3.2</v>
      </c>
      <c r="BE101" s="246">
        <f>AW101+BD101*7</f>
        <v>46142.4</v>
      </c>
      <c r="BF101" s="224"/>
      <c r="BG101" s="218"/>
      <c r="BH101" s="218"/>
      <c r="BI101" s="218"/>
      <c r="BJ101" s="218"/>
      <c r="BK101" s="247">
        <f t="shared" si="188"/>
        <v>0</v>
      </c>
      <c r="BL101" s="248">
        <f t="shared" si="120"/>
        <v>0</v>
      </c>
      <c r="BM101" s="246">
        <f t="shared" ref="BM101:BM105" si="192">BE101+BL101*7</f>
        <v>46142.4</v>
      </c>
      <c r="BN101" s="224"/>
      <c r="BO101" s="218"/>
      <c r="BP101" s="218"/>
      <c r="BQ101" s="218"/>
      <c r="BR101" s="218"/>
      <c r="BS101" s="247"/>
      <c r="BT101" s="248">
        <f t="shared" si="175"/>
        <v>0</v>
      </c>
      <c r="BU101" s="249"/>
      <c r="BV101" s="224"/>
      <c r="BW101" s="218"/>
      <c r="BX101" s="218"/>
      <c r="BY101" s="218"/>
      <c r="BZ101" s="218"/>
      <c r="CA101" s="245"/>
      <c r="CB101" s="248">
        <f t="shared" si="176"/>
        <v>0</v>
      </c>
      <c r="CC101" s="246"/>
      <c r="CD101" s="224"/>
      <c r="CE101" s="218"/>
      <c r="CF101" s="218"/>
      <c r="CG101" s="218"/>
      <c r="CH101" s="218"/>
      <c r="CI101" s="245"/>
      <c r="CJ101" s="248">
        <f t="shared" si="177"/>
        <v>0</v>
      </c>
      <c r="CK101" s="218"/>
      <c r="CL101" s="224"/>
      <c r="CM101" s="218"/>
      <c r="CN101" s="218"/>
      <c r="CO101" s="218"/>
      <c r="CP101" s="218"/>
      <c r="CQ101" s="245"/>
      <c r="CR101" s="248">
        <f t="shared" si="178"/>
        <v>0</v>
      </c>
      <c r="CS101" s="218"/>
      <c r="CT101" s="224"/>
      <c r="CU101" s="218"/>
      <c r="CV101" s="218"/>
      <c r="CW101" s="218"/>
      <c r="CX101" s="218"/>
      <c r="CY101" s="218"/>
      <c r="CZ101" s="245">
        <f t="shared" si="179"/>
        <v>0</v>
      </c>
      <c r="DA101" s="218"/>
      <c r="DB101" s="224"/>
      <c r="DC101" s="218"/>
      <c r="DD101" s="218"/>
      <c r="DE101" s="218"/>
      <c r="DF101" s="218"/>
      <c r="DG101" s="218"/>
      <c r="DH101" s="218"/>
      <c r="DI101" s="218"/>
      <c r="DJ101" s="218"/>
      <c r="DK101" s="218"/>
      <c r="DL101" s="218"/>
      <c r="DM101" s="218"/>
      <c r="DN101" s="218"/>
      <c r="DO101" s="218"/>
      <c r="DP101" s="218"/>
      <c r="DQ101" s="227"/>
      <c r="DR101" s="224"/>
      <c r="DS101" s="218"/>
      <c r="DT101" s="218"/>
      <c r="DU101" s="218"/>
      <c r="DV101" s="218"/>
      <c r="DW101" s="218"/>
      <c r="DX101" s="218"/>
      <c r="DY101" s="218"/>
      <c r="DZ101" s="218"/>
      <c r="EA101" s="218"/>
      <c r="EB101" s="218"/>
      <c r="EC101" s="218"/>
      <c r="ED101" s="218"/>
      <c r="EE101" s="218"/>
      <c r="EF101" s="223">
        <f t="shared" ref="EF101:EJ101" si="193">AH101+AP101+AX101+BF101+BN101+BV101+CD101+CL101+CT101+DB101+DJ101+DR101+DZ101</f>
        <v>6</v>
      </c>
      <c r="EG101" s="223">
        <f t="shared" si="193"/>
        <v>7</v>
      </c>
      <c r="EH101" s="223">
        <f t="shared" si="193"/>
        <v>8</v>
      </c>
      <c r="EI101" s="223">
        <f t="shared" si="193"/>
        <v>8</v>
      </c>
      <c r="EJ101" s="223">
        <f t="shared" si="193"/>
        <v>0</v>
      </c>
      <c r="EK101" s="223">
        <f t="shared" si="181"/>
        <v>29</v>
      </c>
      <c r="EL101" s="218">
        <f t="shared" si="182"/>
        <v>1000</v>
      </c>
      <c r="EM101" s="218">
        <f t="shared" si="183"/>
        <v>62.5</v>
      </c>
      <c r="EN101" s="223">
        <f t="shared" si="184"/>
        <v>29</v>
      </c>
      <c r="EO101" s="226">
        <f t="shared" si="185"/>
        <v>33.5</v>
      </c>
      <c r="ER101" s="251"/>
      <c r="EU101" s="220"/>
    </row>
    <row r="102" s="200" customFormat="1" customHeight="1" spans="1:151">
      <c r="A102" s="380"/>
      <c r="B102" s="357">
        <v>27</v>
      </c>
      <c r="C102" s="218" t="s">
        <v>940</v>
      </c>
      <c r="E102" s="220" t="s">
        <v>405</v>
      </c>
      <c r="F102" s="220" t="s">
        <v>106</v>
      </c>
      <c r="J102" s="200" t="s">
        <v>941</v>
      </c>
      <c r="K102" s="207">
        <v>18023730453</v>
      </c>
      <c r="N102" s="207"/>
      <c r="O102" s="207" t="s">
        <v>913</v>
      </c>
      <c r="Q102" s="200" t="s">
        <v>408</v>
      </c>
      <c r="V102" s="200" t="s">
        <v>941</v>
      </c>
      <c r="W102" s="200">
        <v>18023730453</v>
      </c>
      <c r="Y102" s="207"/>
      <c r="Z102" s="354"/>
      <c r="AA102" s="218">
        <v>125</v>
      </c>
      <c r="AB102" s="242">
        <f t="shared" si="186"/>
        <v>0</v>
      </c>
      <c r="AC102" s="218"/>
      <c r="AD102" s="218"/>
      <c r="AE102" s="218"/>
      <c r="AF102" s="364">
        <f t="shared" si="169"/>
        <v>0</v>
      </c>
      <c r="AG102" s="265"/>
      <c r="AH102" s="247"/>
      <c r="AI102" s="223"/>
      <c r="AJ102" s="223"/>
      <c r="AK102" s="223"/>
      <c r="AL102" s="247"/>
      <c r="AM102" s="247">
        <f t="shared" si="170"/>
        <v>0</v>
      </c>
      <c r="AN102" s="245" t="e">
        <f t="shared" si="191"/>
        <v>#DIV/0!</v>
      </c>
      <c r="AO102" s="249"/>
      <c r="AP102" s="224"/>
      <c r="AQ102" s="218"/>
      <c r="AR102" s="218"/>
      <c r="AS102" s="218"/>
      <c r="AT102" s="218"/>
      <c r="AU102" s="349">
        <f t="shared" si="171"/>
        <v>0</v>
      </c>
      <c r="AV102" s="248" t="e">
        <f t="shared" si="172"/>
        <v>#DIV/0!</v>
      </c>
      <c r="AW102" s="249"/>
      <c r="AX102" s="223"/>
      <c r="AY102" s="218"/>
      <c r="AZ102" s="218"/>
      <c r="BA102" s="218"/>
      <c r="BB102" s="218"/>
      <c r="BC102" s="397">
        <f t="shared" si="173"/>
        <v>0</v>
      </c>
      <c r="BD102" s="248" t="e">
        <f t="shared" si="174"/>
        <v>#DIV/0!</v>
      </c>
      <c r="BE102" s="249"/>
      <c r="BF102" s="224"/>
      <c r="BG102" s="218"/>
      <c r="BH102" s="218"/>
      <c r="BI102" s="218"/>
      <c r="BJ102" s="218"/>
      <c r="BK102" s="247">
        <f t="shared" si="188"/>
        <v>0</v>
      </c>
      <c r="BL102" s="248" t="e">
        <f t="shared" si="120"/>
        <v>#DIV/0!</v>
      </c>
      <c r="BM102" s="227"/>
      <c r="BN102" s="224"/>
      <c r="BO102" s="218"/>
      <c r="BP102" s="218"/>
      <c r="BQ102" s="218"/>
      <c r="BR102" s="218"/>
      <c r="BS102" s="247"/>
      <c r="BT102" s="248" t="e">
        <f t="shared" si="175"/>
        <v>#DIV/0!</v>
      </c>
      <c r="BU102" s="218"/>
      <c r="BV102" s="224"/>
      <c r="BW102" s="218"/>
      <c r="BX102" s="218"/>
      <c r="BY102" s="218"/>
      <c r="BZ102" s="218"/>
      <c r="CA102" s="245"/>
      <c r="CB102" s="248" t="e">
        <f t="shared" si="176"/>
        <v>#DIV/0!</v>
      </c>
      <c r="CC102" s="218"/>
      <c r="CD102" s="224"/>
      <c r="CE102" s="218"/>
      <c r="CF102" s="218"/>
      <c r="CG102" s="218"/>
      <c r="CH102" s="218"/>
      <c r="CI102" s="245"/>
      <c r="CJ102" s="248" t="e">
        <f t="shared" si="177"/>
        <v>#DIV/0!</v>
      </c>
      <c r="CK102" s="218"/>
      <c r="CL102" s="224"/>
      <c r="CM102" s="218"/>
      <c r="CN102" s="218"/>
      <c r="CO102" s="218"/>
      <c r="CP102" s="218"/>
      <c r="CQ102" s="245"/>
      <c r="CR102" s="248" t="e">
        <f t="shared" si="178"/>
        <v>#DIV/0!</v>
      </c>
      <c r="CS102" s="218"/>
      <c r="CT102" s="224"/>
      <c r="CU102" s="218"/>
      <c r="CV102" s="218"/>
      <c r="CW102" s="218"/>
      <c r="CX102" s="218"/>
      <c r="CY102" s="218"/>
      <c r="CZ102" s="245" t="e">
        <f t="shared" si="179"/>
        <v>#DIV/0!</v>
      </c>
      <c r="DA102" s="218"/>
      <c r="DB102" s="224"/>
      <c r="DC102" s="218"/>
      <c r="DD102" s="218"/>
      <c r="DE102" s="218"/>
      <c r="DF102" s="218"/>
      <c r="DG102" s="218"/>
      <c r="DH102" s="218"/>
      <c r="DI102" s="218"/>
      <c r="DJ102" s="218"/>
      <c r="DK102" s="218"/>
      <c r="DL102" s="218"/>
      <c r="DM102" s="218"/>
      <c r="DN102" s="218"/>
      <c r="DO102" s="218"/>
      <c r="DP102" s="218"/>
      <c r="DQ102" s="227"/>
      <c r="DR102" s="224"/>
      <c r="DS102" s="218"/>
      <c r="DT102" s="218"/>
      <c r="DU102" s="218"/>
      <c r="DV102" s="218"/>
      <c r="DW102" s="218"/>
      <c r="DX102" s="218"/>
      <c r="DY102" s="218"/>
      <c r="DZ102" s="218"/>
      <c r="EA102" s="218"/>
      <c r="EB102" s="218"/>
      <c r="EC102" s="218"/>
      <c r="ED102" s="218"/>
      <c r="EE102" s="218"/>
      <c r="EF102" s="223">
        <f t="shared" ref="EF102:EJ102" si="194">AH102+AP102+AX102+BF102+BN102+BV102+CD102+CL102+CT102+DB102+DJ102+DR102+DZ102</f>
        <v>0</v>
      </c>
      <c r="EG102" s="223">
        <f t="shared" si="194"/>
        <v>0</v>
      </c>
      <c r="EH102" s="223">
        <f t="shared" si="194"/>
        <v>0</v>
      </c>
      <c r="EI102" s="223">
        <f t="shared" si="194"/>
        <v>0</v>
      </c>
      <c r="EJ102" s="223">
        <f t="shared" si="194"/>
        <v>0</v>
      </c>
      <c r="EK102" s="223">
        <f t="shared" si="181"/>
        <v>0</v>
      </c>
      <c r="EL102" s="218">
        <f t="shared" si="182"/>
        <v>0</v>
      </c>
      <c r="EM102" s="218">
        <f t="shared" si="183"/>
        <v>0</v>
      </c>
      <c r="EN102" s="223">
        <f t="shared" si="184"/>
        <v>0</v>
      </c>
      <c r="EO102" s="226">
        <f t="shared" si="185"/>
        <v>0</v>
      </c>
      <c r="ER102" s="251"/>
      <c r="EU102" s="220"/>
    </row>
    <row r="103" s="200" customFormat="1" customHeight="1" spans="1:151">
      <c r="A103" s="380"/>
      <c r="B103" s="406">
        <v>28</v>
      </c>
      <c r="C103" s="219" t="s">
        <v>942</v>
      </c>
      <c r="D103" s="220" t="s">
        <v>13</v>
      </c>
      <c r="E103" s="220"/>
      <c r="F103" s="220" t="s">
        <v>120</v>
      </c>
      <c r="G103" s="220" t="s">
        <v>231</v>
      </c>
      <c r="H103" s="239">
        <v>13824939398</v>
      </c>
      <c r="I103" s="239">
        <v>669398</v>
      </c>
      <c r="J103" s="220" t="s">
        <v>231</v>
      </c>
      <c r="K103" s="221">
        <v>13824939398</v>
      </c>
      <c r="L103" s="239">
        <v>669398</v>
      </c>
      <c r="M103" s="239"/>
      <c r="N103" s="221"/>
      <c r="O103" s="221"/>
      <c r="Q103" s="200" t="s">
        <v>695</v>
      </c>
      <c r="V103" s="200" t="s">
        <v>943</v>
      </c>
      <c r="W103" s="207"/>
      <c r="X103" s="200" t="s">
        <v>943</v>
      </c>
      <c r="Y103" s="207" t="s">
        <v>944</v>
      </c>
      <c r="Z103" s="354" t="s">
        <v>943</v>
      </c>
      <c r="AA103" s="218">
        <v>200</v>
      </c>
      <c r="AB103" s="218">
        <v>6</v>
      </c>
      <c r="AC103" s="218">
        <v>1</v>
      </c>
      <c r="AD103" s="218">
        <v>5</v>
      </c>
      <c r="AE103" s="218"/>
      <c r="AF103" s="364">
        <f t="shared" si="169"/>
        <v>30</v>
      </c>
      <c r="AG103" s="243">
        <v>46082</v>
      </c>
      <c r="AH103" s="244">
        <v>3</v>
      </c>
      <c r="AI103" s="244">
        <v>3</v>
      </c>
      <c r="AJ103" s="279">
        <v>3</v>
      </c>
      <c r="AK103" s="279">
        <v>3</v>
      </c>
      <c r="AL103" s="279">
        <v>3</v>
      </c>
      <c r="AM103" s="244">
        <f t="shared" si="170"/>
        <v>15</v>
      </c>
      <c r="AN103" s="245">
        <f t="shared" si="191"/>
        <v>8</v>
      </c>
      <c r="AO103" s="246">
        <f>AG103+AN103*7</f>
        <v>46138</v>
      </c>
      <c r="AP103" s="247"/>
      <c r="AQ103" s="247"/>
      <c r="AR103" s="223"/>
      <c r="AS103" s="223"/>
      <c r="AT103" s="223"/>
      <c r="AU103" s="349">
        <f t="shared" si="171"/>
        <v>0</v>
      </c>
      <c r="AV103" s="248">
        <f t="shared" si="172"/>
        <v>0</v>
      </c>
      <c r="AW103" s="246">
        <f t="shared" ref="AW101:AW107" si="195">AO103+AV103*7</f>
        <v>46138</v>
      </c>
      <c r="AX103" s="223"/>
      <c r="AY103" s="218"/>
      <c r="AZ103" s="218"/>
      <c r="BA103" s="218"/>
      <c r="BB103" s="218"/>
      <c r="BC103" s="397">
        <f t="shared" si="173"/>
        <v>0</v>
      </c>
      <c r="BD103" s="248">
        <f t="shared" si="174"/>
        <v>0</v>
      </c>
      <c r="BE103" s="249"/>
      <c r="BF103" s="224"/>
      <c r="BG103" s="218"/>
      <c r="BH103" s="218"/>
      <c r="BI103" s="218"/>
      <c r="BJ103" s="218"/>
      <c r="BK103" s="247">
        <f t="shared" si="188"/>
        <v>0</v>
      </c>
      <c r="BL103" s="248">
        <f t="shared" si="120"/>
        <v>0</v>
      </c>
      <c r="BM103" s="227"/>
      <c r="BN103" s="224"/>
      <c r="BO103" s="218"/>
      <c r="BP103" s="218"/>
      <c r="BQ103" s="218"/>
      <c r="BR103" s="218"/>
      <c r="BS103" s="247"/>
      <c r="BT103" s="248">
        <f t="shared" si="175"/>
        <v>0</v>
      </c>
      <c r="BU103" s="246"/>
      <c r="BV103" s="224"/>
      <c r="BW103" s="218"/>
      <c r="BX103" s="218"/>
      <c r="BY103" s="218"/>
      <c r="BZ103" s="218"/>
      <c r="CA103" s="245"/>
      <c r="CB103" s="248">
        <f t="shared" si="176"/>
        <v>0</v>
      </c>
      <c r="CC103" s="218"/>
      <c r="CD103" s="224"/>
      <c r="CE103" s="218"/>
      <c r="CF103" s="218"/>
      <c r="CG103" s="218"/>
      <c r="CH103" s="218"/>
      <c r="CI103" s="245"/>
      <c r="CJ103" s="248">
        <f t="shared" si="177"/>
        <v>0</v>
      </c>
      <c r="CK103" s="218"/>
      <c r="CL103" s="224"/>
      <c r="CM103" s="218"/>
      <c r="CN103" s="218"/>
      <c r="CO103" s="218"/>
      <c r="CP103" s="218"/>
      <c r="CQ103" s="245"/>
      <c r="CR103" s="248">
        <f t="shared" si="178"/>
        <v>0</v>
      </c>
      <c r="CS103" s="218"/>
      <c r="CT103" s="224"/>
      <c r="CU103" s="218"/>
      <c r="CV103" s="218"/>
      <c r="CW103" s="218"/>
      <c r="CX103" s="218"/>
      <c r="CY103" s="218"/>
      <c r="CZ103" s="245">
        <f t="shared" si="179"/>
        <v>0</v>
      </c>
      <c r="DA103" s="218"/>
      <c r="DB103" s="224"/>
      <c r="DC103" s="218"/>
      <c r="DD103" s="218"/>
      <c r="DE103" s="218"/>
      <c r="DF103" s="218"/>
      <c r="DG103" s="218"/>
      <c r="DH103" s="218"/>
      <c r="DI103" s="218"/>
      <c r="DJ103" s="218"/>
      <c r="DK103" s="218"/>
      <c r="DL103" s="218"/>
      <c r="DM103" s="218"/>
      <c r="DN103" s="218"/>
      <c r="DO103" s="218"/>
      <c r="DP103" s="218"/>
      <c r="DQ103" s="227"/>
      <c r="DR103" s="224"/>
      <c r="DS103" s="218"/>
      <c r="DT103" s="218"/>
      <c r="DU103" s="218"/>
      <c r="DV103" s="218"/>
      <c r="DW103" s="218"/>
      <c r="DX103" s="218"/>
      <c r="DY103" s="218"/>
      <c r="DZ103" s="218"/>
      <c r="EA103" s="218"/>
      <c r="EB103" s="218"/>
      <c r="EC103" s="218"/>
      <c r="ED103" s="218"/>
      <c r="EE103" s="218"/>
      <c r="EF103" s="223">
        <f t="shared" ref="EF103:EJ103" si="196">AH103+AP103+AX103+BF103+BN103+BV103+CD103+CL103+CT103+DB103+DJ103+DR103+DZ103</f>
        <v>3</v>
      </c>
      <c r="EG103" s="223">
        <f t="shared" si="196"/>
        <v>3</v>
      </c>
      <c r="EH103" s="223">
        <f t="shared" si="196"/>
        <v>3</v>
      </c>
      <c r="EI103" s="223">
        <f t="shared" si="196"/>
        <v>3</v>
      </c>
      <c r="EJ103" s="223">
        <f t="shared" si="196"/>
        <v>3</v>
      </c>
      <c r="EK103" s="223">
        <f t="shared" si="181"/>
        <v>15</v>
      </c>
      <c r="EL103" s="218">
        <f t="shared" si="182"/>
        <v>600</v>
      </c>
      <c r="EM103" s="218">
        <f t="shared" si="183"/>
        <v>37.5</v>
      </c>
      <c r="EN103" s="223">
        <f t="shared" si="184"/>
        <v>15</v>
      </c>
      <c r="EO103" s="226">
        <f t="shared" si="185"/>
        <v>22.5</v>
      </c>
      <c r="ER103" s="251"/>
      <c r="EU103" s="220"/>
    </row>
    <row r="104" s="200" customFormat="1" customHeight="1" spans="1:151">
      <c r="A104" s="380"/>
      <c r="B104" s="357">
        <v>29</v>
      </c>
      <c r="C104" s="219" t="s">
        <v>945</v>
      </c>
      <c r="E104" s="220"/>
      <c r="F104" s="220" t="s">
        <v>106</v>
      </c>
      <c r="J104" s="200" t="s">
        <v>717</v>
      </c>
      <c r="K104" s="240" t="s">
        <v>946</v>
      </c>
      <c r="N104" s="207"/>
      <c r="O104" s="200">
        <v>51</v>
      </c>
      <c r="Q104" s="200" t="s">
        <v>408</v>
      </c>
      <c r="V104" s="200" t="s">
        <v>717</v>
      </c>
      <c r="W104" s="240" t="s">
        <v>946</v>
      </c>
      <c r="Y104" s="207"/>
      <c r="Z104" s="354" t="s">
        <v>947</v>
      </c>
      <c r="AA104" s="218">
        <v>125</v>
      </c>
      <c r="AB104" s="218">
        <v>100</v>
      </c>
      <c r="AC104" s="218">
        <v>10</v>
      </c>
      <c r="AD104" s="218">
        <v>90</v>
      </c>
      <c r="AE104" s="218"/>
      <c r="AF104" s="364">
        <f t="shared" si="169"/>
        <v>500</v>
      </c>
      <c r="AG104" s="243">
        <v>46082</v>
      </c>
      <c r="AH104" s="253">
        <v>10</v>
      </c>
      <c r="AI104" s="254">
        <v>12</v>
      </c>
      <c r="AJ104" s="254">
        <v>12</v>
      </c>
      <c r="AK104" s="254">
        <v>12</v>
      </c>
      <c r="AL104" s="244"/>
      <c r="AM104" s="244">
        <f t="shared" si="170"/>
        <v>46</v>
      </c>
      <c r="AN104" s="245">
        <f t="shared" si="191"/>
        <v>1.472</v>
      </c>
      <c r="AO104" s="252">
        <v>46097</v>
      </c>
      <c r="AP104" s="253">
        <v>10</v>
      </c>
      <c r="AQ104" s="254">
        <v>18</v>
      </c>
      <c r="AR104" s="254">
        <v>18</v>
      </c>
      <c r="AS104" s="254">
        <v>18</v>
      </c>
      <c r="AT104" s="244"/>
      <c r="AU104" s="394">
        <f t="shared" si="171"/>
        <v>64</v>
      </c>
      <c r="AV104" s="248">
        <f t="shared" si="172"/>
        <v>2.048</v>
      </c>
      <c r="AW104" s="252">
        <v>46107</v>
      </c>
      <c r="AX104" s="279">
        <v>15</v>
      </c>
      <c r="AY104" s="254">
        <v>25</v>
      </c>
      <c r="AZ104" s="254">
        <v>25</v>
      </c>
      <c r="BA104" s="254">
        <v>25</v>
      </c>
      <c r="BB104" s="254"/>
      <c r="BC104" s="389">
        <f t="shared" si="173"/>
        <v>90</v>
      </c>
      <c r="BD104" s="248">
        <f t="shared" si="174"/>
        <v>2.88</v>
      </c>
      <c r="BE104" s="260">
        <v>46129</v>
      </c>
      <c r="BF104" s="282">
        <v>20</v>
      </c>
      <c r="BG104" s="282">
        <v>20</v>
      </c>
      <c r="BH104" s="282">
        <v>20</v>
      </c>
      <c r="BI104" s="282">
        <v>20</v>
      </c>
      <c r="BJ104" s="282"/>
      <c r="BK104" s="274">
        <v>80</v>
      </c>
      <c r="BL104" s="248">
        <f t="shared" si="120"/>
        <v>2.56</v>
      </c>
      <c r="BM104" s="246">
        <f t="shared" si="192"/>
        <v>46146.92</v>
      </c>
      <c r="BN104" s="224"/>
      <c r="BO104" s="218"/>
      <c r="BP104" s="218"/>
      <c r="BQ104" s="218"/>
      <c r="BR104" s="218"/>
      <c r="BS104" s="247"/>
      <c r="BT104" s="248">
        <f t="shared" si="175"/>
        <v>0</v>
      </c>
      <c r="BU104" s="249"/>
      <c r="BV104" s="224"/>
      <c r="BW104" s="218"/>
      <c r="BX104" s="218"/>
      <c r="BY104" s="218"/>
      <c r="BZ104" s="218"/>
      <c r="CA104" s="245"/>
      <c r="CB104" s="248">
        <f t="shared" si="176"/>
        <v>0</v>
      </c>
      <c r="CC104" s="249"/>
      <c r="CD104" s="224"/>
      <c r="CE104" s="218"/>
      <c r="CF104" s="218"/>
      <c r="CG104" s="218"/>
      <c r="CH104" s="218"/>
      <c r="CI104" s="245"/>
      <c r="CJ104" s="248">
        <f t="shared" si="177"/>
        <v>0</v>
      </c>
      <c r="CK104" s="249"/>
      <c r="CL104" s="224"/>
      <c r="CM104" s="218"/>
      <c r="CN104" s="218"/>
      <c r="CO104" s="218"/>
      <c r="CP104" s="218"/>
      <c r="CQ104" s="245"/>
      <c r="CR104" s="248">
        <f t="shared" si="178"/>
        <v>0</v>
      </c>
      <c r="CS104" s="246"/>
      <c r="CT104" s="224"/>
      <c r="CU104" s="218"/>
      <c r="CV104" s="218"/>
      <c r="CW104" s="218"/>
      <c r="CX104" s="218"/>
      <c r="CY104" s="218"/>
      <c r="CZ104" s="245">
        <f t="shared" si="179"/>
        <v>0</v>
      </c>
      <c r="DA104" s="246"/>
      <c r="DB104" s="224"/>
      <c r="DC104" s="218"/>
      <c r="DD104" s="218"/>
      <c r="DE104" s="218"/>
      <c r="DF104" s="218"/>
      <c r="DG104" s="218"/>
      <c r="DH104" s="218"/>
      <c r="DI104" s="218"/>
      <c r="DJ104" s="218"/>
      <c r="DK104" s="218"/>
      <c r="DL104" s="218"/>
      <c r="DM104" s="218"/>
      <c r="DN104" s="218"/>
      <c r="DO104" s="218"/>
      <c r="DP104" s="218"/>
      <c r="DQ104" s="227"/>
      <c r="DR104" s="224"/>
      <c r="DS104" s="218"/>
      <c r="DT104" s="218"/>
      <c r="DU104" s="218"/>
      <c r="DV104" s="218"/>
      <c r="DW104" s="218"/>
      <c r="DX104" s="218"/>
      <c r="DY104" s="218"/>
      <c r="DZ104" s="218"/>
      <c r="EA104" s="218"/>
      <c r="EB104" s="218"/>
      <c r="EC104" s="218"/>
      <c r="ED104" s="218"/>
      <c r="EE104" s="218"/>
      <c r="EF104" s="223">
        <f t="shared" ref="EF104:EJ104" si="197">AH104+AP104+AX104+BF104+BN104+BV104+CD104+CL104+CT104+DB104+DJ104+DR104+DZ104</f>
        <v>55</v>
      </c>
      <c r="EG104" s="223">
        <f t="shared" si="197"/>
        <v>75</v>
      </c>
      <c r="EH104" s="223">
        <f t="shared" si="197"/>
        <v>75</v>
      </c>
      <c r="EI104" s="223">
        <f t="shared" si="197"/>
        <v>75</v>
      </c>
      <c r="EJ104" s="223">
        <f t="shared" si="197"/>
        <v>0</v>
      </c>
      <c r="EK104" s="223">
        <f t="shared" si="181"/>
        <v>280</v>
      </c>
      <c r="EL104" s="218">
        <f t="shared" si="182"/>
        <v>10000</v>
      </c>
      <c r="EM104" s="218">
        <f t="shared" si="183"/>
        <v>625</v>
      </c>
      <c r="EN104" s="223">
        <f t="shared" si="184"/>
        <v>280</v>
      </c>
      <c r="EO104" s="226">
        <f t="shared" si="185"/>
        <v>345</v>
      </c>
      <c r="ER104" s="251"/>
      <c r="EU104" s="220"/>
    </row>
    <row r="105" s="200" customFormat="1" customHeight="1" spans="1:151">
      <c r="A105" s="380"/>
      <c r="B105" s="357">
        <v>30</v>
      </c>
      <c r="C105" s="219" t="s">
        <v>948</v>
      </c>
      <c r="E105" s="220"/>
      <c r="F105" s="220" t="s">
        <v>106</v>
      </c>
      <c r="J105" s="200" t="s">
        <v>949</v>
      </c>
      <c r="K105" s="240" t="s">
        <v>950</v>
      </c>
      <c r="N105" s="207"/>
      <c r="O105" s="200">
        <v>4</v>
      </c>
      <c r="Q105" s="200" t="s">
        <v>408</v>
      </c>
      <c r="V105" s="200" t="s">
        <v>949</v>
      </c>
      <c r="W105" s="240" t="s">
        <v>950</v>
      </c>
      <c r="Y105" s="207"/>
      <c r="Z105" s="354" t="s">
        <v>949</v>
      </c>
      <c r="AA105" s="218">
        <v>125</v>
      </c>
      <c r="AB105" s="218">
        <f t="shared" si="186"/>
        <v>11</v>
      </c>
      <c r="AC105" s="218">
        <v>1</v>
      </c>
      <c r="AD105" s="218">
        <v>10</v>
      </c>
      <c r="AE105" s="218"/>
      <c r="AF105" s="364">
        <f t="shared" si="169"/>
        <v>55</v>
      </c>
      <c r="AG105" s="243">
        <v>46082</v>
      </c>
      <c r="AH105" s="253">
        <v>2</v>
      </c>
      <c r="AI105" s="254">
        <v>2</v>
      </c>
      <c r="AJ105" s="254">
        <v>2</v>
      </c>
      <c r="AK105" s="254">
        <v>2</v>
      </c>
      <c r="AL105" s="244"/>
      <c r="AM105" s="244">
        <f t="shared" si="170"/>
        <v>8</v>
      </c>
      <c r="AN105" s="245">
        <f t="shared" si="191"/>
        <v>2.32727272727273</v>
      </c>
      <c r="AO105" s="252">
        <v>46099</v>
      </c>
      <c r="AP105" s="253">
        <v>3</v>
      </c>
      <c r="AQ105" s="254">
        <v>3</v>
      </c>
      <c r="AR105" s="254">
        <v>3</v>
      </c>
      <c r="AS105" s="254">
        <v>3</v>
      </c>
      <c r="AT105" s="244"/>
      <c r="AU105" s="394">
        <f t="shared" si="171"/>
        <v>12</v>
      </c>
      <c r="AV105" s="248">
        <f t="shared" si="172"/>
        <v>3.49090909090909</v>
      </c>
      <c r="AW105" s="271">
        <v>46122</v>
      </c>
      <c r="AX105" s="407">
        <v>3</v>
      </c>
      <c r="AY105" s="282">
        <v>2</v>
      </c>
      <c r="AZ105" s="282">
        <v>2</v>
      </c>
      <c r="BA105" s="282">
        <v>2</v>
      </c>
      <c r="BB105" s="282"/>
      <c r="BC105" s="401">
        <f t="shared" si="173"/>
        <v>9</v>
      </c>
      <c r="BD105" s="248">
        <f t="shared" si="174"/>
        <v>2.61818181818182</v>
      </c>
      <c r="BE105" s="246">
        <f>AW105+BD105*7</f>
        <v>46140.3272727273</v>
      </c>
      <c r="BF105" s="224"/>
      <c r="BG105" s="218"/>
      <c r="BH105" s="218"/>
      <c r="BI105" s="218"/>
      <c r="BJ105" s="218"/>
      <c r="BK105" s="247">
        <f t="shared" si="188"/>
        <v>0</v>
      </c>
      <c r="BL105" s="248">
        <f t="shared" si="120"/>
        <v>0</v>
      </c>
      <c r="BM105" s="246">
        <f t="shared" si="192"/>
        <v>46140.3272727273</v>
      </c>
      <c r="BN105" s="224"/>
      <c r="BO105" s="218"/>
      <c r="BP105" s="218"/>
      <c r="BQ105" s="218"/>
      <c r="BR105" s="218"/>
      <c r="BS105" s="247"/>
      <c r="BT105" s="248">
        <f t="shared" si="175"/>
        <v>0</v>
      </c>
      <c r="BU105" s="249"/>
      <c r="BV105" s="224"/>
      <c r="BW105" s="218"/>
      <c r="BX105" s="218"/>
      <c r="BY105" s="218"/>
      <c r="BZ105" s="218"/>
      <c r="CA105" s="245"/>
      <c r="CB105" s="248">
        <f t="shared" si="176"/>
        <v>0</v>
      </c>
      <c r="CC105" s="249"/>
      <c r="CD105" s="224"/>
      <c r="CE105" s="218"/>
      <c r="CF105" s="218"/>
      <c r="CG105" s="218"/>
      <c r="CH105" s="218"/>
      <c r="CI105" s="245"/>
      <c r="CJ105" s="248">
        <f t="shared" si="177"/>
        <v>0</v>
      </c>
      <c r="CK105" s="246"/>
      <c r="CL105" s="224"/>
      <c r="CM105" s="218"/>
      <c r="CN105" s="218"/>
      <c r="CO105" s="218"/>
      <c r="CP105" s="218"/>
      <c r="CQ105" s="245"/>
      <c r="CR105" s="248">
        <f t="shared" si="178"/>
        <v>0</v>
      </c>
      <c r="CS105" s="218"/>
      <c r="CT105" s="224"/>
      <c r="CU105" s="218"/>
      <c r="CV105" s="218"/>
      <c r="CW105" s="218"/>
      <c r="CX105" s="218"/>
      <c r="CY105" s="218"/>
      <c r="CZ105" s="245">
        <f t="shared" si="179"/>
        <v>0</v>
      </c>
      <c r="DA105" s="218"/>
      <c r="DB105" s="224"/>
      <c r="DC105" s="218"/>
      <c r="DD105" s="218"/>
      <c r="DE105" s="218"/>
      <c r="DF105" s="218"/>
      <c r="DG105" s="218"/>
      <c r="DH105" s="218"/>
      <c r="DI105" s="218"/>
      <c r="DJ105" s="218"/>
      <c r="DK105" s="218"/>
      <c r="DL105" s="218"/>
      <c r="DM105" s="218"/>
      <c r="DN105" s="218"/>
      <c r="DO105" s="218"/>
      <c r="DP105" s="218"/>
      <c r="DQ105" s="227"/>
      <c r="DR105" s="224"/>
      <c r="DS105" s="218"/>
      <c r="DT105" s="218"/>
      <c r="DU105" s="218"/>
      <c r="DV105" s="218"/>
      <c r="DW105" s="218"/>
      <c r="DX105" s="218"/>
      <c r="DY105" s="218"/>
      <c r="DZ105" s="218"/>
      <c r="EA105" s="218"/>
      <c r="EB105" s="218"/>
      <c r="EC105" s="218"/>
      <c r="ED105" s="218"/>
      <c r="EE105" s="218"/>
      <c r="EF105" s="223">
        <f t="shared" ref="EF105:EJ105" si="198">AH105+AP105+AX105+BF105+BN105+BV105+CD105+CL105+CT105+DB105+DJ105+DR105+DZ105</f>
        <v>8</v>
      </c>
      <c r="EG105" s="223">
        <f t="shared" si="198"/>
        <v>7</v>
      </c>
      <c r="EH105" s="223">
        <f t="shared" si="198"/>
        <v>7</v>
      </c>
      <c r="EI105" s="223">
        <f t="shared" si="198"/>
        <v>7</v>
      </c>
      <c r="EJ105" s="223">
        <f t="shared" si="198"/>
        <v>0</v>
      </c>
      <c r="EK105" s="223">
        <f t="shared" si="181"/>
        <v>29</v>
      </c>
      <c r="EL105" s="218">
        <f t="shared" si="182"/>
        <v>1100</v>
      </c>
      <c r="EM105" s="218">
        <f t="shared" si="183"/>
        <v>68.75</v>
      </c>
      <c r="EN105" s="223">
        <f t="shared" si="184"/>
        <v>29</v>
      </c>
      <c r="EO105" s="226">
        <f t="shared" si="185"/>
        <v>39.75</v>
      </c>
      <c r="ER105" s="251"/>
      <c r="EU105" s="220"/>
    </row>
    <row r="106" s="200" customFormat="1" customHeight="1" spans="1:151">
      <c r="A106" s="380"/>
      <c r="B106" s="357">
        <v>31</v>
      </c>
      <c r="C106" s="219" t="s">
        <v>951</v>
      </c>
      <c r="D106" s="220"/>
      <c r="E106" s="220"/>
      <c r="F106" s="220"/>
      <c r="G106" s="220"/>
      <c r="H106" s="221"/>
      <c r="I106" s="239"/>
      <c r="J106" s="200" t="s">
        <v>952</v>
      </c>
      <c r="K106" s="200">
        <v>13926626318</v>
      </c>
      <c r="M106" s="239"/>
      <c r="N106" s="221"/>
      <c r="O106" s="221"/>
      <c r="U106" s="220"/>
      <c r="V106" s="220"/>
      <c r="W106" s="221"/>
      <c r="X106" s="220"/>
      <c r="Y106" s="221"/>
      <c r="Z106" s="354" t="s">
        <v>880</v>
      </c>
      <c r="AA106" s="218">
        <v>200</v>
      </c>
      <c r="AB106" s="218">
        <f t="shared" si="186"/>
        <v>7</v>
      </c>
      <c r="AC106" s="218">
        <v>0</v>
      </c>
      <c r="AD106" s="218">
        <v>7</v>
      </c>
      <c r="AE106" s="218"/>
      <c r="AF106" s="364">
        <f t="shared" si="169"/>
        <v>35</v>
      </c>
      <c r="AG106" s="243">
        <v>46082</v>
      </c>
      <c r="AH106" s="253">
        <v>2</v>
      </c>
      <c r="AI106" s="254">
        <v>2</v>
      </c>
      <c r="AJ106" s="254">
        <v>2</v>
      </c>
      <c r="AK106" s="254">
        <v>2</v>
      </c>
      <c r="AL106" s="254">
        <v>2</v>
      </c>
      <c r="AM106" s="244">
        <f t="shared" si="170"/>
        <v>10</v>
      </c>
      <c r="AN106" s="245">
        <f t="shared" si="191"/>
        <v>4.57142857142857</v>
      </c>
      <c r="AO106" s="252">
        <v>46107</v>
      </c>
      <c r="AP106" s="253">
        <v>2</v>
      </c>
      <c r="AQ106" s="254">
        <v>2</v>
      </c>
      <c r="AR106" s="254">
        <v>2</v>
      </c>
      <c r="AS106" s="254">
        <v>2</v>
      </c>
      <c r="AT106" s="254">
        <v>2</v>
      </c>
      <c r="AU106" s="394">
        <f t="shared" si="171"/>
        <v>10</v>
      </c>
      <c r="AV106" s="248">
        <f t="shared" si="172"/>
        <v>4.57142857142857</v>
      </c>
      <c r="AW106" s="246">
        <f t="shared" si="195"/>
        <v>46139</v>
      </c>
      <c r="AX106" s="223"/>
      <c r="AY106" s="218"/>
      <c r="AZ106" s="218"/>
      <c r="BA106" s="218"/>
      <c r="BB106" s="218"/>
      <c r="BC106" s="397">
        <f t="shared" si="173"/>
        <v>0</v>
      </c>
      <c r="BD106" s="248">
        <f t="shared" si="174"/>
        <v>0</v>
      </c>
      <c r="BE106" s="249"/>
      <c r="BF106" s="224"/>
      <c r="BG106" s="218"/>
      <c r="BH106" s="218"/>
      <c r="BI106" s="218"/>
      <c r="BJ106" s="218"/>
      <c r="BK106" s="247">
        <f t="shared" si="188"/>
        <v>0</v>
      </c>
      <c r="BL106" s="248">
        <f t="shared" si="120"/>
        <v>0</v>
      </c>
      <c r="BM106" s="227"/>
      <c r="BN106" s="224"/>
      <c r="BO106" s="218"/>
      <c r="BP106" s="218"/>
      <c r="BQ106" s="218"/>
      <c r="BR106" s="218"/>
      <c r="BS106" s="247"/>
      <c r="BT106" s="248">
        <f t="shared" si="175"/>
        <v>0</v>
      </c>
      <c r="BU106" s="249"/>
      <c r="BV106" s="224"/>
      <c r="BW106" s="218"/>
      <c r="BX106" s="218"/>
      <c r="BY106" s="218"/>
      <c r="BZ106" s="218"/>
      <c r="CA106" s="245"/>
      <c r="CB106" s="248">
        <f t="shared" si="176"/>
        <v>0</v>
      </c>
      <c r="CC106" s="246"/>
      <c r="CD106" s="224"/>
      <c r="CE106" s="218"/>
      <c r="CF106" s="218"/>
      <c r="CG106" s="218"/>
      <c r="CH106" s="218"/>
      <c r="CI106" s="245"/>
      <c r="CJ106" s="248">
        <f t="shared" si="177"/>
        <v>0</v>
      </c>
      <c r="CK106" s="218"/>
      <c r="CL106" s="224"/>
      <c r="CM106" s="218"/>
      <c r="CN106" s="218"/>
      <c r="CO106" s="218"/>
      <c r="CP106" s="218"/>
      <c r="CQ106" s="245"/>
      <c r="CR106" s="248">
        <f t="shared" si="178"/>
        <v>0</v>
      </c>
      <c r="CS106" s="218"/>
      <c r="CT106" s="224"/>
      <c r="CU106" s="218"/>
      <c r="CV106" s="218"/>
      <c r="CW106" s="218"/>
      <c r="CX106" s="218"/>
      <c r="CY106" s="218"/>
      <c r="CZ106" s="245">
        <f t="shared" si="179"/>
        <v>0</v>
      </c>
      <c r="DA106" s="218"/>
      <c r="DB106" s="224"/>
      <c r="DC106" s="218"/>
      <c r="DD106" s="218"/>
      <c r="DE106" s="218"/>
      <c r="DF106" s="218"/>
      <c r="DG106" s="218"/>
      <c r="DH106" s="218"/>
      <c r="DI106" s="218"/>
      <c r="DJ106" s="218"/>
      <c r="DK106" s="218"/>
      <c r="DL106" s="218"/>
      <c r="DM106" s="218"/>
      <c r="DN106" s="218"/>
      <c r="DO106" s="218"/>
      <c r="DP106" s="218"/>
      <c r="DQ106" s="227"/>
      <c r="DR106" s="224"/>
      <c r="DS106" s="218"/>
      <c r="DT106" s="218"/>
      <c r="DU106" s="218"/>
      <c r="DV106" s="218"/>
      <c r="DW106" s="218"/>
      <c r="DX106" s="218"/>
      <c r="DY106" s="218"/>
      <c r="DZ106" s="218"/>
      <c r="EA106" s="218"/>
      <c r="EB106" s="218"/>
      <c r="EC106" s="218"/>
      <c r="ED106" s="218"/>
      <c r="EE106" s="218"/>
      <c r="EF106" s="223">
        <f t="shared" ref="EF106:EJ106" si="199">AH106+AP106+AX106+BF106+BN106+BV106+CD106+CL106+CT106+DB106+DJ106+DR106+DZ106</f>
        <v>4</v>
      </c>
      <c r="EG106" s="223">
        <f t="shared" si="199"/>
        <v>4</v>
      </c>
      <c r="EH106" s="223">
        <f t="shared" si="199"/>
        <v>4</v>
      </c>
      <c r="EI106" s="223">
        <f t="shared" si="199"/>
        <v>4</v>
      </c>
      <c r="EJ106" s="223">
        <f t="shared" si="199"/>
        <v>4</v>
      </c>
      <c r="EK106" s="223">
        <f t="shared" si="181"/>
        <v>20</v>
      </c>
      <c r="EL106" s="218">
        <f t="shared" si="182"/>
        <v>700</v>
      </c>
      <c r="EM106" s="218">
        <f t="shared" si="183"/>
        <v>43.75</v>
      </c>
      <c r="EN106" s="223">
        <f t="shared" si="184"/>
        <v>20</v>
      </c>
      <c r="EO106" s="226">
        <f t="shared" si="185"/>
        <v>23.75</v>
      </c>
      <c r="ER106" s="251"/>
      <c r="EU106" s="220"/>
    </row>
    <row r="107" s="200" customFormat="1" customHeight="1" spans="1:151">
      <c r="A107" s="380"/>
      <c r="B107" s="357">
        <v>32</v>
      </c>
      <c r="C107" s="219" t="s">
        <v>953</v>
      </c>
      <c r="D107" s="220"/>
      <c r="E107" s="220"/>
      <c r="F107" s="220"/>
      <c r="G107" s="220"/>
      <c r="H107" s="239"/>
      <c r="I107" s="239"/>
      <c r="J107" s="200" t="s">
        <v>506</v>
      </c>
      <c r="K107" s="207" t="s">
        <v>954</v>
      </c>
      <c r="N107" s="207"/>
      <c r="O107" s="207"/>
      <c r="W107" s="207"/>
      <c r="Y107" s="207"/>
      <c r="Z107" s="354"/>
      <c r="AA107" s="218">
        <v>125</v>
      </c>
      <c r="AB107" s="218">
        <f t="shared" si="186"/>
        <v>14</v>
      </c>
      <c r="AC107" s="218">
        <v>3</v>
      </c>
      <c r="AD107" s="218">
        <v>11</v>
      </c>
      <c r="AE107" s="218"/>
      <c r="AF107" s="364">
        <f t="shared" si="169"/>
        <v>70</v>
      </c>
      <c r="AG107" s="243">
        <v>46084</v>
      </c>
      <c r="AH107" s="244">
        <v>2</v>
      </c>
      <c r="AI107" s="244">
        <v>2</v>
      </c>
      <c r="AJ107" s="279">
        <v>2</v>
      </c>
      <c r="AK107" s="279">
        <v>2</v>
      </c>
      <c r="AL107" s="279"/>
      <c r="AM107" s="244">
        <f t="shared" si="170"/>
        <v>8</v>
      </c>
      <c r="AN107" s="245">
        <f t="shared" si="191"/>
        <v>1.82857142857143</v>
      </c>
      <c r="AO107" s="252">
        <v>46097</v>
      </c>
      <c r="AP107" s="253">
        <v>5</v>
      </c>
      <c r="AQ107" s="254">
        <v>4</v>
      </c>
      <c r="AR107" s="254">
        <v>4</v>
      </c>
      <c r="AS107" s="254">
        <v>4</v>
      </c>
      <c r="AT107" s="254"/>
      <c r="AU107" s="394">
        <f t="shared" si="171"/>
        <v>17</v>
      </c>
      <c r="AV107" s="248">
        <f t="shared" si="172"/>
        <v>3.88571428571429</v>
      </c>
      <c r="AW107" s="271">
        <f t="shared" si="195"/>
        <v>46124.2</v>
      </c>
      <c r="AX107" s="407">
        <v>2</v>
      </c>
      <c r="AY107" s="282">
        <v>3</v>
      </c>
      <c r="AZ107" s="282">
        <v>2</v>
      </c>
      <c r="BA107" s="282">
        <v>2</v>
      </c>
      <c r="BB107" s="282"/>
      <c r="BC107" s="401">
        <f t="shared" si="173"/>
        <v>9</v>
      </c>
      <c r="BD107" s="248">
        <f t="shared" si="174"/>
        <v>2.05714285714286</v>
      </c>
      <c r="BE107" s="246">
        <f>AW107+BD107*7</f>
        <v>46138.6</v>
      </c>
      <c r="BF107" s="224"/>
      <c r="BG107" s="218"/>
      <c r="BH107" s="218"/>
      <c r="BI107" s="218"/>
      <c r="BJ107" s="218"/>
      <c r="BK107" s="247">
        <f t="shared" si="188"/>
        <v>0</v>
      </c>
      <c r="BL107" s="248">
        <f t="shared" si="120"/>
        <v>0</v>
      </c>
      <c r="BM107" s="246">
        <f t="shared" ref="BM107:BM109" si="200">BE107+BL107*7</f>
        <v>46138.6</v>
      </c>
      <c r="BN107" s="224"/>
      <c r="BO107" s="218"/>
      <c r="BP107" s="218"/>
      <c r="BQ107" s="218"/>
      <c r="BR107" s="218"/>
      <c r="BS107" s="247"/>
      <c r="BT107" s="248">
        <f t="shared" si="175"/>
        <v>0</v>
      </c>
      <c r="BU107" s="249"/>
      <c r="BV107" s="224"/>
      <c r="BW107" s="218"/>
      <c r="BX107" s="218"/>
      <c r="BY107" s="218"/>
      <c r="BZ107" s="218"/>
      <c r="CA107" s="245"/>
      <c r="CB107" s="248">
        <f t="shared" si="176"/>
        <v>0</v>
      </c>
      <c r="CC107" s="246"/>
      <c r="CD107" s="224"/>
      <c r="CE107" s="218"/>
      <c r="CF107" s="218"/>
      <c r="CG107" s="218"/>
      <c r="CH107" s="218"/>
      <c r="CI107" s="245"/>
      <c r="CJ107" s="248">
        <f t="shared" si="177"/>
        <v>0</v>
      </c>
      <c r="CK107" s="218"/>
      <c r="CL107" s="224"/>
      <c r="CM107" s="218"/>
      <c r="CN107" s="218"/>
      <c r="CO107" s="218"/>
      <c r="CP107" s="218"/>
      <c r="CQ107" s="245"/>
      <c r="CR107" s="248">
        <f t="shared" si="178"/>
        <v>0</v>
      </c>
      <c r="CS107" s="218"/>
      <c r="CT107" s="224"/>
      <c r="CU107" s="218"/>
      <c r="CV107" s="218"/>
      <c r="CW107" s="218"/>
      <c r="CX107" s="218"/>
      <c r="CY107" s="218"/>
      <c r="CZ107" s="245">
        <f t="shared" si="179"/>
        <v>0</v>
      </c>
      <c r="DA107" s="218"/>
      <c r="DB107" s="224"/>
      <c r="DC107" s="218"/>
      <c r="DD107" s="218"/>
      <c r="DE107" s="218"/>
      <c r="DF107" s="218"/>
      <c r="DG107" s="218"/>
      <c r="DH107" s="218"/>
      <c r="DI107" s="218"/>
      <c r="DJ107" s="218"/>
      <c r="DK107" s="218"/>
      <c r="DL107" s="218"/>
      <c r="DM107" s="218"/>
      <c r="DN107" s="218"/>
      <c r="DO107" s="218"/>
      <c r="DP107" s="218"/>
      <c r="DQ107" s="227"/>
      <c r="DR107" s="224"/>
      <c r="DS107" s="218"/>
      <c r="DT107" s="218"/>
      <c r="DU107" s="218"/>
      <c r="DV107" s="218"/>
      <c r="DW107" s="218"/>
      <c r="DX107" s="218"/>
      <c r="DY107" s="218"/>
      <c r="DZ107" s="218"/>
      <c r="EA107" s="218"/>
      <c r="EB107" s="218"/>
      <c r="EC107" s="218"/>
      <c r="ED107" s="218"/>
      <c r="EE107" s="218"/>
      <c r="EF107" s="223">
        <f t="shared" ref="EF107:EJ107" si="201">AH107+AP107+AX107+BF107+BN107+BV107+CD107+CL107+CT107+DB107+DJ107+DR107+DZ107</f>
        <v>9</v>
      </c>
      <c r="EG107" s="223">
        <f t="shared" si="201"/>
        <v>9</v>
      </c>
      <c r="EH107" s="223">
        <f t="shared" si="201"/>
        <v>8</v>
      </c>
      <c r="EI107" s="223">
        <f t="shared" si="201"/>
        <v>8</v>
      </c>
      <c r="EJ107" s="223">
        <f t="shared" si="201"/>
        <v>0</v>
      </c>
      <c r="EK107" s="223">
        <f t="shared" si="181"/>
        <v>34</v>
      </c>
      <c r="EL107" s="218">
        <f t="shared" si="182"/>
        <v>1400</v>
      </c>
      <c r="EM107" s="218">
        <f t="shared" si="183"/>
        <v>87.5</v>
      </c>
      <c r="EN107" s="223">
        <f t="shared" si="184"/>
        <v>34</v>
      </c>
      <c r="EO107" s="226">
        <f t="shared" si="185"/>
        <v>53.5</v>
      </c>
      <c r="ER107" s="251"/>
      <c r="EU107" s="220"/>
    </row>
    <row r="108" s="200" customFormat="1" customHeight="1" spans="1:151">
      <c r="A108" s="380"/>
      <c r="B108" s="357">
        <v>33</v>
      </c>
      <c r="C108" s="219" t="s">
        <v>955</v>
      </c>
      <c r="D108" s="220"/>
      <c r="E108" s="220"/>
      <c r="F108" s="220"/>
      <c r="G108" s="220"/>
      <c r="H108" s="239"/>
      <c r="I108" s="239"/>
      <c r="J108" s="200" t="s">
        <v>956</v>
      </c>
      <c r="K108" s="207" t="s">
        <v>957</v>
      </c>
      <c r="N108" s="207"/>
      <c r="O108" s="207"/>
      <c r="P108" s="200"/>
      <c r="W108" s="207"/>
      <c r="Y108" s="207"/>
      <c r="Z108" s="354"/>
      <c r="AA108" s="218">
        <v>200</v>
      </c>
      <c r="AB108" s="218">
        <f t="shared" si="186"/>
        <v>19</v>
      </c>
      <c r="AC108" s="218">
        <v>2</v>
      </c>
      <c r="AD108" s="218">
        <v>17</v>
      </c>
      <c r="AE108" s="218"/>
      <c r="AF108" s="364">
        <f t="shared" si="169"/>
        <v>95</v>
      </c>
      <c r="AG108" s="243">
        <v>46084</v>
      </c>
      <c r="AH108" s="253">
        <v>2</v>
      </c>
      <c r="AI108" s="254">
        <v>2</v>
      </c>
      <c r="AJ108" s="254">
        <v>2</v>
      </c>
      <c r="AK108" s="254">
        <v>2</v>
      </c>
      <c r="AL108" s="254">
        <v>2</v>
      </c>
      <c r="AM108" s="244">
        <f t="shared" si="170"/>
        <v>10</v>
      </c>
      <c r="AN108" s="245">
        <f t="shared" si="191"/>
        <v>1.68421052631579</v>
      </c>
      <c r="AO108" s="252">
        <v>46097</v>
      </c>
      <c r="AP108" s="253">
        <v>2</v>
      </c>
      <c r="AQ108" s="254">
        <v>5</v>
      </c>
      <c r="AR108" s="254">
        <v>5</v>
      </c>
      <c r="AS108" s="254">
        <v>5</v>
      </c>
      <c r="AT108" s="254">
        <v>5</v>
      </c>
      <c r="AU108" s="394">
        <f t="shared" si="171"/>
        <v>22</v>
      </c>
      <c r="AV108" s="248">
        <f t="shared" si="172"/>
        <v>3.70526315789474</v>
      </c>
      <c r="AW108" s="252">
        <v>46107</v>
      </c>
      <c r="AX108" s="279">
        <v>2</v>
      </c>
      <c r="AY108" s="254">
        <v>5</v>
      </c>
      <c r="AZ108" s="254">
        <v>5</v>
      </c>
      <c r="BA108" s="254">
        <v>5</v>
      </c>
      <c r="BB108" s="254">
        <v>5</v>
      </c>
      <c r="BC108" s="389">
        <f t="shared" si="173"/>
        <v>22</v>
      </c>
      <c r="BD108" s="248">
        <f t="shared" si="174"/>
        <v>3.70526315789474</v>
      </c>
      <c r="BE108" s="255">
        <f>AW108+BD108*7</f>
        <v>46132.9368421053</v>
      </c>
      <c r="BF108" s="256">
        <v>2</v>
      </c>
      <c r="BG108" s="257">
        <v>6</v>
      </c>
      <c r="BH108" s="257">
        <v>4</v>
      </c>
      <c r="BI108" s="257">
        <v>4</v>
      </c>
      <c r="BJ108" s="257">
        <v>4</v>
      </c>
      <c r="BK108" s="258">
        <f t="shared" si="188"/>
        <v>20</v>
      </c>
      <c r="BL108" s="248">
        <f t="shared" si="120"/>
        <v>3.36842105263158</v>
      </c>
      <c r="BM108" s="246">
        <f t="shared" si="200"/>
        <v>46156.5157894737</v>
      </c>
      <c r="BN108" s="224"/>
      <c r="BO108" s="218"/>
      <c r="BP108" s="218"/>
      <c r="BQ108" s="218"/>
      <c r="BR108" s="218"/>
      <c r="BS108" s="247"/>
      <c r="BT108" s="248">
        <f t="shared" si="175"/>
        <v>0</v>
      </c>
      <c r="BU108" s="246"/>
      <c r="BV108" s="224"/>
      <c r="BW108" s="218"/>
      <c r="BX108" s="218"/>
      <c r="BY108" s="218"/>
      <c r="BZ108" s="218"/>
      <c r="CA108" s="245"/>
      <c r="CB108" s="248">
        <f t="shared" si="176"/>
        <v>0</v>
      </c>
      <c r="CC108" s="218"/>
      <c r="CD108" s="224"/>
      <c r="CE108" s="218"/>
      <c r="CF108" s="218"/>
      <c r="CG108" s="218"/>
      <c r="CH108" s="218"/>
      <c r="CI108" s="245"/>
      <c r="CJ108" s="248">
        <f t="shared" si="177"/>
        <v>0</v>
      </c>
      <c r="CK108" s="218"/>
      <c r="CL108" s="224"/>
      <c r="CM108" s="218"/>
      <c r="CN108" s="218"/>
      <c r="CO108" s="218"/>
      <c r="CP108" s="218"/>
      <c r="CQ108" s="245"/>
      <c r="CR108" s="248">
        <f t="shared" si="178"/>
        <v>0</v>
      </c>
      <c r="CS108" s="218"/>
      <c r="CT108" s="224"/>
      <c r="CU108" s="218"/>
      <c r="CV108" s="218"/>
      <c r="CW108" s="218"/>
      <c r="CX108" s="218"/>
      <c r="CY108" s="218"/>
      <c r="CZ108" s="245">
        <f t="shared" si="179"/>
        <v>0</v>
      </c>
      <c r="DA108" s="218"/>
      <c r="DB108" s="224"/>
      <c r="DC108" s="218"/>
      <c r="DD108" s="218"/>
      <c r="DE108" s="218"/>
      <c r="DF108" s="218"/>
      <c r="DG108" s="218"/>
      <c r="DH108" s="218"/>
      <c r="DI108" s="218"/>
      <c r="DJ108" s="218"/>
      <c r="DK108" s="218"/>
      <c r="DL108" s="218"/>
      <c r="DM108" s="218"/>
      <c r="DN108" s="218"/>
      <c r="DO108" s="218"/>
      <c r="DP108" s="218"/>
      <c r="DQ108" s="227"/>
      <c r="DR108" s="224"/>
      <c r="DS108" s="218"/>
      <c r="DT108" s="218"/>
      <c r="DU108" s="218"/>
      <c r="DV108" s="218"/>
      <c r="DW108" s="218"/>
      <c r="DX108" s="218"/>
      <c r="DY108" s="218"/>
      <c r="DZ108" s="218"/>
      <c r="EA108" s="218"/>
      <c r="EB108" s="218"/>
      <c r="EC108" s="218"/>
      <c r="ED108" s="218"/>
      <c r="EE108" s="218"/>
      <c r="EF108" s="223">
        <f t="shared" ref="EF108:EJ108" si="202">AH108+AP108+AX108+BF108+BN108+BV108+CD108+CL108+CT108+DB108+DJ108+DR108+DZ108</f>
        <v>8</v>
      </c>
      <c r="EG108" s="223">
        <f t="shared" si="202"/>
        <v>18</v>
      </c>
      <c r="EH108" s="223">
        <f t="shared" si="202"/>
        <v>16</v>
      </c>
      <c r="EI108" s="223">
        <f t="shared" si="202"/>
        <v>16</v>
      </c>
      <c r="EJ108" s="223">
        <f t="shared" si="202"/>
        <v>16</v>
      </c>
      <c r="EK108" s="223">
        <f t="shared" si="181"/>
        <v>74</v>
      </c>
      <c r="EL108" s="218">
        <f t="shared" si="182"/>
        <v>1900</v>
      </c>
      <c r="EM108" s="218">
        <f t="shared" si="183"/>
        <v>118.75</v>
      </c>
      <c r="EN108" s="223">
        <f t="shared" si="184"/>
        <v>74</v>
      </c>
      <c r="EO108" s="226">
        <f t="shared" si="185"/>
        <v>44.75</v>
      </c>
      <c r="ER108" s="251"/>
      <c r="EU108" s="220"/>
    </row>
    <row r="109" s="200" customFormat="1" customHeight="1" spans="1:151">
      <c r="A109" s="380"/>
      <c r="B109" s="357">
        <v>34</v>
      </c>
      <c r="C109" s="219" t="s">
        <v>958</v>
      </c>
      <c r="D109" s="220"/>
      <c r="E109" s="220"/>
      <c r="F109" s="220"/>
      <c r="G109" s="220"/>
      <c r="H109" s="239"/>
      <c r="I109" s="239"/>
      <c r="J109" s="200" t="s">
        <v>959</v>
      </c>
      <c r="K109" s="207"/>
      <c r="N109" s="207"/>
      <c r="O109" s="207"/>
      <c r="W109" s="207"/>
      <c r="Y109" s="207"/>
      <c r="Z109" s="354"/>
      <c r="AA109" s="218">
        <v>125</v>
      </c>
      <c r="AB109" s="218">
        <f t="shared" si="186"/>
        <v>7</v>
      </c>
      <c r="AC109" s="218">
        <v>2</v>
      </c>
      <c r="AD109" s="218">
        <v>5</v>
      </c>
      <c r="AE109" s="218"/>
      <c r="AF109" s="364">
        <f t="shared" si="169"/>
        <v>35</v>
      </c>
      <c r="AG109" s="243">
        <v>46084</v>
      </c>
      <c r="AH109" s="244">
        <v>2</v>
      </c>
      <c r="AI109" s="244">
        <v>2</v>
      </c>
      <c r="AJ109" s="244">
        <v>2</v>
      </c>
      <c r="AK109" s="244">
        <v>2</v>
      </c>
      <c r="AL109" s="244"/>
      <c r="AM109" s="244">
        <f t="shared" si="170"/>
        <v>8</v>
      </c>
      <c r="AN109" s="245">
        <f t="shared" si="191"/>
        <v>3.65714285714286</v>
      </c>
      <c r="AO109" s="252">
        <v>46097</v>
      </c>
      <c r="AP109" s="253">
        <v>1</v>
      </c>
      <c r="AQ109" s="254">
        <v>1</v>
      </c>
      <c r="AR109" s="254">
        <v>1</v>
      </c>
      <c r="AS109" s="254">
        <v>1</v>
      </c>
      <c r="AT109" s="254"/>
      <c r="AU109" s="394">
        <f t="shared" si="171"/>
        <v>4</v>
      </c>
      <c r="AV109" s="248">
        <f t="shared" si="172"/>
        <v>1.82857142857143</v>
      </c>
      <c r="AW109" s="271">
        <v>46111</v>
      </c>
      <c r="AX109" s="407">
        <v>2</v>
      </c>
      <c r="AY109" s="282">
        <v>2</v>
      </c>
      <c r="AZ109" s="282">
        <v>2</v>
      </c>
      <c r="BA109" s="282">
        <v>2</v>
      </c>
      <c r="BB109" s="282"/>
      <c r="BC109" s="401">
        <f t="shared" si="173"/>
        <v>8</v>
      </c>
      <c r="BD109" s="248">
        <f t="shared" si="174"/>
        <v>3.65714285714286</v>
      </c>
      <c r="BE109" s="246">
        <f t="shared" ref="BE109:BE114" si="203">AW109+BD109*7</f>
        <v>46136.6</v>
      </c>
      <c r="BF109" s="224"/>
      <c r="BG109" s="218"/>
      <c r="BH109" s="218"/>
      <c r="BI109" s="218"/>
      <c r="BJ109" s="218"/>
      <c r="BK109" s="247">
        <f t="shared" si="188"/>
        <v>0</v>
      </c>
      <c r="BL109" s="248">
        <f t="shared" si="120"/>
        <v>0</v>
      </c>
      <c r="BM109" s="246">
        <f t="shared" si="200"/>
        <v>46136.6</v>
      </c>
      <c r="BN109" s="224"/>
      <c r="BO109" s="218"/>
      <c r="BP109" s="218"/>
      <c r="BQ109" s="218"/>
      <c r="BR109" s="218"/>
      <c r="BS109" s="247"/>
      <c r="BT109" s="248">
        <f t="shared" si="175"/>
        <v>0</v>
      </c>
      <c r="BU109" s="218"/>
      <c r="BV109" s="224"/>
      <c r="BW109" s="218"/>
      <c r="BX109" s="218"/>
      <c r="BY109" s="218"/>
      <c r="BZ109" s="218"/>
      <c r="CA109" s="245"/>
      <c r="CB109" s="248">
        <f t="shared" si="176"/>
        <v>0</v>
      </c>
      <c r="CC109" s="218"/>
      <c r="CD109" s="224"/>
      <c r="CE109" s="218"/>
      <c r="CF109" s="218"/>
      <c r="CG109" s="218"/>
      <c r="CH109" s="218"/>
      <c r="CI109" s="245"/>
      <c r="CJ109" s="248">
        <f t="shared" si="177"/>
        <v>0</v>
      </c>
      <c r="CK109" s="218"/>
      <c r="CL109" s="224"/>
      <c r="CM109" s="218"/>
      <c r="CN109" s="218"/>
      <c r="CO109" s="218"/>
      <c r="CP109" s="218"/>
      <c r="CQ109" s="245"/>
      <c r="CR109" s="248">
        <f t="shared" si="178"/>
        <v>0</v>
      </c>
      <c r="CS109" s="218"/>
      <c r="CT109" s="224"/>
      <c r="CU109" s="218"/>
      <c r="CV109" s="218"/>
      <c r="CW109" s="218"/>
      <c r="CX109" s="218"/>
      <c r="CY109" s="218"/>
      <c r="CZ109" s="245">
        <f t="shared" si="179"/>
        <v>0</v>
      </c>
      <c r="DA109" s="218"/>
      <c r="DB109" s="224"/>
      <c r="DC109" s="218"/>
      <c r="DD109" s="218"/>
      <c r="DE109" s="218"/>
      <c r="DF109" s="218"/>
      <c r="DG109" s="218"/>
      <c r="DH109" s="218"/>
      <c r="DI109" s="218"/>
      <c r="DJ109" s="218"/>
      <c r="DK109" s="218"/>
      <c r="DL109" s="218"/>
      <c r="DM109" s="218"/>
      <c r="DN109" s="218"/>
      <c r="DO109" s="218"/>
      <c r="DP109" s="218"/>
      <c r="DQ109" s="227"/>
      <c r="DR109" s="224"/>
      <c r="DS109" s="218"/>
      <c r="DT109" s="218"/>
      <c r="DU109" s="218"/>
      <c r="DV109" s="218"/>
      <c r="DW109" s="218"/>
      <c r="DX109" s="218"/>
      <c r="DY109" s="218"/>
      <c r="DZ109" s="218"/>
      <c r="EA109" s="218"/>
      <c r="EB109" s="218"/>
      <c r="EC109" s="218"/>
      <c r="ED109" s="218"/>
      <c r="EE109" s="218"/>
      <c r="EF109" s="223">
        <f t="shared" ref="EF109:EJ109" si="204">AH109+AP109+AX109+BF109+BN109+BV109+CD109+CL109+CT109+DB109+DJ109+DR109+DZ109</f>
        <v>5</v>
      </c>
      <c r="EG109" s="223">
        <f t="shared" si="204"/>
        <v>5</v>
      </c>
      <c r="EH109" s="223">
        <f t="shared" si="204"/>
        <v>5</v>
      </c>
      <c r="EI109" s="223">
        <f t="shared" si="204"/>
        <v>5</v>
      </c>
      <c r="EJ109" s="223">
        <f t="shared" si="204"/>
        <v>0</v>
      </c>
      <c r="EK109" s="223">
        <f t="shared" si="181"/>
        <v>20</v>
      </c>
      <c r="EL109" s="218">
        <f t="shared" si="182"/>
        <v>700</v>
      </c>
      <c r="EM109" s="218">
        <f t="shared" si="183"/>
        <v>43.75</v>
      </c>
      <c r="EN109" s="223">
        <f t="shared" si="184"/>
        <v>20</v>
      </c>
      <c r="EO109" s="226">
        <f t="shared" si="185"/>
        <v>23.75</v>
      </c>
      <c r="ER109" s="251"/>
      <c r="EU109" s="220"/>
    </row>
    <row r="110" s="200" customFormat="1" customHeight="1" spans="1:151">
      <c r="A110" s="380"/>
      <c r="B110" s="357">
        <v>35</v>
      </c>
      <c r="C110" s="219" t="s">
        <v>960</v>
      </c>
      <c r="D110" s="220"/>
      <c r="E110" s="220"/>
      <c r="F110" s="220"/>
      <c r="G110" s="220"/>
      <c r="H110" s="239"/>
      <c r="I110" s="239"/>
      <c r="J110" s="200" t="s">
        <v>961</v>
      </c>
      <c r="K110" s="207" t="s">
        <v>962</v>
      </c>
      <c r="N110" s="207"/>
      <c r="O110" s="207"/>
      <c r="W110" s="207"/>
      <c r="Y110" s="207"/>
      <c r="Z110" s="354"/>
      <c r="AA110" s="218">
        <v>200</v>
      </c>
      <c r="AB110" s="218">
        <f t="shared" si="186"/>
        <v>3</v>
      </c>
      <c r="AC110" s="218"/>
      <c r="AD110" s="218">
        <v>3</v>
      </c>
      <c r="AE110" s="218"/>
      <c r="AF110" s="364">
        <f t="shared" si="169"/>
        <v>15</v>
      </c>
      <c r="AG110" s="265"/>
      <c r="AH110" s="247"/>
      <c r="AI110" s="247"/>
      <c r="AJ110" s="223"/>
      <c r="AK110" s="223"/>
      <c r="AL110" s="223"/>
      <c r="AM110" s="247">
        <f t="shared" si="170"/>
        <v>0</v>
      </c>
      <c r="AN110" s="245">
        <f t="shared" si="191"/>
        <v>0</v>
      </c>
      <c r="AO110" s="243">
        <v>46093</v>
      </c>
      <c r="AP110" s="244">
        <v>1</v>
      </c>
      <c r="AQ110" s="244">
        <v>2</v>
      </c>
      <c r="AR110" s="279">
        <v>2</v>
      </c>
      <c r="AS110" s="279">
        <v>2</v>
      </c>
      <c r="AT110" s="279">
        <v>2</v>
      </c>
      <c r="AU110" s="394">
        <f t="shared" si="171"/>
        <v>9</v>
      </c>
      <c r="AV110" s="248">
        <f t="shared" si="172"/>
        <v>9.6</v>
      </c>
      <c r="AW110" s="246">
        <f>AO110+AV110*7</f>
        <v>46160.2</v>
      </c>
      <c r="AX110" s="223"/>
      <c r="AY110" s="218"/>
      <c r="AZ110" s="218"/>
      <c r="BA110" s="218"/>
      <c r="BB110" s="218"/>
      <c r="BC110" s="397">
        <f t="shared" si="173"/>
        <v>0</v>
      </c>
      <c r="BD110" s="248">
        <f t="shared" si="174"/>
        <v>0</v>
      </c>
      <c r="BE110" s="246"/>
      <c r="BF110" s="224"/>
      <c r="BG110" s="218"/>
      <c r="BH110" s="218"/>
      <c r="BI110" s="218"/>
      <c r="BJ110" s="218"/>
      <c r="BK110" s="247">
        <f t="shared" si="188"/>
        <v>0</v>
      </c>
      <c r="BL110" s="248">
        <f t="shared" si="120"/>
        <v>0</v>
      </c>
      <c r="BM110" s="227"/>
      <c r="BN110" s="224"/>
      <c r="BO110" s="218"/>
      <c r="BP110" s="218"/>
      <c r="BQ110" s="218"/>
      <c r="BR110" s="218"/>
      <c r="BS110" s="247"/>
      <c r="BT110" s="248">
        <f t="shared" si="175"/>
        <v>0</v>
      </c>
      <c r="BU110" s="249"/>
      <c r="BV110" s="224"/>
      <c r="BW110" s="218"/>
      <c r="BX110" s="218"/>
      <c r="BY110" s="218"/>
      <c r="BZ110" s="218"/>
      <c r="CA110" s="245"/>
      <c r="CB110" s="248">
        <f t="shared" si="176"/>
        <v>0</v>
      </c>
      <c r="CC110" s="218"/>
      <c r="CD110" s="224"/>
      <c r="CE110" s="218"/>
      <c r="CF110" s="218"/>
      <c r="CG110" s="218"/>
      <c r="CH110" s="218"/>
      <c r="CI110" s="245"/>
      <c r="CJ110" s="248">
        <f t="shared" si="177"/>
        <v>0</v>
      </c>
      <c r="CK110" s="218"/>
      <c r="CL110" s="224"/>
      <c r="CM110" s="218"/>
      <c r="CN110" s="218"/>
      <c r="CO110" s="218"/>
      <c r="CP110" s="218"/>
      <c r="CQ110" s="245"/>
      <c r="CR110" s="248">
        <f t="shared" si="178"/>
        <v>0</v>
      </c>
      <c r="CS110" s="218"/>
      <c r="CT110" s="224"/>
      <c r="CU110" s="218"/>
      <c r="CV110" s="218"/>
      <c r="CW110" s="218"/>
      <c r="CX110" s="218"/>
      <c r="CY110" s="218"/>
      <c r="CZ110" s="245">
        <f t="shared" si="179"/>
        <v>0</v>
      </c>
      <c r="DA110" s="218"/>
      <c r="DB110" s="224"/>
      <c r="DC110" s="218"/>
      <c r="DD110" s="218"/>
      <c r="DE110" s="218"/>
      <c r="DF110" s="218"/>
      <c r="DG110" s="218"/>
      <c r="DH110" s="218"/>
      <c r="DI110" s="218"/>
      <c r="DJ110" s="218"/>
      <c r="DK110" s="218"/>
      <c r="DL110" s="218"/>
      <c r="DM110" s="218"/>
      <c r="DN110" s="218"/>
      <c r="DO110" s="218"/>
      <c r="DP110" s="218"/>
      <c r="DQ110" s="227"/>
      <c r="DR110" s="224"/>
      <c r="DS110" s="218"/>
      <c r="DT110" s="218"/>
      <c r="DU110" s="218"/>
      <c r="DV110" s="218"/>
      <c r="DW110" s="218"/>
      <c r="DX110" s="218"/>
      <c r="DY110" s="218"/>
      <c r="DZ110" s="218"/>
      <c r="EA110" s="218"/>
      <c r="EB110" s="218"/>
      <c r="EC110" s="218"/>
      <c r="ED110" s="218"/>
      <c r="EE110" s="218"/>
      <c r="EF110" s="223">
        <f t="shared" ref="EF110:EJ110" si="205">AH110+AP110+AX110+BF110+BN110+BV110+CD110+CL110+CT110+DB110+DJ110+DR110+DZ110</f>
        <v>1</v>
      </c>
      <c r="EG110" s="223">
        <f t="shared" si="205"/>
        <v>2</v>
      </c>
      <c r="EH110" s="223">
        <f t="shared" si="205"/>
        <v>2</v>
      </c>
      <c r="EI110" s="223">
        <f t="shared" si="205"/>
        <v>2</v>
      </c>
      <c r="EJ110" s="223">
        <f t="shared" si="205"/>
        <v>2</v>
      </c>
      <c r="EK110" s="223">
        <f t="shared" si="181"/>
        <v>9</v>
      </c>
      <c r="EL110" s="218">
        <f t="shared" si="182"/>
        <v>300</v>
      </c>
      <c r="EM110" s="218">
        <f t="shared" si="183"/>
        <v>18.75</v>
      </c>
      <c r="EN110" s="223">
        <f t="shared" si="184"/>
        <v>9</v>
      </c>
      <c r="EO110" s="226">
        <f t="shared" si="185"/>
        <v>9.75</v>
      </c>
      <c r="ER110" s="251"/>
      <c r="EU110" s="220"/>
    </row>
    <row r="111" s="200" customFormat="1" customHeight="1" spans="1:151">
      <c r="A111" s="380"/>
      <c r="B111" s="406">
        <v>36</v>
      </c>
      <c r="C111" s="219" t="s">
        <v>963</v>
      </c>
      <c r="D111" s="220"/>
      <c r="E111" s="220"/>
      <c r="F111" s="220" t="s">
        <v>125</v>
      </c>
      <c r="G111" s="220" t="s">
        <v>235</v>
      </c>
      <c r="H111" s="220">
        <v>13610518808</v>
      </c>
      <c r="I111" s="220">
        <v>678808</v>
      </c>
      <c r="J111" s="220" t="s">
        <v>236</v>
      </c>
      <c r="K111" s="221" t="s">
        <v>237</v>
      </c>
      <c r="L111" s="220">
        <v>689898</v>
      </c>
      <c r="N111" s="207"/>
      <c r="O111" s="207"/>
      <c r="W111" s="207"/>
      <c r="X111" s="426" t="s">
        <v>964</v>
      </c>
      <c r="Y111" s="426">
        <v>13288256126</v>
      </c>
      <c r="Z111" s="354" t="s">
        <v>659</v>
      </c>
      <c r="AA111" s="218">
        <v>200</v>
      </c>
      <c r="AB111" s="218">
        <f t="shared" si="186"/>
        <v>18</v>
      </c>
      <c r="AC111" s="218">
        <v>3</v>
      </c>
      <c r="AD111" s="218">
        <v>15</v>
      </c>
      <c r="AE111" s="218"/>
      <c r="AF111" s="364">
        <f t="shared" si="169"/>
        <v>90</v>
      </c>
      <c r="AG111" s="243">
        <v>46082</v>
      </c>
      <c r="AH111" s="244">
        <v>2</v>
      </c>
      <c r="AI111" s="244">
        <v>2</v>
      </c>
      <c r="AJ111" s="279">
        <v>2</v>
      </c>
      <c r="AK111" s="279">
        <v>2</v>
      </c>
      <c r="AL111" s="279">
        <v>2</v>
      </c>
      <c r="AM111" s="244">
        <f t="shared" si="170"/>
        <v>10</v>
      </c>
      <c r="AN111" s="245">
        <f t="shared" si="191"/>
        <v>1.77777777777778</v>
      </c>
      <c r="AO111" s="252">
        <v>46097</v>
      </c>
      <c r="AP111" s="253">
        <v>2</v>
      </c>
      <c r="AQ111" s="254">
        <v>3</v>
      </c>
      <c r="AR111" s="254">
        <v>3</v>
      </c>
      <c r="AS111" s="254">
        <v>3</v>
      </c>
      <c r="AT111" s="254">
        <v>3</v>
      </c>
      <c r="AU111" s="394">
        <f t="shared" si="171"/>
        <v>14</v>
      </c>
      <c r="AV111" s="248">
        <f t="shared" si="172"/>
        <v>2.48888888888889</v>
      </c>
      <c r="AW111" s="252">
        <v>46107</v>
      </c>
      <c r="AX111" s="279">
        <v>2</v>
      </c>
      <c r="AY111" s="254">
        <v>3</v>
      </c>
      <c r="AZ111" s="254">
        <v>3</v>
      </c>
      <c r="BA111" s="254">
        <v>3</v>
      </c>
      <c r="BB111" s="254">
        <v>3</v>
      </c>
      <c r="BC111" s="389">
        <f t="shared" si="173"/>
        <v>14</v>
      </c>
      <c r="BD111" s="248">
        <f t="shared" si="174"/>
        <v>2.48888888888889</v>
      </c>
      <c r="BE111" s="271">
        <v>46123</v>
      </c>
      <c r="BF111" s="281">
        <v>2</v>
      </c>
      <c r="BG111" s="282">
        <v>3</v>
      </c>
      <c r="BH111" s="282">
        <v>3</v>
      </c>
      <c r="BI111" s="282">
        <v>2</v>
      </c>
      <c r="BJ111" s="282">
        <v>2</v>
      </c>
      <c r="BK111" s="274">
        <f t="shared" si="188"/>
        <v>12</v>
      </c>
      <c r="BL111" s="248">
        <f t="shared" si="120"/>
        <v>2.13333333333333</v>
      </c>
      <c r="BM111" s="246">
        <f>BE111+BL111*7</f>
        <v>46137.9333333333</v>
      </c>
      <c r="BN111" s="224"/>
      <c r="BO111" s="218"/>
      <c r="BP111" s="218"/>
      <c r="BQ111" s="218"/>
      <c r="BR111" s="218"/>
      <c r="BS111" s="247"/>
      <c r="BT111" s="248">
        <f t="shared" si="175"/>
        <v>0</v>
      </c>
      <c r="BU111" s="249"/>
      <c r="BV111" s="224"/>
      <c r="BW111" s="218"/>
      <c r="BX111" s="218"/>
      <c r="BY111" s="218"/>
      <c r="BZ111" s="218"/>
      <c r="CA111" s="245"/>
      <c r="CB111" s="248">
        <f t="shared" si="176"/>
        <v>0</v>
      </c>
      <c r="CC111" s="249"/>
      <c r="CD111" s="224"/>
      <c r="CE111" s="218"/>
      <c r="CF111" s="218"/>
      <c r="CG111" s="218"/>
      <c r="CH111" s="218"/>
      <c r="CI111" s="245"/>
      <c r="CJ111" s="248">
        <f t="shared" si="177"/>
        <v>0</v>
      </c>
      <c r="CK111" s="246"/>
      <c r="CL111" s="224"/>
      <c r="CM111" s="218"/>
      <c r="CN111" s="218"/>
      <c r="CO111" s="218"/>
      <c r="CP111" s="218"/>
      <c r="CQ111" s="245"/>
      <c r="CR111" s="248">
        <f t="shared" si="178"/>
        <v>0</v>
      </c>
      <c r="CS111" s="218"/>
      <c r="CT111" s="224"/>
      <c r="CU111" s="218"/>
      <c r="CV111" s="218"/>
      <c r="CW111" s="218"/>
      <c r="CX111" s="218"/>
      <c r="CY111" s="218"/>
      <c r="CZ111" s="245">
        <f t="shared" si="179"/>
        <v>0</v>
      </c>
      <c r="DA111" s="218"/>
      <c r="DB111" s="224"/>
      <c r="DC111" s="218"/>
      <c r="DD111" s="218"/>
      <c r="DE111" s="218"/>
      <c r="DF111" s="218"/>
      <c r="DG111" s="218"/>
      <c r="DH111" s="218"/>
      <c r="DI111" s="218"/>
      <c r="DJ111" s="218"/>
      <c r="DK111" s="218"/>
      <c r="DL111" s="218"/>
      <c r="DM111" s="218"/>
      <c r="DN111" s="218"/>
      <c r="DO111" s="218"/>
      <c r="DP111" s="218"/>
      <c r="DQ111" s="227"/>
      <c r="DR111" s="224"/>
      <c r="DS111" s="218"/>
      <c r="DT111" s="218"/>
      <c r="DU111" s="218"/>
      <c r="DV111" s="218"/>
      <c r="DW111" s="218"/>
      <c r="DX111" s="218"/>
      <c r="DY111" s="218"/>
      <c r="DZ111" s="218"/>
      <c r="EA111" s="218"/>
      <c r="EB111" s="218"/>
      <c r="EC111" s="218"/>
      <c r="ED111" s="218"/>
      <c r="EE111" s="218"/>
      <c r="EF111" s="223">
        <f t="shared" ref="EF111:EJ111" si="206">AH111+AP111+AX111+BF111+BN111+BV111+CD111+CL111+CT111+DB111+DJ111+DR111+DZ111</f>
        <v>8</v>
      </c>
      <c r="EG111" s="223">
        <f t="shared" si="206"/>
        <v>11</v>
      </c>
      <c r="EH111" s="223">
        <f t="shared" si="206"/>
        <v>11</v>
      </c>
      <c r="EI111" s="223">
        <f t="shared" si="206"/>
        <v>10</v>
      </c>
      <c r="EJ111" s="223">
        <f t="shared" si="206"/>
        <v>10</v>
      </c>
      <c r="EK111" s="223">
        <f t="shared" si="181"/>
        <v>50</v>
      </c>
      <c r="EL111" s="218">
        <f t="shared" si="182"/>
        <v>1800</v>
      </c>
      <c r="EM111" s="218">
        <f t="shared" si="183"/>
        <v>112.5</v>
      </c>
      <c r="EN111" s="223">
        <f t="shared" si="184"/>
        <v>50</v>
      </c>
      <c r="EO111" s="226">
        <f t="shared" si="185"/>
        <v>62.5</v>
      </c>
      <c r="ER111" s="251"/>
      <c r="EU111" s="220"/>
    </row>
    <row r="112" s="200" customFormat="1" customHeight="1" spans="1:151">
      <c r="A112" s="380"/>
      <c r="B112" s="406">
        <v>37</v>
      </c>
      <c r="C112" s="219" t="s">
        <v>965</v>
      </c>
      <c r="D112" s="220"/>
      <c r="E112" s="220"/>
      <c r="F112" s="220"/>
      <c r="G112" s="220"/>
      <c r="H112" s="239"/>
      <c r="I112" s="239"/>
      <c r="J112" s="220"/>
      <c r="K112" s="221"/>
      <c r="L112" s="239"/>
      <c r="M112" s="239"/>
      <c r="N112" s="221"/>
      <c r="O112" s="221"/>
      <c r="W112" s="207"/>
      <c r="X112" s="426" t="s">
        <v>966</v>
      </c>
      <c r="Y112" s="426">
        <v>13727154671</v>
      </c>
      <c r="Z112" s="354" t="s">
        <v>967</v>
      </c>
      <c r="AA112" s="218">
        <v>200</v>
      </c>
      <c r="AB112" s="218">
        <f t="shared" si="186"/>
        <v>7</v>
      </c>
      <c r="AC112" s="218">
        <v>2</v>
      </c>
      <c r="AD112" s="218">
        <v>5</v>
      </c>
      <c r="AE112" s="218"/>
      <c r="AF112" s="364">
        <f t="shared" si="169"/>
        <v>35</v>
      </c>
      <c r="AG112" s="243">
        <v>46082</v>
      </c>
      <c r="AH112" s="253">
        <v>2</v>
      </c>
      <c r="AI112" s="254">
        <v>2</v>
      </c>
      <c r="AJ112" s="254">
        <v>2</v>
      </c>
      <c r="AK112" s="254">
        <v>2</v>
      </c>
      <c r="AL112" s="254">
        <v>2</v>
      </c>
      <c r="AM112" s="244">
        <f t="shared" si="170"/>
        <v>10</v>
      </c>
      <c r="AN112" s="245">
        <f t="shared" si="191"/>
        <v>4.57142857142857</v>
      </c>
      <c r="AO112" s="252">
        <v>46107</v>
      </c>
      <c r="AP112" s="253">
        <v>2</v>
      </c>
      <c r="AQ112" s="254">
        <v>2</v>
      </c>
      <c r="AR112" s="254">
        <v>2</v>
      </c>
      <c r="AS112" s="254">
        <v>2</v>
      </c>
      <c r="AT112" s="254">
        <v>2</v>
      </c>
      <c r="AU112" s="394">
        <f t="shared" si="171"/>
        <v>10</v>
      </c>
      <c r="AV112" s="248">
        <f t="shared" si="172"/>
        <v>4.57142857142857</v>
      </c>
      <c r="AW112" s="246">
        <f>AO112+AV112*7</f>
        <v>46139</v>
      </c>
      <c r="AX112" s="223"/>
      <c r="AY112" s="218"/>
      <c r="AZ112" s="218"/>
      <c r="BA112" s="218"/>
      <c r="BB112" s="218"/>
      <c r="BC112" s="397">
        <f t="shared" si="173"/>
        <v>0</v>
      </c>
      <c r="BD112" s="248">
        <f t="shared" si="174"/>
        <v>0</v>
      </c>
      <c r="BE112" s="249"/>
      <c r="BF112" s="224"/>
      <c r="BG112" s="218"/>
      <c r="BH112" s="218"/>
      <c r="BI112" s="218"/>
      <c r="BJ112" s="218"/>
      <c r="BK112" s="247">
        <f t="shared" si="188"/>
        <v>0</v>
      </c>
      <c r="BL112" s="248">
        <f t="shared" si="120"/>
        <v>0</v>
      </c>
      <c r="BM112" s="249"/>
      <c r="BN112" s="224"/>
      <c r="BO112" s="218"/>
      <c r="BP112" s="218"/>
      <c r="BQ112" s="218"/>
      <c r="BR112" s="218"/>
      <c r="BS112" s="247"/>
      <c r="BT112" s="248">
        <f t="shared" si="175"/>
        <v>0</v>
      </c>
      <c r="BU112" s="249"/>
      <c r="BV112" s="224"/>
      <c r="BW112" s="218"/>
      <c r="BX112" s="218"/>
      <c r="BY112" s="218"/>
      <c r="BZ112" s="218"/>
      <c r="CA112" s="245"/>
      <c r="CB112" s="248">
        <f t="shared" si="176"/>
        <v>0</v>
      </c>
      <c r="CC112" s="246"/>
      <c r="CD112" s="224"/>
      <c r="CE112" s="218"/>
      <c r="CF112" s="218"/>
      <c r="CG112" s="218"/>
      <c r="CH112" s="218"/>
      <c r="CI112" s="245"/>
      <c r="CJ112" s="248">
        <f t="shared" si="177"/>
        <v>0</v>
      </c>
      <c r="CK112" s="218"/>
      <c r="CL112" s="224"/>
      <c r="CM112" s="218"/>
      <c r="CN112" s="218"/>
      <c r="CO112" s="218"/>
      <c r="CP112" s="218"/>
      <c r="CQ112" s="245"/>
      <c r="CR112" s="248">
        <f t="shared" si="178"/>
        <v>0</v>
      </c>
      <c r="CS112" s="218"/>
      <c r="CT112" s="224"/>
      <c r="CU112" s="218"/>
      <c r="CV112" s="218"/>
      <c r="CW112" s="218"/>
      <c r="CX112" s="218"/>
      <c r="CY112" s="218"/>
      <c r="CZ112" s="245">
        <f t="shared" si="179"/>
        <v>0</v>
      </c>
      <c r="DA112" s="218"/>
      <c r="DB112" s="224"/>
      <c r="DC112" s="218"/>
      <c r="DD112" s="218"/>
      <c r="DE112" s="218"/>
      <c r="DF112" s="218"/>
      <c r="DG112" s="218"/>
      <c r="DH112" s="218"/>
      <c r="DI112" s="218"/>
      <c r="DJ112" s="218"/>
      <c r="DK112" s="218"/>
      <c r="DL112" s="218"/>
      <c r="DM112" s="218"/>
      <c r="DN112" s="218"/>
      <c r="DO112" s="218"/>
      <c r="DP112" s="218"/>
      <c r="DQ112" s="227"/>
      <c r="DR112" s="224"/>
      <c r="DS112" s="218"/>
      <c r="DT112" s="218"/>
      <c r="DU112" s="218"/>
      <c r="DV112" s="218"/>
      <c r="DW112" s="218"/>
      <c r="DX112" s="218"/>
      <c r="DY112" s="218"/>
      <c r="DZ112" s="218"/>
      <c r="EA112" s="218"/>
      <c r="EB112" s="218"/>
      <c r="EC112" s="218"/>
      <c r="ED112" s="218"/>
      <c r="EE112" s="218"/>
      <c r="EF112" s="223">
        <f t="shared" ref="EF112:EJ112" si="207">AH112+AP112+AX112+BF112+BN112+BV112+CD112+CL112+CT112+DB112+DJ112+DR112+DZ112</f>
        <v>4</v>
      </c>
      <c r="EG112" s="223">
        <f t="shared" si="207"/>
        <v>4</v>
      </c>
      <c r="EH112" s="223">
        <f t="shared" si="207"/>
        <v>4</v>
      </c>
      <c r="EI112" s="223">
        <f t="shared" si="207"/>
        <v>4</v>
      </c>
      <c r="EJ112" s="223">
        <f t="shared" si="207"/>
        <v>4</v>
      </c>
      <c r="EK112" s="223">
        <f t="shared" si="181"/>
        <v>20</v>
      </c>
      <c r="EL112" s="218">
        <f t="shared" si="182"/>
        <v>700</v>
      </c>
      <c r="EM112" s="218">
        <f t="shared" si="183"/>
        <v>43.75</v>
      </c>
      <c r="EN112" s="223">
        <f t="shared" si="184"/>
        <v>20</v>
      </c>
      <c r="EO112" s="226">
        <f t="shared" si="185"/>
        <v>23.75</v>
      </c>
      <c r="ER112" s="251"/>
      <c r="EU112" s="220"/>
    </row>
    <row r="113" s="200" customFormat="1" customHeight="1" spans="1:151">
      <c r="A113" s="380"/>
      <c r="B113" s="406">
        <v>38</v>
      </c>
      <c r="C113" s="429" t="s">
        <v>968</v>
      </c>
      <c r="D113" s="220"/>
      <c r="E113" s="220"/>
      <c r="F113" s="220"/>
      <c r="G113" s="220" t="s">
        <v>969</v>
      </c>
      <c r="H113" s="239">
        <v>13416598698</v>
      </c>
      <c r="I113" s="239"/>
      <c r="J113" s="220"/>
      <c r="K113" s="221"/>
      <c r="L113" s="239"/>
      <c r="M113" s="239"/>
      <c r="N113" s="221"/>
      <c r="O113" s="221"/>
      <c r="W113" s="207"/>
      <c r="X113" s="220"/>
      <c r="Y113" s="220"/>
      <c r="Z113" s="354" t="s">
        <v>969</v>
      </c>
      <c r="AA113" s="218">
        <v>125</v>
      </c>
      <c r="AB113" s="218">
        <v>74</v>
      </c>
      <c r="AC113" s="218">
        <v>17</v>
      </c>
      <c r="AD113" s="218">
        <v>57</v>
      </c>
      <c r="AE113" s="218"/>
      <c r="AF113" s="364">
        <f t="shared" ref="AF113:AF136" si="208">AB113*5</f>
        <v>370</v>
      </c>
      <c r="AG113" s="243">
        <v>46082</v>
      </c>
      <c r="AH113" s="244">
        <v>10</v>
      </c>
      <c r="AI113" s="244">
        <v>8</v>
      </c>
      <c r="AJ113" s="279">
        <v>8</v>
      </c>
      <c r="AK113" s="279">
        <v>8</v>
      </c>
      <c r="AL113" s="279"/>
      <c r="AM113" s="244">
        <f t="shared" si="170"/>
        <v>34</v>
      </c>
      <c r="AN113" s="245">
        <f t="shared" si="191"/>
        <v>1.47027027027027</v>
      </c>
      <c r="AO113" s="252">
        <v>46090</v>
      </c>
      <c r="AP113" s="253">
        <v>12</v>
      </c>
      <c r="AQ113" s="254">
        <v>12</v>
      </c>
      <c r="AR113" s="254">
        <v>13</v>
      </c>
      <c r="AS113" s="254">
        <v>13</v>
      </c>
      <c r="AT113" s="254"/>
      <c r="AU113" s="394">
        <f t="shared" si="171"/>
        <v>50</v>
      </c>
      <c r="AV113" s="248">
        <f t="shared" si="172"/>
        <v>2.16216216216216</v>
      </c>
      <c r="AW113" s="252">
        <v>46105</v>
      </c>
      <c r="AX113" s="279">
        <v>10</v>
      </c>
      <c r="AY113" s="254">
        <v>11</v>
      </c>
      <c r="AZ113" s="254">
        <v>12</v>
      </c>
      <c r="BA113" s="254">
        <v>12</v>
      </c>
      <c r="BB113" s="254"/>
      <c r="BC113" s="389">
        <f t="shared" si="173"/>
        <v>45</v>
      </c>
      <c r="BD113" s="248">
        <f t="shared" si="174"/>
        <v>1.94594594594595</v>
      </c>
      <c r="BE113" s="271">
        <f t="shared" si="203"/>
        <v>46118.6216216216</v>
      </c>
      <c r="BF113" s="281">
        <v>11</v>
      </c>
      <c r="BG113" s="282">
        <v>11</v>
      </c>
      <c r="BH113" s="282">
        <v>11</v>
      </c>
      <c r="BI113" s="282">
        <v>11</v>
      </c>
      <c r="BJ113" s="282"/>
      <c r="BK113" s="274">
        <f t="shared" si="188"/>
        <v>44</v>
      </c>
      <c r="BL113" s="248">
        <f t="shared" si="120"/>
        <v>1.9027027027027</v>
      </c>
      <c r="BM113" s="260">
        <v>46131.9405405405</v>
      </c>
      <c r="BN113" s="282">
        <v>11</v>
      </c>
      <c r="BO113" s="282">
        <v>11</v>
      </c>
      <c r="BP113" s="282">
        <v>11</v>
      </c>
      <c r="BQ113" s="282">
        <v>11</v>
      </c>
      <c r="BR113" s="282"/>
      <c r="BS113" s="274">
        <v>44</v>
      </c>
      <c r="BT113" s="248">
        <f t="shared" si="175"/>
        <v>1.9027027027027</v>
      </c>
      <c r="BU113" s="246">
        <f>BM113+BT113*7</f>
        <v>46145.2594594594</v>
      </c>
      <c r="BV113" s="224"/>
      <c r="BW113" s="218"/>
      <c r="BX113" s="218"/>
      <c r="BY113" s="218"/>
      <c r="BZ113" s="218"/>
      <c r="CA113" s="245"/>
      <c r="CB113" s="248">
        <f t="shared" si="176"/>
        <v>0</v>
      </c>
      <c r="CC113" s="249"/>
      <c r="CD113" s="224"/>
      <c r="CE113" s="218"/>
      <c r="CF113" s="218"/>
      <c r="CG113" s="218"/>
      <c r="CH113" s="218"/>
      <c r="CI113" s="245"/>
      <c r="CJ113" s="248">
        <f t="shared" si="177"/>
        <v>0</v>
      </c>
      <c r="CK113" s="249"/>
      <c r="CL113" s="224"/>
      <c r="CM113" s="218"/>
      <c r="CN113" s="218"/>
      <c r="CO113" s="218"/>
      <c r="CP113" s="188"/>
      <c r="CQ113" s="245"/>
      <c r="CR113" s="248">
        <f t="shared" si="178"/>
        <v>0</v>
      </c>
      <c r="CS113" s="246"/>
      <c r="CT113" s="224"/>
      <c r="CU113" s="218"/>
      <c r="CV113" s="218"/>
      <c r="CW113" s="218"/>
      <c r="CX113" s="218"/>
      <c r="CY113" s="218"/>
      <c r="CZ113" s="245">
        <f t="shared" si="179"/>
        <v>0</v>
      </c>
      <c r="DA113" s="246"/>
      <c r="DB113" s="224"/>
      <c r="DC113" s="218"/>
      <c r="DD113" s="218"/>
      <c r="DE113" s="218"/>
      <c r="DF113" s="218"/>
      <c r="DG113" s="218"/>
      <c r="DH113" s="246"/>
      <c r="DI113" s="218"/>
      <c r="DJ113" s="218"/>
      <c r="DK113" s="218"/>
      <c r="DL113" s="218"/>
      <c r="DM113" s="218"/>
      <c r="DN113" s="218"/>
      <c r="DO113" s="218"/>
      <c r="DP113" s="218"/>
      <c r="DQ113" s="227"/>
      <c r="DR113" s="224"/>
      <c r="DS113" s="218"/>
      <c r="DT113" s="218"/>
      <c r="DU113" s="218"/>
      <c r="DV113" s="218"/>
      <c r="DW113" s="218"/>
      <c r="DX113" s="218"/>
      <c r="DY113" s="218"/>
      <c r="DZ113" s="218"/>
      <c r="EA113" s="218"/>
      <c r="EB113" s="218"/>
      <c r="EC113" s="218"/>
      <c r="ED113" s="218"/>
      <c r="EE113" s="218"/>
      <c r="EF113" s="223">
        <f t="shared" ref="EF113:EJ113" si="209">AH113+AP113+AX113+BF113+BN113+BV113+CD113+CL113+CT113+DB113+DJ113+DR113+DZ113</f>
        <v>54</v>
      </c>
      <c r="EG113" s="223">
        <f t="shared" si="209"/>
        <v>53</v>
      </c>
      <c r="EH113" s="223">
        <f t="shared" si="209"/>
        <v>55</v>
      </c>
      <c r="EI113" s="223">
        <f t="shared" si="209"/>
        <v>55</v>
      </c>
      <c r="EJ113" s="223">
        <f t="shared" si="209"/>
        <v>0</v>
      </c>
      <c r="EK113" s="223">
        <f t="shared" si="181"/>
        <v>217</v>
      </c>
      <c r="EL113" s="218">
        <f t="shared" si="182"/>
        <v>7400</v>
      </c>
      <c r="EM113" s="218">
        <f t="shared" si="183"/>
        <v>462.5</v>
      </c>
      <c r="EN113" s="223">
        <f t="shared" si="184"/>
        <v>217</v>
      </c>
      <c r="EO113" s="226">
        <f t="shared" si="185"/>
        <v>245.5</v>
      </c>
      <c r="ER113" s="251"/>
      <c r="EU113" s="220"/>
    </row>
    <row r="114" s="200" customFormat="1" customHeight="1" spans="1:151">
      <c r="A114" s="380"/>
      <c r="B114" s="406">
        <v>39</v>
      </c>
      <c r="C114" s="219" t="s">
        <v>970</v>
      </c>
      <c r="D114" s="220"/>
      <c r="E114" s="220"/>
      <c r="F114" s="220"/>
      <c r="G114" s="220" t="s">
        <v>971</v>
      </c>
      <c r="H114" s="239">
        <v>13542466158</v>
      </c>
      <c r="I114" s="239"/>
      <c r="J114" s="220"/>
      <c r="K114" s="221"/>
      <c r="L114" s="239"/>
      <c r="M114" s="239"/>
      <c r="N114" s="221"/>
      <c r="O114" s="221"/>
      <c r="W114" s="207"/>
      <c r="X114" s="426" t="s">
        <v>972</v>
      </c>
      <c r="Y114" s="426">
        <v>13927612607</v>
      </c>
      <c r="Z114" s="354" t="s">
        <v>967</v>
      </c>
      <c r="AA114" s="218">
        <v>200</v>
      </c>
      <c r="AB114" s="218">
        <v>11</v>
      </c>
      <c r="AC114" s="218">
        <v>1</v>
      </c>
      <c r="AD114" s="218">
        <v>10</v>
      </c>
      <c r="AE114" s="218"/>
      <c r="AF114" s="364">
        <f t="shared" si="208"/>
        <v>55</v>
      </c>
      <c r="AG114" s="243">
        <v>46082</v>
      </c>
      <c r="AH114" s="244">
        <v>3</v>
      </c>
      <c r="AI114" s="244">
        <v>3</v>
      </c>
      <c r="AJ114" s="279">
        <v>3</v>
      </c>
      <c r="AK114" s="279">
        <v>3</v>
      </c>
      <c r="AL114" s="279">
        <v>3</v>
      </c>
      <c r="AM114" s="244">
        <f t="shared" si="170"/>
        <v>15</v>
      </c>
      <c r="AN114" s="245">
        <f t="shared" si="191"/>
        <v>4.36363636363636</v>
      </c>
      <c r="AO114" s="430">
        <v>46107</v>
      </c>
      <c r="AP114" s="274">
        <v>3</v>
      </c>
      <c r="AQ114" s="274">
        <v>3</v>
      </c>
      <c r="AR114" s="407">
        <v>3</v>
      </c>
      <c r="AS114" s="407">
        <v>3</v>
      </c>
      <c r="AT114" s="407">
        <v>3</v>
      </c>
      <c r="AU114" s="274">
        <f t="shared" si="171"/>
        <v>15</v>
      </c>
      <c r="AV114" s="248">
        <f t="shared" si="172"/>
        <v>4.36363636363636</v>
      </c>
      <c r="AW114" s="347">
        <v>46135</v>
      </c>
      <c r="AX114" s="423">
        <v>3</v>
      </c>
      <c r="AY114" s="257">
        <v>3</v>
      </c>
      <c r="AZ114" s="257">
        <v>3</v>
      </c>
      <c r="BA114" s="257">
        <v>3</v>
      </c>
      <c r="BB114" s="257">
        <v>3</v>
      </c>
      <c r="BC114" s="425">
        <f t="shared" si="173"/>
        <v>15</v>
      </c>
      <c r="BD114" s="248">
        <f t="shared" si="174"/>
        <v>4.36363636363636</v>
      </c>
      <c r="BE114" s="246">
        <f t="shared" si="203"/>
        <v>46165.5454545455</v>
      </c>
      <c r="BF114" s="224"/>
      <c r="BG114" s="218"/>
      <c r="BH114" s="218"/>
      <c r="BI114" s="218"/>
      <c r="BJ114" s="218"/>
      <c r="BK114" s="247">
        <f t="shared" si="188"/>
        <v>0</v>
      </c>
      <c r="BL114" s="248">
        <f t="shared" si="120"/>
        <v>0</v>
      </c>
      <c r="BM114" s="227"/>
      <c r="BN114" s="224"/>
      <c r="BO114" s="218"/>
      <c r="BP114" s="218"/>
      <c r="BQ114" s="218"/>
      <c r="BR114" s="218"/>
      <c r="BS114" s="247"/>
      <c r="BT114" s="248">
        <f t="shared" si="175"/>
        <v>0</v>
      </c>
      <c r="BU114" s="246"/>
      <c r="BV114" s="224"/>
      <c r="BW114" s="218"/>
      <c r="BX114" s="218"/>
      <c r="BY114" s="218"/>
      <c r="BZ114" s="218"/>
      <c r="CA114" s="245"/>
      <c r="CB114" s="248">
        <f t="shared" si="176"/>
        <v>0</v>
      </c>
      <c r="CC114" s="218"/>
      <c r="CD114" s="224"/>
      <c r="CE114" s="218"/>
      <c r="CF114" s="218"/>
      <c r="CG114" s="218"/>
      <c r="CH114" s="218"/>
      <c r="CI114" s="245"/>
      <c r="CJ114" s="248">
        <f t="shared" si="177"/>
        <v>0</v>
      </c>
      <c r="CK114" s="218"/>
      <c r="CL114" s="224"/>
      <c r="CM114" s="218"/>
      <c r="CN114" s="218"/>
      <c r="CO114" s="218"/>
      <c r="CP114" s="218"/>
      <c r="CQ114" s="245"/>
      <c r="CR114" s="248">
        <f t="shared" si="178"/>
        <v>0</v>
      </c>
      <c r="CS114" s="218"/>
      <c r="CT114" s="224"/>
      <c r="CU114" s="218"/>
      <c r="CV114" s="218"/>
      <c r="CW114" s="218"/>
      <c r="CX114" s="218"/>
      <c r="CY114" s="218"/>
      <c r="CZ114" s="245">
        <f t="shared" si="179"/>
        <v>0</v>
      </c>
      <c r="DA114" s="218"/>
      <c r="DB114" s="224"/>
      <c r="DC114" s="218"/>
      <c r="DD114" s="218"/>
      <c r="DE114" s="218"/>
      <c r="DF114" s="218"/>
      <c r="DG114" s="218"/>
      <c r="DH114" s="218"/>
      <c r="DI114" s="218"/>
      <c r="DJ114" s="218"/>
      <c r="DK114" s="218"/>
      <c r="DL114" s="218"/>
      <c r="DM114" s="218"/>
      <c r="DN114" s="218"/>
      <c r="DO114" s="218"/>
      <c r="DP114" s="218"/>
      <c r="DQ114" s="227"/>
      <c r="DR114" s="224"/>
      <c r="DS114" s="218"/>
      <c r="DT114" s="218"/>
      <c r="DU114" s="218"/>
      <c r="DV114" s="218"/>
      <c r="DW114" s="218"/>
      <c r="DX114" s="218"/>
      <c r="DY114" s="218"/>
      <c r="DZ114" s="218"/>
      <c r="EA114" s="218"/>
      <c r="EB114" s="218"/>
      <c r="EC114" s="218"/>
      <c r="ED114" s="218"/>
      <c r="EE114" s="218"/>
      <c r="EF114" s="223">
        <f t="shared" ref="EF114:EJ114" si="210">AH114+AP114+AX114+BF114+BN114+BV114+CD114+CL114+CT114+DB114+DJ114+DR114+DZ114</f>
        <v>9</v>
      </c>
      <c r="EG114" s="223">
        <f t="shared" si="210"/>
        <v>9</v>
      </c>
      <c r="EH114" s="223">
        <f t="shared" si="210"/>
        <v>9</v>
      </c>
      <c r="EI114" s="223">
        <f t="shared" si="210"/>
        <v>9</v>
      </c>
      <c r="EJ114" s="223">
        <f t="shared" si="210"/>
        <v>9</v>
      </c>
      <c r="EK114" s="223">
        <f t="shared" si="181"/>
        <v>45</v>
      </c>
      <c r="EL114" s="218">
        <f t="shared" si="182"/>
        <v>1100</v>
      </c>
      <c r="EM114" s="218">
        <f t="shared" si="183"/>
        <v>68.75</v>
      </c>
      <c r="EN114" s="223">
        <f t="shared" si="184"/>
        <v>45</v>
      </c>
      <c r="EO114" s="226">
        <f t="shared" si="185"/>
        <v>23.75</v>
      </c>
      <c r="ER114" s="251"/>
      <c r="EU114" s="220"/>
    </row>
    <row r="115" s="200" customFormat="1" customHeight="1" spans="1:151">
      <c r="A115" s="380"/>
      <c r="B115" s="406">
        <v>40</v>
      </c>
      <c r="C115" s="219" t="s">
        <v>973</v>
      </c>
      <c r="D115" s="220"/>
      <c r="E115" s="220"/>
      <c r="F115" s="220"/>
      <c r="G115" s="220" t="s">
        <v>974</v>
      </c>
      <c r="H115" s="221"/>
      <c r="I115" s="239"/>
      <c r="J115" s="220"/>
      <c r="K115" s="221"/>
      <c r="L115" s="239"/>
      <c r="M115" s="239"/>
      <c r="N115" s="221"/>
      <c r="O115" s="221"/>
      <c r="W115" s="207"/>
      <c r="X115" s="220"/>
      <c r="Y115" s="220"/>
      <c r="Z115" s="354"/>
      <c r="AA115" s="218">
        <v>125</v>
      </c>
      <c r="AB115" s="218">
        <v>38</v>
      </c>
      <c r="AC115" s="218">
        <v>6</v>
      </c>
      <c r="AD115" s="218">
        <v>32</v>
      </c>
      <c r="AE115" s="218"/>
      <c r="AF115" s="364">
        <f t="shared" si="208"/>
        <v>190</v>
      </c>
      <c r="AG115" s="243">
        <v>46084</v>
      </c>
      <c r="AH115" s="244">
        <v>5</v>
      </c>
      <c r="AI115" s="244">
        <v>5</v>
      </c>
      <c r="AJ115" s="279">
        <v>5</v>
      </c>
      <c r="AK115" s="279">
        <v>5</v>
      </c>
      <c r="AL115" s="279"/>
      <c r="AM115" s="244">
        <f t="shared" si="170"/>
        <v>20</v>
      </c>
      <c r="AN115" s="245">
        <f t="shared" si="191"/>
        <v>1.68421052631579</v>
      </c>
      <c r="AO115" s="252">
        <v>46097</v>
      </c>
      <c r="AP115" s="253">
        <v>5</v>
      </c>
      <c r="AQ115" s="254">
        <v>8</v>
      </c>
      <c r="AR115" s="254">
        <v>8</v>
      </c>
      <c r="AS115" s="254">
        <v>8</v>
      </c>
      <c r="AT115" s="254"/>
      <c r="AU115" s="394">
        <f t="shared" si="171"/>
        <v>29</v>
      </c>
      <c r="AV115" s="248">
        <f t="shared" si="172"/>
        <v>2.44210526315789</v>
      </c>
      <c r="AW115" s="271">
        <v>46111</v>
      </c>
      <c r="AX115" s="407">
        <v>8</v>
      </c>
      <c r="AY115" s="282">
        <v>8</v>
      </c>
      <c r="AZ115" s="282">
        <v>8</v>
      </c>
      <c r="BA115" s="282">
        <v>8</v>
      </c>
      <c r="BB115" s="282"/>
      <c r="BC115" s="401">
        <f t="shared" si="173"/>
        <v>32</v>
      </c>
      <c r="BD115" s="248">
        <f t="shared" si="174"/>
        <v>2.69473684210526</v>
      </c>
      <c r="BE115" s="260">
        <v>46129.8631578947</v>
      </c>
      <c r="BF115" s="282">
        <v>8</v>
      </c>
      <c r="BG115" s="282">
        <v>8</v>
      </c>
      <c r="BH115" s="282">
        <v>8</v>
      </c>
      <c r="BI115" s="282">
        <v>8</v>
      </c>
      <c r="BJ115" s="282"/>
      <c r="BK115" s="274">
        <v>32</v>
      </c>
      <c r="BL115" s="248">
        <f t="shared" si="120"/>
        <v>2.69473684210526</v>
      </c>
      <c r="BM115" s="246">
        <f>BE115+BL115*7</f>
        <v>46148.7263157894</v>
      </c>
      <c r="BN115" s="224"/>
      <c r="BO115" s="218"/>
      <c r="BP115" s="218"/>
      <c r="BQ115" s="218"/>
      <c r="BR115" s="218"/>
      <c r="BS115" s="247"/>
      <c r="BT115" s="248">
        <f t="shared" si="175"/>
        <v>0</v>
      </c>
      <c r="BU115" s="246"/>
      <c r="BV115" s="224"/>
      <c r="BW115" s="218"/>
      <c r="BX115" s="218"/>
      <c r="BY115" s="218"/>
      <c r="BZ115" s="218"/>
      <c r="CA115" s="245"/>
      <c r="CB115" s="248">
        <f t="shared" si="176"/>
        <v>0</v>
      </c>
      <c r="CC115" s="218"/>
      <c r="CD115" s="224"/>
      <c r="CE115" s="218"/>
      <c r="CF115" s="218"/>
      <c r="CG115" s="218"/>
      <c r="CH115" s="218"/>
      <c r="CI115" s="245"/>
      <c r="CJ115" s="248">
        <f t="shared" si="177"/>
        <v>0</v>
      </c>
      <c r="CK115" s="218"/>
      <c r="CL115" s="224"/>
      <c r="CM115" s="218"/>
      <c r="CN115" s="218"/>
      <c r="CO115" s="218"/>
      <c r="CP115" s="218"/>
      <c r="CQ115" s="245"/>
      <c r="CR115" s="248">
        <f t="shared" si="178"/>
        <v>0</v>
      </c>
      <c r="CS115" s="218"/>
      <c r="CT115" s="224"/>
      <c r="CU115" s="218"/>
      <c r="CV115" s="218"/>
      <c r="CW115" s="218"/>
      <c r="CX115" s="218"/>
      <c r="CY115" s="218"/>
      <c r="CZ115" s="245">
        <f t="shared" si="179"/>
        <v>0</v>
      </c>
      <c r="DA115" s="218"/>
      <c r="DB115" s="224"/>
      <c r="DC115" s="218"/>
      <c r="DD115" s="218"/>
      <c r="DE115" s="218"/>
      <c r="DF115" s="218"/>
      <c r="DG115" s="218"/>
      <c r="DH115" s="218"/>
      <c r="DI115" s="218"/>
      <c r="DJ115" s="218"/>
      <c r="DK115" s="218"/>
      <c r="DL115" s="218"/>
      <c r="DM115" s="218"/>
      <c r="DN115" s="218"/>
      <c r="DO115" s="218"/>
      <c r="DP115" s="218"/>
      <c r="DQ115" s="227"/>
      <c r="DR115" s="224"/>
      <c r="DS115" s="218"/>
      <c r="DT115" s="218"/>
      <c r="DU115" s="218"/>
      <c r="DV115" s="218"/>
      <c r="DW115" s="218"/>
      <c r="DX115" s="218"/>
      <c r="DY115" s="218"/>
      <c r="DZ115" s="218"/>
      <c r="EA115" s="218"/>
      <c r="EB115" s="218"/>
      <c r="EC115" s="218"/>
      <c r="ED115" s="218"/>
      <c r="EE115" s="218"/>
      <c r="EF115" s="223">
        <f t="shared" ref="EF115:EJ115" si="211">AH115+AP115+AX115+BF115+BN115+BV115+CD115+CL115+CT115+DB115+DJ115+DR115+DZ115</f>
        <v>26</v>
      </c>
      <c r="EG115" s="223">
        <f t="shared" si="211"/>
        <v>29</v>
      </c>
      <c r="EH115" s="223">
        <f t="shared" si="211"/>
        <v>29</v>
      </c>
      <c r="EI115" s="223">
        <f t="shared" si="211"/>
        <v>29</v>
      </c>
      <c r="EJ115" s="223">
        <f t="shared" si="211"/>
        <v>0</v>
      </c>
      <c r="EK115" s="223">
        <f t="shared" si="181"/>
        <v>113</v>
      </c>
      <c r="EL115" s="218">
        <f t="shared" si="182"/>
        <v>3800</v>
      </c>
      <c r="EM115" s="218">
        <f t="shared" si="183"/>
        <v>237.5</v>
      </c>
      <c r="EN115" s="223">
        <f t="shared" si="184"/>
        <v>113</v>
      </c>
      <c r="EO115" s="226">
        <f t="shared" si="185"/>
        <v>124.5</v>
      </c>
      <c r="ER115" s="251"/>
      <c r="EU115" s="220"/>
    </row>
    <row r="116" s="200" customFormat="1" customHeight="1" spans="1:151">
      <c r="A116" s="380"/>
      <c r="B116" s="357">
        <v>41</v>
      </c>
      <c r="C116" s="219" t="s">
        <v>975</v>
      </c>
      <c r="D116" s="220"/>
      <c r="E116" s="220"/>
      <c r="F116" s="220"/>
      <c r="G116" s="220" t="s">
        <v>976</v>
      </c>
      <c r="H116" s="221" t="s">
        <v>977</v>
      </c>
      <c r="I116" s="239"/>
      <c r="J116" s="220"/>
      <c r="K116" s="221"/>
      <c r="L116" s="239"/>
      <c r="M116" s="239"/>
      <c r="N116" s="221"/>
      <c r="O116" s="221"/>
      <c r="W116" s="207"/>
      <c r="X116" s="426" t="s">
        <v>978</v>
      </c>
      <c r="Y116" s="426">
        <v>13553905282</v>
      </c>
      <c r="Z116" s="354" t="s">
        <v>899</v>
      </c>
      <c r="AA116" s="218">
        <v>200</v>
      </c>
      <c r="AB116" s="218">
        <f t="shared" si="186"/>
        <v>33</v>
      </c>
      <c r="AC116" s="218">
        <v>8</v>
      </c>
      <c r="AD116" s="218">
        <v>25</v>
      </c>
      <c r="AE116" s="218"/>
      <c r="AF116" s="364">
        <f t="shared" si="208"/>
        <v>165</v>
      </c>
      <c r="AG116" s="243">
        <v>46084</v>
      </c>
      <c r="AH116" s="244">
        <v>5</v>
      </c>
      <c r="AI116" s="244">
        <v>5</v>
      </c>
      <c r="AJ116" s="279">
        <v>5</v>
      </c>
      <c r="AK116" s="279">
        <v>5</v>
      </c>
      <c r="AL116" s="279">
        <v>5</v>
      </c>
      <c r="AM116" s="244">
        <f t="shared" si="170"/>
        <v>25</v>
      </c>
      <c r="AN116" s="245">
        <f t="shared" si="191"/>
        <v>2.42424242424242</v>
      </c>
      <c r="AO116" s="243">
        <v>46099</v>
      </c>
      <c r="AP116" s="244">
        <v>7</v>
      </c>
      <c r="AQ116" s="244">
        <v>7</v>
      </c>
      <c r="AR116" s="279">
        <v>7</v>
      </c>
      <c r="AS116" s="279">
        <v>7</v>
      </c>
      <c r="AT116" s="279">
        <v>7</v>
      </c>
      <c r="AU116" s="394">
        <f t="shared" si="171"/>
        <v>35</v>
      </c>
      <c r="AV116" s="248">
        <f t="shared" si="172"/>
        <v>3.39393939393939</v>
      </c>
      <c r="AW116" s="260">
        <f>AO116+AV116*7</f>
        <v>46122.7575757576</v>
      </c>
      <c r="AX116" s="279">
        <v>6</v>
      </c>
      <c r="AY116" s="254">
        <v>6</v>
      </c>
      <c r="AZ116" s="254">
        <v>6</v>
      </c>
      <c r="BA116" s="254">
        <v>6</v>
      </c>
      <c r="BB116" s="254">
        <v>6</v>
      </c>
      <c r="BC116" s="389">
        <f t="shared" si="173"/>
        <v>30</v>
      </c>
      <c r="BD116" s="248">
        <f t="shared" si="174"/>
        <v>2.90909090909091</v>
      </c>
      <c r="BE116" s="246">
        <f>AW116+BD116*7</f>
        <v>46143.1212121212</v>
      </c>
      <c r="BF116" s="224"/>
      <c r="BG116" s="218"/>
      <c r="BH116" s="218"/>
      <c r="BI116" s="218"/>
      <c r="BJ116" s="218"/>
      <c r="BK116" s="247">
        <f t="shared" si="188"/>
        <v>0</v>
      </c>
      <c r="BL116" s="248">
        <f t="shared" si="120"/>
        <v>0</v>
      </c>
      <c r="BM116" s="227"/>
      <c r="BN116" s="224"/>
      <c r="BO116" s="218"/>
      <c r="BP116" s="218"/>
      <c r="BQ116" s="218"/>
      <c r="BR116" s="218"/>
      <c r="BS116" s="247"/>
      <c r="BT116" s="248">
        <f t="shared" si="175"/>
        <v>0</v>
      </c>
      <c r="BU116" s="249"/>
      <c r="BV116" s="224"/>
      <c r="BW116" s="218"/>
      <c r="BX116" s="218"/>
      <c r="BY116" s="218"/>
      <c r="BZ116" s="218"/>
      <c r="CA116" s="245"/>
      <c r="CB116" s="248">
        <f t="shared" si="176"/>
        <v>0</v>
      </c>
      <c r="CC116" s="249"/>
      <c r="CD116" s="224"/>
      <c r="CE116" s="218"/>
      <c r="CF116" s="218"/>
      <c r="CG116" s="218"/>
      <c r="CH116" s="218"/>
      <c r="CI116" s="245"/>
      <c r="CJ116" s="248">
        <f t="shared" si="177"/>
        <v>0</v>
      </c>
      <c r="CK116" s="242"/>
      <c r="CL116" s="224"/>
      <c r="CM116" s="218"/>
      <c r="CN116" s="218"/>
      <c r="CO116" s="218"/>
      <c r="CP116" s="218"/>
      <c r="CQ116" s="245"/>
      <c r="CR116" s="248">
        <f t="shared" si="178"/>
        <v>0</v>
      </c>
      <c r="CS116" s="218"/>
      <c r="CT116" s="224"/>
      <c r="CU116" s="218"/>
      <c r="CV116" s="218"/>
      <c r="CW116" s="218"/>
      <c r="CX116" s="218"/>
      <c r="CY116" s="218"/>
      <c r="CZ116" s="245">
        <f t="shared" si="179"/>
        <v>0</v>
      </c>
      <c r="DA116" s="218"/>
      <c r="DB116" s="224"/>
      <c r="DC116" s="218"/>
      <c r="DD116" s="218"/>
      <c r="DE116" s="218"/>
      <c r="DF116" s="218"/>
      <c r="DG116" s="218"/>
      <c r="DH116" s="218"/>
      <c r="DI116" s="218"/>
      <c r="DJ116" s="218"/>
      <c r="DK116" s="218"/>
      <c r="DL116" s="218"/>
      <c r="DM116" s="218"/>
      <c r="DN116" s="218"/>
      <c r="DO116" s="218"/>
      <c r="DP116" s="218"/>
      <c r="DQ116" s="227"/>
      <c r="DR116" s="224"/>
      <c r="DS116" s="218"/>
      <c r="DT116" s="218"/>
      <c r="DU116" s="218"/>
      <c r="DV116" s="218"/>
      <c r="DW116" s="218"/>
      <c r="DX116" s="218"/>
      <c r="DY116" s="218"/>
      <c r="DZ116" s="218"/>
      <c r="EA116" s="218"/>
      <c r="EB116" s="218"/>
      <c r="EC116" s="218"/>
      <c r="ED116" s="218"/>
      <c r="EE116" s="218"/>
      <c r="EF116" s="223">
        <f t="shared" ref="EF116:EJ116" si="212">AH116+AP116+AX116+BF116+BN116+BV116+CD116+CL116+CT116+DB116+DJ116+DR116+DZ116</f>
        <v>18</v>
      </c>
      <c r="EG116" s="223">
        <f t="shared" si="212"/>
        <v>18</v>
      </c>
      <c r="EH116" s="223">
        <f t="shared" si="212"/>
        <v>18</v>
      </c>
      <c r="EI116" s="223">
        <f t="shared" si="212"/>
        <v>18</v>
      </c>
      <c r="EJ116" s="223">
        <f t="shared" si="212"/>
        <v>18</v>
      </c>
      <c r="EK116" s="223">
        <f t="shared" si="181"/>
        <v>90</v>
      </c>
      <c r="EL116" s="218">
        <f t="shared" si="182"/>
        <v>3300</v>
      </c>
      <c r="EM116" s="218">
        <f t="shared" si="183"/>
        <v>206.25</v>
      </c>
      <c r="EN116" s="223">
        <f t="shared" si="184"/>
        <v>90</v>
      </c>
      <c r="EO116" s="226">
        <f t="shared" si="185"/>
        <v>116.25</v>
      </c>
      <c r="ER116" s="251"/>
      <c r="EU116" s="220"/>
    </row>
    <row r="117" s="200" customFormat="1" customHeight="1" spans="1:151">
      <c r="A117" s="380"/>
      <c r="B117" s="357">
        <v>42</v>
      </c>
      <c r="C117" s="219" t="s">
        <v>979</v>
      </c>
      <c r="D117" s="220"/>
      <c r="E117" s="220"/>
      <c r="F117" s="220"/>
      <c r="G117" s="220" t="s">
        <v>980</v>
      </c>
      <c r="H117" s="221" t="s">
        <v>981</v>
      </c>
      <c r="I117" s="239"/>
      <c r="J117" s="220"/>
      <c r="K117" s="221"/>
      <c r="L117" s="239"/>
      <c r="M117" s="239"/>
      <c r="N117" s="221"/>
      <c r="O117" s="221"/>
      <c r="W117" s="207"/>
      <c r="X117" s="220"/>
      <c r="Y117" s="220"/>
      <c r="Z117" s="354"/>
      <c r="AA117" s="218">
        <v>125</v>
      </c>
      <c r="AB117" s="218">
        <f t="shared" si="186"/>
        <v>4</v>
      </c>
      <c r="AC117" s="218"/>
      <c r="AD117" s="218">
        <v>4</v>
      </c>
      <c r="AE117" s="218"/>
      <c r="AF117" s="364">
        <f t="shared" si="208"/>
        <v>20</v>
      </c>
      <c r="AG117" s="265">
        <v>46088</v>
      </c>
      <c r="AH117" s="247"/>
      <c r="AI117" s="247"/>
      <c r="AJ117" s="223"/>
      <c r="AK117" s="223"/>
      <c r="AL117" s="247"/>
      <c r="AM117" s="247">
        <f t="shared" si="170"/>
        <v>0</v>
      </c>
      <c r="AN117" s="245">
        <f t="shared" si="191"/>
        <v>0</v>
      </c>
      <c r="AO117" s="252">
        <v>46093</v>
      </c>
      <c r="AP117" s="253">
        <v>1</v>
      </c>
      <c r="AQ117" s="254">
        <v>2</v>
      </c>
      <c r="AR117" s="254">
        <v>2</v>
      </c>
      <c r="AS117" s="254">
        <v>2</v>
      </c>
      <c r="AT117" s="254"/>
      <c r="AU117" s="394">
        <f t="shared" si="171"/>
        <v>7</v>
      </c>
      <c r="AV117" s="248">
        <f t="shared" si="172"/>
        <v>5.6</v>
      </c>
      <c r="AW117" s="271">
        <v>46127</v>
      </c>
      <c r="AX117" s="279">
        <v>1</v>
      </c>
      <c r="AY117" s="254">
        <v>2</v>
      </c>
      <c r="AZ117" s="254">
        <v>2</v>
      </c>
      <c r="BA117" s="254">
        <v>2</v>
      </c>
      <c r="BB117" s="254"/>
      <c r="BC117" s="389">
        <f t="shared" si="173"/>
        <v>7</v>
      </c>
      <c r="BD117" s="248">
        <f t="shared" si="174"/>
        <v>5.6</v>
      </c>
      <c r="BE117" s="246">
        <f>AW117+BD117*7</f>
        <v>46166.2</v>
      </c>
      <c r="BF117" s="224"/>
      <c r="BG117" s="218"/>
      <c r="BH117" s="218"/>
      <c r="BI117" s="218"/>
      <c r="BJ117" s="218"/>
      <c r="BK117" s="247">
        <f t="shared" si="188"/>
        <v>0</v>
      </c>
      <c r="BL117" s="248">
        <f t="shared" si="120"/>
        <v>0</v>
      </c>
      <c r="BM117" s="227"/>
      <c r="BN117" s="224"/>
      <c r="BO117" s="218"/>
      <c r="BP117" s="218"/>
      <c r="BQ117" s="218"/>
      <c r="BR117" s="218"/>
      <c r="BS117" s="247"/>
      <c r="BT117" s="248">
        <f t="shared" si="175"/>
        <v>0</v>
      </c>
      <c r="BU117" s="249"/>
      <c r="BV117" s="224"/>
      <c r="BW117" s="218"/>
      <c r="BX117" s="218"/>
      <c r="BY117" s="218"/>
      <c r="BZ117" s="218"/>
      <c r="CA117" s="245"/>
      <c r="CB117" s="248">
        <f t="shared" si="176"/>
        <v>0</v>
      </c>
      <c r="CC117" s="249"/>
      <c r="CD117" s="224"/>
      <c r="CE117" s="218"/>
      <c r="CF117" s="218"/>
      <c r="CG117" s="218"/>
      <c r="CH117" s="218"/>
      <c r="CI117" s="245"/>
      <c r="CJ117" s="248">
        <f t="shared" si="177"/>
        <v>0</v>
      </c>
      <c r="CK117" s="218"/>
      <c r="CL117" s="224"/>
      <c r="CM117" s="218"/>
      <c r="CN117" s="218"/>
      <c r="CO117" s="218"/>
      <c r="CP117" s="218"/>
      <c r="CQ117" s="245"/>
      <c r="CR117" s="248">
        <f t="shared" si="178"/>
        <v>0</v>
      </c>
      <c r="CS117" s="218"/>
      <c r="CT117" s="224"/>
      <c r="CU117" s="218"/>
      <c r="CV117" s="218"/>
      <c r="CW117" s="218"/>
      <c r="CX117" s="218"/>
      <c r="CY117" s="218"/>
      <c r="CZ117" s="245">
        <f t="shared" si="179"/>
        <v>0</v>
      </c>
      <c r="DA117" s="218"/>
      <c r="DB117" s="224"/>
      <c r="DC117" s="218"/>
      <c r="DD117" s="218"/>
      <c r="DE117" s="218"/>
      <c r="DF117" s="218"/>
      <c r="DG117" s="218"/>
      <c r="DH117" s="218"/>
      <c r="DI117" s="218"/>
      <c r="DJ117" s="218"/>
      <c r="DK117" s="218"/>
      <c r="DL117" s="218"/>
      <c r="DM117" s="218"/>
      <c r="DN117" s="218"/>
      <c r="DO117" s="218"/>
      <c r="DP117" s="218"/>
      <c r="DQ117" s="227"/>
      <c r="DR117" s="224"/>
      <c r="DS117" s="218"/>
      <c r="DT117" s="218"/>
      <c r="DU117" s="218"/>
      <c r="DV117" s="218"/>
      <c r="DW117" s="218"/>
      <c r="DX117" s="218"/>
      <c r="DY117" s="218"/>
      <c r="DZ117" s="218"/>
      <c r="EA117" s="218"/>
      <c r="EB117" s="218"/>
      <c r="EC117" s="218"/>
      <c r="ED117" s="218"/>
      <c r="EE117" s="218"/>
      <c r="EF117" s="223">
        <f t="shared" ref="EF117:EJ117" si="213">AH117+AP117+AX117+BF117+BN117+BV117+CD117+CL117+CT117+DB117+DJ117+DR117+DZ117</f>
        <v>2</v>
      </c>
      <c r="EG117" s="223">
        <f t="shared" si="213"/>
        <v>4</v>
      </c>
      <c r="EH117" s="223">
        <f t="shared" si="213"/>
        <v>4</v>
      </c>
      <c r="EI117" s="223">
        <f t="shared" si="213"/>
        <v>4</v>
      </c>
      <c r="EJ117" s="223">
        <f t="shared" si="213"/>
        <v>0</v>
      </c>
      <c r="EK117" s="223">
        <f t="shared" si="181"/>
        <v>14</v>
      </c>
      <c r="EL117" s="218">
        <f t="shared" si="182"/>
        <v>400</v>
      </c>
      <c r="EM117" s="218">
        <f t="shared" si="183"/>
        <v>25</v>
      </c>
      <c r="EN117" s="223">
        <f t="shared" si="184"/>
        <v>14</v>
      </c>
      <c r="EO117" s="226">
        <f t="shared" si="185"/>
        <v>11</v>
      </c>
      <c r="ER117" s="251"/>
      <c r="EU117" s="220"/>
    </row>
    <row r="118" s="200" customFormat="1" customHeight="1" spans="1:151">
      <c r="A118" s="380"/>
      <c r="B118" s="357">
        <v>43</v>
      </c>
      <c r="C118" s="201" t="s">
        <v>982</v>
      </c>
      <c r="D118" s="220"/>
      <c r="E118" s="220"/>
      <c r="F118" s="220"/>
      <c r="G118" s="220" t="s">
        <v>983</v>
      </c>
      <c r="H118" s="239">
        <v>13376678615</v>
      </c>
      <c r="I118" s="239"/>
      <c r="J118" s="220"/>
      <c r="K118" s="221"/>
      <c r="L118" s="239"/>
      <c r="M118" s="239"/>
      <c r="N118" s="221"/>
      <c r="O118" s="221"/>
      <c r="W118" s="207"/>
      <c r="X118" s="220"/>
      <c r="Y118" s="220"/>
      <c r="Z118" s="354" t="s">
        <v>880</v>
      </c>
      <c r="AA118" s="218">
        <v>125</v>
      </c>
      <c r="AB118" s="218">
        <f t="shared" si="186"/>
        <v>5</v>
      </c>
      <c r="AC118" s="218">
        <v>1</v>
      </c>
      <c r="AD118" s="218">
        <v>4</v>
      </c>
      <c r="AE118" s="218"/>
      <c r="AF118" s="364">
        <f t="shared" si="208"/>
        <v>25</v>
      </c>
      <c r="AG118" s="243">
        <v>46082</v>
      </c>
      <c r="AH118" s="244">
        <v>3</v>
      </c>
      <c r="AI118" s="244">
        <v>3</v>
      </c>
      <c r="AJ118" s="279">
        <v>3</v>
      </c>
      <c r="AK118" s="279">
        <v>3</v>
      </c>
      <c r="AL118" s="244"/>
      <c r="AM118" s="244">
        <f t="shared" si="170"/>
        <v>12</v>
      </c>
      <c r="AN118" s="245">
        <f t="shared" si="191"/>
        <v>7.68</v>
      </c>
      <c r="AO118" s="255">
        <f>AG118+AN118*7</f>
        <v>46135.76</v>
      </c>
      <c r="AP118" s="256">
        <v>2</v>
      </c>
      <c r="AQ118" s="257">
        <v>2</v>
      </c>
      <c r="AR118" s="257">
        <v>2</v>
      </c>
      <c r="AS118" s="257">
        <v>2</v>
      </c>
      <c r="AT118" s="257"/>
      <c r="AU118" s="431">
        <f t="shared" si="171"/>
        <v>8</v>
      </c>
      <c r="AV118" s="248">
        <f t="shared" si="172"/>
        <v>5.12</v>
      </c>
      <c r="AW118" s="246">
        <f t="shared" ref="AW117:AW119" si="214">AO118+AV118*7</f>
        <v>46171.6</v>
      </c>
      <c r="AX118" s="223"/>
      <c r="AY118" s="218"/>
      <c r="AZ118" s="218"/>
      <c r="BA118" s="218"/>
      <c r="BB118" s="218"/>
      <c r="BC118" s="397">
        <f t="shared" si="173"/>
        <v>0</v>
      </c>
      <c r="BD118" s="248">
        <f t="shared" si="174"/>
        <v>0</v>
      </c>
      <c r="BE118" s="249"/>
      <c r="BF118" s="224"/>
      <c r="BG118" s="218"/>
      <c r="BH118" s="218"/>
      <c r="BI118" s="218"/>
      <c r="BJ118" s="218"/>
      <c r="BK118" s="247">
        <f t="shared" si="188"/>
        <v>0</v>
      </c>
      <c r="BL118" s="248">
        <f t="shared" si="120"/>
        <v>0</v>
      </c>
      <c r="BM118" s="227"/>
      <c r="BN118" s="224"/>
      <c r="BO118" s="218"/>
      <c r="BP118" s="218"/>
      <c r="BQ118" s="218"/>
      <c r="BR118" s="218"/>
      <c r="BS118" s="247"/>
      <c r="BT118" s="248">
        <f t="shared" si="175"/>
        <v>0</v>
      </c>
      <c r="BU118" s="249"/>
      <c r="BV118" s="224"/>
      <c r="BW118" s="218"/>
      <c r="BX118" s="218"/>
      <c r="BY118" s="218"/>
      <c r="BZ118" s="218"/>
      <c r="CA118" s="245"/>
      <c r="CB118" s="248">
        <f t="shared" si="176"/>
        <v>0</v>
      </c>
      <c r="CC118" s="242"/>
      <c r="CD118" s="242"/>
      <c r="CE118" s="218"/>
      <c r="CF118" s="218"/>
      <c r="CG118" s="218"/>
      <c r="CH118" s="218"/>
      <c r="CI118" s="245"/>
      <c r="CJ118" s="248">
        <f t="shared" si="177"/>
        <v>0</v>
      </c>
      <c r="CK118" s="218"/>
      <c r="CL118" s="224"/>
      <c r="CM118" s="218"/>
      <c r="CN118" s="218"/>
      <c r="CO118" s="218"/>
      <c r="CP118" s="218"/>
      <c r="CQ118" s="245"/>
      <c r="CR118" s="248">
        <f t="shared" si="178"/>
        <v>0</v>
      </c>
      <c r="CS118" s="218"/>
      <c r="CT118" s="224"/>
      <c r="CU118" s="218"/>
      <c r="CV118" s="218"/>
      <c r="CW118" s="218"/>
      <c r="CX118" s="218"/>
      <c r="CY118" s="218"/>
      <c r="CZ118" s="245">
        <f t="shared" si="179"/>
        <v>0</v>
      </c>
      <c r="DA118" s="218"/>
      <c r="DB118" s="224"/>
      <c r="DC118" s="218"/>
      <c r="DD118" s="218"/>
      <c r="DE118" s="218"/>
      <c r="DF118" s="218"/>
      <c r="DG118" s="218"/>
      <c r="DH118" s="218"/>
      <c r="DI118" s="218"/>
      <c r="DJ118" s="218"/>
      <c r="DK118" s="218"/>
      <c r="DL118" s="218"/>
      <c r="DM118" s="218"/>
      <c r="DN118" s="218"/>
      <c r="DO118" s="218"/>
      <c r="DP118" s="218"/>
      <c r="DQ118" s="227"/>
      <c r="DR118" s="224"/>
      <c r="DS118" s="218"/>
      <c r="DT118" s="218"/>
      <c r="DU118" s="218"/>
      <c r="DV118" s="218"/>
      <c r="DW118" s="218"/>
      <c r="DX118" s="218"/>
      <c r="DY118" s="218"/>
      <c r="DZ118" s="218"/>
      <c r="EA118" s="218"/>
      <c r="EB118" s="218"/>
      <c r="EC118" s="218"/>
      <c r="ED118" s="218"/>
      <c r="EE118" s="218"/>
      <c r="EF118" s="223">
        <f t="shared" ref="EF118:EJ118" si="215">AH118+AP118+AX118+BF118+BN118+BV118+CD118+CL118+CT118+DB118+DJ118+DR118+DZ118</f>
        <v>5</v>
      </c>
      <c r="EG118" s="223">
        <f t="shared" si="215"/>
        <v>5</v>
      </c>
      <c r="EH118" s="223">
        <f t="shared" si="215"/>
        <v>5</v>
      </c>
      <c r="EI118" s="223">
        <f t="shared" si="215"/>
        <v>5</v>
      </c>
      <c r="EJ118" s="223">
        <f t="shared" si="215"/>
        <v>0</v>
      </c>
      <c r="EK118" s="223">
        <f t="shared" si="181"/>
        <v>20</v>
      </c>
      <c r="EL118" s="218">
        <f t="shared" si="182"/>
        <v>500</v>
      </c>
      <c r="EM118" s="218">
        <f t="shared" si="183"/>
        <v>31.25</v>
      </c>
      <c r="EN118" s="223">
        <f t="shared" si="184"/>
        <v>20</v>
      </c>
      <c r="EO118" s="226">
        <f t="shared" si="185"/>
        <v>11.25</v>
      </c>
      <c r="ER118" s="251"/>
      <c r="EU118" s="220"/>
    </row>
    <row r="119" s="200" customFormat="1" ht="21" spans="1:151">
      <c r="A119" s="380"/>
      <c r="B119" s="406">
        <v>44</v>
      </c>
      <c r="C119" s="432" t="s">
        <v>984</v>
      </c>
      <c r="D119" s="220"/>
      <c r="E119" s="220"/>
      <c r="F119" s="220"/>
      <c r="G119" s="220" t="s">
        <v>985</v>
      </c>
      <c r="H119" s="239">
        <v>67888</v>
      </c>
      <c r="I119" s="239"/>
      <c r="J119" s="220"/>
      <c r="K119" s="221"/>
      <c r="L119" s="239"/>
      <c r="M119" s="239"/>
      <c r="N119" s="221"/>
      <c r="O119" s="221"/>
      <c r="W119" s="207"/>
      <c r="X119" s="426" t="s">
        <v>986</v>
      </c>
      <c r="Y119" s="426">
        <v>13247534976</v>
      </c>
      <c r="Z119" s="354" t="s">
        <v>986</v>
      </c>
      <c r="AA119" s="218">
        <v>200</v>
      </c>
      <c r="AB119" s="218">
        <f t="shared" si="186"/>
        <v>17</v>
      </c>
      <c r="AC119" s="218">
        <v>3</v>
      </c>
      <c r="AD119" s="218">
        <v>14</v>
      </c>
      <c r="AE119" s="218"/>
      <c r="AF119" s="364">
        <f t="shared" si="208"/>
        <v>85</v>
      </c>
      <c r="AG119" s="243">
        <v>46082</v>
      </c>
      <c r="AH119" s="244">
        <v>3</v>
      </c>
      <c r="AI119" s="244">
        <v>5</v>
      </c>
      <c r="AJ119" s="244">
        <v>5</v>
      </c>
      <c r="AK119" s="244">
        <v>5</v>
      </c>
      <c r="AL119" s="244">
        <v>5</v>
      </c>
      <c r="AM119" s="244">
        <f t="shared" si="170"/>
        <v>23</v>
      </c>
      <c r="AN119" s="245">
        <f t="shared" si="191"/>
        <v>4.32941176470588</v>
      </c>
      <c r="AO119" s="271">
        <f>AG119+AN119*7</f>
        <v>46112.3058823529</v>
      </c>
      <c r="AP119" s="274"/>
      <c r="AQ119" s="274">
        <v>9</v>
      </c>
      <c r="AR119" s="274">
        <v>4</v>
      </c>
      <c r="AS119" s="274">
        <v>4</v>
      </c>
      <c r="AT119" s="274">
        <v>4</v>
      </c>
      <c r="AU119" s="274">
        <f t="shared" si="171"/>
        <v>21</v>
      </c>
      <c r="AV119" s="248">
        <f t="shared" si="172"/>
        <v>3.95294117647059</v>
      </c>
      <c r="AW119" s="246">
        <f t="shared" si="214"/>
        <v>46139.9764705882</v>
      </c>
      <c r="AX119" s="223"/>
      <c r="AY119" s="250"/>
      <c r="AZ119" s="250"/>
      <c r="BA119" s="250"/>
      <c r="BB119" s="218"/>
      <c r="BC119" s="397">
        <f t="shared" si="173"/>
        <v>0</v>
      </c>
      <c r="BD119" s="248">
        <f t="shared" si="174"/>
        <v>0</v>
      </c>
      <c r="BE119" s="249"/>
      <c r="BF119" s="224"/>
      <c r="BG119" s="250"/>
      <c r="BH119" s="250"/>
      <c r="BI119" s="250"/>
      <c r="BJ119" s="250"/>
      <c r="BK119" s="247">
        <f t="shared" si="188"/>
        <v>0</v>
      </c>
      <c r="BL119" s="248">
        <f t="shared" si="120"/>
        <v>0</v>
      </c>
      <c r="BM119" s="249"/>
      <c r="BN119" s="224"/>
      <c r="BO119" s="250"/>
      <c r="BP119" s="250"/>
      <c r="BQ119" s="250"/>
      <c r="BR119" s="250"/>
      <c r="BS119" s="247"/>
      <c r="BT119" s="248">
        <f t="shared" si="175"/>
        <v>0</v>
      </c>
      <c r="BU119" s="249"/>
      <c r="BV119" s="408"/>
      <c r="BW119" s="218"/>
      <c r="BX119" s="218"/>
      <c r="BY119" s="218"/>
      <c r="BZ119" s="218"/>
      <c r="CA119" s="245"/>
      <c r="CB119" s="248">
        <f t="shared" si="176"/>
        <v>0</v>
      </c>
      <c r="CC119" s="249"/>
      <c r="CD119" s="224"/>
      <c r="CE119" s="218"/>
      <c r="CF119" s="218"/>
      <c r="CG119" s="218"/>
      <c r="CH119" s="218"/>
      <c r="CI119" s="245"/>
      <c r="CJ119" s="248">
        <f t="shared" si="177"/>
        <v>0</v>
      </c>
      <c r="CK119" s="249"/>
      <c r="CL119" s="224"/>
      <c r="CM119" s="218"/>
      <c r="CN119" s="218"/>
      <c r="CO119" s="218"/>
      <c r="CP119" s="218"/>
      <c r="CQ119" s="245"/>
      <c r="CR119" s="248">
        <f t="shared" si="178"/>
        <v>0</v>
      </c>
      <c r="CS119" s="249"/>
      <c r="CT119" s="224"/>
      <c r="CU119" s="218"/>
      <c r="CV119" s="218"/>
      <c r="CW119" s="218"/>
      <c r="CX119" s="218"/>
      <c r="CY119" s="218"/>
      <c r="CZ119" s="245">
        <f t="shared" si="179"/>
        <v>0</v>
      </c>
      <c r="DA119" s="242"/>
      <c r="DB119" s="224"/>
      <c r="DC119" s="218"/>
      <c r="DD119" s="218"/>
      <c r="DE119" s="218"/>
      <c r="DF119" s="218"/>
      <c r="DG119" s="218"/>
      <c r="DH119" s="218"/>
      <c r="DI119" s="218"/>
      <c r="DJ119" s="249"/>
      <c r="DK119" s="218"/>
      <c r="DL119" s="218"/>
      <c r="DM119" s="218"/>
      <c r="DN119" s="218"/>
      <c r="DO119" s="218"/>
      <c r="DP119" s="218"/>
      <c r="DQ119" s="227"/>
      <c r="DR119" s="224"/>
      <c r="DS119" s="218"/>
      <c r="DT119" s="218"/>
      <c r="DU119" s="218"/>
      <c r="DV119" s="218"/>
      <c r="DW119" s="218"/>
      <c r="DX119" s="218"/>
      <c r="DY119" s="218"/>
      <c r="DZ119" s="218"/>
      <c r="EA119" s="218"/>
      <c r="EB119" s="218"/>
      <c r="EC119" s="218"/>
      <c r="ED119" s="218"/>
      <c r="EE119" s="218"/>
      <c r="EF119" s="223">
        <f t="shared" ref="EF119:EJ119" si="216">AH119+AP119+AX119+BF119+BN119+BV119+CD119+CL119+CT119+DB119+DJ119+DR119+DZ119</f>
        <v>3</v>
      </c>
      <c r="EG119" s="223">
        <f t="shared" si="216"/>
        <v>14</v>
      </c>
      <c r="EH119" s="223">
        <f t="shared" si="216"/>
        <v>9</v>
      </c>
      <c r="EI119" s="223">
        <f t="shared" si="216"/>
        <v>9</v>
      </c>
      <c r="EJ119" s="223">
        <f t="shared" si="216"/>
        <v>9</v>
      </c>
      <c r="EK119" s="223">
        <f t="shared" si="181"/>
        <v>44</v>
      </c>
      <c r="EL119" s="218">
        <f t="shared" si="182"/>
        <v>1700</v>
      </c>
      <c r="EM119" s="218">
        <f t="shared" si="183"/>
        <v>106.25</v>
      </c>
      <c r="EN119" s="223">
        <f t="shared" si="184"/>
        <v>44</v>
      </c>
      <c r="EO119" s="226">
        <f t="shared" si="185"/>
        <v>62.25</v>
      </c>
      <c r="ER119" s="251"/>
      <c r="EU119" s="220"/>
    </row>
    <row r="120" s="200" customFormat="1" ht="23" customHeight="1" spans="1:151">
      <c r="A120" s="380"/>
      <c r="B120" s="357">
        <v>45</v>
      </c>
      <c r="C120" s="218" t="s">
        <v>987</v>
      </c>
      <c r="D120" s="433"/>
      <c r="E120" s="220"/>
      <c r="F120" s="220"/>
      <c r="G120" s="220" t="s">
        <v>988</v>
      </c>
      <c r="H120" s="239">
        <v>18926618122</v>
      </c>
      <c r="I120" s="239"/>
      <c r="J120" s="220"/>
      <c r="K120" s="221"/>
      <c r="L120" s="239"/>
      <c r="M120" s="239"/>
      <c r="N120" s="221"/>
      <c r="O120" s="221"/>
      <c r="W120" s="207"/>
      <c r="X120" s="426" t="s">
        <v>411</v>
      </c>
      <c r="Y120" s="426">
        <v>15218482420</v>
      </c>
      <c r="Z120" s="354" t="s">
        <v>880</v>
      </c>
      <c r="AA120" s="218">
        <v>200</v>
      </c>
      <c r="AB120" s="242">
        <f t="shared" si="186"/>
        <v>0</v>
      </c>
      <c r="AC120" s="218"/>
      <c r="AD120" s="218"/>
      <c r="AE120" s="218"/>
      <c r="AF120" s="364">
        <f t="shared" si="208"/>
        <v>0</v>
      </c>
      <c r="AG120" s="265"/>
      <c r="AH120" s="247"/>
      <c r="AI120" s="247"/>
      <c r="AJ120" s="247"/>
      <c r="AK120" s="247"/>
      <c r="AL120" s="247"/>
      <c r="AM120" s="247">
        <f t="shared" si="170"/>
        <v>0</v>
      </c>
      <c r="AN120" s="245" t="e">
        <f t="shared" si="191"/>
        <v>#DIV/0!</v>
      </c>
      <c r="AO120" s="249"/>
      <c r="AP120" s="224"/>
      <c r="AQ120" s="250"/>
      <c r="AR120" s="250"/>
      <c r="AS120" s="250"/>
      <c r="AT120" s="250"/>
      <c r="AU120" s="349">
        <f t="shared" si="171"/>
        <v>0</v>
      </c>
      <c r="AV120" s="248" t="e">
        <f t="shared" si="172"/>
        <v>#DIV/0!</v>
      </c>
      <c r="AW120" s="249"/>
      <c r="AX120" s="223"/>
      <c r="AY120" s="250"/>
      <c r="AZ120" s="250"/>
      <c r="BA120" s="250"/>
      <c r="BB120" s="250"/>
      <c r="BC120" s="397">
        <f t="shared" si="173"/>
        <v>0</v>
      </c>
      <c r="BD120" s="248" t="e">
        <f t="shared" si="174"/>
        <v>#DIV/0!</v>
      </c>
      <c r="BE120" s="249"/>
      <c r="BF120" s="224"/>
      <c r="BG120" s="250"/>
      <c r="BH120" s="250"/>
      <c r="BI120" s="250"/>
      <c r="BJ120" s="250"/>
      <c r="BK120" s="247">
        <f t="shared" si="188"/>
        <v>0</v>
      </c>
      <c r="BL120" s="248" t="e">
        <f t="shared" si="120"/>
        <v>#DIV/0!</v>
      </c>
      <c r="BM120" s="227"/>
      <c r="BN120" s="224"/>
      <c r="BO120" s="218"/>
      <c r="BP120" s="218"/>
      <c r="BQ120" s="218"/>
      <c r="BR120" s="218"/>
      <c r="BS120" s="247"/>
      <c r="BT120" s="248" t="e">
        <f t="shared" si="175"/>
        <v>#DIV/0!</v>
      </c>
      <c r="BU120" s="249"/>
      <c r="BV120" s="408"/>
      <c r="BW120" s="218"/>
      <c r="BX120" s="218"/>
      <c r="BY120" s="218"/>
      <c r="BZ120" s="218"/>
      <c r="CA120" s="245"/>
      <c r="CB120" s="248" t="e">
        <f t="shared" si="176"/>
        <v>#DIV/0!</v>
      </c>
      <c r="CC120" s="246"/>
      <c r="CD120" s="224"/>
      <c r="CE120" s="218"/>
      <c r="CF120" s="218"/>
      <c r="CG120" s="218"/>
      <c r="CH120" s="218"/>
      <c r="CI120" s="245"/>
      <c r="CJ120" s="248" t="e">
        <f t="shared" si="177"/>
        <v>#DIV/0!</v>
      </c>
      <c r="CK120" s="242"/>
      <c r="CL120" s="224"/>
      <c r="CM120" s="218"/>
      <c r="CN120" s="218"/>
      <c r="CO120" s="218"/>
      <c r="CP120" s="218"/>
      <c r="CQ120" s="245"/>
      <c r="CR120" s="248" t="e">
        <f t="shared" si="178"/>
        <v>#DIV/0!</v>
      </c>
      <c r="CS120" s="218"/>
      <c r="CT120" s="224"/>
      <c r="CU120" s="218"/>
      <c r="CV120" s="218"/>
      <c r="CW120" s="218"/>
      <c r="CX120" s="218"/>
      <c r="CY120" s="218"/>
      <c r="CZ120" s="245" t="e">
        <f t="shared" si="179"/>
        <v>#DIV/0!</v>
      </c>
      <c r="DA120" s="218"/>
      <c r="DB120" s="224"/>
      <c r="DC120" s="218"/>
      <c r="DD120" s="218"/>
      <c r="DE120" s="218"/>
      <c r="DF120" s="218"/>
      <c r="DG120" s="218"/>
      <c r="DH120" s="218"/>
      <c r="DI120" s="218"/>
      <c r="DJ120" s="249"/>
      <c r="DK120" s="218"/>
      <c r="DL120" s="218"/>
      <c r="DM120" s="218"/>
      <c r="DN120" s="218"/>
      <c r="DO120" s="218"/>
      <c r="DP120" s="218"/>
      <c r="DQ120" s="227"/>
      <c r="DR120" s="224"/>
      <c r="DS120" s="218"/>
      <c r="DT120" s="218"/>
      <c r="DU120" s="218"/>
      <c r="DV120" s="218"/>
      <c r="DW120" s="218"/>
      <c r="DX120" s="218"/>
      <c r="DY120" s="218"/>
      <c r="DZ120" s="218"/>
      <c r="EA120" s="218"/>
      <c r="EB120" s="218"/>
      <c r="EC120" s="218"/>
      <c r="ED120" s="218"/>
      <c r="EE120" s="218"/>
      <c r="EF120" s="223">
        <f t="shared" ref="EF120:EJ120" si="217">AH120+AP120+AX120+BF120+BN120+BV120+CD120+CL120+CT120+DB120+DJ120+DR120+DZ120</f>
        <v>0</v>
      </c>
      <c r="EG120" s="223">
        <f t="shared" si="217"/>
        <v>0</v>
      </c>
      <c r="EH120" s="223">
        <f t="shared" si="217"/>
        <v>0</v>
      </c>
      <c r="EI120" s="223">
        <f t="shared" si="217"/>
        <v>0</v>
      </c>
      <c r="EJ120" s="223">
        <f t="shared" si="217"/>
        <v>0</v>
      </c>
      <c r="EK120" s="223">
        <f t="shared" si="181"/>
        <v>0</v>
      </c>
      <c r="EL120" s="218">
        <f t="shared" si="182"/>
        <v>0</v>
      </c>
      <c r="EM120" s="218">
        <f t="shared" si="183"/>
        <v>0</v>
      </c>
      <c r="EN120" s="223">
        <f t="shared" si="184"/>
        <v>0</v>
      </c>
      <c r="EO120" s="226">
        <f t="shared" si="185"/>
        <v>0</v>
      </c>
      <c r="ER120" s="251"/>
      <c r="EU120" s="220"/>
    </row>
    <row r="121" s="200" customFormat="1" customHeight="1" spans="1:151">
      <c r="A121" s="380"/>
      <c r="B121" s="406">
        <v>46</v>
      </c>
      <c r="C121" s="201" t="s">
        <v>989</v>
      </c>
      <c r="D121" s="220"/>
      <c r="E121" s="220"/>
      <c r="F121" s="220"/>
      <c r="G121" s="220" t="s">
        <v>990</v>
      </c>
      <c r="H121" s="239">
        <v>13727107098</v>
      </c>
      <c r="I121" s="239"/>
      <c r="J121" s="220"/>
      <c r="K121" s="221"/>
      <c r="L121" s="239"/>
      <c r="M121" s="239"/>
      <c r="N121" s="221"/>
      <c r="O121" s="221"/>
      <c r="W121" s="207"/>
      <c r="X121" s="220"/>
      <c r="Y121" s="220"/>
      <c r="Z121" s="354" t="s">
        <v>506</v>
      </c>
      <c r="AA121" s="218">
        <v>125</v>
      </c>
      <c r="AB121" s="242">
        <f t="shared" si="186"/>
        <v>122</v>
      </c>
      <c r="AC121" s="218">
        <v>13</v>
      </c>
      <c r="AD121" s="218">
        <v>109</v>
      </c>
      <c r="AE121" s="218"/>
      <c r="AF121" s="364">
        <f t="shared" si="208"/>
        <v>610</v>
      </c>
      <c r="AG121" s="243">
        <v>46082</v>
      </c>
      <c r="AH121" s="244">
        <v>5</v>
      </c>
      <c r="AI121" s="244">
        <v>5</v>
      </c>
      <c r="AJ121" s="244">
        <v>5</v>
      </c>
      <c r="AK121" s="244">
        <v>5</v>
      </c>
      <c r="AL121" s="244"/>
      <c r="AM121" s="244">
        <f t="shared" si="170"/>
        <v>20</v>
      </c>
      <c r="AN121" s="245">
        <f t="shared" si="191"/>
        <v>0.524590163934426</v>
      </c>
      <c r="AO121" s="252">
        <v>46093</v>
      </c>
      <c r="AP121" s="253">
        <v>15</v>
      </c>
      <c r="AQ121" s="269">
        <v>20</v>
      </c>
      <c r="AR121" s="269">
        <v>20</v>
      </c>
      <c r="AS121" s="269">
        <v>20</v>
      </c>
      <c r="AT121" s="269"/>
      <c r="AU121" s="394">
        <f t="shared" si="171"/>
        <v>75</v>
      </c>
      <c r="AV121" s="248">
        <f t="shared" si="172"/>
        <v>1.9672131147541</v>
      </c>
      <c r="AW121" s="252">
        <v>46099</v>
      </c>
      <c r="AX121" s="279">
        <v>15</v>
      </c>
      <c r="AY121" s="269">
        <v>25</v>
      </c>
      <c r="AZ121" s="269">
        <v>25</v>
      </c>
      <c r="BA121" s="269">
        <v>25</v>
      </c>
      <c r="BB121" s="269"/>
      <c r="BC121" s="389">
        <f t="shared" si="173"/>
        <v>90</v>
      </c>
      <c r="BD121" s="248">
        <f t="shared" si="174"/>
        <v>2.36065573770492</v>
      </c>
      <c r="BE121" s="271">
        <f t="shared" ref="BE121:BE126" si="218">AW121+BD121*7</f>
        <v>46115.5245901639</v>
      </c>
      <c r="BF121" s="281">
        <v>15</v>
      </c>
      <c r="BG121" s="273">
        <v>20</v>
      </c>
      <c r="BH121" s="273">
        <v>20</v>
      </c>
      <c r="BI121" s="273">
        <v>20</v>
      </c>
      <c r="BJ121" s="273"/>
      <c r="BK121" s="274">
        <f t="shared" si="188"/>
        <v>75</v>
      </c>
      <c r="BL121" s="248">
        <f t="shared" si="120"/>
        <v>1.9672131147541</v>
      </c>
      <c r="BM121" s="260">
        <v>46129.2950819672</v>
      </c>
      <c r="BN121" s="282">
        <v>15</v>
      </c>
      <c r="BO121" s="282">
        <v>20</v>
      </c>
      <c r="BP121" s="282">
        <v>20</v>
      </c>
      <c r="BQ121" s="282">
        <v>20</v>
      </c>
      <c r="BR121" s="282"/>
      <c r="BS121" s="274">
        <v>75</v>
      </c>
      <c r="BT121" s="248">
        <f t="shared" si="175"/>
        <v>1.9672131147541</v>
      </c>
      <c r="BU121" s="246">
        <f>BM121+BT121*7</f>
        <v>46143.0655737705</v>
      </c>
      <c r="BV121" s="408"/>
      <c r="BW121" s="218"/>
      <c r="BX121" s="218"/>
      <c r="BY121" s="218"/>
      <c r="BZ121" s="218"/>
      <c r="CA121" s="245"/>
      <c r="CB121" s="248">
        <f t="shared" si="176"/>
        <v>0</v>
      </c>
      <c r="CC121" s="249"/>
      <c r="CD121" s="224"/>
      <c r="CE121" s="218"/>
      <c r="CF121" s="218"/>
      <c r="CG121" s="218"/>
      <c r="CH121" s="218"/>
      <c r="CI121" s="245"/>
      <c r="CJ121" s="248">
        <f t="shared" si="177"/>
        <v>0</v>
      </c>
      <c r="CK121" s="249"/>
      <c r="CL121" s="224"/>
      <c r="CM121" s="218"/>
      <c r="CN121" s="218"/>
      <c r="CO121" s="218"/>
      <c r="CP121" s="218"/>
      <c r="CQ121" s="245"/>
      <c r="CR121" s="248">
        <f t="shared" si="178"/>
        <v>0</v>
      </c>
      <c r="CS121" s="242"/>
      <c r="CT121" s="224"/>
      <c r="CU121" s="218"/>
      <c r="CV121" s="218"/>
      <c r="CW121" s="218"/>
      <c r="CX121" s="218"/>
      <c r="CY121" s="218"/>
      <c r="CZ121" s="245">
        <f t="shared" si="179"/>
        <v>0</v>
      </c>
      <c r="DA121" s="218"/>
      <c r="DB121" s="224"/>
      <c r="DC121" s="218"/>
      <c r="DD121" s="218"/>
      <c r="DE121" s="218"/>
      <c r="DF121" s="218"/>
      <c r="DG121" s="218"/>
      <c r="DH121" s="218"/>
      <c r="DI121" s="218"/>
      <c r="DJ121" s="249"/>
      <c r="DK121" s="218"/>
      <c r="DL121" s="218"/>
      <c r="DM121" s="218"/>
      <c r="DN121" s="218"/>
      <c r="DO121" s="218"/>
      <c r="DP121" s="218"/>
      <c r="DQ121" s="227"/>
      <c r="DR121" s="224"/>
      <c r="DS121" s="218"/>
      <c r="DT121" s="218"/>
      <c r="DU121" s="218"/>
      <c r="DV121" s="218"/>
      <c r="DW121" s="218"/>
      <c r="DX121" s="218"/>
      <c r="DY121" s="218"/>
      <c r="DZ121" s="218"/>
      <c r="EA121" s="218"/>
      <c r="EB121" s="218"/>
      <c r="EC121" s="218"/>
      <c r="ED121" s="218"/>
      <c r="EE121" s="218"/>
      <c r="EF121" s="223">
        <f t="shared" ref="EF121:EJ121" si="219">AH121+AP121+AX121+BF121+BN121+BV121+CD121+CL121+CT121+DB121+DJ121+DR121+DZ121</f>
        <v>65</v>
      </c>
      <c r="EG121" s="223">
        <f t="shared" si="219"/>
        <v>90</v>
      </c>
      <c r="EH121" s="223">
        <f t="shared" si="219"/>
        <v>90</v>
      </c>
      <c r="EI121" s="223">
        <f t="shared" si="219"/>
        <v>90</v>
      </c>
      <c r="EJ121" s="223">
        <f t="shared" si="219"/>
        <v>0</v>
      </c>
      <c r="EK121" s="223">
        <f t="shared" si="181"/>
        <v>335</v>
      </c>
      <c r="EL121" s="218">
        <f t="shared" si="182"/>
        <v>12200</v>
      </c>
      <c r="EM121" s="218">
        <f t="shared" si="183"/>
        <v>762.5</v>
      </c>
      <c r="EN121" s="223">
        <f t="shared" si="184"/>
        <v>335</v>
      </c>
      <c r="EO121" s="226">
        <f t="shared" si="185"/>
        <v>427.5</v>
      </c>
      <c r="ER121" s="251"/>
      <c r="EU121" s="220"/>
    </row>
    <row r="122" s="200" customFormat="1" customHeight="1" spans="1:151">
      <c r="A122" s="380"/>
      <c r="B122" s="357">
        <v>47</v>
      </c>
      <c r="C122" s="434" t="s">
        <v>991</v>
      </c>
      <c r="D122" s="220"/>
      <c r="E122" s="220"/>
      <c r="F122" s="220"/>
      <c r="G122" s="220" t="s">
        <v>992</v>
      </c>
      <c r="H122" s="221" t="s">
        <v>993</v>
      </c>
      <c r="I122" s="239"/>
      <c r="J122" s="220"/>
      <c r="K122" s="221"/>
      <c r="L122" s="239"/>
      <c r="M122" s="239"/>
      <c r="N122" s="221"/>
      <c r="O122" s="221"/>
      <c r="W122" s="207"/>
      <c r="X122" s="220"/>
      <c r="Y122" s="220"/>
      <c r="Z122" s="382" t="s">
        <v>880</v>
      </c>
      <c r="AA122" s="218">
        <v>200</v>
      </c>
      <c r="AB122" s="218">
        <f t="shared" si="186"/>
        <v>12</v>
      </c>
      <c r="AC122" s="218">
        <v>1</v>
      </c>
      <c r="AD122" s="218">
        <v>11</v>
      </c>
      <c r="AE122" s="218"/>
      <c r="AF122" s="364">
        <f t="shared" si="208"/>
        <v>60</v>
      </c>
      <c r="AG122" s="243">
        <v>46084</v>
      </c>
      <c r="AH122" s="253">
        <v>2</v>
      </c>
      <c r="AI122" s="269">
        <v>2</v>
      </c>
      <c r="AJ122" s="269">
        <v>2</v>
      </c>
      <c r="AK122" s="269">
        <v>2</v>
      </c>
      <c r="AL122" s="269">
        <v>2</v>
      </c>
      <c r="AM122" s="244">
        <f t="shared" si="170"/>
        <v>10</v>
      </c>
      <c r="AN122" s="245">
        <f t="shared" si="191"/>
        <v>2.66666666666667</v>
      </c>
      <c r="AO122" s="243">
        <v>46103</v>
      </c>
      <c r="AP122" s="244">
        <v>2</v>
      </c>
      <c r="AQ122" s="244">
        <v>2</v>
      </c>
      <c r="AR122" s="244">
        <v>2</v>
      </c>
      <c r="AS122" s="244">
        <v>2</v>
      </c>
      <c r="AT122" s="244">
        <v>2</v>
      </c>
      <c r="AU122" s="244">
        <f t="shared" si="171"/>
        <v>10</v>
      </c>
      <c r="AV122" s="248">
        <f t="shared" si="172"/>
        <v>2.66666666666667</v>
      </c>
      <c r="AW122" s="271">
        <f>AO122+AV122*7</f>
        <v>46121.6666666667</v>
      </c>
      <c r="AX122" s="407">
        <v>2</v>
      </c>
      <c r="AY122" s="273">
        <v>2</v>
      </c>
      <c r="AZ122" s="273">
        <v>2</v>
      </c>
      <c r="BA122" s="273">
        <v>2</v>
      </c>
      <c r="BB122" s="273">
        <v>2</v>
      </c>
      <c r="BC122" s="401">
        <f t="shared" si="173"/>
        <v>10</v>
      </c>
      <c r="BD122" s="248">
        <f t="shared" si="174"/>
        <v>2.66666666666667</v>
      </c>
      <c r="BE122" s="246">
        <f t="shared" si="218"/>
        <v>46140.3333333334</v>
      </c>
      <c r="BF122" s="224"/>
      <c r="BG122" s="250"/>
      <c r="BH122" s="250"/>
      <c r="BI122" s="250"/>
      <c r="BJ122" s="250"/>
      <c r="BK122" s="247">
        <f t="shared" si="188"/>
        <v>0</v>
      </c>
      <c r="BL122" s="248">
        <f t="shared" si="120"/>
        <v>0</v>
      </c>
      <c r="BM122" s="246">
        <f>BE122+BL122*7</f>
        <v>46140.3333333334</v>
      </c>
      <c r="BN122" s="224"/>
      <c r="BO122" s="218"/>
      <c r="BP122" s="218"/>
      <c r="BQ122" s="218"/>
      <c r="BR122" s="218"/>
      <c r="BS122" s="247"/>
      <c r="BT122" s="248">
        <f t="shared" si="175"/>
        <v>0</v>
      </c>
      <c r="BU122" s="249"/>
      <c r="BV122" s="408"/>
      <c r="BW122" s="218"/>
      <c r="BX122" s="218"/>
      <c r="BY122" s="218"/>
      <c r="BZ122" s="218"/>
      <c r="CA122" s="245"/>
      <c r="CB122" s="248">
        <f t="shared" si="176"/>
        <v>0</v>
      </c>
      <c r="CC122" s="242"/>
      <c r="CD122" s="224"/>
      <c r="CE122" s="218"/>
      <c r="CF122" s="218"/>
      <c r="CG122" s="218"/>
      <c r="CH122" s="218"/>
      <c r="CI122" s="245"/>
      <c r="CJ122" s="248">
        <f t="shared" si="177"/>
        <v>0</v>
      </c>
      <c r="CK122" s="218"/>
      <c r="CL122" s="224"/>
      <c r="CM122" s="218"/>
      <c r="CN122" s="218"/>
      <c r="CO122" s="218"/>
      <c r="CP122" s="218"/>
      <c r="CQ122" s="245"/>
      <c r="CR122" s="248">
        <f t="shared" si="178"/>
        <v>0</v>
      </c>
      <c r="CS122" s="218"/>
      <c r="CT122" s="224"/>
      <c r="CU122" s="218"/>
      <c r="CV122" s="218"/>
      <c r="CW122" s="218"/>
      <c r="CX122" s="218"/>
      <c r="CY122" s="218"/>
      <c r="CZ122" s="245">
        <f t="shared" si="179"/>
        <v>0</v>
      </c>
      <c r="DA122" s="218"/>
      <c r="DB122" s="224"/>
      <c r="DC122" s="218"/>
      <c r="DD122" s="218"/>
      <c r="DE122" s="218"/>
      <c r="DF122" s="218"/>
      <c r="DG122" s="218"/>
      <c r="DH122" s="218"/>
      <c r="DI122" s="218"/>
      <c r="DJ122" s="249"/>
      <c r="DK122" s="218"/>
      <c r="DL122" s="218"/>
      <c r="DM122" s="218"/>
      <c r="DN122" s="218"/>
      <c r="DO122" s="218"/>
      <c r="DP122" s="218"/>
      <c r="DQ122" s="227"/>
      <c r="DR122" s="224"/>
      <c r="DS122" s="218"/>
      <c r="DT122" s="218"/>
      <c r="DU122" s="218"/>
      <c r="DV122" s="218"/>
      <c r="DW122" s="218"/>
      <c r="DX122" s="218"/>
      <c r="DY122" s="218"/>
      <c r="DZ122" s="218"/>
      <c r="EA122" s="218"/>
      <c r="EB122" s="218"/>
      <c r="EC122" s="218"/>
      <c r="ED122" s="218"/>
      <c r="EE122" s="218"/>
      <c r="EF122" s="223">
        <f t="shared" ref="EF122:EJ122" si="220">AH122+AP122+AX122+BF122+BN122+BV122+CD122+CL122+CT122+DB122+DJ122+DR122+DZ122</f>
        <v>6</v>
      </c>
      <c r="EG122" s="223">
        <f t="shared" si="220"/>
        <v>6</v>
      </c>
      <c r="EH122" s="223">
        <f t="shared" si="220"/>
        <v>6</v>
      </c>
      <c r="EI122" s="223">
        <f t="shared" si="220"/>
        <v>6</v>
      </c>
      <c r="EJ122" s="223">
        <f t="shared" si="220"/>
        <v>6</v>
      </c>
      <c r="EK122" s="223">
        <f t="shared" si="181"/>
        <v>30</v>
      </c>
      <c r="EL122" s="218">
        <f t="shared" si="182"/>
        <v>1200</v>
      </c>
      <c r="EM122" s="218">
        <f t="shared" si="183"/>
        <v>75</v>
      </c>
      <c r="EN122" s="223">
        <f t="shared" si="184"/>
        <v>30</v>
      </c>
      <c r="EO122" s="226">
        <f t="shared" si="185"/>
        <v>45</v>
      </c>
      <c r="ER122" s="251"/>
      <c r="EU122" s="220"/>
    </row>
    <row r="123" s="200" customFormat="1" customHeight="1" spans="1:151">
      <c r="A123" s="380"/>
      <c r="B123" s="357">
        <v>48</v>
      </c>
      <c r="C123" s="435" t="s">
        <v>994</v>
      </c>
      <c r="D123" s="220"/>
      <c r="E123" s="220"/>
      <c r="F123" s="220"/>
      <c r="G123" s="220" t="s">
        <v>995</v>
      </c>
      <c r="H123" s="221" t="s">
        <v>996</v>
      </c>
      <c r="I123" s="239"/>
      <c r="J123" s="220"/>
      <c r="K123" s="221"/>
      <c r="L123" s="239"/>
      <c r="M123" s="239"/>
      <c r="N123" s="221"/>
      <c r="O123" s="221"/>
      <c r="W123" s="207"/>
      <c r="X123" s="220"/>
      <c r="Y123" s="220"/>
      <c r="Z123" s="354" t="s">
        <v>880</v>
      </c>
      <c r="AA123" s="218">
        <v>200</v>
      </c>
      <c r="AB123" s="242">
        <f t="shared" si="186"/>
        <v>0</v>
      </c>
      <c r="AC123" s="218"/>
      <c r="AD123" s="218"/>
      <c r="AE123" s="218"/>
      <c r="AF123" s="364">
        <f t="shared" si="208"/>
        <v>0</v>
      </c>
      <c r="AG123" s="265">
        <v>46084</v>
      </c>
      <c r="AI123" s="250"/>
      <c r="AJ123" s="250"/>
      <c r="AK123" s="250"/>
      <c r="AL123" s="250"/>
      <c r="AM123" s="247">
        <f t="shared" si="170"/>
        <v>0</v>
      </c>
      <c r="AN123" s="245" t="e">
        <f t="shared" si="191"/>
        <v>#DIV/0!</v>
      </c>
      <c r="AO123" s="265"/>
      <c r="AP123" s="247"/>
      <c r="AQ123" s="247"/>
      <c r="AR123" s="247"/>
      <c r="AS123" s="247"/>
      <c r="AT123" s="247"/>
      <c r="AU123" s="349">
        <f t="shared" si="171"/>
        <v>0</v>
      </c>
      <c r="AV123" s="248" t="e">
        <f t="shared" si="172"/>
        <v>#DIV/0!</v>
      </c>
      <c r="AW123" s="265"/>
      <c r="AX123" s="245"/>
      <c r="AY123" s="247"/>
      <c r="AZ123" s="247"/>
      <c r="BA123" s="247"/>
      <c r="BB123" s="247"/>
      <c r="BC123" s="397">
        <f t="shared" si="173"/>
        <v>0</v>
      </c>
      <c r="BD123" s="248" t="e">
        <f t="shared" si="174"/>
        <v>#DIV/0!</v>
      </c>
      <c r="BE123" s="246"/>
      <c r="BF123" s="224"/>
      <c r="BG123" s="250"/>
      <c r="BH123" s="250"/>
      <c r="BI123" s="250"/>
      <c r="BJ123" s="250"/>
      <c r="BK123" s="247">
        <f t="shared" si="188"/>
        <v>0</v>
      </c>
      <c r="BL123" s="248" t="e">
        <f t="shared" si="120"/>
        <v>#DIV/0!</v>
      </c>
      <c r="BM123" s="227"/>
      <c r="BN123" s="224"/>
      <c r="BO123" s="218"/>
      <c r="BP123" s="218"/>
      <c r="BQ123" s="218"/>
      <c r="BR123" s="218"/>
      <c r="BS123" s="247"/>
      <c r="BT123" s="248" t="e">
        <f t="shared" si="175"/>
        <v>#DIV/0!</v>
      </c>
      <c r="BU123" s="218"/>
      <c r="BV123" s="408"/>
      <c r="BW123" s="218"/>
      <c r="BX123" s="218"/>
      <c r="BY123" s="218"/>
      <c r="BZ123" s="218"/>
      <c r="CA123" s="245"/>
      <c r="CB123" s="248" t="e">
        <f t="shared" si="176"/>
        <v>#DIV/0!</v>
      </c>
      <c r="CC123" s="218"/>
      <c r="CD123" s="224"/>
      <c r="CE123" s="218"/>
      <c r="CF123" s="218"/>
      <c r="CG123" s="218"/>
      <c r="CH123" s="218"/>
      <c r="CI123" s="245"/>
      <c r="CJ123" s="248" t="e">
        <f t="shared" si="177"/>
        <v>#DIV/0!</v>
      </c>
      <c r="CK123" s="218"/>
      <c r="CL123" s="224"/>
      <c r="CM123" s="218"/>
      <c r="CN123" s="218"/>
      <c r="CO123" s="218"/>
      <c r="CP123" s="218"/>
      <c r="CQ123" s="245"/>
      <c r="CR123" s="248" t="e">
        <f t="shared" si="178"/>
        <v>#DIV/0!</v>
      </c>
      <c r="CS123" s="218"/>
      <c r="CT123" s="224"/>
      <c r="CU123" s="218"/>
      <c r="CV123" s="218"/>
      <c r="CW123" s="218"/>
      <c r="CX123" s="218"/>
      <c r="CY123" s="218"/>
      <c r="CZ123" s="245" t="e">
        <f t="shared" si="179"/>
        <v>#DIV/0!</v>
      </c>
      <c r="DA123" s="218"/>
      <c r="DB123" s="224"/>
      <c r="DC123" s="218"/>
      <c r="DD123" s="218"/>
      <c r="DE123" s="218"/>
      <c r="DF123" s="218"/>
      <c r="DG123" s="218"/>
      <c r="DH123" s="218"/>
      <c r="DI123" s="218"/>
      <c r="DJ123" s="249"/>
      <c r="DK123" s="218"/>
      <c r="DL123" s="218"/>
      <c r="DM123" s="218"/>
      <c r="DN123" s="218"/>
      <c r="DO123" s="218"/>
      <c r="DP123" s="218"/>
      <c r="DQ123" s="227"/>
      <c r="DR123" s="224"/>
      <c r="DS123" s="218"/>
      <c r="DT123" s="218"/>
      <c r="DU123" s="218"/>
      <c r="DV123" s="218"/>
      <c r="DW123" s="218"/>
      <c r="DX123" s="218"/>
      <c r="DY123" s="218"/>
      <c r="DZ123" s="218"/>
      <c r="EA123" s="218"/>
      <c r="EB123" s="218"/>
      <c r="EC123" s="218"/>
      <c r="ED123" s="218"/>
      <c r="EE123" s="218"/>
      <c r="EF123" s="223">
        <f t="shared" ref="EF123:EJ123" si="221">AH123+AP123+AX123+BF123+BN123+BV123+CD123+CL123+CT123+DB123+DJ123+DR123+DZ123</f>
        <v>0</v>
      </c>
      <c r="EG123" s="223">
        <f t="shared" si="221"/>
        <v>0</v>
      </c>
      <c r="EH123" s="223">
        <f t="shared" si="221"/>
        <v>0</v>
      </c>
      <c r="EI123" s="223">
        <f t="shared" si="221"/>
        <v>0</v>
      </c>
      <c r="EJ123" s="223">
        <f t="shared" si="221"/>
        <v>0</v>
      </c>
      <c r="EK123" s="223">
        <f t="shared" si="181"/>
        <v>0</v>
      </c>
      <c r="EL123" s="218">
        <f t="shared" si="182"/>
        <v>0</v>
      </c>
      <c r="EM123" s="218">
        <f t="shared" si="183"/>
        <v>0</v>
      </c>
      <c r="EN123" s="223">
        <f t="shared" si="184"/>
        <v>0</v>
      </c>
      <c r="EO123" s="226">
        <f t="shared" si="185"/>
        <v>0</v>
      </c>
      <c r="ER123" s="251"/>
      <c r="EU123" s="220"/>
    </row>
    <row r="124" s="200" customFormat="1" customHeight="1" spans="1:151">
      <c r="A124" s="380"/>
      <c r="B124" s="357">
        <v>49</v>
      </c>
      <c r="C124" s="434" t="s">
        <v>997</v>
      </c>
      <c r="D124" s="220"/>
      <c r="E124" s="220"/>
      <c r="F124" s="220"/>
      <c r="G124" s="220" t="s">
        <v>998</v>
      </c>
      <c r="H124" s="221" t="s">
        <v>999</v>
      </c>
      <c r="I124" s="239"/>
      <c r="J124" s="220"/>
      <c r="K124" s="221"/>
      <c r="L124" s="239"/>
      <c r="M124" s="239"/>
      <c r="N124" s="221"/>
      <c r="O124" s="221"/>
      <c r="W124" s="207"/>
      <c r="X124" s="220"/>
      <c r="Y124" s="220"/>
      <c r="Z124" s="354" t="s">
        <v>880</v>
      </c>
      <c r="AA124" s="218">
        <v>200</v>
      </c>
      <c r="AB124" s="218">
        <f t="shared" si="186"/>
        <v>11</v>
      </c>
      <c r="AC124" s="218">
        <v>1</v>
      </c>
      <c r="AD124" s="218">
        <v>10</v>
      </c>
      <c r="AE124" s="218"/>
      <c r="AF124" s="364">
        <f t="shared" si="208"/>
        <v>55</v>
      </c>
      <c r="AG124" s="265">
        <v>46084</v>
      </c>
      <c r="AH124" s="224"/>
      <c r="AI124" s="250"/>
      <c r="AJ124" s="250"/>
      <c r="AK124" s="250"/>
      <c r="AL124" s="250"/>
      <c r="AM124" s="247">
        <f t="shared" si="170"/>
        <v>0</v>
      </c>
      <c r="AN124" s="245">
        <f t="shared" si="191"/>
        <v>0</v>
      </c>
      <c r="AO124" s="252">
        <v>46093</v>
      </c>
      <c r="AP124" s="253">
        <v>3</v>
      </c>
      <c r="AQ124" s="269">
        <v>3</v>
      </c>
      <c r="AR124" s="269">
        <v>3</v>
      </c>
      <c r="AS124" s="269">
        <v>3</v>
      </c>
      <c r="AT124" s="269">
        <v>3</v>
      </c>
      <c r="AU124" s="394">
        <f t="shared" si="171"/>
        <v>15</v>
      </c>
      <c r="AV124" s="248">
        <f t="shared" si="172"/>
        <v>4.36363636363636</v>
      </c>
      <c r="AW124" s="252">
        <v>46111</v>
      </c>
      <c r="AX124" s="279">
        <v>3</v>
      </c>
      <c r="AY124" s="269">
        <v>3</v>
      </c>
      <c r="AZ124" s="269">
        <v>3</v>
      </c>
      <c r="BA124" s="269">
        <v>3</v>
      </c>
      <c r="BB124" s="269">
        <v>3</v>
      </c>
      <c r="BC124" s="389">
        <f t="shared" si="173"/>
        <v>15</v>
      </c>
      <c r="BD124" s="248">
        <f t="shared" si="174"/>
        <v>4.36363636363636</v>
      </c>
      <c r="BE124" s="246">
        <f t="shared" si="218"/>
        <v>46141.5454545455</v>
      </c>
      <c r="BF124" s="224"/>
      <c r="BG124" s="250"/>
      <c r="BH124" s="250"/>
      <c r="BI124" s="250"/>
      <c r="BJ124" s="250"/>
      <c r="BK124" s="247">
        <f t="shared" si="188"/>
        <v>0</v>
      </c>
      <c r="BL124" s="248">
        <f t="shared" si="120"/>
        <v>0</v>
      </c>
      <c r="BM124" s="246">
        <f>BE124+BL124*7</f>
        <v>46141.5454545455</v>
      </c>
      <c r="BN124" s="224"/>
      <c r="BO124" s="218"/>
      <c r="BP124" s="218"/>
      <c r="BQ124" s="218"/>
      <c r="BR124" s="218"/>
      <c r="BS124" s="247"/>
      <c r="BT124" s="248">
        <f t="shared" si="175"/>
        <v>0</v>
      </c>
      <c r="BU124" s="218"/>
      <c r="BV124" s="408"/>
      <c r="BW124" s="218"/>
      <c r="BX124" s="218"/>
      <c r="BY124" s="218"/>
      <c r="BZ124" s="218"/>
      <c r="CA124" s="245"/>
      <c r="CB124" s="248">
        <f t="shared" si="176"/>
        <v>0</v>
      </c>
      <c r="CC124" s="218"/>
      <c r="CD124" s="224"/>
      <c r="CE124" s="218"/>
      <c r="CF124" s="218"/>
      <c r="CG124" s="218"/>
      <c r="CH124" s="218"/>
      <c r="CI124" s="245"/>
      <c r="CJ124" s="248">
        <f t="shared" si="177"/>
        <v>0</v>
      </c>
      <c r="CK124" s="218"/>
      <c r="CL124" s="224"/>
      <c r="CM124" s="218"/>
      <c r="CN124" s="218"/>
      <c r="CO124" s="218"/>
      <c r="CP124" s="218"/>
      <c r="CQ124" s="245"/>
      <c r="CR124" s="248">
        <f t="shared" si="178"/>
        <v>0</v>
      </c>
      <c r="CS124" s="218"/>
      <c r="CT124" s="224"/>
      <c r="CU124" s="218"/>
      <c r="CV124" s="218"/>
      <c r="CW124" s="218"/>
      <c r="CX124" s="218"/>
      <c r="CY124" s="218"/>
      <c r="CZ124" s="245">
        <f t="shared" si="179"/>
        <v>0</v>
      </c>
      <c r="DA124" s="218"/>
      <c r="DB124" s="224"/>
      <c r="DC124" s="218"/>
      <c r="DD124" s="218"/>
      <c r="DE124" s="218"/>
      <c r="DF124" s="218"/>
      <c r="DG124" s="218"/>
      <c r="DH124" s="218"/>
      <c r="DI124" s="218"/>
      <c r="DJ124" s="249"/>
      <c r="DK124" s="218"/>
      <c r="DL124" s="218"/>
      <c r="DM124" s="218"/>
      <c r="DN124" s="218"/>
      <c r="DO124" s="218"/>
      <c r="DP124" s="218"/>
      <c r="DQ124" s="227"/>
      <c r="DR124" s="224"/>
      <c r="DS124" s="218"/>
      <c r="DT124" s="218"/>
      <c r="DU124" s="218"/>
      <c r="DV124" s="218"/>
      <c r="DW124" s="218"/>
      <c r="DX124" s="218"/>
      <c r="DY124" s="218"/>
      <c r="DZ124" s="218"/>
      <c r="EA124" s="218"/>
      <c r="EB124" s="218"/>
      <c r="EC124" s="218"/>
      <c r="ED124" s="218"/>
      <c r="EE124" s="218"/>
      <c r="EF124" s="223">
        <f t="shared" ref="EF124:EJ124" si="222">AH124+AP124+AX124+BF124+BN124+BV124+CD124+CL124+CT124+DB124+DJ124+DR124+DZ124</f>
        <v>6</v>
      </c>
      <c r="EG124" s="223">
        <f t="shared" si="222"/>
        <v>6</v>
      </c>
      <c r="EH124" s="223">
        <f t="shared" si="222"/>
        <v>6</v>
      </c>
      <c r="EI124" s="223">
        <f t="shared" si="222"/>
        <v>6</v>
      </c>
      <c r="EJ124" s="223">
        <f t="shared" si="222"/>
        <v>6</v>
      </c>
      <c r="EK124" s="223">
        <f t="shared" si="181"/>
        <v>30</v>
      </c>
      <c r="EL124" s="218">
        <f t="shared" si="182"/>
        <v>1100</v>
      </c>
      <c r="EM124" s="218">
        <f t="shared" si="183"/>
        <v>68.75</v>
      </c>
      <c r="EN124" s="223">
        <f t="shared" si="184"/>
        <v>30</v>
      </c>
      <c r="EO124" s="226">
        <f t="shared" si="185"/>
        <v>38.75</v>
      </c>
      <c r="ER124" s="251"/>
      <c r="EU124" s="220"/>
    </row>
    <row r="125" s="200" customFormat="1" ht="21" spans="1:151">
      <c r="A125" s="380"/>
      <c r="B125" s="357">
        <v>50</v>
      </c>
      <c r="C125" s="436" t="s">
        <v>1000</v>
      </c>
      <c r="D125" s="220"/>
      <c r="E125" s="220"/>
      <c r="F125" s="220"/>
      <c r="G125" s="220" t="s">
        <v>1001</v>
      </c>
      <c r="H125" s="221" t="s">
        <v>1002</v>
      </c>
      <c r="I125" s="239"/>
      <c r="J125" s="220"/>
      <c r="K125" s="221"/>
      <c r="L125" s="239"/>
      <c r="M125" s="239"/>
      <c r="N125" s="221"/>
      <c r="O125" s="221"/>
      <c r="W125" s="207"/>
      <c r="X125" s="220"/>
      <c r="Y125" s="220"/>
      <c r="Z125" s="354" t="s">
        <v>880</v>
      </c>
      <c r="AA125" s="218">
        <v>200</v>
      </c>
      <c r="AB125" s="242">
        <f t="shared" si="186"/>
        <v>0</v>
      </c>
      <c r="AC125" s="218"/>
      <c r="AD125" s="218"/>
      <c r="AE125" s="218"/>
      <c r="AF125" s="364">
        <f t="shared" si="208"/>
        <v>0</v>
      </c>
      <c r="AG125" s="265">
        <v>46084</v>
      </c>
      <c r="AH125" s="247"/>
      <c r="AI125" s="247"/>
      <c r="AJ125" s="247"/>
      <c r="AK125" s="247"/>
      <c r="AL125" s="247"/>
      <c r="AM125" s="247">
        <f t="shared" si="170"/>
        <v>0</v>
      </c>
      <c r="AN125" s="245" t="e">
        <f t="shared" si="191"/>
        <v>#DIV/0!</v>
      </c>
      <c r="AO125" s="265"/>
      <c r="AP125" s="247"/>
      <c r="AQ125" s="247"/>
      <c r="AR125" s="247"/>
      <c r="AS125" s="247"/>
      <c r="AT125" s="247"/>
      <c r="AU125" s="349">
        <f t="shared" si="171"/>
        <v>0</v>
      </c>
      <c r="AV125" s="248" t="e">
        <f t="shared" si="172"/>
        <v>#DIV/0!</v>
      </c>
      <c r="AW125" s="249"/>
      <c r="AX125" s="223"/>
      <c r="AY125" s="250"/>
      <c r="AZ125" s="250"/>
      <c r="BA125" s="250"/>
      <c r="BB125" s="250"/>
      <c r="BC125" s="397">
        <f t="shared" si="173"/>
        <v>0</v>
      </c>
      <c r="BD125" s="248" t="e">
        <f t="shared" si="174"/>
        <v>#DIV/0!</v>
      </c>
      <c r="BE125" s="249"/>
      <c r="BF125" s="224"/>
      <c r="BG125" s="250"/>
      <c r="BH125" s="250"/>
      <c r="BI125" s="250"/>
      <c r="BJ125" s="250"/>
      <c r="BK125" s="247">
        <f t="shared" si="188"/>
        <v>0</v>
      </c>
      <c r="BL125" s="248" t="e">
        <f t="shared" si="120"/>
        <v>#DIV/0!</v>
      </c>
      <c r="BM125" s="246"/>
      <c r="BN125" s="224"/>
      <c r="BO125" s="250"/>
      <c r="BP125" s="250"/>
      <c r="BQ125" s="250"/>
      <c r="BR125" s="250"/>
      <c r="BS125" s="247"/>
      <c r="BT125" s="248" t="e">
        <f t="shared" si="175"/>
        <v>#DIV/0!</v>
      </c>
      <c r="BU125" s="218"/>
      <c r="BV125" s="408"/>
      <c r="BW125" s="218"/>
      <c r="BX125" s="218"/>
      <c r="BY125" s="218"/>
      <c r="BZ125" s="218"/>
      <c r="CA125" s="245"/>
      <c r="CB125" s="248" t="e">
        <f t="shared" si="176"/>
        <v>#DIV/0!</v>
      </c>
      <c r="CC125" s="218"/>
      <c r="CD125" s="224"/>
      <c r="CE125" s="218"/>
      <c r="CF125" s="218"/>
      <c r="CG125" s="218"/>
      <c r="CH125" s="218"/>
      <c r="CI125" s="245"/>
      <c r="CJ125" s="248" t="e">
        <f t="shared" si="177"/>
        <v>#DIV/0!</v>
      </c>
      <c r="CK125" s="218"/>
      <c r="CL125" s="224"/>
      <c r="CM125" s="218"/>
      <c r="CN125" s="218"/>
      <c r="CO125" s="218"/>
      <c r="CP125" s="218"/>
      <c r="CQ125" s="245"/>
      <c r="CR125" s="248" t="e">
        <f t="shared" si="178"/>
        <v>#DIV/0!</v>
      </c>
      <c r="CS125" s="218"/>
      <c r="CT125" s="224"/>
      <c r="CU125" s="218"/>
      <c r="CV125" s="218"/>
      <c r="CW125" s="218"/>
      <c r="CX125" s="218"/>
      <c r="CY125" s="218"/>
      <c r="CZ125" s="245" t="e">
        <f t="shared" si="179"/>
        <v>#DIV/0!</v>
      </c>
      <c r="DA125" s="218"/>
      <c r="DB125" s="224"/>
      <c r="DC125" s="218"/>
      <c r="DD125" s="218"/>
      <c r="DE125" s="218"/>
      <c r="DF125" s="218"/>
      <c r="DG125" s="218"/>
      <c r="DH125" s="218"/>
      <c r="DI125" s="218"/>
      <c r="DJ125" s="249"/>
      <c r="DK125" s="218"/>
      <c r="DL125" s="218"/>
      <c r="DM125" s="218"/>
      <c r="DN125" s="218"/>
      <c r="DO125" s="218"/>
      <c r="DP125" s="218"/>
      <c r="DQ125" s="227"/>
      <c r="DR125" s="224"/>
      <c r="DS125" s="218"/>
      <c r="DT125" s="218"/>
      <c r="DU125" s="218"/>
      <c r="DV125" s="218"/>
      <c r="DW125" s="218"/>
      <c r="DX125" s="218"/>
      <c r="DY125" s="218"/>
      <c r="DZ125" s="218"/>
      <c r="EA125" s="218"/>
      <c r="EB125" s="218"/>
      <c r="EC125" s="218"/>
      <c r="ED125" s="218"/>
      <c r="EE125" s="218"/>
      <c r="EF125" s="223">
        <f t="shared" ref="EF125:EJ125" si="223">AH125+AP125+AX125+BF125+BN125+BV125+CD125+CL125+CT125+DB125+DJ125+DR125+DZ125</f>
        <v>0</v>
      </c>
      <c r="EG125" s="223">
        <f t="shared" si="223"/>
        <v>0</v>
      </c>
      <c r="EH125" s="223">
        <f t="shared" si="223"/>
        <v>0</v>
      </c>
      <c r="EI125" s="223">
        <f t="shared" si="223"/>
        <v>0</v>
      </c>
      <c r="EJ125" s="223">
        <f t="shared" si="223"/>
        <v>0</v>
      </c>
      <c r="EK125" s="223">
        <f t="shared" si="181"/>
        <v>0</v>
      </c>
      <c r="EL125" s="218">
        <f t="shared" si="182"/>
        <v>0</v>
      </c>
      <c r="EM125" s="218">
        <f t="shared" si="183"/>
        <v>0</v>
      </c>
      <c r="EN125" s="223">
        <f t="shared" si="184"/>
        <v>0</v>
      </c>
      <c r="EO125" s="226">
        <f t="shared" si="185"/>
        <v>0</v>
      </c>
      <c r="ER125" s="251"/>
      <c r="EU125" s="220"/>
    </row>
    <row r="126" s="200" customFormat="1" customHeight="1" spans="1:151">
      <c r="A126" s="380"/>
      <c r="B126" s="357">
        <v>51</v>
      </c>
      <c r="C126" s="435" t="s">
        <v>1003</v>
      </c>
      <c r="D126" s="220"/>
      <c r="E126" s="220"/>
      <c r="F126" s="220"/>
      <c r="G126" s="220" t="s">
        <v>1004</v>
      </c>
      <c r="H126" s="221" t="s">
        <v>1005</v>
      </c>
      <c r="I126" s="239"/>
      <c r="J126" s="220"/>
      <c r="K126" s="221"/>
      <c r="L126" s="239"/>
      <c r="M126" s="239"/>
      <c r="N126" s="221"/>
      <c r="O126" s="221"/>
      <c r="W126" s="207"/>
      <c r="X126" s="220"/>
      <c r="Y126" s="220"/>
      <c r="Z126" s="354" t="s">
        <v>880</v>
      </c>
      <c r="AA126" s="218">
        <v>125</v>
      </c>
      <c r="AB126" s="218">
        <f t="shared" si="186"/>
        <v>8</v>
      </c>
      <c r="AC126" s="218">
        <v>2</v>
      </c>
      <c r="AD126" s="218">
        <v>6</v>
      </c>
      <c r="AE126" s="218"/>
      <c r="AF126" s="364">
        <f t="shared" si="208"/>
        <v>40</v>
      </c>
      <c r="AG126" s="265">
        <v>46084</v>
      </c>
      <c r="AH126" s="247"/>
      <c r="AI126" s="247"/>
      <c r="AJ126" s="247"/>
      <c r="AK126" s="247"/>
      <c r="AL126" s="247"/>
      <c r="AM126" s="247">
        <f t="shared" si="170"/>
        <v>0</v>
      </c>
      <c r="AN126" s="245">
        <f t="shared" si="191"/>
        <v>0</v>
      </c>
      <c r="AO126" s="243">
        <v>46093</v>
      </c>
      <c r="AP126" s="244">
        <v>2</v>
      </c>
      <c r="AQ126" s="244">
        <v>2</v>
      </c>
      <c r="AR126" s="244">
        <v>2</v>
      </c>
      <c r="AS126" s="244">
        <v>2</v>
      </c>
      <c r="AT126" s="244"/>
      <c r="AU126" s="394">
        <f t="shared" si="171"/>
        <v>8</v>
      </c>
      <c r="AV126" s="245">
        <f t="shared" si="172"/>
        <v>3.2</v>
      </c>
      <c r="AW126" s="252">
        <v>46107</v>
      </c>
      <c r="AX126" s="279">
        <v>2</v>
      </c>
      <c r="AY126" s="269">
        <v>2</v>
      </c>
      <c r="AZ126" s="269">
        <v>2</v>
      </c>
      <c r="BA126" s="269">
        <v>2</v>
      </c>
      <c r="BB126" s="269"/>
      <c r="BC126" s="389">
        <f t="shared" si="173"/>
        <v>8</v>
      </c>
      <c r="BD126" s="248">
        <f t="shared" si="174"/>
        <v>3.2</v>
      </c>
      <c r="BE126" s="271">
        <v>46129</v>
      </c>
      <c r="BF126" s="282">
        <v>2</v>
      </c>
      <c r="BG126" s="273">
        <v>2</v>
      </c>
      <c r="BH126" s="273">
        <v>2</v>
      </c>
      <c r="BI126" s="273">
        <v>2</v>
      </c>
      <c r="BJ126" s="273"/>
      <c r="BK126" s="274">
        <v>8</v>
      </c>
      <c r="BL126" s="248">
        <f t="shared" si="120"/>
        <v>3.2</v>
      </c>
      <c r="BM126" s="246">
        <f>BE126+BL126*7</f>
        <v>46151.4</v>
      </c>
      <c r="BN126" s="224"/>
      <c r="BO126" s="218"/>
      <c r="BP126" s="218"/>
      <c r="BQ126" s="218"/>
      <c r="BR126" s="218"/>
      <c r="BS126" s="247"/>
      <c r="BT126" s="248">
        <f t="shared" si="175"/>
        <v>0</v>
      </c>
      <c r="BU126" s="249"/>
      <c r="BV126" s="408"/>
      <c r="BW126" s="218"/>
      <c r="BX126" s="218"/>
      <c r="BY126" s="218"/>
      <c r="BZ126" s="218"/>
      <c r="CA126" s="245"/>
      <c r="CB126" s="248">
        <f t="shared" si="176"/>
        <v>0</v>
      </c>
      <c r="CC126" s="249"/>
      <c r="CD126" s="224"/>
      <c r="CE126" s="218"/>
      <c r="CF126" s="218"/>
      <c r="CG126" s="218"/>
      <c r="CH126" s="218"/>
      <c r="CI126" s="245"/>
      <c r="CJ126" s="248">
        <f t="shared" si="177"/>
        <v>0</v>
      </c>
      <c r="CK126" s="218"/>
      <c r="CL126" s="224"/>
      <c r="CM126" s="218"/>
      <c r="CN126" s="218"/>
      <c r="CO126" s="218"/>
      <c r="CP126" s="218"/>
      <c r="CQ126" s="245"/>
      <c r="CR126" s="248">
        <f t="shared" si="178"/>
        <v>0</v>
      </c>
      <c r="CS126" s="218"/>
      <c r="CT126" s="224"/>
      <c r="CU126" s="218"/>
      <c r="CV126" s="218"/>
      <c r="CW126" s="218"/>
      <c r="CX126" s="218"/>
      <c r="CY126" s="218"/>
      <c r="CZ126" s="245">
        <f t="shared" si="179"/>
        <v>0</v>
      </c>
      <c r="DA126" s="218"/>
      <c r="DB126" s="224"/>
      <c r="DC126" s="218"/>
      <c r="DD126" s="218"/>
      <c r="DE126" s="218"/>
      <c r="DF126" s="218"/>
      <c r="DG126" s="218"/>
      <c r="DH126" s="218"/>
      <c r="DI126" s="218"/>
      <c r="DJ126" s="249"/>
      <c r="DK126" s="218"/>
      <c r="DL126" s="218"/>
      <c r="DM126" s="218"/>
      <c r="DN126" s="218"/>
      <c r="DO126" s="218"/>
      <c r="DP126" s="218"/>
      <c r="DQ126" s="227"/>
      <c r="DR126" s="224"/>
      <c r="DS126" s="218"/>
      <c r="DT126" s="218"/>
      <c r="DU126" s="218"/>
      <c r="DV126" s="218"/>
      <c r="DW126" s="218"/>
      <c r="DX126" s="218"/>
      <c r="DY126" s="218"/>
      <c r="DZ126" s="218"/>
      <c r="EA126" s="218"/>
      <c r="EB126" s="218"/>
      <c r="EC126" s="218"/>
      <c r="ED126" s="218"/>
      <c r="EE126" s="218"/>
      <c r="EF126" s="223">
        <f t="shared" ref="EF126:EJ126" si="224">AH126+AP126+AX126+BF126+BN126+BV126+CD126+CL126+CT126+DB126+DJ126+DR126+DZ126</f>
        <v>6</v>
      </c>
      <c r="EG126" s="223">
        <f t="shared" si="224"/>
        <v>6</v>
      </c>
      <c r="EH126" s="223">
        <f t="shared" si="224"/>
        <v>6</v>
      </c>
      <c r="EI126" s="223">
        <f t="shared" si="224"/>
        <v>6</v>
      </c>
      <c r="EJ126" s="223">
        <f t="shared" si="224"/>
        <v>0</v>
      </c>
      <c r="EK126" s="223">
        <f t="shared" si="181"/>
        <v>24</v>
      </c>
      <c r="EL126" s="218">
        <f t="shared" si="182"/>
        <v>800</v>
      </c>
      <c r="EM126" s="218">
        <f t="shared" si="183"/>
        <v>50</v>
      </c>
      <c r="EN126" s="223">
        <f t="shared" si="184"/>
        <v>24</v>
      </c>
      <c r="EO126" s="226">
        <f t="shared" si="185"/>
        <v>26</v>
      </c>
      <c r="ER126" s="251"/>
      <c r="EU126" s="220"/>
    </row>
    <row r="127" s="200" customFormat="1" customHeight="1" spans="1:151">
      <c r="A127" s="380"/>
      <c r="B127" s="357">
        <v>52</v>
      </c>
      <c r="C127" s="219" t="s">
        <v>1006</v>
      </c>
      <c r="D127" s="220"/>
      <c r="E127" s="220"/>
      <c r="F127" s="220"/>
      <c r="G127" s="220"/>
      <c r="H127" s="239"/>
      <c r="I127" s="239"/>
      <c r="J127" s="220"/>
      <c r="K127" s="221"/>
      <c r="L127" s="239"/>
      <c r="M127" s="239"/>
      <c r="N127" s="221"/>
      <c r="O127" s="221"/>
      <c r="W127" s="207"/>
      <c r="X127" s="220"/>
      <c r="Y127" s="220"/>
      <c r="Z127" s="354" t="s">
        <v>880</v>
      </c>
      <c r="AA127" s="218">
        <v>200</v>
      </c>
      <c r="AB127" s="242">
        <f t="shared" si="186"/>
        <v>0</v>
      </c>
      <c r="AC127" s="218"/>
      <c r="AD127" s="218"/>
      <c r="AE127" s="218"/>
      <c r="AF127" s="364">
        <f t="shared" si="208"/>
        <v>0</v>
      </c>
      <c r="AG127" s="265">
        <v>46084</v>
      </c>
      <c r="AH127" s="247"/>
      <c r="AI127" s="247"/>
      <c r="AJ127" s="247"/>
      <c r="AK127" s="247"/>
      <c r="AL127" s="247"/>
      <c r="AM127" s="247">
        <f t="shared" si="170"/>
        <v>0</v>
      </c>
      <c r="AN127" s="245" t="e">
        <f t="shared" si="191"/>
        <v>#DIV/0!</v>
      </c>
      <c r="AO127" s="249"/>
      <c r="AP127" s="224"/>
      <c r="AQ127" s="250"/>
      <c r="AR127" s="250"/>
      <c r="AS127" s="250"/>
      <c r="AT127" s="250"/>
      <c r="AU127" s="349">
        <f t="shared" si="171"/>
        <v>0</v>
      </c>
      <c r="AV127" s="245" t="e">
        <f t="shared" si="172"/>
        <v>#DIV/0!</v>
      </c>
      <c r="AW127" s="246"/>
      <c r="AX127" s="223"/>
      <c r="AY127" s="250"/>
      <c r="AZ127" s="250"/>
      <c r="BA127" s="250"/>
      <c r="BB127" s="250"/>
      <c r="BC127" s="397">
        <f t="shared" si="173"/>
        <v>0</v>
      </c>
      <c r="BD127" s="248" t="e">
        <f t="shared" si="174"/>
        <v>#DIV/0!</v>
      </c>
      <c r="BE127" s="249"/>
      <c r="BF127" s="224"/>
      <c r="BG127" s="250"/>
      <c r="BH127" s="250"/>
      <c r="BI127" s="250"/>
      <c r="BJ127" s="250"/>
      <c r="BK127" s="247">
        <f t="shared" si="188"/>
        <v>0</v>
      </c>
      <c r="BL127" s="248" t="e">
        <f t="shared" si="120"/>
        <v>#DIV/0!</v>
      </c>
      <c r="BM127" s="227"/>
      <c r="BN127" s="224"/>
      <c r="BO127" s="218"/>
      <c r="BP127" s="218"/>
      <c r="BQ127" s="218"/>
      <c r="BR127" s="218"/>
      <c r="BS127" s="247"/>
      <c r="BT127" s="248" t="e">
        <f t="shared" si="175"/>
        <v>#DIV/0!</v>
      </c>
      <c r="BU127" s="218"/>
      <c r="BV127" s="408"/>
      <c r="BW127" s="218"/>
      <c r="BX127" s="218"/>
      <c r="BY127" s="218"/>
      <c r="BZ127" s="218"/>
      <c r="CA127" s="245"/>
      <c r="CB127" s="248" t="e">
        <f t="shared" si="176"/>
        <v>#DIV/0!</v>
      </c>
      <c r="CC127" s="218"/>
      <c r="CD127" s="224"/>
      <c r="CE127" s="218"/>
      <c r="CF127" s="218"/>
      <c r="CG127" s="218"/>
      <c r="CH127" s="218"/>
      <c r="CI127" s="245"/>
      <c r="CJ127" s="248" t="e">
        <f t="shared" si="177"/>
        <v>#DIV/0!</v>
      </c>
      <c r="CK127" s="218"/>
      <c r="CL127" s="224"/>
      <c r="CM127" s="218"/>
      <c r="CN127" s="218"/>
      <c r="CO127" s="218"/>
      <c r="CP127" s="218"/>
      <c r="CQ127" s="245"/>
      <c r="CR127" s="248" t="e">
        <f t="shared" si="178"/>
        <v>#DIV/0!</v>
      </c>
      <c r="CS127" s="218"/>
      <c r="CT127" s="224"/>
      <c r="CU127" s="218"/>
      <c r="CV127" s="218"/>
      <c r="CW127" s="218"/>
      <c r="CX127" s="218"/>
      <c r="CY127" s="218"/>
      <c r="CZ127" s="245" t="e">
        <f t="shared" si="179"/>
        <v>#DIV/0!</v>
      </c>
      <c r="DA127" s="218"/>
      <c r="DB127" s="224"/>
      <c r="DC127" s="218"/>
      <c r="DD127" s="218"/>
      <c r="DE127" s="218"/>
      <c r="DF127" s="218"/>
      <c r="DG127" s="218"/>
      <c r="DH127" s="218"/>
      <c r="DI127" s="218"/>
      <c r="DJ127" s="249"/>
      <c r="DK127" s="218"/>
      <c r="DL127" s="218"/>
      <c r="DM127" s="218"/>
      <c r="DN127" s="218"/>
      <c r="DO127" s="218"/>
      <c r="DP127" s="218"/>
      <c r="DQ127" s="227"/>
      <c r="DR127" s="224"/>
      <c r="DS127" s="218"/>
      <c r="DT127" s="218"/>
      <c r="DU127" s="218"/>
      <c r="DV127" s="218"/>
      <c r="DW127" s="218"/>
      <c r="DX127" s="218"/>
      <c r="DY127" s="218"/>
      <c r="DZ127" s="218"/>
      <c r="EA127" s="218"/>
      <c r="EB127" s="218"/>
      <c r="EC127" s="218"/>
      <c r="ED127" s="218"/>
      <c r="EE127" s="218"/>
      <c r="EF127" s="223">
        <f t="shared" ref="EF127:EJ127" si="225">AH127+AP127+AX127+BF127+BN127+BV127+CD127+CL127+CT127+DB127+DJ127+DR127+DZ127</f>
        <v>0</v>
      </c>
      <c r="EG127" s="223">
        <f t="shared" si="225"/>
        <v>0</v>
      </c>
      <c r="EH127" s="223">
        <f t="shared" si="225"/>
        <v>0</v>
      </c>
      <c r="EI127" s="223">
        <f t="shared" si="225"/>
        <v>0</v>
      </c>
      <c r="EJ127" s="223">
        <f t="shared" si="225"/>
        <v>0</v>
      </c>
      <c r="EK127" s="223">
        <f t="shared" si="181"/>
        <v>0</v>
      </c>
      <c r="EL127" s="218">
        <f t="shared" si="182"/>
        <v>0</v>
      </c>
      <c r="EM127" s="218">
        <f t="shared" si="183"/>
        <v>0</v>
      </c>
      <c r="EN127" s="223">
        <f t="shared" si="184"/>
        <v>0</v>
      </c>
      <c r="EO127" s="226">
        <f t="shared" si="185"/>
        <v>0</v>
      </c>
      <c r="ER127" s="251"/>
      <c r="EU127" s="220"/>
    </row>
    <row r="128" s="200" customFormat="1" customHeight="1" spans="1:151">
      <c r="A128" s="380"/>
      <c r="B128" s="357">
        <v>53</v>
      </c>
      <c r="C128" s="218" t="s">
        <v>1007</v>
      </c>
      <c r="D128" s="232"/>
      <c r="K128" s="207"/>
      <c r="N128" s="207"/>
      <c r="O128" s="207"/>
      <c r="W128" s="207"/>
      <c r="Y128" s="207"/>
      <c r="Z128" s="354" t="s">
        <v>880</v>
      </c>
      <c r="AA128" s="218">
        <v>125</v>
      </c>
      <c r="AB128" s="218">
        <f t="shared" si="186"/>
        <v>33</v>
      </c>
      <c r="AC128" s="218">
        <v>5</v>
      </c>
      <c r="AD128" s="218">
        <v>28</v>
      </c>
      <c r="AE128" s="218"/>
      <c r="AF128" s="364">
        <f t="shared" si="208"/>
        <v>165</v>
      </c>
      <c r="AG128" s="243">
        <v>46093</v>
      </c>
      <c r="AH128" s="244">
        <v>6</v>
      </c>
      <c r="AI128" s="244">
        <v>8</v>
      </c>
      <c r="AJ128" s="244">
        <v>8</v>
      </c>
      <c r="AK128" s="244">
        <v>8</v>
      </c>
      <c r="AL128" s="244"/>
      <c r="AM128" s="244">
        <f t="shared" si="170"/>
        <v>30</v>
      </c>
      <c r="AN128" s="245">
        <f t="shared" si="191"/>
        <v>2.90909090909091</v>
      </c>
      <c r="AO128" s="252">
        <v>46107</v>
      </c>
      <c r="AP128" s="253">
        <v>8</v>
      </c>
      <c r="AQ128" s="269">
        <v>12</v>
      </c>
      <c r="AR128" s="269">
        <v>10</v>
      </c>
      <c r="AS128" s="269">
        <v>10</v>
      </c>
      <c r="AT128" s="269"/>
      <c r="AU128" s="394">
        <f t="shared" si="171"/>
        <v>40</v>
      </c>
      <c r="AV128" s="245">
        <f t="shared" si="172"/>
        <v>3.87878787878788</v>
      </c>
      <c r="AW128" s="255">
        <f>AO128+AV128*7</f>
        <v>46134.1515151515</v>
      </c>
      <c r="AX128" s="423">
        <v>8</v>
      </c>
      <c r="AY128" s="278">
        <v>10</v>
      </c>
      <c r="AZ128" s="278">
        <v>10</v>
      </c>
      <c r="BA128" s="278">
        <v>10</v>
      </c>
      <c r="BB128" s="278"/>
      <c r="BC128" s="425">
        <f t="shared" si="173"/>
        <v>38</v>
      </c>
      <c r="BD128" s="248">
        <f t="shared" si="174"/>
        <v>3.68484848484848</v>
      </c>
      <c r="BE128" s="246">
        <f>AW128+BD128*7</f>
        <v>46159.9454545454</v>
      </c>
      <c r="BF128" s="224"/>
      <c r="BG128" s="250"/>
      <c r="BH128" s="250"/>
      <c r="BI128" s="250"/>
      <c r="BJ128" s="250"/>
      <c r="BK128" s="247">
        <f t="shared" si="188"/>
        <v>0</v>
      </c>
      <c r="BL128" s="248">
        <f t="shared" si="120"/>
        <v>0</v>
      </c>
      <c r="BM128" s="227"/>
      <c r="BN128" s="224"/>
      <c r="BO128" s="218"/>
      <c r="BP128" s="218"/>
      <c r="BQ128" s="218"/>
      <c r="BR128" s="218"/>
      <c r="BS128" s="247"/>
      <c r="BT128" s="248">
        <f t="shared" si="175"/>
        <v>0</v>
      </c>
      <c r="BU128" s="249"/>
      <c r="BV128" s="408"/>
      <c r="BW128" s="218"/>
      <c r="BX128" s="218"/>
      <c r="BY128" s="218"/>
      <c r="BZ128" s="218"/>
      <c r="CA128" s="245"/>
      <c r="CB128" s="248">
        <f t="shared" si="176"/>
        <v>0</v>
      </c>
      <c r="CC128" s="249"/>
      <c r="CD128" s="224"/>
      <c r="CE128" s="218"/>
      <c r="CF128" s="218"/>
      <c r="CG128" s="218"/>
      <c r="CH128" s="218"/>
      <c r="CI128" s="245"/>
      <c r="CJ128" s="248">
        <f t="shared" si="177"/>
        <v>0</v>
      </c>
      <c r="CK128" s="242"/>
      <c r="CL128" s="224"/>
      <c r="CM128" s="218"/>
      <c r="CN128" s="218"/>
      <c r="CO128" s="218"/>
      <c r="CP128" s="218"/>
      <c r="CQ128" s="245"/>
      <c r="CR128" s="248">
        <f t="shared" si="178"/>
        <v>0</v>
      </c>
      <c r="CS128" s="218"/>
      <c r="CT128" s="224"/>
      <c r="CU128" s="218"/>
      <c r="CV128" s="218"/>
      <c r="CW128" s="218"/>
      <c r="CX128" s="218"/>
      <c r="CY128" s="218"/>
      <c r="CZ128" s="245">
        <f t="shared" si="179"/>
        <v>0</v>
      </c>
      <c r="DA128" s="218"/>
      <c r="DB128" s="224"/>
      <c r="DC128" s="218"/>
      <c r="DD128" s="218"/>
      <c r="DE128" s="218"/>
      <c r="DF128" s="218"/>
      <c r="DG128" s="218"/>
      <c r="DH128" s="218"/>
      <c r="DI128" s="218"/>
      <c r="DJ128" s="249"/>
      <c r="DK128" s="218"/>
      <c r="DL128" s="218"/>
      <c r="DM128" s="218"/>
      <c r="DN128" s="218"/>
      <c r="DO128" s="218"/>
      <c r="DP128" s="218"/>
      <c r="DQ128" s="227"/>
      <c r="DR128" s="224"/>
      <c r="DS128" s="218"/>
      <c r="DT128" s="218"/>
      <c r="DU128" s="218"/>
      <c r="DV128" s="218"/>
      <c r="DW128" s="218"/>
      <c r="DX128" s="218"/>
      <c r="DY128" s="218"/>
      <c r="DZ128" s="218"/>
      <c r="EA128" s="218"/>
      <c r="EB128" s="218"/>
      <c r="EC128" s="218"/>
      <c r="ED128" s="218"/>
      <c r="EE128" s="218"/>
      <c r="EF128" s="223">
        <f t="shared" ref="EF128:EJ128" si="226">AH128+AP128+AX128+BF128+BN128+BV128+CD128+CL128+CT128+DB128+DJ128+DR128+DZ128</f>
        <v>22</v>
      </c>
      <c r="EG128" s="223">
        <f t="shared" si="226"/>
        <v>30</v>
      </c>
      <c r="EH128" s="223">
        <f t="shared" si="226"/>
        <v>28</v>
      </c>
      <c r="EI128" s="223">
        <f t="shared" si="226"/>
        <v>28</v>
      </c>
      <c r="EJ128" s="223">
        <f t="shared" si="226"/>
        <v>0</v>
      </c>
      <c r="EK128" s="223">
        <f t="shared" si="181"/>
        <v>108</v>
      </c>
      <c r="EL128" s="218">
        <f t="shared" si="182"/>
        <v>3300</v>
      </c>
      <c r="EM128" s="218">
        <f t="shared" si="183"/>
        <v>206.25</v>
      </c>
      <c r="EN128" s="223">
        <f t="shared" si="184"/>
        <v>108</v>
      </c>
      <c r="EO128" s="226">
        <f t="shared" si="185"/>
        <v>98.25</v>
      </c>
      <c r="ER128" s="251"/>
      <c r="EU128" s="220"/>
    </row>
    <row r="129" s="200" customFormat="1" customHeight="1" spans="1:151 16378:16384">
      <c r="A129" s="380"/>
      <c r="B129" s="437" t="s">
        <v>1008</v>
      </c>
      <c r="C129" s="201" t="s">
        <v>1009</v>
      </c>
      <c r="K129" s="207"/>
      <c r="N129" s="207"/>
      <c r="O129" s="207"/>
      <c r="W129" s="207"/>
      <c r="Y129" s="207"/>
      <c r="Z129" s="354" t="s">
        <v>880</v>
      </c>
      <c r="AA129" s="218">
        <v>125</v>
      </c>
      <c r="AB129" s="218">
        <f t="shared" si="186"/>
        <v>1</v>
      </c>
      <c r="AC129" s="218"/>
      <c r="AD129" s="218">
        <v>1</v>
      </c>
      <c r="AE129" s="218"/>
      <c r="AF129" s="364">
        <f t="shared" si="208"/>
        <v>5</v>
      </c>
      <c r="AG129" s="265">
        <v>46084</v>
      </c>
      <c r="AH129" s="245"/>
      <c r="AI129" s="245"/>
      <c r="AJ129" s="245"/>
      <c r="AK129" s="245"/>
      <c r="AL129" s="245"/>
      <c r="AM129" s="247">
        <f t="shared" si="170"/>
        <v>0</v>
      </c>
      <c r="AN129" s="245">
        <f t="shared" si="191"/>
        <v>0</v>
      </c>
      <c r="AO129" s="252">
        <v>46093</v>
      </c>
      <c r="AP129" s="253"/>
      <c r="AQ129" s="269">
        <v>1</v>
      </c>
      <c r="AR129" s="269"/>
      <c r="AS129" s="269"/>
      <c r="AT129" s="269"/>
      <c r="AU129" s="394">
        <f t="shared" si="171"/>
        <v>1</v>
      </c>
      <c r="AV129" s="245">
        <f t="shared" si="172"/>
        <v>3.2</v>
      </c>
      <c r="AW129" s="271">
        <f>AO129+AV129*7</f>
        <v>46115.4</v>
      </c>
      <c r="AX129" s="438"/>
      <c r="AY129" s="273"/>
      <c r="AZ129" s="273">
        <v>1</v>
      </c>
      <c r="BA129" s="273"/>
      <c r="BB129" s="273"/>
      <c r="BC129" s="401">
        <f t="shared" si="173"/>
        <v>1</v>
      </c>
      <c r="BD129" s="248">
        <f t="shared" si="174"/>
        <v>3.2</v>
      </c>
      <c r="BE129" s="246">
        <f>AW129+BD129*7</f>
        <v>46137.8</v>
      </c>
      <c r="BF129" s="224"/>
      <c r="BG129" s="250"/>
      <c r="BH129" s="250"/>
      <c r="BI129" s="250"/>
      <c r="BJ129" s="250"/>
      <c r="BK129" s="247">
        <f t="shared" si="188"/>
        <v>0</v>
      </c>
      <c r="BL129" s="248">
        <f t="shared" si="120"/>
        <v>0</v>
      </c>
      <c r="BM129" s="246">
        <f>BE129+BL129*7</f>
        <v>46137.8</v>
      </c>
      <c r="BN129" s="224"/>
      <c r="BO129" s="218"/>
      <c r="BP129" s="218"/>
      <c r="BQ129" s="218"/>
      <c r="BR129" s="218"/>
      <c r="BS129" s="247"/>
      <c r="BT129" s="248">
        <f t="shared" si="175"/>
        <v>0</v>
      </c>
      <c r="BU129" s="249"/>
      <c r="BV129" s="408"/>
      <c r="BW129" s="218"/>
      <c r="BX129" s="218"/>
      <c r="BY129" s="218"/>
      <c r="BZ129" s="218"/>
      <c r="CA129" s="245"/>
      <c r="CB129" s="248">
        <f t="shared" si="176"/>
        <v>0</v>
      </c>
      <c r="CC129" s="218"/>
      <c r="CD129" s="224"/>
      <c r="CE129" s="218"/>
      <c r="CF129" s="218"/>
      <c r="CG129" s="218"/>
      <c r="CH129" s="218"/>
      <c r="CI129" s="245"/>
      <c r="CJ129" s="248">
        <f t="shared" si="177"/>
        <v>0</v>
      </c>
      <c r="CK129" s="218"/>
      <c r="CL129" s="224"/>
      <c r="CM129" s="218"/>
      <c r="CN129" s="218"/>
      <c r="CO129" s="218"/>
      <c r="CP129" s="218"/>
      <c r="CQ129" s="245"/>
      <c r="CR129" s="248">
        <f t="shared" si="178"/>
        <v>0</v>
      </c>
      <c r="CS129" s="218"/>
      <c r="CT129" s="224"/>
      <c r="CU129" s="218"/>
      <c r="CV129" s="218"/>
      <c r="CW129" s="218"/>
      <c r="CX129" s="218"/>
      <c r="CY129" s="218"/>
      <c r="CZ129" s="245">
        <f t="shared" si="179"/>
        <v>0</v>
      </c>
      <c r="DA129" s="218"/>
      <c r="DB129" s="224"/>
      <c r="DC129" s="218"/>
      <c r="DD129" s="218"/>
      <c r="DE129" s="218"/>
      <c r="DF129" s="218"/>
      <c r="DG129" s="218"/>
      <c r="DH129" s="218"/>
      <c r="DI129" s="218"/>
      <c r="DJ129" s="249"/>
      <c r="DK129" s="218"/>
      <c r="DL129" s="218"/>
      <c r="DM129" s="218"/>
      <c r="DN129" s="218"/>
      <c r="DO129" s="218"/>
      <c r="DP129" s="218"/>
      <c r="DQ129" s="227"/>
      <c r="DR129" s="224"/>
      <c r="DS129" s="218"/>
      <c r="DT129" s="218"/>
      <c r="DU129" s="218"/>
      <c r="DV129" s="218"/>
      <c r="DW129" s="218"/>
      <c r="DX129" s="218"/>
      <c r="DY129" s="218"/>
      <c r="DZ129" s="218"/>
      <c r="EA129" s="218"/>
      <c r="EB129" s="218"/>
      <c r="EC129" s="218"/>
      <c r="ED129" s="218"/>
      <c r="EE129" s="218"/>
      <c r="EF129" s="223">
        <f t="shared" ref="EF129:EJ129" si="227">AH129+AP129+AX129+BF129+BN129+BV129+CD129+CL129+CT129+DB129+DJ129+DR129+DZ129</f>
        <v>0</v>
      </c>
      <c r="EG129" s="223">
        <f t="shared" si="227"/>
        <v>1</v>
      </c>
      <c r="EH129" s="223">
        <f t="shared" si="227"/>
        <v>1</v>
      </c>
      <c r="EI129" s="223">
        <f t="shared" si="227"/>
        <v>0</v>
      </c>
      <c r="EJ129" s="223">
        <f t="shared" si="227"/>
        <v>0</v>
      </c>
      <c r="EK129" s="223">
        <f t="shared" si="181"/>
        <v>2</v>
      </c>
      <c r="EL129" s="218">
        <f t="shared" si="182"/>
        <v>100</v>
      </c>
      <c r="EM129" s="218">
        <f t="shared" si="183"/>
        <v>6.25</v>
      </c>
      <c r="EN129" s="223">
        <f t="shared" si="184"/>
        <v>2</v>
      </c>
      <c r="EO129" s="226">
        <f t="shared" si="185"/>
        <v>4.25</v>
      </c>
      <c r="ER129" s="251"/>
      <c r="EU129" s="220"/>
    </row>
    <row r="130" s="200" customFormat="1" customHeight="1" spans="1:151 16378:16384">
      <c r="A130" s="380"/>
      <c r="B130" s="357">
        <v>55</v>
      </c>
      <c r="C130" s="434" t="s">
        <v>1010</v>
      </c>
      <c r="D130" s="220"/>
      <c r="E130" s="220"/>
      <c r="F130" s="220"/>
      <c r="G130" s="220"/>
      <c r="H130" s="239"/>
      <c r="I130" s="239"/>
      <c r="J130" s="220"/>
      <c r="K130" s="221"/>
      <c r="L130" s="239"/>
      <c r="M130" s="239"/>
      <c r="N130" s="221"/>
      <c r="O130" s="221"/>
      <c r="W130" s="207"/>
      <c r="X130" s="220"/>
      <c r="Y130" s="220"/>
      <c r="Z130" s="354" t="s">
        <v>880</v>
      </c>
      <c r="AA130" s="218">
        <v>200</v>
      </c>
      <c r="AB130" s="242">
        <f t="shared" si="186"/>
        <v>0</v>
      </c>
      <c r="AC130" s="218"/>
      <c r="AD130" s="218"/>
      <c r="AE130" s="218"/>
      <c r="AF130" s="364">
        <f t="shared" si="208"/>
        <v>0</v>
      </c>
      <c r="AG130" s="265">
        <v>46084</v>
      </c>
      <c r="AH130" s="247"/>
      <c r="AI130" s="223"/>
      <c r="AJ130" s="223"/>
      <c r="AK130" s="223"/>
      <c r="AL130" s="223"/>
      <c r="AM130" s="247">
        <f t="shared" si="170"/>
        <v>0</v>
      </c>
      <c r="AN130" s="245" t="e">
        <f t="shared" si="191"/>
        <v>#DIV/0!</v>
      </c>
      <c r="AO130" s="249"/>
      <c r="AP130" s="224"/>
      <c r="AQ130" s="250"/>
      <c r="AR130" s="250"/>
      <c r="AS130" s="250"/>
      <c r="AT130" s="250"/>
      <c r="AU130" s="349">
        <f t="shared" si="171"/>
        <v>0</v>
      </c>
      <c r="AV130" s="245" t="e">
        <f t="shared" si="172"/>
        <v>#DIV/0!</v>
      </c>
      <c r="AW130" s="249"/>
      <c r="AX130" s="223"/>
      <c r="AY130" s="250"/>
      <c r="AZ130" s="250"/>
      <c r="BA130" s="250"/>
      <c r="BB130" s="250"/>
      <c r="BC130" s="397">
        <f t="shared" si="173"/>
        <v>0</v>
      </c>
      <c r="BD130" s="248" t="e">
        <f t="shared" si="174"/>
        <v>#DIV/0!</v>
      </c>
      <c r="BE130" s="249"/>
      <c r="BF130" s="224"/>
      <c r="BG130" s="250"/>
      <c r="BH130" s="250"/>
      <c r="BI130" s="250"/>
      <c r="BJ130" s="250"/>
      <c r="BK130" s="247">
        <f t="shared" si="188"/>
        <v>0</v>
      </c>
      <c r="BL130" s="248" t="e">
        <f t="shared" si="120"/>
        <v>#DIV/0!</v>
      </c>
      <c r="BM130" s="227"/>
      <c r="BN130" s="224"/>
      <c r="BO130" s="218"/>
      <c r="BP130" s="218"/>
      <c r="BQ130" s="218"/>
      <c r="BR130" s="218"/>
      <c r="BS130" s="247"/>
      <c r="BT130" s="248" t="e">
        <f t="shared" si="175"/>
        <v>#DIV/0!</v>
      </c>
      <c r="BU130" s="218"/>
      <c r="BV130" s="408"/>
      <c r="BW130" s="218"/>
      <c r="BX130" s="218"/>
      <c r="BY130" s="218"/>
      <c r="BZ130" s="218"/>
      <c r="CA130" s="245"/>
      <c r="CB130" s="248" t="e">
        <f t="shared" si="176"/>
        <v>#DIV/0!</v>
      </c>
      <c r="CC130" s="218"/>
      <c r="CD130" s="224"/>
      <c r="CE130" s="218"/>
      <c r="CF130" s="218"/>
      <c r="CG130" s="218"/>
      <c r="CH130" s="218"/>
      <c r="CI130" s="245"/>
      <c r="CJ130" s="248" t="e">
        <f t="shared" si="177"/>
        <v>#DIV/0!</v>
      </c>
      <c r="CK130" s="218"/>
      <c r="CL130" s="224"/>
      <c r="CM130" s="218"/>
      <c r="CN130" s="218"/>
      <c r="CO130" s="218"/>
      <c r="CP130" s="218"/>
      <c r="CQ130" s="245"/>
      <c r="CR130" s="248" t="e">
        <f t="shared" si="178"/>
        <v>#DIV/0!</v>
      </c>
      <c r="CS130" s="218"/>
      <c r="CT130" s="224"/>
      <c r="CU130" s="218"/>
      <c r="CV130" s="218"/>
      <c r="CW130" s="218"/>
      <c r="CX130" s="218"/>
      <c r="CY130" s="218"/>
      <c r="CZ130" s="245" t="e">
        <f t="shared" si="179"/>
        <v>#DIV/0!</v>
      </c>
      <c r="DA130" s="218"/>
      <c r="DB130" s="224"/>
      <c r="DC130" s="218"/>
      <c r="DD130" s="218"/>
      <c r="DE130" s="218"/>
      <c r="DF130" s="218"/>
      <c r="DG130" s="218"/>
      <c r="DH130" s="218"/>
      <c r="DI130" s="218"/>
      <c r="DJ130" s="249"/>
      <c r="DK130" s="218"/>
      <c r="DL130" s="218"/>
      <c r="DM130" s="218"/>
      <c r="DN130" s="218"/>
      <c r="DO130" s="218"/>
      <c r="DP130" s="218"/>
      <c r="DQ130" s="227"/>
      <c r="DR130" s="224"/>
      <c r="DS130" s="218"/>
      <c r="DT130" s="218"/>
      <c r="DU130" s="218"/>
      <c r="DV130" s="218"/>
      <c r="DW130" s="218"/>
      <c r="DX130" s="218"/>
      <c r="DY130" s="218"/>
      <c r="DZ130" s="218"/>
      <c r="EA130" s="218"/>
      <c r="EB130" s="218"/>
      <c r="EC130" s="218"/>
      <c r="ED130" s="218"/>
      <c r="EE130" s="218"/>
      <c r="EF130" s="223">
        <f t="shared" ref="EF130:EJ130" si="228">AH130+AP130+AX130+BF130+BN130+BV130+CD130+CL130+CT130+DB130+DJ130+DR130+DZ130</f>
        <v>0</v>
      </c>
      <c r="EG130" s="223">
        <f t="shared" si="228"/>
        <v>0</v>
      </c>
      <c r="EH130" s="223">
        <f t="shared" si="228"/>
        <v>0</v>
      </c>
      <c r="EI130" s="223">
        <f t="shared" si="228"/>
        <v>0</v>
      </c>
      <c r="EJ130" s="223">
        <f t="shared" si="228"/>
        <v>0</v>
      </c>
      <c r="EK130" s="223">
        <f t="shared" si="181"/>
        <v>0</v>
      </c>
      <c r="EL130" s="218">
        <f t="shared" si="182"/>
        <v>0</v>
      </c>
      <c r="EM130" s="218">
        <f t="shared" si="183"/>
        <v>0</v>
      </c>
      <c r="EN130" s="223">
        <f t="shared" si="184"/>
        <v>0</v>
      </c>
      <c r="EO130" s="226">
        <f t="shared" si="185"/>
        <v>0</v>
      </c>
      <c r="ER130" s="251"/>
      <c r="EU130" s="220"/>
    </row>
    <row r="131" s="200" customFormat="1" customHeight="1" spans="1:151 16378:16384">
      <c r="A131" s="380"/>
      <c r="B131" s="357">
        <v>56</v>
      </c>
      <c r="C131" s="434" t="s">
        <v>1011</v>
      </c>
      <c r="D131" s="220"/>
      <c r="E131" s="220"/>
      <c r="F131" s="220"/>
      <c r="G131" s="220"/>
      <c r="H131" s="239"/>
      <c r="I131" s="239"/>
      <c r="J131" s="220"/>
      <c r="K131" s="221"/>
      <c r="L131" s="239"/>
      <c r="M131" s="239"/>
      <c r="N131" s="221"/>
      <c r="O131" s="221"/>
      <c r="W131" s="207"/>
      <c r="X131" s="220"/>
      <c r="Y131" s="220"/>
      <c r="Z131" s="354" t="s">
        <v>880</v>
      </c>
      <c r="AA131" s="218">
        <v>200</v>
      </c>
      <c r="AB131" s="242">
        <f t="shared" si="186"/>
        <v>0</v>
      </c>
      <c r="AC131" s="218"/>
      <c r="AD131" s="218"/>
      <c r="AE131" s="218"/>
      <c r="AF131" s="364">
        <f t="shared" si="208"/>
        <v>0</v>
      </c>
      <c r="AG131" s="265">
        <v>46084</v>
      </c>
      <c r="AH131" s="247"/>
      <c r="AI131" s="223"/>
      <c r="AJ131" s="223"/>
      <c r="AK131" s="223"/>
      <c r="AL131" s="223"/>
      <c r="AM131" s="247">
        <f t="shared" si="170"/>
        <v>0</v>
      </c>
      <c r="AN131" s="245" t="e">
        <f t="shared" si="191"/>
        <v>#DIV/0!</v>
      </c>
      <c r="AO131" s="249"/>
      <c r="AP131" s="224"/>
      <c r="AQ131" s="250"/>
      <c r="AR131" s="250"/>
      <c r="AS131" s="250"/>
      <c r="AT131" s="250"/>
      <c r="AU131" s="349">
        <f t="shared" si="171"/>
        <v>0</v>
      </c>
      <c r="AV131" s="245" t="e">
        <f t="shared" si="172"/>
        <v>#DIV/0!</v>
      </c>
      <c r="AW131" s="249"/>
      <c r="AX131" s="223"/>
      <c r="AY131" s="250"/>
      <c r="AZ131" s="250"/>
      <c r="BA131" s="250"/>
      <c r="BB131" s="250"/>
      <c r="BC131" s="397">
        <f t="shared" si="173"/>
        <v>0</v>
      </c>
      <c r="BD131" s="248" t="e">
        <f t="shared" si="174"/>
        <v>#DIV/0!</v>
      </c>
      <c r="BE131" s="249"/>
      <c r="BF131" s="224"/>
      <c r="BG131" s="250"/>
      <c r="BH131" s="250"/>
      <c r="BI131" s="250"/>
      <c r="BJ131" s="250"/>
      <c r="BK131" s="247">
        <f t="shared" si="188"/>
        <v>0</v>
      </c>
      <c r="BL131" s="248" t="e">
        <f t="shared" ref="BL131:BL136" si="229">BK131*16/AF131</f>
        <v>#DIV/0!</v>
      </c>
      <c r="BM131" s="227"/>
      <c r="BN131" s="224"/>
      <c r="BO131" s="218"/>
      <c r="BP131" s="218"/>
      <c r="BQ131" s="218"/>
      <c r="BR131" s="218"/>
      <c r="BS131" s="247"/>
      <c r="BT131" s="248" t="e">
        <f t="shared" si="175"/>
        <v>#DIV/0!</v>
      </c>
      <c r="BU131" s="218"/>
      <c r="BV131" s="408"/>
      <c r="BW131" s="218"/>
      <c r="BX131" s="218"/>
      <c r="BY131" s="218"/>
      <c r="BZ131" s="218"/>
      <c r="CA131" s="245"/>
      <c r="CB131" s="248" t="e">
        <f t="shared" si="176"/>
        <v>#DIV/0!</v>
      </c>
      <c r="CC131" s="218"/>
      <c r="CD131" s="224"/>
      <c r="CE131" s="218"/>
      <c r="CF131" s="218"/>
      <c r="CG131" s="218"/>
      <c r="CH131" s="218"/>
      <c r="CI131" s="245"/>
      <c r="CJ131" s="248" t="e">
        <f t="shared" si="177"/>
        <v>#DIV/0!</v>
      </c>
      <c r="CK131" s="218"/>
      <c r="CL131" s="224"/>
      <c r="CM131" s="218"/>
      <c r="CN131" s="218"/>
      <c r="CO131" s="218"/>
      <c r="CP131" s="218"/>
      <c r="CQ131" s="245"/>
      <c r="CR131" s="248" t="e">
        <f t="shared" si="178"/>
        <v>#DIV/0!</v>
      </c>
      <c r="CS131" s="218"/>
      <c r="CT131" s="224"/>
      <c r="CU131" s="218"/>
      <c r="CV131" s="218"/>
      <c r="CW131" s="218"/>
      <c r="CX131" s="218"/>
      <c r="CY131" s="218"/>
      <c r="CZ131" s="245" t="e">
        <f t="shared" si="179"/>
        <v>#DIV/0!</v>
      </c>
      <c r="DA131" s="218"/>
      <c r="DB131" s="224"/>
      <c r="DC131" s="218"/>
      <c r="DD131" s="218"/>
      <c r="DE131" s="218"/>
      <c r="DF131" s="218"/>
      <c r="DG131" s="218"/>
      <c r="DH131" s="218"/>
      <c r="DI131" s="218"/>
      <c r="DJ131" s="249"/>
      <c r="DK131" s="218"/>
      <c r="DL131" s="218"/>
      <c r="DM131" s="218"/>
      <c r="DN131" s="218"/>
      <c r="DO131" s="218"/>
      <c r="DP131" s="218"/>
      <c r="DQ131" s="227"/>
      <c r="DR131" s="224"/>
      <c r="DS131" s="218"/>
      <c r="DT131" s="218"/>
      <c r="DU131" s="218"/>
      <c r="DV131" s="218"/>
      <c r="DW131" s="218"/>
      <c r="DX131" s="218"/>
      <c r="DY131" s="218"/>
      <c r="DZ131" s="218"/>
      <c r="EA131" s="218"/>
      <c r="EB131" s="218"/>
      <c r="EC131" s="218"/>
      <c r="ED131" s="218"/>
      <c r="EE131" s="218"/>
      <c r="EF131" s="223">
        <f t="shared" ref="EF131:EJ131" si="230">AH131+AP131+AX131+BF131+BN131+BV131+CD131+CL131+CT131+DB131+DJ131+DR131+DZ131</f>
        <v>0</v>
      </c>
      <c r="EG131" s="223">
        <f t="shared" si="230"/>
        <v>0</v>
      </c>
      <c r="EH131" s="223">
        <f t="shared" si="230"/>
        <v>0</v>
      </c>
      <c r="EI131" s="223">
        <f t="shared" si="230"/>
        <v>0</v>
      </c>
      <c r="EJ131" s="223">
        <f t="shared" si="230"/>
        <v>0</v>
      </c>
      <c r="EK131" s="223">
        <f t="shared" si="181"/>
        <v>0</v>
      </c>
      <c r="EL131" s="218">
        <f t="shared" si="182"/>
        <v>0</v>
      </c>
      <c r="EM131" s="218">
        <f t="shared" si="183"/>
        <v>0</v>
      </c>
      <c r="EN131" s="223">
        <f t="shared" si="184"/>
        <v>0</v>
      </c>
      <c r="EO131" s="226">
        <f t="shared" si="185"/>
        <v>0</v>
      </c>
      <c r="ER131" s="251"/>
      <c r="EU131" s="220"/>
    </row>
    <row r="132" s="200" customFormat="1" customHeight="1" spans="1:151 16378:16384">
      <c r="A132" s="380"/>
      <c r="B132" s="357">
        <v>57</v>
      </c>
      <c r="C132" s="434" t="s">
        <v>1012</v>
      </c>
      <c r="D132" s="220"/>
      <c r="E132" s="220"/>
      <c r="F132" s="220"/>
      <c r="G132" s="220"/>
      <c r="H132" s="239"/>
      <c r="I132" s="239"/>
      <c r="J132" s="220"/>
      <c r="K132" s="221"/>
      <c r="L132" s="239"/>
      <c r="M132" s="239"/>
      <c r="N132" s="221"/>
      <c r="O132" s="221"/>
      <c r="W132" s="207"/>
      <c r="X132" s="220"/>
      <c r="Y132" s="220"/>
      <c r="Z132" s="354"/>
      <c r="AA132" s="218">
        <v>200</v>
      </c>
      <c r="AB132" s="242">
        <f t="shared" si="186"/>
        <v>0</v>
      </c>
      <c r="AC132" s="218"/>
      <c r="AD132" s="218"/>
      <c r="AE132" s="218"/>
      <c r="AF132" s="364">
        <f t="shared" si="208"/>
        <v>0</v>
      </c>
      <c r="AG132" s="265">
        <v>46084</v>
      </c>
      <c r="AH132" s="247"/>
      <c r="AI132" s="247"/>
      <c r="AJ132" s="247"/>
      <c r="AK132" s="247"/>
      <c r="AL132" s="247"/>
      <c r="AM132" s="247">
        <f t="shared" si="170"/>
        <v>0</v>
      </c>
      <c r="AN132" s="245" t="e">
        <f t="shared" si="191"/>
        <v>#DIV/0!</v>
      </c>
      <c r="AO132" s="249"/>
      <c r="AP132" s="224"/>
      <c r="AQ132" s="250"/>
      <c r="AR132" s="250"/>
      <c r="AS132" s="250"/>
      <c r="AT132" s="250"/>
      <c r="AU132" s="349">
        <f t="shared" si="171"/>
        <v>0</v>
      </c>
      <c r="AV132" s="245" t="e">
        <f t="shared" si="172"/>
        <v>#DIV/0!</v>
      </c>
      <c r="AW132" s="249"/>
      <c r="AX132" s="223"/>
      <c r="AY132" s="250"/>
      <c r="AZ132" s="250"/>
      <c r="BA132" s="250"/>
      <c r="BB132" s="250"/>
      <c r="BC132" s="397">
        <f t="shared" si="173"/>
        <v>0</v>
      </c>
      <c r="BD132" s="248" t="e">
        <f t="shared" si="174"/>
        <v>#DIV/0!</v>
      </c>
      <c r="BE132" s="249"/>
      <c r="BF132" s="224"/>
      <c r="BG132" s="250"/>
      <c r="BH132" s="250"/>
      <c r="BI132" s="250"/>
      <c r="BJ132" s="250"/>
      <c r="BK132" s="247">
        <f t="shared" si="188"/>
        <v>0</v>
      </c>
      <c r="BL132" s="248" t="e">
        <f t="shared" si="229"/>
        <v>#DIV/0!</v>
      </c>
      <c r="BM132" s="227"/>
      <c r="BN132" s="224"/>
      <c r="BO132" s="218"/>
      <c r="BP132" s="218"/>
      <c r="BQ132" s="218"/>
      <c r="BR132" s="218"/>
      <c r="BS132" s="247"/>
      <c r="BT132" s="248" t="e">
        <f t="shared" si="175"/>
        <v>#DIV/0!</v>
      </c>
      <c r="BU132" s="218"/>
      <c r="BV132" s="408"/>
      <c r="BW132" s="218"/>
      <c r="BX132" s="218"/>
      <c r="BY132" s="218"/>
      <c r="BZ132" s="218"/>
      <c r="CA132" s="245"/>
      <c r="CB132" s="248" t="e">
        <f t="shared" si="176"/>
        <v>#DIV/0!</v>
      </c>
      <c r="CC132" s="218"/>
      <c r="CD132" s="224"/>
      <c r="CE132" s="218"/>
      <c r="CF132" s="218"/>
      <c r="CG132" s="218"/>
      <c r="CH132" s="218"/>
      <c r="CI132" s="245"/>
      <c r="CJ132" s="248" t="e">
        <f t="shared" si="177"/>
        <v>#DIV/0!</v>
      </c>
      <c r="CK132" s="218"/>
      <c r="CL132" s="224"/>
      <c r="CM132" s="218"/>
      <c r="CN132" s="218"/>
      <c r="CO132" s="218"/>
      <c r="CP132" s="218"/>
      <c r="CQ132" s="245"/>
      <c r="CR132" s="248" t="e">
        <f t="shared" si="178"/>
        <v>#DIV/0!</v>
      </c>
      <c r="CS132" s="218"/>
      <c r="CT132" s="224"/>
      <c r="CU132" s="218"/>
      <c r="CV132" s="218"/>
      <c r="CW132" s="218"/>
      <c r="CX132" s="218"/>
      <c r="CY132" s="218"/>
      <c r="CZ132" s="245" t="e">
        <f t="shared" si="179"/>
        <v>#DIV/0!</v>
      </c>
      <c r="DA132" s="218"/>
      <c r="DB132" s="224"/>
      <c r="DC132" s="218"/>
      <c r="DD132" s="218"/>
      <c r="DE132" s="218"/>
      <c r="DF132" s="218"/>
      <c r="DG132" s="218"/>
      <c r="DH132" s="218"/>
      <c r="DI132" s="218"/>
      <c r="DJ132" s="249"/>
      <c r="DK132" s="218"/>
      <c r="DL132" s="218"/>
      <c r="DM132" s="218"/>
      <c r="DN132" s="218"/>
      <c r="DO132" s="218"/>
      <c r="DP132" s="218"/>
      <c r="DQ132" s="227"/>
      <c r="DR132" s="224"/>
      <c r="DS132" s="218"/>
      <c r="DT132" s="218"/>
      <c r="DU132" s="218"/>
      <c r="DV132" s="218"/>
      <c r="DW132" s="218"/>
      <c r="DX132" s="218"/>
      <c r="DY132" s="218"/>
      <c r="DZ132" s="218"/>
      <c r="EA132" s="218"/>
      <c r="EB132" s="218"/>
      <c r="EC132" s="218"/>
      <c r="ED132" s="218"/>
      <c r="EE132" s="218"/>
      <c r="EF132" s="223">
        <f t="shared" ref="EF132:EJ132" si="231">AH132+AP132+AX132+BF132+BN132+BV132+CD132+CL132+CT132+DB132+DJ132+DR132+DZ132</f>
        <v>0</v>
      </c>
      <c r="EG132" s="223">
        <f t="shared" si="231"/>
        <v>0</v>
      </c>
      <c r="EH132" s="223">
        <f t="shared" si="231"/>
        <v>0</v>
      </c>
      <c r="EI132" s="223">
        <f t="shared" si="231"/>
        <v>0</v>
      </c>
      <c r="EJ132" s="223">
        <f t="shared" si="231"/>
        <v>0</v>
      </c>
      <c r="EK132" s="223">
        <f t="shared" si="181"/>
        <v>0</v>
      </c>
      <c r="EL132" s="218">
        <f t="shared" si="182"/>
        <v>0</v>
      </c>
      <c r="EM132" s="218">
        <f t="shared" si="183"/>
        <v>0</v>
      </c>
      <c r="EN132" s="223">
        <f t="shared" si="184"/>
        <v>0</v>
      </c>
      <c r="EO132" s="226">
        <f t="shared" si="185"/>
        <v>0</v>
      </c>
      <c r="ER132" s="251"/>
      <c r="EU132" s="220"/>
    </row>
    <row r="133" s="200" customFormat="1" customHeight="1" spans="1:151 16378:16384">
      <c r="A133" s="380"/>
      <c r="B133" s="357">
        <v>58</v>
      </c>
      <c r="C133" s="434" t="s">
        <v>1013</v>
      </c>
      <c r="D133" s="220"/>
      <c r="E133" s="220"/>
      <c r="F133" s="220"/>
      <c r="G133" s="220"/>
      <c r="H133" s="239"/>
      <c r="I133" s="239"/>
      <c r="J133" s="220"/>
      <c r="K133" s="221"/>
      <c r="L133" s="239"/>
      <c r="M133" s="239"/>
      <c r="N133" s="221"/>
      <c r="O133" s="221"/>
      <c r="W133" s="207"/>
      <c r="Y133" s="207"/>
      <c r="Z133" s="439"/>
      <c r="AA133" s="218">
        <v>200</v>
      </c>
      <c r="AB133" s="218">
        <f t="shared" si="186"/>
        <v>1</v>
      </c>
      <c r="AC133" s="218"/>
      <c r="AD133" s="218">
        <v>1</v>
      </c>
      <c r="AE133" s="218"/>
      <c r="AF133" s="364">
        <f t="shared" si="208"/>
        <v>5</v>
      </c>
      <c r="AG133" s="265">
        <v>46084</v>
      </c>
      <c r="AH133" s="247"/>
      <c r="AI133" s="247"/>
      <c r="AJ133" s="247"/>
      <c r="AK133" s="247"/>
      <c r="AL133" s="247"/>
      <c r="AM133" s="247">
        <f t="shared" si="170"/>
        <v>0</v>
      </c>
      <c r="AN133" s="245">
        <f t="shared" si="191"/>
        <v>0</v>
      </c>
      <c r="AO133" s="252">
        <v>46093</v>
      </c>
      <c r="AP133" s="253"/>
      <c r="AQ133" s="269">
        <v>1</v>
      </c>
      <c r="AR133" s="269">
        <v>1</v>
      </c>
      <c r="AS133" s="269"/>
      <c r="AT133" s="269"/>
      <c r="AU133" s="394">
        <f t="shared" si="171"/>
        <v>2</v>
      </c>
      <c r="AV133" s="245">
        <f t="shared" si="172"/>
        <v>6.4</v>
      </c>
      <c r="AW133" s="246">
        <f>AO133+AV133*7</f>
        <v>46137.8</v>
      </c>
      <c r="AX133" s="223"/>
      <c r="AY133" s="250"/>
      <c r="AZ133" s="250"/>
      <c r="BA133" s="250"/>
      <c r="BB133" s="250"/>
      <c r="BC133" s="397">
        <f t="shared" si="173"/>
        <v>0</v>
      </c>
      <c r="BD133" s="248">
        <f t="shared" si="174"/>
        <v>0</v>
      </c>
      <c r="BE133" s="249"/>
      <c r="BF133" s="224"/>
      <c r="BG133" s="250"/>
      <c r="BH133" s="250"/>
      <c r="BI133" s="250"/>
      <c r="BJ133" s="250"/>
      <c r="BK133" s="247">
        <f t="shared" si="188"/>
        <v>0</v>
      </c>
      <c r="BL133" s="248">
        <f t="shared" si="229"/>
        <v>0</v>
      </c>
      <c r="BM133" s="227"/>
      <c r="BN133" s="224"/>
      <c r="BO133" s="218"/>
      <c r="BP133" s="218"/>
      <c r="BQ133" s="218"/>
      <c r="BR133" s="218"/>
      <c r="BS133" s="247"/>
      <c r="BT133" s="248">
        <f t="shared" si="175"/>
        <v>0</v>
      </c>
      <c r="BU133" s="218"/>
      <c r="BV133" s="408"/>
      <c r="BW133" s="218"/>
      <c r="BX133" s="218"/>
      <c r="BY133" s="218"/>
      <c r="BZ133" s="218"/>
      <c r="CA133" s="245"/>
      <c r="CB133" s="248">
        <f t="shared" si="176"/>
        <v>0</v>
      </c>
      <c r="CC133" s="218"/>
      <c r="CD133" s="224"/>
      <c r="CE133" s="218"/>
      <c r="CF133" s="218"/>
      <c r="CG133" s="218"/>
      <c r="CH133" s="218"/>
      <c r="CI133" s="245"/>
      <c r="CJ133" s="248">
        <f t="shared" si="177"/>
        <v>0</v>
      </c>
      <c r="CK133" s="218"/>
      <c r="CL133" s="224"/>
      <c r="CM133" s="218"/>
      <c r="CN133" s="218"/>
      <c r="CO133" s="218"/>
      <c r="CP133" s="218"/>
      <c r="CQ133" s="245"/>
      <c r="CR133" s="248">
        <f t="shared" si="178"/>
        <v>0</v>
      </c>
      <c r="CS133" s="218"/>
      <c r="CT133" s="224"/>
      <c r="CU133" s="218"/>
      <c r="CV133" s="218"/>
      <c r="CW133" s="218"/>
      <c r="CX133" s="218"/>
      <c r="CY133" s="218"/>
      <c r="CZ133" s="245">
        <f t="shared" si="179"/>
        <v>0</v>
      </c>
      <c r="DA133" s="218"/>
      <c r="DB133" s="224"/>
      <c r="DC133" s="218"/>
      <c r="DD133" s="218"/>
      <c r="DE133" s="218"/>
      <c r="DF133" s="218"/>
      <c r="DG133" s="218"/>
      <c r="DH133" s="218"/>
      <c r="DI133" s="218"/>
      <c r="DJ133" s="249"/>
      <c r="DK133" s="218"/>
      <c r="DL133" s="218"/>
      <c r="DM133" s="218"/>
      <c r="DN133" s="218"/>
      <c r="DO133" s="218"/>
      <c r="DP133" s="218"/>
      <c r="DQ133" s="227"/>
      <c r="DR133" s="224"/>
      <c r="DS133" s="218"/>
      <c r="DT133" s="218"/>
      <c r="DU133" s="218"/>
      <c r="DV133" s="218"/>
      <c r="DW133" s="218"/>
      <c r="DX133" s="218"/>
      <c r="DY133" s="218"/>
      <c r="DZ133" s="218"/>
      <c r="EA133" s="218"/>
      <c r="EB133" s="218"/>
      <c r="EC133" s="218"/>
      <c r="ED133" s="218"/>
      <c r="EE133" s="218"/>
      <c r="EF133" s="223">
        <f t="shared" ref="EF133:EJ133" si="232">AH133+AP133+AX133+BF133+BN133+BV133+CD133+CL133+CT133+DB133+DJ133+DR133+DZ133</f>
        <v>0</v>
      </c>
      <c r="EG133" s="223">
        <f t="shared" si="232"/>
        <v>1</v>
      </c>
      <c r="EH133" s="223">
        <f t="shared" si="232"/>
        <v>1</v>
      </c>
      <c r="EI133" s="223">
        <f t="shared" si="232"/>
        <v>0</v>
      </c>
      <c r="EJ133" s="223">
        <f t="shared" si="232"/>
        <v>0</v>
      </c>
      <c r="EK133" s="223">
        <f t="shared" si="181"/>
        <v>2</v>
      </c>
      <c r="EL133" s="218">
        <f t="shared" si="182"/>
        <v>100</v>
      </c>
      <c r="EM133" s="218">
        <f t="shared" si="183"/>
        <v>6.25</v>
      </c>
      <c r="EN133" s="223">
        <f t="shared" si="184"/>
        <v>2</v>
      </c>
      <c r="EO133" s="226">
        <f t="shared" si="185"/>
        <v>4.25</v>
      </c>
      <c r="ER133" s="251"/>
      <c r="EU133" s="220"/>
    </row>
    <row r="134" s="200" customFormat="1" customHeight="1" spans="1:151 16378:16384">
      <c r="A134" s="380"/>
      <c r="B134" s="357">
        <v>59</v>
      </c>
      <c r="C134" s="434" t="s">
        <v>1014</v>
      </c>
      <c r="D134" s="220"/>
      <c r="E134" s="220"/>
      <c r="F134" s="220"/>
      <c r="G134" s="220"/>
      <c r="H134" s="239"/>
      <c r="I134" s="239"/>
      <c r="J134" s="220"/>
      <c r="K134" s="221"/>
      <c r="L134" s="239"/>
      <c r="M134" s="239"/>
      <c r="N134" s="221"/>
      <c r="O134" s="221"/>
      <c r="W134" s="207"/>
      <c r="Y134" s="207"/>
      <c r="Z134" s="354"/>
      <c r="AA134" s="218">
        <v>200</v>
      </c>
      <c r="AB134" s="242">
        <f t="shared" si="186"/>
        <v>0</v>
      </c>
      <c r="AC134" s="218"/>
      <c r="AD134" s="218"/>
      <c r="AE134" s="218"/>
      <c r="AF134" s="364">
        <f t="shared" si="208"/>
        <v>0</v>
      </c>
      <c r="AG134" s="265"/>
      <c r="AH134" s="247"/>
      <c r="AI134" s="223"/>
      <c r="AJ134" s="223"/>
      <c r="AK134" s="223"/>
      <c r="AL134" s="223"/>
      <c r="AM134" s="247">
        <f t="shared" si="170"/>
        <v>0</v>
      </c>
      <c r="AN134" s="245" t="e">
        <f t="shared" si="191"/>
        <v>#DIV/0!</v>
      </c>
      <c r="AO134" s="249"/>
      <c r="AP134" s="224"/>
      <c r="AQ134" s="250"/>
      <c r="AR134" s="250"/>
      <c r="AS134" s="250"/>
      <c r="AT134" s="250"/>
      <c r="AU134" s="349">
        <f t="shared" si="171"/>
        <v>0</v>
      </c>
      <c r="AV134" s="245" t="e">
        <f t="shared" si="172"/>
        <v>#DIV/0!</v>
      </c>
      <c r="AW134" s="249"/>
      <c r="AX134" s="223"/>
      <c r="AY134" s="250"/>
      <c r="AZ134" s="250"/>
      <c r="BA134" s="250"/>
      <c r="BB134" s="250"/>
      <c r="BC134" s="397">
        <f t="shared" si="173"/>
        <v>0</v>
      </c>
      <c r="BD134" s="248" t="e">
        <f t="shared" si="174"/>
        <v>#DIV/0!</v>
      </c>
      <c r="BE134" s="249"/>
      <c r="BF134" s="224"/>
      <c r="BG134" s="250"/>
      <c r="BH134" s="250"/>
      <c r="BI134" s="250"/>
      <c r="BJ134" s="250"/>
      <c r="BK134" s="247">
        <f t="shared" si="188"/>
        <v>0</v>
      </c>
      <c r="BL134" s="248" t="e">
        <f t="shared" si="229"/>
        <v>#DIV/0!</v>
      </c>
      <c r="BM134" s="227"/>
      <c r="BN134" s="224"/>
      <c r="BO134" s="218"/>
      <c r="BP134" s="218"/>
      <c r="BQ134" s="218"/>
      <c r="BR134" s="218"/>
      <c r="BS134" s="247"/>
      <c r="BT134" s="248" t="e">
        <f t="shared" si="175"/>
        <v>#DIV/0!</v>
      </c>
      <c r="BU134" s="218"/>
      <c r="BV134" s="408"/>
      <c r="BW134" s="218"/>
      <c r="BX134" s="218"/>
      <c r="BY134" s="218"/>
      <c r="BZ134" s="218"/>
      <c r="CA134" s="245"/>
      <c r="CB134" s="248" t="e">
        <f t="shared" si="176"/>
        <v>#DIV/0!</v>
      </c>
      <c r="CC134" s="218"/>
      <c r="CD134" s="224"/>
      <c r="CE134" s="218"/>
      <c r="CF134" s="218"/>
      <c r="CG134" s="218"/>
      <c r="CH134" s="218"/>
      <c r="CI134" s="245"/>
      <c r="CJ134" s="248" t="e">
        <f t="shared" si="177"/>
        <v>#DIV/0!</v>
      </c>
      <c r="CK134" s="218"/>
      <c r="CL134" s="224"/>
      <c r="CM134" s="218"/>
      <c r="CN134" s="218"/>
      <c r="CO134" s="218"/>
      <c r="CP134" s="218"/>
      <c r="CQ134" s="245"/>
      <c r="CR134" s="248" t="e">
        <f t="shared" si="178"/>
        <v>#DIV/0!</v>
      </c>
      <c r="CS134" s="218"/>
      <c r="CT134" s="224"/>
      <c r="CU134" s="218"/>
      <c r="CV134" s="218"/>
      <c r="CW134" s="218"/>
      <c r="CX134" s="218"/>
      <c r="CY134" s="218"/>
      <c r="CZ134" s="245" t="e">
        <f t="shared" si="179"/>
        <v>#DIV/0!</v>
      </c>
      <c r="DA134" s="218"/>
      <c r="DB134" s="224"/>
      <c r="DC134" s="218"/>
      <c r="DD134" s="218"/>
      <c r="DE134" s="218"/>
      <c r="DF134" s="218"/>
      <c r="DG134" s="218"/>
      <c r="DH134" s="218"/>
      <c r="DI134" s="218"/>
      <c r="DJ134" s="249"/>
      <c r="DK134" s="218"/>
      <c r="DL134" s="218"/>
      <c r="DM134" s="218"/>
      <c r="DN134" s="218"/>
      <c r="DO134" s="218"/>
      <c r="DP134" s="218"/>
      <c r="DQ134" s="227"/>
      <c r="DR134" s="224"/>
      <c r="DS134" s="218"/>
      <c r="DT134" s="218"/>
      <c r="DU134" s="218"/>
      <c r="DV134" s="218"/>
      <c r="DW134" s="218"/>
      <c r="DX134" s="218"/>
      <c r="DY134" s="218"/>
      <c r="DZ134" s="218"/>
      <c r="EA134" s="218"/>
      <c r="EB134" s="218"/>
      <c r="EC134" s="218"/>
      <c r="ED134" s="218"/>
      <c r="EE134" s="218"/>
      <c r="EF134" s="223">
        <f t="shared" ref="EF134:EJ134" si="233">AH134+AP134+AX134+BF134+BN134+BV134+CD134+CL134+CT134+DB134+DJ134+DR134+DZ134</f>
        <v>0</v>
      </c>
      <c r="EG134" s="223">
        <f t="shared" si="233"/>
        <v>0</v>
      </c>
      <c r="EH134" s="223">
        <f t="shared" si="233"/>
        <v>0</v>
      </c>
      <c r="EI134" s="223">
        <f t="shared" si="233"/>
        <v>0</v>
      </c>
      <c r="EJ134" s="223">
        <f t="shared" si="233"/>
        <v>0</v>
      </c>
      <c r="EK134" s="223">
        <f t="shared" si="181"/>
        <v>0</v>
      </c>
      <c r="EL134" s="218">
        <f t="shared" si="182"/>
        <v>0</v>
      </c>
      <c r="EM134" s="218">
        <f t="shared" si="183"/>
        <v>0</v>
      </c>
      <c r="EN134" s="223">
        <f t="shared" si="184"/>
        <v>0</v>
      </c>
      <c r="EO134" s="226">
        <f t="shared" si="185"/>
        <v>0</v>
      </c>
      <c r="ER134" s="251"/>
      <c r="EU134" s="220"/>
    </row>
    <row r="135" s="200" customFormat="1" customHeight="1" spans="1:151 16378:16384">
      <c r="A135" s="380"/>
      <c r="B135" s="357">
        <v>60</v>
      </c>
      <c r="C135" s="434" t="s">
        <v>1015</v>
      </c>
      <c r="K135" s="207"/>
      <c r="N135" s="207"/>
      <c r="O135" s="207"/>
      <c r="W135" s="207"/>
      <c r="Y135" s="207"/>
      <c r="Z135" s="354" t="s">
        <v>880</v>
      </c>
      <c r="AA135" s="218">
        <v>200</v>
      </c>
      <c r="AB135" s="242">
        <f t="shared" si="186"/>
        <v>0</v>
      </c>
      <c r="AC135" s="218"/>
      <c r="AD135" s="218"/>
      <c r="AE135" s="218"/>
      <c r="AF135" s="364">
        <f t="shared" si="208"/>
        <v>0</v>
      </c>
      <c r="AG135" s="265"/>
      <c r="AH135" s="247"/>
      <c r="AI135" s="223"/>
      <c r="AJ135" s="223"/>
      <c r="AK135" s="223"/>
      <c r="AL135" s="223"/>
      <c r="AM135" s="247">
        <f t="shared" si="170"/>
        <v>0</v>
      </c>
      <c r="AN135" s="245" t="e">
        <f t="shared" si="191"/>
        <v>#DIV/0!</v>
      </c>
      <c r="AO135" s="249"/>
      <c r="AP135" s="224"/>
      <c r="AQ135" s="250"/>
      <c r="AR135" s="250"/>
      <c r="AS135" s="250"/>
      <c r="AT135" s="250"/>
      <c r="AU135" s="349">
        <f t="shared" si="171"/>
        <v>0</v>
      </c>
      <c r="AV135" s="245" t="e">
        <f t="shared" si="172"/>
        <v>#DIV/0!</v>
      </c>
      <c r="AW135" s="249"/>
      <c r="AX135" s="223"/>
      <c r="AY135" s="250"/>
      <c r="AZ135" s="250"/>
      <c r="BA135" s="250"/>
      <c r="BB135" s="250"/>
      <c r="BC135" s="397">
        <f t="shared" si="173"/>
        <v>0</v>
      </c>
      <c r="BD135" s="248" t="e">
        <f t="shared" si="174"/>
        <v>#DIV/0!</v>
      </c>
      <c r="BE135" s="249"/>
      <c r="BF135" s="224"/>
      <c r="BG135" s="250"/>
      <c r="BH135" s="250"/>
      <c r="BI135" s="250"/>
      <c r="BJ135" s="250"/>
      <c r="BK135" s="247">
        <f t="shared" si="188"/>
        <v>0</v>
      </c>
      <c r="BL135" s="248" t="e">
        <f t="shared" si="229"/>
        <v>#DIV/0!</v>
      </c>
      <c r="BM135" s="227"/>
      <c r="BN135" s="224"/>
      <c r="BO135" s="218"/>
      <c r="BP135" s="218"/>
      <c r="BQ135" s="218"/>
      <c r="BR135" s="218"/>
      <c r="BS135" s="247"/>
      <c r="BT135" s="248" t="e">
        <f t="shared" si="175"/>
        <v>#DIV/0!</v>
      </c>
      <c r="BU135" s="218"/>
      <c r="BV135" s="408"/>
      <c r="BW135" s="218"/>
      <c r="BX135" s="218"/>
      <c r="BY135" s="218"/>
      <c r="BZ135" s="218"/>
      <c r="CA135" s="245"/>
      <c r="CB135" s="248" t="e">
        <f t="shared" si="176"/>
        <v>#DIV/0!</v>
      </c>
      <c r="CC135" s="218"/>
      <c r="CD135" s="224"/>
      <c r="CE135" s="218"/>
      <c r="CF135" s="218"/>
      <c r="CG135" s="218"/>
      <c r="CH135" s="218"/>
      <c r="CI135" s="245"/>
      <c r="CJ135" s="248" t="e">
        <f t="shared" si="177"/>
        <v>#DIV/0!</v>
      </c>
      <c r="CK135" s="218"/>
      <c r="CL135" s="224"/>
      <c r="CM135" s="218"/>
      <c r="CN135" s="218"/>
      <c r="CO135" s="218"/>
      <c r="CP135" s="218"/>
      <c r="CQ135" s="245"/>
      <c r="CR135" s="248" t="e">
        <f t="shared" si="178"/>
        <v>#DIV/0!</v>
      </c>
      <c r="CS135" s="218"/>
      <c r="CT135" s="224"/>
      <c r="CU135" s="218"/>
      <c r="CV135" s="218"/>
      <c r="CW135" s="218"/>
      <c r="CX135" s="218"/>
      <c r="CY135" s="218"/>
      <c r="CZ135" s="245" t="e">
        <f t="shared" si="179"/>
        <v>#DIV/0!</v>
      </c>
      <c r="DA135" s="218"/>
      <c r="DB135" s="224"/>
      <c r="DC135" s="218"/>
      <c r="DD135" s="218"/>
      <c r="DE135" s="218"/>
      <c r="DF135" s="218"/>
      <c r="DG135" s="218"/>
      <c r="DH135" s="218"/>
      <c r="DI135" s="218"/>
      <c r="DJ135" s="249"/>
      <c r="DK135" s="218"/>
      <c r="DL135" s="218"/>
      <c r="DM135" s="218"/>
      <c r="DN135" s="218"/>
      <c r="DO135" s="218"/>
      <c r="DP135" s="218"/>
      <c r="DQ135" s="227"/>
      <c r="DR135" s="224"/>
      <c r="DS135" s="218"/>
      <c r="DT135" s="218"/>
      <c r="DU135" s="218"/>
      <c r="DV135" s="218"/>
      <c r="DW135" s="218"/>
      <c r="DX135" s="218"/>
      <c r="DY135" s="218"/>
      <c r="DZ135" s="218"/>
      <c r="EA135" s="218"/>
      <c r="EB135" s="218"/>
      <c r="EC135" s="218"/>
      <c r="ED135" s="218"/>
      <c r="EE135" s="218"/>
      <c r="EF135" s="223">
        <f t="shared" ref="EF135:EJ135" si="234">AH135+AP135+AX135+BF135+BN135+BV135+CD135+CL135+CT135+DB135+DJ135+DR135+DZ135</f>
        <v>0</v>
      </c>
      <c r="EG135" s="223">
        <f t="shared" si="234"/>
        <v>0</v>
      </c>
      <c r="EH135" s="223">
        <f t="shared" si="234"/>
        <v>0</v>
      </c>
      <c r="EI135" s="223">
        <f t="shared" si="234"/>
        <v>0</v>
      </c>
      <c r="EJ135" s="223">
        <f t="shared" si="234"/>
        <v>0</v>
      </c>
      <c r="EK135" s="223">
        <f t="shared" si="181"/>
        <v>0</v>
      </c>
      <c r="EL135" s="218">
        <f t="shared" si="182"/>
        <v>0</v>
      </c>
      <c r="EM135" s="218">
        <f t="shared" si="183"/>
        <v>0</v>
      </c>
      <c r="EN135" s="223">
        <f t="shared" si="184"/>
        <v>0</v>
      </c>
      <c r="EO135" s="226">
        <f t="shared" si="185"/>
        <v>0</v>
      </c>
      <c r="ER135" s="251"/>
      <c r="EU135" s="220"/>
    </row>
    <row r="136" s="200" customFormat="1" customHeight="1" spans="1:151 16378:16384">
      <c r="A136" s="380"/>
      <c r="B136" s="357">
        <v>61</v>
      </c>
      <c r="C136" s="440" t="s">
        <v>1016</v>
      </c>
      <c r="K136" s="207"/>
      <c r="N136" s="207"/>
      <c r="O136" s="207"/>
      <c r="W136" s="207"/>
      <c r="Y136" s="207"/>
      <c r="Z136" s="441" t="s">
        <v>880</v>
      </c>
      <c r="AA136" s="218">
        <v>200</v>
      </c>
      <c r="AB136" s="242">
        <f t="shared" si="186"/>
        <v>0</v>
      </c>
      <c r="AC136" s="218"/>
      <c r="AD136" s="218"/>
      <c r="AE136" s="218"/>
      <c r="AF136" s="364">
        <f t="shared" si="208"/>
        <v>0</v>
      </c>
      <c r="AG136" s="265"/>
      <c r="AH136" s="247"/>
      <c r="AI136" s="247"/>
      <c r="AJ136" s="247"/>
      <c r="AK136" s="247"/>
      <c r="AL136" s="247"/>
      <c r="AM136" s="247">
        <f t="shared" si="170"/>
        <v>0</v>
      </c>
      <c r="AN136" s="245" t="e">
        <f t="shared" si="191"/>
        <v>#DIV/0!</v>
      </c>
      <c r="AO136" s="249"/>
      <c r="AP136" s="224"/>
      <c r="AQ136" s="250"/>
      <c r="AR136" s="250"/>
      <c r="AS136" s="250"/>
      <c r="AT136" s="250"/>
      <c r="AU136" s="349">
        <f t="shared" si="171"/>
        <v>0</v>
      </c>
      <c r="AV136" s="245" t="e">
        <f t="shared" si="172"/>
        <v>#DIV/0!</v>
      </c>
      <c r="AW136" s="249"/>
      <c r="AX136" s="223"/>
      <c r="AY136" s="250"/>
      <c r="AZ136" s="250"/>
      <c r="BA136" s="250"/>
      <c r="BB136" s="250"/>
      <c r="BC136" s="397">
        <f t="shared" si="173"/>
        <v>0</v>
      </c>
      <c r="BD136" s="248" t="e">
        <f t="shared" si="174"/>
        <v>#DIV/0!</v>
      </c>
      <c r="BE136" s="249"/>
      <c r="BF136" s="224"/>
      <c r="BG136" s="250"/>
      <c r="BH136" s="250"/>
      <c r="BI136" s="250"/>
      <c r="BJ136" s="250"/>
      <c r="BK136" s="247">
        <f t="shared" si="188"/>
        <v>0</v>
      </c>
      <c r="BL136" s="248" t="e">
        <f t="shared" si="229"/>
        <v>#DIV/0!</v>
      </c>
      <c r="BM136" s="227"/>
      <c r="BN136" s="224"/>
      <c r="BO136" s="218"/>
      <c r="BP136" s="218"/>
      <c r="BQ136" s="218"/>
      <c r="BR136" s="218"/>
      <c r="BS136" s="247"/>
      <c r="BT136" s="248" t="e">
        <f t="shared" si="175"/>
        <v>#DIV/0!</v>
      </c>
      <c r="BU136" s="218"/>
      <c r="BV136" s="408"/>
      <c r="BW136" s="218"/>
      <c r="BX136" s="218"/>
      <c r="BY136" s="218"/>
      <c r="BZ136" s="218"/>
      <c r="CA136" s="245"/>
      <c r="CB136" s="248" t="e">
        <f t="shared" si="176"/>
        <v>#DIV/0!</v>
      </c>
      <c r="CC136" s="218"/>
      <c r="CD136" s="224"/>
      <c r="CE136" s="218"/>
      <c r="CF136" s="218"/>
      <c r="CG136" s="218"/>
      <c r="CH136" s="218"/>
      <c r="CI136" s="245"/>
      <c r="CJ136" s="248" t="e">
        <f t="shared" si="177"/>
        <v>#DIV/0!</v>
      </c>
      <c r="CK136" s="218"/>
      <c r="CL136" s="224"/>
      <c r="CM136" s="218"/>
      <c r="CN136" s="218"/>
      <c r="CO136" s="218"/>
      <c r="CP136" s="218"/>
      <c r="CQ136" s="245"/>
      <c r="CR136" s="248" t="e">
        <f t="shared" si="178"/>
        <v>#DIV/0!</v>
      </c>
      <c r="CS136" s="218"/>
      <c r="CT136" s="224"/>
      <c r="CU136" s="218"/>
      <c r="CV136" s="218"/>
      <c r="CW136" s="218"/>
      <c r="CX136" s="218"/>
      <c r="CY136" s="218"/>
      <c r="CZ136" s="245" t="e">
        <f t="shared" si="179"/>
        <v>#DIV/0!</v>
      </c>
      <c r="DA136" s="218"/>
      <c r="DB136" s="224"/>
      <c r="DC136" s="218"/>
      <c r="DD136" s="218"/>
      <c r="DE136" s="218"/>
      <c r="DF136" s="218"/>
      <c r="DG136" s="218"/>
      <c r="DH136" s="218"/>
      <c r="DI136" s="218"/>
      <c r="DJ136" s="249"/>
      <c r="DK136" s="218"/>
      <c r="DL136" s="218"/>
      <c r="DM136" s="218"/>
      <c r="DN136" s="218"/>
      <c r="DO136" s="218"/>
      <c r="DP136" s="218"/>
      <c r="DQ136" s="227"/>
      <c r="DR136" s="224"/>
      <c r="DS136" s="218"/>
      <c r="DT136" s="218"/>
      <c r="DU136" s="218"/>
      <c r="DV136" s="218"/>
      <c r="DW136" s="218"/>
      <c r="DX136" s="218"/>
      <c r="DY136" s="218"/>
      <c r="DZ136" s="218"/>
      <c r="EA136" s="218"/>
      <c r="EB136" s="218"/>
      <c r="EC136" s="218"/>
      <c r="ED136" s="218"/>
      <c r="EE136" s="218"/>
      <c r="EF136" s="223">
        <f t="shared" ref="EF136:EJ136" si="235">AH136+AP136+AX136+BF136+BN136+BV136+CD136+CL136+CT136+DB136+DJ136+DR136+DZ136</f>
        <v>0</v>
      </c>
      <c r="EG136" s="223">
        <f t="shared" si="235"/>
        <v>0</v>
      </c>
      <c r="EH136" s="223">
        <f t="shared" si="235"/>
        <v>0</v>
      </c>
      <c r="EI136" s="223">
        <f t="shared" si="235"/>
        <v>0</v>
      </c>
      <c r="EJ136" s="223">
        <f t="shared" si="235"/>
        <v>0</v>
      </c>
      <c r="EK136" s="223">
        <f t="shared" si="181"/>
        <v>0</v>
      </c>
      <c r="EL136" s="442">
        <f t="shared" si="182"/>
        <v>0</v>
      </c>
      <c r="EM136" s="443">
        <f t="shared" si="183"/>
        <v>0</v>
      </c>
      <c r="EN136" s="444">
        <f t="shared" si="184"/>
        <v>0</v>
      </c>
      <c r="EO136" s="445">
        <f t="shared" si="185"/>
        <v>0</v>
      </c>
      <c r="ER136" s="251"/>
      <c r="EU136" s="220"/>
    </row>
    <row r="137" s="200" customFormat="1" ht="21" spans="1:151 16378:16384">
      <c r="A137" s="446" t="s">
        <v>1017</v>
      </c>
      <c r="B137" s="218">
        <v>1</v>
      </c>
      <c r="C137" s="219" t="s">
        <v>19</v>
      </c>
      <c r="D137" s="220" t="s">
        <v>13</v>
      </c>
      <c r="E137" s="220" t="s">
        <v>405</v>
      </c>
      <c r="F137" s="220" t="s">
        <v>20</v>
      </c>
      <c r="G137" s="220" t="s">
        <v>21</v>
      </c>
      <c r="H137" s="239">
        <v>18926260299</v>
      </c>
      <c r="I137" s="200" t="s">
        <v>695</v>
      </c>
      <c r="J137" s="220" t="s">
        <v>21</v>
      </c>
      <c r="K137" s="221">
        <v>18926260299</v>
      </c>
      <c r="L137" s="200" t="s">
        <v>695</v>
      </c>
      <c r="M137" s="200" t="s">
        <v>1018</v>
      </c>
      <c r="N137" s="207" t="s">
        <v>1019</v>
      </c>
      <c r="O137" s="207"/>
      <c r="Q137" s="200" t="s">
        <v>1020</v>
      </c>
      <c r="R137" s="200" t="s">
        <v>409</v>
      </c>
      <c r="S137" s="200" t="s">
        <v>409</v>
      </c>
      <c r="U137" s="220"/>
      <c r="V137" s="220" t="s">
        <v>1021</v>
      </c>
      <c r="W137" s="207" t="s">
        <v>1022</v>
      </c>
      <c r="X137" s="220" t="s">
        <v>899</v>
      </c>
      <c r="Y137" s="207" t="s">
        <v>1023</v>
      </c>
      <c r="Z137" s="218"/>
      <c r="AA137" s="218">
        <v>200</v>
      </c>
      <c r="AB137" s="218">
        <f t="shared" ref="AB137:AB152" si="236">SUM(AC137:AD137)</f>
        <v>13</v>
      </c>
      <c r="AC137" s="218">
        <v>1</v>
      </c>
      <c r="AD137" s="218">
        <v>12</v>
      </c>
      <c r="AE137" s="222"/>
      <c r="AF137" s="364">
        <f t="shared" ref="AF137:AF173" si="237">AB137*5</f>
        <v>65</v>
      </c>
      <c r="AG137" s="447">
        <v>46090</v>
      </c>
      <c r="AH137" s="330">
        <v>31</v>
      </c>
      <c r="AI137" s="330">
        <v>31</v>
      </c>
      <c r="AJ137" s="407">
        <v>31</v>
      </c>
      <c r="AK137" s="407">
        <v>31</v>
      </c>
      <c r="AL137" s="407">
        <v>31</v>
      </c>
      <c r="AM137" s="330">
        <v>155</v>
      </c>
      <c r="AN137" s="245"/>
      <c r="AO137" s="271">
        <v>46096</v>
      </c>
      <c r="AP137" s="282">
        <v>6</v>
      </c>
      <c r="AQ137" s="282">
        <v>6</v>
      </c>
      <c r="AR137" s="282">
        <v>6</v>
      </c>
      <c r="AS137" s="282">
        <v>6</v>
      </c>
      <c r="AT137" s="282">
        <v>6</v>
      </c>
      <c r="AU137" s="330">
        <v>30</v>
      </c>
      <c r="AV137" s="245">
        <f t="shared" si="172"/>
        <v>7.38461538461539</v>
      </c>
      <c r="AW137" s="246">
        <f>AO137+AV137*7</f>
        <v>46147.6923076923</v>
      </c>
      <c r="AX137" s="224"/>
      <c r="AY137" s="218"/>
      <c r="AZ137" s="224"/>
      <c r="BA137" s="218"/>
      <c r="BB137" s="218"/>
      <c r="BC137" s="315"/>
      <c r="BD137" s="316"/>
      <c r="BE137" s="249"/>
      <c r="BF137" s="224"/>
      <c r="BG137" s="218"/>
      <c r="BH137" s="218"/>
      <c r="BI137" s="218"/>
      <c r="BJ137" s="218"/>
      <c r="BK137" s="247">
        <f t="shared" ref="BK137:BK151" si="238">BF137+BG137+BH137+BI137+BJ137</f>
        <v>0</v>
      </c>
      <c r="BL137" s="248">
        <f t="shared" ref="BL137:BL173" si="239">BK137*16/AF137</f>
        <v>0</v>
      </c>
      <c r="BM137" s="227"/>
      <c r="BN137" s="224"/>
      <c r="BO137" s="218"/>
      <c r="BP137" s="218"/>
      <c r="BQ137" s="218"/>
      <c r="BR137" s="218"/>
      <c r="BS137" s="250"/>
      <c r="BT137" s="245">
        <f t="shared" ref="BT137:BT152" si="240">BS137*16/AF137</f>
        <v>0</v>
      </c>
      <c r="BU137" s="249"/>
      <c r="BV137" s="224"/>
      <c r="BW137" s="218"/>
      <c r="BX137" s="218"/>
      <c r="BY137" s="218"/>
      <c r="BZ137" s="218"/>
      <c r="CA137" s="218"/>
      <c r="CB137" s="245">
        <f t="shared" ref="CB137:CB152" si="241">CA137*16/AF137</f>
        <v>0</v>
      </c>
      <c r="CC137" s="242"/>
      <c r="CD137" s="224"/>
      <c r="CE137" s="218"/>
      <c r="CF137" s="218"/>
      <c r="CG137" s="218"/>
      <c r="CH137" s="218"/>
      <c r="CI137" s="218"/>
      <c r="CJ137" s="245">
        <f t="shared" ref="CJ137:CJ152" si="242">CI137*16/AF137</f>
        <v>0</v>
      </c>
      <c r="CK137" s="218"/>
      <c r="CL137" s="224"/>
      <c r="CM137" s="218"/>
      <c r="CN137" s="218"/>
      <c r="CO137" s="218"/>
      <c r="CP137" s="218"/>
      <c r="CQ137" s="218"/>
      <c r="CR137" s="245">
        <f t="shared" ref="CR137:CR152" si="243">CQ137*16/AF137</f>
        <v>0</v>
      </c>
      <c r="CS137" s="218"/>
      <c r="CT137" s="224"/>
      <c r="CU137" s="218"/>
      <c r="CV137" s="218"/>
      <c r="CW137" s="218"/>
      <c r="CX137" s="218"/>
      <c r="CY137" s="218"/>
      <c r="CZ137" s="245">
        <f t="shared" ref="CZ137:CZ152" si="244">CY137*16/AF137</f>
        <v>0</v>
      </c>
      <c r="DA137" s="218"/>
      <c r="DB137" s="224"/>
      <c r="DC137" s="218"/>
      <c r="DD137" s="218"/>
      <c r="DE137" s="218"/>
      <c r="DF137" s="218"/>
      <c r="DG137" s="218"/>
      <c r="DH137" s="218"/>
      <c r="DI137" s="218"/>
      <c r="DJ137" s="218"/>
      <c r="DK137" s="218"/>
      <c r="DL137" s="218"/>
      <c r="DM137" s="218"/>
      <c r="DN137" s="218"/>
      <c r="DO137" s="218"/>
      <c r="DP137" s="218"/>
      <c r="DQ137" s="227"/>
      <c r="DR137" s="224"/>
      <c r="DS137" s="218"/>
      <c r="DT137" s="218"/>
      <c r="DU137" s="218"/>
      <c r="DV137" s="218"/>
      <c r="DW137" s="218"/>
      <c r="DX137" s="218"/>
      <c r="DY137" s="218"/>
      <c r="DZ137" s="218"/>
      <c r="EA137" s="218"/>
      <c r="EB137" s="218"/>
      <c r="EC137" s="218"/>
      <c r="ED137" s="218"/>
      <c r="EE137" s="218"/>
      <c r="EF137" s="223">
        <f t="shared" ref="EF137:EJ137" si="245">AH137+AP137+AX137+BF137+BN137+BV137+CD137+CL137+CT137+DB137+DJ137+DR137+DZ137</f>
        <v>37</v>
      </c>
      <c r="EG137" s="223">
        <f t="shared" si="245"/>
        <v>37</v>
      </c>
      <c r="EH137" s="223">
        <f t="shared" si="245"/>
        <v>37</v>
      </c>
      <c r="EI137" s="223">
        <f t="shared" si="245"/>
        <v>37</v>
      </c>
      <c r="EJ137" s="223">
        <f t="shared" si="245"/>
        <v>37</v>
      </c>
      <c r="EK137" s="223">
        <f t="shared" ref="EK137:EK152" si="246">SUM(EF137:EJ137)</f>
        <v>185</v>
      </c>
      <c r="EL137" s="218">
        <f t="shared" ref="EL137:EL169" si="247">AB137*100</f>
        <v>1300</v>
      </c>
      <c r="EM137" s="218">
        <f t="shared" ref="EM137:EM169" si="248">EL137/16</f>
        <v>81.25</v>
      </c>
      <c r="EN137" s="223">
        <f t="shared" ref="EN137:EN169" si="249">EK137</f>
        <v>185</v>
      </c>
      <c r="EO137" s="226">
        <f t="shared" ref="EO137:EO169" si="250">EM137-EN137</f>
        <v>-103.75</v>
      </c>
      <c r="ER137" s="251"/>
      <c r="EU137" s="220"/>
    </row>
    <row r="138" s="200" customFormat="1" ht="33" customHeight="1" spans="1:151 16378:16384">
      <c r="A138" s="448"/>
      <c r="B138" s="218">
        <v>2</v>
      </c>
      <c r="C138" s="429" t="s">
        <v>1024</v>
      </c>
      <c r="D138" s="220" t="s">
        <v>13</v>
      </c>
      <c r="E138" s="220" t="s">
        <v>405</v>
      </c>
      <c r="F138" s="220" t="s">
        <v>20</v>
      </c>
      <c r="G138" s="220" t="s">
        <v>25</v>
      </c>
      <c r="H138" s="239">
        <v>13927691058</v>
      </c>
      <c r="I138" s="239">
        <v>661058</v>
      </c>
      <c r="J138" s="220" t="s">
        <v>26</v>
      </c>
      <c r="K138" s="221">
        <v>13553917543</v>
      </c>
      <c r="L138" s="239">
        <v>627543</v>
      </c>
      <c r="M138" s="239"/>
      <c r="N138" s="221"/>
      <c r="O138" s="221" t="s">
        <v>416</v>
      </c>
      <c r="Q138" s="200" t="s">
        <v>408</v>
      </c>
      <c r="R138" s="200" t="s">
        <v>418</v>
      </c>
      <c r="S138" s="200" t="s">
        <v>418</v>
      </c>
      <c r="V138" s="200" t="s">
        <v>904</v>
      </c>
      <c r="W138" s="207" t="s">
        <v>1025</v>
      </c>
      <c r="X138" s="220" t="s">
        <v>1026</v>
      </c>
      <c r="Y138" s="207" t="s">
        <v>1027</v>
      </c>
      <c r="Z138" s="218"/>
      <c r="AA138" s="218">
        <v>200</v>
      </c>
      <c r="AB138" s="242">
        <v>9</v>
      </c>
      <c r="AC138" s="218"/>
      <c r="AD138" s="218"/>
      <c r="AE138" s="222"/>
      <c r="AF138" s="364">
        <f t="shared" si="237"/>
        <v>45</v>
      </c>
      <c r="AG138" s="449" t="s">
        <v>1028</v>
      </c>
      <c r="AH138" s="315"/>
      <c r="AI138" s="315"/>
      <c r="AJ138" s="315"/>
      <c r="AK138" s="315"/>
      <c r="AL138" s="315"/>
      <c r="AM138" s="315">
        <f>SUM(AH138:AL138)</f>
        <v>0</v>
      </c>
      <c r="AN138" s="245">
        <f t="shared" ref="AN138:AN153" si="251">AM138*16/AF138</f>
        <v>0</v>
      </c>
      <c r="AO138" s="249"/>
      <c r="AP138" s="224"/>
      <c r="AQ138" s="218"/>
      <c r="AR138" s="218"/>
      <c r="AS138" s="218"/>
      <c r="AT138" s="218"/>
      <c r="AU138" s="349"/>
      <c r="AV138" s="316">
        <f t="shared" ref="AV138:AV158" si="252">AU138*16/AF138</f>
        <v>0</v>
      </c>
      <c r="AW138" s="249"/>
      <c r="AX138" s="224"/>
      <c r="AY138" s="218"/>
      <c r="AZ138" s="224"/>
      <c r="BA138" s="218"/>
      <c r="BB138" s="218"/>
      <c r="BC138" s="315">
        <f t="shared" ref="BC138:BC151" si="253">AX138+AY138+AZ138+BA138+BB138</f>
        <v>0</v>
      </c>
      <c r="BD138" s="316">
        <f t="shared" ref="BD138:BD151" si="254">BC138*16/AF138</f>
        <v>0</v>
      </c>
      <c r="BE138" s="249"/>
      <c r="BF138" s="224"/>
      <c r="BG138" s="218"/>
      <c r="BH138" s="218"/>
      <c r="BI138" s="218"/>
      <c r="BJ138" s="218"/>
      <c r="BK138" s="247">
        <f t="shared" si="238"/>
        <v>0</v>
      </c>
      <c r="BL138" s="248">
        <f t="shared" si="239"/>
        <v>0</v>
      </c>
      <c r="BM138" s="227"/>
      <c r="BN138" s="224"/>
      <c r="BO138" s="218"/>
      <c r="BP138" s="218"/>
      <c r="BQ138" s="218"/>
      <c r="BR138" s="218"/>
      <c r="BS138" s="250"/>
      <c r="BT138" s="245">
        <f t="shared" si="240"/>
        <v>0</v>
      </c>
      <c r="BU138" s="249"/>
      <c r="BV138" s="224"/>
      <c r="BW138" s="218"/>
      <c r="BX138" s="218"/>
      <c r="BY138" s="218"/>
      <c r="BZ138" s="218"/>
      <c r="CA138" s="218"/>
      <c r="CB138" s="245">
        <f t="shared" si="241"/>
        <v>0</v>
      </c>
      <c r="CC138" s="249"/>
      <c r="CD138" s="224"/>
      <c r="CE138" s="218"/>
      <c r="CF138" s="218"/>
      <c r="CG138" s="218"/>
      <c r="CH138" s="218"/>
      <c r="CI138" s="218"/>
      <c r="CJ138" s="245">
        <f t="shared" si="242"/>
        <v>0</v>
      </c>
      <c r="CK138" s="249"/>
      <c r="CL138" s="224"/>
      <c r="CM138" s="218"/>
      <c r="CN138" s="218"/>
      <c r="CO138" s="218"/>
      <c r="CP138" s="218"/>
      <c r="CQ138" s="218"/>
      <c r="CR138" s="245">
        <f t="shared" si="243"/>
        <v>0</v>
      </c>
      <c r="CS138" s="249"/>
      <c r="CT138" s="224"/>
      <c r="CU138" s="218"/>
      <c r="CV138" s="218"/>
      <c r="CW138" s="218"/>
      <c r="CX138" s="218"/>
      <c r="CY138" s="218"/>
      <c r="CZ138" s="245">
        <f t="shared" si="244"/>
        <v>0</v>
      </c>
      <c r="DA138" s="249"/>
      <c r="DB138" s="224"/>
      <c r="DC138" s="218"/>
      <c r="DD138" s="218"/>
      <c r="DE138" s="218"/>
      <c r="DF138" s="218"/>
      <c r="DG138" s="218"/>
      <c r="DH138" s="218"/>
      <c r="DI138" s="218"/>
      <c r="DJ138" s="218"/>
      <c r="DK138" s="218"/>
      <c r="DL138" s="218"/>
      <c r="DM138" s="218"/>
      <c r="DN138" s="218"/>
      <c r="DO138" s="218"/>
      <c r="DP138" s="218"/>
      <c r="DQ138" s="227"/>
      <c r="DR138" s="224"/>
      <c r="DS138" s="218"/>
      <c r="DT138" s="218"/>
      <c r="DU138" s="218"/>
      <c r="DV138" s="218"/>
      <c r="DW138" s="218"/>
      <c r="DX138" s="218"/>
      <c r="DY138" s="218"/>
      <c r="DZ138" s="218"/>
      <c r="EA138" s="218"/>
      <c r="EB138" s="218"/>
      <c r="EC138" s="218"/>
      <c r="ED138" s="218"/>
      <c r="EE138" s="218"/>
      <c r="EF138" s="223">
        <f t="shared" ref="EF138:EJ138" si="255">AH138+AP138+AX138+BF138+BN138+BV138+CD138+CL138+CT138+DB138+DJ138+DR138+DZ138</f>
        <v>0</v>
      </c>
      <c r="EG138" s="223">
        <f t="shared" si="255"/>
        <v>0</v>
      </c>
      <c r="EH138" s="223">
        <f t="shared" si="255"/>
        <v>0</v>
      </c>
      <c r="EI138" s="223">
        <f t="shared" si="255"/>
        <v>0</v>
      </c>
      <c r="EJ138" s="223">
        <f t="shared" si="255"/>
        <v>0</v>
      </c>
      <c r="EK138" s="223">
        <f t="shared" si="246"/>
        <v>0</v>
      </c>
      <c r="EL138" s="218">
        <f t="shared" si="247"/>
        <v>900</v>
      </c>
      <c r="EM138" s="218">
        <f t="shared" si="248"/>
        <v>56.25</v>
      </c>
      <c r="EN138" s="223">
        <f t="shared" si="249"/>
        <v>0</v>
      </c>
      <c r="EO138" s="226">
        <f t="shared" si="250"/>
        <v>56.25</v>
      </c>
      <c r="ER138" s="251"/>
      <c r="EU138" s="220"/>
    </row>
    <row r="139" s="200" customFormat="1" ht="31.5" spans="1:151 16378:16384">
      <c r="A139" s="448"/>
      <c r="B139" s="218">
        <v>3</v>
      </c>
      <c r="C139" s="429" t="s">
        <v>1029</v>
      </c>
      <c r="D139" s="220" t="s">
        <v>13</v>
      </c>
      <c r="E139" s="220" t="s">
        <v>405</v>
      </c>
      <c r="F139" s="220" t="s">
        <v>20</v>
      </c>
      <c r="G139" s="220" t="s">
        <v>25</v>
      </c>
      <c r="H139" s="239">
        <v>13927691058</v>
      </c>
      <c r="I139" s="239">
        <v>661058</v>
      </c>
      <c r="J139" s="220" t="s">
        <v>26</v>
      </c>
      <c r="K139" s="221">
        <v>13553917543</v>
      </c>
      <c r="L139" s="239">
        <v>627543</v>
      </c>
      <c r="N139" s="207"/>
      <c r="O139" s="207"/>
      <c r="R139" s="200" t="s">
        <v>418</v>
      </c>
      <c r="S139" s="200" t="s">
        <v>418</v>
      </c>
      <c r="V139" s="200" t="s">
        <v>904</v>
      </c>
      <c r="W139" s="207" t="s">
        <v>1025</v>
      </c>
      <c r="X139" s="200" t="s">
        <v>1030</v>
      </c>
      <c r="Y139" s="207" t="s">
        <v>1031</v>
      </c>
      <c r="Z139" s="450"/>
      <c r="AA139" s="218">
        <v>200</v>
      </c>
      <c r="AB139" s="218">
        <v>48</v>
      </c>
      <c r="AC139" s="218">
        <v>13</v>
      </c>
      <c r="AD139" s="218">
        <v>34</v>
      </c>
      <c r="AE139" s="222"/>
      <c r="AF139" s="364">
        <f t="shared" si="237"/>
        <v>240</v>
      </c>
      <c r="AG139" s="449" t="s">
        <v>1028</v>
      </c>
      <c r="AH139" s="315"/>
      <c r="AI139" s="315"/>
      <c r="AJ139" s="315"/>
      <c r="AK139" s="315"/>
      <c r="AL139" s="315"/>
      <c r="AM139" s="315"/>
      <c r="AN139" s="245">
        <f t="shared" si="251"/>
        <v>0</v>
      </c>
      <c r="AO139" s="249"/>
      <c r="AP139" s="224"/>
      <c r="AQ139" s="218"/>
      <c r="AR139" s="218"/>
      <c r="AS139" s="218"/>
      <c r="AT139" s="218"/>
      <c r="AU139" s="349">
        <f t="shared" ref="AU138:AU154" si="256">SUM(AP139:AT139)</f>
        <v>0</v>
      </c>
      <c r="AV139" s="316">
        <f t="shared" si="252"/>
        <v>0</v>
      </c>
      <c r="AW139" s="249"/>
      <c r="AX139" s="224"/>
      <c r="AY139" s="218"/>
      <c r="AZ139" s="224"/>
      <c r="BA139" s="218"/>
      <c r="BB139" s="218"/>
      <c r="BC139" s="315">
        <f t="shared" si="253"/>
        <v>0</v>
      </c>
      <c r="BD139" s="316">
        <f t="shared" si="254"/>
        <v>0</v>
      </c>
      <c r="BE139" s="249"/>
      <c r="BF139" s="224"/>
      <c r="BG139" s="218"/>
      <c r="BH139" s="218"/>
      <c r="BI139" s="218"/>
      <c r="BJ139" s="218"/>
      <c r="BK139" s="247">
        <f t="shared" si="238"/>
        <v>0</v>
      </c>
      <c r="BL139" s="248">
        <f t="shared" si="239"/>
        <v>0</v>
      </c>
      <c r="BM139" s="227"/>
      <c r="BN139" s="224"/>
      <c r="BO139" s="218"/>
      <c r="BP139" s="218"/>
      <c r="BQ139" s="218"/>
      <c r="BR139" s="218"/>
      <c r="BS139" s="250"/>
      <c r="BT139" s="245">
        <f t="shared" si="240"/>
        <v>0</v>
      </c>
      <c r="BU139" s="249"/>
      <c r="BV139" s="224"/>
      <c r="BW139" s="218"/>
      <c r="BX139" s="218"/>
      <c r="BY139" s="218"/>
      <c r="BZ139" s="218"/>
      <c r="CA139" s="218"/>
      <c r="CB139" s="245">
        <f t="shared" si="241"/>
        <v>0</v>
      </c>
      <c r="CC139" s="249"/>
      <c r="CD139" s="224"/>
      <c r="CE139" s="218"/>
      <c r="CF139" s="218"/>
      <c r="CG139" s="218"/>
      <c r="CH139" s="218"/>
      <c r="CI139" s="218"/>
      <c r="CJ139" s="245">
        <f t="shared" si="242"/>
        <v>0</v>
      </c>
      <c r="CK139" s="249"/>
      <c r="CL139" s="224"/>
      <c r="CN139" s="218"/>
      <c r="CO139" s="218"/>
      <c r="CP139" s="218"/>
      <c r="CQ139" s="218"/>
      <c r="CR139" s="245">
        <f t="shared" si="243"/>
        <v>0</v>
      </c>
      <c r="CS139" s="249"/>
      <c r="CT139" s="224"/>
      <c r="CU139" s="218"/>
      <c r="CV139" s="218"/>
      <c r="CW139" s="218"/>
      <c r="CX139" s="218"/>
      <c r="CY139" s="218"/>
      <c r="CZ139" s="245">
        <f t="shared" si="244"/>
        <v>0</v>
      </c>
      <c r="DA139" s="249"/>
      <c r="DB139" s="224"/>
      <c r="DC139" s="218"/>
      <c r="DD139" s="218"/>
      <c r="DE139" s="218"/>
      <c r="DF139" s="218"/>
      <c r="DG139" s="218"/>
      <c r="DH139" s="218"/>
      <c r="DI139" s="249"/>
      <c r="DJ139" s="218"/>
      <c r="DK139" s="218"/>
      <c r="DL139" s="218"/>
      <c r="DM139" s="218"/>
      <c r="DN139" s="218"/>
      <c r="DO139" s="218"/>
      <c r="DP139" s="218"/>
      <c r="DQ139" s="227"/>
      <c r="DR139" s="224"/>
      <c r="DS139" s="218"/>
      <c r="DT139" s="218"/>
      <c r="DU139" s="218"/>
      <c r="DV139" s="218"/>
      <c r="DW139" s="218"/>
      <c r="DX139" s="218"/>
      <c r="DY139" s="249"/>
      <c r="DZ139" s="218"/>
      <c r="EA139" s="218"/>
      <c r="EB139" s="218"/>
      <c r="EC139" s="218"/>
      <c r="ED139" s="218"/>
      <c r="EE139" s="218"/>
      <c r="EF139" s="223">
        <f t="shared" ref="EF139:EJ139" si="257">AH139+AP139+AX139+BF139+BN139+BV139+CD139+CL139+CT139+DB139+DJ139+DR139+DZ139</f>
        <v>0</v>
      </c>
      <c r="EG139" s="223">
        <f t="shared" si="257"/>
        <v>0</v>
      </c>
      <c r="EH139" s="223">
        <f t="shared" si="257"/>
        <v>0</v>
      </c>
      <c r="EI139" s="223">
        <f t="shared" si="257"/>
        <v>0</v>
      </c>
      <c r="EJ139" s="223">
        <f t="shared" si="257"/>
        <v>0</v>
      </c>
      <c r="EK139" s="223">
        <f t="shared" si="246"/>
        <v>0</v>
      </c>
      <c r="EL139" s="218">
        <f t="shared" si="247"/>
        <v>4800</v>
      </c>
      <c r="EM139" s="218">
        <f t="shared" si="248"/>
        <v>300</v>
      </c>
      <c r="EN139" s="223">
        <f t="shared" si="249"/>
        <v>0</v>
      </c>
      <c r="EO139" s="226">
        <f t="shared" si="250"/>
        <v>300</v>
      </c>
      <c r="ER139" s="251"/>
      <c r="EU139" s="220"/>
    </row>
    <row r="140" s="205" customFormat="1" customHeight="1" spans="1:151 16378:16384">
      <c r="A140" s="448"/>
      <c r="B140" s="218">
        <v>4</v>
      </c>
      <c r="C140" s="451" t="s">
        <v>1032</v>
      </c>
      <c r="D140" s="452"/>
      <c r="E140" s="453"/>
      <c r="F140" s="452"/>
      <c r="G140" s="270" t="s">
        <v>30</v>
      </c>
      <c r="H140" s="297">
        <v>13679513108</v>
      </c>
      <c r="I140" s="454"/>
      <c r="J140" s="452"/>
      <c r="K140" s="455"/>
      <c r="L140" s="454"/>
      <c r="N140" s="456"/>
      <c r="O140" s="456"/>
      <c r="U140" s="453"/>
      <c r="V140" s="453"/>
      <c r="W140" s="457"/>
      <c r="X140" s="453"/>
      <c r="Y140" s="457"/>
      <c r="Z140" s="382"/>
      <c r="AA140" s="382">
        <v>200</v>
      </c>
      <c r="AB140" s="458">
        <v>0</v>
      </c>
      <c r="AC140" s="382"/>
      <c r="AD140" s="382">
        <v>1</v>
      </c>
      <c r="AE140" s="382"/>
      <c r="AF140" s="364">
        <f t="shared" si="237"/>
        <v>0</v>
      </c>
      <c r="AG140" s="333"/>
      <c r="AH140" s="315"/>
      <c r="AI140" s="315"/>
      <c r="AJ140" s="459"/>
      <c r="AK140" s="459"/>
      <c r="AL140" s="459"/>
      <c r="AM140" s="315">
        <f>SUM(AH140:AL140)</f>
        <v>0</v>
      </c>
      <c r="AN140" s="245" t="e">
        <f t="shared" si="251"/>
        <v>#DIV/0!</v>
      </c>
      <c r="AO140" s="249"/>
      <c r="AP140" s="404"/>
      <c r="AQ140" s="460"/>
      <c r="AR140" s="460"/>
      <c r="AS140" s="460"/>
      <c r="AT140" s="460"/>
      <c r="AU140" s="349">
        <f t="shared" si="256"/>
        <v>0</v>
      </c>
      <c r="AV140" s="316" t="e">
        <f t="shared" si="252"/>
        <v>#DIV/0!</v>
      </c>
      <c r="AW140" s="352"/>
      <c r="AX140" s="404"/>
      <c r="AY140" s="460"/>
      <c r="AZ140" s="461"/>
      <c r="BA140" s="460"/>
      <c r="BB140" s="460"/>
      <c r="BC140" s="315">
        <f t="shared" si="253"/>
        <v>0</v>
      </c>
      <c r="BD140" s="316" t="e">
        <f t="shared" si="254"/>
        <v>#DIV/0!</v>
      </c>
      <c r="BE140" s="352"/>
      <c r="BF140" s="404"/>
      <c r="BG140" s="460"/>
      <c r="BH140" s="460"/>
      <c r="BI140" s="460"/>
      <c r="BJ140" s="460"/>
      <c r="BK140" s="247">
        <f t="shared" si="238"/>
        <v>0</v>
      </c>
      <c r="BL140" s="248" t="e">
        <f t="shared" si="239"/>
        <v>#DIV/0!</v>
      </c>
      <c r="BM140" s="462"/>
      <c r="BN140" s="404"/>
      <c r="BO140" s="382"/>
      <c r="BP140" s="382"/>
      <c r="BQ140" s="382"/>
      <c r="BR140" s="382"/>
      <c r="BS140" s="250"/>
      <c r="BT140" s="245" t="e">
        <f t="shared" si="240"/>
        <v>#DIV/0!</v>
      </c>
      <c r="BU140" s="352"/>
      <c r="BV140" s="404"/>
      <c r="BW140" s="382"/>
      <c r="BX140" s="382"/>
      <c r="BY140" s="382"/>
      <c r="BZ140" s="382"/>
      <c r="CA140" s="218"/>
      <c r="CB140" s="245" t="e">
        <f t="shared" si="241"/>
        <v>#DIV/0!</v>
      </c>
      <c r="CC140" s="382"/>
      <c r="CD140" s="404"/>
      <c r="CE140" s="382"/>
      <c r="CF140" s="382"/>
      <c r="CG140" s="382"/>
      <c r="CH140" s="382"/>
      <c r="CI140" s="218"/>
      <c r="CJ140" s="245" t="e">
        <f t="shared" si="242"/>
        <v>#DIV/0!</v>
      </c>
      <c r="CK140" s="382"/>
      <c r="CL140" s="404"/>
      <c r="CM140" s="382"/>
      <c r="CN140" s="382"/>
      <c r="CO140" s="382"/>
      <c r="CP140" s="382"/>
      <c r="CQ140" s="218"/>
      <c r="CR140" s="245" t="e">
        <f t="shared" si="243"/>
        <v>#DIV/0!</v>
      </c>
      <c r="CS140" s="382"/>
      <c r="CT140" s="404"/>
      <c r="CU140" s="382"/>
      <c r="CV140" s="382"/>
      <c r="CW140" s="382"/>
      <c r="CX140" s="382"/>
      <c r="CY140" s="218"/>
      <c r="CZ140" s="245" t="e">
        <f t="shared" si="244"/>
        <v>#DIV/0!</v>
      </c>
      <c r="DA140" s="382"/>
      <c r="DB140" s="404"/>
      <c r="DC140" s="382"/>
      <c r="DD140" s="382"/>
      <c r="DE140" s="382"/>
      <c r="DF140" s="382"/>
      <c r="DG140" s="218"/>
      <c r="DH140" s="382"/>
      <c r="DI140" s="382"/>
      <c r="DJ140" s="352"/>
      <c r="DK140" s="382"/>
      <c r="DL140" s="382"/>
      <c r="DM140" s="382"/>
      <c r="DN140" s="382"/>
      <c r="DO140" s="218"/>
      <c r="DP140" s="218"/>
      <c r="DQ140" s="462"/>
      <c r="DR140" s="404"/>
      <c r="DS140" s="382"/>
      <c r="DT140" s="382"/>
      <c r="DU140" s="382"/>
      <c r="DV140" s="382"/>
      <c r="DW140" s="218"/>
      <c r="DX140" s="218"/>
      <c r="DY140" s="382"/>
      <c r="DZ140" s="382"/>
      <c r="EA140" s="382"/>
      <c r="EB140" s="382"/>
      <c r="EC140" s="382"/>
      <c r="ED140" s="382"/>
      <c r="EE140" s="218"/>
      <c r="EF140" s="223">
        <f t="shared" ref="EF140:EJ140" si="258">AH140+AP140+AX140+BF140+BN140+BV140+CD140+CL140+CT140+DB140+DJ140+DR140+DZ140</f>
        <v>0</v>
      </c>
      <c r="EG140" s="223">
        <f t="shared" si="258"/>
        <v>0</v>
      </c>
      <c r="EH140" s="223">
        <f t="shared" si="258"/>
        <v>0</v>
      </c>
      <c r="EI140" s="223">
        <f t="shared" si="258"/>
        <v>0</v>
      </c>
      <c r="EJ140" s="223">
        <f t="shared" si="258"/>
        <v>0</v>
      </c>
      <c r="EK140" s="223">
        <f t="shared" si="246"/>
        <v>0</v>
      </c>
      <c r="EL140" s="218">
        <f t="shared" si="247"/>
        <v>0</v>
      </c>
      <c r="EM140" s="218">
        <f t="shared" si="248"/>
        <v>0</v>
      </c>
      <c r="EN140" s="223">
        <f t="shared" si="249"/>
        <v>0</v>
      </c>
      <c r="EO140" s="226">
        <f t="shared" si="250"/>
        <v>0</v>
      </c>
      <c r="ER140" s="378"/>
      <c r="EU140" s="453"/>
    </row>
    <row r="141" s="200" customFormat="1" customHeight="1" spans="1:151 16378:16384">
      <c r="A141" s="448"/>
      <c r="B141" s="218">
        <v>5</v>
      </c>
      <c r="C141" s="219" t="s">
        <v>33</v>
      </c>
      <c r="D141" s="270"/>
      <c r="E141" s="220"/>
      <c r="F141" s="270"/>
      <c r="G141" s="270" t="s">
        <v>34</v>
      </c>
      <c r="H141" s="297">
        <v>13750113505</v>
      </c>
      <c r="I141" s="297"/>
      <c r="J141" s="270"/>
      <c r="K141" s="296"/>
      <c r="L141" s="297"/>
      <c r="N141" s="207"/>
      <c r="O141" s="207"/>
      <c r="U141" s="220"/>
      <c r="V141" s="220"/>
      <c r="W141" s="221"/>
      <c r="X141" s="220"/>
      <c r="Y141" s="221"/>
      <c r="Z141" s="218"/>
      <c r="AA141" s="218">
        <v>200</v>
      </c>
      <c r="AB141" s="458">
        <v>0</v>
      </c>
      <c r="AC141" s="218"/>
      <c r="AD141" s="218">
        <v>1</v>
      </c>
      <c r="AE141" s="218"/>
      <c r="AF141" s="364">
        <f t="shared" si="237"/>
        <v>0</v>
      </c>
      <c r="AG141" s="333"/>
      <c r="AH141" s="315"/>
      <c r="AI141" s="315"/>
      <c r="AJ141" s="315"/>
      <c r="AK141" s="315"/>
      <c r="AL141" s="315"/>
      <c r="AM141" s="315">
        <f t="shared" ref="AM141:AM156" si="259">SUM(AH141:AL141)</f>
        <v>0</v>
      </c>
      <c r="AN141" s="245" t="e">
        <f t="shared" si="251"/>
        <v>#DIV/0!</v>
      </c>
      <c r="AO141" s="249"/>
      <c r="AP141" s="224"/>
      <c r="AQ141" s="332"/>
      <c r="AR141" s="332"/>
      <c r="AS141" s="332"/>
      <c r="AT141" s="332"/>
      <c r="AU141" s="349">
        <f t="shared" si="256"/>
        <v>0</v>
      </c>
      <c r="AV141" s="316" t="e">
        <f t="shared" si="252"/>
        <v>#DIV/0!</v>
      </c>
      <c r="AW141" s="246"/>
      <c r="AX141" s="224"/>
      <c r="AY141" s="332"/>
      <c r="AZ141" s="331"/>
      <c r="BA141" s="332"/>
      <c r="BB141" s="332"/>
      <c r="BC141" s="315">
        <f t="shared" si="253"/>
        <v>0</v>
      </c>
      <c r="BD141" s="316" t="e">
        <f t="shared" si="254"/>
        <v>#DIV/0!</v>
      </c>
      <c r="BE141" s="246"/>
      <c r="BF141" s="224"/>
      <c r="BG141" s="332"/>
      <c r="BH141" s="332"/>
      <c r="BI141" s="332"/>
      <c r="BJ141" s="332"/>
      <c r="BK141" s="247">
        <f t="shared" si="238"/>
        <v>0</v>
      </c>
      <c r="BL141" s="248" t="e">
        <f t="shared" si="239"/>
        <v>#DIV/0!</v>
      </c>
      <c r="BM141" s="227"/>
      <c r="BN141" s="224"/>
      <c r="BO141" s="218"/>
      <c r="BP141" s="218"/>
      <c r="BQ141" s="218"/>
      <c r="BR141" s="218"/>
      <c r="BS141" s="250"/>
      <c r="BT141" s="245" t="e">
        <f t="shared" si="240"/>
        <v>#DIV/0!</v>
      </c>
      <c r="BU141" s="218"/>
      <c r="BV141" s="224"/>
      <c r="BW141" s="218"/>
      <c r="BX141" s="218"/>
      <c r="BY141" s="218"/>
      <c r="BZ141" s="218"/>
      <c r="CA141" s="218"/>
      <c r="CB141" s="245" t="e">
        <f t="shared" si="241"/>
        <v>#DIV/0!</v>
      </c>
      <c r="CC141" s="218"/>
      <c r="CD141" s="224"/>
      <c r="CE141" s="218"/>
      <c r="CF141" s="218"/>
      <c r="CG141" s="218"/>
      <c r="CH141" s="218"/>
      <c r="CI141" s="218"/>
      <c r="CJ141" s="245" t="e">
        <f t="shared" si="242"/>
        <v>#DIV/0!</v>
      </c>
      <c r="CK141" s="218"/>
      <c r="CL141" s="224"/>
      <c r="CM141" s="218"/>
      <c r="CN141" s="218"/>
      <c r="CO141" s="218"/>
      <c r="CP141" s="218"/>
      <c r="CQ141" s="218"/>
      <c r="CR141" s="245" t="e">
        <f t="shared" si="243"/>
        <v>#DIV/0!</v>
      </c>
      <c r="CS141" s="218"/>
      <c r="CT141" s="224"/>
      <c r="CU141" s="218"/>
      <c r="CV141" s="218"/>
      <c r="CW141" s="218"/>
      <c r="CX141" s="218"/>
      <c r="CY141" s="218"/>
      <c r="CZ141" s="245" t="e">
        <f t="shared" si="244"/>
        <v>#DIV/0!</v>
      </c>
      <c r="DA141" s="218"/>
      <c r="DB141" s="224"/>
      <c r="DC141" s="218"/>
      <c r="DD141" s="218"/>
      <c r="DE141" s="218"/>
      <c r="DF141" s="218"/>
      <c r="DG141" s="218"/>
      <c r="DH141" s="218"/>
      <c r="DI141" s="218"/>
      <c r="DJ141" s="249"/>
      <c r="DK141" s="218"/>
      <c r="DL141" s="218"/>
      <c r="DM141" s="218"/>
      <c r="DN141" s="218"/>
      <c r="DO141" s="218"/>
      <c r="DP141" s="218"/>
      <c r="DQ141" s="227"/>
      <c r="DR141" s="224"/>
      <c r="DS141" s="218"/>
      <c r="DT141" s="218"/>
      <c r="DU141" s="218"/>
      <c r="DV141" s="218"/>
      <c r="DW141" s="218"/>
      <c r="DX141" s="218"/>
      <c r="DY141" s="218"/>
      <c r="DZ141" s="218"/>
      <c r="EA141" s="218"/>
      <c r="EB141" s="218"/>
      <c r="EC141" s="218"/>
      <c r="ED141" s="218"/>
      <c r="EE141" s="218"/>
      <c r="EF141" s="223">
        <f t="shared" ref="EF141:EJ141" si="260">AH141+AP141+AX141+BF141+BN141+BV141+CD141+CL141+CT141+DB141+DJ141+DR141+DZ141</f>
        <v>0</v>
      </c>
      <c r="EG141" s="223">
        <f t="shared" si="260"/>
        <v>0</v>
      </c>
      <c r="EH141" s="223">
        <f t="shared" si="260"/>
        <v>0</v>
      </c>
      <c r="EI141" s="223">
        <f t="shared" si="260"/>
        <v>0</v>
      </c>
      <c r="EJ141" s="223">
        <f t="shared" si="260"/>
        <v>0</v>
      </c>
      <c r="EK141" s="223">
        <f t="shared" si="246"/>
        <v>0</v>
      </c>
      <c r="EL141" s="218">
        <f t="shared" si="247"/>
        <v>0</v>
      </c>
      <c r="EM141" s="218">
        <f t="shared" si="248"/>
        <v>0</v>
      </c>
      <c r="EN141" s="223">
        <f t="shared" si="249"/>
        <v>0</v>
      </c>
      <c r="EO141" s="226">
        <f t="shared" si="250"/>
        <v>0</v>
      </c>
      <c r="ER141" s="251"/>
      <c r="EU141" s="220"/>
    </row>
    <row r="142" s="206" customFormat="1" customHeight="1" spans="1:151 16378:16384">
      <c r="A142" s="448"/>
      <c r="B142" s="218">
        <v>6</v>
      </c>
      <c r="C142" s="220" t="s">
        <v>1033</v>
      </c>
      <c r="D142" s="220" t="s">
        <v>13</v>
      </c>
      <c r="E142" s="220" t="s">
        <v>405</v>
      </c>
      <c r="F142" s="220" t="s">
        <v>120</v>
      </c>
      <c r="G142" s="220" t="s">
        <v>121</v>
      </c>
      <c r="H142" s="239">
        <v>13620575055</v>
      </c>
      <c r="I142" s="239">
        <v>635055</v>
      </c>
      <c r="J142" s="220" t="s">
        <v>122</v>
      </c>
      <c r="K142" s="220">
        <v>15219074804</v>
      </c>
      <c r="L142" s="220">
        <v>684804</v>
      </c>
      <c r="M142" s="239"/>
      <c r="N142" s="221"/>
      <c r="O142" s="221"/>
      <c r="P142" s="200"/>
      <c r="Q142" s="200" t="s">
        <v>1020</v>
      </c>
      <c r="R142" s="200" t="s">
        <v>409</v>
      </c>
      <c r="S142" s="200" t="s">
        <v>409</v>
      </c>
      <c r="T142" s="200"/>
      <c r="U142" s="200"/>
      <c r="V142" s="200"/>
      <c r="W142" s="207"/>
      <c r="X142" s="200" t="s">
        <v>1034</v>
      </c>
      <c r="Y142" s="463">
        <v>13642528672</v>
      </c>
      <c r="Z142" s="206"/>
      <c r="AA142" s="200">
        <v>200</v>
      </c>
      <c r="AB142" s="218">
        <f t="shared" si="236"/>
        <v>9</v>
      </c>
      <c r="AC142" s="200">
        <v>2</v>
      </c>
      <c r="AD142" s="200">
        <v>7</v>
      </c>
      <c r="AE142" s="200"/>
      <c r="AF142" s="364">
        <f t="shared" si="237"/>
        <v>45</v>
      </c>
      <c r="AG142" s="311">
        <v>46105</v>
      </c>
      <c r="AH142" s="312">
        <v>5</v>
      </c>
      <c r="AI142" s="312">
        <v>3</v>
      </c>
      <c r="AJ142" s="464">
        <v>3</v>
      </c>
      <c r="AK142" s="464">
        <v>3</v>
      </c>
      <c r="AL142" s="464">
        <v>3</v>
      </c>
      <c r="AM142" s="312">
        <f t="shared" si="259"/>
        <v>17</v>
      </c>
      <c r="AN142" s="245">
        <f t="shared" si="251"/>
        <v>6.04444444444444</v>
      </c>
      <c r="AO142" s="246">
        <f>AG142+AN142*7</f>
        <v>46147.3111111111</v>
      </c>
      <c r="AP142" s="465"/>
      <c r="AQ142" s="206"/>
      <c r="AR142" s="466"/>
      <c r="AS142" s="206"/>
      <c r="AT142" s="206"/>
      <c r="AU142" s="349">
        <f t="shared" si="256"/>
        <v>0</v>
      </c>
      <c r="AV142" s="316">
        <f t="shared" si="252"/>
        <v>0</v>
      </c>
      <c r="AW142" s="246">
        <f t="shared" ref="AW142:AW145" si="261">AO142+AV142*7</f>
        <v>46147.3111111111</v>
      </c>
      <c r="AX142" s="465"/>
      <c r="AY142" s="466"/>
      <c r="AZ142" s="465"/>
      <c r="BA142" s="206"/>
      <c r="BB142" s="206"/>
      <c r="BC142" s="315">
        <f t="shared" si="253"/>
        <v>0</v>
      </c>
      <c r="BD142" s="316">
        <f t="shared" si="254"/>
        <v>0</v>
      </c>
      <c r="BE142" s="467"/>
      <c r="BF142" s="465"/>
      <c r="BG142" s="206"/>
      <c r="BH142" s="206"/>
      <c r="BI142" s="206"/>
      <c r="BJ142" s="206"/>
      <c r="BK142" s="247">
        <f t="shared" si="238"/>
        <v>0</v>
      </c>
      <c r="BL142" s="248">
        <f t="shared" si="239"/>
        <v>0</v>
      </c>
      <c r="BM142" s="416"/>
      <c r="BN142" s="390"/>
      <c r="BO142" s="206"/>
      <c r="BP142" s="206"/>
      <c r="BQ142" s="206"/>
      <c r="BR142" s="206"/>
      <c r="BS142" s="250"/>
      <c r="BT142" s="245">
        <f t="shared" si="240"/>
        <v>0</v>
      </c>
      <c r="BV142" s="390"/>
      <c r="BW142" s="206"/>
      <c r="BX142" s="206"/>
      <c r="BY142" s="206"/>
      <c r="BZ142" s="206"/>
      <c r="CA142" s="218"/>
      <c r="CB142" s="245">
        <f t="shared" si="241"/>
        <v>0</v>
      </c>
      <c r="CC142" s="242"/>
      <c r="CD142" s="390"/>
      <c r="CE142" s="206"/>
      <c r="CF142" s="206"/>
      <c r="CG142" s="206"/>
      <c r="CH142" s="206"/>
      <c r="CI142" s="218"/>
      <c r="CJ142" s="245">
        <f t="shared" si="242"/>
        <v>0</v>
      </c>
      <c r="CL142" s="390"/>
      <c r="CM142" s="206"/>
      <c r="CN142" s="206"/>
      <c r="CO142" s="206"/>
      <c r="CP142" s="206"/>
      <c r="CQ142" s="218"/>
      <c r="CR142" s="245">
        <f t="shared" si="243"/>
        <v>0</v>
      </c>
      <c r="CT142" s="390"/>
      <c r="CU142" s="206"/>
      <c r="CV142" s="206"/>
      <c r="CW142" s="206"/>
      <c r="CX142" s="206"/>
      <c r="CY142" s="218"/>
      <c r="CZ142" s="245">
        <f t="shared" si="244"/>
        <v>0</v>
      </c>
      <c r="DB142" s="390"/>
      <c r="DC142" s="206"/>
      <c r="DD142" s="206"/>
      <c r="DE142" s="206"/>
      <c r="DF142" s="206"/>
      <c r="DG142" s="218"/>
      <c r="DH142" s="200"/>
      <c r="DI142" s="206"/>
      <c r="DJ142" s="206"/>
      <c r="DK142" s="206"/>
      <c r="DL142" s="206"/>
      <c r="DM142" s="206"/>
      <c r="DN142" s="206"/>
      <c r="DO142" s="218"/>
      <c r="DP142" s="218"/>
      <c r="DQ142" s="468"/>
      <c r="DR142" s="465"/>
      <c r="DS142" s="206"/>
      <c r="DT142" s="206"/>
      <c r="DU142" s="206"/>
      <c r="DV142" s="206"/>
      <c r="DW142" s="218"/>
      <c r="DX142" s="218"/>
      <c r="DY142" s="206"/>
      <c r="DZ142" s="206"/>
      <c r="EA142" s="206"/>
      <c r="EB142" s="206"/>
      <c r="EC142" s="206"/>
      <c r="ED142" s="206"/>
      <c r="EE142" s="218"/>
      <c r="EF142" s="223">
        <f t="shared" ref="EF142:EJ142" si="262">AH142+AP142+AX142+BF142+BN142+BV142+CD142+CL142+CT142+DB142+DJ142+DR142+DZ142</f>
        <v>5</v>
      </c>
      <c r="EG142" s="223">
        <f t="shared" si="262"/>
        <v>3</v>
      </c>
      <c r="EH142" s="223">
        <f t="shared" si="262"/>
        <v>3</v>
      </c>
      <c r="EI142" s="223">
        <f t="shared" si="262"/>
        <v>3</v>
      </c>
      <c r="EJ142" s="223">
        <f t="shared" si="262"/>
        <v>3</v>
      </c>
      <c r="EK142" s="223">
        <f t="shared" si="246"/>
        <v>17</v>
      </c>
      <c r="EL142" s="218">
        <f t="shared" si="247"/>
        <v>900</v>
      </c>
      <c r="EM142" s="218">
        <f t="shared" si="248"/>
        <v>56.25</v>
      </c>
      <c r="EN142" s="223">
        <f t="shared" si="249"/>
        <v>17</v>
      </c>
      <c r="EO142" s="226">
        <f t="shared" si="250"/>
        <v>39.25</v>
      </c>
      <c r="EP142" s="200"/>
      <c r="EQ142" s="206"/>
      <c r="ER142" s="251"/>
      <c r="ES142" s="206"/>
      <c r="EU142" s="469"/>
      <c r="XEX142" s="200"/>
      <c r="XEY142" s="200"/>
      <c r="XEZ142" s="200"/>
      <c r="XFA142" s="200"/>
      <c r="XFB142" s="200"/>
      <c r="XFC142" s="200"/>
      <c r="XFD142" s="200"/>
    </row>
    <row r="143" s="200" customFormat="1" customHeight="1" spans="1:151 16378:16384">
      <c r="A143" s="448"/>
      <c r="B143" s="218">
        <v>7</v>
      </c>
      <c r="C143" s="219" t="s">
        <v>91</v>
      </c>
      <c r="D143" s="220"/>
      <c r="E143" s="220"/>
      <c r="F143" s="220" t="s">
        <v>55</v>
      </c>
      <c r="G143" s="220"/>
      <c r="H143" s="220"/>
      <c r="I143" s="220"/>
      <c r="J143" s="220" t="s">
        <v>92</v>
      </c>
      <c r="K143" s="220">
        <v>18926618018</v>
      </c>
      <c r="L143" s="220">
        <v>653882</v>
      </c>
      <c r="M143" s="239"/>
      <c r="N143" s="221"/>
      <c r="O143" s="221"/>
      <c r="W143" s="207"/>
      <c r="X143" s="200" t="s">
        <v>487</v>
      </c>
      <c r="Y143" s="470">
        <v>15107650466</v>
      </c>
      <c r="Z143" s="218"/>
      <c r="AA143" s="218">
        <v>200</v>
      </c>
      <c r="AB143" s="218">
        <f t="shared" si="236"/>
        <v>42</v>
      </c>
      <c r="AC143" s="218">
        <v>4</v>
      </c>
      <c r="AD143" s="218">
        <v>38</v>
      </c>
      <c r="AE143" s="222"/>
      <c r="AF143" s="364">
        <f t="shared" si="237"/>
        <v>210</v>
      </c>
      <c r="AG143" s="311">
        <v>46084</v>
      </c>
      <c r="AH143" s="312">
        <v>10</v>
      </c>
      <c r="AI143" s="279">
        <v>10</v>
      </c>
      <c r="AJ143" s="279">
        <v>10</v>
      </c>
      <c r="AK143" s="279">
        <v>10</v>
      </c>
      <c r="AL143" s="312">
        <v>10</v>
      </c>
      <c r="AM143" s="312">
        <f t="shared" si="259"/>
        <v>50</v>
      </c>
      <c r="AN143" s="245">
        <f t="shared" si="251"/>
        <v>3.80952380952381</v>
      </c>
      <c r="AO143" s="311">
        <v>46105</v>
      </c>
      <c r="AP143" s="253">
        <v>10</v>
      </c>
      <c r="AQ143" s="253">
        <v>10</v>
      </c>
      <c r="AR143" s="253">
        <v>10</v>
      </c>
      <c r="AS143" s="253">
        <v>10</v>
      </c>
      <c r="AT143" s="253">
        <v>10</v>
      </c>
      <c r="AU143" s="394">
        <f t="shared" si="256"/>
        <v>50</v>
      </c>
      <c r="AV143" s="316">
        <f t="shared" si="252"/>
        <v>3.80952380952381</v>
      </c>
      <c r="AW143" s="271">
        <f t="shared" si="261"/>
        <v>46131.6666666667</v>
      </c>
      <c r="AX143" s="281">
        <v>10</v>
      </c>
      <c r="AY143" s="282">
        <v>10</v>
      </c>
      <c r="AZ143" s="281">
        <v>10</v>
      </c>
      <c r="BA143" s="282">
        <v>10</v>
      </c>
      <c r="BB143" s="282">
        <v>10</v>
      </c>
      <c r="BC143" s="471">
        <f t="shared" si="253"/>
        <v>50</v>
      </c>
      <c r="BD143" s="316">
        <f t="shared" si="254"/>
        <v>3.80952380952381</v>
      </c>
      <c r="BE143" s="246">
        <f>AW143+BD143*7</f>
        <v>46158.3333333334</v>
      </c>
      <c r="BF143" s="224"/>
      <c r="BG143" s="218"/>
      <c r="BH143" s="218"/>
      <c r="BI143" s="218"/>
      <c r="BJ143" s="218"/>
      <c r="BK143" s="247">
        <f t="shared" si="238"/>
        <v>0</v>
      </c>
      <c r="BL143" s="248">
        <f t="shared" si="239"/>
        <v>0</v>
      </c>
      <c r="BM143" s="227"/>
      <c r="BN143" s="224"/>
      <c r="BO143" s="218"/>
      <c r="BP143" s="218"/>
      <c r="BQ143" s="218"/>
      <c r="BR143" s="218"/>
      <c r="BS143" s="250"/>
      <c r="BT143" s="245">
        <f t="shared" ref="BT143:BT150" si="263">BS143*16/AF143</f>
        <v>0</v>
      </c>
      <c r="BU143" s="227"/>
      <c r="BV143" s="224"/>
      <c r="BW143" s="218"/>
      <c r="BX143" s="218"/>
      <c r="BY143" s="218"/>
      <c r="BZ143" s="218"/>
      <c r="CA143" s="218"/>
      <c r="CB143" s="245">
        <f t="shared" si="241"/>
        <v>0</v>
      </c>
      <c r="CC143" s="242"/>
      <c r="CD143" s="224"/>
      <c r="CE143" s="218"/>
      <c r="CF143" s="218"/>
      <c r="CG143" s="218"/>
      <c r="CH143" s="218"/>
      <c r="CI143" s="218"/>
      <c r="CJ143" s="245">
        <f t="shared" si="242"/>
        <v>0</v>
      </c>
      <c r="CK143" s="249"/>
      <c r="CL143" s="224"/>
      <c r="CM143" s="218"/>
      <c r="CN143" s="218"/>
      <c r="CO143" s="218"/>
      <c r="CP143" s="218"/>
      <c r="CQ143" s="218"/>
      <c r="CR143" s="245">
        <f t="shared" si="243"/>
        <v>0</v>
      </c>
      <c r="CS143" s="249"/>
      <c r="CT143" s="224"/>
      <c r="CU143" s="218"/>
      <c r="CV143" s="218"/>
      <c r="CW143" s="218"/>
      <c r="CX143" s="218"/>
      <c r="CY143" s="218"/>
      <c r="CZ143" s="245">
        <f t="shared" si="244"/>
        <v>0</v>
      </c>
      <c r="DA143" s="249"/>
      <c r="DB143" s="224"/>
      <c r="DC143" s="218"/>
      <c r="DD143" s="218"/>
      <c r="DE143" s="218"/>
      <c r="DF143" s="218"/>
      <c r="DG143" s="218"/>
      <c r="DH143" s="218"/>
      <c r="DI143" s="249"/>
      <c r="DJ143" s="224"/>
      <c r="DK143" s="218"/>
      <c r="DL143" s="218"/>
      <c r="DM143" s="218"/>
      <c r="DN143" s="218"/>
      <c r="DO143" s="218"/>
      <c r="DP143" s="218"/>
      <c r="DQ143" s="249"/>
      <c r="DR143" s="218"/>
      <c r="DS143" s="218"/>
      <c r="DT143" s="218"/>
      <c r="DU143" s="218"/>
      <c r="DV143" s="218"/>
      <c r="DW143" s="218"/>
      <c r="DX143" s="218"/>
      <c r="DY143" s="227"/>
      <c r="DZ143" s="224"/>
      <c r="EA143" s="218"/>
      <c r="EB143" s="218"/>
      <c r="EC143" s="218"/>
      <c r="ED143" s="218"/>
      <c r="EE143" s="218"/>
      <c r="EF143" s="223">
        <f t="shared" ref="EF143:EJ143" si="264">AH143+AP143+AX143+BF143+BN143+BV143+CD143+CL143+CT143+DB143+DJ143+DR143+DZ143</f>
        <v>30</v>
      </c>
      <c r="EG143" s="223">
        <f t="shared" si="264"/>
        <v>30</v>
      </c>
      <c r="EH143" s="223">
        <f t="shared" si="264"/>
        <v>30</v>
      </c>
      <c r="EI143" s="223">
        <f t="shared" si="264"/>
        <v>30</v>
      </c>
      <c r="EJ143" s="223">
        <f t="shared" si="264"/>
        <v>30</v>
      </c>
      <c r="EK143" s="223">
        <f t="shared" si="246"/>
        <v>150</v>
      </c>
      <c r="EL143" s="218">
        <f t="shared" si="247"/>
        <v>4200</v>
      </c>
      <c r="EM143" s="218">
        <f t="shared" si="248"/>
        <v>262.5</v>
      </c>
      <c r="EN143" s="223">
        <f t="shared" si="249"/>
        <v>150</v>
      </c>
      <c r="EO143" s="226">
        <f t="shared" si="250"/>
        <v>112.5</v>
      </c>
      <c r="ER143" s="251"/>
      <c r="EU143" s="220"/>
    </row>
    <row r="144" s="200" customFormat="1" customHeight="1" spans="1:151 16378:16384">
      <c r="A144" s="448"/>
      <c r="B144" s="218">
        <v>8</v>
      </c>
      <c r="C144" s="219" t="s">
        <v>1035</v>
      </c>
      <c r="D144" s="220"/>
      <c r="E144" s="220"/>
      <c r="F144" s="220"/>
      <c r="G144" s="220"/>
      <c r="H144" s="221"/>
      <c r="I144" s="239"/>
      <c r="J144" s="200" t="s">
        <v>1036</v>
      </c>
      <c r="K144" s="200">
        <v>18922552071</v>
      </c>
      <c r="M144" s="239"/>
      <c r="N144" s="221"/>
      <c r="O144" s="221"/>
      <c r="U144" s="220"/>
      <c r="V144" s="200" t="s">
        <v>1036</v>
      </c>
      <c r="W144" s="221" t="s">
        <v>1037</v>
      </c>
      <c r="X144" s="220" t="s">
        <v>1038</v>
      </c>
      <c r="Y144" s="463">
        <v>13642528672</v>
      </c>
      <c r="Z144" s="218"/>
      <c r="AA144" s="218">
        <v>200</v>
      </c>
      <c r="AB144" s="218">
        <f t="shared" si="236"/>
        <v>44</v>
      </c>
      <c r="AC144" s="218">
        <v>9</v>
      </c>
      <c r="AD144" s="218">
        <v>35</v>
      </c>
      <c r="AE144" s="218"/>
      <c r="AF144" s="364">
        <f t="shared" si="237"/>
        <v>220</v>
      </c>
      <c r="AG144" s="311">
        <v>46084</v>
      </c>
      <c r="AH144" s="312">
        <v>5</v>
      </c>
      <c r="AI144" s="312">
        <v>5</v>
      </c>
      <c r="AJ144" s="312">
        <v>5</v>
      </c>
      <c r="AK144" s="312">
        <v>5</v>
      </c>
      <c r="AL144" s="312">
        <v>5</v>
      </c>
      <c r="AM144" s="312">
        <f t="shared" si="259"/>
        <v>25</v>
      </c>
      <c r="AN144" s="245">
        <f t="shared" si="251"/>
        <v>1.81818181818182</v>
      </c>
      <c r="AO144" s="252">
        <v>46090</v>
      </c>
      <c r="AP144" s="253">
        <v>5</v>
      </c>
      <c r="AQ144" s="326">
        <v>5</v>
      </c>
      <c r="AR144" s="269">
        <v>5</v>
      </c>
      <c r="AS144" s="269">
        <v>5</v>
      </c>
      <c r="AT144" s="269">
        <v>5</v>
      </c>
      <c r="AU144" s="394">
        <f t="shared" si="256"/>
        <v>25</v>
      </c>
      <c r="AV144" s="316">
        <f t="shared" si="252"/>
        <v>1.81818181818182</v>
      </c>
      <c r="AW144" s="252">
        <v>46105</v>
      </c>
      <c r="AX144" s="253">
        <v>8</v>
      </c>
      <c r="AY144" s="269">
        <v>8</v>
      </c>
      <c r="AZ144" s="268">
        <v>8</v>
      </c>
      <c r="BA144" s="269">
        <v>8</v>
      </c>
      <c r="BB144" s="269">
        <v>8</v>
      </c>
      <c r="BC144" s="244">
        <f t="shared" si="253"/>
        <v>40</v>
      </c>
      <c r="BD144" s="316">
        <f t="shared" si="254"/>
        <v>2.90909090909091</v>
      </c>
      <c r="BE144" s="260">
        <v>46119</v>
      </c>
      <c r="BF144" s="253">
        <v>8</v>
      </c>
      <c r="BG144" s="269">
        <v>8</v>
      </c>
      <c r="BH144" s="269">
        <v>8</v>
      </c>
      <c r="BI144" s="269">
        <v>8</v>
      </c>
      <c r="BJ144" s="269">
        <v>8</v>
      </c>
      <c r="BK144" s="244">
        <f t="shared" si="238"/>
        <v>40</v>
      </c>
      <c r="BL144" s="248">
        <f t="shared" si="239"/>
        <v>2.90909090909091</v>
      </c>
      <c r="BM144" s="246">
        <f>BE144+BL144*7</f>
        <v>46139.3636363636</v>
      </c>
      <c r="BN144" s="224"/>
      <c r="BO144" s="218"/>
      <c r="BP144" s="218"/>
      <c r="BQ144" s="218"/>
      <c r="BR144" s="218"/>
      <c r="BS144" s="250"/>
      <c r="BT144" s="245">
        <f t="shared" si="263"/>
        <v>0</v>
      </c>
      <c r="BU144" s="249"/>
      <c r="BV144" s="224"/>
      <c r="BW144" s="218"/>
      <c r="BX144" s="218"/>
      <c r="BY144" s="218"/>
      <c r="BZ144" s="218"/>
      <c r="CA144" s="218"/>
      <c r="CB144" s="245">
        <f t="shared" si="241"/>
        <v>0</v>
      </c>
      <c r="CC144" s="249"/>
      <c r="CD144" s="224"/>
      <c r="CE144" s="218"/>
      <c r="CF144" s="218"/>
      <c r="CG144" s="218"/>
      <c r="CH144" s="218"/>
      <c r="CI144" s="218"/>
      <c r="CJ144" s="245">
        <f t="shared" si="242"/>
        <v>0</v>
      </c>
      <c r="CK144" s="246"/>
      <c r="CL144" s="224"/>
      <c r="CM144" s="218"/>
      <c r="CN144" s="218"/>
      <c r="CO144" s="218"/>
      <c r="CP144" s="218"/>
      <c r="CQ144" s="218"/>
      <c r="CR144" s="245">
        <f t="shared" si="243"/>
        <v>0</v>
      </c>
      <c r="CS144" s="242"/>
      <c r="CT144" s="224"/>
      <c r="CU144" s="218"/>
      <c r="CV144" s="218"/>
      <c r="CW144" s="218"/>
      <c r="CX144" s="218"/>
      <c r="CY144" s="218"/>
      <c r="CZ144" s="245">
        <f t="shared" si="244"/>
        <v>0</v>
      </c>
      <c r="DA144" s="218"/>
      <c r="DB144" s="224"/>
      <c r="DC144" s="218"/>
      <c r="DD144" s="218"/>
      <c r="DE144" s="218"/>
      <c r="DF144" s="218"/>
      <c r="DG144" s="218"/>
      <c r="DH144" s="218"/>
      <c r="DI144" s="218"/>
      <c r="DJ144" s="249"/>
      <c r="DK144" s="218"/>
      <c r="DL144" s="218"/>
      <c r="DM144" s="218"/>
      <c r="DN144" s="218"/>
      <c r="DO144" s="218"/>
      <c r="DP144" s="218"/>
      <c r="DQ144" s="227"/>
      <c r="DR144" s="224"/>
      <c r="DS144" s="218"/>
      <c r="DT144" s="218"/>
      <c r="DU144" s="218"/>
      <c r="DV144" s="218"/>
      <c r="DW144" s="218"/>
      <c r="DX144" s="218"/>
      <c r="DY144" s="218"/>
      <c r="DZ144" s="218"/>
      <c r="EA144" s="218"/>
      <c r="EB144" s="218"/>
      <c r="EC144" s="218"/>
      <c r="ED144" s="218"/>
      <c r="EE144" s="218"/>
      <c r="EF144" s="223">
        <f t="shared" ref="EF144:EJ144" si="265">AH144+AP144+AX144+BF144+BN144+BV144+CD144+CL144+CT144+DB144+DJ144+DR144+DZ144</f>
        <v>26</v>
      </c>
      <c r="EG144" s="223">
        <f t="shared" si="265"/>
        <v>26</v>
      </c>
      <c r="EH144" s="223">
        <f t="shared" si="265"/>
        <v>26</v>
      </c>
      <c r="EI144" s="223">
        <f t="shared" si="265"/>
        <v>26</v>
      </c>
      <c r="EJ144" s="223">
        <f t="shared" si="265"/>
        <v>26</v>
      </c>
      <c r="EK144" s="223">
        <f t="shared" si="246"/>
        <v>130</v>
      </c>
      <c r="EL144" s="218">
        <f t="shared" si="247"/>
        <v>4400</v>
      </c>
      <c r="EM144" s="218">
        <f t="shared" si="248"/>
        <v>275</v>
      </c>
      <c r="EN144" s="223">
        <f t="shared" si="249"/>
        <v>130</v>
      </c>
      <c r="EO144" s="226">
        <f t="shared" si="250"/>
        <v>145</v>
      </c>
      <c r="ER144" s="251"/>
      <c r="EU144" s="220"/>
    </row>
    <row r="145" s="200" customFormat="1" customHeight="1" spans="1:151 16352:16384">
      <c r="A145" s="448"/>
      <c r="B145" s="218">
        <v>9</v>
      </c>
      <c r="C145" s="219" t="s">
        <v>49</v>
      </c>
      <c r="D145" s="220" t="s">
        <v>13</v>
      </c>
      <c r="E145" s="220" t="s">
        <v>405</v>
      </c>
      <c r="F145" s="220" t="s">
        <v>50</v>
      </c>
      <c r="G145" s="220" t="s">
        <v>51</v>
      </c>
      <c r="H145" s="239">
        <v>13726992042</v>
      </c>
      <c r="I145" s="239">
        <v>672042</v>
      </c>
      <c r="J145" s="220" t="s">
        <v>52</v>
      </c>
      <c r="K145" s="221">
        <v>13553919573</v>
      </c>
      <c r="L145" s="239">
        <v>66573</v>
      </c>
      <c r="M145" s="239"/>
      <c r="N145" s="221"/>
      <c r="O145" s="207" t="s">
        <v>1039</v>
      </c>
      <c r="P145" s="200">
        <v>50</v>
      </c>
      <c r="Q145" s="200" t="s">
        <v>1020</v>
      </c>
      <c r="R145" s="200" t="s">
        <v>418</v>
      </c>
      <c r="S145" s="200" t="s">
        <v>418</v>
      </c>
      <c r="V145" s="200" t="s">
        <v>1040</v>
      </c>
      <c r="W145" s="207" t="s">
        <v>1041</v>
      </c>
      <c r="X145" s="200" t="s">
        <v>1042</v>
      </c>
      <c r="Y145" s="207" t="s">
        <v>1043</v>
      </c>
      <c r="Z145" s="218"/>
      <c r="AA145" s="218">
        <v>200</v>
      </c>
      <c r="AB145" s="218">
        <f t="shared" si="236"/>
        <v>3</v>
      </c>
      <c r="AC145" s="218">
        <v>2</v>
      </c>
      <c r="AD145" s="218">
        <v>1</v>
      </c>
      <c r="AE145" s="222"/>
      <c r="AF145" s="364">
        <f t="shared" si="237"/>
        <v>15</v>
      </c>
      <c r="AG145" s="252">
        <v>46092</v>
      </c>
      <c r="AH145" s="253">
        <v>1</v>
      </c>
      <c r="AI145" s="254">
        <v>1</v>
      </c>
      <c r="AJ145" s="254">
        <v>1</v>
      </c>
      <c r="AK145" s="254">
        <v>1</v>
      </c>
      <c r="AL145" s="254">
        <v>1</v>
      </c>
      <c r="AM145" s="394">
        <f t="shared" si="259"/>
        <v>5</v>
      </c>
      <c r="AN145" s="245">
        <f t="shared" si="251"/>
        <v>5.33333333333333</v>
      </c>
      <c r="AO145" s="260">
        <f>AG145+AV145*7</f>
        <v>46129.3333333333</v>
      </c>
      <c r="AP145" s="327">
        <v>1</v>
      </c>
      <c r="AQ145" s="327">
        <v>1</v>
      </c>
      <c r="AR145" s="327">
        <v>1</v>
      </c>
      <c r="AS145" s="327">
        <v>1</v>
      </c>
      <c r="AT145" s="327">
        <v>1</v>
      </c>
      <c r="AU145" s="394">
        <f t="shared" si="256"/>
        <v>5</v>
      </c>
      <c r="AV145" s="248">
        <f t="shared" si="252"/>
        <v>5.33333333333333</v>
      </c>
      <c r="AW145" s="246">
        <f t="shared" si="261"/>
        <v>46166.6666666667</v>
      </c>
      <c r="AX145" s="224"/>
      <c r="AY145" s="218"/>
      <c r="AZ145" s="224"/>
      <c r="BA145" s="218"/>
      <c r="BB145" s="218"/>
      <c r="BC145" s="315">
        <f t="shared" si="253"/>
        <v>0</v>
      </c>
      <c r="BD145" s="316">
        <f t="shared" si="254"/>
        <v>0</v>
      </c>
      <c r="BE145" s="249"/>
      <c r="BF145" s="224"/>
      <c r="BG145" s="218"/>
      <c r="BH145" s="218"/>
      <c r="BI145" s="218"/>
      <c r="BJ145" s="218"/>
      <c r="BK145" s="247">
        <f t="shared" si="238"/>
        <v>0</v>
      </c>
      <c r="BL145" s="248">
        <f t="shared" si="239"/>
        <v>0</v>
      </c>
      <c r="BM145" s="227"/>
      <c r="BN145" s="224"/>
      <c r="BO145" s="218"/>
      <c r="BP145" s="218"/>
      <c r="BQ145" s="218"/>
      <c r="BR145" s="218"/>
      <c r="BS145" s="250"/>
      <c r="BT145" s="245">
        <f t="shared" si="263"/>
        <v>0</v>
      </c>
      <c r="BU145" s="249"/>
      <c r="BV145" s="224"/>
      <c r="BW145" s="218"/>
      <c r="BX145" s="218"/>
      <c r="BY145" s="218"/>
      <c r="BZ145" s="218"/>
      <c r="CA145" s="218"/>
      <c r="CB145" s="245">
        <f t="shared" si="241"/>
        <v>0</v>
      </c>
      <c r="CC145" s="249"/>
      <c r="CD145" s="224"/>
      <c r="CE145" s="218"/>
      <c r="CF145" s="218"/>
      <c r="CG145" s="218"/>
      <c r="CH145" s="218"/>
      <c r="CI145" s="218"/>
      <c r="CJ145" s="245">
        <f t="shared" si="242"/>
        <v>0</v>
      </c>
      <c r="CK145" s="246"/>
      <c r="CL145" s="472"/>
      <c r="CM145" s="242"/>
      <c r="CN145" s="242"/>
      <c r="CO145" s="242"/>
      <c r="CP145" s="242"/>
      <c r="CQ145" s="242"/>
      <c r="CR145" s="473">
        <f t="shared" si="243"/>
        <v>0</v>
      </c>
      <c r="CS145" s="242"/>
      <c r="CT145" s="224"/>
      <c r="CU145" s="218"/>
      <c r="CV145" s="218"/>
      <c r="CW145" s="218"/>
      <c r="CX145" s="218"/>
      <c r="CY145" s="218"/>
      <c r="CZ145" s="245">
        <f t="shared" si="244"/>
        <v>0</v>
      </c>
      <c r="DA145" s="218"/>
      <c r="DB145" s="224"/>
      <c r="DC145" s="218"/>
      <c r="DD145" s="218"/>
      <c r="DE145" s="218"/>
      <c r="DF145" s="218"/>
      <c r="DG145" s="218"/>
      <c r="DH145" s="218"/>
      <c r="DI145" s="218"/>
      <c r="DJ145" s="218"/>
      <c r="DK145" s="218"/>
      <c r="DL145" s="218"/>
      <c r="DM145" s="218"/>
      <c r="DN145" s="218"/>
      <c r="DO145" s="218"/>
      <c r="DP145" s="218"/>
      <c r="DQ145" s="227"/>
      <c r="DR145" s="224"/>
      <c r="DS145" s="218"/>
      <c r="DT145" s="218"/>
      <c r="DU145" s="218"/>
      <c r="DV145" s="218"/>
      <c r="DW145" s="218"/>
      <c r="DX145" s="218"/>
      <c r="DY145" s="218"/>
      <c r="DZ145" s="218"/>
      <c r="EA145" s="218"/>
      <c r="EB145" s="218"/>
      <c r="EC145" s="218"/>
      <c r="ED145" s="218"/>
      <c r="EE145" s="218"/>
      <c r="EF145" s="223" t="e">
        <f>#REF!+AH145+AX145+BF145+BN145+BV145+CD145+CL145+CT145+DB145+DJ145+DR145+DZ145</f>
        <v>#REF!</v>
      </c>
      <c r="EG145" s="223" t="e">
        <f>#REF!+AI145+AY145+BG145+BO145+BW145+CE145+CM145+CU145+DC145+DK145+DS145+EA145</f>
        <v>#REF!</v>
      </c>
      <c r="EH145" s="223" t="e">
        <f>#REF!+AJ145+AZ145+BH145+BP145+BX145+CF145+CN145+CV145+DD145+DL145+DT145+EB145</f>
        <v>#REF!</v>
      </c>
      <c r="EI145" s="223" t="e">
        <f>#REF!+AK145+BA145+BI145+BQ145+BY145+CG145+CO145+CW145+DE145+DM145+DU145+EC145</f>
        <v>#REF!</v>
      </c>
      <c r="EJ145" s="223" t="e">
        <f>#REF!+AL145+BB145+BJ145+BR145+BZ145+CH145+CP145+CX145+DF145+DN145+DV145+ED145</f>
        <v>#REF!</v>
      </c>
      <c r="EK145" s="223" t="e">
        <f t="shared" si="246"/>
        <v>#REF!</v>
      </c>
      <c r="EL145" s="218">
        <f t="shared" si="247"/>
        <v>300</v>
      </c>
      <c r="EM145" s="218">
        <f t="shared" si="248"/>
        <v>18.75</v>
      </c>
      <c r="EN145" s="223" t="e">
        <f t="shared" si="249"/>
        <v>#REF!</v>
      </c>
      <c r="EO145" s="226" t="e">
        <f t="shared" si="250"/>
        <v>#REF!</v>
      </c>
      <c r="ER145" s="251"/>
      <c r="EU145" s="220"/>
    </row>
    <row r="146" s="200" customFormat="1" customHeight="1" spans="1:151 16352:16384">
      <c r="A146" s="448"/>
      <c r="B146" s="218">
        <v>10</v>
      </c>
      <c r="C146" s="219" t="s">
        <v>69</v>
      </c>
      <c r="D146" s="220" t="s">
        <v>13</v>
      </c>
      <c r="E146" s="220" t="s">
        <v>405</v>
      </c>
      <c r="F146" s="220" t="s">
        <v>60</v>
      </c>
      <c r="G146" s="270" t="s">
        <v>70</v>
      </c>
      <c r="H146" s="297">
        <v>18820553993</v>
      </c>
      <c r="I146" s="297">
        <v>693993</v>
      </c>
      <c r="J146" s="270" t="s">
        <v>71</v>
      </c>
      <c r="K146" s="296">
        <v>15811735705</v>
      </c>
      <c r="L146" s="297">
        <v>615705</v>
      </c>
      <c r="N146" s="207"/>
      <c r="O146" s="221" t="s">
        <v>1044</v>
      </c>
      <c r="Q146" s="200" t="s">
        <v>1045</v>
      </c>
      <c r="R146" s="200" t="s">
        <v>418</v>
      </c>
      <c r="S146" s="200" t="s">
        <v>418</v>
      </c>
      <c r="V146" s="200" t="s">
        <v>1046</v>
      </c>
      <c r="W146" s="221" t="s">
        <v>1047</v>
      </c>
      <c r="X146" s="220" t="s">
        <v>1048</v>
      </c>
      <c r="Y146" s="207" t="s">
        <v>1049</v>
      </c>
      <c r="Z146" s="218"/>
      <c r="AA146" s="218">
        <v>200</v>
      </c>
      <c r="AB146" s="218">
        <f t="shared" si="236"/>
        <v>176</v>
      </c>
      <c r="AC146" s="218">
        <v>30</v>
      </c>
      <c r="AD146" s="218">
        <v>146</v>
      </c>
      <c r="AE146" s="222"/>
      <c r="AF146" s="364">
        <f t="shared" si="237"/>
        <v>880</v>
      </c>
      <c r="AG146" s="311">
        <v>46084</v>
      </c>
      <c r="AH146" s="312">
        <v>20</v>
      </c>
      <c r="AI146" s="312">
        <v>20</v>
      </c>
      <c r="AJ146" s="312">
        <v>20</v>
      </c>
      <c r="AK146" s="312">
        <v>20</v>
      </c>
      <c r="AL146" s="312">
        <v>20</v>
      </c>
      <c r="AM146" s="312">
        <f t="shared" si="259"/>
        <v>100</v>
      </c>
      <c r="AN146" s="245">
        <f t="shared" si="251"/>
        <v>1.81818181818182</v>
      </c>
      <c r="AO146" s="252">
        <v>46094</v>
      </c>
      <c r="AP146" s="253">
        <v>20</v>
      </c>
      <c r="AQ146" s="254">
        <v>25</v>
      </c>
      <c r="AR146" s="254">
        <v>25</v>
      </c>
      <c r="AS146" s="254">
        <v>25</v>
      </c>
      <c r="AT146" s="254">
        <v>25</v>
      </c>
      <c r="AU146" s="394">
        <f t="shared" si="256"/>
        <v>120</v>
      </c>
      <c r="AV146" s="316">
        <f t="shared" si="252"/>
        <v>2.18181818181818</v>
      </c>
      <c r="AW146" s="311">
        <v>46105</v>
      </c>
      <c r="AX146" s="253">
        <v>20</v>
      </c>
      <c r="AY146" s="254">
        <v>25</v>
      </c>
      <c r="AZ146" s="253">
        <v>25</v>
      </c>
      <c r="BA146" s="254">
        <v>25</v>
      </c>
      <c r="BB146" s="254">
        <v>25</v>
      </c>
      <c r="BC146" s="312">
        <f t="shared" si="253"/>
        <v>120</v>
      </c>
      <c r="BD146" s="316">
        <f t="shared" si="254"/>
        <v>2.18181818181818</v>
      </c>
      <c r="BE146" s="249">
        <v>46114</v>
      </c>
      <c r="BF146" s="224">
        <v>20</v>
      </c>
      <c r="BG146" s="218">
        <v>25</v>
      </c>
      <c r="BH146" s="218">
        <v>25</v>
      </c>
      <c r="BI146" s="218">
        <v>25</v>
      </c>
      <c r="BJ146" s="218">
        <v>25</v>
      </c>
      <c r="BK146" s="247">
        <f t="shared" si="238"/>
        <v>120</v>
      </c>
      <c r="BL146" s="248">
        <f t="shared" si="239"/>
        <v>2.18181818181818</v>
      </c>
      <c r="BM146" s="260">
        <f>BE146+BL146*7</f>
        <v>46129.2727272727</v>
      </c>
      <c r="BN146" s="253">
        <v>20</v>
      </c>
      <c r="BO146" s="254">
        <v>25</v>
      </c>
      <c r="BP146" s="254">
        <v>25</v>
      </c>
      <c r="BQ146" s="254">
        <v>25</v>
      </c>
      <c r="BR146" s="254">
        <v>25</v>
      </c>
      <c r="BS146" s="269">
        <f>SUM(BN146:BR146)</f>
        <v>120</v>
      </c>
      <c r="BT146" s="245">
        <f t="shared" si="263"/>
        <v>2.18181818181818</v>
      </c>
      <c r="BU146" s="246">
        <f>BM146+BT146*7</f>
        <v>46144.5454545454</v>
      </c>
      <c r="BV146" s="224"/>
      <c r="BW146" s="218"/>
      <c r="BX146" s="218"/>
      <c r="BY146" s="218"/>
      <c r="BZ146" s="218"/>
      <c r="CA146" s="218"/>
      <c r="CB146" s="245">
        <f t="shared" si="241"/>
        <v>0</v>
      </c>
      <c r="CC146" s="249"/>
      <c r="CD146" s="224"/>
      <c r="CE146" s="218"/>
      <c r="CF146" s="218"/>
      <c r="CG146" s="218"/>
      <c r="CH146" s="218"/>
      <c r="CI146" s="218"/>
      <c r="CJ146" s="245">
        <f t="shared" si="242"/>
        <v>0</v>
      </c>
      <c r="CK146" s="249"/>
      <c r="CL146" s="224"/>
      <c r="CM146" s="218"/>
      <c r="CN146" s="218"/>
      <c r="CO146" s="218"/>
      <c r="CP146" s="218"/>
      <c r="CQ146" s="218"/>
      <c r="CR146" s="245">
        <f t="shared" si="243"/>
        <v>0</v>
      </c>
      <c r="CS146" s="249"/>
      <c r="CT146" s="224"/>
      <c r="CU146" s="218"/>
      <c r="CV146" s="218"/>
      <c r="CW146" s="218"/>
      <c r="CX146" s="218"/>
      <c r="CY146" s="218"/>
      <c r="CZ146" s="245">
        <f t="shared" si="244"/>
        <v>0</v>
      </c>
      <c r="DA146" s="249"/>
      <c r="DB146" s="224"/>
      <c r="DC146" s="218"/>
      <c r="DD146" s="218"/>
      <c r="DE146" s="218"/>
      <c r="DF146" s="218"/>
      <c r="DG146" s="218"/>
      <c r="DH146" s="218"/>
      <c r="DI146" s="249"/>
      <c r="DJ146" s="218"/>
      <c r="DK146" s="218"/>
      <c r="DL146" s="218"/>
      <c r="DM146" s="218"/>
      <c r="DN146" s="218"/>
      <c r="DO146" s="218"/>
      <c r="DP146" s="218"/>
      <c r="DQ146" s="227"/>
      <c r="DR146" s="224"/>
      <c r="DS146" s="218"/>
      <c r="DT146" s="218"/>
      <c r="DU146" s="218"/>
      <c r="DV146" s="218"/>
      <c r="DW146" s="218"/>
      <c r="DX146" s="218"/>
      <c r="DY146" s="249"/>
      <c r="DZ146" s="218"/>
      <c r="EA146" s="218"/>
      <c r="EB146" s="218"/>
      <c r="EC146" s="218"/>
      <c r="ED146" s="218"/>
      <c r="EE146" s="218"/>
      <c r="EF146" s="223">
        <f t="shared" ref="EF146:EJ146" si="266">AH146+AP146+AX146+BF146+BN146+BV146+CD146+CL146+CT146+DB146+DJ146+DR146+DZ146</f>
        <v>100</v>
      </c>
      <c r="EG146" s="223">
        <f t="shared" si="266"/>
        <v>120</v>
      </c>
      <c r="EH146" s="223">
        <f t="shared" si="266"/>
        <v>120</v>
      </c>
      <c r="EI146" s="223">
        <f t="shared" si="266"/>
        <v>120</v>
      </c>
      <c r="EJ146" s="223">
        <f t="shared" si="266"/>
        <v>120</v>
      </c>
      <c r="EK146" s="223">
        <f t="shared" si="246"/>
        <v>580</v>
      </c>
      <c r="EL146" s="218">
        <f t="shared" si="247"/>
        <v>17600</v>
      </c>
      <c r="EM146" s="218">
        <f t="shared" si="248"/>
        <v>1100</v>
      </c>
      <c r="EN146" s="223">
        <f t="shared" si="249"/>
        <v>580</v>
      </c>
      <c r="EO146" s="226">
        <f t="shared" si="250"/>
        <v>520</v>
      </c>
      <c r="ER146" s="251"/>
      <c r="EU146" s="220"/>
    </row>
    <row r="147" s="200" customFormat="1" customHeight="1" spans="1:151 16352:16384">
      <c r="A147" s="448"/>
      <c r="B147" s="218">
        <v>12</v>
      </c>
      <c r="C147" s="219" t="s">
        <v>73</v>
      </c>
      <c r="D147" s="220" t="s">
        <v>13</v>
      </c>
      <c r="E147" s="220" t="s">
        <v>405</v>
      </c>
      <c r="F147" s="220" t="s">
        <v>60</v>
      </c>
      <c r="G147" s="270" t="s">
        <v>74</v>
      </c>
      <c r="H147" s="296">
        <v>13413595530</v>
      </c>
      <c r="I147" s="297">
        <v>685530</v>
      </c>
      <c r="J147" s="270" t="s">
        <v>76</v>
      </c>
      <c r="K147" s="270" t="s">
        <v>77</v>
      </c>
      <c r="L147" s="270" t="s">
        <v>78</v>
      </c>
      <c r="M147" s="239"/>
      <c r="N147" s="221"/>
      <c r="O147" s="221" t="s">
        <v>1050</v>
      </c>
      <c r="Q147" s="200" t="s">
        <v>408</v>
      </c>
      <c r="R147" s="200" t="s">
        <v>418</v>
      </c>
      <c r="S147" s="200" t="s">
        <v>418</v>
      </c>
      <c r="V147" s="200" t="s">
        <v>1051</v>
      </c>
      <c r="W147" s="207" t="s">
        <v>1052</v>
      </c>
      <c r="X147" s="200" t="s">
        <v>1053</v>
      </c>
      <c r="Y147" s="207" t="s">
        <v>1054</v>
      </c>
      <c r="Z147" s="218"/>
      <c r="AA147" s="218">
        <v>200</v>
      </c>
      <c r="AB147" s="218">
        <v>210</v>
      </c>
      <c r="AC147" s="218">
        <v>40</v>
      </c>
      <c r="AD147" s="218">
        <v>170</v>
      </c>
      <c r="AE147" s="222"/>
      <c r="AF147" s="364">
        <f t="shared" si="237"/>
        <v>1050</v>
      </c>
      <c r="AG147" s="311">
        <v>46084</v>
      </c>
      <c r="AH147" s="312">
        <v>20</v>
      </c>
      <c r="AI147" s="312">
        <v>20</v>
      </c>
      <c r="AJ147" s="312">
        <v>20</v>
      </c>
      <c r="AK147" s="312">
        <v>20</v>
      </c>
      <c r="AL147" s="312">
        <v>20</v>
      </c>
      <c r="AM147" s="312">
        <f t="shared" si="259"/>
        <v>100</v>
      </c>
      <c r="AN147" s="245">
        <f t="shared" si="251"/>
        <v>1.52380952380952</v>
      </c>
      <c r="AO147" s="252">
        <v>46091</v>
      </c>
      <c r="AP147" s="253">
        <v>30</v>
      </c>
      <c r="AQ147" s="254">
        <v>30</v>
      </c>
      <c r="AR147" s="254">
        <v>30</v>
      </c>
      <c r="AS147" s="254">
        <v>30</v>
      </c>
      <c r="AT147" s="254">
        <v>30</v>
      </c>
      <c r="AU147" s="394">
        <f t="shared" si="256"/>
        <v>150</v>
      </c>
      <c r="AV147" s="316">
        <f t="shared" si="252"/>
        <v>2.28571428571429</v>
      </c>
      <c r="AW147" s="311">
        <v>46103</v>
      </c>
      <c r="AX147" s="253">
        <v>0</v>
      </c>
      <c r="AY147" s="254">
        <v>60</v>
      </c>
      <c r="AZ147" s="253">
        <v>20</v>
      </c>
      <c r="BA147" s="254">
        <v>20</v>
      </c>
      <c r="BB147" s="254">
        <v>20</v>
      </c>
      <c r="BC147" s="312">
        <f t="shared" si="253"/>
        <v>120</v>
      </c>
      <c r="BD147" s="316">
        <f t="shared" si="254"/>
        <v>1.82857142857143</v>
      </c>
      <c r="BE147" s="271">
        <v>46115</v>
      </c>
      <c r="BF147" s="281"/>
      <c r="BG147" s="282">
        <v>30</v>
      </c>
      <c r="BH147" s="282">
        <v>30</v>
      </c>
      <c r="BI147" s="282">
        <v>30</v>
      </c>
      <c r="BJ147" s="282">
        <v>30</v>
      </c>
      <c r="BK147" s="274">
        <f t="shared" si="238"/>
        <v>120</v>
      </c>
      <c r="BL147" s="248">
        <f t="shared" si="239"/>
        <v>1.82857142857143</v>
      </c>
      <c r="BM147" s="260">
        <v>46119</v>
      </c>
      <c r="BN147" s="253"/>
      <c r="BO147" s="254">
        <v>30</v>
      </c>
      <c r="BP147" s="254">
        <v>30</v>
      </c>
      <c r="BQ147" s="254">
        <v>30</v>
      </c>
      <c r="BR147" s="254">
        <v>30</v>
      </c>
      <c r="BS147" s="269">
        <f>SUM(BO147:BR147)</f>
        <v>120</v>
      </c>
      <c r="BT147" s="245">
        <f t="shared" si="263"/>
        <v>1.82857142857143</v>
      </c>
      <c r="BU147" s="255">
        <f>BM147+BT147*7</f>
        <v>46131.8</v>
      </c>
      <c r="BV147" s="256"/>
      <c r="BW147" s="257">
        <v>30</v>
      </c>
      <c r="BX147" s="257">
        <v>30</v>
      </c>
      <c r="BY147" s="257">
        <v>30</v>
      </c>
      <c r="BZ147" s="257">
        <v>30</v>
      </c>
      <c r="CA147" s="257">
        <f>SUBTOTAL(9,BW147:BZ147)</f>
        <v>120</v>
      </c>
      <c r="CB147" s="245">
        <f t="shared" si="241"/>
        <v>1.82857142857143</v>
      </c>
      <c r="CC147" s="246">
        <f>BU147+CB147*7</f>
        <v>46144.6</v>
      </c>
      <c r="CD147" s="224"/>
      <c r="CE147" s="218"/>
      <c r="CF147" s="218"/>
      <c r="CG147" s="218"/>
      <c r="CH147" s="218"/>
      <c r="CI147" s="218"/>
      <c r="CJ147" s="245">
        <f t="shared" si="242"/>
        <v>0</v>
      </c>
      <c r="CK147" s="249"/>
      <c r="CL147" s="224"/>
      <c r="CM147" s="218"/>
      <c r="CN147" s="218"/>
      <c r="CO147" s="218"/>
      <c r="CP147" s="218"/>
      <c r="CQ147" s="218"/>
      <c r="CR147" s="245">
        <f t="shared" si="243"/>
        <v>0</v>
      </c>
      <c r="CS147" s="249"/>
      <c r="CT147" s="224"/>
      <c r="CU147" s="218"/>
      <c r="CV147" s="218"/>
      <c r="CW147" s="218"/>
      <c r="CX147" s="218"/>
      <c r="CY147" s="218"/>
      <c r="CZ147" s="245">
        <f t="shared" si="244"/>
        <v>0</v>
      </c>
      <c r="DA147" s="249"/>
      <c r="DB147" s="224"/>
      <c r="DC147" s="218"/>
      <c r="DD147" s="218"/>
      <c r="DE147" s="218"/>
      <c r="DF147" s="218"/>
      <c r="DG147" s="218"/>
      <c r="DH147" s="218"/>
      <c r="DI147" s="249"/>
      <c r="DJ147" s="218"/>
      <c r="DK147" s="218"/>
      <c r="DL147" s="218"/>
      <c r="DM147" s="218"/>
      <c r="DN147" s="218"/>
      <c r="DO147" s="218"/>
      <c r="DP147" s="218"/>
      <c r="DQ147" s="227"/>
      <c r="DR147" s="224"/>
      <c r="DS147" s="218"/>
      <c r="DT147" s="218"/>
      <c r="DU147" s="218"/>
      <c r="DV147" s="218"/>
      <c r="DW147" s="218"/>
      <c r="DX147" s="218"/>
      <c r="DY147" s="218"/>
      <c r="DZ147" s="218"/>
      <c r="EA147" s="218"/>
      <c r="EB147" s="218"/>
      <c r="EC147" s="218"/>
      <c r="ED147" s="218"/>
      <c r="EE147" s="218"/>
      <c r="EF147" s="223">
        <f t="shared" ref="EF147:EJ147" si="267">AH147+AP147+AX147+BF147+BN147+BV147+CD147+CL147+CT147+DB147+DJ147+DR147+DZ147</f>
        <v>50</v>
      </c>
      <c r="EG147" s="223">
        <f t="shared" si="267"/>
        <v>200</v>
      </c>
      <c r="EH147" s="223">
        <f t="shared" si="267"/>
        <v>160</v>
      </c>
      <c r="EI147" s="223">
        <f t="shared" si="267"/>
        <v>160</v>
      </c>
      <c r="EJ147" s="223">
        <f t="shared" si="267"/>
        <v>160</v>
      </c>
      <c r="EK147" s="223">
        <f t="shared" si="246"/>
        <v>730</v>
      </c>
      <c r="EL147" s="218">
        <f t="shared" si="247"/>
        <v>21000</v>
      </c>
      <c r="EM147" s="218">
        <f t="shared" si="248"/>
        <v>1312.5</v>
      </c>
      <c r="EN147" s="223">
        <f t="shared" si="249"/>
        <v>730</v>
      </c>
      <c r="EO147" s="226">
        <f t="shared" si="250"/>
        <v>582.5</v>
      </c>
      <c r="ER147" s="251"/>
      <c r="EU147" s="220"/>
    </row>
    <row r="148" s="200" customFormat="1" customHeight="1" spans="1:151 16352:16384">
      <c r="A148" s="448"/>
      <c r="B148" s="218">
        <v>13</v>
      </c>
      <c r="C148" s="219" t="s">
        <v>85</v>
      </c>
      <c r="D148" s="220" t="s">
        <v>13</v>
      </c>
      <c r="E148" s="220" t="s">
        <v>405</v>
      </c>
      <c r="F148" s="220" t="s">
        <v>60</v>
      </c>
      <c r="G148" s="220" t="s">
        <v>86</v>
      </c>
      <c r="H148" s="220">
        <v>13926627101</v>
      </c>
      <c r="I148" s="220">
        <v>68101</v>
      </c>
      <c r="J148" s="220" t="s">
        <v>86</v>
      </c>
      <c r="K148" s="220">
        <v>13926627101</v>
      </c>
      <c r="L148" s="220">
        <v>68101</v>
      </c>
      <c r="M148" s="239"/>
      <c r="N148" s="221"/>
      <c r="O148" s="221"/>
      <c r="V148" s="200" t="s">
        <v>1055</v>
      </c>
      <c r="W148" s="474">
        <v>13729656302</v>
      </c>
      <c r="X148" s="200" t="s">
        <v>1055</v>
      </c>
      <c r="Y148" s="474">
        <v>13729656302</v>
      </c>
      <c r="Z148" s="218"/>
      <c r="AA148" s="218">
        <v>200</v>
      </c>
      <c r="AB148" s="218">
        <f t="shared" si="236"/>
        <v>69</v>
      </c>
      <c r="AC148" s="218">
        <v>17</v>
      </c>
      <c r="AD148" s="218">
        <v>52</v>
      </c>
      <c r="AE148" s="222"/>
      <c r="AF148" s="364">
        <f t="shared" si="237"/>
        <v>345</v>
      </c>
      <c r="AG148" s="311">
        <v>46084</v>
      </c>
      <c r="AH148" s="312">
        <v>10</v>
      </c>
      <c r="AI148" s="312">
        <v>10</v>
      </c>
      <c r="AJ148" s="312">
        <v>10</v>
      </c>
      <c r="AK148" s="312">
        <v>10</v>
      </c>
      <c r="AL148" s="312">
        <v>10</v>
      </c>
      <c r="AM148" s="312">
        <f t="shared" si="259"/>
        <v>50</v>
      </c>
      <c r="AN148" s="245">
        <f t="shared" si="251"/>
        <v>2.31884057971014</v>
      </c>
      <c r="AO148" s="252">
        <v>46098</v>
      </c>
      <c r="AP148" s="253">
        <v>10</v>
      </c>
      <c r="AQ148" s="254">
        <v>10</v>
      </c>
      <c r="AR148" s="254">
        <v>10</v>
      </c>
      <c r="AS148" s="254">
        <v>10</v>
      </c>
      <c r="AT148" s="254">
        <v>10</v>
      </c>
      <c r="AU148" s="394">
        <f t="shared" si="256"/>
        <v>50</v>
      </c>
      <c r="AV148" s="316">
        <f t="shared" si="252"/>
        <v>2.31884057971014</v>
      </c>
      <c r="AW148" s="447">
        <v>46107</v>
      </c>
      <c r="AX148" s="281">
        <v>15</v>
      </c>
      <c r="AY148" s="282">
        <v>12</v>
      </c>
      <c r="AZ148" s="281">
        <v>12</v>
      </c>
      <c r="BA148" s="282">
        <v>12</v>
      </c>
      <c r="BB148" s="282">
        <v>12</v>
      </c>
      <c r="BC148" s="330">
        <f t="shared" si="253"/>
        <v>63</v>
      </c>
      <c r="BD148" s="316">
        <f t="shared" si="254"/>
        <v>2.92173913043478</v>
      </c>
      <c r="BE148" s="260">
        <f>AW148+BD148*7</f>
        <v>46127.452173913</v>
      </c>
      <c r="BF148" s="253">
        <v>15</v>
      </c>
      <c r="BG148" s="254">
        <v>12</v>
      </c>
      <c r="BH148" s="254">
        <v>12</v>
      </c>
      <c r="BI148" s="254">
        <v>12</v>
      </c>
      <c r="BJ148" s="254">
        <v>12</v>
      </c>
      <c r="BK148" s="244">
        <f t="shared" si="238"/>
        <v>63</v>
      </c>
      <c r="BL148" s="248">
        <f t="shared" si="239"/>
        <v>2.92173913043478</v>
      </c>
      <c r="BM148" s="246">
        <f>BE148+BL148*7</f>
        <v>46147.904347826</v>
      </c>
      <c r="BN148" s="224"/>
      <c r="BO148" s="218"/>
      <c r="BP148" s="218"/>
      <c r="BQ148" s="218"/>
      <c r="BR148" s="218"/>
      <c r="BS148" s="250"/>
      <c r="BT148" s="245">
        <f t="shared" si="263"/>
        <v>0</v>
      </c>
      <c r="BU148" s="249"/>
      <c r="BV148" s="224"/>
      <c r="BW148" s="218"/>
      <c r="BX148" s="218"/>
      <c r="BY148" s="218"/>
      <c r="BZ148" s="218"/>
      <c r="CA148" s="218"/>
      <c r="CB148" s="245">
        <f t="shared" si="241"/>
        <v>0</v>
      </c>
      <c r="CC148" s="249"/>
      <c r="CD148" s="224"/>
      <c r="CE148" s="218"/>
      <c r="CF148" s="218"/>
      <c r="CG148" s="218"/>
      <c r="CH148" s="218"/>
      <c r="CI148" s="218"/>
      <c r="CJ148" s="245">
        <f t="shared" si="242"/>
        <v>0</v>
      </c>
      <c r="CK148" s="249"/>
      <c r="CL148" s="224"/>
      <c r="CM148" s="218"/>
      <c r="CN148" s="218"/>
      <c r="CO148" s="218"/>
      <c r="CP148" s="218"/>
      <c r="CQ148" s="218"/>
      <c r="CR148" s="245">
        <f t="shared" si="243"/>
        <v>0</v>
      </c>
      <c r="CS148" s="246"/>
      <c r="CT148" s="224"/>
      <c r="CU148" s="218"/>
      <c r="CV148" s="218"/>
      <c r="CW148" s="218"/>
      <c r="CX148" s="218"/>
      <c r="CY148" s="218"/>
      <c r="CZ148" s="245">
        <f t="shared" si="244"/>
        <v>0</v>
      </c>
      <c r="DA148" s="242"/>
      <c r="DB148" s="224"/>
      <c r="DC148" s="218"/>
      <c r="DD148" s="218"/>
      <c r="DE148" s="218"/>
      <c r="DF148" s="218"/>
      <c r="DG148" s="218"/>
      <c r="DH148" s="218"/>
      <c r="DI148" s="249"/>
      <c r="DJ148" s="218"/>
      <c r="DK148" s="218"/>
      <c r="DL148" s="218"/>
      <c r="DM148" s="218"/>
      <c r="DN148" s="218"/>
      <c r="DO148" s="218"/>
      <c r="DP148" s="218"/>
      <c r="DQ148" s="227"/>
      <c r="DR148" s="224"/>
      <c r="DS148" s="218"/>
      <c r="DT148" s="218"/>
      <c r="DU148" s="218"/>
      <c r="DV148" s="218"/>
      <c r="DW148" s="218"/>
      <c r="DX148" s="218"/>
      <c r="DY148" s="218"/>
      <c r="DZ148" s="218"/>
      <c r="EA148" s="218"/>
      <c r="EB148" s="218"/>
      <c r="EC148" s="218"/>
      <c r="ED148" s="218"/>
      <c r="EE148" s="218"/>
      <c r="EF148" s="223">
        <f t="shared" ref="EF148:EJ148" si="268">AH148+AP148+AX148+BF148+BN148+BV148+CD148+CL148+CT148+DB148+DJ148+DR148+DZ148</f>
        <v>50</v>
      </c>
      <c r="EG148" s="223">
        <f t="shared" si="268"/>
        <v>44</v>
      </c>
      <c r="EH148" s="223">
        <f t="shared" si="268"/>
        <v>44</v>
      </c>
      <c r="EI148" s="223">
        <f t="shared" si="268"/>
        <v>44</v>
      </c>
      <c r="EJ148" s="223">
        <f t="shared" si="268"/>
        <v>44</v>
      </c>
      <c r="EK148" s="223">
        <f t="shared" si="246"/>
        <v>226</v>
      </c>
      <c r="EL148" s="218">
        <f t="shared" si="247"/>
        <v>6900</v>
      </c>
      <c r="EM148" s="218">
        <f t="shared" si="248"/>
        <v>431.25</v>
      </c>
      <c r="EN148" s="223">
        <f t="shared" si="249"/>
        <v>226</v>
      </c>
      <c r="EO148" s="226">
        <f t="shared" si="250"/>
        <v>205.25</v>
      </c>
      <c r="ER148" s="251"/>
      <c r="EU148" s="220"/>
    </row>
    <row r="149" s="200" customFormat="1" ht="21" spans="1:151 16352:16384">
      <c r="A149" s="448"/>
      <c r="B149" s="218">
        <v>14</v>
      </c>
      <c r="C149" s="475" t="s">
        <v>1056</v>
      </c>
      <c r="D149" s="220" t="s">
        <v>13</v>
      </c>
      <c r="E149" s="220" t="s">
        <v>405</v>
      </c>
      <c r="F149" s="220"/>
      <c r="G149" s="220"/>
      <c r="H149" s="239"/>
      <c r="I149" s="239"/>
      <c r="J149" s="220" t="s">
        <v>113</v>
      </c>
      <c r="K149" s="220">
        <v>13927633609</v>
      </c>
      <c r="L149" s="239">
        <v>413</v>
      </c>
      <c r="M149" s="239"/>
      <c r="N149" s="221"/>
      <c r="O149" s="221"/>
      <c r="R149" s="200" t="s">
        <v>418</v>
      </c>
      <c r="S149" s="200" t="s">
        <v>418</v>
      </c>
      <c r="V149" s="200" t="s">
        <v>1057</v>
      </c>
      <c r="W149" s="207" t="s">
        <v>1058</v>
      </c>
      <c r="X149" s="200" t="s">
        <v>1059</v>
      </c>
      <c r="Y149" s="207" t="s">
        <v>1060</v>
      </c>
      <c r="Z149" s="218"/>
      <c r="AA149" s="218">
        <v>125</v>
      </c>
      <c r="AB149" s="218">
        <f t="shared" si="236"/>
        <v>370</v>
      </c>
      <c r="AC149" s="218">
        <v>370</v>
      </c>
      <c r="AD149" s="218"/>
      <c r="AE149" s="222"/>
      <c r="AF149" s="364">
        <f t="shared" si="237"/>
        <v>1850</v>
      </c>
      <c r="AG149" s="311">
        <v>46089</v>
      </c>
      <c r="AH149" s="312">
        <v>100</v>
      </c>
      <c r="AI149" s="279"/>
      <c r="AJ149" s="279"/>
      <c r="AK149" s="279"/>
      <c r="AL149" s="312"/>
      <c r="AM149" s="312">
        <f t="shared" si="259"/>
        <v>100</v>
      </c>
      <c r="AN149" s="245">
        <f t="shared" si="251"/>
        <v>0.864864864864865</v>
      </c>
      <c r="AO149" s="311">
        <v>46093</v>
      </c>
      <c r="AP149" s="253">
        <v>20</v>
      </c>
      <c r="AQ149" s="254"/>
      <c r="AR149" s="252"/>
      <c r="AS149" s="254"/>
      <c r="AT149" s="252"/>
      <c r="AU149" s="394">
        <f t="shared" si="256"/>
        <v>20</v>
      </c>
      <c r="AV149" s="316">
        <f t="shared" si="252"/>
        <v>0.172972972972973</v>
      </c>
      <c r="AW149" s="252">
        <v>46094</v>
      </c>
      <c r="AX149" s="253">
        <v>115</v>
      </c>
      <c r="AY149" s="254"/>
      <c r="AZ149" s="253"/>
      <c r="BA149" s="254"/>
      <c r="BB149" s="254"/>
      <c r="BC149" s="312">
        <f t="shared" si="253"/>
        <v>115</v>
      </c>
      <c r="BD149" s="316">
        <f t="shared" si="254"/>
        <v>0.994594594594595</v>
      </c>
      <c r="BE149" s="252">
        <v>46101</v>
      </c>
      <c r="BF149" s="253">
        <v>115</v>
      </c>
      <c r="BG149" s="254"/>
      <c r="BH149" s="254"/>
      <c r="BI149" s="254"/>
      <c r="BJ149" s="254"/>
      <c r="BK149" s="244">
        <f t="shared" si="238"/>
        <v>115</v>
      </c>
      <c r="BL149" s="248">
        <f t="shared" si="239"/>
        <v>0.994594594594595</v>
      </c>
      <c r="BM149" s="476">
        <v>46108</v>
      </c>
      <c r="BN149" s="253">
        <v>116</v>
      </c>
      <c r="BO149" s="254"/>
      <c r="BP149" s="254"/>
      <c r="BQ149" s="254"/>
      <c r="BR149" s="254"/>
      <c r="BS149" s="269"/>
      <c r="BT149" s="245">
        <f t="shared" si="263"/>
        <v>0</v>
      </c>
      <c r="BU149" s="477">
        <v>46115</v>
      </c>
      <c r="BV149" s="253">
        <v>115</v>
      </c>
      <c r="BW149" s="254"/>
      <c r="BX149" s="254"/>
      <c r="BY149" s="254"/>
      <c r="BZ149" s="254"/>
      <c r="CA149" s="254"/>
      <c r="CB149" s="245">
        <f t="shared" si="241"/>
        <v>0</v>
      </c>
      <c r="CC149" s="478">
        <v>46122</v>
      </c>
      <c r="CD149" s="479">
        <v>116</v>
      </c>
      <c r="CE149" s="480"/>
      <c r="CF149" s="480"/>
      <c r="CG149" s="480"/>
      <c r="CH149" s="480"/>
      <c r="CI149" s="480"/>
      <c r="CJ149" s="481">
        <f t="shared" si="242"/>
        <v>0</v>
      </c>
      <c r="CK149" s="482">
        <v>46129</v>
      </c>
      <c r="CL149" s="483">
        <v>116</v>
      </c>
      <c r="CM149" s="484"/>
      <c r="CN149" s="484"/>
      <c r="CO149" s="484"/>
      <c r="CP149" s="484"/>
      <c r="CQ149" s="484"/>
      <c r="CR149" s="485">
        <f t="shared" si="243"/>
        <v>0</v>
      </c>
      <c r="CS149" s="249"/>
      <c r="CT149" s="224"/>
      <c r="CU149" s="218"/>
      <c r="CV149" s="218"/>
      <c r="CW149" s="218"/>
      <c r="CX149" s="218"/>
      <c r="CY149" s="218"/>
      <c r="CZ149" s="245">
        <f t="shared" si="244"/>
        <v>0</v>
      </c>
      <c r="DA149" s="249"/>
      <c r="DB149" s="224"/>
      <c r="DC149" s="218"/>
      <c r="DD149" s="218"/>
      <c r="DE149" s="218"/>
      <c r="DF149" s="218"/>
      <c r="DG149" s="218"/>
      <c r="DH149" s="218"/>
      <c r="DI149" s="249"/>
      <c r="DJ149" s="224"/>
      <c r="DK149" s="218"/>
      <c r="DL149" s="218"/>
      <c r="DM149" s="218"/>
      <c r="DN149" s="218"/>
      <c r="DO149" s="218"/>
      <c r="DP149" s="218"/>
      <c r="DQ149" s="249"/>
      <c r="DR149" s="218"/>
      <c r="DS149" s="218"/>
      <c r="DT149" s="218"/>
      <c r="DU149" s="218"/>
      <c r="DV149" s="218"/>
      <c r="DW149" s="218"/>
      <c r="DX149" s="218"/>
      <c r="DY149" s="227"/>
      <c r="DZ149" s="224"/>
      <c r="EA149" s="218"/>
      <c r="EB149" s="218"/>
      <c r="EC149" s="218"/>
      <c r="ED149" s="218"/>
      <c r="EE149" s="218"/>
      <c r="EF149" s="223">
        <f t="shared" ref="EF149:EJ149" si="269">AH149+AP149+AX149+BF149+BN149+BV149+CD149+CL149+CT149+DB149+DJ149+DR149+DZ149</f>
        <v>813</v>
      </c>
      <c r="EG149" s="223">
        <f t="shared" si="269"/>
        <v>0</v>
      </c>
      <c r="EH149" s="223">
        <f t="shared" si="269"/>
        <v>0</v>
      </c>
      <c r="EI149" s="223">
        <f t="shared" si="269"/>
        <v>0</v>
      </c>
      <c r="EJ149" s="223">
        <f t="shared" si="269"/>
        <v>0</v>
      </c>
      <c r="EK149" s="223">
        <f t="shared" si="246"/>
        <v>813</v>
      </c>
      <c r="EL149" s="218">
        <f t="shared" si="247"/>
        <v>37000</v>
      </c>
      <c r="EM149" s="218">
        <f t="shared" si="248"/>
        <v>2312.5</v>
      </c>
      <c r="EN149" s="223">
        <f t="shared" si="249"/>
        <v>813</v>
      </c>
      <c r="EO149" s="226">
        <f t="shared" si="250"/>
        <v>1499.5</v>
      </c>
      <c r="ER149" s="251"/>
      <c r="EU149" s="220"/>
    </row>
    <row r="150" s="200" customFormat="1" ht="42" spans="1:151 16352:16384">
      <c r="A150" s="448"/>
      <c r="B150" s="218">
        <v>16</v>
      </c>
      <c r="C150" s="475" t="s">
        <v>1061</v>
      </c>
      <c r="D150" s="220" t="s">
        <v>13</v>
      </c>
      <c r="E150" s="220" t="s">
        <v>405</v>
      </c>
      <c r="F150" s="220" t="s">
        <v>106</v>
      </c>
      <c r="G150" s="220"/>
      <c r="H150" s="239"/>
      <c r="I150" s="239"/>
      <c r="J150" s="220" t="s">
        <v>110</v>
      </c>
      <c r="K150" s="221">
        <v>15914990767</v>
      </c>
      <c r="L150" s="239">
        <v>660767</v>
      </c>
      <c r="M150" s="239"/>
      <c r="N150" s="221"/>
      <c r="O150" s="221" t="s">
        <v>1062</v>
      </c>
      <c r="Q150" s="200" t="s">
        <v>1020</v>
      </c>
      <c r="R150" s="200" t="s">
        <v>418</v>
      </c>
      <c r="S150" s="200" t="s">
        <v>418</v>
      </c>
      <c r="V150" s="200" t="s">
        <v>419</v>
      </c>
      <c r="W150" s="207" t="s">
        <v>1063</v>
      </c>
      <c r="X150" s="200" t="s">
        <v>832</v>
      </c>
      <c r="Y150" s="207" t="s">
        <v>1064</v>
      </c>
      <c r="Z150" s="218"/>
      <c r="AA150" s="218">
        <v>125</v>
      </c>
      <c r="AB150" s="218">
        <f t="shared" si="236"/>
        <v>189</v>
      </c>
      <c r="AC150" s="218">
        <v>189</v>
      </c>
      <c r="AD150" s="218"/>
      <c r="AE150" s="222"/>
      <c r="AF150" s="364">
        <f t="shared" si="237"/>
        <v>945</v>
      </c>
      <c r="AG150" s="486" t="s">
        <v>1065</v>
      </c>
      <c r="AH150" s="315"/>
      <c r="AI150" s="223"/>
      <c r="AJ150" s="223"/>
      <c r="AK150" s="223"/>
      <c r="AL150" s="315"/>
      <c r="AM150" s="315">
        <f t="shared" si="259"/>
        <v>0</v>
      </c>
      <c r="AN150" s="245">
        <f t="shared" si="251"/>
        <v>0</v>
      </c>
      <c r="AO150" s="333"/>
      <c r="AP150" s="224"/>
      <c r="AQ150" s="218"/>
      <c r="AR150" s="249"/>
      <c r="AS150" s="218"/>
      <c r="AT150" s="249"/>
      <c r="AU150" s="349">
        <f t="shared" si="256"/>
        <v>0</v>
      </c>
      <c r="AV150" s="316">
        <f t="shared" si="252"/>
        <v>0</v>
      </c>
      <c r="AW150" s="249"/>
      <c r="AX150" s="224"/>
      <c r="AY150" s="249"/>
      <c r="AZ150" s="224"/>
      <c r="BA150" s="249"/>
      <c r="BB150" s="218"/>
      <c r="BC150" s="315">
        <f t="shared" si="253"/>
        <v>0</v>
      </c>
      <c r="BD150" s="316">
        <f t="shared" si="254"/>
        <v>0</v>
      </c>
      <c r="BE150" s="218"/>
      <c r="BF150" s="224"/>
      <c r="BG150" s="218"/>
      <c r="BH150" s="249"/>
      <c r="BI150" s="218"/>
      <c r="BJ150" s="249"/>
      <c r="BK150" s="247">
        <f t="shared" si="238"/>
        <v>0</v>
      </c>
      <c r="BL150" s="248">
        <f t="shared" si="239"/>
        <v>0</v>
      </c>
      <c r="BM150" s="227"/>
      <c r="BN150" s="224"/>
      <c r="BO150" s="218"/>
      <c r="BP150" s="218"/>
      <c r="BQ150" s="218"/>
      <c r="BR150" s="218"/>
      <c r="BS150" s="250"/>
      <c r="BT150" s="245">
        <f t="shared" si="263"/>
        <v>0</v>
      </c>
      <c r="BU150" s="218"/>
      <c r="BV150" s="224"/>
      <c r="BW150" s="218"/>
      <c r="BX150" s="218"/>
      <c r="BY150" s="218"/>
      <c r="BZ150" s="218"/>
      <c r="CA150" s="218"/>
      <c r="CB150" s="245">
        <f t="shared" si="241"/>
        <v>0</v>
      </c>
      <c r="CC150" s="218"/>
      <c r="CD150" s="224"/>
      <c r="CE150" s="218"/>
      <c r="CF150" s="218"/>
      <c r="CG150" s="218"/>
      <c r="CH150" s="218"/>
      <c r="CI150" s="218"/>
      <c r="CJ150" s="245">
        <f t="shared" si="242"/>
        <v>0</v>
      </c>
      <c r="CK150" s="218"/>
      <c r="CL150" s="224"/>
      <c r="CM150" s="218"/>
      <c r="CN150" s="218"/>
      <c r="CO150" s="218"/>
      <c r="CP150" s="218"/>
      <c r="CQ150" s="218"/>
      <c r="CR150" s="245">
        <f t="shared" si="243"/>
        <v>0</v>
      </c>
      <c r="CS150" s="218"/>
      <c r="CT150" s="224"/>
      <c r="CU150" s="218"/>
      <c r="CV150" s="218"/>
      <c r="CW150" s="218"/>
      <c r="CX150" s="218"/>
      <c r="CY150" s="218"/>
      <c r="CZ150" s="245">
        <f t="shared" si="244"/>
        <v>0</v>
      </c>
      <c r="DA150" s="218"/>
      <c r="DB150" s="224"/>
      <c r="DC150" s="218"/>
      <c r="DD150" s="218"/>
      <c r="DE150" s="218"/>
      <c r="DF150" s="218"/>
      <c r="DG150" s="218"/>
      <c r="DH150" s="218"/>
      <c r="DI150" s="218"/>
      <c r="DJ150" s="218"/>
      <c r="DK150" s="218"/>
      <c r="DL150" s="218"/>
      <c r="DM150" s="218"/>
      <c r="DN150" s="218"/>
      <c r="DO150" s="218"/>
      <c r="DP150" s="218"/>
      <c r="DQ150" s="227"/>
      <c r="DR150" s="224"/>
      <c r="DS150" s="218"/>
      <c r="DT150" s="218"/>
      <c r="DU150" s="218"/>
      <c r="DV150" s="218"/>
      <c r="DW150" s="218"/>
      <c r="DX150" s="218"/>
      <c r="DY150" s="218"/>
      <c r="DZ150" s="218"/>
      <c r="EA150" s="218"/>
      <c r="EB150" s="218"/>
      <c r="EC150" s="218"/>
      <c r="ED150" s="218"/>
      <c r="EE150" s="218"/>
      <c r="EF150" s="223">
        <f t="shared" ref="EF150:EJ150" si="270">AH150+AP150+AX150+BF150+BN150+BV150+CD150+CL150+CT150+DB150+DJ150+DR150+DZ150</f>
        <v>0</v>
      </c>
      <c r="EG150" s="223">
        <f t="shared" si="270"/>
        <v>0</v>
      </c>
      <c r="EH150" s="223">
        <f t="shared" si="270"/>
        <v>0</v>
      </c>
      <c r="EI150" s="223">
        <f t="shared" si="270"/>
        <v>0</v>
      </c>
      <c r="EJ150" s="223">
        <f t="shared" si="270"/>
        <v>0</v>
      </c>
      <c r="EK150" s="223">
        <f t="shared" si="246"/>
        <v>0</v>
      </c>
      <c r="EL150" s="218">
        <f t="shared" si="247"/>
        <v>18900</v>
      </c>
      <c r="EM150" s="218">
        <f t="shared" si="248"/>
        <v>1181.25</v>
      </c>
      <c r="EN150" s="223">
        <f t="shared" si="249"/>
        <v>0</v>
      </c>
      <c r="EO150" s="226">
        <f t="shared" si="250"/>
        <v>1181.25</v>
      </c>
      <c r="ER150" s="251"/>
      <c r="EU150" s="220"/>
    </row>
    <row r="151" s="200" customFormat="1" ht="42" spans="1:151 16352:16384">
      <c r="A151" s="448"/>
      <c r="B151" s="218">
        <v>17</v>
      </c>
      <c r="C151" s="475" t="s">
        <v>1066</v>
      </c>
      <c r="D151" s="220" t="s">
        <v>13</v>
      </c>
      <c r="E151" s="220" t="s">
        <v>405</v>
      </c>
      <c r="F151" s="220" t="s">
        <v>106</v>
      </c>
      <c r="G151" s="220"/>
      <c r="H151" s="239"/>
      <c r="I151" s="239"/>
      <c r="J151" s="220" t="s">
        <v>116</v>
      </c>
      <c r="K151" s="221">
        <v>13620578251</v>
      </c>
      <c r="L151" s="239">
        <v>6454</v>
      </c>
      <c r="M151" s="239"/>
      <c r="N151" s="221"/>
      <c r="O151" s="221" t="s">
        <v>1067</v>
      </c>
      <c r="Q151" s="200" t="s">
        <v>1020</v>
      </c>
      <c r="R151" s="200" t="s">
        <v>418</v>
      </c>
      <c r="S151" s="200" t="s">
        <v>418</v>
      </c>
      <c r="V151" s="200" t="s">
        <v>1068</v>
      </c>
      <c r="W151" s="398">
        <v>13413512625</v>
      </c>
      <c r="X151" s="200" t="s">
        <v>1068</v>
      </c>
      <c r="Y151" s="398">
        <v>13413512625</v>
      </c>
      <c r="Z151" s="218"/>
      <c r="AA151" s="218">
        <v>125</v>
      </c>
      <c r="AB151" s="218">
        <v>388</v>
      </c>
      <c r="AC151" s="218">
        <v>388</v>
      </c>
      <c r="AD151" s="218"/>
      <c r="AE151" s="222"/>
      <c r="AF151" s="364">
        <f t="shared" si="237"/>
        <v>1940</v>
      </c>
      <c r="AG151" s="486" t="s">
        <v>1065</v>
      </c>
      <c r="AH151" s="315"/>
      <c r="AI151" s="223"/>
      <c r="AJ151" s="223"/>
      <c r="AK151" s="223"/>
      <c r="AL151" s="315"/>
      <c r="AM151" s="315">
        <f t="shared" si="259"/>
        <v>0</v>
      </c>
      <c r="AN151" s="245">
        <f t="shared" si="251"/>
        <v>0</v>
      </c>
      <c r="AO151" s="333"/>
      <c r="AP151" s="224"/>
      <c r="AQ151" s="218"/>
      <c r="AR151" s="249"/>
      <c r="AS151" s="218"/>
      <c r="AT151" s="249"/>
      <c r="AU151" s="349">
        <f t="shared" si="256"/>
        <v>0</v>
      </c>
      <c r="AV151" s="316">
        <f t="shared" si="252"/>
        <v>0</v>
      </c>
      <c r="AW151" s="249"/>
      <c r="AX151" s="224"/>
      <c r="AY151" s="249"/>
      <c r="AZ151" s="224"/>
      <c r="BA151" s="249"/>
      <c r="BB151" s="218"/>
      <c r="BC151" s="315">
        <f t="shared" si="253"/>
        <v>0</v>
      </c>
      <c r="BD151" s="316">
        <f t="shared" si="254"/>
        <v>0</v>
      </c>
      <c r="BE151" s="249"/>
      <c r="BF151" s="224"/>
      <c r="BG151" s="218"/>
      <c r="BH151" s="249"/>
      <c r="BI151" s="218"/>
      <c r="BJ151" s="249"/>
      <c r="BK151" s="247">
        <f t="shared" si="238"/>
        <v>0</v>
      </c>
      <c r="BL151" s="248">
        <f t="shared" si="239"/>
        <v>0</v>
      </c>
      <c r="BM151" s="227"/>
      <c r="BN151" s="224"/>
      <c r="BO151" s="218"/>
      <c r="BP151" s="218"/>
      <c r="BQ151" s="218"/>
      <c r="BR151" s="218"/>
      <c r="BS151" s="250"/>
      <c r="BT151" s="245">
        <f t="shared" si="240"/>
        <v>0</v>
      </c>
      <c r="BU151" s="486" t="s">
        <v>1069</v>
      </c>
      <c r="BV151" s="224"/>
      <c r="BW151" s="218"/>
      <c r="BX151" s="218"/>
      <c r="BY151" s="218"/>
      <c r="BZ151" s="218"/>
      <c r="CA151" s="218"/>
      <c r="CB151" s="245">
        <f t="shared" si="241"/>
        <v>0</v>
      </c>
      <c r="CC151" s="218"/>
      <c r="CD151" s="224"/>
      <c r="CE151" s="218"/>
      <c r="CF151" s="218"/>
      <c r="CG151" s="218"/>
      <c r="CH151" s="218"/>
      <c r="CI151" s="218"/>
      <c r="CJ151" s="245">
        <f t="shared" si="242"/>
        <v>0</v>
      </c>
      <c r="CK151" s="218"/>
      <c r="CL151" s="224"/>
      <c r="CM151" s="218"/>
      <c r="CN151" s="218"/>
      <c r="CO151" s="218"/>
      <c r="CP151" s="218"/>
      <c r="CQ151" s="218"/>
      <c r="CR151" s="245">
        <f t="shared" si="243"/>
        <v>0</v>
      </c>
      <c r="CS151" s="218"/>
      <c r="CT151" s="224"/>
      <c r="CU151" s="218"/>
      <c r="CV151" s="218"/>
      <c r="CW151" s="218"/>
      <c r="CX151" s="218"/>
      <c r="CY151" s="218"/>
      <c r="CZ151" s="245">
        <f t="shared" si="244"/>
        <v>0</v>
      </c>
      <c r="DA151" s="218"/>
      <c r="DB151" s="224"/>
      <c r="DC151" s="218"/>
      <c r="DD151" s="218"/>
      <c r="DE151" s="218"/>
      <c r="DF151" s="218"/>
      <c r="DG151" s="218"/>
      <c r="DH151" s="218"/>
      <c r="DI151" s="218"/>
      <c r="DJ151" s="218"/>
      <c r="DK151" s="218"/>
      <c r="DL151" s="218"/>
      <c r="DM151" s="218"/>
      <c r="DN151" s="218"/>
      <c r="DO151" s="218"/>
      <c r="DP151" s="218"/>
      <c r="DQ151" s="227"/>
      <c r="DR151" s="224"/>
      <c r="DS151" s="218"/>
      <c r="DT151" s="218"/>
      <c r="DU151" s="218"/>
      <c r="DV151" s="218"/>
      <c r="DW151" s="218"/>
      <c r="DX151" s="218"/>
      <c r="DY151" s="218"/>
      <c r="DZ151" s="218"/>
      <c r="EA151" s="218"/>
      <c r="EB151" s="218"/>
      <c r="EC151" s="218"/>
      <c r="ED151" s="218"/>
      <c r="EE151" s="218"/>
      <c r="EF151" s="223">
        <f t="shared" ref="EF151:EJ151" si="271">AH151+AP151+AX151+BF151+BN151+BV151+CD151+CL151+CT151+DB151+DJ151+DR151+DZ151</f>
        <v>0</v>
      </c>
      <c r="EG151" s="223">
        <f t="shared" si="271"/>
        <v>0</v>
      </c>
      <c r="EH151" s="223">
        <f t="shared" si="271"/>
        <v>0</v>
      </c>
      <c r="EI151" s="223">
        <f t="shared" si="271"/>
        <v>0</v>
      </c>
      <c r="EJ151" s="223">
        <f t="shared" si="271"/>
        <v>0</v>
      </c>
      <c r="EK151" s="223">
        <f t="shared" si="246"/>
        <v>0</v>
      </c>
      <c r="EL151" s="218">
        <f t="shared" si="247"/>
        <v>38800</v>
      </c>
      <c r="EM151" s="218">
        <f t="shared" si="248"/>
        <v>2425</v>
      </c>
      <c r="EN151" s="223">
        <f t="shared" si="249"/>
        <v>0</v>
      </c>
      <c r="EO151" s="226">
        <f t="shared" si="250"/>
        <v>2425</v>
      </c>
      <c r="ER151" s="251"/>
      <c r="EU151" s="220"/>
    </row>
    <row r="152" s="200" customFormat="1" ht="38.15" customHeight="1" spans="1:151 16352:16384">
      <c r="A152" s="448"/>
      <c r="B152" s="218">
        <v>18</v>
      </c>
      <c r="C152" s="475" t="s">
        <v>1070</v>
      </c>
      <c r="D152" s="220" t="s">
        <v>13</v>
      </c>
      <c r="E152" s="220" t="s">
        <v>405</v>
      </c>
      <c r="F152" s="220" t="s">
        <v>106</v>
      </c>
      <c r="G152" s="220" t="s">
        <v>1071</v>
      </c>
      <c r="H152" s="239">
        <v>13631075571</v>
      </c>
      <c r="I152" s="239">
        <v>665571</v>
      </c>
      <c r="J152" s="220" t="s">
        <v>1071</v>
      </c>
      <c r="K152" s="221">
        <v>13631075571</v>
      </c>
      <c r="L152" s="239">
        <v>665571</v>
      </c>
      <c r="M152" s="239"/>
      <c r="N152" s="221"/>
      <c r="O152" s="221" t="s">
        <v>1072</v>
      </c>
      <c r="Q152" s="200" t="s">
        <v>1020</v>
      </c>
      <c r="R152" s="200" t="s">
        <v>418</v>
      </c>
      <c r="S152" s="200" t="s">
        <v>418</v>
      </c>
      <c r="W152" s="207"/>
      <c r="X152" s="200" t="s">
        <v>1073</v>
      </c>
      <c r="Y152" s="207" t="s">
        <v>1074</v>
      </c>
      <c r="Z152" s="429" t="s">
        <v>1075</v>
      </c>
      <c r="AA152" s="218">
        <v>125</v>
      </c>
      <c r="AB152" s="218">
        <f t="shared" si="236"/>
        <v>205</v>
      </c>
      <c r="AC152" s="218">
        <v>205</v>
      </c>
      <c r="AD152" s="218"/>
      <c r="AE152" s="222"/>
      <c r="AF152" s="364">
        <f t="shared" si="237"/>
        <v>1025</v>
      </c>
      <c r="AG152" s="311">
        <v>46087</v>
      </c>
      <c r="AH152" s="312">
        <v>60</v>
      </c>
      <c r="AI152" s="279"/>
      <c r="AJ152" s="279"/>
      <c r="AK152" s="279"/>
      <c r="AL152" s="312"/>
      <c r="AM152" s="312">
        <f t="shared" si="259"/>
        <v>60</v>
      </c>
      <c r="AN152" s="245">
        <f t="shared" si="251"/>
        <v>0.936585365853659</v>
      </c>
      <c r="AO152" s="311">
        <v>46091</v>
      </c>
      <c r="AP152" s="253">
        <v>80</v>
      </c>
      <c r="AQ152" s="254"/>
      <c r="AR152" s="254"/>
      <c r="AS152" s="254"/>
      <c r="AT152" s="254"/>
      <c r="AU152" s="394">
        <f t="shared" si="256"/>
        <v>80</v>
      </c>
      <c r="AV152" s="316">
        <f t="shared" si="252"/>
        <v>1.24878048780488</v>
      </c>
      <c r="AW152" s="392">
        <v>46098</v>
      </c>
      <c r="AX152" s="327">
        <v>80</v>
      </c>
      <c r="AY152" s="327"/>
      <c r="AZ152" s="327"/>
      <c r="BA152" s="327"/>
      <c r="BB152" s="327"/>
      <c r="BC152" s="244">
        <v>80</v>
      </c>
      <c r="BD152" s="487">
        <f>BK152*16/AF152</f>
        <v>1.09268292682927</v>
      </c>
      <c r="BE152" s="252">
        <v>46106</v>
      </c>
      <c r="BF152" s="253">
        <v>70</v>
      </c>
      <c r="BG152" s="254"/>
      <c r="BH152" s="253"/>
      <c r="BI152" s="254"/>
      <c r="BJ152" s="254"/>
      <c r="BK152" s="312">
        <f t="shared" ref="BK152:BK173" si="272">BF152+BG152+BH152+BI152+BJ152</f>
        <v>70</v>
      </c>
      <c r="BL152" s="248">
        <f t="shared" si="239"/>
        <v>1.09268292682927</v>
      </c>
      <c r="BM152" s="488">
        <v>46112</v>
      </c>
      <c r="BN152" s="281">
        <v>70</v>
      </c>
      <c r="BO152" s="282"/>
      <c r="BP152" s="282"/>
      <c r="BQ152" s="282"/>
      <c r="BR152" s="282"/>
      <c r="BS152" s="273"/>
      <c r="BT152" s="489">
        <f>BS152*16/AN152</f>
        <v>0</v>
      </c>
      <c r="BU152" s="249">
        <v>46120</v>
      </c>
      <c r="BV152" s="224"/>
      <c r="BW152" s="218"/>
      <c r="BX152" s="218"/>
      <c r="BY152" s="218"/>
      <c r="BZ152" s="218"/>
      <c r="CA152" s="218"/>
      <c r="CB152" s="245">
        <f t="shared" si="241"/>
        <v>0</v>
      </c>
      <c r="CC152" s="249"/>
      <c r="CD152" s="224"/>
      <c r="CE152" s="218"/>
      <c r="CF152" s="218"/>
      <c r="CG152" s="218"/>
      <c r="CH152" s="218"/>
      <c r="CI152" s="218"/>
      <c r="CJ152" s="245">
        <f t="shared" si="242"/>
        <v>0</v>
      </c>
      <c r="CK152" s="249"/>
      <c r="CL152" s="224"/>
      <c r="CM152" s="218"/>
      <c r="CN152" s="218"/>
      <c r="CO152" s="218"/>
      <c r="CP152" s="218"/>
      <c r="CQ152" s="218"/>
      <c r="CR152" s="245">
        <f t="shared" si="243"/>
        <v>0</v>
      </c>
      <c r="CS152" s="249"/>
      <c r="CT152" s="224"/>
      <c r="CU152" s="218"/>
      <c r="CV152" s="218"/>
      <c r="CW152" s="218"/>
      <c r="CX152" s="218"/>
      <c r="CY152" s="218"/>
      <c r="CZ152" s="245">
        <f t="shared" si="244"/>
        <v>0</v>
      </c>
      <c r="DA152" s="249"/>
      <c r="DB152" s="224"/>
      <c r="DC152" s="218"/>
      <c r="DD152" s="218"/>
      <c r="DE152" s="218"/>
      <c r="DF152" s="218"/>
      <c r="DG152" s="218"/>
      <c r="DH152" s="218"/>
      <c r="DI152" s="249"/>
      <c r="DJ152" s="218"/>
      <c r="DK152" s="218"/>
      <c r="DL152" s="218"/>
      <c r="DM152" s="218"/>
      <c r="DN152" s="218"/>
      <c r="DO152" s="218"/>
      <c r="DP152" s="218"/>
      <c r="DQ152" s="227"/>
      <c r="DR152" s="224"/>
      <c r="DS152" s="218"/>
      <c r="DT152" s="218"/>
      <c r="DU152" s="218"/>
      <c r="DV152" s="218"/>
      <c r="DW152" s="218"/>
      <c r="DX152" s="218"/>
      <c r="DY152" s="249"/>
      <c r="DZ152" s="218"/>
      <c r="EA152" s="218"/>
      <c r="EB152" s="218"/>
      <c r="EC152" s="218"/>
      <c r="ED152" s="218"/>
      <c r="EE152" s="218"/>
      <c r="EF152" s="223" t="e">
        <f>AH152+AP152+BF152+#REF!+BN152+BV152+CD152+CL152+CT152+DB152+DJ152+DR152+DZ152</f>
        <v>#REF!</v>
      </c>
      <c r="EG152" s="223" t="e">
        <f>AI152+AQ152+BG152+#REF!+BO152+BW152+CE152+CM152+CU152+DC152+DK152+DS152+EA152</f>
        <v>#REF!</v>
      </c>
      <c r="EH152" s="223" t="e">
        <f>AJ152+AR152+BH152+#REF!+BP152+BX152+CF152+CN152+CV152+DD152+DL152+DT152+EB152</f>
        <v>#REF!</v>
      </c>
      <c r="EI152" s="223" t="e">
        <f>AK152+AS152+BI152+#REF!+BQ152+BY152+CG152+CO152+CW152+DE152+DM152+DU152+EC152</f>
        <v>#REF!</v>
      </c>
      <c r="EJ152" s="223" t="e">
        <f>AL152+AT152+BJ152+#REF!+BR152+BZ152+CH152+CP152+CX152+DF152+DN152+DV152+ED152</f>
        <v>#REF!</v>
      </c>
      <c r="EK152" s="223" t="e">
        <f t="shared" si="246"/>
        <v>#REF!</v>
      </c>
      <c r="EL152" s="218">
        <f t="shared" si="247"/>
        <v>20500</v>
      </c>
      <c r="EM152" s="218">
        <f t="shared" si="248"/>
        <v>1281.25</v>
      </c>
      <c r="EN152" s="223" t="e">
        <f t="shared" si="249"/>
        <v>#REF!</v>
      </c>
      <c r="EO152" s="226" t="e">
        <f t="shared" si="250"/>
        <v>#REF!</v>
      </c>
      <c r="ER152" s="251"/>
      <c r="EU152" s="220"/>
    </row>
    <row r="153" s="201" customFormat="1" ht="31.5" spans="1:151 16352:16384">
      <c r="A153" s="448"/>
      <c r="B153" s="218"/>
      <c r="C153" s="475" t="s">
        <v>1076</v>
      </c>
      <c r="D153" s="220"/>
      <c r="E153" s="220"/>
      <c r="F153" s="220"/>
      <c r="G153" s="220"/>
      <c r="H153" s="239"/>
      <c r="I153" s="239"/>
      <c r="J153" s="220"/>
      <c r="K153" s="221"/>
      <c r="L153" s="239"/>
      <c r="M153" s="239"/>
      <c r="N153" s="221"/>
      <c r="O153" s="221"/>
      <c r="P153" s="200"/>
      <c r="Q153" s="200"/>
      <c r="R153" s="200"/>
      <c r="S153" s="200"/>
      <c r="T153" s="200"/>
      <c r="U153" s="200"/>
      <c r="V153" s="200"/>
      <c r="W153" s="207"/>
      <c r="X153" s="200"/>
      <c r="Y153" s="207"/>
      <c r="Z153" s="218"/>
      <c r="AA153" s="218">
        <v>125</v>
      </c>
      <c r="AB153" s="218">
        <v>55</v>
      </c>
      <c r="AC153" s="218">
        <v>38</v>
      </c>
      <c r="AD153" s="218">
        <v>1</v>
      </c>
      <c r="AE153" s="218"/>
      <c r="AF153" s="364">
        <f t="shared" si="237"/>
        <v>275</v>
      </c>
      <c r="AG153" s="243">
        <v>46097</v>
      </c>
      <c r="AH153" s="244">
        <v>20</v>
      </c>
      <c r="AI153" s="279"/>
      <c r="AJ153" s="279"/>
      <c r="AK153" s="279"/>
      <c r="AL153" s="244"/>
      <c r="AM153" s="244">
        <v>20</v>
      </c>
      <c r="AN153" s="245">
        <f t="shared" si="251"/>
        <v>1.16363636363636</v>
      </c>
      <c r="AO153" s="243">
        <v>46104</v>
      </c>
      <c r="AP153" s="253">
        <v>16</v>
      </c>
      <c r="AQ153" s="254"/>
      <c r="AR153" s="254"/>
      <c r="AS153" s="254"/>
      <c r="AT153" s="254"/>
      <c r="AU153" s="394">
        <v>16</v>
      </c>
      <c r="AV153" s="248">
        <f t="shared" si="252"/>
        <v>0.930909090909091</v>
      </c>
      <c r="AW153" s="252">
        <v>46111</v>
      </c>
      <c r="AX153" s="253">
        <v>17</v>
      </c>
      <c r="AY153" s="254"/>
      <c r="AZ153" s="253"/>
      <c r="BA153" s="254"/>
      <c r="BB153" s="254"/>
      <c r="BC153" s="244">
        <v>17</v>
      </c>
      <c r="BD153" s="248">
        <f>BC153*16/AF153</f>
        <v>0.989090909090909</v>
      </c>
      <c r="BE153" s="252">
        <v>46120</v>
      </c>
      <c r="BF153" s="253">
        <v>17</v>
      </c>
      <c r="BG153" s="254"/>
      <c r="BH153" s="254"/>
      <c r="BI153" s="254"/>
      <c r="BJ153" s="254"/>
      <c r="BK153" s="244">
        <f t="shared" si="272"/>
        <v>17</v>
      </c>
      <c r="BL153" s="248">
        <f t="shared" si="239"/>
        <v>0.989090909090909</v>
      </c>
      <c r="BM153" s="477">
        <v>46126</v>
      </c>
      <c r="BN153" s="253">
        <v>17</v>
      </c>
      <c r="BO153" s="254"/>
      <c r="BP153" s="254"/>
      <c r="BQ153" s="254"/>
      <c r="BR153" s="254"/>
      <c r="BS153" s="269">
        <f>SUM(BN153:BR153)</f>
        <v>17</v>
      </c>
      <c r="BT153" s="245">
        <f>BS153*16/AF153</f>
        <v>0.989090909090909</v>
      </c>
      <c r="BU153" s="246">
        <f>BM153+BT153*7</f>
        <v>46132.9236363636</v>
      </c>
      <c r="BV153" s="224"/>
      <c r="BW153" s="218"/>
      <c r="BX153" s="218"/>
      <c r="BY153" s="218"/>
      <c r="BZ153" s="218"/>
      <c r="CA153" s="218"/>
      <c r="CB153" s="245"/>
      <c r="CC153" s="249"/>
      <c r="CD153" s="224"/>
      <c r="CE153" s="218"/>
      <c r="CF153" s="218"/>
      <c r="CG153" s="218"/>
      <c r="CH153" s="218"/>
      <c r="CI153" s="218"/>
      <c r="CJ153" s="245"/>
      <c r="CK153" s="249"/>
      <c r="CL153" s="224"/>
      <c r="CM153" s="218"/>
      <c r="CN153" s="218"/>
      <c r="CO153" s="218"/>
      <c r="CP153" s="218"/>
      <c r="CQ153" s="218"/>
      <c r="CR153" s="245"/>
      <c r="CS153" s="249"/>
      <c r="CT153" s="224"/>
      <c r="CU153" s="218"/>
      <c r="CV153" s="218"/>
      <c r="CW153" s="218"/>
      <c r="CX153" s="218"/>
      <c r="CY153" s="218"/>
      <c r="CZ153" s="245"/>
      <c r="DA153" s="249"/>
      <c r="DB153" s="224"/>
      <c r="DC153" s="218"/>
      <c r="DD153" s="218"/>
      <c r="DE153" s="218"/>
      <c r="DF153" s="218"/>
      <c r="DG153" s="218"/>
      <c r="DH153" s="218"/>
      <c r="DI153" s="249"/>
      <c r="DJ153" s="218"/>
      <c r="DK153" s="218"/>
      <c r="DL153" s="218"/>
      <c r="DM153" s="218"/>
      <c r="DN153" s="218"/>
      <c r="DO153" s="218"/>
      <c r="DP153" s="218"/>
      <c r="DQ153" s="227"/>
      <c r="DR153" s="224"/>
      <c r="DS153" s="218"/>
      <c r="DT153" s="218"/>
      <c r="DU153" s="218"/>
      <c r="DV153" s="218"/>
      <c r="DW153" s="218"/>
      <c r="DX153" s="218"/>
      <c r="DY153" s="249"/>
      <c r="DZ153" s="218"/>
      <c r="EA153" s="218"/>
      <c r="EB153" s="218"/>
      <c r="EC153" s="218"/>
      <c r="ED153" s="218"/>
      <c r="EE153" s="218"/>
      <c r="EF153" s="223"/>
      <c r="EG153" s="223"/>
      <c r="EH153" s="223"/>
      <c r="EI153" s="223"/>
      <c r="EJ153" s="223"/>
      <c r="EK153" s="223"/>
      <c r="EL153" s="218"/>
      <c r="EM153" s="218"/>
      <c r="EN153" s="223"/>
      <c r="EO153" s="226"/>
      <c r="EP153" s="201"/>
      <c r="ER153" s="266"/>
      <c r="EU153" s="490"/>
      <c r="XDX153" s="341"/>
      <c r="XDY153" s="341"/>
      <c r="XDZ153" s="341"/>
      <c r="XEA153" s="341"/>
      <c r="XEB153" s="341"/>
      <c r="XEC153" s="341"/>
      <c r="XED153" s="341"/>
      <c r="XEE153" s="341"/>
      <c r="XEF153" s="341"/>
      <c r="XEG153" s="200"/>
      <c r="XEH153" s="200"/>
      <c r="XEI153" s="200"/>
      <c r="XEJ153" s="200"/>
      <c r="XEK153" s="200"/>
      <c r="XEL153" s="200"/>
      <c r="XEM153" s="200"/>
      <c r="XEN153" s="200"/>
      <c r="XEO153" s="200"/>
      <c r="XEP153" s="200"/>
      <c r="XEQ153" s="200"/>
      <c r="XER153" s="200"/>
      <c r="XES153" s="200"/>
      <c r="XET153" s="200"/>
      <c r="XEU153" s="200"/>
      <c r="XEV153" s="200"/>
      <c r="XEW153" s="200"/>
      <c r="XEX153" s="200"/>
      <c r="XEY153" s="200"/>
      <c r="XEZ153" s="200"/>
      <c r="XFA153" s="200"/>
      <c r="XFB153" s="200"/>
      <c r="XFC153" s="200"/>
      <c r="XFD153" s="200"/>
    </row>
    <row r="154" s="200" customFormat="1" customHeight="1" spans="1:151 16352:16384">
      <c r="A154" s="448"/>
      <c r="B154" s="218">
        <v>20</v>
      </c>
      <c r="C154" s="219" t="s">
        <v>1077</v>
      </c>
      <c r="D154" s="220" t="s">
        <v>492</v>
      </c>
      <c r="E154" s="220" t="s">
        <v>405</v>
      </c>
      <c r="F154" s="220" t="s">
        <v>106</v>
      </c>
      <c r="G154" s="200" t="s">
        <v>1078</v>
      </c>
      <c r="H154" s="200">
        <v>13828554495</v>
      </c>
      <c r="I154" s="239"/>
      <c r="J154" s="200" t="s">
        <v>1079</v>
      </c>
      <c r="K154" s="207">
        <v>18023330887</v>
      </c>
      <c r="L154" s="239"/>
      <c r="N154" s="207"/>
      <c r="O154" s="200">
        <v>16</v>
      </c>
      <c r="Q154" s="200" t="s">
        <v>408</v>
      </c>
      <c r="V154" s="200" t="s">
        <v>904</v>
      </c>
      <c r="W154" s="207" t="s">
        <v>1080</v>
      </c>
      <c r="Y154" s="207"/>
      <c r="Z154" s="218"/>
      <c r="AA154" s="218">
        <v>125</v>
      </c>
      <c r="AB154" s="218">
        <f t="shared" ref="AB154:AB162" si="273">SUM(AC154:AD154)</f>
        <v>10</v>
      </c>
      <c r="AC154" s="218">
        <v>2</v>
      </c>
      <c r="AD154" s="218">
        <v>8</v>
      </c>
      <c r="AE154" s="218"/>
      <c r="AF154" s="364">
        <f t="shared" si="237"/>
        <v>50</v>
      </c>
      <c r="AG154" s="311">
        <v>46092</v>
      </c>
      <c r="AH154" s="312">
        <v>3</v>
      </c>
      <c r="AI154" s="312">
        <v>3</v>
      </c>
      <c r="AJ154" s="279">
        <v>3</v>
      </c>
      <c r="AK154" s="279">
        <v>3</v>
      </c>
      <c r="AL154" s="312"/>
      <c r="AM154" s="312">
        <f>SUM(AH154:AL154)</f>
        <v>12</v>
      </c>
      <c r="AN154" s="245">
        <f t="shared" ref="AN154:AN173" si="274">AM154*16/AF154</f>
        <v>3.84</v>
      </c>
      <c r="AO154" s="252">
        <v>46111</v>
      </c>
      <c r="AP154" s="253">
        <v>3</v>
      </c>
      <c r="AQ154" s="254">
        <v>3</v>
      </c>
      <c r="AR154" s="254">
        <v>3</v>
      </c>
      <c r="AS154" s="254">
        <v>3</v>
      </c>
      <c r="AT154" s="254"/>
      <c r="AU154" s="394">
        <f>SUM(AP154:AT154)</f>
        <v>12</v>
      </c>
      <c r="AV154" s="316">
        <f t="shared" si="252"/>
        <v>3.84</v>
      </c>
      <c r="AW154" s="246">
        <f>AO154+AV154*7</f>
        <v>46137.88</v>
      </c>
      <c r="AX154" s="224"/>
      <c r="AY154" s="218"/>
      <c r="AZ154" s="224"/>
      <c r="BA154" s="218"/>
      <c r="BB154" s="218"/>
      <c r="BC154" s="315">
        <f>AX154+AY154+AZ154+BA154+BB154</f>
        <v>0</v>
      </c>
      <c r="BD154" s="316">
        <f>BC154*16/AF154</f>
        <v>0</v>
      </c>
      <c r="BE154" s="249"/>
      <c r="BF154" s="224"/>
      <c r="BG154" s="218"/>
      <c r="BH154" s="218"/>
      <c r="BI154" s="218"/>
      <c r="BJ154" s="218"/>
      <c r="BK154" s="247">
        <f t="shared" si="272"/>
        <v>0</v>
      </c>
      <c r="BL154" s="248">
        <f t="shared" si="239"/>
        <v>0</v>
      </c>
      <c r="BM154" s="227"/>
      <c r="BN154" s="224"/>
      <c r="BO154" s="218"/>
      <c r="BP154" s="218"/>
      <c r="BQ154" s="218"/>
      <c r="BR154" s="218"/>
      <c r="BS154" s="250"/>
      <c r="BT154" s="245">
        <f>BS154*16/AF154</f>
        <v>0</v>
      </c>
      <c r="BU154" s="249"/>
      <c r="BV154" s="224"/>
      <c r="BW154" s="218"/>
      <c r="BX154" s="218"/>
      <c r="BY154" s="218"/>
      <c r="BZ154" s="218"/>
      <c r="CA154" s="242"/>
      <c r="CB154" s="473">
        <f>CA154*16/AF154</f>
        <v>0</v>
      </c>
      <c r="CC154" s="246"/>
      <c r="CD154" s="224"/>
      <c r="CE154" s="218"/>
      <c r="CF154" s="218"/>
      <c r="CG154" s="218"/>
      <c r="CH154" s="218"/>
      <c r="CI154" s="218"/>
      <c r="CJ154" s="245">
        <f t="shared" ref="CJ154:CJ170" si="275">CI154*16/AF154</f>
        <v>0</v>
      </c>
      <c r="CK154" s="218"/>
      <c r="CL154" s="224"/>
      <c r="CM154" s="218"/>
      <c r="CN154" s="218"/>
      <c r="CO154" s="218"/>
      <c r="CP154" s="218"/>
      <c r="CQ154" s="218"/>
      <c r="CR154" s="245">
        <f t="shared" ref="CR154:CR170" si="276">CQ154*16/AF154</f>
        <v>0</v>
      </c>
      <c r="CS154" s="218"/>
      <c r="CT154" s="224"/>
      <c r="CU154" s="218"/>
      <c r="CV154" s="218"/>
      <c r="CW154" s="218"/>
      <c r="CX154" s="218"/>
      <c r="CY154" s="218"/>
      <c r="CZ154" s="245">
        <f t="shared" ref="CZ154:CZ170" si="277">CY154*16/AF154</f>
        <v>0</v>
      </c>
      <c r="DA154" s="218"/>
      <c r="DB154" s="224"/>
      <c r="DC154" s="218"/>
      <c r="DD154" s="218"/>
      <c r="DE154" s="218"/>
      <c r="DF154" s="218"/>
      <c r="DG154" s="218"/>
      <c r="DH154" s="218"/>
      <c r="DI154" s="218"/>
      <c r="DJ154" s="218"/>
      <c r="DK154" s="218"/>
      <c r="DL154" s="218"/>
      <c r="DM154" s="218"/>
      <c r="DN154" s="218"/>
      <c r="DO154" s="218"/>
      <c r="DP154" s="218"/>
      <c r="DQ154" s="227"/>
      <c r="DR154" s="224"/>
      <c r="DS154" s="218"/>
      <c r="DT154" s="218"/>
      <c r="DU154" s="218"/>
      <c r="DV154" s="218"/>
      <c r="DW154" s="218"/>
      <c r="DX154" s="218"/>
      <c r="DY154" s="218"/>
      <c r="DZ154" s="218"/>
      <c r="EA154" s="218"/>
      <c r="EB154" s="218"/>
      <c r="EC154" s="218"/>
      <c r="ED154" s="218"/>
      <c r="EE154" s="218"/>
      <c r="EF154" s="223">
        <f t="shared" ref="EF154:EJ154" si="278">AH154+AP154+AX154+BF154+BN154+BV154+CD154+CL154+CT154+DB154+DJ154+DR154+DZ154</f>
        <v>6</v>
      </c>
      <c r="EG154" s="223">
        <f t="shared" si="278"/>
        <v>6</v>
      </c>
      <c r="EH154" s="223">
        <f t="shared" si="278"/>
        <v>6</v>
      </c>
      <c r="EI154" s="223">
        <f t="shared" si="278"/>
        <v>6</v>
      </c>
      <c r="EJ154" s="223">
        <f t="shared" si="278"/>
        <v>0</v>
      </c>
      <c r="EK154" s="223">
        <f t="shared" ref="EK154:EK170" si="279">SUM(EF154:EJ154)</f>
        <v>24</v>
      </c>
      <c r="EL154" s="218">
        <f t="shared" ref="EL154:EL170" si="280">AB154*100</f>
        <v>1000</v>
      </c>
      <c r="EM154" s="218">
        <f t="shared" ref="EM154:EM170" si="281">EL154/16</f>
        <v>62.5</v>
      </c>
      <c r="EN154" s="223">
        <f t="shared" ref="EN154:EN170" si="282">EK154</f>
        <v>24</v>
      </c>
      <c r="EO154" s="226">
        <f t="shared" ref="EO154:EO170" si="283">EM154-EN154</f>
        <v>38.5</v>
      </c>
      <c r="ER154" s="251"/>
      <c r="EU154" s="220"/>
    </row>
    <row r="155" s="200" customFormat="1" customHeight="1" spans="1:151 16352:16384">
      <c r="A155" s="448"/>
      <c r="B155" s="218">
        <v>21</v>
      </c>
      <c r="C155" s="218" t="s">
        <v>1081</v>
      </c>
      <c r="E155" s="220"/>
      <c r="F155" s="220" t="s">
        <v>106</v>
      </c>
      <c r="G155" s="220" t="s">
        <v>1082</v>
      </c>
      <c r="H155" s="220">
        <v>18902355553</v>
      </c>
      <c r="J155" s="220" t="s">
        <v>834</v>
      </c>
      <c r="K155" s="221" t="s">
        <v>1083</v>
      </c>
      <c r="N155" s="207"/>
      <c r="O155" s="207"/>
      <c r="V155" s="200" t="s">
        <v>834</v>
      </c>
      <c r="W155" s="207" t="s">
        <v>1083</v>
      </c>
      <c r="Z155" s="218"/>
      <c r="AA155" s="218">
        <v>125</v>
      </c>
      <c r="AB155" s="242">
        <f t="shared" si="273"/>
        <v>0</v>
      </c>
      <c r="AC155" s="218"/>
      <c r="AD155" s="218" t="s">
        <v>409</v>
      </c>
      <c r="AE155" s="218"/>
      <c r="AF155" s="364">
        <f t="shared" si="237"/>
        <v>0</v>
      </c>
      <c r="AG155" s="311">
        <v>46115</v>
      </c>
      <c r="AH155" s="491" t="s">
        <v>1084</v>
      </c>
      <c r="AI155" s="312"/>
      <c r="AJ155" s="279"/>
      <c r="AK155" s="279"/>
      <c r="AL155" s="312"/>
      <c r="AM155" s="312">
        <f>SUM(AH155:AL155)</f>
        <v>0</v>
      </c>
      <c r="AN155" s="492" t="e">
        <f t="shared" si="274"/>
        <v>#DIV/0!</v>
      </c>
      <c r="AO155" s="246" t="e">
        <f>AG155+AN155*7</f>
        <v>#DIV/0!</v>
      </c>
      <c r="AP155" s="224"/>
      <c r="AQ155" s="218"/>
      <c r="AR155" s="218"/>
      <c r="AS155" s="218"/>
      <c r="AT155" s="218"/>
      <c r="AU155" s="349">
        <f>SUM(AP155:AT155)</f>
        <v>0</v>
      </c>
      <c r="AV155" s="316" t="e">
        <f t="shared" si="252"/>
        <v>#DIV/0!</v>
      </c>
      <c r="AW155" s="249"/>
      <c r="AX155" s="224"/>
      <c r="AY155" s="218"/>
      <c r="AZ155" s="224"/>
      <c r="BA155" s="218"/>
      <c r="BB155" s="218"/>
      <c r="BC155" s="315">
        <f>AX155+AY155+AZ155+BA155+BB155</f>
        <v>0</v>
      </c>
      <c r="BD155" s="316" t="e">
        <f>BC155*16/AF155</f>
        <v>#DIV/0!</v>
      </c>
      <c r="BE155" s="249"/>
      <c r="BF155" s="224"/>
      <c r="BG155" s="218"/>
      <c r="BH155" s="218"/>
      <c r="BI155" s="218"/>
      <c r="BJ155" s="218"/>
      <c r="BK155" s="247">
        <f t="shared" si="272"/>
        <v>0</v>
      </c>
      <c r="BL155" s="248" t="e">
        <f t="shared" si="239"/>
        <v>#DIV/0!</v>
      </c>
      <c r="BM155" s="227"/>
      <c r="BN155" s="224"/>
      <c r="BO155" s="218"/>
      <c r="BP155" s="218"/>
      <c r="BQ155" s="218"/>
      <c r="BR155" s="218"/>
      <c r="BS155" s="250"/>
      <c r="BT155" s="245" t="e">
        <f>BS155*16/AF155</f>
        <v>#DIV/0!</v>
      </c>
      <c r="BU155" s="249"/>
      <c r="BV155" s="224"/>
      <c r="BW155" s="218"/>
      <c r="BX155" s="218"/>
      <c r="BY155" s="218"/>
      <c r="BZ155" s="218"/>
      <c r="CA155" s="218"/>
      <c r="CB155" s="245" t="e">
        <f>CA155*16/AF155</f>
        <v>#DIV/0!</v>
      </c>
      <c r="CC155" s="246"/>
      <c r="CD155" s="224"/>
      <c r="CE155" s="218"/>
      <c r="CF155" s="218"/>
      <c r="CG155" s="218"/>
      <c r="CH155" s="218"/>
      <c r="CI155" s="218"/>
      <c r="CJ155" s="245" t="e">
        <f t="shared" si="275"/>
        <v>#DIV/0!</v>
      </c>
      <c r="CK155" s="218"/>
      <c r="CL155" s="224"/>
      <c r="CM155" s="218"/>
      <c r="CN155" s="218"/>
      <c r="CO155" s="218"/>
      <c r="CP155" s="218"/>
      <c r="CQ155" s="218"/>
      <c r="CR155" s="245" t="e">
        <f t="shared" si="276"/>
        <v>#DIV/0!</v>
      </c>
      <c r="CS155" s="218"/>
      <c r="CT155" s="224"/>
      <c r="CU155" s="218"/>
      <c r="CV155" s="218"/>
      <c r="CW155" s="218"/>
      <c r="CX155" s="218"/>
      <c r="CY155" s="218"/>
      <c r="CZ155" s="245" t="e">
        <f t="shared" si="277"/>
        <v>#DIV/0!</v>
      </c>
      <c r="DA155" s="218"/>
      <c r="DB155" s="224"/>
      <c r="DC155" s="218"/>
      <c r="DD155" s="218"/>
      <c r="DE155" s="218"/>
      <c r="DF155" s="218"/>
      <c r="DG155" s="218"/>
      <c r="DH155" s="218"/>
      <c r="DI155" s="218"/>
      <c r="DJ155" s="218"/>
      <c r="DK155" s="218"/>
      <c r="DL155" s="218"/>
      <c r="DM155" s="218"/>
      <c r="DN155" s="218"/>
      <c r="DO155" s="218"/>
      <c r="DP155" s="218"/>
      <c r="DQ155" s="227"/>
      <c r="DR155" s="224"/>
      <c r="DS155" s="218"/>
      <c r="DT155" s="218"/>
      <c r="DU155" s="218"/>
      <c r="DV155" s="218"/>
      <c r="DW155" s="218"/>
      <c r="DX155" s="218"/>
      <c r="DY155" s="218"/>
      <c r="DZ155" s="218"/>
      <c r="EA155" s="218"/>
      <c r="EB155" s="218"/>
      <c r="EC155" s="218"/>
      <c r="ED155" s="218"/>
      <c r="EE155" s="218"/>
      <c r="EF155" s="223" t="e">
        <f t="shared" ref="EF155:EJ155" si="284">AH155+AP155+AX155+BF155+BN155+BV155+CD155+CL155+CT155+DB155+DJ155+DR155+DZ155</f>
        <v>#VALUE!</v>
      </c>
      <c r="EG155" s="223">
        <f t="shared" si="284"/>
        <v>0</v>
      </c>
      <c r="EH155" s="223">
        <f t="shared" si="284"/>
        <v>0</v>
      </c>
      <c r="EI155" s="223">
        <f t="shared" si="284"/>
        <v>0</v>
      </c>
      <c r="EJ155" s="223">
        <f t="shared" si="284"/>
        <v>0</v>
      </c>
      <c r="EK155" s="223" t="e">
        <f t="shared" si="279"/>
        <v>#VALUE!</v>
      </c>
      <c r="EL155" s="218">
        <f t="shared" si="280"/>
        <v>0</v>
      </c>
      <c r="EM155" s="218">
        <f t="shared" si="281"/>
        <v>0</v>
      </c>
      <c r="EN155" s="223" t="e">
        <f t="shared" si="282"/>
        <v>#VALUE!</v>
      </c>
      <c r="EO155" s="226" t="e">
        <f t="shared" si="283"/>
        <v>#VALUE!</v>
      </c>
      <c r="ER155" s="251"/>
      <c r="EU155" s="220"/>
    </row>
    <row r="156" s="200" customFormat="1" customHeight="1" spans="1:151 16352:16384">
      <c r="A156" s="448"/>
      <c r="B156" s="218">
        <v>22</v>
      </c>
      <c r="C156" s="241" t="s">
        <v>1085</v>
      </c>
      <c r="E156" s="220"/>
      <c r="F156" s="220" t="s">
        <v>106</v>
      </c>
      <c r="G156" s="220"/>
      <c r="H156" s="220"/>
      <c r="J156" s="220" t="s">
        <v>1086</v>
      </c>
      <c r="K156" s="221" t="s">
        <v>1087</v>
      </c>
      <c r="N156" s="207"/>
      <c r="O156" s="207"/>
      <c r="V156" s="200" t="s">
        <v>1086</v>
      </c>
      <c r="W156" s="207" t="s">
        <v>1087</v>
      </c>
      <c r="Y156" s="207"/>
      <c r="Z156" s="218"/>
      <c r="AA156" s="218">
        <v>125</v>
      </c>
      <c r="AB156" s="218">
        <v>3</v>
      </c>
      <c r="AC156" s="218"/>
      <c r="AD156" s="218">
        <v>1</v>
      </c>
      <c r="AE156" s="218"/>
      <c r="AF156" s="364">
        <f t="shared" si="237"/>
        <v>15</v>
      </c>
      <c r="AG156" s="333"/>
      <c r="AH156" s="315"/>
      <c r="AI156" s="315"/>
      <c r="AJ156" s="223"/>
      <c r="AK156" s="223"/>
      <c r="AL156" s="315"/>
      <c r="AM156" s="315">
        <f>SUM(AH156:AL156)</f>
        <v>0</v>
      </c>
      <c r="AN156" s="245">
        <f t="shared" si="274"/>
        <v>0</v>
      </c>
      <c r="AO156" s="252">
        <v>46092</v>
      </c>
      <c r="AP156" s="253">
        <v>4</v>
      </c>
      <c r="AQ156" s="254">
        <v>5</v>
      </c>
      <c r="AR156" s="254">
        <v>4</v>
      </c>
      <c r="AS156" s="254">
        <v>4</v>
      </c>
      <c r="AT156" s="254"/>
      <c r="AU156" s="394" t="s">
        <v>1088</v>
      </c>
      <c r="AV156" s="316" t="e">
        <f t="shared" si="252"/>
        <v>#VALUE!</v>
      </c>
      <c r="AW156" s="252">
        <v>46108</v>
      </c>
      <c r="AX156" s="493">
        <v>50</v>
      </c>
      <c r="AY156" s="494">
        <v>10</v>
      </c>
      <c r="AZ156" s="493">
        <v>5</v>
      </c>
      <c r="BA156" s="494">
        <v>10</v>
      </c>
      <c r="BB156" s="254"/>
      <c r="BC156" s="312">
        <f>AX156+AY156+AZ156+BA156+BB156</f>
        <v>75</v>
      </c>
      <c r="BD156" s="316"/>
      <c r="BE156" s="249"/>
      <c r="BF156" s="224"/>
      <c r="BG156" s="218"/>
      <c r="BH156" s="218"/>
      <c r="BI156" s="218"/>
      <c r="BJ156" s="218"/>
      <c r="BK156" s="247">
        <f t="shared" si="272"/>
        <v>0</v>
      </c>
      <c r="BL156" s="248">
        <f t="shared" si="239"/>
        <v>0</v>
      </c>
      <c r="BM156" s="227"/>
      <c r="BN156" s="224"/>
      <c r="BO156" s="218"/>
      <c r="BP156" s="218"/>
      <c r="BQ156" s="218"/>
      <c r="BR156" s="218"/>
      <c r="BS156" s="250"/>
      <c r="BT156" s="245">
        <f>BS156*16/AF156</f>
        <v>0</v>
      </c>
      <c r="BU156" s="249"/>
      <c r="BV156" s="224"/>
      <c r="BW156" s="218"/>
      <c r="BX156" s="218"/>
      <c r="BY156" s="218"/>
      <c r="BZ156" s="218"/>
      <c r="CA156" s="218"/>
      <c r="CB156" s="245">
        <f>CA156*16/AF156</f>
        <v>0</v>
      </c>
      <c r="CC156" s="249"/>
      <c r="CD156" s="224"/>
      <c r="CE156" s="218"/>
      <c r="CF156" s="218"/>
      <c r="CG156" s="218"/>
      <c r="CH156" s="218"/>
      <c r="CI156" s="218"/>
      <c r="CJ156" s="245">
        <f t="shared" si="275"/>
        <v>0</v>
      </c>
      <c r="CK156" s="249"/>
      <c r="CL156" s="224"/>
      <c r="CM156" s="218"/>
      <c r="CN156" s="218"/>
      <c r="CO156" s="218"/>
      <c r="CP156" s="218"/>
      <c r="CQ156" s="218"/>
      <c r="CR156" s="245">
        <f t="shared" si="276"/>
        <v>0</v>
      </c>
      <c r="CS156" s="249"/>
      <c r="CT156" s="224"/>
      <c r="CU156" s="218"/>
      <c r="CV156" s="218"/>
      <c r="CW156" s="218"/>
      <c r="CX156" s="218"/>
      <c r="CY156" s="218"/>
      <c r="CZ156" s="245">
        <f t="shared" si="277"/>
        <v>0</v>
      </c>
      <c r="DA156" s="249"/>
      <c r="DB156" s="224"/>
      <c r="DC156" s="218"/>
      <c r="DD156" s="218"/>
      <c r="DE156" s="218"/>
      <c r="DF156" s="218"/>
      <c r="DG156" s="218"/>
      <c r="DH156" s="218"/>
      <c r="DI156" s="249"/>
      <c r="DJ156" s="224"/>
      <c r="DK156" s="218"/>
      <c r="DL156" s="218"/>
      <c r="DM156" s="218"/>
      <c r="DN156" s="218"/>
      <c r="DO156" s="218"/>
      <c r="DP156" s="218"/>
      <c r="DQ156" s="227"/>
      <c r="DR156" s="224"/>
      <c r="DS156" s="218"/>
      <c r="DT156" s="218"/>
      <c r="DU156" s="218"/>
      <c r="DV156" s="218"/>
      <c r="DW156" s="218"/>
      <c r="DX156" s="218"/>
      <c r="DY156" s="218"/>
      <c r="DZ156" s="218"/>
      <c r="EA156" s="218"/>
      <c r="EB156" s="218"/>
      <c r="EC156" s="218"/>
      <c r="ED156" s="218"/>
      <c r="EE156" s="218"/>
      <c r="EF156" s="223">
        <f t="shared" ref="EF156:EJ156" si="285">AH156+AP156+AX156+BF156+BN156+BV156+CD156+CL156+CT156+DB156+DJ156+DR156+DZ156</f>
        <v>54</v>
      </c>
      <c r="EG156" s="223">
        <f t="shared" si="285"/>
        <v>15</v>
      </c>
      <c r="EH156" s="223">
        <f t="shared" si="285"/>
        <v>9</v>
      </c>
      <c r="EI156" s="223">
        <f t="shared" si="285"/>
        <v>14</v>
      </c>
      <c r="EJ156" s="223">
        <f t="shared" si="285"/>
        <v>0</v>
      </c>
      <c r="EK156" s="223">
        <f t="shared" si="279"/>
        <v>92</v>
      </c>
      <c r="EL156" s="218">
        <f t="shared" si="280"/>
        <v>300</v>
      </c>
      <c r="EM156" s="218">
        <f t="shared" si="281"/>
        <v>18.75</v>
      </c>
      <c r="EN156" s="223">
        <f t="shared" si="282"/>
        <v>92</v>
      </c>
      <c r="EO156" s="226">
        <f t="shared" si="283"/>
        <v>-73.25</v>
      </c>
      <c r="ER156" s="251"/>
      <c r="EU156" s="220"/>
    </row>
    <row r="157" s="200" customFormat="1" customHeight="1" spans="1:151 16352:16384">
      <c r="A157" s="448"/>
      <c r="B157" s="218">
        <v>23</v>
      </c>
      <c r="C157" s="241" t="s">
        <v>1089</v>
      </c>
      <c r="E157" s="220"/>
      <c r="F157" s="220" t="s">
        <v>106</v>
      </c>
      <c r="G157" s="220"/>
      <c r="H157" s="220"/>
      <c r="J157" s="220" t="s">
        <v>1090</v>
      </c>
      <c r="K157" s="221" t="s">
        <v>1091</v>
      </c>
      <c r="N157" s="207"/>
      <c r="O157" s="207"/>
      <c r="V157" s="200" t="s">
        <v>1090</v>
      </c>
      <c r="W157" s="207" t="s">
        <v>1091</v>
      </c>
      <c r="Y157" s="207"/>
      <c r="Z157" s="218"/>
      <c r="AA157" s="218">
        <v>125</v>
      </c>
      <c r="AB157" s="218">
        <f t="shared" si="273"/>
        <v>4</v>
      </c>
      <c r="AC157" s="218">
        <v>1</v>
      </c>
      <c r="AD157" s="218">
        <v>3</v>
      </c>
      <c r="AE157" s="218"/>
      <c r="AF157" s="364">
        <f t="shared" si="237"/>
        <v>20</v>
      </c>
      <c r="AG157" s="333"/>
      <c r="AH157" s="315"/>
      <c r="AI157" s="315"/>
      <c r="AJ157" s="223"/>
      <c r="AK157" s="223"/>
      <c r="AL157" s="315"/>
      <c r="AM157" s="315">
        <f>SUM(AH157:AL157)</f>
        <v>0</v>
      </c>
      <c r="AN157" s="245">
        <f t="shared" si="274"/>
        <v>0</v>
      </c>
      <c r="AO157" s="252">
        <v>46092</v>
      </c>
      <c r="AP157" s="253">
        <v>29</v>
      </c>
      <c r="AQ157" s="254">
        <v>15</v>
      </c>
      <c r="AR157" s="254">
        <v>12</v>
      </c>
      <c r="AS157" s="254">
        <v>12</v>
      </c>
      <c r="AT157" s="254"/>
      <c r="AU157" s="394" t="s">
        <v>1092</v>
      </c>
      <c r="AV157" s="316" t="e">
        <f t="shared" si="252"/>
        <v>#VALUE!</v>
      </c>
      <c r="AW157" s="252">
        <v>46108</v>
      </c>
      <c r="AX157" s="253">
        <v>30</v>
      </c>
      <c r="AY157" s="254">
        <v>20</v>
      </c>
      <c r="AZ157" s="253">
        <v>20</v>
      </c>
      <c r="BA157" s="254">
        <v>20</v>
      </c>
      <c r="BB157" s="254"/>
      <c r="BC157" s="312">
        <f>AX157+AY157+AZ157+BA157+BB157</f>
        <v>90</v>
      </c>
      <c r="BD157" s="316"/>
      <c r="BE157" s="249"/>
      <c r="BF157" s="224"/>
      <c r="BG157" s="218"/>
      <c r="BH157" s="218"/>
      <c r="BI157" s="218"/>
      <c r="BJ157" s="218"/>
      <c r="BK157" s="247">
        <f t="shared" si="272"/>
        <v>0</v>
      </c>
      <c r="BL157" s="248">
        <f t="shared" si="239"/>
        <v>0</v>
      </c>
      <c r="BM157" s="227"/>
      <c r="BN157" s="224"/>
      <c r="BO157" s="218"/>
      <c r="BP157" s="218"/>
      <c r="BQ157" s="218"/>
      <c r="BR157" s="218"/>
      <c r="BS157" s="250"/>
      <c r="BT157" s="245"/>
      <c r="BU157" s="249"/>
      <c r="BV157" s="224"/>
      <c r="BW157" s="218"/>
      <c r="BX157" s="218"/>
      <c r="BY157" s="218"/>
      <c r="BZ157" s="218"/>
      <c r="CA157" s="218"/>
      <c r="CB157" s="245"/>
      <c r="CC157" s="249"/>
      <c r="CD157" s="224"/>
      <c r="CE157" s="218"/>
      <c r="CF157" s="218"/>
      <c r="CG157" s="218"/>
      <c r="CH157" s="218"/>
      <c r="CI157" s="218"/>
      <c r="CJ157" s="245">
        <f t="shared" si="275"/>
        <v>0</v>
      </c>
      <c r="CK157" s="249"/>
      <c r="CL157" s="224"/>
      <c r="CM157" s="218"/>
      <c r="CN157" s="218"/>
      <c r="CO157" s="218"/>
      <c r="CP157" s="218"/>
      <c r="CQ157" s="218"/>
      <c r="CR157" s="245">
        <f t="shared" si="276"/>
        <v>0</v>
      </c>
      <c r="CS157" s="249"/>
      <c r="CT157" s="224"/>
      <c r="CU157" s="218"/>
      <c r="CV157" s="218"/>
      <c r="CW157" s="218"/>
      <c r="CX157" s="218"/>
      <c r="CY157" s="218"/>
      <c r="CZ157" s="245">
        <f t="shared" si="277"/>
        <v>0</v>
      </c>
      <c r="DA157" s="249"/>
      <c r="DB157" s="224"/>
      <c r="DC157" s="218"/>
      <c r="DD157" s="218"/>
      <c r="DE157" s="218"/>
      <c r="DF157" s="218"/>
      <c r="DG157" s="218"/>
      <c r="DH157" s="218"/>
      <c r="DI157" s="249"/>
      <c r="DJ157" s="224"/>
      <c r="DK157" s="218"/>
      <c r="DL157" s="218"/>
      <c r="DM157" s="218"/>
      <c r="DN157" s="218"/>
      <c r="DO157" s="218"/>
      <c r="DP157" s="218"/>
      <c r="DQ157" s="227"/>
      <c r="DR157" s="224"/>
      <c r="DS157" s="218"/>
      <c r="DT157" s="218"/>
      <c r="DU157" s="218"/>
      <c r="DV157" s="218"/>
      <c r="DW157" s="218"/>
      <c r="DX157" s="218"/>
      <c r="DY157" s="249"/>
      <c r="DZ157" s="218"/>
      <c r="EA157" s="218"/>
      <c r="EB157" s="218"/>
      <c r="EC157" s="218"/>
      <c r="ED157" s="218"/>
      <c r="EE157" s="218"/>
      <c r="EF157" s="223">
        <f t="shared" ref="EF157:EJ157" si="286">AH157+AP157+AX157+BF157+BN157+BV157+CD157+CL157+CT157+DB157+DJ157+DR157+DZ157</f>
        <v>59</v>
      </c>
      <c r="EG157" s="223">
        <f t="shared" si="286"/>
        <v>35</v>
      </c>
      <c r="EH157" s="223">
        <f t="shared" si="286"/>
        <v>32</v>
      </c>
      <c r="EI157" s="223">
        <f t="shared" si="286"/>
        <v>32</v>
      </c>
      <c r="EJ157" s="223">
        <f t="shared" si="286"/>
        <v>0</v>
      </c>
      <c r="EK157" s="223">
        <f t="shared" si="279"/>
        <v>158</v>
      </c>
      <c r="EL157" s="218">
        <f t="shared" si="280"/>
        <v>400</v>
      </c>
      <c r="EM157" s="218">
        <f t="shared" si="281"/>
        <v>25</v>
      </c>
      <c r="EN157" s="223">
        <f t="shared" si="282"/>
        <v>158</v>
      </c>
      <c r="EO157" s="226">
        <f t="shared" si="283"/>
        <v>-133</v>
      </c>
      <c r="ER157" s="251"/>
      <c r="EU157" s="220"/>
    </row>
    <row r="158" s="200" customFormat="1" customHeight="1" spans="1:151 16352:16384">
      <c r="A158" s="448"/>
      <c r="B158" s="218">
        <v>24</v>
      </c>
      <c r="C158" s="218" t="s">
        <v>1093</v>
      </c>
      <c r="J158" s="200" t="s">
        <v>1094</v>
      </c>
      <c r="K158" s="200">
        <v>15107644779</v>
      </c>
      <c r="N158" s="207"/>
      <c r="O158" s="207"/>
      <c r="V158" s="200" t="s">
        <v>1095</v>
      </c>
      <c r="W158" s="207" t="s">
        <v>1096</v>
      </c>
      <c r="Y158" s="207"/>
      <c r="Z158" s="218"/>
      <c r="AA158" s="218">
        <v>125</v>
      </c>
      <c r="AB158" s="218">
        <f t="shared" si="273"/>
        <v>27</v>
      </c>
      <c r="AC158" s="218">
        <v>4</v>
      </c>
      <c r="AD158" s="218">
        <v>23</v>
      </c>
      <c r="AE158" s="218"/>
      <c r="AF158" s="364">
        <f t="shared" si="237"/>
        <v>135</v>
      </c>
      <c r="AG158" s="392">
        <v>46080</v>
      </c>
      <c r="AH158" s="327">
        <v>1</v>
      </c>
      <c r="AI158" s="327">
        <v>1</v>
      </c>
      <c r="AJ158" s="327">
        <v>1</v>
      </c>
      <c r="AK158" s="327">
        <v>1</v>
      </c>
      <c r="AL158" s="327"/>
      <c r="AM158" s="327">
        <v>4</v>
      </c>
      <c r="AN158" s="245">
        <f t="shared" si="274"/>
        <v>0.474074074074074</v>
      </c>
      <c r="AO158" s="311">
        <v>46091</v>
      </c>
      <c r="AP158" s="312">
        <v>3</v>
      </c>
      <c r="AQ158" s="312">
        <v>3</v>
      </c>
      <c r="AR158" s="279">
        <v>3</v>
      </c>
      <c r="AS158" s="279">
        <v>6</v>
      </c>
      <c r="AT158" s="312"/>
      <c r="AU158" s="312">
        <f t="shared" ref="AU158:AU173" si="287">SUM(AP158:AT158)</f>
        <v>15</v>
      </c>
      <c r="AV158" s="316">
        <f t="shared" si="252"/>
        <v>1.77777777777778</v>
      </c>
      <c r="AW158" s="252">
        <v>46104</v>
      </c>
      <c r="AX158" s="253">
        <v>8</v>
      </c>
      <c r="AY158" s="254">
        <v>5</v>
      </c>
      <c r="AZ158" s="253">
        <v>5</v>
      </c>
      <c r="BA158" s="254">
        <v>7</v>
      </c>
      <c r="BB158" s="254"/>
      <c r="BC158" s="312">
        <f>AX158+AY158+AZ158+BA158+BB158</f>
        <v>25</v>
      </c>
      <c r="BD158" s="316">
        <f>BC158*16/AF158</f>
        <v>2.96296296296296</v>
      </c>
      <c r="BE158" s="385">
        <v>46119</v>
      </c>
      <c r="BF158" s="327">
        <v>8</v>
      </c>
      <c r="BG158" s="327">
        <v>5</v>
      </c>
      <c r="BH158" s="327">
        <v>5</v>
      </c>
      <c r="BI158" s="327">
        <v>7</v>
      </c>
      <c r="BJ158" s="327"/>
      <c r="BK158" s="244">
        <f t="shared" si="272"/>
        <v>25</v>
      </c>
      <c r="BL158" s="248">
        <f t="shared" si="239"/>
        <v>2.96296296296296</v>
      </c>
      <c r="BM158" s="246">
        <f>BE158+BL158*7</f>
        <v>46139.7407407407</v>
      </c>
      <c r="BN158" s="224"/>
      <c r="BO158" s="218"/>
      <c r="BP158" s="218"/>
      <c r="BQ158" s="218"/>
      <c r="BR158" s="218"/>
      <c r="BS158" s="250"/>
      <c r="BT158" s="245">
        <f t="shared" ref="BT158:BT170" si="288">BS158*16/AF158</f>
        <v>0</v>
      </c>
      <c r="BU158" s="246"/>
      <c r="BV158" s="472"/>
      <c r="BW158" s="242"/>
      <c r="BX158" s="242"/>
      <c r="BY158" s="242"/>
      <c r="BZ158" s="242"/>
      <c r="CA158" s="242"/>
      <c r="CB158" s="473">
        <f t="shared" ref="CB158:CB170" si="289">CA158*16/AF158</f>
        <v>0</v>
      </c>
      <c r="CC158" s="246"/>
      <c r="CD158" s="472"/>
      <c r="CE158" s="242"/>
      <c r="CF158" s="242"/>
      <c r="CG158" s="242"/>
      <c r="CH158" s="242"/>
      <c r="CI158" s="242"/>
      <c r="CJ158" s="473">
        <f t="shared" si="275"/>
        <v>0</v>
      </c>
      <c r="CK158" s="249"/>
      <c r="CL158" s="224"/>
      <c r="CM158" s="218"/>
      <c r="CN158" s="218"/>
      <c r="CO158" s="218"/>
      <c r="CP158" s="218"/>
      <c r="CQ158" s="218"/>
      <c r="CR158" s="245">
        <f t="shared" si="276"/>
        <v>0</v>
      </c>
      <c r="CS158" s="249"/>
      <c r="CT158" s="224"/>
      <c r="CU158" s="218"/>
      <c r="CV158" s="218"/>
      <c r="CW158" s="218"/>
      <c r="CX158" s="218"/>
      <c r="CY158" s="218"/>
      <c r="CZ158" s="245">
        <f t="shared" si="277"/>
        <v>0</v>
      </c>
      <c r="DA158" s="249"/>
      <c r="DB158" s="224"/>
      <c r="DC158" s="218"/>
      <c r="DD158" s="218"/>
      <c r="DE158" s="218"/>
      <c r="DF158" s="218"/>
      <c r="DG158" s="218"/>
      <c r="DH158" s="218"/>
      <c r="DI158" s="218"/>
      <c r="DJ158" s="218"/>
      <c r="DK158" s="218"/>
      <c r="DL158" s="218"/>
      <c r="DM158" s="218"/>
      <c r="DN158" s="218"/>
      <c r="DO158" s="218"/>
      <c r="DP158" s="218"/>
      <c r="DQ158" s="227"/>
      <c r="DR158" s="224"/>
      <c r="DS158" s="218"/>
      <c r="DT158" s="218"/>
      <c r="DU158" s="218"/>
      <c r="DV158" s="218"/>
      <c r="DW158" s="218"/>
      <c r="DX158" s="218"/>
      <c r="DY158" s="218"/>
      <c r="DZ158" s="218"/>
      <c r="EA158" s="218"/>
      <c r="EB158" s="218"/>
      <c r="EC158" s="218"/>
      <c r="ED158" s="218"/>
      <c r="EE158" s="218"/>
      <c r="EF158" s="223" t="e">
        <f>AP158+#REF!+AX158+#REF!+BN158+BV158+CD158+CL158+CT158+DB158+DJ158+DR158+DZ158</f>
        <v>#REF!</v>
      </c>
      <c r="EG158" s="223" t="e">
        <f>AQ158+#REF!+AY158+#REF!+BO158+BW158+CE158+CM158+CU158+DC158+DK158+DS158+EA158</f>
        <v>#REF!</v>
      </c>
      <c r="EH158" s="223" t="e">
        <f>AR158+#REF!+AZ158+#REF!+BP158+BX158+CF158+CN158+CV158+DD158+DL158+DT158+EB158</f>
        <v>#REF!</v>
      </c>
      <c r="EI158" s="223" t="e">
        <f>AS158+#REF!+BA158+#REF!+BQ158+BY158+CG158+CO158+CW158+DE158+DM158+DU158+EC158</f>
        <v>#REF!</v>
      </c>
      <c r="EJ158" s="223" t="e">
        <f>AT158+#REF!+BB158+#REF!+BR158+BZ158+CH158+CP158+CX158+DF158+DN158+DV158+ED158</f>
        <v>#REF!</v>
      </c>
      <c r="EK158" s="223" t="e">
        <f t="shared" si="279"/>
        <v>#REF!</v>
      </c>
      <c r="EL158" s="218">
        <f t="shared" si="280"/>
        <v>2700</v>
      </c>
      <c r="EM158" s="218">
        <f t="shared" si="281"/>
        <v>168.75</v>
      </c>
      <c r="EN158" s="223" t="e">
        <f t="shared" si="282"/>
        <v>#REF!</v>
      </c>
      <c r="EO158" s="226" t="e">
        <f t="shared" si="283"/>
        <v>#REF!</v>
      </c>
      <c r="ER158" s="251"/>
      <c r="EU158" s="220"/>
    </row>
    <row r="159" s="200" customFormat="1" ht="21" spans="1:151 16352:16384">
      <c r="A159" s="448"/>
      <c r="B159" s="218">
        <v>25</v>
      </c>
      <c r="C159" s="475" t="s">
        <v>1097</v>
      </c>
      <c r="J159" s="200" t="s">
        <v>1095</v>
      </c>
      <c r="K159" s="207" t="s">
        <v>1098</v>
      </c>
      <c r="N159" s="207"/>
      <c r="O159" s="207"/>
      <c r="W159" s="207"/>
      <c r="Y159" s="207"/>
      <c r="Z159" s="218"/>
      <c r="AA159" s="218">
        <v>125</v>
      </c>
      <c r="AB159" s="218">
        <v>7</v>
      </c>
      <c r="AC159" s="218">
        <v>1</v>
      </c>
      <c r="AD159" s="218">
        <v>6</v>
      </c>
      <c r="AE159" s="218"/>
      <c r="AF159" s="364">
        <f t="shared" si="237"/>
        <v>35</v>
      </c>
      <c r="AG159" s="495">
        <v>46103</v>
      </c>
      <c r="AH159" s="496">
        <v>1</v>
      </c>
      <c r="AI159" s="496">
        <v>1</v>
      </c>
      <c r="AJ159" s="497">
        <v>1</v>
      </c>
      <c r="AK159" s="497">
        <v>1</v>
      </c>
      <c r="AL159" s="496"/>
      <c r="AM159" s="496">
        <f t="shared" ref="AM159:AM173" si="290">SUM(AH159:AL159)</f>
        <v>4</v>
      </c>
      <c r="AN159" s="498">
        <f t="shared" si="274"/>
        <v>1.82857142857143</v>
      </c>
      <c r="AO159" s="260">
        <v>46112</v>
      </c>
      <c r="AP159" s="253">
        <v>2</v>
      </c>
      <c r="AQ159" s="254">
        <v>1</v>
      </c>
      <c r="AR159" s="254">
        <v>1</v>
      </c>
      <c r="AS159" s="254">
        <v>1</v>
      </c>
      <c r="AT159" s="254"/>
      <c r="AU159" s="394">
        <f t="shared" si="287"/>
        <v>5</v>
      </c>
      <c r="AV159" s="316">
        <f t="shared" ref="AV159:AV163" si="291">AU159*16/AF159</f>
        <v>2.28571428571429</v>
      </c>
      <c r="AW159" s="260">
        <f>AO159+AV159*7</f>
        <v>46128</v>
      </c>
      <c r="AX159" s="253">
        <v>1</v>
      </c>
      <c r="AY159" s="254">
        <v>2</v>
      </c>
      <c r="AZ159" s="253">
        <v>2</v>
      </c>
      <c r="BA159" s="254">
        <v>2</v>
      </c>
      <c r="BB159" s="254"/>
      <c r="BC159" s="312">
        <f t="shared" ref="BC158:BC171" si="292">AX159+AY159+AZ159+BA159+BB159</f>
        <v>7</v>
      </c>
      <c r="BD159" s="316">
        <f t="shared" ref="BD158:BD171" si="293">BC159*16/AF159</f>
        <v>3.2</v>
      </c>
      <c r="BE159" s="246">
        <f>AW159+BD159*7</f>
        <v>46150.4</v>
      </c>
      <c r="BF159" s="224"/>
      <c r="BG159" s="218"/>
      <c r="BH159" s="218"/>
      <c r="BI159" s="218"/>
      <c r="BJ159" s="218"/>
      <c r="BK159" s="247">
        <f t="shared" si="272"/>
        <v>0</v>
      </c>
      <c r="BL159" s="248">
        <f t="shared" si="239"/>
        <v>0</v>
      </c>
      <c r="BM159" s="227"/>
      <c r="BN159" s="224"/>
      <c r="BO159" s="218"/>
      <c r="BP159" s="218"/>
      <c r="BQ159" s="218"/>
      <c r="BR159" s="218"/>
      <c r="BS159" s="250"/>
      <c r="BT159" s="245">
        <f t="shared" si="288"/>
        <v>0</v>
      </c>
      <c r="BU159" s="218"/>
      <c r="BV159" s="224"/>
      <c r="BW159" s="218"/>
      <c r="BX159" s="218"/>
      <c r="BY159" s="218"/>
      <c r="BZ159" s="218"/>
      <c r="CA159" s="218"/>
      <c r="CB159" s="245">
        <f t="shared" si="289"/>
        <v>0</v>
      </c>
      <c r="CC159" s="218"/>
      <c r="CD159" s="224"/>
      <c r="CE159" s="218"/>
      <c r="CF159" s="218"/>
      <c r="CG159" s="218"/>
      <c r="CH159" s="218"/>
      <c r="CI159" s="218"/>
      <c r="CJ159" s="245">
        <f t="shared" si="275"/>
        <v>0</v>
      </c>
      <c r="CK159" s="218"/>
      <c r="CL159" s="224"/>
      <c r="CM159" s="218"/>
      <c r="CN159" s="218"/>
      <c r="CO159" s="218"/>
      <c r="CP159" s="218"/>
      <c r="CQ159" s="218"/>
      <c r="CR159" s="245">
        <f t="shared" si="276"/>
        <v>0</v>
      </c>
      <c r="CS159" s="218"/>
      <c r="CT159" s="224"/>
      <c r="CU159" s="218"/>
      <c r="CV159" s="218"/>
      <c r="CW159" s="218"/>
      <c r="CX159" s="218"/>
      <c r="CY159" s="218"/>
      <c r="CZ159" s="245">
        <f t="shared" si="277"/>
        <v>0</v>
      </c>
      <c r="DA159" s="218"/>
      <c r="DB159" s="224"/>
      <c r="DC159" s="218"/>
      <c r="DD159" s="218"/>
      <c r="DE159" s="218"/>
      <c r="DF159" s="218"/>
      <c r="DG159" s="218"/>
      <c r="DH159" s="218"/>
      <c r="DI159" s="218"/>
      <c r="DJ159" s="218"/>
      <c r="DK159" s="218"/>
      <c r="DL159" s="218"/>
      <c r="DM159" s="218"/>
      <c r="DN159" s="218"/>
      <c r="DO159" s="218"/>
      <c r="DP159" s="218"/>
      <c r="DQ159" s="227"/>
      <c r="DR159" s="224"/>
      <c r="DS159" s="218"/>
      <c r="DT159" s="218"/>
      <c r="DU159" s="218"/>
      <c r="DV159" s="218"/>
      <c r="DW159" s="218"/>
      <c r="DX159" s="218"/>
      <c r="DY159" s="218"/>
      <c r="DZ159" s="218"/>
      <c r="EA159" s="218"/>
      <c r="EB159" s="218"/>
      <c r="EC159" s="218"/>
      <c r="ED159" s="218"/>
      <c r="EE159" s="218"/>
      <c r="EF159" s="223">
        <f t="shared" ref="EF159:EJ159" si="294">AH159+AP159+AX159+BF159+BN159+BV159+CD159+CL159+CT159+DB159+DJ159+DR159+DZ159</f>
        <v>4</v>
      </c>
      <c r="EG159" s="223">
        <f t="shared" si="294"/>
        <v>4</v>
      </c>
      <c r="EH159" s="223">
        <f t="shared" si="294"/>
        <v>4</v>
      </c>
      <c r="EI159" s="223">
        <f t="shared" si="294"/>
        <v>4</v>
      </c>
      <c r="EJ159" s="223">
        <f t="shared" si="294"/>
        <v>0</v>
      </c>
      <c r="EK159" s="223">
        <f t="shared" si="279"/>
        <v>16</v>
      </c>
      <c r="EL159" s="218">
        <f t="shared" si="280"/>
        <v>700</v>
      </c>
      <c r="EM159" s="218">
        <f t="shared" si="281"/>
        <v>43.75</v>
      </c>
      <c r="EN159" s="223">
        <f t="shared" si="282"/>
        <v>16</v>
      </c>
      <c r="EO159" s="226">
        <f t="shared" si="283"/>
        <v>27.75</v>
      </c>
      <c r="ER159" s="251"/>
      <c r="EU159" s="220"/>
    </row>
    <row r="160" s="200" customFormat="1" customHeight="1" spans="1:151 16352:16384">
      <c r="A160" s="448"/>
      <c r="B160" s="218">
        <v>26</v>
      </c>
      <c r="C160" s="219" t="s">
        <v>1099</v>
      </c>
      <c r="D160" s="220"/>
      <c r="E160" s="220"/>
      <c r="F160" s="220"/>
      <c r="G160" s="220"/>
      <c r="H160" s="221"/>
      <c r="I160" s="239"/>
      <c r="J160" s="200" t="s">
        <v>852</v>
      </c>
      <c r="K160" s="200">
        <v>13924426676</v>
      </c>
      <c r="M160" s="239"/>
      <c r="N160" s="221"/>
      <c r="O160" s="221"/>
      <c r="U160" s="220"/>
      <c r="V160" s="200" t="s">
        <v>852</v>
      </c>
      <c r="W160" s="221" t="s">
        <v>1100</v>
      </c>
      <c r="X160" s="220"/>
      <c r="Y160" s="221"/>
      <c r="Z160" s="218"/>
      <c r="AA160" s="218">
        <v>125</v>
      </c>
      <c r="AB160" s="242">
        <f t="shared" si="273"/>
        <v>0</v>
      </c>
      <c r="AC160" s="218"/>
      <c r="AD160" s="218" t="s">
        <v>409</v>
      </c>
      <c r="AE160" s="218"/>
      <c r="AF160" s="364">
        <f t="shared" si="237"/>
        <v>0</v>
      </c>
      <c r="AG160" s="333"/>
      <c r="AH160" s="315"/>
      <c r="AI160" s="315"/>
      <c r="AJ160" s="315"/>
      <c r="AK160" s="315"/>
      <c r="AL160" s="315"/>
      <c r="AM160" s="315">
        <f t="shared" si="290"/>
        <v>0</v>
      </c>
      <c r="AN160" s="245" t="e">
        <f t="shared" si="274"/>
        <v>#DIV/0!</v>
      </c>
      <c r="AO160" s="249"/>
      <c r="AP160" s="224"/>
      <c r="AQ160" s="332"/>
      <c r="AR160" s="332"/>
      <c r="AS160" s="332"/>
      <c r="AT160" s="332"/>
      <c r="AU160" s="349">
        <f t="shared" si="287"/>
        <v>0</v>
      </c>
      <c r="AV160" s="316" t="e">
        <f t="shared" si="291"/>
        <v>#DIV/0!</v>
      </c>
      <c r="AW160" s="249"/>
      <c r="AX160" s="224"/>
      <c r="AY160" s="332"/>
      <c r="AZ160" s="331"/>
      <c r="BA160" s="332"/>
      <c r="BB160" s="332"/>
      <c r="BC160" s="315">
        <f t="shared" si="292"/>
        <v>0</v>
      </c>
      <c r="BD160" s="316" t="e">
        <f t="shared" si="293"/>
        <v>#DIV/0!</v>
      </c>
      <c r="BE160" s="249"/>
      <c r="BF160" s="224"/>
      <c r="BG160" s="332"/>
      <c r="BH160" s="332"/>
      <c r="BI160" s="332"/>
      <c r="BJ160" s="332"/>
      <c r="BK160" s="247">
        <f t="shared" si="272"/>
        <v>0</v>
      </c>
      <c r="BL160" s="248" t="e">
        <f t="shared" si="239"/>
        <v>#DIV/0!</v>
      </c>
      <c r="BM160" s="227"/>
      <c r="BN160" s="224"/>
      <c r="BO160" s="218"/>
      <c r="BP160" s="218"/>
      <c r="BQ160" s="218"/>
      <c r="BR160" s="218"/>
      <c r="BS160" s="250"/>
      <c r="BT160" s="245" t="e">
        <f t="shared" si="288"/>
        <v>#DIV/0!</v>
      </c>
      <c r="BU160" s="249"/>
      <c r="BV160" s="224"/>
      <c r="BW160" s="218"/>
      <c r="BX160" s="218"/>
      <c r="BY160" s="218"/>
      <c r="BZ160" s="218"/>
      <c r="CA160" s="218"/>
      <c r="CB160" s="245" t="e">
        <f t="shared" si="289"/>
        <v>#DIV/0!</v>
      </c>
      <c r="CC160" s="218"/>
      <c r="CD160" s="224"/>
      <c r="CE160" s="218"/>
      <c r="CF160" s="218"/>
      <c r="CG160" s="218"/>
      <c r="CH160" s="218"/>
      <c r="CI160" s="218"/>
      <c r="CJ160" s="245" t="e">
        <f t="shared" si="275"/>
        <v>#DIV/0!</v>
      </c>
      <c r="CK160" s="218"/>
      <c r="CL160" s="224"/>
      <c r="CM160" s="218"/>
      <c r="CN160" s="218"/>
      <c r="CO160" s="218"/>
      <c r="CP160" s="218"/>
      <c r="CQ160" s="218"/>
      <c r="CR160" s="245" t="e">
        <f t="shared" si="276"/>
        <v>#DIV/0!</v>
      </c>
      <c r="CS160" s="218"/>
      <c r="CT160" s="224"/>
      <c r="CU160" s="218"/>
      <c r="CV160" s="218"/>
      <c r="CW160" s="218"/>
      <c r="CX160" s="218"/>
      <c r="CY160" s="218"/>
      <c r="CZ160" s="245" t="e">
        <f t="shared" si="277"/>
        <v>#DIV/0!</v>
      </c>
      <c r="DA160" s="218"/>
      <c r="DB160" s="224"/>
      <c r="DC160" s="218"/>
      <c r="DD160" s="218"/>
      <c r="DE160" s="218"/>
      <c r="DF160" s="218"/>
      <c r="DG160" s="218"/>
      <c r="DH160" s="218"/>
      <c r="DI160" s="218"/>
      <c r="DJ160" s="249"/>
      <c r="DK160" s="218"/>
      <c r="DL160" s="218"/>
      <c r="DM160" s="218"/>
      <c r="DN160" s="218"/>
      <c r="DO160" s="218"/>
      <c r="DP160" s="218"/>
      <c r="DQ160" s="227"/>
      <c r="DR160" s="224"/>
      <c r="DS160" s="218"/>
      <c r="DT160" s="218"/>
      <c r="DU160" s="218"/>
      <c r="DV160" s="218"/>
      <c r="DW160" s="218"/>
      <c r="DX160" s="218"/>
      <c r="DY160" s="218"/>
      <c r="DZ160" s="218"/>
      <c r="EA160" s="218"/>
      <c r="EB160" s="218"/>
      <c r="EC160" s="218"/>
      <c r="ED160" s="218"/>
      <c r="EE160" s="218"/>
      <c r="EF160" s="223">
        <f t="shared" ref="EF160:EJ160" si="295">AH160+AP160+AX160+BF160+BN160+BV160+CD160+CL160+CT160+DB160+DJ160+DR160+DZ160</f>
        <v>0</v>
      </c>
      <c r="EG160" s="223">
        <f t="shared" si="295"/>
        <v>0</v>
      </c>
      <c r="EH160" s="223">
        <f t="shared" si="295"/>
        <v>0</v>
      </c>
      <c r="EI160" s="223">
        <f t="shared" si="295"/>
        <v>0</v>
      </c>
      <c r="EJ160" s="223">
        <f t="shared" si="295"/>
        <v>0</v>
      </c>
      <c r="EK160" s="223">
        <f t="shared" si="279"/>
        <v>0</v>
      </c>
      <c r="EL160" s="218">
        <f t="shared" si="280"/>
        <v>0</v>
      </c>
      <c r="EM160" s="218">
        <f t="shared" si="281"/>
        <v>0</v>
      </c>
      <c r="EN160" s="223">
        <f t="shared" si="282"/>
        <v>0</v>
      </c>
      <c r="EO160" s="226">
        <f t="shared" si="283"/>
        <v>0</v>
      </c>
      <c r="ER160" s="251"/>
      <c r="EU160" s="220"/>
    </row>
    <row r="161" s="200" customFormat="1" customHeight="1" spans="1:151 16352:16384">
      <c r="A161" s="499" t="s">
        <v>1101</v>
      </c>
      <c r="B161" s="218">
        <v>27</v>
      </c>
      <c r="C161" s="218" t="s">
        <v>1102</v>
      </c>
      <c r="J161" s="200" t="s">
        <v>624</v>
      </c>
      <c r="K161" s="207" t="s">
        <v>1103</v>
      </c>
      <c r="N161" s="207"/>
      <c r="O161" s="207"/>
      <c r="V161" s="200" t="s">
        <v>624</v>
      </c>
      <c r="W161" s="207" t="s">
        <v>1103</v>
      </c>
      <c r="Y161" s="207"/>
      <c r="Z161" s="218"/>
      <c r="AA161" s="218">
        <v>125</v>
      </c>
      <c r="AB161" s="218">
        <v>9</v>
      </c>
      <c r="AC161" s="218">
        <v>3</v>
      </c>
      <c r="AD161" s="218">
        <v>6</v>
      </c>
      <c r="AE161" s="218"/>
      <c r="AF161" s="364">
        <f t="shared" si="237"/>
        <v>45</v>
      </c>
      <c r="AG161" s="392">
        <v>46080</v>
      </c>
      <c r="AH161" s="327">
        <v>1</v>
      </c>
      <c r="AI161" s="327">
        <v>1</v>
      </c>
      <c r="AJ161" s="327">
        <v>1</v>
      </c>
      <c r="AK161" s="327">
        <v>1</v>
      </c>
      <c r="AL161" s="327"/>
      <c r="AM161" s="327">
        <v>4</v>
      </c>
      <c r="AN161" s="245">
        <f t="shared" si="274"/>
        <v>1.42222222222222</v>
      </c>
      <c r="AO161" s="311">
        <v>46092</v>
      </c>
      <c r="AP161" s="244">
        <v>2</v>
      </c>
      <c r="AQ161" s="244">
        <v>2</v>
      </c>
      <c r="AR161" s="279">
        <v>2</v>
      </c>
      <c r="AS161" s="279">
        <v>2</v>
      </c>
      <c r="AT161" s="312"/>
      <c r="AU161" s="244">
        <f t="shared" si="287"/>
        <v>8</v>
      </c>
      <c r="AV161" s="316">
        <f t="shared" si="291"/>
        <v>2.84444444444444</v>
      </c>
      <c r="AW161" s="252">
        <v>46099</v>
      </c>
      <c r="AX161" s="500" t="s">
        <v>1104</v>
      </c>
      <c r="AY161" s="254">
        <v>4</v>
      </c>
      <c r="AZ161" s="253"/>
      <c r="BA161" s="254">
        <v>7</v>
      </c>
      <c r="BB161" s="254"/>
      <c r="BC161" s="312">
        <v>49</v>
      </c>
      <c r="BD161" s="316">
        <f t="shared" si="293"/>
        <v>17.4222222222222</v>
      </c>
      <c r="BE161" s="271">
        <v>46114</v>
      </c>
      <c r="BF161" s="281">
        <v>1</v>
      </c>
      <c r="BG161" s="282">
        <v>1</v>
      </c>
      <c r="BH161" s="282">
        <v>1</v>
      </c>
      <c r="BI161" s="282">
        <v>1</v>
      </c>
      <c r="BJ161" s="282"/>
      <c r="BK161" s="274">
        <f t="shared" si="272"/>
        <v>4</v>
      </c>
      <c r="BL161" s="248">
        <f t="shared" si="239"/>
        <v>1.42222222222222</v>
      </c>
      <c r="BM161" s="271">
        <v>46121</v>
      </c>
      <c r="BN161" s="253">
        <v>2</v>
      </c>
      <c r="BO161" s="254">
        <v>3</v>
      </c>
      <c r="BP161" s="254">
        <v>3</v>
      </c>
      <c r="BQ161" s="254">
        <v>3</v>
      </c>
      <c r="BR161" s="254"/>
      <c r="BS161" s="269">
        <f>SUM(BN161:BR161)</f>
        <v>11</v>
      </c>
      <c r="BT161" s="245">
        <f t="shared" si="288"/>
        <v>3.91111111111111</v>
      </c>
      <c r="BU161" s="246">
        <f>BM161+BT161*7</f>
        <v>46148.3777777778</v>
      </c>
      <c r="BV161" s="472"/>
      <c r="BW161" s="242"/>
      <c r="BX161" s="242"/>
      <c r="BY161" s="242"/>
      <c r="BZ161" s="242"/>
      <c r="CA161" s="242"/>
      <c r="CB161" s="473">
        <f t="shared" si="289"/>
        <v>0</v>
      </c>
      <c r="CC161" s="246"/>
      <c r="CD161" s="472"/>
      <c r="CE161" s="242"/>
      <c r="CF161" s="242"/>
      <c r="CG161" s="242"/>
      <c r="CH161" s="242"/>
      <c r="CI161" s="242"/>
      <c r="CJ161" s="473">
        <f t="shared" si="275"/>
        <v>0</v>
      </c>
      <c r="CK161" s="218"/>
      <c r="CL161" s="224"/>
      <c r="CM161" s="218"/>
      <c r="CN161" s="218"/>
      <c r="CO161" s="218"/>
      <c r="CP161" s="218"/>
      <c r="CQ161" s="218"/>
      <c r="CR161" s="245">
        <f t="shared" si="276"/>
        <v>0</v>
      </c>
      <c r="CS161" s="218"/>
      <c r="CT161" s="224"/>
      <c r="CU161" s="218"/>
      <c r="CV161" s="218"/>
      <c r="CW161" s="218"/>
      <c r="CX161" s="218"/>
      <c r="CY161" s="218"/>
      <c r="CZ161" s="245">
        <f t="shared" si="277"/>
        <v>0</v>
      </c>
      <c r="DA161" s="218"/>
      <c r="DB161" s="224"/>
      <c r="DC161" s="218"/>
      <c r="DD161" s="218"/>
      <c r="DE161" s="218"/>
      <c r="DF161" s="218"/>
      <c r="DG161" s="218"/>
      <c r="DH161" s="218"/>
      <c r="DI161" s="218"/>
      <c r="DJ161" s="218"/>
      <c r="DK161" s="218"/>
      <c r="DL161" s="218"/>
      <c r="DM161" s="218"/>
      <c r="DN161" s="218"/>
      <c r="DO161" s="218"/>
      <c r="DP161" s="218"/>
      <c r="DQ161" s="227"/>
      <c r="DR161" s="224"/>
      <c r="DS161" s="218"/>
      <c r="DT161" s="218"/>
      <c r="DU161" s="218"/>
      <c r="DV161" s="218"/>
      <c r="DW161" s="218"/>
      <c r="DX161" s="218"/>
      <c r="DY161" s="218"/>
      <c r="DZ161" s="218"/>
      <c r="EA161" s="218"/>
      <c r="EB161" s="218"/>
      <c r="EC161" s="218"/>
      <c r="ED161" s="218"/>
      <c r="EE161" s="218"/>
      <c r="EF161" s="223" t="e">
        <f>AP161+#REF!+AX161+BF161+BN161+BV161+CD161+CL161+CT161+DB161+DJ161+DR161+DZ161</f>
        <v>#REF!</v>
      </c>
      <c r="EG161" s="223" t="e">
        <f>AQ161+#REF!+AY161+BG161+BO161+BW161+CE161+CM161+CU161+DC161+DK161+DS161+EA161</f>
        <v>#REF!</v>
      </c>
      <c r="EH161" s="223" t="e">
        <f>AR161+#REF!+AZ161+BH161+BP161+BX161+CF161+CN161+CV161+DD161+DL161+DT161+EB161</f>
        <v>#REF!</v>
      </c>
      <c r="EI161" s="223" t="e">
        <f>AS161+#REF!+BA161+BI161+BQ161+BY161+CG161+CO161+CW161+DE161+DM161+DU161+EC161</f>
        <v>#REF!</v>
      </c>
      <c r="EJ161" s="223" t="e">
        <f>AT161+#REF!+BB161+BJ161+BR161+BZ161+CH161+CP161+CX161+DF161+DN161+DV161+ED161</f>
        <v>#REF!</v>
      </c>
      <c r="EK161" s="223" t="e">
        <f t="shared" si="279"/>
        <v>#REF!</v>
      </c>
      <c r="EL161" s="218">
        <f t="shared" si="280"/>
        <v>900</v>
      </c>
      <c r="EM161" s="218">
        <f t="shared" si="281"/>
        <v>56.25</v>
      </c>
      <c r="EN161" s="223" t="e">
        <f t="shared" si="282"/>
        <v>#REF!</v>
      </c>
      <c r="EO161" s="226" t="e">
        <f t="shared" si="283"/>
        <v>#REF!</v>
      </c>
      <c r="ER161" s="251"/>
      <c r="EU161" s="220"/>
    </row>
    <row r="162" s="200" customFormat="1" customHeight="1" spans="1:151 16352:16384">
      <c r="A162" s="499"/>
      <c r="B162" s="218">
        <v>28</v>
      </c>
      <c r="C162" s="218" t="s">
        <v>1105</v>
      </c>
      <c r="J162" s="200" t="s">
        <v>1106</v>
      </c>
      <c r="K162" s="207" t="s">
        <v>1107</v>
      </c>
      <c r="N162" s="207"/>
      <c r="O162" s="207"/>
      <c r="V162" s="200" t="s">
        <v>1106</v>
      </c>
      <c r="W162" s="207" t="s">
        <v>1107</v>
      </c>
      <c r="Y162" s="207"/>
      <c r="Z162" s="218"/>
      <c r="AA162" s="218">
        <v>200</v>
      </c>
      <c r="AB162" s="242">
        <f t="shared" si="273"/>
        <v>0</v>
      </c>
      <c r="AC162" s="218"/>
      <c r="AD162" s="218" t="s">
        <v>409</v>
      </c>
      <c r="AE162" s="218"/>
      <c r="AF162" s="364">
        <f t="shared" si="237"/>
        <v>0</v>
      </c>
      <c r="AG162" s="333"/>
      <c r="AH162" s="315"/>
      <c r="AI162" s="315"/>
      <c r="AJ162" s="223"/>
      <c r="AK162" s="223"/>
      <c r="AL162" s="223"/>
      <c r="AM162" s="315">
        <f t="shared" si="290"/>
        <v>0</v>
      </c>
      <c r="AN162" s="245" t="e">
        <f t="shared" si="274"/>
        <v>#DIV/0!</v>
      </c>
      <c r="AO162" s="249"/>
      <c r="AP162" s="224"/>
      <c r="AQ162" s="218"/>
      <c r="AR162" s="218"/>
      <c r="AS162" s="218"/>
      <c r="AT162" s="218"/>
      <c r="AU162" s="349">
        <f t="shared" si="287"/>
        <v>0</v>
      </c>
      <c r="AV162" s="316" t="e">
        <f t="shared" si="291"/>
        <v>#DIV/0!</v>
      </c>
      <c r="AW162" s="249"/>
      <c r="AX162" s="224"/>
      <c r="AY162" s="218"/>
      <c r="AZ162" s="224"/>
      <c r="BA162" s="218"/>
      <c r="BB162" s="218"/>
      <c r="BC162" s="315">
        <f t="shared" si="292"/>
        <v>0</v>
      </c>
      <c r="BD162" s="316" t="e">
        <f t="shared" si="293"/>
        <v>#DIV/0!</v>
      </c>
      <c r="BE162" s="246"/>
      <c r="BF162" s="472"/>
      <c r="BG162" s="242"/>
      <c r="BH162" s="242"/>
      <c r="BI162" s="242"/>
      <c r="BJ162" s="242"/>
      <c r="BK162" s="247">
        <f t="shared" si="272"/>
        <v>0</v>
      </c>
      <c r="BL162" s="248" t="e">
        <f t="shared" si="239"/>
        <v>#DIV/0!</v>
      </c>
      <c r="BM162" s="338"/>
      <c r="BN162" s="472"/>
      <c r="BO162" s="242"/>
      <c r="BP162" s="242"/>
      <c r="BQ162" s="242"/>
      <c r="BR162" s="242"/>
      <c r="BS162" s="501"/>
      <c r="BT162" s="473" t="e">
        <f t="shared" si="288"/>
        <v>#DIV/0!</v>
      </c>
      <c r="BU162" s="218"/>
      <c r="BV162" s="224"/>
      <c r="BW162" s="218"/>
      <c r="BX162" s="218"/>
      <c r="BY162" s="218"/>
      <c r="BZ162" s="218"/>
      <c r="CA162" s="218"/>
      <c r="CB162" s="245" t="e">
        <f t="shared" si="289"/>
        <v>#DIV/0!</v>
      </c>
      <c r="CC162" s="218"/>
      <c r="CD162" s="224"/>
      <c r="CE162" s="218"/>
      <c r="CF162" s="218"/>
      <c r="CG162" s="218"/>
      <c r="CH162" s="218"/>
      <c r="CI162" s="218"/>
      <c r="CJ162" s="245" t="e">
        <f t="shared" si="275"/>
        <v>#DIV/0!</v>
      </c>
      <c r="CK162" s="218"/>
      <c r="CL162" s="224"/>
      <c r="CM162" s="218"/>
      <c r="CN162" s="218"/>
      <c r="CO162" s="218"/>
      <c r="CP162" s="218"/>
      <c r="CQ162" s="218"/>
      <c r="CR162" s="245" t="e">
        <f t="shared" si="276"/>
        <v>#DIV/0!</v>
      </c>
      <c r="CS162" s="218"/>
      <c r="CT162" s="224"/>
      <c r="CU162" s="218"/>
      <c r="CV162" s="218"/>
      <c r="CW162" s="218"/>
      <c r="CX162" s="218"/>
      <c r="CY162" s="218"/>
      <c r="CZ162" s="245" t="e">
        <f t="shared" si="277"/>
        <v>#DIV/0!</v>
      </c>
      <c r="DA162" s="218"/>
      <c r="DB162" s="224"/>
      <c r="DC162" s="218"/>
      <c r="DD162" s="218"/>
      <c r="DE162" s="218"/>
      <c r="DF162" s="218"/>
      <c r="DG162" s="218"/>
      <c r="DH162" s="218"/>
      <c r="DI162" s="218"/>
      <c r="DJ162" s="218"/>
      <c r="DK162" s="218"/>
      <c r="DL162" s="218"/>
      <c r="DM162" s="218"/>
      <c r="DN162" s="218"/>
      <c r="DO162" s="218"/>
      <c r="DP162" s="218"/>
      <c r="DQ162" s="227"/>
      <c r="DR162" s="224"/>
      <c r="DS162" s="218"/>
      <c r="DT162" s="218"/>
      <c r="DU162" s="218"/>
      <c r="DV162" s="218"/>
      <c r="DW162" s="218"/>
      <c r="DX162" s="218"/>
      <c r="DY162" s="218"/>
      <c r="DZ162" s="218"/>
      <c r="EA162" s="218"/>
      <c r="EB162" s="218"/>
      <c r="EC162" s="218"/>
      <c r="ED162" s="218"/>
      <c r="EE162" s="218"/>
      <c r="EF162" s="223">
        <f t="shared" ref="EF162:EJ162" si="296">AH162+AP162+AX162+BF162+BN162+BV162+CD162+CL162+CT162+DB162+DJ162+DR162+DZ162</f>
        <v>0</v>
      </c>
      <c r="EG162" s="223">
        <f t="shared" si="296"/>
        <v>0</v>
      </c>
      <c r="EH162" s="223">
        <f t="shared" si="296"/>
        <v>0</v>
      </c>
      <c r="EI162" s="223">
        <f t="shared" si="296"/>
        <v>0</v>
      </c>
      <c r="EJ162" s="223">
        <f t="shared" si="296"/>
        <v>0</v>
      </c>
      <c r="EK162" s="223">
        <f t="shared" si="279"/>
        <v>0</v>
      </c>
      <c r="EL162" s="218">
        <f t="shared" si="280"/>
        <v>0</v>
      </c>
      <c r="EM162" s="218">
        <f t="shared" si="281"/>
        <v>0</v>
      </c>
      <c r="EN162" s="223">
        <f t="shared" si="282"/>
        <v>0</v>
      </c>
      <c r="EO162" s="226">
        <f t="shared" si="283"/>
        <v>0</v>
      </c>
      <c r="ER162" s="251"/>
      <c r="EU162" s="220"/>
    </row>
    <row r="163" s="200" customFormat="1" ht="31.5" spans="1:151 16352:16384">
      <c r="A163" s="499"/>
      <c r="B163" s="218">
        <v>29</v>
      </c>
      <c r="C163" s="502" t="s">
        <v>1108</v>
      </c>
      <c r="J163" s="200" t="s">
        <v>1109</v>
      </c>
      <c r="K163" s="207"/>
      <c r="N163" s="207"/>
      <c r="O163" s="207"/>
      <c r="W163" s="207"/>
      <c r="Y163" s="207"/>
      <c r="Z163" s="218"/>
      <c r="AA163" s="218">
        <v>200</v>
      </c>
      <c r="AB163" s="218">
        <f t="shared" ref="AB163:AB173" si="297">SUM(AC163:AD163)</f>
        <v>30</v>
      </c>
      <c r="AC163" s="218">
        <v>6</v>
      </c>
      <c r="AD163" s="218">
        <v>24</v>
      </c>
      <c r="AE163" s="218"/>
      <c r="AF163" s="364">
        <f t="shared" si="237"/>
        <v>150</v>
      </c>
      <c r="AG163" s="503" t="s">
        <v>1110</v>
      </c>
      <c r="AH163" s="315"/>
      <c r="AI163" s="315"/>
      <c r="AJ163" s="223"/>
      <c r="AK163" s="223"/>
      <c r="AL163" s="223"/>
      <c r="AM163" s="315">
        <f t="shared" si="290"/>
        <v>0</v>
      </c>
      <c r="AN163" s="245">
        <f t="shared" si="274"/>
        <v>0</v>
      </c>
      <c r="AO163" s="249"/>
      <c r="AP163" s="224"/>
      <c r="AQ163" s="218"/>
      <c r="AR163" s="218"/>
      <c r="AS163" s="218"/>
      <c r="AT163" s="218"/>
      <c r="AU163" s="349">
        <f t="shared" si="287"/>
        <v>0</v>
      </c>
      <c r="AV163" s="316">
        <f t="shared" si="291"/>
        <v>0</v>
      </c>
      <c r="AW163" s="249"/>
      <c r="AX163" s="224"/>
      <c r="AY163" s="218"/>
      <c r="AZ163" s="224"/>
      <c r="BA163" s="218"/>
      <c r="BB163" s="218"/>
      <c r="BC163" s="315">
        <f t="shared" si="292"/>
        <v>0</v>
      </c>
      <c r="BD163" s="316">
        <f t="shared" si="293"/>
        <v>0</v>
      </c>
      <c r="BE163" s="249"/>
      <c r="BF163" s="224"/>
      <c r="BG163" s="218"/>
      <c r="BH163" s="218"/>
      <c r="BI163" s="218"/>
      <c r="BJ163" s="218"/>
      <c r="BK163" s="247">
        <f t="shared" si="272"/>
        <v>0</v>
      </c>
      <c r="BL163" s="248">
        <f t="shared" si="239"/>
        <v>0</v>
      </c>
      <c r="BM163" s="227"/>
      <c r="BN163" s="224"/>
      <c r="BO163" s="218"/>
      <c r="BP163" s="218"/>
      <c r="BQ163" s="218"/>
      <c r="BR163" s="218"/>
      <c r="BS163" s="250"/>
      <c r="BT163" s="245">
        <f t="shared" si="288"/>
        <v>0</v>
      </c>
      <c r="BU163" s="218"/>
      <c r="BV163" s="224"/>
      <c r="BW163" s="218"/>
      <c r="BX163" s="218"/>
      <c r="BY163" s="218"/>
      <c r="BZ163" s="218"/>
      <c r="CA163" s="218"/>
      <c r="CB163" s="245">
        <f t="shared" si="289"/>
        <v>0</v>
      </c>
      <c r="CC163" s="218"/>
      <c r="CD163" s="224"/>
      <c r="CE163" s="218"/>
      <c r="CF163" s="218"/>
      <c r="CG163" s="218"/>
      <c r="CH163" s="218"/>
      <c r="CI163" s="218"/>
      <c r="CJ163" s="245">
        <f t="shared" si="275"/>
        <v>0</v>
      </c>
      <c r="CK163" s="218"/>
      <c r="CL163" s="224"/>
      <c r="CM163" s="218"/>
      <c r="CN163" s="218"/>
      <c r="CO163" s="218"/>
      <c r="CP163" s="218"/>
      <c r="CQ163" s="218"/>
      <c r="CR163" s="245">
        <f t="shared" si="276"/>
        <v>0</v>
      </c>
      <c r="CS163" s="218"/>
      <c r="CT163" s="224"/>
      <c r="CU163" s="218"/>
      <c r="CV163" s="218"/>
      <c r="CW163" s="218"/>
      <c r="CX163" s="218"/>
      <c r="CY163" s="218"/>
      <c r="CZ163" s="245">
        <f t="shared" si="277"/>
        <v>0</v>
      </c>
      <c r="DA163" s="218"/>
      <c r="DB163" s="224"/>
      <c r="DC163" s="218"/>
      <c r="DD163" s="218"/>
      <c r="DE163" s="218"/>
      <c r="DF163" s="218"/>
      <c r="DG163" s="218"/>
      <c r="DH163" s="218"/>
      <c r="DI163" s="218"/>
      <c r="DJ163" s="218"/>
      <c r="DK163" s="218"/>
      <c r="DL163" s="218"/>
      <c r="DM163" s="218"/>
      <c r="DN163" s="218"/>
      <c r="DO163" s="218"/>
      <c r="DP163" s="218"/>
      <c r="DQ163" s="227"/>
      <c r="DR163" s="224"/>
      <c r="DS163" s="218"/>
      <c r="DT163" s="218"/>
      <c r="DU163" s="218"/>
      <c r="DV163" s="218"/>
      <c r="DW163" s="218"/>
      <c r="DX163" s="218"/>
      <c r="DY163" s="218"/>
      <c r="DZ163" s="218"/>
      <c r="EA163" s="218"/>
      <c r="EB163" s="218"/>
      <c r="EC163" s="218"/>
      <c r="ED163" s="218"/>
      <c r="EE163" s="218"/>
      <c r="EF163" s="223">
        <f t="shared" ref="EF163:EJ163" si="298">AH163+AP163+AX163+BF163+BN163+BV163+CD163+CL163+CT163+DB163+DJ163+DR163+DZ163</f>
        <v>0</v>
      </c>
      <c r="EG163" s="223">
        <f t="shared" si="298"/>
        <v>0</v>
      </c>
      <c r="EH163" s="223">
        <f t="shared" si="298"/>
        <v>0</v>
      </c>
      <c r="EI163" s="223">
        <f t="shared" si="298"/>
        <v>0</v>
      </c>
      <c r="EJ163" s="223">
        <f t="shared" si="298"/>
        <v>0</v>
      </c>
      <c r="EK163" s="223">
        <f t="shared" si="279"/>
        <v>0</v>
      </c>
      <c r="EL163" s="218">
        <f t="shared" si="280"/>
        <v>3000</v>
      </c>
      <c r="EM163" s="218">
        <f t="shared" si="281"/>
        <v>187.5</v>
      </c>
      <c r="EN163" s="223">
        <f t="shared" si="282"/>
        <v>0</v>
      </c>
      <c r="EO163" s="226">
        <f t="shared" si="283"/>
        <v>187.5</v>
      </c>
      <c r="ER163" s="251"/>
      <c r="EU163" s="220"/>
    </row>
    <row r="164" s="200" customFormat="1" customHeight="1" spans="1:151 16352:16384">
      <c r="A164" s="499"/>
      <c r="B164" s="218">
        <v>30</v>
      </c>
      <c r="C164" s="429" t="s">
        <v>1111</v>
      </c>
      <c r="D164" s="220" t="s">
        <v>13</v>
      </c>
      <c r="E164" s="220" t="s">
        <v>405</v>
      </c>
      <c r="F164" s="220" t="s">
        <v>120</v>
      </c>
      <c r="G164" s="220" t="s">
        <v>158</v>
      </c>
      <c r="H164" s="221">
        <v>13727141363</v>
      </c>
      <c r="I164" s="239">
        <v>671363</v>
      </c>
      <c r="J164" s="200" t="s">
        <v>1112</v>
      </c>
      <c r="K164" s="200">
        <v>13926629772</v>
      </c>
      <c r="M164" s="239" t="s">
        <v>1113</v>
      </c>
      <c r="N164" s="221" t="s">
        <v>1114</v>
      </c>
      <c r="O164" s="221" t="s">
        <v>1115</v>
      </c>
      <c r="P164" s="200" t="s">
        <v>1116</v>
      </c>
      <c r="Q164" s="200" t="s">
        <v>408</v>
      </c>
      <c r="U164" s="220"/>
      <c r="V164" s="220"/>
      <c r="W164" s="221"/>
      <c r="X164" s="220" t="s">
        <v>1117</v>
      </c>
      <c r="Y164" s="221" t="s">
        <v>1118</v>
      </c>
      <c r="Z164" s="218"/>
      <c r="AA164" s="218">
        <v>200</v>
      </c>
      <c r="AB164" s="218">
        <f t="shared" si="297"/>
        <v>21</v>
      </c>
      <c r="AC164" s="218">
        <v>5</v>
      </c>
      <c r="AD164" s="218">
        <v>16</v>
      </c>
      <c r="AE164" s="218"/>
      <c r="AF164" s="364">
        <f t="shared" si="237"/>
        <v>105</v>
      </c>
      <c r="AG164" s="311">
        <v>46084</v>
      </c>
      <c r="AH164" s="312">
        <v>5</v>
      </c>
      <c r="AI164" s="312">
        <v>5</v>
      </c>
      <c r="AJ164" s="244">
        <v>5</v>
      </c>
      <c r="AK164" s="244">
        <v>5</v>
      </c>
      <c r="AL164" s="244">
        <v>5</v>
      </c>
      <c r="AM164" s="312">
        <f t="shared" si="290"/>
        <v>25</v>
      </c>
      <c r="AN164" s="245">
        <f t="shared" si="274"/>
        <v>3.80952380952381</v>
      </c>
      <c r="AO164" s="252">
        <v>46107</v>
      </c>
      <c r="AP164" s="253">
        <v>7</v>
      </c>
      <c r="AQ164" s="269">
        <v>5</v>
      </c>
      <c r="AR164" s="269">
        <v>5</v>
      </c>
      <c r="AS164" s="269">
        <v>5</v>
      </c>
      <c r="AT164" s="269">
        <v>5</v>
      </c>
      <c r="AU164" s="394">
        <f t="shared" si="287"/>
        <v>27</v>
      </c>
      <c r="AV164" s="316">
        <f t="shared" ref="AV164:AV173" si="299">AU164*16/AF164</f>
        <v>4.11428571428571</v>
      </c>
      <c r="AW164" s="271">
        <v>46121</v>
      </c>
      <c r="AX164" s="253">
        <v>6</v>
      </c>
      <c r="AY164" s="269">
        <v>8</v>
      </c>
      <c r="AZ164" s="268"/>
      <c r="BA164" s="269">
        <v>8</v>
      </c>
      <c r="BB164" s="269">
        <v>8</v>
      </c>
      <c r="BC164" s="244">
        <f t="shared" si="292"/>
        <v>30</v>
      </c>
      <c r="BD164" s="316">
        <f t="shared" si="293"/>
        <v>4.57142857142857</v>
      </c>
      <c r="BE164" s="246">
        <f>AW164+BD164*7</f>
        <v>46153</v>
      </c>
      <c r="BF164" s="224"/>
      <c r="BG164" s="250"/>
      <c r="BH164" s="250"/>
      <c r="BI164" s="250"/>
      <c r="BJ164" s="250"/>
      <c r="BK164" s="247">
        <f t="shared" si="272"/>
        <v>0</v>
      </c>
      <c r="BL164" s="248">
        <f t="shared" si="239"/>
        <v>0</v>
      </c>
      <c r="BM164" s="227"/>
      <c r="BN164" s="224"/>
      <c r="BO164" s="218"/>
      <c r="BP164" s="218"/>
      <c r="BQ164" s="218"/>
      <c r="BR164" s="218"/>
      <c r="BS164" s="250"/>
      <c r="BT164" s="245">
        <f t="shared" si="288"/>
        <v>0</v>
      </c>
      <c r="BU164" s="249"/>
      <c r="BV164" s="408"/>
      <c r="BW164" s="218"/>
      <c r="BX164" s="218"/>
      <c r="BY164" s="218"/>
      <c r="BZ164" s="218"/>
      <c r="CA164" s="218"/>
      <c r="CB164" s="245">
        <f t="shared" si="289"/>
        <v>0</v>
      </c>
      <c r="CC164" s="249"/>
      <c r="CD164" s="224"/>
      <c r="CE164" s="218"/>
      <c r="CF164" s="218"/>
      <c r="CG164" s="218"/>
      <c r="CH164" s="218"/>
      <c r="CI164" s="218"/>
      <c r="CJ164" s="245">
        <f t="shared" si="275"/>
        <v>0</v>
      </c>
      <c r="CK164" s="249"/>
      <c r="CL164" s="224"/>
      <c r="CM164" s="218"/>
      <c r="CN164" s="218"/>
      <c r="CO164" s="218"/>
      <c r="CP164" s="218"/>
      <c r="CQ164" s="218"/>
      <c r="CR164" s="245">
        <f t="shared" si="276"/>
        <v>0</v>
      </c>
      <c r="CS164" s="246"/>
      <c r="CT164" s="224"/>
      <c r="CU164" s="218"/>
      <c r="CV164" s="218"/>
      <c r="CW164" s="218"/>
      <c r="CX164" s="218"/>
      <c r="CY164" s="218"/>
      <c r="CZ164" s="245">
        <f t="shared" si="277"/>
        <v>0</v>
      </c>
      <c r="DA164" s="218"/>
      <c r="DB164" s="224"/>
      <c r="DC164" s="218"/>
      <c r="DD164" s="218"/>
      <c r="DE164" s="218"/>
      <c r="DF164" s="218"/>
      <c r="DG164" s="218"/>
      <c r="DH164" s="218"/>
      <c r="DI164" s="218"/>
      <c r="DJ164" s="249"/>
      <c r="DK164" s="218"/>
      <c r="DL164" s="218"/>
      <c r="DM164" s="218"/>
      <c r="DN164" s="218"/>
      <c r="DO164" s="218"/>
      <c r="DP164" s="218"/>
      <c r="DQ164" s="227"/>
      <c r="DR164" s="224"/>
      <c r="DS164" s="218"/>
      <c r="DT164" s="218"/>
      <c r="DU164" s="218"/>
      <c r="DV164" s="218"/>
      <c r="DW164" s="218"/>
      <c r="DX164" s="218"/>
      <c r="DY164" s="218"/>
      <c r="DZ164" s="218"/>
      <c r="EA164" s="218"/>
      <c r="EB164" s="218"/>
      <c r="EC164" s="218"/>
      <c r="ED164" s="218"/>
      <c r="EE164" s="218"/>
      <c r="EF164" s="223">
        <f t="shared" ref="EF164:EJ164" si="300">AH164+AP164+AX164+BF164+BN164+BV164+CD164+CL164+CT164+DB164+DJ164+DR164+DZ164</f>
        <v>18</v>
      </c>
      <c r="EG164" s="223">
        <f t="shared" si="300"/>
        <v>18</v>
      </c>
      <c r="EH164" s="223">
        <f t="shared" si="300"/>
        <v>10</v>
      </c>
      <c r="EI164" s="223">
        <f t="shared" si="300"/>
        <v>18</v>
      </c>
      <c r="EJ164" s="223">
        <f t="shared" si="300"/>
        <v>18</v>
      </c>
      <c r="EK164" s="223">
        <f t="shared" si="279"/>
        <v>82</v>
      </c>
      <c r="EL164" s="218">
        <f t="shared" si="280"/>
        <v>2100</v>
      </c>
      <c r="EM164" s="218">
        <f t="shared" si="281"/>
        <v>131.25</v>
      </c>
      <c r="EN164" s="223">
        <f t="shared" si="282"/>
        <v>82</v>
      </c>
      <c r="EO164" s="226">
        <f t="shared" si="283"/>
        <v>49.25</v>
      </c>
      <c r="ER164" s="251"/>
      <c r="EU164" s="220"/>
    </row>
    <row r="165" s="200" customFormat="1" customHeight="1" spans="1:151 16352:16384">
      <c r="A165" s="499"/>
      <c r="B165" s="218">
        <v>31</v>
      </c>
      <c r="C165" s="219" t="s">
        <v>1119</v>
      </c>
      <c r="D165" s="220" t="s">
        <v>13</v>
      </c>
      <c r="E165" s="220" t="s">
        <v>405</v>
      </c>
      <c r="F165" s="220" t="s">
        <v>125</v>
      </c>
      <c r="G165" s="220" t="s">
        <v>161</v>
      </c>
      <c r="H165" s="221" t="s">
        <v>162</v>
      </c>
      <c r="I165" s="220">
        <v>657974</v>
      </c>
      <c r="J165" s="220" t="s">
        <v>163</v>
      </c>
      <c r="K165" s="221" t="s">
        <v>164</v>
      </c>
      <c r="L165" s="220">
        <v>683277</v>
      </c>
      <c r="N165" s="207"/>
      <c r="O165" s="207" t="s">
        <v>1120</v>
      </c>
      <c r="P165" s="200" t="s">
        <v>1121</v>
      </c>
      <c r="Q165" s="200" t="s">
        <v>408</v>
      </c>
      <c r="W165" s="207"/>
      <c r="X165" s="200" t="s">
        <v>1122</v>
      </c>
      <c r="Y165" s="207" t="s">
        <v>1123</v>
      </c>
      <c r="Z165" s="218"/>
      <c r="AA165" s="218">
        <v>200</v>
      </c>
      <c r="AB165" s="218">
        <f t="shared" si="297"/>
        <v>114</v>
      </c>
      <c r="AC165" s="218">
        <v>18</v>
      </c>
      <c r="AD165" s="218">
        <v>96</v>
      </c>
      <c r="AE165" s="218"/>
      <c r="AF165" s="364">
        <f t="shared" si="237"/>
        <v>570</v>
      </c>
      <c r="AG165" s="311">
        <v>46084</v>
      </c>
      <c r="AH165" s="312">
        <v>20</v>
      </c>
      <c r="AI165" s="312">
        <v>20</v>
      </c>
      <c r="AJ165" s="312">
        <v>20</v>
      </c>
      <c r="AK165" s="312">
        <v>20</v>
      </c>
      <c r="AL165" s="312">
        <v>20</v>
      </c>
      <c r="AM165" s="312">
        <f t="shared" si="290"/>
        <v>100</v>
      </c>
      <c r="AN165" s="245">
        <f t="shared" si="274"/>
        <v>2.80701754385965</v>
      </c>
      <c r="AO165" s="252">
        <v>46093</v>
      </c>
      <c r="AP165" s="253">
        <v>10</v>
      </c>
      <c r="AQ165" s="326">
        <v>25</v>
      </c>
      <c r="AR165" s="326">
        <v>25</v>
      </c>
      <c r="AS165" s="326">
        <v>25</v>
      </c>
      <c r="AT165" s="326">
        <v>25</v>
      </c>
      <c r="AU165" s="394">
        <f t="shared" si="287"/>
        <v>110</v>
      </c>
      <c r="AV165" s="316">
        <f t="shared" si="299"/>
        <v>3.08771929824561</v>
      </c>
      <c r="AW165" s="252">
        <v>46106</v>
      </c>
      <c r="AX165" s="253">
        <v>15</v>
      </c>
      <c r="AY165" s="326">
        <v>25</v>
      </c>
      <c r="AZ165" s="325">
        <v>25</v>
      </c>
      <c r="BA165" s="326">
        <v>25</v>
      </c>
      <c r="BB165" s="326">
        <v>25</v>
      </c>
      <c r="BC165" s="312">
        <f t="shared" si="292"/>
        <v>115</v>
      </c>
      <c r="BD165" s="316">
        <f t="shared" si="293"/>
        <v>3.2280701754386</v>
      </c>
      <c r="BE165" s="260">
        <f t="shared" ref="BE165:BE167" si="301">AW165+BD165*7</f>
        <v>46128.5964912281</v>
      </c>
      <c r="BF165" s="253">
        <v>15</v>
      </c>
      <c r="BG165" s="254">
        <v>25</v>
      </c>
      <c r="BH165" s="254">
        <v>20</v>
      </c>
      <c r="BI165" s="254">
        <v>20</v>
      </c>
      <c r="BJ165" s="254">
        <v>20</v>
      </c>
      <c r="BK165" s="244">
        <f t="shared" si="272"/>
        <v>100</v>
      </c>
      <c r="BL165" s="248">
        <f t="shared" si="239"/>
        <v>2.80701754385965</v>
      </c>
      <c r="BM165" s="246">
        <f t="shared" ref="BM165:BM170" si="302">BE165+BL165*7</f>
        <v>46148.2456140351</v>
      </c>
      <c r="BN165" s="224"/>
      <c r="BO165" s="218"/>
      <c r="BP165" s="218"/>
      <c r="BQ165" s="218"/>
      <c r="BR165" s="218"/>
      <c r="BS165" s="250"/>
      <c r="BT165" s="245">
        <f t="shared" si="288"/>
        <v>0</v>
      </c>
      <c r="BU165" s="249"/>
      <c r="BV165" s="224"/>
      <c r="BW165" s="218"/>
      <c r="BX165" s="218"/>
      <c r="BY165" s="218"/>
      <c r="BZ165" s="218"/>
      <c r="CA165" s="218"/>
      <c r="CB165" s="245">
        <f t="shared" si="289"/>
        <v>0</v>
      </c>
      <c r="CC165" s="249"/>
      <c r="CD165" s="224"/>
      <c r="CE165" s="218"/>
      <c r="CF165" s="218"/>
      <c r="CG165" s="218"/>
      <c r="CH165" s="218"/>
      <c r="CI165" s="218"/>
      <c r="CJ165" s="245">
        <f t="shared" si="275"/>
        <v>0</v>
      </c>
      <c r="CK165" s="246"/>
      <c r="CL165" s="472"/>
      <c r="CM165" s="242"/>
      <c r="CN165" s="242"/>
      <c r="CO165" s="242"/>
      <c r="CP165" s="242"/>
      <c r="CQ165" s="242"/>
      <c r="CR165" s="473">
        <f t="shared" si="276"/>
        <v>0</v>
      </c>
      <c r="CS165" s="249"/>
      <c r="CT165" s="224"/>
      <c r="CU165" s="218"/>
      <c r="CV165" s="218"/>
      <c r="CW165" s="218"/>
      <c r="CX165" s="218"/>
      <c r="CY165" s="218"/>
      <c r="CZ165" s="245">
        <f t="shared" si="277"/>
        <v>0</v>
      </c>
      <c r="DA165" s="218"/>
      <c r="DB165" s="224"/>
      <c r="DC165" s="218"/>
      <c r="DD165" s="218"/>
      <c r="DE165" s="218"/>
      <c r="DF165" s="218"/>
      <c r="DG165" s="218"/>
      <c r="DH165" s="218"/>
      <c r="DI165" s="218"/>
      <c r="DJ165" s="218"/>
      <c r="DK165" s="218"/>
      <c r="DL165" s="218"/>
      <c r="DM165" s="218"/>
      <c r="DN165" s="218"/>
      <c r="DO165" s="218"/>
      <c r="DP165" s="218"/>
      <c r="DQ165" s="227"/>
      <c r="DR165" s="224"/>
      <c r="DS165" s="218"/>
      <c r="DT165" s="218"/>
      <c r="DU165" s="218"/>
      <c r="DV165" s="218"/>
      <c r="DW165" s="218"/>
      <c r="DX165" s="218"/>
      <c r="DY165" s="218"/>
      <c r="DZ165" s="218"/>
      <c r="EA165" s="218"/>
      <c r="EB165" s="218"/>
      <c r="EC165" s="218"/>
      <c r="ED165" s="218"/>
      <c r="EE165" s="218"/>
      <c r="EF165" s="223">
        <f t="shared" ref="EF165:EJ165" si="303">AH165+AP165+AX165+BF165+BN165+BV165+CD165+CL165+CT165+DB165+DJ165+DR165+DZ165</f>
        <v>60</v>
      </c>
      <c r="EG165" s="223">
        <f t="shared" si="303"/>
        <v>95</v>
      </c>
      <c r="EH165" s="223">
        <f t="shared" si="303"/>
        <v>90</v>
      </c>
      <c r="EI165" s="223">
        <f t="shared" si="303"/>
        <v>90</v>
      </c>
      <c r="EJ165" s="223">
        <f t="shared" si="303"/>
        <v>90</v>
      </c>
      <c r="EK165" s="223">
        <f t="shared" si="279"/>
        <v>425</v>
      </c>
      <c r="EL165" s="218">
        <f t="shared" si="280"/>
        <v>11400</v>
      </c>
      <c r="EM165" s="218">
        <f t="shared" si="281"/>
        <v>712.5</v>
      </c>
      <c r="EN165" s="223">
        <f t="shared" si="282"/>
        <v>425</v>
      </c>
      <c r="EO165" s="226">
        <f t="shared" si="283"/>
        <v>287.5</v>
      </c>
      <c r="ER165" s="251"/>
      <c r="EU165" s="220"/>
    </row>
    <row r="166" s="200" customFormat="1" customHeight="1" spans="1:151 16352:16384">
      <c r="A166" s="499"/>
      <c r="B166" s="218">
        <v>32</v>
      </c>
      <c r="C166" s="219" t="s">
        <v>1124</v>
      </c>
      <c r="D166" s="220" t="s">
        <v>13</v>
      </c>
      <c r="E166" s="220" t="s">
        <v>405</v>
      </c>
      <c r="F166" s="220" t="s">
        <v>106</v>
      </c>
      <c r="I166" s="239"/>
      <c r="J166" s="220" t="s">
        <v>1125</v>
      </c>
      <c r="K166" s="239">
        <v>14716160455</v>
      </c>
      <c r="N166" s="207"/>
      <c r="O166" s="207"/>
      <c r="P166" s="200"/>
      <c r="Q166" s="200" t="s">
        <v>408</v>
      </c>
      <c r="V166" s="200" t="s">
        <v>1126</v>
      </c>
      <c r="W166" s="239">
        <v>14716160455</v>
      </c>
      <c r="Y166" s="207"/>
      <c r="Z166" s="218"/>
      <c r="AA166" s="218">
        <v>125</v>
      </c>
      <c r="AB166" s="218">
        <v>7</v>
      </c>
      <c r="AC166" s="218">
        <v>2</v>
      </c>
      <c r="AD166" s="218">
        <v>5</v>
      </c>
      <c r="AE166" s="218"/>
      <c r="AF166" s="364">
        <f t="shared" si="237"/>
        <v>35</v>
      </c>
      <c r="AG166" s="311">
        <v>46084</v>
      </c>
      <c r="AH166" s="312">
        <v>1</v>
      </c>
      <c r="AI166" s="312">
        <v>1</v>
      </c>
      <c r="AJ166" s="312">
        <v>1</v>
      </c>
      <c r="AK166" s="312">
        <v>1</v>
      </c>
      <c r="AL166" s="312"/>
      <c r="AM166" s="312">
        <f t="shared" si="290"/>
        <v>4</v>
      </c>
      <c r="AN166" s="245">
        <f t="shared" si="274"/>
        <v>1.82857142857143</v>
      </c>
      <c r="AO166" s="252">
        <v>46091</v>
      </c>
      <c r="AP166" s="327">
        <v>3</v>
      </c>
      <c r="AQ166" s="254">
        <v>1</v>
      </c>
      <c r="AR166" s="254">
        <v>1</v>
      </c>
      <c r="AS166" s="254">
        <v>1</v>
      </c>
      <c r="AT166" s="254"/>
      <c r="AU166" s="394">
        <f t="shared" si="287"/>
        <v>6</v>
      </c>
      <c r="AV166" s="316">
        <f t="shared" si="299"/>
        <v>2.74285714285714</v>
      </c>
      <c r="AW166" s="252">
        <v>46105</v>
      </c>
      <c r="AX166" s="253">
        <v>8</v>
      </c>
      <c r="AY166" s="326">
        <v>10</v>
      </c>
      <c r="AZ166" s="326">
        <v>10</v>
      </c>
      <c r="BA166" s="326">
        <v>10</v>
      </c>
      <c r="BB166" s="326"/>
      <c r="BC166" s="394">
        <f>SUM(AX166:BB166)</f>
        <v>38</v>
      </c>
      <c r="BD166" s="316">
        <f t="shared" si="293"/>
        <v>17.3714285714286</v>
      </c>
      <c r="BE166" s="246">
        <f t="shared" si="301"/>
        <v>46226.6</v>
      </c>
      <c r="BF166" s="224"/>
      <c r="BG166" s="218"/>
      <c r="BH166" s="218"/>
      <c r="BI166" s="218"/>
      <c r="BJ166" s="218"/>
      <c r="BK166" s="247">
        <f t="shared" si="272"/>
        <v>0</v>
      </c>
      <c r="BL166" s="248">
        <f t="shared" si="239"/>
        <v>0</v>
      </c>
      <c r="BM166" s="227"/>
      <c r="BN166" s="224"/>
      <c r="BO166" s="218"/>
      <c r="BP166" s="218"/>
      <c r="BQ166" s="218"/>
      <c r="BR166" s="218"/>
      <c r="BS166" s="250"/>
      <c r="BT166" s="245">
        <f t="shared" si="288"/>
        <v>0</v>
      </c>
      <c r="BU166" s="246"/>
      <c r="BV166" s="472"/>
      <c r="BW166" s="242"/>
      <c r="BX166" s="242"/>
      <c r="BY166" s="242"/>
      <c r="BZ166" s="242"/>
      <c r="CA166" s="242"/>
      <c r="CB166" s="473">
        <f t="shared" si="289"/>
        <v>0</v>
      </c>
      <c r="CC166" s="242"/>
      <c r="CD166" s="472"/>
      <c r="CE166" s="242"/>
      <c r="CF166" s="242"/>
      <c r="CG166" s="242"/>
      <c r="CH166" s="242"/>
      <c r="CI166" s="242"/>
      <c r="CJ166" s="473">
        <f t="shared" si="275"/>
        <v>0</v>
      </c>
      <c r="CK166" s="218"/>
      <c r="CL166" s="224"/>
      <c r="CM166" s="218"/>
      <c r="CN166" s="218"/>
      <c r="CO166" s="218"/>
      <c r="CP166" s="218"/>
      <c r="CQ166" s="218"/>
      <c r="CR166" s="245">
        <f t="shared" si="276"/>
        <v>0</v>
      </c>
      <c r="CS166" s="218"/>
      <c r="CT166" s="224"/>
      <c r="CU166" s="218"/>
      <c r="CV166" s="218"/>
      <c r="CW166" s="218"/>
      <c r="CX166" s="218"/>
      <c r="CY166" s="218"/>
      <c r="CZ166" s="245">
        <f t="shared" si="277"/>
        <v>0</v>
      </c>
      <c r="DA166" s="218"/>
      <c r="DB166" s="224"/>
      <c r="DC166" s="218"/>
      <c r="DD166" s="218"/>
      <c r="DE166" s="218"/>
      <c r="DF166" s="218"/>
      <c r="DG166" s="218"/>
      <c r="DH166" s="218"/>
      <c r="DI166" s="218"/>
      <c r="DJ166" s="218"/>
      <c r="DK166" s="218"/>
      <c r="DL166" s="218"/>
      <c r="DM166" s="218"/>
      <c r="DN166" s="218"/>
      <c r="DO166" s="218"/>
      <c r="DP166" s="218"/>
      <c r="DQ166" s="227"/>
      <c r="DR166" s="224"/>
      <c r="DS166" s="218"/>
      <c r="DT166" s="218"/>
      <c r="DU166" s="218"/>
      <c r="DV166" s="218"/>
      <c r="DW166" s="218"/>
      <c r="DX166" s="218"/>
      <c r="DY166" s="218"/>
      <c r="DZ166" s="218"/>
      <c r="EA166" s="218"/>
      <c r="EB166" s="218"/>
      <c r="EC166" s="218"/>
      <c r="ED166" s="218"/>
      <c r="EE166" s="218"/>
      <c r="EF166" s="223" t="e">
        <f>AH166+AP166+#REF!+BF166+BN166+BV166+CD166+CL166+CT166+DB166+DJ166+DR166+DZ166</f>
        <v>#REF!</v>
      </c>
      <c r="EG166" s="223" t="e">
        <f>AI166+AQ166+#REF!+BG166+BO166+BW166+CE166+CM166+CU166+DC166+DK166+DS166+EA166</f>
        <v>#REF!</v>
      </c>
      <c r="EH166" s="223" t="e">
        <f>AJ166+AR166+#REF!+BH166+BP166+BX166+CF166+CN166+CV166+DD166+DL166+DT166+EB166</f>
        <v>#REF!</v>
      </c>
      <c r="EI166" s="223" t="e">
        <f>AK166+AS166+#REF!+BI166+BQ166+BY166+CG166+CO166+CW166+DE166+DM166+DU166+EC166</f>
        <v>#REF!</v>
      </c>
      <c r="EJ166" s="223" t="e">
        <f>AL166+AT166+#REF!+BJ166+BR166+BZ166+CH166+CP166+CX166+DF166+DN166+DV166+ED166</f>
        <v>#REF!</v>
      </c>
      <c r="EK166" s="223" t="e">
        <f t="shared" si="279"/>
        <v>#REF!</v>
      </c>
      <c r="EL166" s="218">
        <f t="shared" si="280"/>
        <v>700</v>
      </c>
      <c r="EM166" s="218">
        <f t="shared" si="281"/>
        <v>43.75</v>
      </c>
      <c r="EN166" s="223" t="e">
        <f t="shared" si="282"/>
        <v>#REF!</v>
      </c>
      <c r="EO166" s="226" t="e">
        <f t="shared" si="283"/>
        <v>#REF!</v>
      </c>
      <c r="ER166" s="251"/>
      <c r="EU166" s="220"/>
    </row>
    <row r="167" s="200" customFormat="1" customHeight="1" spans="1:151 16352:16384">
      <c r="A167" s="499"/>
      <c r="B167" s="218">
        <v>33</v>
      </c>
      <c r="C167" s="429" t="s">
        <v>1127</v>
      </c>
      <c r="D167" s="220"/>
      <c r="E167" s="220"/>
      <c r="F167" s="220" t="s">
        <v>106</v>
      </c>
      <c r="G167" s="220"/>
      <c r="H167" s="239"/>
      <c r="I167" s="239"/>
      <c r="J167" s="200" t="s">
        <v>1128</v>
      </c>
      <c r="K167" s="200">
        <v>13380715180</v>
      </c>
      <c r="N167" s="207"/>
      <c r="O167" s="207"/>
      <c r="V167" s="200" t="s">
        <v>1128</v>
      </c>
      <c r="W167" s="207" t="s">
        <v>1129</v>
      </c>
      <c r="Y167" s="207"/>
      <c r="Z167" s="218"/>
      <c r="AA167" s="218">
        <v>125</v>
      </c>
      <c r="AB167" s="218">
        <f t="shared" si="297"/>
        <v>28</v>
      </c>
      <c r="AC167" s="218">
        <v>7</v>
      </c>
      <c r="AD167" s="218">
        <v>21</v>
      </c>
      <c r="AE167" s="218"/>
      <c r="AF167" s="364">
        <f t="shared" si="237"/>
        <v>140</v>
      </c>
      <c r="AG167" s="311">
        <v>46084</v>
      </c>
      <c r="AH167" s="312">
        <v>5</v>
      </c>
      <c r="AI167" s="312">
        <v>5</v>
      </c>
      <c r="AJ167" s="312">
        <v>5</v>
      </c>
      <c r="AK167" s="312">
        <v>5</v>
      </c>
      <c r="AL167" s="312"/>
      <c r="AM167" s="312">
        <f t="shared" si="290"/>
        <v>20</v>
      </c>
      <c r="AN167" s="245">
        <f t="shared" si="274"/>
        <v>2.28571428571429</v>
      </c>
      <c r="AO167" s="392">
        <v>46100</v>
      </c>
      <c r="AP167" s="327">
        <v>8</v>
      </c>
      <c r="AQ167" s="327">
        <v>8</v>
      </c>
      <c r="AR167" s="327">
        <v>5</v>
      </c>
      <c r="AS167" s="327">
        <v>5</v>
      </c>
      <c r="AT167" s="327"/>
      <c r="AU167" s="394">
        <f t="shared" si="287"/>
        <v>26</v>
      </c>
      <c r="AV167" s="316">
        <f>BC166*16/AF167</f>
        <v>4.34285714285714</v>
      </c>
      <c r="AW167" s="392">
        <v>46107</v>
      </c>
      <c r="AX167" s="327">
        <v>12</v>
      </c>
      <c r="AY167" s="327">
        <v>0</v>
      </c>
      <c r="AZ167" s="327">
        <v>14</v>
      </c>
      <c r="BA167" s="327">
        <v>12</v>
      </c>
      <c r="BB167" s="327"/>
      <c r="BC167" s="394">
        <f>SUM(AX167:BB167)</f>
        <v>38</v>
      </c>
      <c r="BD167" s="316">
        <f t="shared" si="293"/>
        <v>4.34285714285714</v>
      </c>
      <c r="BE167" s="246">
        <f t="shared" si="301"/>
        <v>46137.4</v>
      </c>
      <c r="BF167" s="224"/>
      <c r="BG167" s="218"/>
      <c r="BH167" s="218"/>
      <c r="BI167" s="218"/>
      <c r="BJ167" s="218"/>
      <c r="BK167" s="247">
        <f t="shared" si="272"/>
        <v>0</v>
      </c>
      <c r="BL167" s="248">
        <f t="shared" si="239"/>
        <v>0</v>
      </c>
      <c r="BM167" s="246">
        <f t="shared" si="302"/>
        <v>46137.4</v>
      </c>
      <c r="BN167" s="224"/>
      <c r="BO167" s="218"/>
      <c r="BP167" s="218"/>
      <c r="BQ167" s="218"/>
      <c r="BR167" s="218"/>
      <c r="BS167" s="250"/>
      <c r="BT167" s="473">
        <f t="shared" si="288"/>
        <v>0</v>
      </c>
      <c r="BU167" s="249"/>
      <c r="BV167" s="224"/>
      <c r="BW167" s="218"/>
      <c r="BX167" s="218"/>
      <c r="BY167" s="218"/>
      <c r="BZ167" s="218"/>
      <c r="CA167" s="218"/>
      <c r="CB167" s="473">
        <f t="shared" si="289"/>
        <v>0</v>
      </c>
      <c r="CC167" s="246"/>
      <c r="CD167" s="472"/>
      <c r="CE167" s="242"/>
      <c r="CF167" s="242"/>
      <c r="CG167" s="242"/>
      <c r="CH167" s="242"/>
      <c r="CI167" s="242"/>
      <c r="CJ167" s="473">
        <f t="shared" si="275"/>
        <v>0</v>
      </c>
      <c r="CK167" s="218"/>
      <c r="CL167" s="224"/>
      <c r="CM167" s="218"/>
      <c r="CN167" s="218"/>
      <c r="CO167" s="218"/>
      <c r="CP167" s="218"/>
      <c r="CQ167" s="218"/>
      <c r="CR167" s="245">
        <f t="shared" si="276"/>
        <v>0</v>
      </c>
      <c r="CS167" s="218"/>
      <c r="CT167" s="224"/>
      <c r="CU167" s="218"/>
      <c r="CV167" s="218"/>
      <c r="CW167" s="218"/>
      <c r="CX167" s="218"/>
      <c r="CY167" s="218"/>
      <c r="CZ167" s="245">
        <f t="shared" si="277"/>
        <v>0</v>
      </c>
      <c r="DA167" s="218"/>
      <c r="DB167" s="224"/>
      <c r="DC167" s="218"/>
      <c r="DD167" s="218"/>
      <c r="DE167" s="218"/>
      <c r="DF167" s="218"/>
      <c r="DG167" s="218"/>
      <c r="DH167" s="218"/>
      <c r="DI167" s="218"/>
      <c r="DJ167" s="218"/>
      <c r="DK167" s="218"/>
      <c r="DL167" s="218"/>
      <c r="DM167" s="218"/>
      <c r="DN167" s="218"/>
      <c r="DO167" s="218"/>
      <c r="DP167" s="218"/>
      <c r="DQ167" s="227"/>
      <c r="DR167" s="224"/>
      <c r="DS167" s="218"/>
      <c r="DT167" s="218"/>
      <c r="DU167" s="218"/>
      <c r="DV167" s="218"/>
      <c r="DW167" s="218"/>
      <c r="DX167" s="218"/>
      <c r="DY167" s="218"/>
      <c r="DZ167" s="218"/>
      <c r="EA167" s="218"/>
      <c r="EB167" s="218"/>
      <c r="EC167" s="218"/>
      <c r="ED167" s="218"/>
      <c r="EE167" s="218"/>
      <c r="EF167" s="223" t="e">
        <f>AH167+AX166+#REF!+BF167+BN167+BV167+CD167+CL167+CT167+DB167+DJ167+DR167+DZ167</f>
        <v>#REF!</v>
      </c>
      <c r="EG167" s="223" t="e">
        <f>AI167+AY166+#REF!+BG167+BO167+BW167+CE167+CM167+CU167+DC167+DK167+DS167+EA167</f>
        <v>#REF!</v>
      </c>
      <c r="EH167" s="223" t="e">
        <f>AJ167+AZ166+#REF!+BH167+BP167+BX167+CF167+CN167+CV167+DD167+DL167+DT167+EB167</f>
        <v>#REF!</v>
      </c>
      <c r="EI167" s="223" t="e">
        <f>AK167+BA166+#REF!+BI167+BQ167+BY167+CG167+CO167+CW167+DE167+DM167+DU167+EC167</f>
        <v>#REF!</v>
      </c>
      <c r="EJ167" s="223" t="e">
        <f>AL167+BB166+#REF!+BJ167+BR167+BZ167+CH167+CP167+CX167+DF167+DN167+DV167+ED167</f>
        <v>#REF!</v>
      </c>
      <c r="EK167" s="223" t="e">
        <f t="shared" si="279"/>
        <v>#REF!</v>
      </c>
      <c r="EL167" s="218">
        <f t="shared" si="280"/>
        <v>2800</v>
      </c>
      <c r="EM167" s="218">
        <f t="shared" si="281"/>
        <v>175</v>
      </c>
      <c r="EN167" s="223" t="e">
        <f t="shared" si="282"/>
        <v>#REF!</v>
      </c>
      <c r="EO167" s="226" t="e">
        <f t="shared" si="283"/>
        <v>#REF!</v>
      </c>
      <c r="ER167" s="251"/>
      <c r="EU167" s="220"/>
    </row>
    <row r="168" s="200" customFormat="1" customHeight="1" spans="1:151 16352:16384">
      <c r="A168" s="499"/>
      <c r="B168" s="218">
        <v>34</v>
      </c>
      <c r="C168" s="218" t="s">
        <v>1130</v>
      </c>
      <c r="D168" s="220" t="s">
        <v>13</v>
      </c>
      <c r="E168" s="220" t="s">
        <v>405</v>
      </c>
      <c r="F168" s="220" t="s">
        <v>125</v>
      </c>
      <c r="G168" s="220"/>
      <c r="H168" s="239"/>
      <c r="I168" s="239"/>
      <c r="J168" s="200" t="s">
        <v>1131</v>
      </c>
      <c r="K168" s="200">
        <v>13553912809</v>
      </c>
      <c r="N168" s="207"/>
      <c r="O168" s="207"/>
      <c r="P168" s="200" t="s">
        <v>1132</v>
      </c>
      <c r="Q168" s="200" t="s">
        <v>408</v>
      </c>
      <c r="V168" s="200" t="s">
        <v>1133</v>
      </c>
      <c r="W168" s="207" t="s">
        <v>1134</v>
      </c>
      <c r="X168" s="200" t="s">
        <v>1133</v>
      </c>
      <c r="Y168" s="207" t="s">
        <v>1134</v>
      </c>
      <c r="Z168" s="218"/>
      <c r="AA168" s="218">
        <v>200</v>
      </c>
      <c r="AB168" s="218">
        <f t="shared" si="297"/>
        <v>8</v>
      </c>
      <c r="AC168" s="218">
        <v>1</v>
      </c>
      <c r="AD168" s="218">
        <v>7</v>
      </c>
      <c r="AE168" s="218"/>
      <c r="AF168" s="364">
        <f t="shared" si="237"/>
        <v>40</v>
      </c>
      <c r="AG168" s="311">
        <v>46084</v>
      </c>
      <c r="AH168" s="312">
        <v>6</v>
      </c>
      <c r="AI168" s="312">
        <v>6</v>
      </c>
      <c r="AJ168" s="312">
        <v>6</v>
      </c>
      <c r="AK168" s="312">
        <v>6</v>
      </c>
      <c r="AL168" s="312">
        <v>6</v>
      </c>
      <c r="AM168" s="312">
        <f t="shared" si="290"/>
        <v>30</v>
      </c>
      <c r="AN168" s="245">
        <f t="shared" si="274"/>
        <v>12</v>
      </c>
      <c r="AO168" s="246">
        <f>AG168+AN168*7</f>
        <v>46168</v>
      </c>
      <c r="AP168" s="224"/>
      <c r="AQ168" s="218"/>
      <c r="AR168" s="218"/>
      <c r="AS168" s="218"/>
      <c r="AT168" s="218"/>
      <c r="AU168" s="349">
        <f t="shared" si="287"/>
        <v>0</v>
      </c>
      <c r="AV168" s="316">
        <f t="shared" si="299"/>
        <v>0</v>
      </c>
      <c r="AW168" s="246">
        <f t="shared" ref="AW168:AW172" si="304">AO168+AV168*7</f>
        <v>46168</v>
      </c>
      <c r="AX168" s="224"/>
      <c r="AY168" s="218"/>
      <c r="AZ168" s="224"/>
      <c r="BA168" s="218"/>
      <c r="BB168" s="218"/>
      <c r="BC168" s="315">
        <f t="shared" si="292"/>
        <v>0</v>
      </c>
      <c r="BD168" s="316">
        <f t="shared" si="293"/>
        <v>0</v>
      </c>
      <c r="BE168" s="249"/>
      <c r="BF168" s="224"/>
      <c r="BG168" s="218"/>
      <c r="BH168" s="218"/>
      <c r="BI168" s="218"/>
      <c r="BJ168" s="218"/>
      <c r="BK168" s="247">
        <f t="shared" si="272"/>
        <v>0</v>
      </c>
      <c r="BL168" s="248">
        <f t="shared" si="239"/>
        <v>0</v>
      </c>
      <c r="BM168" s="227"/>
      <c r="BN168" s="224"/>
      <c r="BO168" s="218"/>
      <c r="BP168" s="218"/>
      <c r="BQ168" s="218"/>
      <c r="BR168" s="218"/>
      <c r="BS168" s="250"/>
      <c r="BT168" s="245">
        <f t="shared" si="288"/>
        <v>0</v>
      </c>
      <c r="BU168" s="249"/>
      <c r="BV168" s="224"/>
      <c r="BW168" s="218"/>
      <c r="BX168" s="218"/>
      <c r="BY168" s="218"/>
      <c r="BZ168" s="218"/>
      <c r="CA168" s="218"/>
      <c r="CB168" s="245">
        <f t="shared" si="289"/>
        <v>0</v>
      </c>
      <c r="CC168" s="249"/>
      <c r="CD168" s="224"/>
      <c r="CE168" s="218"/>
      <c r="CF168" s="218"/>
      <c r="CG168" s="218"/>
      <c r="CH168" s="218"/>
      <c r="CI168" s="218"/>
      <c r="CJ168" s="245">
        <f t="shared" si="275"/>
        <v>0</v>
      </c>
      <c r="CK168" s="246"/>
      <c r="CL168" s="224"/>
      <c r="CM168" s="218"/>
      <c r="CN168" s="218"/>
      <c r="CO168" s="218"/>
      <c r="CP168" s="218"/>
      <c r="CQ168" s="218"/>
      <c r="CR168" s="245">
        <f t="shared" si="276"/>
        <v>0</v>
      </c>
      <c r="CS168" s="218"/>
      <c r="CT168" s="224"/>
      <c r="CU168" s="218"/>
      <c r="CV168" s="218"/>
      <c r="CW168" s="218"/>
      <c r="CX168" s="218"/>
      <c r="CY168" s="218"/>
      <c r="CZ168" s="245">
        <f t="shared" si="277"/>
        <v>0</v>
      </c>
      <c r="DA168" s="218"/>
      <c r="DB168" s="224"/>
      <c r="DC168" s="218"/>
      <c r="DD168" s="218"/>
      <c r="DE168" s="218"/>
      <c r="DF168" s="218"/>
      <c r="DG168" s="218"/>
      <c r="DH168" s="218"/>
      <c r="DI168" s="218"/>
      <c r="DJ168" s="218"/>
      <c r="DK168" s="218"/>
      <c r="DL168" s="218"/>
      <c r="DM168" s="218"/>
      <c r="DN168" s="218"/>
      <c r="DO168" s="218"/>
      <c r="DP168" s="218"/>
      <c r="DQ168" s="227"/>
      <c r="DR168" s="224"/>
      <c r="DS168" s="218"/>
      <c r="DT168" s="218"/>
      <c r="DU168" s="218"/>
      <c r="DV168" s="218"/>
      <c r="DW168" s="218"/>
      <c r="DX168" s="218"/>
      <c r="DY168" s="218"/>
      <c r="DZ168" s="218"/>
      <c r="EA168" s="218"/>
      <c r="EB168" s="218"/>
      <c r="EC168" s="218"/>
      <c r="ED168" s="218"/>
      <c r="EE168" s="218"/>
      <c r="EF168" s="223">
        <f t="shared" ref="EF168:EJ168" si="305">AH168+AP168+AX168+BF168+BN168+BV168+CD168+CL168+CT168+DB168+DJ168+DR168+DZ168</f>
        <v>6</v>
      </c>
      <c r="EG168" s="223">
        <f t="shared" si="305"/>
        <v>6</v>
      </c>
      <c r="EH168" s="223">
        <f t="shared" si="305"/>
        <v>6</v>
      </c>
      <c r="EI168" s="223">
        <f t="shared" si="305"/>
        <v>6</v>
      </c>
      <c r="EJ168" s="223">
        <f t="shared" si="305"/>
        <v>6</v>
      </c>
      <c r="EK168" s="223">
        <f t="shared" si="279"/>
        <v>30</v>
      </c>
      <c r="EL168" s="218">
        <f t="shared" si="280"/>
        <v>800</v>
      </c>
      <c r="EM168" s="218">
        <f t="shared" si="281"/>
        <v>50</v>
      </c>
      <c r="EN168" s="223">
        <f t="shared" si="282"/>
        <v>30</v>
      </c>
      <c r="EO168" s="226">
        <f t="shared" si="283"/>
        <v>20</v>
      </c>
      <c r="ER168" s="251"/>
      <c r="EU168" s="220"/>
    </row>
    <row r="169" s="200" customFormat="1" ht="18" customHeight="1" spans="1:151 16352:16384">
      <c r="A169" s="499"/>
      <c r="B169" s="218">
        <v>35</v>
      </c>
      <c r="C169" s="218" t="s">
        <v>1135</v>
      </c>
      <c r="D169" s="220" t="s">
        <v>492</v>
      </c>
      <c r="E169" s="220" t="s">
        <v>405</v>
      </c>
      <c r="F169" s="220" t="s">
        <v>106</v>
      </c>
      <c r="G169" s="220"/>
      <c r="H169" s="239"/>
      <c r="I169" s="239"/>
      <c r="J169" s="200" t="s">
        <v>1136</v>
      </c>
      <c r="K169" s="207">
        <v>13728660886</v>
      </c>
      <c r="N169" s="207"/>
      <c r="O169" s="207"/>
      <c r="P169" s="200" t="s">
        <v>1137</v>
      </c>
      <c r="Q169" s="200" t="s">
        <v>408</v>
      </c>
      <c r="V169" s="200" t="s">
        <v>1136</v>
      </c>
      <c r="W169" s="207" t="s">
        <v>1138</v>
      </c>
      <c r="Y169" s="207"/>
      <c r="Z169" s="218"/>
      <c r="AA169" s="218">
        <v>125</v>
      </c>
      <c r="AB169" s="218">
        <v>10</v>
      </c>
      <c r="AC169" s="218">
        <v>5</v>
      </c>
      <c r="AD169" s="218">
        <v>4</v>
      </c>
      <c r="AE169" s="218"/>
      <c r="AF169" s="364">
        <f t="shared" si="237"/>
        <v>50</v>
      </c>
      <c r="AG169" s="311">
        <v>46084</v>
      </c>
      <c r="AH169" s="312">
        <v>3</v>
      </c>
      <c r="AI169" s="312">
        <v>3</v>
      </c>
      <c r="AJ169" s="312">
        <v>3</v>
      </c>
      <c r="AK169" s="312">
        <v>3</v>
      </c>
      <c r="AL169" s="312"/>
      <c r="AM169" s="312">
        <f t="shared" si="290"/>
        <v>12</v>
      </c>
      <c r="AN169" s="245">
        <f t="shared" si="274"/>
        <v>3.84</v>
      </c>
      <c r="AO169" s="252">
        <v>46099</v>
      </c>
      <c r="AP169" s="253">
        <v>8</v>
      </c>
      <c r="AQ169" s="254">
        <v>3</v>
      </c>
      <c r="AR169" s="254">
        <v>3</v>
      </c>
      <c r="AS169" s="254">
        <v>3</v>
      </c>
      <c r="AT169" s="254"/>
      <c r="AU169" s="394">
        <f t="shared" si="287"/>
        <v>17</v>
      </c>
      <c r="AV169" s="316">
        <f t="shared" si="299"/>
        <v>5.44</v>
      </c>
      <c r="AW169" s="271">
        <v>46127</v>
      </c>
      <c r="AX169" s="253">
        <v>10</v>
      </c>
      <c r="AY169" s="254">
        <v>1</v>
      </c>
      <c r="AZ169" s="253">
        <v>0</v>
      </c>
      <c r="BA169" s="254">
        <v>3</v>
      </c>
      <c r="BB169" s="254"/>
      <c r="BC169" s="244">
        <f t="shared" si="292"/>
        <v>14</v>
      </c>
      <c r="BD169" s="316">
        <f t="shared" si="293"/>
        <v>4.48</v>
      </c>
      <c r="BE169" s="246">
        <f>AW169+BD169*7</f>
        <v>46158.36</v>
      </c>
      <c r="BF169" s="224"/>
      <c r="BG169" s="218"/>
      <c r="BH169" s="218"/>
      <c r="BI169" s="218"/>
      <c r="BJ169" s="218"/>
      <c r="BK169" s="247">
        <f t="shared" si="272"/>
        <v>0</v>
      </c>
      <c r="BL169" s="248">
        <f t="shared" si="239"/>
        <v>0</v>
      </c>
      <c r="BM169" s="227"/>
      <c r="BN169" s="224"/>
      <c r="BO169" s="218"/>
      <c r="BP169" s="218"/>
      <c r="BQ169" s="218"/>
      <c r="BR169" s="218"/>
      <c r="BS169" s="250"/>
      <c r="BT169" s="245">
        <f t="shared" si="288"/>
        <v>0</v>
      </c>
      <c r="BU169" s="249"/>
      <c r="BV169" s="224"/>
      <c r="BW169" s="218"/>
      <c r="BX169" s="218"/>
      <c r="BY169" s="218"/>
      <c r="BZ169" s="218"/>
      <c r="CA169" s="218"/>
      <c r="CB169" s="245">
        <f t="shared" si="289"/>
        <v>0</v>
      </c>
      <c r="CC169" s="249"/>
      <c r="CD169" s="224"/>
      <c r="CE169" s="218"/>
      <c r="CF169" s="218"/>
      <c r="CG169" s="218"/>
      <c r="CH169" s="218"/>
      <c r="CI169" s="218"/>
      <c r="CJ169" s="473">
        <f t="shared" si="275"/>
        <v>0</v>
      </c>
      <c r="CK169" s="249"/>
      <c r="CL169" s="224"/>
      <c r="CM169" s="218"/>
      <c r="CN169" s="218"/>
      <c r="CO169" s="218"/>
      <c r="CP169" s="218"/>
      <c r="CQ169" s="218"/>
      <c r="CR169" s="245">
        <f t="shared" si="276"/>
        <v>0</v>
      </c>
      <c r="CS169" s="246"/>
      <c r="CT169" s="224"/>
      <c r="CU169" s="218"/>
      <c r="CV169" s="218"/>
      <c r="CW169" s="218"/>
      <c r="CX169" s="218"/>
      <c r="CY169" s="218"/>
      <c r="CZ169" s="245">
        <f t="shared" si="277"/>
        <v>0</v>
      </c>
      <c r="DA169" s="218"/>
      <c r="DB169" s="224"/>
      <c r="DC169" s="218"/>
      <c r="DD169" s="218"/>
      <c r="DE169" s="218"/>
      <c r="DF169" s="218"/>
      <c r="DG169" s="218"/>
      <c r="DH169" s="218"/>
      <c r="DI169" s="218"/>
      <c r="DJ169" s="218"/>
      <c r="DK169" s="218"/>
      <c r="DL169" s="218"/>
      <c r="DM169" s="218"/>
      <c r="DN169" s="218"/>
      <c r="DO169" s="218"/>
      <c r="DP169" s="218"/>
      <c r="DQ169" s="227"/>
      <c r="DR169" s="224"/>
      <c r="DS169" s="218"/>
      <c r="DT169" s="218"/>
      <c r="DU169" s="218"/>
      <c r="DV169" s="218"/>
      <c r="DW169" s="218"/>
      <c r="DX169" s="218"/>
      <c r="DY169" s="218"/>
      <c r="DZ169" s="218"/>
      <c r="EA169" s="218"/>
      <c r="EB169" s="218"/>
      <c r="EC169" s="218"/>
      <c r="ED169" s="218"/>
      <c r="EE169" s="218"/>
      <c r="EF169" s="223">
        <f t="shared" ref="EF169:EJ169" si="306">AH169+AP169+AX169+BF169+BN169+BV169+CD169+CL169+CT169+DB169+DJ169+DR169+DZ169</f>
        <v>21</v>
      </c>
      <c r="EG169" s="223">
        <f t="shared" si="306"/>
        <v>7</v>
      </c>
      <c r="EH169" s="223">
        <f t="shared" si="306"/>
        <v>6</v>
      </c>
      <c r="EI169" s="223">
        <f t="shared" si="306"/>
        <v>9</v>
      </c>
      <c r="EJ169" s="223">
        <f t="shared" si="306"/>
        <v>0</v>
      </c>
      <c r="EK169" s="223">
        <f t="shared" si="279"/>
        <v>43</v>
      </c>
      <c r="EL169" s="218">
        <f t="shared" si="280"/>
        <v>1000</v>
      </c>
      <c r="EM169" s="218">
        <f t="shared" si="281"/>
        <v>62.5</v>
      </c>
      <c r="EN169" s="223">
        <f t="shared" si="282"/>
        <v>43</v>
      </c>
      <c r="EO169" s="226">
        <f t="shared" si="283"/>
        <v>19.5</v>
      </c>
      <c r="ER169" s="251"/>
      <c r="EU169" s="220"/>
    </row>
    <row r="170" s="200" customFormat="1" customHeight="1" spans="1:151 16352:16384">
      <c r="A170" s="499"/>
      <c r="B170" s="218">
        <v>36</v>
      </c>
      <c r="C170" s="241" t="s">
        <v>1139</v>
      </c>
      <c r="D170" s="220" t="s">
        <v>492</v>
      </c>
      <c r="E170" s="220" t="s">
        <v>405</v>
      </c>
      <c r="F170" s="220" t="s">
        <v>106</v>
      </c>
      <c r="G170" s="220"/>
      <c r="H170" s="239"/>
      <c r="I170" s="239"/>
      <c r="J170" s="200" t="s">
        <v>1140</v>
      </c>
      <c r="K170" s="207">
        <v>13824915028</v>
      </c>
      <c r="N170" s="207"/>
      <c r="O170" s="207"/>
      <c r="P170" s="200" t="s">
        <v>513</v>
      </c>
      <c r="Q170" s="200" t="s">
        <v>408</v>
      </c>
      <c r="V170" s="200" t="s">
        <v>1140</v>
      </c>
      <c r="W170" s="207" t="s">
        <v>794</v>
      </c>
      <c r="Y170" s="207"/>
      <c r="Z170" s="218"/>
      <c r="AA170" s="218">
        <v>125</v>
      </c>
      <c r="AB170" s="218">
        <f t="shared" si="297"/>
        <v>13</v>
      </c>
      <c r="AC170" s="218">
        <v>1</v>
      </c>
      <c r="AD170" s="218">
        <v>12</v>
      </c>
      <c r="AE170" s="218"/>
      <c r="AF170" s="364">
        <f t="shared" si="237"/>
        <v>65</v>
      </c>
      <c r="AG170" s="311">
        <v>46092</v>
      </c>
      <c r="AH170" s="312">
        <v>1</v>
      </c>
      <c r="AI170" s="312">
        <v>1</v>
      </c>
      <c r="AJ170" s="312">
        <v>1</v>
      </c>
      <c r="AK170" s="312">
        <v>1</v>
      </c>
      <c r="AL170" s="312"/>
      <c r="AM170" s="312">
        <f t="shared" si="290"/>
        <v>4</v>
      </c>
      <c r="AN170" s="245">
        <f t="shared" si="274"/>
        <v>0.984615384615385</v>
      </c>
      <c r="AO170" s="252">
        <v>46099</v>
      </c>
      <c r="AP170" s="253">
        <v>5</v>
      </c>
      <c r="AQ170" s="254">
        <v>2</v>
      </c>
      <c r="AR170" s="254">
        <v>2</v>
      </c>
      <c r="AS170" s="254">
        <v>2</v>
      </c>
      <c r="AT170" s="254"/>
      <c r="AU170" s="394">
        <f t="shared" si="287"/>
        <v>11</v>
      </c>
      <c r="AV170" s="316">
        <f t="shared" si="299"/>
        <v>2.70769230769231</v>
      </c>
      <c r="AW170" s="271">
        <v>46121</v>
      </c>
      <c r="AX170" s="493">
        <v>2</v>
      </c>
      <c r="AY170" s="282">
        <v>5</v>
      </c>
      <c r="AZ170" s="281">
        <v>2</v>
      </c>
      <c r="BA170" s="282">
        <v>2</v>
      </c>
      <c r="BB170" s="282"/>
      <c r="BC170" s="274">
        <f t="shared" si="292"/>
        <v>11</v>
      </c>
      <c r="BD170" s="316">
        <f t="shared" si="293"/>
        <v>2.70769230769231</v>
      </c>
      <c r="BE170" s="246">
        <f>AW170+BD170*7</f>
        <v>46139.9538461538</v>
      </c>
      <c r="BF170" s="224"/>
      <c r="BG170" s="218"/>
      <c r="BH170" s="218"/>
      <c r="BI170" s="218"/>
      <c r="BJ170" s="218"/>
      <c r="BK170" s="247">
        <f t="shared" si="272"/>
        <v>0</v>
      </c>
      <c r="BL170" s="248">
        <f t="shared" si="239"/>
        <v>0</v>
      </c>
      <c r="BM170" s="246">
        <f t="shared" si="302"/>
        <v>46139.9538461538</v>
      </c>
      <c r="BN170" s="472"/>
      <c r="BO170" s="242"/>
      <c r="BP170" s="242"/>
      <c r="BQ170" s="242"/>
      <c r="BR170" s="242"/>
      <c r="BS170" s="501"/>
      <c r="BT170" s="473">
        <f t="shared" si="288"/>
        <v>0</v>
      </c>
      <c r="BU170" s="246"/>
      <c r="BV170" s="472"/>
      <c r="BW170" s="242"/>
      <c r="BX170" s="242"/>
      <c r="BY170" s="242"/>
      <c r="BZ170" s="242"/>
      <c r="CA170" s="242"/>
      <c r="CB170" s="473">
        <f t="shared" si="289"/>
        <v>0</v>
      </c>
      <c r="CC170" s="218"/>
      <c r="CD170" s="224"/>
      <c r="CE170" s="218"/>
      <c r="CF170" s="218"/>
      <c r="CG170" s="218"/>
      <c r="CH170" s="218"/>
      <c r="CI170" s="218"/>
      <c r="CJ170" s="245">
        <f t="shared" si="275"/>
        <v>0</v>
      </c>
      <c r="CK170" s="218"/>
      <c r="CL170" s="224"/>
      <c r="CM170" s="218"/>
      <c r="CN170" s="218"/>
      <c r="CO170" s="218"/>
      <c r="CP170" s="218"/>
      <c r="CQ170" s="218"/>
      <c r="CR170" s="245">
        <f t="shared" si="276"/>
        <v>0</v>
      </c>
      <c r="CS170" s="218"/>
      <c r="CT170" s="224"/>
      <c r="CU170" s="218"/>
      <c r="CV170" s="218"/>
      <c r="CW170" s="218"/>
      <c r="CX170" s="218"/>
      <c r="CY170" s="218"/>
      <c r="CZ170" s="245">
        <f t="shared" si="277"/>
        <v>0</v>
      </c>
      <c r="DA170" s="218"/>
      <c r="DB170" s="224"/>
      <c r="DC170" s="218"/>
      <c r="DD170" s="218"/>
      <c r="DE170" s="218"/>
      <c r="DF170" s="218"/>
      <c r="DG170" s="218"/>
      <c r="DH170" s="218"/>
      <c r="DI170" s="218"/>
      <c r="DJ170" s="218"/>
      <c r="DK170" s="218"/>
      <c r="DL170" s="218"/>
      <c r="DM170" s="218"/>
      <c r="DN170" s="218"/>
      <c r="DO170" s="218"/>
      <c r="DP170" s="218"/>
      <c r="DQ170" s="227"/>
      <c r="DR170" s="224"/>
      <c r="DS170" s="218"/>
      <c r="DT170" s="218"/>
      <c r="DU170" s="218"/>
      <c r="DV170" s="218"/>
      <c r="DW170" s="218"/>
      <c r="DX170" s="218"/>
      <c r="DY170" s="218"/>
      <c r="DZ170" s="218"/>
      <c r="EA170" s="218"/>
      <c r="EB170" s="218"/>
      <c r="EC170" s="218"/>
      <c r="ED170" s="218"/>
      <c r="EE170" s="218"/>
      <c r="EF170" s="223">
        <f t="shared" ref="EF170:EJ170" si="307">AH170+AP170+AX170+BF170+BN170+BV170+CD170+CL170+CT170+DB170+DJ170+DR170+DZ170</f>
        <v>8</v>
      </c>
      <c r="EG170" s="223">
        <f t="shared" si="307"/>
        <v>8</v>
      </c>
      <c r="EH170" s="223">
        <f t="shared" si="307"/>
        <v>5</v>
      </c>
      <c r="EI170" s="223">
        <f t="shared" si="307"/>
        <v>5</v>
      </c>
      <c r="EJ170" s="223">
        <f t="shared" si="307"/>
        <v>0</v>
      </c>
      <c r="EK170" s="223">
        <f t="shared" si="279"/>
        <v>26</v>
      </c>
      <c r="EL170" s="218">
        <f t="shared" si="280"/>
        <v>1300</v>
      </c>
      <c r="EM170" s="218">
        <f t="shared" si="281"/>
        <v>81.25</v>
      </c>
      <c r="EN170" s="223">
        <f t="shared" si="282"/>
        <v>26</v>
      </c>
      <c r="EO170" s="226">
        <f t="shared" si="283"/>
        <v>55.25</v>
      </c>
      <c r="ER170" s="251"/>
      <c r="EU170" s="220"/>
    </row>
    <row r="171" s="200" customFormat="1" customHeight="1" spans="1:151 16352:16384">
      <c r="A171" s="499"/>
      <c r="B171" s="218"/>
      <c r="C171" s="218" t="s">
        <v>1141</v>
      </c>
      <c r="D171" s="220"/>
      <c r="E171" s="220"/>
      <c r="F171" s="220"/>
      <c r="G171" s="220"/>
      <c r="H171" s="239"/>
      <c r="I171" s="239"/>
      <c r="K171" s="207"/>
      <c r="N171" s="207"/>
      <c r="O171" s="207"/>
      <c r="W171" s="207"/>
      <c r="Y171" s="207"/>
      <c r="Z171" s="218"/>
      <c r="AA171" s="218">
        <v>125</v>
      </c>
      <c r="AB171" s="218">
        <f t="shared" si="297"/>
        <v>8</v>
      </c>
      <c r="AC171" s="218">
        <v>1</v>
      </c>
      <c r="AD171" s="218">
        <v>7</v>
      </c>
      <c r="AE171" s="218"/>
      <c r="AF171" s="364">
        <f t="shared" si="237"/>
        <v>40</v>
      </c>
      <c r="AG171" s="311">
        <v>46092</v>
      </c>
      <c r="AH171" s="312">
        <v>1</v>
      </c>
      <c r="AI171" s="312">
        <v>1</v>
      </c>
      <c r="AJ171" s="312">
        <v>1</v>
      </c>
      <c r="AK171" s="312">
        <v>1</v>
      </c>
      <c r="AL171" s="312"/>
      <c r="AM171" s="312">
        <f t="shared" si="290"/>
        <v>4</v>
      </c>
      <c r="AN171" s="245">
        <f t="shared" si="274"/>
        <v>1.6</v>
      </c>
      <c r="AO171" s="252">
        <v>46099</v>
      </c>
      <c r="AP171" s="253">
        <v>3</v>
      </c>
      <c r="AQ171" s="254">
        <v>2</v>
      </c>
      <c r="AR171" s="254">
        <v>2</v>
      </c>
      <c r="AS171" s="254">
        <v>2</v>
      </c>
      <c r="AT171" s="254"/>
      <c r="AU171" s="394">
        <f t="shared" si="287"/>
        <v>9</v>
      </c>
      <c r="AV171" s="316">
        <f t="shared" si="299"/>
        <v>3.6</v>
      </c>
      <c r="AW171" s="271">
        <v>46121</v>
      </c>
      <c r="AX171" s="281">
        <v>2</v>
      </c>
      <c r="AY171" s="282">
        <v>2</v>
      </c>
      <c r="AZ171" s="281">
        <v>2</v>
      </c>
      <c r="BA171" s="282">
        <v>4</v>
      </c>
      <c r="BB171" s="282"/>
      <c r="BC171" s="274">
        <f t="shared" si="292"/>
        <v>10</v>
      </c>
      <c r="BD171" s="316">
        <f t="shared" si="293"/>
        <v>4</v>
      </c>
      <c r="BE171" s="246">
        <f>AW171+BD171*7</f>
        <v>46149</v>
      </c>
      <c r="BF171" s="224"/>
      <c r="BG171" s="218"/>
      <c r="BH171" s="218"/>
      <c r="BI171" s="218"/>
      <c r="BJ171" s="218"/>
      <c r="BK171" s="247">
        <f t="shared" si="272"/>
        <v>0</v>
      </c>
      <c r="BL171" s="248">
        <f t="shared" si="239"/>
        <v>0</v>
      </c>
      <c r="BM171" s="338"/>
      <c r="BN171" s="472"/>
      <c r="BO171" s="242"/>
      <c r="BP171" s="242"/>
      <c r="BQ171" s="242"/>
      <c r="BR171" s="242"/>
      <c r="BS171" s="501"/>
      <c r="BT171" s="473"/>
      <c r="BU171" s="246"/>
      <c r="BV171" s="472"/>
      <c r="BW171" s="242"/>
      <c r="BX171" s="242"/>
      <c r="BY171" s="242"/>
      <c r="BZ171" s="242"/>
      <c r="CA171" s="242"/>
      <c r="CB171" s="473"/>
      <c r="CC171" s="218"/>
      <c r="CD171" s="224"/>
      <c r="CE171" s="218"/>
      <c r="CF171" s="218"/>
      <c r="CG171" s="218"/>
      <c r="CH171" s="218"/>
      <c r="CI171" s="218"/>
      <c r="CJ171" s="245"/>
      <c r="CK171" s="218"/>
      <c r="CL171" s="224"/>
      <c r="CM171" s="218"/>
      <c r="CN171" s="218"/>
      <c r="CO171" s="218"/>
      <c r="CP171" s="218"/>
      <c r="CQ171" s="218"/>
      <c r="CR171" s="245"/>
      <c r="CS171" s="218"/>
      <c r="CT171" s="224"/>
      <c r="CU171" s="218"/>
      <c r="CV171" s="218"/>
      <c r="CW171" s="218"/>
      <c r="CX171" s="218"/>
      <c r="CY171" s="218"/>
      <c r="CZ171" s="245"/>
      <c r="DA171" s="218"/>
      <c r="DB171" s="224"/>
      <c r="DC171" s="218"/>
      <c r="DD171" s="218"/>
      <c r="DE171" s="218"/>
      <c r="DF171" s="218"/>
      <c r="DG171" s="218"/>
      <c r="DH171" s="218"/>
      <c r="DI171" s="218"/>
      <c r="DJ171" s="218"/>
      <c r="DK171" s="218"/>
      <c r="DL171" s="218"/>
      <c r="DM171" s="218"/>
      <c r="DN171" s="218"/>
      <c r="DO171" s="218"/>
      <c r="DP171" s="218"/>
      <c r="DQ171" s="227"/>
      <c r="DR171" s="224"/>
      <c r="DS171" s="218"/>
      <c r="DT171" s="218"/>
      <c r="DU171" s="218"/>
      <c r="DV171" s="218"/>
      <c r="DW171" s="218"/>
      <c r="DX171" s="218"/>
      <c r="DY171" s="218"/>
      <c r="DZ171" s="218"/>
      <c r="EA171" s="218"/>
      <c r="EB171" s="218"/>
      <c r="EC171" s="218"/>
      <c r="ED171" s="218"/>
      <c r="EE171" s="218"/>
      <c r="EF171" s="223"/>
      <c r="EG171" s="223"/>
      <c r="EH171" s="223"/>
      <c r="EI171" s="223"/>
      <c r="EJ171" s="223"/>
      <c r="EK171" s="223"/>
      <c r="EL171" s="218"/>
      <c r="EM171" s="218"/>
      <c r="EN171" s="223"/>
      <c r="EO171" s="226"/>
      <c r="ER171" s="251"/>
      <c r="EU171" s="220"/>
    </row>
    <row r="172" s="200" customFormat="1" customHeight="1" spans="1:151 16352:16384">
      <c r="A172" s="499"/>
      <c r="B172" s="218"/>
      <c r="C172" s="241" t="s">
        <v>1142</v>
      </c>
      <c r="D172" s="220"/>
      <c r="E172" s="220"/>
      <c r="F172" s="220"/>
      <c r="G172" s="220"/>
      <c r="H172" s="239"/>
      <c r="I172" s="239"/>
      <c r="K172" s="207"/>
      <c r="N172" s="207"/>
      <c r="O172" s="207"/>
      <c r="W172" s="207"/>
      <c r="Y172" s="207"/>
      <c r="Z172" s="218"/>
      <c r="AA172" s="218">
        <v>200</v>
      </c>
      <c r="AB172" s="218">
        <f t="shared" si="297"/>
        <v>41</v>
      </c>
      <c r="AC172" s="218">
        <v>7</v>
      </c>
      <c r="AD172" s="218">
        <v>34</v>
      </c>
      <c r="AE172" s="218"/>
      <c r="AF172" s="364">
        <f t="shared" si="237"/>
        <v>205</v>
      </c>
      <c r="AG172" s="311">
        <v>46110</v>
      </c>
      <c r="AH172" s="312">
        <v>8</v>
      </c>
      <c r="AI172" s="312">
        <v>10</v>
      </c>
      <c r="AJ172" s="312">
        <v>10</v>
      </c>
      <c r="AK172" s="312">
        <v>10</v>
      </c>
      <c r="AL172" s="312">
        <v>10</v>
      </c>
      <c r="AM172" s="312">
        <f t="shared" si="290"/>
        <v>48</v>
      </c>
      <c r="AN172" s="245">
        <f t="shared" si="274"/>
        <v>3.74634146341463</v>
      </c>
      <c r="AO172" s="246">
        <f>AG172+AN172*7</f>
        <v>46136.2243902439</v>
      </c>
      <c r="AP172" s="224"/>
      <c r="AQ172" s="218"/>
      <c r="AR172" s="218"/>
      <c r="AS172" s="218"/>
      <c r="AT172" s="218"/>
      <c r="AU172" s="349">
        <f t="shared" si="287"/>
        <v>0</v>
      </c>
      <c r="AV172" s="316">
        <f t="shared" si="299"/>
        <v>0</v>
      </c>
      <c r="AW172" s="246">
        <f t="shared" si="304"/>
        <v>46136.2243902439</v>
      </c>
      <c r="AX172" s="224"/>
      <c r="AY172" s="218"/>
      <c r="AZ172" s="224"/>
      <c r="BA172" s="218"/>
      <c r="BB172" s="218"/>
      <c r="BC172" s="315"/>
      <c r="BD172" s="316"/>
      <c r="BE172" s="249"/>
      <c r="BF172" s="224"/>
      <c r="BG172" s="218"/>
      <c r="BH172" s="218"/>
      <c r="BI172" s="218"/>
      <c r="BJ172" s="218"/>
      <c r="BK172" s="247">
        <f t="shared" si="272"/>
        <v>0</v>
      </c>
      <c r="BL172" s="248">
        <f t="shared" si="239"/>
        <v>0</v>
      </c>
      <c r="BM172" s="338"/>
      <c r="BN172" s="472"/>
      <c r="BO172" s="242"/>
      <c r="BP172" s="242"/>
      <c r="BQ172" s="242"/>
      <c r="BR172" s="242"/>
      <c r="BS172" s="501"/>
      <c r="BT172" s="473"/>
      <c r="BU172" s="246"/>
      <c r="BV172" s="472"/>
      <c r="BW172" s="242"/>
      <c r="BX172" s="242"/>
      <c r="BY172" s="242"/>
      <c r="BZ172" s="242"/>
      <c r="CA172" s="242"/>
      <c r="CB172" s="473"/>
      <c r="CC172" s="218"/>
      <c r="CD172" s="224"/>
      <c r="CE172" s="218"/>
      <c r="CF172" s="218"/>
      <c r="CG172" s="218"/>
      <c r="CH172" s="218"/>
      <c r="CI172" s="218"/>
      <c r="CJ172" s="245"/>
      <c r="CK172" s="218"/>
      <c r="CL172" s="224"/>
      <c r="CM172" s="218"/>
      <c r="CN172" s="218"/>
      <c r="CO172" s="218"/>
      <c r="CP172" s="218"/>
      <c r="CQ172" s="218"/>
      <c r="CR172" s="245"/>
      <c r="CS172" s="218"/>
      <c r="CT172" s="224"/>
      <c r="CU172" s="218"/>
      <c r="CV172" s="218"/>
      <c r="CW172" s="218"/>
      <c r="CX172" s="218"/>
      <c r="CY172" s="218"/>
      <c r="CZ172" s="245"/>
      <c r="DA172" s="218"/>
      <c r="DB172" s="224"/>
      <c r="DC172" s="218"/>
      <c r="DD172" s="218"/>
      <c r="DE172" s="218"/>
      <c r="DF172" s="218"/>
      <c r="DG172" s="218"/>
      <c r="DH172" s="218"/>
      <c r="DI172" s="218"/>
      <c r="DJ172" s="218"/>
      <c r="DK172" s="218"/>
      <c r="DL172" s="218"/>
      <c r="DM172" s="218"/>
      <c r="DN172" s="218"/>
      <c r="DO172" s="218"/>
      <c r="DP172" s="218"/>
      <c r="DQ172" s="227"/>
      <c r="DR172" s="224"/>
      <c r="DS172" s="218"/>
      <c r="DT172" s="218"/>
      <c r="DU172" s="218"/>
      <c r="DV172" s="218"/>
      <c r="DW172" s="218"/>
      <c r="DX172" s="218"/>
      <c r="DY172" s="218"/>
      <c r="DZ172" s="218"/>
      <c r="EA172" s="218"/>
      <c r="EB172" s="218"/>
      <c r="EC172" s="218"/>
      <c r="ED172" s="218"/>
      <c r="EE172" s="218"/>
      <c r="EF172" s="223"/>
      <c r="EG172" s="223"/>
      <c r="EH172" s="223"/>
      <c r="EI172" s="223"/>
      <c r="EJ172" s="223"/>
      <c r="EK172" s="223"/>
      <c r="EL172" s="218"/>
      <c r="EM172" s="218"/>
      <c r="EN172" s="223"/>
      <c r="EO172" s="226"/>
      <c r="ER172" s="251"/>
      <c r="EU172" s="220"/>
    </row>
    <row r="173" s="201" customFormat="1" customHeight="1" spans="1:151 16352:16384">
      <c r="A173" s="499"/>
      <c r="B173" s="218">
        <v>37</v>
      </c>
      <c r="C173" s="219" t="s">
        <v>1143</v>
      </c>
      <c r="D173" s="220" t="s">
        <v>13</v>
      </c>
      <c r="E173" s="220" t="s">
        <v>405</v>
      </c>
      <c r="F173" s="220" t="s">
        <v>120</v>
      </c>
      <c r="G173" s="220" t="s">
        <v>151</v>
      </c>
      <c r="H173" s="239">
        <v>13431987775</v>
      </c>
      <c r="I173" s="239">
        <v>667775</v>
      </c>
      <c r="J173" s="220" t="s">
        <v>151</v>
      </c>
      <c r="K173" s="221">
        <v>13431987775</v>
      </c>
      <c r="L173" s="239">
        <v>667775</v>
      </c>
      <c r="M173" s="239"/>
      <c r="N173" s="221"/>
      <c r="O173" s="221" t="s">
        <v>406</v>
      </c>
      <c r="P173" s="200"/>
      <c r="Q173" s="200" t="s">
        <v>408</v>
      </c>
      <c r="R173" s="200"/>
      <c r="S173" s="200"/>
      <c r="T173" s="200"/>
      <c r="U173" s="200"/>
      <c r="V173" s="200"/>
      <c r="W173" s="207"/>
      <c r="X173" s="220" t="s">
        <v>1144</v>
      </c>
      <c r="Y173" s="220">
        <v>15917601985</v>
      </c>
      <c r="Z173" s="218"/>
      <c r="AA173" s="332">
        <v>200</v>
      </c>
      <c r="AB173" s="218">
        <f t="shared" si="297"/>
        <v>8</v>
      </c>
      <c r="AC173" s="218">
        <v>2</v>
      </c>
      <c r="AD173" s="218">
        <v>6</v>
      </c>
      <c r="AE173" s="218"/>
      <c r="AF173" s="364">
        <f t="shared" si="237"/>
        <v>40</v>
      </c>
      <c r="AG173" s="311">
        <v>46084</v>
      </c>
      <c r="AH173" s="312">
        <v>3</v>
      </c>
      <c r="AI173" s="312">
        <v>3</v>
      </c>
      <c r="AJ173" s="312">
        <v>3</v>
      </c>
      <c r="AK173" s="312">
        <v>3</v>
      </c>
      <c r="AL173" s="312">
        <v>3</v>
      </c>
      <c r="AM173" s="312">
        <f t="shared" si="290"/>
        <v>15</v>
      </c>
      <c r="AN173" s="245">
        <f t="shared" si="274"/>
        <v>6</v>
      </c>
      <c r="AO173" s="252">
        <v>46092</v>
      </c>
      <c r="AP173" s="325">
        <v>1</v>
      </c>
      <c r="AQ173" s="326">
        <v>1</v>
      </c>
      <c r="AR173" s="326">
        <v>1</v>
      </c>
      <c r="AS173" s="326">
        <v>1</v>
      </c>
      <c r="AT173" s="326"/>
      <c r="AU173" s="394">
        <f t="shared" si="287"/>
        <v>4</v>
      </c>
      <c r="AV173" s="316">
        <f t="shared" si="299"/>
        <v>1.6</v>
      </c>
      <c r="AW173" s="252">
        <v>46099</v>
      </c>
      <c r="AX173" s="253">
        <v>3</v>
      </c>
      <c r="AY173" s="254">
        <v>3</v>
      </c>
      <c r="AZ173" s="253">
        <v>3</v>
      </c>
      <c r="BA173" s="254">
        <v>3</v>
      </c>
      <c r="BB173" s="254"/>
      <c r="BC173" s="312">
        <f>AX173+AY173+AZ173+BA173+BB173</f>
        <v>12</v>
      </c>
      <c r="BD173" s="487">
        <f>BC173*16/AF173</f>
        <v>4.8</v>
      </c>
      <c r="BE173" s="255">
        <f>AW173+BD173*7</f>
        <v>46132.6</v>
      </c>
      <c r="BF173" s="256">
        <v>3</v>
      </c>
      <c r="BG173" s="257">
        <v>3</v>
      </c>
      <c r="BH173" s="257"/>
      <c r="BI173" s="257">
        <v>3</v>
      </c>
      <c r="BJ173" s="257">
        <v>3</v>
      </c>
      <c r="BK173" s="258">
        <f t="shared" si="272"/>
        <v>12</v>
      </c>
      <c r="BL173" s="248">
        <f t="shared" si="239"/>
        <v>4.8</v>
      </c>
      <c r="BM173" s="246">
        <f>BE173+BL173*7</f>
        <v>46166.2</v>
      </c>
      <c r="BN173" s="224"/>
      <c r="BO173" s="218"/>
      <c r="BP173" s="218"/>
      <c r="BQ173" s="218"/>
      <c r="BR173" s="218"/>
      <c r="BS173" s="250"/>
      <c r="BT173" s="245">
        <f>BS173*16/AF173</f>
        <v>0</v>
      </c>
      <c r="BU173" s="246"/>
      <c r="BV173" s="472"/>
      <c r="BW173" s="242"/>
      <c r="BX173" s="242"/>
      <c r="BY173" s="242"/>
      <c r="BZ173" s="242"/>
      <c r="CA173" s="218"/>
      <c r="CB173" s="245">
        <f>CA173*16/AF173</f>
        <v>0</v>
      </c>
      <c r="CC173" s="218"/>
      <c r="CD173" s="224"/>
      <c r="CE173" s="218"/>
      <c r="CF173" s="218"/>
      <c r="CG173" s="218"/>
      <c r="CH173" s="218"/>
      <c r="CI173" s="218"/>
      <c r="CJ173" s="245">
        <f>CI173*16/AF173</f>
        <v>0</v>
      </c>
      <c r="CK173" s="218"/>
      <c r="CL173" s="224"/>
      <c r="CM173" s="218"/>
      <c r="CN173" s="218"/>
      <c r="CO173" s="218"/>
      <c r="CP173" s="218"/>
      <c r="CQ173" s="218"/>
      <c r="CR173" s="245">
        <f>CQ173*16/AF173</f>
        <v>0</v>
      </c>
      <c r="CS173" s="218"/>
      <c r="CT173" s="224"/>
      <c r="CU173" s="218"/>
      <c r="CV173" s="218"/>
      <c r="CW173" s="218"/>
      <c r="CX173" s="218"/>
      <c r="CY173" s="218"/>
      <c r="CZ173" s="245">
        <f>CY173*16/AF173</f>
        <v>0</v>
      </c>
      <c r="DA173" s="218"/>
      <c r="DB173" s="224"/>
      <c r="DC173" s="218"/>
      <c r="DD173" s="218"/>
      <c r="DE173" s="218"/>
      <c r="DF173" s="218"/>
      <c r="DG173" s="218"/>
      <c r="DH173" s="218"/>
      <c r="DI173" s="218"/>
      <c r="DJ173" s="218"/>
      <c r="DK173" s="218"/>
      <c r="DL173" s="218"/>
      <c r="DM173" s="218"/>
      <c r="DN173" s="218"/>
      <c r="DO173" s="218"/>
      <c r="DP173" s="218"/>
      <c r="DQ173" s="227"/>
      <c r="DR173" s="224"/>
      <c r="DS173" s="218"/>
      <c r="DT173" s="218"/>
      <c r="DU173" s="218"/>
      <c r="DV173" s="218"/>
      <c r="DW173" s="218"/>
      <c r="DX173" s="218"/>
      <c r="DY173" s="218"/>
      <c r="DZ173" s="218"/>
      <c r="EA173" s="218"/>
      <c r="EB173" s="218"/>
      <c r="EC173" s="218"/>
      <c r="ED173" s="218"/>
      <c r="EE173" s="218"/>
      <c r="EF173" s="223">
        <f t="shared" ref="EF173:EJ173" si="308">AH173+AP173+AX173+BF173+BN173+BV173+CD173+CL173+CT173+DB173+DJ173+DR173+DZ173</f>
        <v>10</v>
      </c>
      <c r="EG173" s="223">
        <f t="shared" si="308"/>
        <v>10</v>
      </c>
      <c r="EH173" s="223">
        <f t="shared" si="308"/>
        <v>7</v>
      </c>
      <c r="EI173" s="223">
        <f t="shared" si="308"/>
        <v>10</v>
      </c>
      <c r="EJ173" s="223">
        <f t="shared" si="308"/>
        <v>6</v>
      </c>
      <c r="EK173" s="223">
        <f>SUM(EF173:EJ173)</f>
        <v>43</v>
      </c>
      <c r="EL173" s="218">
        <f>AB173*100</f>
        <v>800</v>
      </c>
      <c r="EM173" s="218">
        <f>EL173/16</f>
        <v>50</v>
      </c>
      <c r="EN173" s="223">
        <f>EK173</f>
        <v>43</v>
      </c>
      <c r="EO173" s="226">
        <f>EM173-EN173</f>
        <v>7</v>
      </c>
      <c r="ER173" s="266"/>
      <c r="EU173" s="490"/>
      <c r="XDX173" s="341"/>
      <c r="XDY173" s="341"/>
      <c r="XDZ173" s="341"/>
      <c r="XEA173" s="341"/>
      <c r="XEB173" s="341"/>
      <c r="XEC173" s="341"/>
      <c r="XED173" s="341"/>
      <c r="XEE173" s="341"/>
      <c r="XEF173" s="341"/>
      <c r="XEG173" s="200"/>
      <c r="XEH173" s="200"/>
      <c r="XEI173" s="200"/>
      <c r="XEJ173" s="200"/>
      <c r="XEK173" s="200"/>
      <c r="XEL173" s="200"/>
      <c r="XEM173" s="200"/>
      <c r="XEN173" s="200"/>
      <c r="XEO173" s="200"/>
      <c r="XEP173" s="200"/>
      <c r="XEQ173" s="200"/>
      <c r="XER173" s="200"/>
      <c r="XES173" s="200"/>
      <c r="XET173" s="200"/>
      <c r="XEU173" s="200"/>
      <c r="XEV173" s="200"/>
      <c r="XEW173" s="200"/>
      <c r="XEX173" s="200"/>
      <c r="XEY173" s="200"/>
      <c r="XEZ173" s="200"/>
      <c r="XFA173" s="200"/>
      <c r="XFB173" s="200"/>
      <c r="XFC173" s="200"/>
      <c r="XFD173" s="200"/>
    </row>
    <row r="174" s="204" customFormat="1" customHeight="1" spans="1:151 16352:16384">
      <c r="D174" s="200"/>
      <c r="E174" s="200"/>
      <c r="F174" s="200"/>
      <c r="G174" s="200"/>
      <c r="H174" s="200"/>
      <c r="I174" s="200"/>
      <c r="J174" s="200"/>
      <c r="K174" s="207"/>
      <c r="L174" s="200"/>
      <c r="M174" s="200"/>
      <c r="N174" s="207"/>
      <c r="O174" s="207"/>
      <c r="P174" s="200"/>
      <c r="Q174" s="200"/>
      <c r="R174" s="200"/>
      <c r="S174" s="200"/>
      <c r="T174" s="200"/>
      <c r="U174" s="200"/>
      <c r="V174" s="200"/>
      <c r="W174" s="207"/>
      <c r="X174" s="200"/>
      <c r="Y174" s="207"/>
      <c r="AG174" s="208"/>
      <c r="AH174" s="209"/>
      <c r="AI174" s="209"/>
      <c r="AJ174" s="209"/>
      <c r="AK174" s="209"/>
      <c r="AL174" s="209"/>
      <c r="AM174" s="209"/>
      <c r="AP174" s="210"/>
      <c r="AV174" s="211"/>
      <c r="AX174" s="210"/>
      <c r="AZ174" s="210"/>
      <c r="BD174" s="212"/>
      <c r="BF174" s="210"/>
      <c r="BL174" s="212"/>
      <c r="BM174" s="213"/>
      <c r="BN174" s="210"/>
      <c r="BT174" s="212"/>
      <c r="BV174" s="210"/>
      <c r="CB174" s="212"/>
      <c r="CD174" s="210"/>
      <c r="CJ174" s="212"/>
      <c r="CL174" s="210"/>
      <c r="CR174" s="212"/>
      <c r="CT174" s="210"/>
      <c r="CZ174" s="212"/>
      <c r="DB174" s="210"/>
      <c r="DQ174" s="213"/>
      <c r="DR174" s="210"/>
      <c r="EF174" s="209"/>
      <c r="EG174" s="209"/>
      <c r="EH174" s="209"/>
      <c r="EI174" s="209"/>
      <c r="EJ174" s="209"/>
      <c r="EK174" s="209"/>
      <c r="EO174" s="212"/>
      <c r="ER174" s="214"/>
      <c r="EU174" s="215"/>
      <c r="XDX174" s="216"/>
      <c r="XDY174" s="216"/>
      <c r="XDZ174" s="216"/>
      <c r="XEA174" s="216"/>
      <c r="XEB174" s="216"/>
      <c r="XEC174" s="216"/>
      <c r="XED174" s="216"/>
      <c r="XEE174" s="216"/>
      <c r="XEF174" s="216"/>
    </row>
    <row r="175" customHeight="1" spans="1:151 16352:16384">
      <c r="C175" s="504" t="s">
        <v>1145</v>
      </c>
    </row>
    <row r="176" customHeight="1" spans="1:151 16352:16384">
      <c r="C176" s="505" t="s">
        <v>1146</v>
      </c>
    </row>
    <row r="177" s="204" customFormat="1" customHeight="1" spans="3:151 16352:16360">
      <c r="C177" s="204" t="s">
        <v>1147</v>
      </c>
      <c r="D177" s="200"/>
      <c r="E177" s="200"/>
      <c r="F177" s="200"/>
      <c r="G177" s="200"/>
      <c r="H177" s="200"/>
      <c r="I177" s="200"/>
      <c r="J177" s="200"/>
      <c r="K177" s="207"/>
      <c r="L177" s="200"/>
      <c r="M177" s="200"/>
      <c r="N177" s="207"/>
      <c r="O177" s="207"/>
      <c r="P177" s="200"/>
      <c r="Q177" s="200"/>
      <c r="R177" s="200"/>
      <c r="S177" s="200"/>
      <c r="T177" s="200"/>
      <c r="U177" s="200"/>
      <c r="V177" s="200"/>
      <c r="W177" s="207"/>
      <c r="X177" s="200"/>
      <c r="Y177" s="207"/>
      <c r="AG177" s="208"/>
      <c r="AH177" s="209"/>
      <c r="AI177" s="209"/>
      <c r="AJ177" s="209"/>
      <c r="AK177" s="209"/>
      <c r="AL177" s="209"/>
      <c r="AM177" s="209"/>
      <c r="AP177" s="210"/>
      <c r="AV177" s="211"/>
      <c r="AX177" s="210"/>
      <c r="AZ177" s="210"/>
      <c r="BD177" s="212"/>
      <c r="BF177" s="210"/>
      <c r="BL177" s="212"/>
      <c r="BM177" s="213"/>
      <c r="BN177" s="210"/>
      <c r="BT177" s="212"/>
      <c r="BV177" s="210"/>
      <c r="CB177" s="212"/>
      <c r="CD177" s="210"/>
      <c r="CJ177" s="212"/>
      <c r="CL177" s="210"/>
      <c r="CR177" s="212"/>
      <c r="CT177" s="210"/>
      <c r="CZ177" s="212"/>
      <c r="DB177" s="210"/>
      <c r="DQ177" s="213"/>
      <c r="DR177" s="210"/>
      <c r="EF177" s="209"/>
      <c r="EG177" s="209"/>
      <c r="EH177" s="209"/>
      <c r="EI177" s="209"/>
      <c r="EJ177" s="209"/>
      <c r="EK177" s="209"/>
      <c r="EO177" s="212"/>
      <c r="ER177" s="214"/>
      <c r="EU177" s="215"/>
      <c r="XDX177" s="216"/>
      <c r="XDY177" s="216"/>
      <c r="XDZ177" s="216"/>
      <c r="XEA177" s="216"/>
      <c r="XEB177" s="216"/>
      <c r="XEC177" s="216"/>
      <c r="XED177" s="216"/>
      <c r="XEE177" s="216"/>
      <c r="XEF177" s="216"/>
    </row>
  </sheetData>
  <sheetProtection formatCells="0" formatColumns="0" formatRows="0" insertRows="0" insertColumns="0" insertHyperlinks="0" deleteColumns="0" deleteRows="0" sort="0" autoFilter="0" pivotTables="0"/>
  <mergeCells count="47">
    <mergeCell ref="G1:I1"/>
    <mergeCell ref="J1:L1"/>
    <mergeCell ref="M1:N1"/>
    <mergeCell ref="V1:W1"/>
    <mergeCell ref="X1:Y1"/>
    <mergeCell ref="AC1:AD1"/>
    <mergeCell ref="AH1:AM1"/>
    <mergeCell ref="AO1:AU1"/>
    <mergeCell ref="AW1:BC1"/>
    <mergeCell ref="BE1:BK1"/>
    <mergeCell ref="BM1:BS1"/>
    <mergeCell ref="BU1:CA1"/>
    <mergeCell ref="CC1:CI1"/>
    <mergeCell ref="CK1:CQ1"/>
    <mergeCell ref="CS1:CY1"/>
    <mergeCell ref="DA1:DG1"/>
    <mergeCell ref="DI1:DO1"/>
    <mergeCell ref="DQ1:DW1"/>
    <mergeCell ref="DY1:EE1"/>
    <mergeCell ref="EF1:EK1"/>
    <mergeCell ref="EP1:EQ1"/>
    <mergeCell ref="D49:E49"/>
    <mergeCell ref="A1:A2"/>
    <mergeCell ref="A3:A7"/>
    <mergeCell ref="A8:A9"/>
    <mergeCell ref="A10:A16"/>
    <mergeCell ref="A17:A28"/>
    <mergeCell ref="A29:A46"/>
    <mergeCell ref="A47:A74"/>
    <mergeCell ref="A75:A136"/>
    <mergeCell ref="A137:A160"/>
    <mergeCell ref="A161:A173"/>
    <mergeCell ref="B1:B2"/>
    <mergeCell ref="C1:C2"/>
    <mergeCell ref="D1:D2"/>
    <mergeCell ref="E1:E2"/>
    <mergeCell ref="F1:F2"/>
    <mergeCell ref="O1:O2"/>
    <mergeCell ref="P1:P2"/>
    <mergeCell ref="Q1:Q2"/>
    <mergeCell ref="R1:R2"/>
    <mergeCell ref="S1:S2"/>
    <mergeCell ref="T1:T2"/>
    <mergeCell ref="U1:U2"/>
    <mergeCell ref="Z1:Z2"/>
    <mergeCell ref="AB1:AB2"/>
    <mergeCell ref="AF1:AF2"/>
  </mergeCells>
  <conditionalFormatting sqref="AV2">
    <cfRule type="cellIs" dxfId="0" priority="3" operator="between">
      <formula>0</formula>
      <formula>3.2</formula>
    </cfRule>
    <cfRule type="cellIs" dxfId="0" priority="2" operator="between">
      <formula>0.01</formula>
      <formula>3.4</formula>
    </cfRule>
    <cfRule type="cellIs" dxfId="0" priority="1" operator="between">
      <formula>0.01</formula>
      <formula>3.6</formula>
    </cfRule>
  </conditionalFormatting>
  <conditionalFormatting sqref="AN13">
    <cfRule type="cellIs" dxfId="0" priority="6" operator="between">
      <formula>0.01</formula>
      <formula>3.2</formula>
    </cfRule>
  </conditionalFormatting>
  <conditionalFormatting sqref="AN$1:AN$1048576">
    <cfRule type="cellIs" dxfId="0" priority="4" operator="between">
      <formula>0.01</formula>
      <formula>3.6</formula>
    </cfRule>
    <cfRule type="cellIs" dxfId="0" priority="5" operator="between">
      <formula>0.01</formula>
      <formula>3.4</formula>
    </cfRule>
    <cfRule type="cellIs" dxfId="0" priority="7" operator="between">
      <formula>0</formula>
      <formula>3.2</formula>
    </cfRule>
  </conditionalFormatting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FB254"/>
  <sheetViews>
    <sheetView workbookViewId="0">
      <pane xSplit="5" ySplit="2" topLeftCell="AA59" activePane="bottomRight" state="frozen"/>
      <selection/>
      <selection pane="topRight"/>
      <selection pane="bottomLeft"/>
      <selection pane="bottomRight" activeCell="AA59" sqref="$A1:$XFD1048576"/>
    </sheetView>
  </sheetViews>
  <sheetFormatPr defaultColWidth="7" defaultRowHeight="21" customHeight="1"/>
  <cols>
    <col min="1" max="1" width="7" style="24" customWidth="1"/>
    <col min="2" max="2" width="5.125" style="24" customWidth="1"/>
    <col min="3" max="3" width="45.25" style="23" customWidth="1"/>
    <col min="4" max="4" width="7.625" style="24" hidden="1" customWidth="1"/>
    <col min="5" max="5" width="7" style="24" hidden="1" customWidth="1"/>
    <col min="6" max="6" width="7" style="26" hidden="1" customWidth="1"/>
    <col min="7" max="7" width="7" style="24" hidden="1" customWidth="1"/>
    <col min="8" max="8" width="10.5" style="24" hidden="1" customWidth="1"/>
    <col min="9" max="10" width="7" style="24" hidden="1" customWidth="1"/>
    <col min="11" max="11" width="7" style="27" hidden="1" customWidth="1"/>
    <col min="12" max="13" width="7" style="24" hidden="1" customWidth="1"/>
    <col min="14" max="15" width="7" style="27" hidden="1" customWidth="1"/>
    <col min="16" max="22" width="7" style="24" hidden="1" customWidth="1"/>
    <col min="23" max="23" width="7" style="27" hidden="1" customWidth="1"/>
    <col min="24" max="24" width="7" style="24" hidden="1" customWidth="1"/>
    <col min="25" max="25" width="7" style="27" hidden="1" customWidth="1"/>
    <col min="26" max="26" width="16.25" style="27" hidden="1" customWidth="1"/>
    <col min="27" max="27" width="8.875" style="24" customWidth="1"/>
    <col min="28" max="28" width="9" style="28" customWidth="1"/>
    <col min="29" max="29" width="8.875" style="24" hidden="1" customWidth="1"/>
    <col min="30" max="31" width="8" style="24" hidden="1" customWidth="1"/>
    <col min="32" max="33" width="7.5" style="24" hidden="1" customWidth="1"/>
    <col min="34" max="34" width="7.875" style="24" hidden="1" customWidth="1"/>
    <col min="35" max="35" width="7.5" style="24" hidden="1" customWidth="1"/>
    <col min="36" max="36" width="7.75" style="24" hidden="1" customWidth="1"/>
    <col min="37" max="38" width="7.5" style="29" hidden="1" customWidth="1"/>
    <col min="39" max="39" width="7" style="24" hidden="1" customWidth="1"/>
    <col min="40" max="40" width="5.875" style="24" hidden="1" customWidth="1"/>
    <col min="41" max="41" width="7.5" style="24" hidden="1" customWidth="1"/>
    <col min="42" max="42" width="7.375" style="24" hidden="1" customWidth="1"/>
    <col min="43" max="44" width="8.25" style="24" hidden="1" customWidth="1"/>
    <col min="45" max="46" width="7.775" style="24" customWidth="1"/>
    <col min="47" max="47" width="8.60833333333333" style="24" customWidth="1"/>
    <col min="48" max="48" width="8.60833333333333" style="24" hidden="1" customWidth="1"/>
    <col min="49" max="50" width="9.725" style="24" hidden="1" customWidth="1"/>
    <col min="51" max="56" width="9.725" style="24" customWidth="1"/>
    <col min="57" max="75" width="5.88333333333333" style="24" customWidth="1"/>
    <col min="76" max="104" width="6.63333333333333" style="24" customWidth="1"/>
    <col min="105" max="112" width="6.63333333333333" style="24" hidden="1" customWidth="1"/>
    <col min="113" max="119" width="7" style="24" customWidth="1"/>
    <col min="120" max="139" width="7" style="24" hidden="1" customWidth="1"/>
    <col min="140" max="16381" width="7" style="24" customWidth="1"/>
    <col min="16382" max="16382" width="7" style="24"/>
  </cols>
  <sheetData>
    <row r="1" s="23" customFormat="1" customHeight="1" spans="1:139 16333:16382">
      <c r="A1" s="23" t="s">
        <v>347</v>
      </c>
      <c r="B1" s="23" t="s">
        <v>348</v>
      </c>
      <c r="C1" s="30" t="s">
        <v>2</v>
      </c>
      <c r="D1" s="30" t="s">
        <v>349</v>
      </c>
      <c r="E1" s="30" t="s">
        <v>350</v>
      </c>
      <c r="F1" s="31" t="s">
        <v>4</v>
      </c>
      <c r="G1" s="30" t="s">
        <v>5</v>
      </c>
      <c r="H1" s="30"/>
      <c r="I1" s="30"/>
      <c r="J1" s="30" t="s">
        <v>6</v>
      </c>
      <c r="K1" s="32"/>
      <c r="L1" s="30"/>
      <c r="M1" s="30" t="s">
        <v>351</v>
      </c>
      <c r="N1" s="32"/>
      <c r="O1" s="32" t="s">
        <v>352</v>
      </c>
      <c r="P1" s="23" t="s">
        <v>353</v>
      </c>
      <c r="Q1" s="30" t="s">
        <v>354</v>
      </c>
      <c r="R1" s="30" t="s">
        <v>355</v>
      </c>
      <c r="S1" s="30" t="s">
        <v>356</v>
      </c>
      <c r="T1" s="30" t="s">
        <v>357</v>
      </c>
      <c r="U1" s="30" t="s">
        <v>358</v>
      </c>
      <c r="V1" s="23" t="s">
        <v>359</v>
      </c>
      <c r="W1" s="33"/>
      <c r="X1" s="23" t="s">
        <v>360</v>
      </c>
      <c r="Y1" s="33"/>
      <c r="Z1" s="32" t="s">
        <v>1148</v>
      </c>
      <c r="AA1" s="23" t="s">
        <v>1149</v>
      </c>
      <c r="AB1" s="28"/>
      <c r="AC1" s="23" t="s">
        <v>1150</v>
      </c>
      <c r="AE1" s="23" t="s">
        <v>1151</v>
      </c>
      <c r="AG1" s="23" t="s">
        <v>1152</v>
      </c>
      <c r="AI1" s="23" t="s">
        <v>1153</v>
      </c>
      <c r="AK1" s="34" t="s">
        <v>1154</v>
      </c>
      <c r="AL1" s="34"/>
      <c r="AM1" s="23" t="s">
        <v>1155</v>
      </c>
      <c r="AO1" s="35" t="s">
        <v>1156</v>
      </c>
      <c r="AQ1" s="35" t="s">
        <v>1157</v>
      </c>
      <c r="AS1" s="35" t="s">
        <v>1158</v>
      </c>
      <c r="AU1" s="35" t="s">
        <v>1159</v>
      </c>
      <c r="AW1" s="35" t="s">
        <v>1160</v>
      </c>
      <c r="AY1" s="35" t="s">
        <v>1161</v>
      </c>
      <c r="BA1" s="35" t="s">
        <v>1162</v>
      </c>
      <c r="BC1" s="35" t="s">
        <v>1163</v>
      </c>
      <c r="BE1" s="23" t="s">
        <v>1164</v>
      </c>
      <c r="BG1" s="23" t="s">
        <v>1165</v>
      </c>
      <c r="BI1" s="23" t="s">
        <v>1166</v>
      </c>
      <c r="BK1" s="23" t="s">
        <v>1167</v>
      </c>
      <c r="BM1" s="23" t="s">
        <v>1168</v>
      </c>
      <c r="BO1" s="23" t="s">
        <v>1169</v>
      </c>
      <c r="BQ1" s="23" t="s">
        <v>1170</v>
      </c>
      <c r="BS1" s="23" t="s">
        <v>1171</v>
      </c>
      <c r="BU1" s="23" t="s">
        <v>1172</v>
      </c>
      <c r="BW1" s="23" t="s">
        <v>1173</v>
      </c>
      <c r="BY1" s="23" t="s">
        <v>1174</v>
      </c>
      <c r="CA1" s="23" t="s">
        <v>1175</v>
      </c>
      <c r="CC1" s="23" t="s">
        <v>1176</v>
      </c>
      <c r="CE1" s="23" t="s">
        <v>1177</v>
      </c>
      <c r="CG1" s="23" t="s">
        <v>1178</v>
      </c>
      <c r="CI1" s="23" t="s">
        <v>1179</v>
      </c>
      <c r="CK1" s="23" t="s">
        <v>1180</v>
      </c>
      <c r="CM1" s="23" t="s">
        <v>1181</v>
      </c>
      <c r="CO1" s="23" t="s">
        <v>1182</v>
      </c>
      <c r="CQ1" s="23" t="s">
        <v>1183</v>
      </c>
      <c r="CS1" s="23" t="s">
        <v>1184</v>
      </c>
      <c r="CU1" s="23" t="s">
        <v>1185</v>
      </c>
      <c r="CW1" s="23" t="s">
        <v>1186</v>
      </c>
      <c r="CY1" s="23" t="s">
        <v>1187</v>
      </c>
      <c r="DA1" s="23" t="s">
        <v>1188</v>
      </c>
      <c r="DC1" s="23" t="s">
        <v>1188</v>
      </c>
      <c r="DE1" s="23" t="s">
        <v>1188</v>
      </c>
      <c r="DG1" s="23" t="s">
        <v>1188</v>
      </c>
      <c r="DI1" s="23" t="s">
        <v>1189</v>
      </c>
      <c r="DL1" s="30" t="s">
        <v>1190</v>
      </c>
      <c r="DM1" s="23" t="s">
        <v>1191</v>
      </c>
      <c r="DN1" s="23" t="s">
        <v>1192</v>
      </c>
      <c r="DO1" s="23" t="s">
        <v>1193</v>
      </c>
      <c r="DP1" s="23" t="s">
        <v>1194</v>
      </c>
      <c r="DR1" s="23" t="s">
        <v>1195</v>
      </c>
      <c r="DT1" s="23" t="s">
        <v>1196</v>
      </c>
      <c r="DV1" s="23" t="s">
        <v>1197</v>
      </c>
      <c r="DX1" s="23" t="s">
        <v>1198</v>
      </c>
      <c r="DZ1" s="23" t="s">
        <v>1199</v>
      </c>
      <c r="EB1" s="23" t="s">
        <v>1200</v>
      </c>
      <c r="ED1" s="23" t="s">
        <v>1201</v>
      </c>
      <c r="EF1" s="23" t="s">
        <v>1202</v>
      </c>
      <c r="EH1" s="23" t="s">
        <v>1203</v>
      </c>
    </row>
    <row r="2" s="23" customFormat="1" ht="29" customHeight="1" spans="1:139 16333:16382">
      <c r="C2" s="30"/>
      <c r="D2" s="30"/>
      <c r="E2" s="30"/>
      <c r="F2" s="31"/>
      <c r="G2" s="30" t="s">
        <v>8</v>
      </c>
      <c r="H2" s="30" t="s">
        <v>9</v>
      </c>
      <c r="I2" s="30" t="s">
        <v>10</v>
      </c>
      <c r="J2" s="30" t="s">
        <v>8</v>
      </c>
      <c r="K2" s="32" t="s">
        <v>9</v>
      </c>
      <c r="L2" s="30" t="s">
        <v>10</v>
      </c>
      <c r="M2" s="30" t="s">
        <v>8</v>
      </c>
      <c r="N2" s="30" t="s">
        <v>9</v>
      </c>
      <c r="O2" s="32"/>
      <c r="Q2" s="30"/>
      <c r="R2" s="30"/>
      <c r="S2" s="30"/>
      <c r="T2" s="30"/>
      <c r="U2" s="30"/>
      <c r="V2" s="30" t="s">
        <v>8</v>
      </c>
      <c r="W2" s="32" t="s">
        <v>9</v>
      </c>
      <c r="X2" s="30" t="s">
        <v>8</v>
      </c>
      <c r="Y2" s="32" t="s">
        <v>9</v>
      </c>
      <c r="Z2" s="32"/>
      <c r="AA2" s="30" t="s">
        <v>1204</v>
      </c>
      <c r="AB2" s="36" t="s">
        <v>1205</v>
      </c>
      <c r="AC2" s="23" t="s">
        <v>1206</v>
      </c>
      <c r="AD2" s="23" t="s">
        <v>1207</v>
      </c>
      <c r="AE2" s="23" t="s">
        <v>1206</v>
      </c>
      <c r="AF2" s="23" t="s">
        <v>1207</v>
      </c>
      <c r="AG2" s="23" t="s">
        <v>1206</v>
      </c>
      <c r="AH2" s="23" t="s">
        <v>1207</v>
      </c>
      <c r="AI2" s="23" t="s">
        <v>1206</v>
      </c>
      <c r="AJ2" s="23" t="s">
        <v>1207</v>
      </c>
      <c r="AK2" s="34" t="s">
        <v>1206</v>
      </c>
      <c r="AL2" s="34" t="s">
        <v>1207</v>
      </c>
      <c r="AM2" s="23" t="s">
        <v>1206</v>
      </c>
      <c r="AN2" s="23" t="s">
        <v>1207</v>
      </c>
      <c r="AO2" s="23" t="s">
        <v>1206</v>
      </c>
      <c r="AP2" s="23" t="s">
        <v>1207</v>
      </c>
      <c r="AQ2" s="23" t="s">
        <v>1206</v>
      </c>
      <c r="AR2" s="23" t="s">
        <v>1207</v>
      </c>
      <c r="AS2" s="23" t="s">
        <v>1206</v>
      </c>
      <c r="AT2" s="23" t="s">
        <v>1207</v>
      </c>
      <c r="AU2" s="23" t="s">
        <v>1206</v>
      </c>
      <c r="AV2" s="23" t="s">
        <v>1207</v>
      </c>
      <c r="AW2" s="23" t="s">
        <v>1206</v>
      </c>
      <c r="AX2" s="23" t="s">
        <v>1207</v>
      </c>
      <c r="AY2" s="37" t="s">
        <v>1206</v>
      </c>
      <c r="AZ2" s="37" t="s">
        <v>1207</v>
      </c>
      <c r="BA2" s="23" t="s">
        <v>1206</v>
      </c>
      <c r="BB2" s="23" t="s">
        <v>1207</v>
      </c>
      <c r="BC2" s="37" t="s">
        <v>1206</v>
      </c>
      <c r="BD2" s="37" t="s">
        <v>1207</v>
      </c>
      <c r="BE2" s="23" t="s">
        <v>1206</v>
      </c>
      <c r="BF2" s="23" t="s">
        <v>1207</v>
      </c>
      <c r="BG2" s="23" t="s">
        <v>1206</v>
      </c>
      <c r="BH2" s="23" t="s">
        <v>1207</v>
      </c>
      <c r="BI2" s="23" t="s">
        <v>1206</v>
      </c>
      <c r="BJ2" s="23" t="s">
        <v>1207</v>
      </c>
      <c r="BK2" s="23" t="s">
        <v>1206</v>
      </c>
      <c r="BL2" s="23" t="s">
        <v>1207</v>
      </c>
      <c r="BM2" s="23" t="s">
        <v>1206</v>
      </c>
      <c r="BN2" s="23" t="s">
        <v>1207</v>
      </c>
      <c r="BO2" s="23" t="s">
        <v>1206</v>
      </c>
      <c r="BP2" s="23" t="s">
        <v>1207</v>
      </c>
      <c r="BQ2" s="23" t="s">
        <v>1206</v>
      </c>
      <c r="BR2" s="23" t="s">
        <v>1207</v>
      </c>
      <c r="BS2" s="23" t="s">
        <v>1206</v>
      </c>
      <c r="BT2" s="23" t="s">
        <v>1207</v>
      </c>
      <c r="BU2" s="23" t="s">
        <v>1206</v>
      </c>
      <c r="BV2" s="23" t="s">
        <v>1207</v>
      </c>
      <c r="BW2" s="23" t="s">
        <v>1206</v>
      </c>
      <c r="BX2" s="23" t="s">
        <v>1207</v>
      </c>
      <c r="BY2" s="23" t="s">
        <v>1206</v>
      </c>
      <c r="BZ2" s="23" t="s">
        <v>1207</v>
      </c>
      <c r="CA2" s="23" t="s">
        <v>1206</v>
      </c>
      <c r="CB2" s="23" t="s">
        <v>1207</v>
      </c>
      <c r="CC2" s="23" t="s">
        <v>1206</v>
      </c>
      <c r="CD2" s="23" t="s">
        <v>1207</v>
      </c>
      <c r="CE2" s="23" t="s">
        <v>1206</v>
      </c>
      <c r="CF2" s="23" t="s">
        <v>1207</v>
      </c>
      <c r="CG2" s="23" t="s">
        <v>1206</v>
      </c>
      <c r="CH2" s="23" t="s">
        <v>1207</v>
      </c>
      <c r="CI2" s="23" t="s">
        <v>1206</v>
      </c>
      <c r="CJ2" s="23" t="s">
        <v>1207</v>
      </c>
      <c r="CK2" s="23" t="s">
        <v>1206</v>
      </c>
      <c r="CL2" s="23" t="s">
        <v>1207</v>
      </c>
      <c r="CM2" s="23" t="s">
        <v>1206</v>
      </c>
      <c r="CN2" s="23" t="s">
        <v>1207</v>
      </c>
      <c r="CO2" s="23" t="s">
        <v>1206</v>
      </c>
      <c r="CP2" s="23" t="s">
        <v>1207</v>
      </c>
      <c r="CQ2" s="23" t="s">
        <v>1206</v>
      </c>
      <c r="CR2" s="23" t="s">
        <v>1207</v>
      </c>
      <c r="CS2" s="23" t="s">
        <v>1206</v>
      </c>
      <c r="CT2" s="23" t="s">
        <v>1207</v>
      </c>
      <c r="CU2" s="23" t="s">
        <v>1206</v>
      </c>
      <c r="CV2" s="23" t="s">
        <v>1207</v>
      </c>
      <c r="CW2" s="23" t="s">
        <v>1206</v>
      </c>
      <c r="CX2" s="23" t="s">
        <v>1207</v>
      </c>
      <c r="CY2" s="23" t="s">
        <v>1206</v>
      </c>
      <c r="CZ2" s="23" t="s">
        <v>1207</v>
      </c>
      <c r="DA2" s="23" t="s">
        <v>1206</v>
      </c>
      <c r="DB2" s="23" t="s">
        <v>1207</v>
      </c>
      <c r="DC2" s="23" t="s">
        <v>1206</v>
      </c>
      <c r="DD2" s="23" t="s">
        <v>1207</v>
      </c>
      <c r="DE2" s="23" t="s">
        <v>1206</v>
      </c>
      <c r="DF2" s="23" t="s">
        <v>1207</v>
      </c>
      <c r="DG2" s="23" t="s">
        <v>1206</v>
      </c>
      <c r="DH2" s="23" t="s">
        <v>1207</v>
      </c>
      <c r="DI2" s="23" t="s">
        <v>1206</v>
      </c>
      <c r="DJ2" s="23" t="s">
        <v>1207</v>
      </c>
      <c r="DK2" s="23" t="s">
        <v>378</v>
      </c>
      <c r="DL2" s="30"/>
      <c r="DN2" s="30"/>
      <c r="DP2" s="23" t="s">
        <v>1206</v>
      </c>
      <c r="DQ2" s="23" t="s">
        <v>1207</v>
      </c>
      <c r="DR2" s="23" t="s">
        <v>1206</v>
      </c>
      <c r="DS2" s="23" t="s">
        <v>1207</v>
      </c>
      <c r="DT2" s="23" t="s">
        <v>1206</v>
      </c>
      <c r="DU2" s="23" t="s">
        <v>1207</v>
      </c>
      <c r="DV2" s="23" t="s">
        <v>1206</v>
      </c>
      <c r="DW2" s="23" t="s">
        <v>1207</v>
      </c>
      <c r="DX2" s="23" t="s">
        <v>1206</v>
      </c>
      <c r="DY2" s="23" t="s">
        <v>1207</v>
      </c>
      <c r="DZ2" s="23" t="s">
        <v>1206</v>
      </c>
      <c r="EA2" s="23" t="s">
        <v>1207</v>
      </c>
      <c r="EB2" s="23" t="s">
        <v>1206</v>
      </c>
      <c r="EC2" s="23" t="s">
        <v>1207</v>
      </c>
      <c r="ED2" s="23" t="s">
        <v>1206</v>
      </c>
      <c r="EE2" s="23" t="s">
        <v>1207</v>
      </c>
      <c r="EF2" s="23" t="s">
        <v>1206</v>
      </c>
      <c r="EG2" s="23" t="s">
        <v>1207</v>
      </c>
      <c r="EH2" s="23" t="s">
        <v>1206</v>
      </c>
      <c r="EI2" s="23" t="s">
        <v>1207</v>
      </c>
    </row>
    <row r="3" s="24" customFormat="1" customHeight="1" spans="1:139 16333:16382">
      <c r="A3" s="38" t="s">
        <v>404</v>
      </c>
      <c r="B3" s="24">
        <v>1</v>
      </c>
      <c r="C3" s="30" t="s">
        <v>239</v>
      </c>
      <c r="D3" s="39" t="s">
        <v>240</v>
      </c>
      <c r="F3" s="40" t="s">
        <v>412</v>
      </c>
      <c r="G3" s="24">
        <v>17</v>
      </c>
      <c r="H3" s="24">
        <v>25</v>
      </c>
      <c r="I3" s="24">
        <v>25</v>
      </c>
      <c r="J3" s="24">
        <v>42</v>
      </c>
      <c r="Z3" s="39" t="s">
        <v>240</v>
      </c>
      <c r="AA3" s="24">
        <v>21</v>
      </c>
      <c r="AB3" s="28"/>
      <c r="AC3" s="24">
        <v>17</v>
      </c>
      <c r="AD3" s="24">
        <v>25</v>
      </c>
      <c r="AE3" s="24">
        <v>25</v>
      </c>
      <c r="AF3" s="24">
        <v>42</v>
      </c>
      <c r="AG3" s="41">
        <v>21</v>
      </c>
      <c r="AH3" s="42">
        <v>36</v>
      </c>
      <c r="AI3" s="41">
        <v>24</v>
      </c>
      <c r="AJ3" s="41">
        <v>48</v>
      </c>
      <c r="AK3" s="29">
        <v>20</v>
      </c>
      <c r="AL3" s="29">
        <v>31</v>
      </c>
      <c r="AM3" s="24">
        <v>26</v>
      </c>
      <c r="AN3" s="24">
        <v>50</v>
      </c>
      <c r="AO3" s="20">
        <v>19</v>
      </c>
      <c r="AP3" s="20">
        <v>38</v>
      </c>
      <c r="AQ3" s="20">
        <v>26</v>
      </c>
      <c r="AR3" s="20">
        <v>50</v>
      </c>
      <c r="AS3" s="43">
        <v>19</v>
      </c>
      <c r="AT3" s="43">
        <v>43</v>
      </c>
      <c r="AU3" s="29">
        <v>26</v>
      </c>
      <c r="AV3" s="29">
        <v>55</v>
      </c>
      <c r="AW3" s="29">
        <v>19</v>
      </c>
      <c r="AX3" s="44">
        <v>40</v>
      </c>
      <c r="AY3" s="45">
        <v>26</v>
      </c>
      <c r="AZ3" s="45">
        <v>52</v>
      </c>
      <c r="BA3" s="46">
        <v>19</v>
      </c>
      <c r="BB3" s="47">
        <v>38</v>
      </c>
      <c r="BC3" s="48">
        <v>26</v>
      </c>
      <c r="BD3" s="48">
        <v>50</v>
      </c>
      <c r="BE3" s="49"/>
      <c r="CC3" s="25"/>
      <c r="CE3" s="25"/>
      <c r="XDE3" s="50"/>
      <c r="XDF3" s="50"/>
      <c r="XDG3" s="50"/>
      <c r="XDH3" s="50"/>
      <c r="XDI3" s="50"/>
      <c r="XDJ3" s="50"/>
      <c r="XDK3" s="50"/>
      <c r="XDL3" s="50"/>
      <c r="XDM3" s="50"/>
      <c r="XDN3" s="50"/>
      <c r="XDO3" s="50"/>
      <c r="XDP3" s="50"/>
      <c r="XDQ3" s="50"/>
      <c r="XDR3" s="50"/>
      <c r="XDS3" s="50"/>
      <c r="XDT3" s="50"/>
      <c r="XDU3" s="50"/>
      <c r="XDV3" s="50"/>
      <c r="XDW3" s="50"/>
      <c r="XDX3" s="50"/>
      <c r="XDY3" s="50"/>
      <c r="XDZ3" s="50"/>
      <c r="XEA3" s="50"/>
      <c r="XEB3" s="50"/>
      <c r="XEC3" s="50"/>
      <c r="XED3" s="50"/>
      <c r="XEE3" s="50"/>
      <c r="XEF3" s="50"/>
      <c r="XEG3" s="50"/>
      <c r="XEH3" s="50"/>
      <c r="XEI3" s="50"/>
      <c r="XEJ3" s="50"/>
      <c r="XEK3" s="50"/>
      <c r="XEL3" s="50"/>
      <c r="XEM3" s="50"/>
      <c r="XEN3" s="50"/>
      <c r="XEO3" s="50"/>
      <c r="XEP3" s="50"/>
      <c r="XEQ3" s="50"/>
      <c r="XER3" s="50"/>
      <c r="XES3" s="50"/>
      <c r="XET3" s="50"/>
      <c r="XEU3" s="50"/>
      <c r="XEV3" s="50"/>
      <c r="XEW3" s="50"/>
      <c r="XEX3" s="50"/>
      <c r="XEY3" s="50"/>
      <c r="XEZ3" s="50"/>
      <c r="XFA3" s="50"/>
      <c r="XFB3" s="50"/>
    </row>
    <row r="4" s="24" customFormat="1" customHeight="1" spans="1:139 16333:16382">
      <c r="A4" s="51"/>
      <c r="B4" s="24">
        <v>2</v>
      </c>
      <c r="C4" s="30" t="s">
        <v>243</v>
      </c>
      <c r="D4" s="52" t="s">
        <v>244</v>
      </c>
      <c r="F4" s="40" t="s">
        <v>422</v>
      </c>
      <c r="G4" s="24">
        <v>17</v>
      </c>
      <c r="H4" s="24">
        <v>10</v>
      </c>
      <c r="I4" s="24">
        <v>20</v>
      </c>
      <c r="J4" s="24">
        <v>16</v>
      </c>
      <c r="Z4" s="52" t="s">
        <v>244</v>
      </c>
      <c r="AA4" s="24">
        <v>10</v>
      </c>
      <c r="AB4" s="28"/>
      <c r="AC4" s="24">
        <v>17</v>
      </c>
      <c r="AD4" s="24">
        <v>10</v>
      </c>
      <c r="AE4" s="24">
        <v>20</v>
      </c>
      <c r="AF4" s="24">
        <v>16</v>
      </c>
      <c r="AG4" s="41">
        <v>16</v>
      </c>
      <c r="AH4" s="41">
        <v>11</v>
      </c>
      <c r="AI4" s="41">
        <v>20</v>
      </c>
      <c r="AJ4" s="41">
        <v>23</v>
      </c>
      <c r="AK4" s="29">
        <v>16</v>
      </c>
      <c r="AL4" s="29">
        <v>11</v>
      </c>
      <c r="AM4" s="24">
        <v>20</v>
      </c>
      <c r="AN4" s="24">
        <v>23</v>
      </c>
      <c r="AO4" s="20">
        <v>16</v>
      </c>
      <c r="AP4" s="20">
        <v>11</v>
      </c>
      <c r="AQ4" s="20">
        <v>20</v>
      </c>
      <c r="AR4" s="20">
        <v>23</v>
      </c>
      <c r="AS4" s="43">
        <v>16</v>
      </c>
      <c r="AT4" s="43">
        <v>11</v>
      </c>
      <c r="AU4" s="29">
        <v>20</v>
      </c>
      <c r="AV4" s="29">
        <v>23</v>
      </c>
      <c r="AW4" s="29">
        <v>16</v>
      </c>
      <c r="AX4" s="29">
        <v>11</v>
      </c>
      <c r="AY4" s="53">
        <v>20</v>
      </c>
      <c r="AZ4" s="54">
        <v>23</v>
      </c>
      <c r="BA4" s="55">
        <v>16</v>
      </c>
      <c r="BB4" s="55">
        <v>11</v>
      </c>
      <c r="BC4" s="56">
        <v>20</v>
      </c>
      <c r="BD4" s="56">
        <v>23</v>
      </c>
      <c r="BE4" s="49"/>
      <c r="CC4" s="25"/>
      <c r="CE4" s="25"/>
      <c r="XDE4" s="50"/>
      <c r="XDF4" s="50"/>
      <c r="XDG4" s="50"/>
      <c r="XDH4" s="50"/>
      <c r="XDI4" s="50"/>
      <c r="XDJ4" s="50"/>
      <c r="XDK4" s="50"/>
      <c r="XDL4" s="50"/>
      <c r="XDM4" s="50"/>
      <c r="XDN4" s="50"/>
      <c r="XDO4" s="50"/>
      <c r="XDP4" s="50"/>
      <c r="XDQ4" s="50"/>
      <c r="XDR4" s="50"/>
      <c r="XDS4" s="50"/>
      <c r="XDT4" s="50"/>
      <c r="XDU4" s="50"/>
      <c r="XDV4" s="50"/>
      <c r="XDW4" s="50"/>
      <c r="XDX4" s="50"/>
      <c r="XDY4" s="50"/>
      <c r="XDZ4" s="50"/>
      <c r="XEA4" s="50"/>
      <c r="XEB4" s="50"/>
      <c r="XEC4" s="50"/>
      <c r="XED4" s="50"/>
      <c r="XEE4" s="50"/>
      <c r="XEF4" s="50"/>
      <c r="XEG4" s="50"/>
      <c r="XEH4" s="50"/>
      <c r="XEI4" s="50"/>
      <c r="XEJ4" s="50"/>
      <c r="XEK4" s="50"/>
      <c r="XEL4" s="50"/>
      <c r="XEM4" s="50"/>
      <c r="XEN4" s="50"/>
      <c r="XEO4" s="50"/>
      <c r="XEP4" s="50"/>
      <c r="XEQ4" s="50"/>
      <c r="XER4" s="50"/>
      <c r="XES4" s="50"/>
      <c r="XET4" s="50"/>
      <c r="XEU4" s="50"/>
      <c r="XEV4" s="50"/>
      <c r="XEW4" s="50"/>
      <c r="XEX4" s="50"/>
      <c r="XEY4" s="50"/>
      <c r="XEZ4" s="50"/>
      <c r="XFA4" s="50"/>
      <c r="XFB4" s="50"/>
    </row>
    <row r="5" s="24" customFormat="1" customHeight="1" spans="1:139 16333:16382">
      <c r="A5" s="51"/>
      <c r="B5" s="24">
        <v>3</v>
      </c>
      <c r="C5" s="23" t="s">
        <v>1208</v>
      </c>
      <c r="D5" s="27"/>
      <c r="F5" s="57"/>
      <c r="G5" s="24">
        <v>14</v>
      </c>
      <c r="H5" s="24">
        <v>10</v>
      </c>
      <c r="I5" s="24">
        <v>18</v>
      </c>
      <c r="J5" s="24">
        <v>14</v>
      </c>
      <c r="Z5" s="27"/>
      <c r="AA5" s="24">
        <v>8</v>
      </c>
      <c r="AB5" s="28"/>
      <c r="AC5" s="24">
        <v>14</v>
      </c>
      <c r="AD5" s="24">
        <v>10</v>
      </c>
      <c r="AE5" s="24">
        <v>18</v>
      </c>
      <c r="AF5" s="24">
        <v>14</v>
      </c>
      <c r="AG5" s="24">
        <v>14</v>
      </c>
      <c r="AH5" s="24">
        <v>10</v>
      </c>
      <c r="AI5" s="24">
        <v>18</v>
      </c>
      <c r="AJ5" s="24">
        <v>14</v>
      </c>
      <c r="AK5" s="29">
        <v>14</v>
      </c>
      <c r="AL5" s="29">
        <v>10</v>
      </c>
      <c r="AM5" s="24">
        <v>18</v>
      </c>
      <c r="AN5" s="24">
        <v>14</v>
      </c>
      <c r="AO5" s="20">
        <v>14</v>
      </c>
      <c r="AP5" s="20">
        <v>10</v>
      </c>
      <c r="AQ5" s="20">
        <v>18</v>
      </c>
      <c r="AR5" s="20">
        <v>14</v>
      </c>
      <c r="AS5" s="43">
        <v>18</v>
      </c>
      <c r="AT5" s="43">
        <v>14</v>
      </c>
      <c r="AU5" s="29">
        <v>18</v>
      </c>
      <c r="AV5" s="29">
        <v>14</v>
      </c>
      <c r="AW5" s="29">
        <v>14</v>
      </c>
      <c r="AX5" s="29">
        <v>10</v>
      </c>
      <c r="AY5" s="58">
        <v>18</v>
      </c>
      <c r="AZ5" s="59">
        <v>14</v>
      </c>
      <c r="BA5" s="55">
        <v>14</v>
      </c>
      <c r="BB5" s="55">
        <v>10</v>
      </c>
      <c r="BC5" s="56">
        <v>18</v>
      </c>
      <c r="BD5" s="56">
        <v>14</v>
      </c>
      <c r="BE5" s="49"/>
      <c r="CC5" s="25"/>
      <c r="CE5" s="25"/>
      <c r="XDE5" s="50"/>
      <c r="XDF5" s="50"/>
      <c r="XDG5" s="50"/>
      <c r="XDH5" s="50"/>
      <c r="XDI5" s="50"/>
      <c r="XDJ5" s="50"/>
      <c r="XDK5" s="50"/>
      <c r="XDL5" s="50"/>
      <c r="XDM5" s="50"/>
      <c r="XDN5" s="50"/>
      <c r="XDO5" s="50"/>
      <c r="XDP5" s="50"/>
      <c r="XDQ5" s="50"/>
      <c r="XDR5" s="50"/>
      <c r="XDS5" s="50"/>
      <c r="XDT5" s="50"/>
      <c r="XDU5" s="50"/>
      <c r="XDV5" s="50"/>
      <c r="XDW5" s="50"/>
      <c r="XDX5" s="50"/>
      <c r="XDY5" s="50"/>
      <c r="XDZ5" s="50"/>
      <c r="XEA5" s="50"/>
      <c r="XEB5" s="50"/>
      <c r="XEC5" s="50"/>
      <c r="XED5" s="50"/>
      <c r="XEE5" s="50"/>
      <c r="XEF5" s="50"/>
      <c r="XEG5" s="50"/>
      <c r="XEH5" s="50"/>
      <c r="XEI5" s="50"/>
      <c r="XEJ5" s="50"/>
      <c r="XEK5" s="50"/>
      <c r="XEL5" s="50"/>
      <c r="XEM5" s="50"/>
      <c r="XEN5" s="50"/>
      <c r="XEO5" s="50"/>
      <c r="XEP5" s="50"/>
      <c r="XEQ5" s="50"/>
      <c r="XER5" s="50"/>
      <c r="XES5" s="50"/>
      <c r="XET5" s="50"/>
      <c r="XEU5" s="50"/>
      <c r="XEV5" s="50"/>
      <c r="XEW5" s="50"/>
      <c r="XEX5" s="50"/>
      <c r="XEY5" s="50"/>
      <c r="XEZ5" s="50"/>
      <c r="XFA5" s="50"/>
      <c r="XFB5" s="50"/>
    </row>
    <row r="6" s="24" customFormat="1" customHeight="1" spans="1:139 16333:16382">
      <c r="A6" s="60"/>
      <c r="B6" s="24">
        <v>4</v>
      </c>
      <c r="C6" s="23" t="s">
        <v>1209</v>
      </c>
      <c r="D6" s="27"/>
      <c r="F6" s="57"/>
      <c r="G6" s="24">
        <v>7</v>
      </c>
      <c r="H6" s="24">
        <v>2</v>
      </c>
      <c r="I6" s="24">
        <v>4</v>
      </c>
      <c r="J6" s="24">
        <v>2</v>
      </c>
      <c r="Z6" s="27"/>
      <c r="AB6" s="24">
        <v>1</v>
      </c>
      <c r="AC6" s="24">
        <v>7</v>
      </c>
      <c r="AD6" s="24">
        <v>2</v>
      </c>
      <c r="AE6" s="24">
        <v>4</v>
      </c>
      <c r="AF6" s="24">
        <v>2</v>
      </c>
      <c r="AG6" s="24">
        <v>7</v>
      </c>
      <c r="AH6" s="24">
        <v>2</v>
      </c>
      <c r="AI6" s="24">
        <v>3</v>
      </c>
      <c r="AJ6" s="24">
        <v>1</v>
      </c>
      <c r="AK6" s="29">
        <v>5</v>
      </c>
      <c r="AL6" s="29">
        <v>1</v>
      </c>
      <c r="AM6" s="24">
        <v>3</v>
      </c>
      <c r="AN6" s="24">
        <v>1</v>
      </c>
      <c r="AO6" s="20">
        <v>5</v>
      </c>
      <c r="AP6" s="20">
        <v>1</v>
      </c>
      <c r="AQ6" s="20">
        <v>1</v>
      </c>
      <c r="AR6" s="20">
        <v>1</v>
      </c>
      <c r="AS6" s="43">
        <v>1</v>
      </c>
      <c r="AT6" s="43">
        <v>1</v>
      </c>
      <c r="AU6" s="29">
        <v>1</v>
      </c>
      <c r="AV6" s="29">
        <v>1</v>
      </c>
      <c r="AW6" s="29">
        <v>2</v>
      </c>
      <c r="AX6" s="29">
        <v>1</v>
      </c>
      <c r="AY6" s="58">
        <v>1</v>
      </c>
      <c r="AZ6" s="59">
        <v>1</v>
      </c>
      <c r="BA6" s="55">
        <v>2</v>
      </c>
      <c r="BB6" s="55">
        <v>1</v>
      </c>
      <c r="BC6" s="56">
        <v>1</v>
      </c>
      <c r="BD6" s="56">
        <v>1</v>
      </c>
      <c r="BE6" s="49"/>
      <c r="CC6" s="25"/>
      <c r="CE6" s="25"/>
      <c r="XDE6" s="50"/>
      <c r="XDF6" s="50"/>
      <c r="XDG6" s="50"/>
      <c r="XDH6" s="50"/>
      <c r="XDI6" s="50"/>
      <c r="XDJ6" s="50"/>
      <c r="XDK6" s="50"/>
      <c r="XDL6" s="50"/>
      <c r="XDM6" s="50"/>
      <c r="XDN6" s="50"/>
      <c r="XDO6" s="50"/>
      <c r="XDP6" s="50"/>
      <c r="XDQ6" s="50"/>
      <c r="XDR6" s="50"/>
      <c r="XDS6" s="50"/>
      <c r="XDT6" s="50"/>
      <c r="XDU6" s="50"/>
      <c r="XDV6" s="50"/>
      <c r="XDW6" s="50"/>
      <c r="XDX6" s="50"/>
      <c r="XDY6" s="50"/>
      <c r="XDZ6" s="50"/>
      <c r="XEA6" s="50"/>
      <c r="XEB6" s="50"/>
      <c r="XEC6" s="50"/>
      <c r="XED6" s="50"/>
      <c r="XEE6" s="50"/>
      <c r="XEF6" s="50"/>
      <c r="XEG6" s="50"/>
      <c r="XEH6" s="50"/>
      <c r="XEI6" s="50"/>
      <c r="XEJ6" s="50"/>
      <c r="XEK6" s="50"/>
      <c r="XEL6" s="50"/>
      <c r="XEM6" s="50"/>
      <c r="XEN6" s="50"/>
      <c r="XEO6" s="50"/>
      <c r="XEP6" s="50"/>
      <c r="XEQ6" s="50"/>
      <c r="XER6" s="50"/>
      <c r="XES6" s="50"/>
      <c r="XET6" s="50"/>
      <c r="XEU6" s="50"/>
      <c r="XEV6" s="50"/>
      <c r="XEW6" s="50"/>
      <c r="XEX6" s="50"/>
      <c r="XEY6" s="50"/>
      <c r="XEZ6" s="50"/>
      <c r="XFA6" s="50"/>
      <c r="XFB6" s="50"/>
    </row>
    <row r="7" s="24" customFormat="1" customHeight="1" spans="1:139 16333:16382">
      <c r="A7" s="38" t="s">
        <v>449</v>
      </c>
      <c r="B7" s="24">
        <v>5</v>
      </c>
      <c r="C7" s="30" t="s">
        <v>248</v>
      </c>
      <c r="D7" s="27" t="s">
        <v>1210</v>
      </c>
      <c r="F7" s="57"/>
      <c r="G7" s="24">
        <v>12</v>
      </c>
      <c r="H7" s="24">
        <v>18</v>
      </c>
      <c r="I7" s="24">
        <v>14</v>
      </c>
      <c r="J7" s="24">
        <v>26</v>
      </c>
      <c r="Z7" s="27" t="s">
        <v>1210</v>
      </c>
      <c r="AA7" s="24">
        <v>20</v>
      </c>
      <c r="AB7" s="28"/>
      <c r="AC7" s="24">
        <v>12</v>
      </c>
      <c r="AD7" s="24">
        <v>18</v>
      </c>
      <c r="AE7" s="24">
        <v>14</v>
      </c>
      <c r="AF7" s="24">
        <v>26</v>
      </c>
      <c r="AG7" s="41">
        <v>25</v>
      </c>
      <c r="AH7" s="41">
        <v>47</v>
      </c>
      <c r="AI7" s="41">
        <v>30</v>
      </c>
      <c r="AJ7" s="41">
        <v>66</v>
      </c>
      <c r="AK7" s="29">
        <v>21</v>
      </c>
      <c r="AL7" s="29">
        <v>37</v>
      </c>
      <c r="AM7" s="24">
        <v>30</v>
      </c>
      <c r="AN7" s="24">
        <v>54</v>
      </c>
      <c r="AO7" s="20">
        <v>24</v>
      </c>
      <c r="AP7" s="20">
        <v>45</v>
      </c>
      <c r="AQ7" s="20">
        <v>27</v>
      </c>
      <c r="AR7" s="20">
        <v>62</v>
      </c>
      <c r="AS7" s="43">
        <v>21</v>
      </c>
      <c r="AT7" s="43">
        <v>46</v>
      </c>
      <c r="AU7" s="29">
        <v>27</v>
      </c>
      <c r="AV7" s="29">
        <v>62</v>
      </c>
      <c r="AW7" s="29">
        <v>21</v>
      </c>
      <c r="AX7" s="29">
        <v>46</v>
      </c>
      <c r="AY7" s="61">
        <v>27</v>
      </c>
      <c r="AZ7" s="62">
        <v>54</v>
      </c>
      <c r="BA7" s="55">
        <v>19</v>
      </c>
      <c r="BB7" s="55">
        <v>41</v>
      </c>
      <c r="BC7" s="56">
        <v>25</v>
      </c>
      <c r="BD7" s="56">
        <v>56</v>
      </c>
      <c r="BE7" s="49"/>
      <c r="BW7" s="25"/>
      <c r="XDE7" s="50"/>
      <c r="XDF7" s="50"/>
      <c r="XDG7" s="50"/>
      <c r="XDH7" s="50"/>
      <c r="XDI7" s="50"/>
      <c r="XDJ7" s="50"/>
      <c r="XDK7" s="50"/>
      <c r="XDL7" s="50"/>
      <c r="XDM7" s="50"/>
      <c r="XDN7" s="50"/>
      <c r="XDO7" s="50"/>
      <c r="XDP7" s="50"/>
      <c r="XDQ7" s="50"/>
      <c r="XDR7" s="50"/>
      <c r="XDS7" s="50"/>
      <c r="XDT7" s="50"/>
      <c r="XDU7" s="50"/>
      <c r="XDV7" s="50"/>
      <c r="XDW7" s="50"/>
      <c r="XDX7" s="50"/>
      <c r="XDY7" s="50"/>
      <c r="XDZ7" s="50"/>
      <c r="XEA7" s="50"/>
      <c r="XEB7" s="50"/>
      <c r="XEC7" s="50"/>
      <c r="XED7" s="50"/>
      <c r="XEE7" s="50"/>
      <c r="XEF7" s="50"/>
      <c r="XEG7" s="50"/>
      <c r="XEH7" s="50"/>
      <c r="XEI7" s="50"/>
      <c r="XEJ7" s="50"/>
      <c r="XEK7" s="50"/>
      <c r="XEL7" s="50"/>
      <c r="XEM7" s="50"/>
      <c r="XEN7" s="50"/>
      <c r="XEO7" s="50"/>
      <c r="XEP7" s="50"/>
      <c r="XEQ7" s="50"/>
      <c r="XER7" s="50"/>
      <c r="XES7" s="50"/>
      <c r="XET7" s="50"/>
      <c r="XEU7" s="50"/>
      <c r="XEV7" s="50"/>
      <c r="XEW7" s="50"/>
      <c r="XEX7" s="50"/>
      <c r="XEY7" s="50"/>
      <c r="XEZ7" s="50"/>
      <c r="XFA7" s="50"/>
      <c r="XFB7" s="50"/>
    </row>
    <row r="8" s="24" customFormat="1" customHeight="1" spans="1:139 16333:16382">
      <c r="A8" s="60"/>
      <c r="B8" s="24">
        <v>6</v>
      </c>
      <c r="C8" s="30" t="s">
        <v>251</v>
      </c>
      <c r="D8" s="63" t="s">
        <v>252</v>
      </c>
      <c r="F8" s="57"/>
      <c r="G8" s="24">
        <v>9</v>
      </c>
      <c r="H8" s="24">
        <v>3</v>
      </c>
      <c r="I8" s="24">
        <v>22</v>
      </c>
      <c r="J8" s="24">
        <v>26</v>
      </c>
      <c r="Z8" s="63" t="s">
        <v>252</v>
      </c>
      <c r="AA8" s="24">
        <v>12</v>
      </c>
      <c r="AB8" s="28"/>
      <c r="AC8" s="24">
        <v>9</v>
      </c>
      <c r="AD8" s="24">
        <v>3</v>
      </c>
      <c r="AE8" s="24">
        <v>22</v>
      </c>
      <c r="AF8" s="24">
        <v>26</v>
      </c>
      <c r="AG8" s="41">
        <v>9</v>
      </c>
      <c r="AH8" s="41">
        <v>18</v>
      </c>
      <c r="AI8" s="41">
        <v>10</v>
      </c>
      <c r="AJ8" s="41">
        <v>34</v>
      </c>
      <c r="AK8" s="29">
        <v>15</v>
      </c>
      <c r="AL8" s="29">
        <v>15</v>
      </c>
      <c r="AM8" s="24">
        <v>14</v>
      </c>
      <c r="AN8" s="24">
        <v>31</v>
      </c>
      <c r="AO8" s="20">
        <v>14</v>
      </c>
      <c r="AP8" s="20">
        <v>22</v>
      </c>
      <c r="AQ8" s="20">
        <v>14</v>
      </c>
      <c r="AR8" s="20">
        <v>28</v>
      </c>
      <c r="AS8" s="43">
        <v>14</v>
      </c>
      <c r="AT8" s="43">
        <v>22</v>
      </c>
      <c r="AU8" s="29">
        <v>14</v>
      </c>
      <c r="AV8" s="29">
        <v>28</v>
      </c>
      <c r="AW8" s="29">
        <v>14</v>
      </c>
      <c r="AX8" s="44">
        <v>25</v>
      </c>
      <c r="AY8" s="45">
        <v>14</v>
      </c>
      <c r="AZ8" s="45">
        <v>32</v>
      </c>
      <c r="BA8" s="55">
        <v>14</v>
      </c>
      <c r="BB8" s="55">
        <v>25</v>
      </c>
      <c r="BC8" s="56">
        <v>14</v>
      </c>
      <c r="BD8" s="56">
        <v>32</v>
      </c>
      <c r="BE8" s="49"/>
      <c r="BW8" s="25"/>
      <c r="XDE8" s="50"/>
      <c r="XDF8" s="50"/>
      <c r="XDG8" s="50"/>
      <c r="XDH8" s="50"/>
      <c r="XDI8" s="50"/>
      <c r="XDJ8" s="50"/>
      <c r="XDK8" s="50"/>
      <c r="XDL8" s="50"/>
      <c r="XDM8" s="50"/>
      <c r="XDN8" s="50"/>
      <c r="XDO8" s="50"/>
      <c r="XDP8" s="50"/>
      <c r="XDQ8" s="50"/>
      <c r="XDR8" s="50"/>
      <c r="XDS8" s="50"/>
      <c r="XDT8" s="50"/>
      <c r="XDU8" s="50"/>
      <c r="XDV8" s="50"/>
      <c r="XDW8" s="50"/>
      <c r="XDX8" s="50"/>
      <c r="XDY8" s="50"/>
      <c r="XDZ8" s="50"/>
      <c r="XEA8" s="50"/>
      <c r="XEB8" s="50"/>
      <c r="XEC8" s="50"/>
      <c r="XED8" s="50"/>
      <c r="XEE8" s="50"/>
      <c r="XEF8" s="50"/>
      <c r="XEG8" s="50"/>
      <c r="XEH8" s="50"/>
      <c r="XEI8" s="50"/>
      <c r="XEJ8" s="50"/>
      <c r="XEK8" s="50"/>
      <c r="XEL8" s="50"/>
      <c r="XEM8" s="50"/>
      <c r="XEN8" s="50"/>
      <c r="XEO8" s="50"/>
      <c r="XEP8" s="50"/>
      <c r="XEQ8" s="50"/>
      <c r="XER8" s="50"/>
      <c r="XES8" s="50"/>
      <c r="XET8" s="50"/>
      <c r="XEU8" s="50"/>
      <c r="XEV8" s="50"/>
      <c r="XEW8" s="50"/>
      <c r="XEX8" s="50"/>
      <c r="XEY8" s="50"/>
      <c r="XEZ8" s="50"/>
      <c r="XFA8" s="50"/>
      <c r="XFB8" s="50"/>
    </row>
    <row r="9" s="24" customFormat="1" customHeight="1" spans="1:139 16333:16382">
      <c r="A9" s="38" t="s">
        <v>465</v>
      </c>
      <c r="B9" s="24">
        <v>7</v>
      </c>
      <c r="C9" s="23" t="s">
        <v>1211</v>
      </c>
      <c r="D9" s="27" t="s">
        <v>249</v>
      </c>
      <c r="F9" s="57"/>
      <c r="G9" s="24">
        <v>13</v>
      </c>
      <c r="H9" s="24">
        <v>32</v>
      </c>
      <c r="I9" s="24">
        <v>16</v>
      </c>
      <c r="J9" s="24">
        <v>44</v>
      </c>
      <c r="Z9" s="27" t="s">
        <v>249</v>
      </c>
      <c r="AA9" s="24">
        <v>17</v>
      </c>
      <c r="AB9" s="28"/>
      <c r="AC9" s="24">
        <v>13</v>
      </c>
      <c r="AD9" s="24">
        <v>32</v>
      </c>
      <c r="AE9" s="24">
        <v>16</v>
      </c>
      <c r="AF9" s="24">
        <v>44</v>
      </c>
      <c r="AG9" s="41">
        <v>15</v>
      </c>
      <c r="AH9" s="41">
        <v>36</v>
      </c>
      <c r="AI9" s="41">
        <v>18</v>
      </c>
      <c r="AJ9" s="41">
        <v>50</v>
      </c>
      <c r="AK9" s="29">
        <v>15</v>
      </c>
      <c r="AL9" s="29">
        <v>36</v>
      </c>
      <c r="AM9" s="24">
        <v>18</v>
      </c>
      <c r="AN9" s="24">
        <v>46</v>
      </c>
      <c r="AO9" s="20">
        <v>18</v>
      </c>
      <c r="AP9" s="20">
        <v>33</v>
      </c>
      <c r="AQ9" s="20">
        <v>22</v>
      </c>
      <c r="AR9" s="20">
        <v>46</v>
      </c>
      <c r="AS9" s="43">
        <v>18</v>
      </c>
      <c r="AT9" s="43">
        <v>33</v>
      </c>
      <c r="AU9" s="29">
        <v>22</v>
      </c>
      <c r="AV9" s="29">
        <v>46</v>
      </c>
      <c r="AW9" s="29">
        <v>18</v>
      </c>
      <c r="AX9" s="29">
        <v>33</v>
      </c>
      <c r="AY9" s="53">
        <v>22</v>
      </c>
      <c r="AZ9" s="53">
        <v>46</v>
      </c>
      <c r="BA9" s="64">
        <v>18</v>
      </c>
      <c r="BB9" s="65">
        <v>33</v>
      </c>
      <c r="BC9" s="66">
        <v>22</v>
      </c>
      <c r="BD9" s="66">
        <v>46</v>
      </c>
      <c r="BE9" s="49"/>
      <c r="CC9" s="25"/>
      <c r="CE9" s="25"/>
      <c r="XDE9" s="50"/>
      <c r="XDF9" s="50"/>
      <c r="XDG9" s="50"/>
      <c r="XDH9" s="50"/>
      <c r="XDI9" s="50"/>
      <c r="XDJ9" s="50"/>
      <c r="XDK9" s="50"/>
      <c r="XDL9" s="50"/>
      <c r="XDM9" s="50"/>
      <c r="XDN9" s="50"/>
      <c r="XDO9" s="50"/>
      <c r="XDP9" s="50"/>
      <c r="XDQ9" s="50"/>
      <c r="XDR9" s="50"/>
      <c r="XDS9" s="50"/>
      <c r="XDT9" s="50"/>
      <c r="XDU9" s="50"/>
      <c r="XDV9" s="50"/>
      <c r="XDW9" s="50"/>
      <c r="XDX9" s="50"/>
      <c r="XDY9" s="50"/>
      <c r="XDZ9" s="50"/>
      <c r="XEA9" s="50"/>
      <c r="XEB9" s="50"/>
      <c r="XEC9" s="50"/>
      <c r="XED9" s="50"/>
      <c r="XEE9" s="50"/>
      <c r="XEF9" s="50"/>
      <c r="XEG9" s="50"/>
      <c r="XEH9" s="50"/>
      <c r="XEI9" s="50"/>
      <c r="XEJ9" s="50"/>
      <c r="XEK9" s="50"/>
      <c r="XEL9" s="50"/>
      <c r="XEM9" s="50"/>
      <c r="XEN9" s="50"/>
      <c r="XEO9" s="50"/>
      <c r="XEP9" s="50"/>
      <c r="XEQ9" s="50"/>
      <c r="XER9" s="50"/>
      <c r="XES9" s="50"/>
      <c r="XET9" s="50"/>
      <c r="XEU9" s="50"/>
      <c r="XEV9" s="50"/>
      <c r="XEW9" s="50"/>
      <c r="XEX9" s="50"/>
      <c r="XEY9" s="50"/>
      <c r="XEZ9" s="50"/>
      <c r="XFA9" s="50"/>
      <c r="XFB9" s="50"/>
    </row>
    <row r="10" s="24" customFormat="1" customHeight="1" spans="1:139 16333:16382">
      <c r="A10" s="51"/>
      <c r="B10" s="24">
        <v>8</v>
      </c>
      <c r="C10" s="30" t="s">
        <v>472</v>
      </c>
      <c r="D10" s="52" t="s">
        <v>474</v>
      </c>
      <c r="F10" s="57"/>
      <c r="G10" s="24">
        <v>32</v>
      </c>
      <c r="H10" s="24">
        <v>22</v>
      </c>
      <c r="I10" s="24">
        <v>44</v>
      </c>
      <c r="J10" s="24">
        <v>42</v>
      </c>
      <c r="Z10" s="52" t="s">
        <v>474</v>
      </c>
      <c r="AA10" s="24">
        <v>27</v>
      </c>
      <c r="AB10" s="28"/>
      <c r="AC10" s="24">
        <v>32</v>
      </c>
      <c r="AD10" s="24">
        <v>22</v>
      </c>
      <c r="AE10" s="24">
        <v>44</v>
      </c>
      <c r="AF10" s="24">
        <v>42</v>
      </c>
      <c r="AG10" s="41">
        <v>43</v>
      </c>
      <c r="AH10" s="41">
        <v>29</v>
      </c>
      <c r="AI10" s="41">
        <v>54</v>
      </c>
      <c r="AJ10" s="41">
        <v>42</v>
      </c>
      <c r="AK10" s="29">
        <v>39</v>
      </c>
      <c r="AL10" s="29">
        <v>27</v>
      </c>
      <c r="AM10" s="24">
        <v>48</v>
      </c>
      <c r="AN10" s="24">
        <v>40</v>
      </c>
      <c r="AO10" s="20">
        <v>39</v>
      </c>
      <c r="AP10" s="20">
        <v>27</v>
      </c>
      <c r="AQ10" s="20">
        <v>52</v>
      </c>
      <c r="AR10" s="20">
        <v>48</v>
      </c>
      <c r="AS10" s="43">
        <v>48</v>
      </c>
      <c r="AT10" s="43">
        <v>33</v>
      </c>
      <c r="AU10" s="29">
        <v>60</v>
      </c>
      <c r="AV10" s="29">
        <v>48</v>
      </c>
      <c r="AW10" s="29">
        <v>48</v>
      </c>
      <c r="AX10" s="29">
        <v>33</v>
      </c>
      <c r="AY10" s="58">
        <v>60</v>
      </c>
      <c r="AZ10" s="59">
        <v>48</v>
      </c>
      <c r="BA10" s="55">
        <v>48</v>
      </c>
      <c r="BB10" s="55">
        <v>33</v>
      </c>
      <c r="BC10" s="56">
        <v>60</v>
      </c>
      <c r="BD10" s="56">
        <v>48</v>
      </c>
      <c r="BE10" s="49"/>
      <c r="BO10" s="25"/>
      <c r="XDE10" s="50"/>
      <c r="XDF10" s="50"/>
      <c r="XDG10" s="50"/>
      <c r="XDH10" s="50"/>
      <c r="XDI10" s="50"/>
      <c r="XDJ10" s="50"/>
      <c r="XDK10" s="50"/>
      <c r="XDL10" s="50"/>
      <c r="XDM10" s="50"/>
      <c r="XDN10" s="50"/>
      <c r="XDO10" s="50"/>
      <c r="XDP10" s="50"/>
      <c r="XDQ10" s="50"/>
      <c r="XDR10" s="50"/>
      <c r="XDS10" s="50"/>
      <c r="XDT10" s="50"/>
      <c r="XDU10" s="50"/>
      <c r="XDV10" s="50"/>
      <c r="XDW10" s="50"/>
      <c r="XDX10" s="50"/>
      <c r="XDY10" s="50"/>
      <c r="XDZ10" s="50"/>
      <c r="XEA10" s="50"/>
      <c r="XEB10" s="50"/>
      <c r="XEC10" s="50"/>
      <c r="XED10" s="50"/>
      <c r="XEE10" s="50"/>
      <c r="XEF10" s="50"/>
      <c r="XEG10" s="50"/>
      <c r="XEH10" s="50"/>
      <c r="XEI10" s="50"/>
      <c r="XEJ10" s="50"/>
      <c r="XEK10" s="50"/>
      <c r="XEL10" s="50"/>
      <c r="XEM10" s="50"/>
      <c r="XEN10" s="50"/>
      <c r="XEO10" s="50"/>
      <c r="XEP10" s="50"/>
      <c r="XEQ10" s="50"/>
      <c r="XER10" s="50"/>
      <c r="XES10" s="50"/>
      <c r="XET10" s="50"/>
      <c r="XEU10" s="50"/>
      <c r="XEV10" s="50"/>
      <c r="XEW10" s="50"/>
      <c r="XEX10" s="50"/>
      <c r="XEY10" s="50"/>
      <c r="XEZ10" s="50"/>
      <c r="XFA10" s="50"/>
      <c r="XFB10" s="50"/>
    </row>
    <row r="11" s="24" customFormat="1" customHeight="1" spans="1:139 16333:16382">
      <c r="A11" s="51"/>
      <c r="B11" s="24">
        <v>9</v>
      </c>
      <c r="C11" s="30" t="s">
        <v>483</v>
      </c>
      <c r="D11" s="52" t="s">
        <v>259</v>
      </c>
      <c r="F11" s="57"/>
      <c r="G11" s="24">
        <v>51</v>
      </c>
      <c r="H11" s="24">
        <v>75</v>
      </c>
      <c r="I11" s="24">
        <v>51</v>
      </c>
      <c r="J11" s="24">
        <v>75</v>
      </c>
      <c r="Z11" s="52" t="s">
        <v>259</v>
      </c>
      <c r="AA11" s="24">
        <v>48</v>
      </c>
      <c r="AB11" s="28"/>
      <c r="AC11" s="24">
        <v>51</v>
      </c>
      <c r="AD11" s="24">
        <v>75</v>
      </c>
      <c r="AE11" s="24">
        <v>51</v>
      </c>
      <c r="AF11" s="24">
        <v>75</v>
      </c>
      <c r="AG11" s="24">
        <v>51</v>
      </c>
      <c r="AH11" s="24">
        <v>75</v>
      </c>
      <c r="AI11" s="24">
        <v>51</v>
      </c>
      <c r="AJ11" s="24">
        <v>105</v>
      </c>
      <c r="AK11" s="29">
        <v>51</v>
      </c>
      <c r="AL11" s="29">
        <v>105</v>
      </c>
      <c r="AM11" s="24">
        <v>42</v>
      </c>
      <c r="AN11" s="24">
        <v>114</v>
      </c>
      <c r="AO11" s="20">
        <v>40</v>
      </c>
      <c r="AP11" s="20">
        <v>101</v>
      </c>
      <c r="AQ11" s="20">
        <v>40</v>
      </c>
      <c r="AR11" s="20">
        <v>101</v>
      </c>
      <c r="AS11" s="43">
        <v>40</v>
      </c>
      <c r="AT11" s="43">
        <v>104</v>
      </c>
      <c r="AU11" s="29">
        <v>40</v>
      </c>
      <c r="AV11" s="29">
        <v>107</v>
      </c>
      <c r="AW11" s="29">
        <v>35</v>
      </c>
      <c r="AX11" s="29">
        <v>112</v>
      </c>
      <c r="AY11" s="61">
        <v>35</v>
      </c>
      <c r="AZ11" s="62">
        <v>109</v>
      </c>
      <c r="BA11" s="55">
        <v>35</v>
      </c>
      <c r="BB11" s="55">
        <v>112</v>
      </c>
      <c r="BC11" s="56">
        <v>35</v>
      </c>
      <c r="BD11" s="56">
        <v>115</v>
      </c>
      <c r="BE11" s="49"/>
      <c r="BW11" s="25"/>
      <c r="XDE11" s="50"/>
      <c r="XDF11" s="50"/>
      <c r="XDG11" s="50"/>
      <c r="XDH11" s="50"/>
      <c r="XDI11" s="50"/>
      <c r="XDJ11" s="50"/>
      <c r="XDK11" s="50"/>
      <c r="XDL11" s="50"/>
      <c r="XDM11" s="50"/>
      <c r="XDN11" s="50"/>
      <c r="XDO11" s="50"/>
      <c r="XDP11" s="50"/>
      <c r="XDQ11" s="50"/>
      <c r="XDR11" s="50"/>
      <c r="XDS11" s="50"/>
      <c r="XDT11" s="50"/>
      <c r="XDU11" s="50"/>
      <c r="XDV11" s="50"/>
      <c r="XDW11" s="50"/>
      <c r="XDX11" s="50"/>
      <c r="XDY11" s="50"/>
      <c r="XDZ11" s="50"/>
      <c r="XEA11" s="50"/>
      <c r="XEB11" s="50"/>
      <c r="XEC11" s="50"/>
      <c r="XED11" s="50"/>
      <c r="XEE11" s="50"/>
      <c r="XEF11" s="50"/>
      <c r="XEG11" s="50"/>
      <c r="XEH11" s="50"/>
      <c r="XEI11" s="50"/>
      <c r="XEJ11" s="50"/>
      <c r="XEK11" s="50"/>
      <c r="XEL11" s="50"/>
      <c r="XEM11" s="50"/>
      <c r="XEN11" s="50"/>
      <c r="XEO11" s="50"/>
      <c r="XEP11" s="50"/>
      <c r="XEQ11" s="50"/>
      <c r="XER11" s="50"/>
      <c r="XES11" s="50"/>
      <c r="XET11" s="50"/>
      <c r="XEU11" s="50"/>
      <c r="XEV11" s="50"/>
      <c r="XEW11" s="50"/>
      <c r="XEX11" s="50"/>
      <c r="XEY11" s="50"/>
      <c r="XEZ11" s="50"/>
      <c r="XFA11" s="50"/>
      <c r="XFB11" s="50"/>
    </row>
    <row r="12" s="24" customFormat="1" customHeight="1" spans="1:139 16333:16382">
      <c r="A12" s="51"/>
      <c r="B12" s="24">
        <v>10</v>
      </c>
      <c r="C12" s="23" t="s">
        <v>1212</v>
      </c>
      <c r="D12" s="27"/>
      <c r="F12" s="57"/>
      <c r="G12" s="24">
        <v>27</v>
      </c>
      <c r="H12" s="24">
        <v>9</v>
      </c>
      <c r="I12" s="24">
        <v>17</v>
      </c>
      <c r="J12" s="24">
        <v>7</v>
      </c>
      <c r="Z12" s="27"/>
      <c r="AA12" s="24">
        <v>21</v>
      </c>
      <c r="AB12" s="28"/>
      <c r="AC12" s="24">
        <v>27</v>
      </c>
      <c r="AD12" s="24">
        <v>9</v>
      </c>
      <c r="AE12" s="24">
        <v>17</v>
      </c>
      <c r="AF12" s="24">
        <v>7</v>
      </c>
      <c r="AG12" s="41">
        <v>57</v>
      </c>
      <c r="AH12" s="41">
        <v>36</v>
      </c>
      <c r="AI12" s="41">
        <v>35</v>
      </c>
      <c r="AJ12" s="41">
        <v>27</v>
      </c>
      <c r="AK12" s="29">
        <v>36</v>
      </c>
      <c r="AL12" s="29">
        <v>33</v>
      </c>
      <c r="AM12" s="24">
        <v>26</v>
      </c>
      <c r="AN12" s="24">
        <v>20</v>
      </c>
      <c r="AO12" s="20">
        <v>36</v>
      </c>
      <c r="AP12" s="20">
        <v>33</v>
      </c>
      <c r="AQ12" s="20">
        <v>26</v>
      </c>
      <c r="AR12" s="20">
        <v>20</v>
      </c>
      <c r="AS12" s="43">
        <v>36</v>
      </c>
      <c r="AT12" s="43">
        <v>33</v>
      </c>
      <c r="AU12" s="29">
        <v>26</v>
      </c>
      <c r="AV12" s="29">
        <v>20</v>
      </c>
      <c r="AW12" s="29">
        <v>36</v>
      </c>
      <c r="AX12" s="44">
        <v>33</v>
      </c>
      <c r="AY12" s="56">
        <v>26</v>
      </c>
      <c r="AZ12" s="56">
        <v>20</v>
      </c>
      <c r="BA12" s="67">
        <v>36</v>
      </c>
      <c r="BB12" s="67">
        <v>33</v>
      </c>
      <c r="BC12" s="68">
        <v>26</v>
      </c>
      <c r="BD12" s="68">
        <v>20</v>
      </c>
      <c r="BE12" s="49"/>
      <c r="CE12" s="25"/>
      <c r="XDE12" s="50"/>
      <c r="XDF12" s="50"/>
      <c r="XDG12" s="50"/>
      <c r="XDH12" s="50"/>
      <c r="XDI12" s="50"/>
      <c r="XDJ12" s="50"/>
      <c r="XDK12" s="50"/>
      <c r="XDL12" s="50"/>
      <c r="XDM12" s="50"/>
      <c r="XDN12" s="50"/>
      <c r="XDO12" s="50"/>
      <c r="XDP12" s="50"/>
      <c r="XDQ12" s="50"/>
      <c r="XDR12" s="50"/>
      <c r="XDS12" s="50"/>
      <c r="XDT12" s="50"/>
      <c r="XDU12" s="50"/>
      <c r="XDV12" s="50"/>
      <c r="XDW12" s="50"/>
      <c r="XDX12" s="50"/>
      <c r="XDY12" s="50"/>
      <c r="XDZ12" s="50"/>
      <c r="XEA12" s="50"/>
      <c r="XEB12" s="50"/>
      <c r="XEC12" s="50"/>
      <c r="XED12" s="50"/>
      <c r="XEE12" s="50"/>
      <c r="XEF12" s="50"/>
      <c r="XEG12" s="50"/>
      <c r="XEH12" s="50"/>
      <c r="XEI12" s="50"/>
      <c r="XEJ12" s="50"/>
      <c r="XEK12" s="50"/>
      <c r="XEL12" s="50"/>
      <c r="XEM12" s="50"/>
      <c r="XEN12" s="50"/>
      <c r="XEO12" s="50"/>
      <c r="XEP12" s="50"/>
      <c r="XEQ12" s="50"/>
      <c r="XER12" s="50"/>
      <c r="XES12" s="50"/>
      <c r="XET12" s="50"/>
      <c r="XEU12" s="50"/>
      <c r="XEV12" s="50"/>
      <c r="XEW12" s="50"/>
      <c r="XEX12" s="50"/>
      <c r="XEY12" s="50"/>
      <c r="XEZ12" s="50"/>
      <c r="XFA12" s="50"/>
      <c r="XFB12" s="50"/>
    </row>
    <row r="13" s="24" customFormat="1" customHeight="1" spans="1:139 16333:16382">
      <c r="A13" s="51"/>
      <c r="B13" s="24">
        <v>11</v>
      </c>
      <c r="C13" s="23" t="s">
        <v>1213</v>
      </c>
      <c r="D13" s="27"/>
      <c r="F13" s="57"/>
      <c r="G13" s="24">
        <v>47</v>
      </c>
      <c r="H13" s="24">
        <v>35</v>
      </c>
      <c r="I13" s="24">
        <v>47</v>
      </c>
      <c r="J13" s="24">
        <v>49</v>
      </c>
      <c r="Z13" s="27"/>
      <c r="AB13" s="24">
        <v>41</v>
      </c>
      <c r="AC13" s="24">
        <v>47</v>
      </c>
      <c r="AD13" s="24">
        <v>35</v>
      </c>
      <c r="AE13" s="24">
        <v>47</v>
      </c>
      <c r="AF13" s="24">
        <v>49</v>
      </c>
      <c r="AG13" s="41">
        <v>82</v>
      </c>
      <c r="AH13" s="41">
        <v>58</v>
      </c>
      <c r="AI13" s="41">
        <v>51</v>
      </c>
      <c r="AJ13" s="41">
        <v>40</v>
      </c>
      <c r="AK13" s="29">
        <v>60</v>
      </c>
      <c r="AL13" s="29">
        <v>54</v>
      </c>
      <c r="AM13" s="24">
        <v>50</v>
      </c>
      <c r="AN13" s="24">
        <v>36</v>
      </c>
      <c r="AO13" s="20">
        <v>77</v>
      </c>
      <c r="AP13" s="20">
        <v>49</v>
      </c>
      <c r="AQ13" s="20">
        <v>50</v>
      </c>
      <c r="AR13" s="20">
        <v>36</v>
      </c>
      <c r="AS13" s="43">
        <v>80</v>
      </c>
      <c r="AT13" s="43">
        <v>49</v>
      </c>
      <c r="AU13" s="29">
        <v>50</v>
      </c>
      <c r="AV13" s="29">
        <v>36</v>
      </c>
      <c r="AW13" s="69">
        <v>80</v>
      </c>
      <c r="AX13" s="69">
        <v>49</v>
      </c>
      <c r="AY13" s="70">
        <v>48</v>
      </c>
      <c r="AZ13" s="70">
        <v>36</v>
      </c>
      <c r="BA13" s="71">
        <v>80</v>
      </c>
      <c r="BB13" s="71">
        <v>49</v>
      </c>
      <c r="BC13" s="68">
        <v>48</v>
      </c>
      <c r="BD13" s="68">
        <v>36</v>
      </c>
      <c r="BE13" s="49"/>
      <c r="CE13" s="25"/>
      <c r="XDE13" s="50"/>
      <c r="XDF13" s="50"/>
      <c r="XDG13" s="50"/>
      <c r="XDH13" s="50"/>
      <c r="XDI13" s="50"/>
      <c r="XDJ13" s="50"/>
      <c r="XDK13" s="50"/>
      <c r="XDL13" s="50"/>
      <c r="XDM13" s="50"/>
      <c r="XDN13" s="50"/>
      <c r="XDO13" s="50"/>
      <c r="XDP13" s="50"/>
      <c r="XDQ13" s="50"/>
      <c r="XDR13" s="50"/>
      <c r="XDS13" s="50"/>
      <c r="XDT13" s="50"/>
      <c r="XDU13" s="50"/>
      <c r="XDV13" s="50"/>
      <c r="XDW13" s="50"/>
      <c r="XDX13" s="50"/>
      <c r="XDY13" s="50"/>
      <c r="XDZ13" s="50"/>
      <c r="XEA13" s="50"/>
      <c r="XEB13" s="50"/>
      <c r="XEC13" s="50"/>
      <c r="XED13" s="50"/>
      <c r="XEE13" s="50"/>
      <c r="XEF13" s="50"/>
      <c r="XEG13" s="50"/>
      <c r="XEH13" s="50"/>
      <c r="XEI13" s="50"/>
      <c r="XEJ13" s="50"/>
      <c r="XEK13" s="50"/>
      <c r="XEL13" s="50"/>
      <c r="XEM13" s="50"/>
      <c r="XEN13" s="50"/>
      <c r="XEO13" s="50"/>
      <c r="XEP13" s="50"/>
      <c r="XEQ13" s="50"/>
      <c r="XER13" s="50"/>
      <c r="XES13" s="50"/>
      <c r="XET13" s="50"/>
      <c r="XEU13" s="50"/>
      <c r="XEV13" s="50"/>
      <c r="XEW13" s="50"/>
      <c r="XEX13" s="50"/>
      <c r="XEY13" s="50"/>
      <c r="XEZ13" s="50"/>
      <c r="XFA13" s="50"/>
      <c r="XFB13" s="50"/>
    </row>
    <row r="14" s="24" customFormat="1" customHeight="1" spans="1:139 16333:16382">
      <c r="A14" s="72" t="s">
        <v>517</v>
      </c>
      <c r="B14" s="24">
        <v>12</v>
      </c>
      <c r="C14" s="30" t="s">
        <v>262</v>
      </c>
      <c r="D14" s="27" t="s">
        <v>1214</v>
      </c>
      <c r="F14" s="57"/>
      <c r="G14" s="24">
        <v>24</v>
      </c>
      <c r="H14" s="24">
        <v>3</v>
      </c>
      <c r="I14" s="24">
        <v>36</v>
      </c>
      <c r="J14" s="24">
        <v>8</v>
      </c>
      <c r="Z14" s="27" t="s">
        <v>1214</v>
      </c>
      <c r="AA14" s="24">
        <v>12</v>
      </c>
      <c r="AB14" s="28"/>
      <c r="AC14" s="24">
        <v>24</v>
      </c>
      <c r="AD14" s="24">
        <v>3</v>
      </c>
      <c r="AE14" s="24">
        <v>36</v>
      </c>
      <c r="AF14" s="24">
        <v>8</v>
      </c>
      <c r="AG14" s="41">
        <v>36</v>
      </c>
      <c r="AH14" s="41">
        <v>4</v>
      </c>
      <c r="AI14" s="41">
        <v>36</v>
      </c>
      <c r="AJ14" s="41">
        <v>8</v>
      </c>
      <c r="AK14" s="29">
        <v>29</v>
      </c>
      <c r="AL14" s="29">
        <v>4</v>
      </c>
      <c r="AM14" s="24">
        <v>34</v>
      </c>
      <c r="AN14" s="24">
        <v>10</v>
      </c>
      <c r="AO14" s="20">
        <v>28</v>
      </c>
      <c r="AP14" s="20">
        <v>11</v>
      </c>
      <c r="AQ14" s="20">
        <v>34</v>
      </c>
      <c r="AR14" s="20">
        <v>18</v>
      </c>
      <c r="AS14" s="43">
        <v>28</v>
      </c>
      <c r="AT14" s="43">
        <v>13</v>
      </c>
      <c r="AU14" s="29">
        <v>36</v>
      </c>
      <c r="AV14" s="44">
        <v>16</v>
      </c>
      <c r="AW14" s="73">
        <v>28</v>
      </c>
      <c r="AX14" s="73">
        <v>11</v>
      </c>
      <c r="AY14" s="74">
        <v>36</v>
      </c>
      <c r="AZ14" s="59">
        <v>12</v>
      </c>
      <c r="BA14" s="55">
        <v>28</v>
      </c>
      <c r="BB14" s="55">
        <v>11</v>
      </c>
      <c r="BC14" s="56">
        <v>36</v>
      </c>
      <c r="BD14" s="56">
        <v>20</v>
      </c>
      <c r="BE14" s="49"/>
      <c r="XDE14" s="50"/>
      <c r="XDF14" s="50"/>
      <c r="XDG14" s="50"/>
      <c r="XDH14" s="50"/>
      <c r="XDI14" s="50"/>
      <c r="XDJ14" s="50"/>
      <c r="XDK14" s="50"/>
      <c r="XDL14" s="50"/>
      <c r="XDM14" s="50"/>
      <c r="XDN14" s="50"/>
      <c r="XDO14" s="50"/>
      <c r="XDP14" s="50"/>
      <c r="XDQ14" s="50"/>
      <c r="XDR14" s="50"/>
      <c r="XDS14" s="50"/>
      <c r="XDT14" s="50"/>
      <c r="XDU14" s="50"/>
      <c r="XDV14" s="50"/>
      <c r="XDW14" s="50"/>
      <c r="XDX14" s="50"/>
      <c r="XDY14" s="50"/>
      <c r="XDZ14" s="50"/>
      <c r="XEA14" s="50"/>
      <c r="XEB14" s="50"/>
      <c r="XEC14" s="50"/>
      <c r="XED14" s="50"/>
      <c r="XEE14" s="50"/>
      <c r="XEF14" s="50"/>
      <c r="XEG14" s="50"/>
      <c r="XEH14" s="50"/>
      <c r="XEI14" s="50"/>
      <c r="XEJ14" s="50"/>
      <c r="XEK14" s="50"/>
      <c r="XEL14" s="50"/>
      <c r="XEM14" s="50"/>
      <c r="XEN14" s="50"/>
      <c r="XEO14" s="50"/>
      <c r="XEP14" s="50"/>
      <c r="XEQ14" s="50"/>
      <c r="XER14" s="50"/>
      <c r="XES14" s="50"/>
      <c r="XET14" s="50"/>
      <c r="XEU14" s="50"/>
      <c r="XEV14" s="50"/>
      <c r="XEW14" s="50"/>
      <c r="XEX14" s="50"/>
      <c r="XEY14" s="50"/>
      <c r="XEZ14" s="50"/>
      <c r="XFA14" s="50"/>
      <c r="XFB14" s="50"/>
    </row>
    <row r="15" s="24" customFormat="1" customHeight="1" spans="1:139 16333:16382">
      <c r="A15" s="75"/>
      <c r="B15" s="24">
        <v>13</v>
      </c>
      <c r="C15" s="30" t="s">
        <v>1215</v>
      </c>
      <c r="D15" s="52" t="s">
        <v>267</v>
      </c>
      <c r="F15" s="57"/>
      <c r="G15" s="24">
        <v>25</v>
      </c>
      <c r="H15" s="24">
        <v>23</v>
      </c>
      <c r="I15" s="24">
        <v>24</v>
      </c>
      <c r="J15" s="24">
        <v>25</v>
      </c>
      <c r="Z15" s="52" t="s">
        <v>267</v>
      </c>
      <c r="AA15" s="24">
        <v>18</v>
      </c>
      <c r="AB15" s="28"/>
      <c r="AC15" s="24">
        <v>25</v>
      </c>
      <c r="AD15" s="24">
        <v>23</v>
      </c>
      <c r="AE15" s="24">
        <v>24</v>
      </c>
      <c r="AF15" s="24">
        <v>25</v>
      </c>
      <c r="AG15" s="41">
        <v>39</v>
      </c>
      <c r="AH15" s="41">
        <v>21</v>
      </c>
      <c r="AI15" s="41">
        <v>39</v>
      </c>
      <c r="AJ15" s="41">
        <v>21</v>
      </c>
      <c r="AK15" s="29">
        <v>34</v>
      </c>
      <c r="AL15" s="29">
        <v>20</v>
      </c>
      <c r="AM15" s="24">
        <v>34</v>
      </c>
      <c r="AN15" s="24">
        <v>20</v>
      </c>
      <c r="AO15" s="20">
        <v>34</v>
      </c>
      <c r="AP15" s="20">
        <v>22</v>
      </c>
      <c r="AQ15" s="20">
        <v>39</v>
      </c>
      <c r="AR15" s="20">
        <v>21</v>
      </c>
      <c r="AS15" s="43">
        <v>37</v>
      </c>
      <c r="AT15" s="43">
        <v>23</v>
      </c>
      <c r="AU15" s="29">
        <v>38</v>
      </c>
      <c r="AV15" s="29">
        <v>23</v>
      </c>
      <c r="AW15" s="76">
        <v>37</v>
      </c>
      <c r="AX15" s="76">
        <v>23</v>
      </c>
      <c r="AY15" s="58">
        <v>38</v>
      </c>
      <c r="AZ15" s="59">
        <v>23</v>
      </c>
      <c r="BA15" s="71">
        <v>37</v>
      </c>
      <c r="BB15" s="71">
        <v>23</v>
      </c>
      <c r="BC15" s="68">
        <v>38</v>
      </c>
      <c r="BD15" s="68">
        <v>23</v>
      </c>
      <c r="BE15" s="49"/>
      <c r="BW15" s="25"/>
      <c r="XDE15" s="50"/>
      <c r="XDF15" s="50"/>
      <c r="XDG15" s="50"/>
      <c r="XDH15" s="50"/>
      <c r="XDI15" s="50"/>
      <c r="XDJ15" s="50"/>
      <c r="XDK15" s="50"/>
      <c r="XDL15" s="50"/>
      <c r="XDM15" s="50"/>
      <c r="XDN15" s="50"/>
      <c r="XDO15" s="50"/>
      <c r="XDP15" s="50"/>
      <c r="XDQ15" s="50"/>
      <c r="XDR15" s="50"/>
      <c r="XDS15" s="50"/>
      <c r="XDT15" s="50"/>
      <c r="XDU15" s="50"/>
      <c r="XDV15" s="50"/>
      <c r="XDW15" s="50"/>
      <c r="XDX15" s="50"/>
      <c r="XDY15" s="50"/>
      <c r="XDZ15" s="50"/>
      <c r="XEA15" s="50"/>
      <c r="XEB15" s="50"/>
      <c r="XEC15" s="50"/>
      <c r="XED15" s="50"/>
      <c r="XEE15" s="50"/>
      <c r="XEF15" s="50"/>
      <c r="XEG15" s="50"/>
      <c r="XEH15" s="50"/>
      <c r="XEI15" s="50"/>
      <c r="XEJ15" s="50"/>
      <c r="XEK15" s="50"/>
      <c r="XEL15" s="50"/>
      <c r="XEM15" s="50"/>
      <c r="XEN15" s="50"/>
      <c r="XEO15" s="50"/>
      <c r="XEP15" s="50"/>
      <c r="XEQ15" s="50"/>
      <c r="XER15" s="50"/>
      <c r="XES15" s="50"/>
      <c r="XET15" s="50"/>
      <c r="XEU15" s="50"/>
      <c r="XEV15" s="50"/>
      <c r="XEW15" s="50"/>
      <c r="XEX15" s="50"/>
      <c r="XEY15" s="50"/>
      <c r="XEZ15" s="50"/>
      <c r="XFA15" s="50"/>
      <c r="XFB15" s="50"/>
    </row>
    <row r="16" s="24" customFormat="1" customHeight="1" spans="1:139 16333:16382">
      <c r="A16" s="75"/>
      <c r="B16" s="24">
        <v>14</v>
      </c>
      <c r="C16" s="30" t="s">
        <v>1216</v>
      </c>
      <c r="D16" s="52"/>
      <c r="F16" s="57"/>
      <c r="G16" s="24">
        <v>16</v>
      </c>
      <c r="H16" s="24">
        <v>8</v>
      </c>
      <c r="I16" s="24">
        <v>16</v>
      </c>
      <c r="J16" s="24">
        <v>8</v>
      </c>
      <c r="Z16" s="52"/>
      <c r="AA16" s="24">
        <v>10</v>
      </c>
      <c r="AB16" s="28"/>
      <c r="AC16" s="24">
        <v>16</v>
      </c>
      <c r="AD16" s="24">
        <v>8</v>
      </c>
      <c r="AE16" s="24">
        <v>16</v>
      </c>
      <c r="AF16" s="24">
        <v>8</v>
      </c>
      <c r="AG16" s="41">
        <v>22</v>
      </c>
      <c r="AH16" s="41">
        <v>8</v>
      </c>
      <c r="AI16" s="41">
        <v>22</v>
      </c>
      <c r="AJ16" s="41">
        <v>8</v>
      </c>
      <c r="AK16" s="29">
        <v>23</v>
      </c>
      <c r="AL16" s="29">
        <v>10</v>
      </c>
      <c r="AM16" s="24">
        <v>20</v>
      </c>
      <c r="AN16" s="24">
        <v>10</v>
      </c>
      <c r="AO16" s="20">
        <v>20</v>
      </c>
      <c r="AP16" s="20">
        <v>10</v>
      </c>
      <c r="AQ16" s="20">
        <v>20</v>
      </c>
      <c r="AR16" s="20">
        <v>10</v>
      </c>
      <c r="AS16" s="77">
        <v>23</v>
      </c>
      <c r="AT16" s="77">
        <v>10</v>
      </c>
      <c r="AU16" s="29">
        <v>23</v>
      </c>
      <c r="AV16" s="29">
        <v>10</v>
      </c>
      <c r="AW16" s="29">
        <v>23</v>
      </c>
      <c r="AX16" s="29">
        <v>10</v>
      </c>
      <c r="AY16" s="58">
        <v>23</v>
      </c>
      <c r="AZ16" s="59">
        <v>10</v>
      </c>
      <c r="BA16" s="55">
        <v>23</v>
      </c>
      <c r="BB16" s="55">
        <v>10</v>
      </c>
      <c r="BC16" s="56">
        <v>23</v>
      </c>
      <c r="BD16" s="56">
        <v>10</v>
      </c>
      <c r="BE16" s="49"/>
      <c r="BW16" s="25"/>
      <c r="XDE16" s="50"/>
      <c r="XDF16" s="50"/>
      <c r="XDG16" s="50"/>
      <c r="XDH16" s="50"/>
      <c r="XDI16" s="50"/>
      <c r="XDJ16" s="50"/>
      <c r="XDK16" s="50"/>
      <c r="XDL16" s="50"/>
      <c r="XDM16" s="50"/>
      <c r="XDN16" s="50"/>
      <c r="XDO16" s="50"/>
      <c r="XDP16" s="50"/>
      <c r="XDQ16" s="50"/>
      <c r="XDR16" s="50"/>
      <c r="XDS16" s="50"/>
      <c r="XDT16" s="50"/>
      <c r="XDU16" s="50"/>
      <c r="XDV16" s="50"/>
      <c r="XDW16" s="50"/>
      <c r="XDX16" s="50"/>
      <c r="XDY16" s="50"/>
      <c r="XDZ16" s="50"/>
      <c r="XEA16" s="50"/>
      <c r="XEB16" s="50"/>
      <c r="XEC16" s="50"/>
      <c r="XED16" s="50"/>
      <c r="XEE16" s="50"/>
      <c r="XEF16" s="50"/>
      <c r="XEG16" s="50"/>
      <c r="XEH16" s="50"/>
      <c r="XEI16" s="50"/>
      <c r="XEJ16" s="50"/>
      <c r="XEK16" s="50"/>
      <c r="XEL16" s="50"/>
      <c r="XEM16" s="50"/>
      <c r="XEN16" s="50"/>
      <c r="XEO16" s="50"/>
      <c r="XEP16" s="50"/>
      <c r="XEQ16" s="50"/>
      <c r="XER16" s="50"/>
      <c r="XES16" s="50"/>
      <c r="XET16" s="50"/>
      <c r="XEU16" s="50"/>
      <c r="XEV16" s="50"/>
      <c r="XEW16" s="50"/>
      <c r="XEX16" s="50"/>
      <c r="XEY16" s="50"/>
      <c r="XEZ16" s="50"/>
      <c r="XFA16" s="50"/>
      <c r="XFB16" s="50"/>
    </row>
    <row r="17" s="24" customFormat="1" customHeight="1" spans="1:83 16333:16382">
      <c r="A17" s="75"/>
      <c r="C17" s="30" t="s">
        <v>1217</v>
      </c>
      <c r="D17" s="27"/>
      <c r="F17" s="57"/>
      <c r="Z17" s="27"/>
      <c r="AA17" s="24">
        <v>1</v>
      </c>
      <c r="AB17" s="28"/>
      <c r="AG17" s="41"/>
      <c r="AH17" s="41"/>
      <c r="AI17" s="41"/>
      <c r="AJ17" s="41"/>
      <c r="AK17" s="29"/>
      <c r="AL17" s="29"/>
      <c r="AM17" s="24">
        <v>3</v>
      </c>
      <c r="AN17" s="24">
        <v>0</v>
      </c>
      <c r="AO17" s="20">
        <v>3</v>
      </c>
      <c r="AP17" s="20">
        <v>0</v>
      </c>
      <c r="AQ17" s="20">
        <v>3</v>
      </c>
      <c r="AR17" s="20"/>
      <c r="AS17" s="43">
        <v>3</v>
      </c>
      <c r="AT17" s="43"/>
      <c r="AU17" s="29">
        <v>6</v>
      </c>
      <c r="AV17" s="29"/>
      <c r="AW17" s="29">
        <v>3</v>
      </c>
      <c r="AX17" s="29"/>
      <c r="AY17" s="78">
        <v>3</v>
      </c>
      <c r="AZ17" s="58"/>
      <c r="BA17" s="64">
        <v>3</v>
      </c>
      <c r="BB17" s="64">
        <v>0</v>
      </c>
      <c r="BC17" s="79">
        <v>3</v>
      </c>
      <c r="BD17" s="79"/>
      <c r="CE17" s="25"/>
      <c r="XDE17" s="50"/>
      <c r="XDF17" s="50"/>
      <c r="XDG17" s="50"/>
      <c r="XDH17" s="50"/>
      <c r="XDI17" s="50"/>
      <c r="XDJ17" s="50"/>
      <c r="XDK17" s="50"/>
      <c r="XDL17" s="50"/>
      <c r="XDM17" s="50"/>
      <c r="XDN17" s="50"/>
      <c r="XDO17" s="50"/>
      <c r="XDP17" s="50"/>
      <c r="XDQ17" s="50"/>
      <c r="XDR17" s="50"/>
      <c r="XDS17" s="50"/>
      <c r="XDT17" s="50"/>
      <c r="XDU17" s="50"/>
      <c r="XDV17" s="50"/>
      <c r="XDW17" s="50"/>
      <c r="XDX17" s="50"/>
      <c r="XDY17" s="50"/>
      <c r="XDZ17" s="50"/>
      <c r="XEA17" s="50"/>
      <c r="XEB17" s="50"/>
      <c r="XEC17" s="50"/>
      <c r="XED17" s="50"/>
      <c r="XEE17" s="50"/>
      <c r="XEF17" s="50"/>
      <c r="XEG17" s="50"/>
      <c r="XEH17" s="50"/>
      <c r="XEI17" s="50"/>
      <c r="XEJ17" s="50"/>
      <c r="XEK17" s="50"/>
      <c r="XEL17" s="50"/>
      <c r="XEM17" s="50"/>
      <c r="XEN17" s="50"/>
      <c r="XEO17" s="50"/>
      <c r="XEP17" s="50"/>
      <c r="XEQ17" s="50"/>
      <c r="XER17" s="50"/>
      <c r="XES17" s="50"/>
      <c r="XET17" s="50"/>
      <c r="XEU17" s="50"/>
      <c r="XEV17" s="50"/>
      <c r="XEW17" s="50"/>
      <c r="XEX17" s="50"/>
      <c r="XEY17" s="50"/>
      <c r="XEZ17" s="50"/>
      <c r="XFA17" s="50"/>
      <c r="XFB17" s="50"/>
    </row>
    <row r="18" s="24" customFormat="1" customHeight="1" spans="1:83 16333:16382">
      <c r="A18" s="75"/>
      <c r="B18" s="24">
        <v>15</v>
      </c>
      <c r="C18" s="23" t="s">
        <v>1218</v>
      </c>
      <c r="D18" s="27"/>
      <c r="F18" s="57"/>
      <c r="G18" s="24">
        <v>22</v>
      </c>
      <c r="H18" s="24">
        <v>17</v>
      </c>
      <c r="I18" s="24">
        <v>14</v>
      </c>
      <c r="J18" s="24">
        <v>12</v>
      </c>
      <c r="Z18" s="27"/>
      <c r="AA18" s="24">
        <v>17</v>
      </c>
      <c r="AB18" s="28"/>
      <c r="AC18" s="24">
        <v>22</v>
      </c>
      <c r="AD18" s="24">
        <v>17</v>
      </c>
      <c r="AE18" s="24">
        <v>14</v>
      </c>
      <c r="AF18" s="24">
        <v>12</v>
      </c>
      <c r="AG18" s="41">
        <v>28</v>
      </c>
      <c r="AH18" s="41">
        <v>17</v>
      </c>
      <c r="AI18" s="41">
        <v>18</v>
      </c>
      <c r="AJ18" s="41">
        <v>12</v>
      </c>
      <c r="AK18" s="29">
        <v>20</v>
      </c>
      <c r="AL18" s="29">
        <v>25</v>
      </c>
      <c r="AM18" s="24">
        <v>24</v>
      </c>
      <c r="AN18" s="24">
        <v>32</v>
      </c>
      <c r="AO18" s="20">
        <v>24</v>
      </c>
      <c r="AP18" s="20">
        <v>27</v>
      </c>
      <c r="AQ18" s="20">
        <v>16</v>
      </c>
      <c r="AR18" s="20">
        <v>18</v>
      </c>
      <c r="AS18" s="43">
        <v>22</v>
      </c>
      <c r="AT18" s="43">
        <v>27</v>
      </c>
      <c r="AU18" s="29">
        <v>16</v>
      </c>
      <c r="AV18" s="29">
        <v>18</v>
      </c>
      <c r="AW18" s="29">
        <v>22</v>
      </c>
      <c r="AX18" s="29">
        <v>26</v>
      </c>
      <c r="AY18" s="58">
        <v>16</v>
      </c>
      <c r="AZ18" s="59">
        <v>18</v>
      </c>
      <c r="BA18" s="55">
        <v>22</v>
      </c>
      <c r="BB18" s="55">
        <v>29</v>
      </c>
      <c r="BC18" s="56">
        <v>16</v>
      </c>
      <c r="BD18" s="56">
        <v>20</v>
      </c>
      <c r="BE18" s="49"/>
      <c r="CE18" s="25"/>
      <c r="XDE18" s="50"/>
      <c r="XDF18" s="50"/>
      <c r="XDG18" s="50"/>
      <c r="XDH18" s="50"/>
      <c r="XDI18" s="50"/>
      <c r="XDJ18" s="50"/>
      <c r="XDK18" s="50"/>
      <c r="XDL18" s="50"/>
      <c r="XDM18" s="50"/>
      <c r="XDN18" s="50"/>
      <c r="XDO18" s="50"/>
      <c r="XDP18" s="50"/>
      <c r="XDQ18" s="50"/>
      <c r="XDR18" s="50"/>
      <c r="XDS18" s="50"/>
      <c r="XDT18" s="50"/>
      <c r="XDU18" s="50"/>
      <c r="XDV18" s="50"/>
      <c r="XDW18" s="50"/>
      <c r="XDX18" s="50"/>
      <c r="XDY18" s="50"/>
      <c r="XDZ18" s="50"/>
      <c r="XEA18" s="50"/>
      <c r="XEB18" s="50"/>
      <c r="XEC18" s="50"/>
      <c r="XED18" s="50"/>
      <c r="XEE18" s="50"/>
      <c r="XEF18" s="50"/>
      <c r="XEG18" s="50"/>
      <c r="XEH18" s="50"/>
      <c r="XEI18" s="50"/>
      <c r="XEJ18" s="50"/>
      <c r="XEK18" s="50"/>
      <c r="XEL18" s="50"/>
      <c r="XEM18" s="50"/>
      <c r="XEN18" s="50"/>
      <c r="XEO18" s="50"/>
      <c r="XEP18" s="50"/>
      <c r="XEQ18" s="50"/>
      <c r="XER18" s="50"/>
      <c r="XES18" s="50"/>
      <c r="XET18" s="50"/>
      <c r="XEU18" s="50"/>
      <c r="XEV18" s="50"/>
      <c r="XEW18" s="50"/>
      <c r="XEX18" s="50"/>
      <c r="XEY18" s="50"/>
      <c r="XEZ18" s="50"/>
      <c r="XFA18" s="50"/>
      <c r="XFB18" s="50"/>
    </row>
    <row r="19" s="24" customFormat="1" customHeight="1" spans="1:83 16333:16382">
      <c r="A19" s="75"/>
      <c r="B19" s="24">
        <v>16</v>
      </c>
      <c r="C19" s="23" t="s">
        <v>1219</v>
      </c>
      <c r="D19" s="27"/>
      <c r="F19" s="57"/>
      <c r="G19" s="24">
        <v>6</v>
      </c>
      <c r="H19" s="24">
        <v>0</v>
      </c>
      <c r="I19" s="24">
        <v>4</v>
      </c>
      <c r="J19" s="24">
        <v>0</v>
      </c>
      <c r="Z19" s="27"/>
      <c r="AB19" s="24">
        <v>3</v>
      </c>
      <c r="AC19" s="24">
        <v>6</v>
      </c>
      <c r="AD19" s="24">
        <v>0</v>
      </c>
      <c r="AE19" s="24">
        <v>4</v>
      </c>
      <c r="AF19" s="24">
        <v>0</v>
      </c>
      <c r="AG19" s="24">
        <v>9</v>
      </c>
      <c r="AI19" s="24">
        <v>6</v>
      </c>
      <c r="AK19" s="29">
        <v>12</v>
      </c>
      <c r="AL19" s="29"/>
      <c r="AM19" s="24">
        <v>12</v>
      </c>
      <c r="AN19" s="24">
        <v>0</v>
      </c>
      <c r="AO19" s="20">
        <v>12</v>
      </c>
      <c r="AP19" s="20">
        <v>0</v>
      </c>
      <c r="AQ19" s="20">
        <v>8</v>
      </c>
      <c r="AR19" s="20">
        <v>0</v>
      </c>
      <c r="AS19" s="43">
        <v>12</v>
      </c>
      <c r="AT19" s="43">
        <v>0</v>
      </c>
      <c r="AU19" s="29">
        <v>8</v>
      </c>
      <c r="AV19" s="29">
        <v>0</v>
      </c>
      <c r="AW19" s="29">
        <v>15</v>
      </c>
      <c r="AX19" s="29">
        <v>0</v>
      </c>
      <c r="AY19" s="58">
        <v>8</v>
      </c>
      <c r="AZ19" s="59">
        <v>0</v>
      </c>
      <c r="BA19" s="55">
        <v>15</v>
      </c>
      <c r="BB19" s="55">
        <v>0</v>
      </c>
      <c r="BC19" s="56">
        <v>8</v>
      </c>
      <c r="BD19" s="56">
        <v>0</v>
      </c>
      <c r="BE19" s="49"/>
      <c r="CE19" s="25"/>
      <c r="XDE19" s="50"/>
      <c r="XDF19" s="50"/>
      <c r="XDG19" s="50"/>
      <c r="XDH19" s="50"/>
      <c r="XDI19" s="50"/>
      <c r="XDJ19" s="50"/>
      <c r="XDK19" s="50"/>
      <c r="XDL19" s="50"/>
      <c r="XDM19" s="50"/>
      <c r="XDN19" s="50"/>
      <c r="XDO19" s="50"/>
      <c r="XDP19" s="50"/>
      <c r="XDQ19" s="50"/>
      <c r="XDR19" s="50"/>
      <c r="XDS19" s="50"/>
      <c r="XDT19" s="50"/>
      <c r="XDU19" s="50"/>
      <c r="XDV19" s="50"/>
      <c r="XDW19" s="50"/>
      <c r="XDX19" s="50"/>
      <c r="XDY19" s="50"/>
      <c r="XDZ19" s="50"/>
      <c r="XEA19" s="50"/>
      <c r="XEB19" s="50"/>
      <c r="XEC19" s="50"/>
      <c r="XED19" s="50"/>
      <c r="XEE19" s="50"/>
      <c r="XEF19" s="50"/>
      <c r="XEG19" s="50"/>
      <c r="XEH19" s="50"/>
      <c r="XEI19" s="50"/>
      <c r="XEJ19" s="50"/>
      <c r="XEK19" s="50"/>
      <c r="XEL19" s="50"/>
      <c r="XEM19" s="50"/>
      <c r="XEN19" s="50"/>
      <c r="XEO19" s="50"/>
      <c r="XEP19" s="50"/>
      <c r="XEQ19" s="50"/>
      <c r="XER19" s="50"/>
      <c r="XES19" s="50"/>
      <c r="XET19" s="50"/>
      <c r="XEU19" s="50"/>
      <c r="XEV19" s="50"/>
      <c r="XEW19" s="50"/>
      <c r="XEX19" s="50"/>
      <c r="XEY19" s="50"/>
      <c r="XEZ19" s="50"/>
      <c r="XFA19" s="50"/>
      <c r="XFB19" s="50"/>
    </row>
    <row r="20" s="24" customFormat="1" customHeight="1" spans="1:83 16333:16382">
      <c r="A20" s="75"/>
      <c r="B20" s="24">
        <v>17</v>
      </c>
      <c r="C20" s="23" t="s">
        <v>1220</v>
      </c>
      <c r="D20" s="27"/>
      <c r="F20" s="57"/>
      <c r="Z20" s="27"/>
      <c r="AA20" s="24">
        <v>1</v>
      </c>
      <c r="AB20" s="28"/>
      <c r="AH20" s="24">
        <v>6</v>
      </c>
      <c r="AJ20" s="24">
        <v>0</v>
      </c>
      <c r="AK20" s="29"/>
      <c r="AL20" s="29">
        <v>5</v>
      </c>
      <c r="AM20" s="24">
        <v>0</v>
      </c>
      <c r="AN20" s="24">
        <v>2</v>
      </c>
      <c r="AO20" s="20">
        <v>0</v>
      </c>
      <c r="AP20" s="20">
        <v>3</v>
      </c>
      <c r="AQ20" s="20">
        <v>0</v>
      </c>
      <c r="AR20" s="20">
        <v>2</v>
      </c>
      <c r="AS20" s="43"/>
      <c r="AT20" s="43">
        <v>3</v>
      </c>
      <c r="AU20" s="80"/>
      <c r="AV20" s="29">
        <v>2</v>
      </c>
      <c r="AW20" s="29"/>
      <c r="AX20" s="29">
        <v>3</v>
      </c>
      <c r="AY20" s="58">
        <v>0</v>
      </c>
      <c r="AZ20" s="59">
        <v>2</v>
      </c>
      <c r="BA20" s="81">
        <v>0</v>
      </c>
      <c r="BB20" s="81">
        <v>3</v>
      </c>
      <c r="BC20" s="56">
        <v>0</v>
      </c>
      <c r="BD20" s="56">
        <v>2</v>
      </c>
      <c r="BE20" s="49"/>
      <c r="CE20" s="25"/>
      <c r="XDE20" s="50"/>
      <c r="XDF20" s="50"/>
      <c r="XDG20" s="50"/>
      <c r="XDH20" s="50"/>
      <c r="XDI20" s="50"/>
      <c r="XDJ20" s="50"/>
      <c r="XDK20" s="50"/>
      <c r="XDL20" s="50"/>
      <c r="XDM20" s="50"/>
      <c r="XDN20" s="50"/>
      <c r="XDO20" s="50"/>
      <c r="XDP20" s="50"/>
      <c r="XDQ20" s="50"/>
      <c r="XDR20" s="50"/>
      <c r="XDS20" s="50"/>
      <c r="XDT20" s="50"/>
      <c r="XDU20" s="50"/>
      <c r="XDV20" s="50"/>
      <c r="XDW20" s="50"/>
      <c r="XDX20" s="50"/>
      <c r="XDY20" s="50"/>
      <c r="XDZ20" s="50"/>
      <c r="XEA20" s="50"/>
      <c r="XEB20" s="50"/>
      <c r="XEC20" s="50"/>
      <c r="XED20" s="50"/>
      <c r="XEE20" s="50"/>
      <c r="XEF20" s="50"/>
      <c r="XEG20" s="50"/>
      <c r="XEH20" s="50"/>
      <c r="XEI20" s="50"/>
      <c r="XEJ20" s="50"/>
      <c r="XEK20" s="50"/>
      <c r="XEL20" s="50"/>
      <c r="XEM20" s="50"/>
      <c r="XEN20" s="50"/>
      <c r="XEO20" s="50"/>
      <c r="XEP20" s="50"/>
      <c r="XEQ20" s="50"/>
      <c r="XER20" s="50"/>
      <c r="XES20" s="50"/>
      <c r="XET20" s="50"/>
      <c r="XEU20" s="50"/>
      <c r="XEV20" s="50"/>
      <c r="XEW20" s="50"/>
      <c r="XEX20" s="50"/>
      <c r="XEY20" s="50"/>
      <c r="XEZ20" s="50"/>
      <c r="XFA20" s="50"/>
      <c r="XFB20" s="50"/>
    </row>
    <row r="21" s="24" customFormat="1" customHeight="1" spans="1:83 16333:16382">
      <c r="A21" s="75"/>
      <c r="B21" s="24">
        <v>18</v>
      </c>
      <c r="C21" s="23" t="s">
        <v>1221</v>
      </c>
      <c r="D21" s="52"/>
      <c r="F21" s="57"/>
      <c r="G21" s="24">
        <v>9</v>
      </c>
      <c r="H21" s="24">
        <v>0</v>
      </c>
      <c r="I21" s="24">
        <v>6</v>
      </c>
      <c r="J21" s="24">
        <v>0</v>
      </c>
      <c r="Z21" s="52"/>
      <c r="AB21" s="57">
        <v>3</v>
      </c>
      <c r="AC21" s="24">
        <v>9</v>
      </c>
      <c r="AD21" s="24">
        <v>0</v>
      </c>
      <c r="AE21" s="24">
        <v>6</v>
      </c>
      <c r="AF21" s="24">
        <v>0</v>
      </c>
      <c r="AG21" s="24">
        <v>9</v>
      </c>
      <c r="AI21" s="24">
        <v>0</v>
      </c>
      <c r="AK21" s="29">
        <v>9</v>
      </c>
      <c r="AL21" s="29"/>
      <c r="AM21" s="24">
        <v>6</v>
      </c>
      <c r="AN21" s="24">
        <v>0</v>
      </c>
      <c r="AO21" s="20">
        <v>9</v>
      </c>
      <c r="AP21" s="20">
        <v>0</v>
      </c>
      <c r="AQ21" s="20">
        <v>6</v>
      </c>
      <c r="AR21" s="20">
        <v>0</v>
      </c>
      <c r="AS21" s="43">
        <v>9</v>
      </c>
      <c r="AT21" s="43"/>
      <c r="AU21" s="29">
        <v>6</v>
      </c>
      <c r="AV21" s="29"/>
      <c r="AW21" s="29">
        <v>9</v>
      </c>
      <c r="AX21" s="29"/>
      <c r="AY21" s="58">
        <v>6</v>
      </c>
      <c r="AZ21" s="59">
        <v>0</v>
      </c>
      <c r="BA21" s="81">
        <v>9</v>
      </c>
      <c r="BB21" s="81">
        <v>0</v>
      </c>
      <c r="BC21" s="56">
        <v>6</v>
      </c>
      <c r="BD21" s="56">
        <v>0</v>
      </c>
      <c r="BE21" s="49"/>
      <c r="CE21" s="25"/>
      <c r="XDE21" s="50"/>
      <c r="XDF21" s="50"/>
      <c r="XDG21" s="50"/>
      <c r="XDH21" s="50"/>
      <c r="XDI21" s="50"/>
      <c r="XDJ21" s="50"/>
      <c r="XDK21" s="50"/>
      <c r="XDL21" s="50"/>
      <c r="XDM21" s="50"/>
      <c r="XDN21" s="50"/>
      <c r="XDO21" s="50"/>
      <c r="XDP21" s="50"/>
      <c r="XDQ21" s="50"/>
      <c r="XDR21" s="50"/>
      <c r="XDS21" s="50"/>
      <c r="XDT21" s="50"/>
      <c r="XDU21" s="50"/>
      <c r="XDV21" s="50"/>
      <c r="XDW21" s="50"/>
      <c r="XDX21" s="50"/>
      <c r="XDY21" s="50"/>
      <c r="XDZ21" s="50"/>
      <c r="XEA21" s="50"/>
      <c r="XEB21" s="50"/>
      <c r="XEC21" s="50"/>
      <c r="XED21" s="50"/>
      <c r="XEE21" s="50"/>
      <c r="XEF21" s="50"/>
      <c r="XEG21" s="50"/>
      <c r="XEH21" s="50"/>
      <c r="XEI21" s="50"/>
      <c r="XEJ21" s="50"/>
      <c r="XEK21" s="50"/>
      <c r="XEL21" s="50"/>
      <c r="XEM21" s="50"/>
      <c r="XEN21" s="50"/>
      <c r="XEO21" s="50"/>
      <c r="XEP21" s="50"/>
      <c r="XEQ21" s="50"/>
      <c r="XER21" s="50"/>
      <c r="XES21" s="50"/>
      <c r="XET21" s="50"/>
      <c r="XEU21" s="50"/>
      <c r="XEV21" s="50"/>
      <c r="XEW21" s="50"/>
      <c r="XEX21" s="50"/>
      <c r="XEY21" s="50"/>
      <c r="XEZ21" s="50"/>
      <c r="XFA21" s="50"/>
      <c r="XFB21" s="50"/>
    </row>
    <row r="22" s="24" customFormat="1" customHeight="1" spans="1:83 16333:16382">
      <c r="A22" s="75"/>
      <c r="B22" s="24">
        <v>19</v>
      </c>
      <c r="C22" s="23" t="s">
        <v>1222</v>
      </c>
      <c r="D22" s="27"/>
      <c r="F22" s="57"/>
      <c r="G22" s="24">
        <v>21</v>
      </c>
      <c r="H22" s="24">
        <v>12</v>
      </c>
      <c r="I22" s="24">
        <v>14</v>
      </c>
      <c r="J22" s="24">
        <v>8</v>
      </c>
      <c r="Z22" s="27"/>
      <c r="AB22" s="24">
        <v>13</v>
      </c>
      <c r="AC22" s="24">
        <v>21</v>
      </c>
      <c r="AD22" s="24">
        <v>12</v>
      </c>
      <c r="AE22" s="24">
        <v>14</v>
      </c>
      <c r="AF22" s="24">
        <v>8</v>
      </c>
      <c r="AG22" s="41">
        <v>23</v>
      </c>
      <c r="AH22" s="41">
        <v>16</v>
      </c>
      <c r="AI22" s="41">
        <v>16</v>
      </c>
      <c r="AJ22" s="41">
        <v>10</v>
      </c>
      <c r="AK22" s="29">
        <v>23</v>
      </c>
      <c r="AL22" s="29">
        <v>16</v>
      </c>
      <c r="AM22" s="24">
        <v>16</v>
      </c>
      <c r="AN22" s="24">
        <v>10</v>
      </c>
      <c r="AO22" s="20">
        <v>23</v>
      </c>
      <c r="AP22" s="20">
        <v>16</v>
      </c>
      <c r="AQ22" s="20">
        <v>16</v>
      </c>
      <c r="AR22" s="20">
        <v>10</v>
      </c>
      <c r="AS22" s="43">
        <v>23</v>
      </c>
      <c r="AT22" s="43">
        <v>16</v>
      </c>
      <c r="AU22" s="29">
        <v>16</v>
      </c>
      <c r="AV22" s="29">
        <v>10</v>
      </c>
      <c r="AW22" s="29">
        <v>23</v>
      </c>
      <c r="AX22" s="29">
        <v>16</v>
      </c>
      <c r="AY22" s="58">
        <v>16</v>
      </c>
      <c r="AZ22" s="58">
        <v>10</v>
      </c>
      <c r="BA22" s="82">
        <v>23</v>
      </c>
      <c r="BB22" s="83">
        <v>16</v>
      </c>
      <c r="BC22" s="56">
        <v>16</v>
      </c>
      <c r="BD22" s="56">
        <v>10</v>
      </c>
      <c r="BE22" s="49"/>
      <c r="CE22" s="25"/>
      <c r="XDE22" s="50"/>
      <c r="XDF22" s="50"/>
      <c r="XDG22" s="50"/>
      <c r="XDH22" s="50"/>
      <c r="XDI22" s="50"/>
      <c r="XDJ22" s="50"/>
      <c r="XDK22" s="50"/>
      <c r="XDL22" s="50"/>
      <c r="XDM22" s="50"/>
      <c r="XDN22" s="50"/>
      <c r="XDO22" s="50"/>
      <c r="XDP22" s="50"/>
      <c r="XDQ22" s="50"/>
      <c r="XDR22" s="50"/>
      <c r="XDS22" s="50"/>
      <c r="XDT22" s="50"/>
      <c r="XDU22" s="50"/>
      <c r="XDV22" s="50"/>
      <c r="XDW22" s="50"/>
      <c r="XDX22" s="50"/>
      <c r="XDY22" s="50"/>
      <c r="XDZ22" s="50"/>
      <c r="XEA22" s="50"/>
      <c r="XEB22" s="50"/>
      <c r="XEC22" s="50"/>
      <c r="XED22" s="50"/>
      <c r="XEE22" s="50"/>
      <c r="XEF22" s="50"/>
      <c r="XEG22" s="50"/>
      <c r="XEH22" s="50"/>
      <c r="XEI22" s="50"/>
      <c r="XEJ22" s="50"/>
      <c r="XEK22" s="50"/>
      <c r="XEL22" s="50"/>
      <c r="XEM22" s="50"/>
      <c r="XEN22" s="50"/>
      <c r="XEO22" s="50"/>
      <c r="XEP22" s="50"/>
      <c r="XEQ22" s="50"/>
      <c r="XER22" s="50"/>
      <c r="XES22" s="50"/>
      <c r="XET22" s="50"/>
      <c r="XEU22" s="50"/>
      <c r="XEV22" s="50"/>
      <c r="XEW22" s="50"/>
      <c r="XEX22" s="50"/>
      <c r="XEY22" s="50"/>
      <c r="XEZ22" s="50"/>
      <c r="XFA22" s="50"/>
      <c r="XFB22" s="50"/>
    </row>
    <row r="23" s="24" customFormat="1" customHeight="1" spans="1:83 16333:16382">
      <c r="A23" s="84"/>
      <c r="B23" s="24">
        <v>20</v>
      </c>
      <c r="C23" s="23" t="s">
        <v>1223</v>
      </c>
      <c r="D23" s="27"/>
      <c r="F23" s="57"/>
      <c r="G23" s="24">
        <v>3</v>
      </c>
      <c r="H23" s="24">
        <v>21</v>
      </c>
      <c r="I23" s="24">
        <v>6</v>
      </c>
      <c r="J23" s="24">
        <v>36</v>
      </c>
      <c r="Z23" s="27"/>
      <c r="AB23" s="28"/>
      <c r="AC23" s="24">
        <v>3</v>
      </c>
      <c r="AD23" s="24">
        <v>21</v>
      </c>
      <c r="AE23" s="24">
        <v>6</v>
      </c>
      <c r="AF23" s="24">
        <v>36</v>
      </c>
      <c r="AG23" s="41">
        <v>6</v>
      </c>
      <c r="AH23" s="41">
        <v>36</v>
      </c>
      <c r="AI23" s="41">
        <v>6</v>
      </c>
      <c r="AJ23" s="41">
        <v>30</v>
      </c>
      <c r="AK23" s="29">
        <v>6</v>
      </c>
      <c r="AL23" s="29">
        <v>30</v>
      </c>
      <c r="AM23" s="24">
        <v>6</v>
      </c>
      <c r="AN23" s="24">
        <v>30</v>
      </c>
      <c r="AO23" s="20">
        <v>6</v>
      </c>
      <c r="AP23" s="20">
        <v>30</v>
      </c>
      <c r="AQ23" s="20">
        <v>6</v>
      </c>
      <c r="AR23" s="20">
        <v>30</v>
      </c>
      <c r="AS23" s="43">
        <v>6</v>
      </c>
      <c r="AT23" s="43">
        <v>30</v>
      </c>
      <c r="AU23" s="29">
        <v>6</v>
      </c>
      <c r="AV23" s="29">
        <v>30</v>
      </c>
      <c r="AW23" s="29">
        <v>6</v>
      </c>
      <c r="AX23" s="29">
        <v>30</v>
      </c>
      <c r="AY23" s="58">
        <v>6</v>
      </c>
      <c r="AZ23" s="58">
        <v>30</v>
      </c>
      <c r="BA23" s="85">
        <v>6</v>
      </c>
      <c r="BB23" s="85">
        <v>30</v>
      </c>
      <c r="BC23" s="79">
        <v>6</v>
      </c>
      <c r="BD23" s="79">
        <v>30</v>
      </c>
      <c r="XDE23" s="50"/>
      <c r="XDF23" s="50"/>
      <c r="XDG23" s="50"/>
      <c r="XDH23" s="50"/>
      <c r="XDI23" s="50"/>
      <c r="XDJ23" s="50"/>
      <c r="XDK23" s="50"/>
      <c r="XDL23" s="50"/>
      <c r="XDM23" s="50"/>
      <c r="XDN23" s="50"/>
      <c r="XDO23" s="50"/>
      <c r="XDP23" s="50"/>
      <c r="XDQ23" s="50"/>
      <c r="XDR23" s="50"/>
      <c r="XDS23" s="50"/>
      <c r="XDT23" s="50"/>
      <c r="XDU23" s="50"/>
      <c r="XDV23" s="50"/>
      <c r="XDW23" s="50"/>
      <c r="XDX23" s="50"/>
      <c r="XDY23" s="50"/>
      <c r="XDZ23" s="50"/>
      <c r="XEA23" s="50"/>
      <c r="XEB23" s="50"/>
      <c r="XEC23" s="50"/>
      <c r="XED23" s="50"/>
      <c r="XEE23" s="50"/>
      <c r="XEF23" s="50"/>
      <c r="XEG23" s="50"/>
      <c r="XEH23" s="50"/>
      <c r="XEI23" s="50"/>
      <c r="XEJ23" s="50"/>
      <c r="XEK23" s="50"/>
      <c r="XEL23" s="50"/>
      <c r="XEM23" s="50"/>
      <c r="XEN23" s="50"/>
      <c r="XEO23" s="50"/>
      <c r="XEP23" s="50"/>
      <c r="XEQ23" s="50"/>
      <c r="XER23" s="50"/>
      <c r="XES23" s="50"/>
      <c r="XET23" s="50"/>
      <c r="XEU23" s="50"/>
      <c r="XEV23" s="50"/>
      <c r="XEW23" s="50"/>
      <c r="XEX23" s="50"/>
      <c r="XEY23" s="50"/>
      <c r="XEZ23" s="50"/>
      <c r="XFA23" s="50"/>
      <c r="XFB23" s="50"/>
    </row>
    <row r="24" s="24" customFormat="1" ht="24" customHeight="1" spans="1:83 16333:16382">
      <c r="A24" s="75" t="s">
        <v>1224</v>
      </c>
      <c r="B24" s="24">
        <v>21</v>
      </c>
      <c r="C24" s="30" t="s">
        <v>291</v>
      </c>
      <c r="D24" s="86" t="s">
        <v>1225</v>
      </c>
      <c r="F24" s="57"/>
      <c r="G24" s="24">
        <v>21</v>
      </c>
      <c r="H24" s="24">
        <v>42</v>
      </c>
      <c r="I24" s="24">
        <v>32</v>
      </c>
      <c r="J24" s="24">
        <v>60</v>
      </c>
      <c r="Z24" s="86" t="s">
        <v>1225</v>
      </c>
      <c r="AA24" s="24">
        <v>23</v>
      </c>
      <c r="AB24" s="28"/>
      <c r="AC24" s="24">
        <v>21</v>
      </c>
      <c r="AD24" s="24">
        <v>42</v>
      </c>
      <c r="AE24" s="24">
        <v>32</v>
      </c>
      <c r="AF24" s="24">
        <v>60</v>
      </c>
      <c r="AG24" s="41">
        <v>24</v>
      </c>
      <c r="AH24" s="41">
        <v>45</v>
      </c>
      <c r="AI24" s="41">
        <v>32</v>
      </c>
      <c r="AJ24" s="41">
        <v>60</v>
      </c>
      <c r="AK24" s="29">
        <v>24</v>
      </c>
      <c r="AL24" s="29">
        <v>45</v>
      </c>
      <c r="AM24" s="24">
        <v>32</v>
      </c>
      <c r="AN24" s="24">
        <v>60</v>
      </c>
      <c r="AO24" s="20">
        <v>27</v>
      </c>
      <c r="AP24" s="20">
        <v>42</v>
      </c>
      <c r="AQ24" s="20">
        <v>32</v>
      </c>
      <c r="AR24" s="20">
        <v>66</v>
      </c>
      <c r="AS24" s="43">
        <v>27</v>
      </c>
      <c r="AT24" s="43">
        <v>42</v>
      </c>
      <c r="AU24" s="29">
        <v>36</v>
      </c>
      <c r="AV24" s="29">
        <v>56</v>
      </c>
      <c r="AW24" s="29">
        <v>27</v>
      </c>
      <c r="AX24" s="29">
        <v>42</v>
      </c>
      <c r="AY24" s="58">
        <v>36</v>
      </c>
      <c r="AZ24" s="59">
        <v>62</v>
      </c>
      <c r="BA24" s="55">
        <v>27</v>
      </c>
      <c r="BB24" s="55">
        <v>47</v>
      </c>
      <c r="BC24" s="56">
        <v>36</v>
      </c>
      <c r="BD24" s="56">
        <v>62</v>
      </c>
      <c r="BE24" s="49"/>
      <c r="CC24" s="25"/>
      <c r="CE24" s="25"/>
      <c r="XDE24" s="50"/>
      <c r="XDF24" s="50"/>
      <c r="XDG24" s="50"/>
      <c r="XDH24" s="50"/>
      <c r="XDI24" s="50"/>
      <c r="XDJ24" s="50"/>
      <c r="XDK24" s="50"/>
      <c r="XDL24" s="50"/>
      <c r="XDM24" s="50"/>
      <c r="XDN24" s="50"/>
      <c r="XDO24" s="50"/>
      <c r="XDP24" s="50"/>
      <c r="XDQ24" s="50"/>
      <c r="XDR24" s="50"/>
      <c r="XDS24" s="50"/>
      <c r="XDT24" s="50"/>
      <c r="XDU24" s="50"/>
      <c r="XDV24" s="50"/>
      <c r="XDW24" s="50"/>
      <c r="XDX24" s="50"/>
      <c r="XDY24" s="50"/>
      <c r="XDZ24" s="50"/>
      <c r="XEA24" s="50"/>
      <c r="XEB24" s="50"/>
      <c r="XEC24" s="50"/>
      <c r="XED24" s="50"/>
      <c r="XEE24" s="50"/>
      <c r="XEF24" s="50"/>
      <c r="XEG24" s="50"/>
      <c r="XEH24" s="50"/>
      <c r="XEI24" s="50"/>
      <c r="XEJ24" s="50"/>
      <c r="XEK24" s="50"/>
      <c r="XEL24" s="50"/>
      <c r="XEM24" s="50"/>
      <c r="XEN24" s="50"/>
      <c r="XEO24" s="50"/>
      <c r="XEP24" s="50"/>
      <c r="XEQ24" s="50"/>
      <c r="XER24" s="50"/>
      <c r="XES24" s="50"/>
      <c r="XET24" s="50"/>
      <c r="XEU24" s="50"/>
      <c r="XEV24" s="50"/>
      <c r="XEW24" s="50"/>
      <c r="XEX24" s="50"/>
      <c r="XEY24" s="50"/>
      <c r="XEZ24" s="50"/>
      <c r="XFA24" s="50"/>
      <c r="XFB24" s="50"/>
    </row>
    <row r="25" s="24" customFormat="1" customHeight="1" spans="1:83 16333:16382">
      <c r="A25" s="75"/>
      <c r="B25" s="24">
        <v>22</v>
      </c>
      <c r="C25" s="30" t="s">
        <v>294</v>
      </c>
      <c r="D25" s="27" t="s">
        <v>295</v>
      </c>
      <c r="F25" s="57"/>
      <c r="G25" s="24">
        <v>18</v>
      </c>
      <c r="H25" s="24">
        <v>15</v>
      </c>
      <c r="I25" s="24">
        <v>20</v>
      </c>
      <c r="J25" s="24">
        <v>24</v>
      </c>
      <c r="Z25" s="27" t="s">
        <v>295</v>
      </c>
      <c r="AA25" s="24">
        <v>12</v>
      </c>
      <c r="AB25" s="28"/>
      <c r="AC25" s="24">
        <v>18</v>
      </c>
      <c r="AD25" s="24">
        <v>15</v>
      </c>
      <c r="AE25" s="24">
        <v>20</v>
      </c>
      <c r="AF25" s="24">
        <v>24</v>
      </c>
      <c r="AG25" s="41">
        <v>16</v>
      </c>
      <c r="AH25" s="41">
        <v>23</v>
      </c>
      <c r="AI25" s="41">
        <v>20</v>
      </c>
      <c r="AJ25" s="41">
        <v>32</v>
      </c>
      <c r="AK25" s="29">
        <v>11</v>
      </c>
      <c r="AL25" s="29">
        <v>25</v>
      </c>
      <c r="AM25" s="24">
        <v>22</v>
      </c>
      <c r="AN25" s="24">
        <v>26</v>
      </c>
      <c r="AO25" s="20">
        <v>11</v>
      </c>
      <c r="AP25" s="20">
        <v>28</v>
      </c>
      <c r="AQ25" s="20">
        <v>22</v>
      </c>
      <c r="AR25" s="20">
        <v>30</v>
      </c>
      <c r="AS25" s="43">
        <v>11</v>
      </c>
      <c r="AT25" s="43">
        <v>28</v>
      </c>
      <c r="AU25" s="29">
        <v>22</v>
      </c>
      <c r="AV25" s="29">
        <v>30</v>
      </c>
      <c r="AW25" s="29">
        <v>11</v>
      </c>
      <c r="AX25" s="29">
        <v>28</v>
      </c>
      <c r="AY25" s="24">
        <v>14</v>
      </c>
      <c r="AZ25" s="87">
        <v>38</v>
      </c>
      <c r="BA25" s="55">
        <v>11</v>
      </c>
      <c r="BB25" s="55">
        <v>28</v>
      </c>
      <c r="BC25" s="56">
        <v>14</v>
      </c>
      <c r="BD25" s="56">
        <v>38</v>
      </c>
      <c r="BE25" s="49"/>
      <c r="CC25" s="25"/>
      <c r="CE25" s="25"/>
      <c r="XDE25" s="50"/>
      <c r="XDF25" s="50"/>
      <c r="XDG25" s="50"/>
      <c r="XDH25" s="50"/>
      <c r="XDI25" s="50"/>
      <c r="XDJ25" s="50"/>
      <c r="XDK25" s="50"/>
      <c r="XDL25" s="50"/>
      <c r="XDM25" s="50"/>
      <c r="XDN25" s="50"/>
      <c r="XDO25" s="50"/>
      <c r="XDP25" s="50"/>
      <c r="XDQ25" s="50"/>
      <c r="XDR25" s="50"/>
      <c r="XDS25" s="50"/>
      <c r="XDT25" s="50"/>
      <c r="XDU25" s="50"/>
      <c r="XDV25" s="50"/>
      <c r="XDW25" s="50"/>
      <c r="XDX25" s="50"/>
      <c r="XDY25" s="50"/>
      <c r="XDZ25" s="50"/>
      <c r="XEA25" s="50"/>
      <c r="XEB25" s="50"/>
      <c r="XEC25" s="50"/>
      <c r="XED25" s="50"/>
      <c r="XEE25" s="50"/>
      <c r="XEF25" s="50"/>
      <c r="XEG25" s="50"/>
      <c r="XEH25" s="50"/>
      <c r="XEI25" s="50"/>
      <c r="XEJ25" s="50"/>
      <c r="XEK25" s="50"/>
      <c r="XEL25" s="50"/>
      <c r="XEM25" s="50"/>
      <c r="XEN25" s="50"/>
      <c r="XEO25" s="50"/>
      <c r="XEP25" s="50"/>
      <c r="XEQ25" s="50"/>
      <c r="XER25" s="50"/>
      <c r="XES25" s="50"/>
      <c r="XET25" s="50"/>
      <c r="XEU25" s="50"/>
      <c r="XEV25" s="50"/>
      <c r="XEW25" s="50"/>
      <c r="XEX25" s="50"/>
      <c r="XEY25" s="50"/>
      <c r="XEZ25" s="50"/>
      <c r="XFA25" s="50"/>
      <c r="XFB25" s="50"/>
    </row>
    <row r="26" s="24" customFormat="1" customHeight="1" spans="1:83 16333:16382">
      <c r="A26" s="75"/>
      <c r="B26" s="24">
        <v>23</v>
      </c>
      <c r="C26" s="30" t="s">
        <v>649</v>
      </c>
      <c r="D26" s="39" t="s">
        <v>1226</v>
      </c>
      <c r="F26" s="57"/>
      <c r="G26" s="24">
        <v>10</v>
      </c>
      <c r="H26" s="24">
        <v>14</v>
      </c>
      <c r="I26" s="24">
        <v>12</v>
      </c>
      <c r="J26" s="24">
        <v>20</v>
      </c>
      <c r="Z26" s="39" t="s">
        <v>1226</v>
      </c>
      <c r="AA26" s="24">
        <v>10</v>
      </c>
      <c r="AB26" s="28"/>
      <c r="AC26" s="24">
        <v>10</v>
      </c>
      <c r="AD26" s="24">
        <v>14</v>
      </c>
      <c r="AE26" s="24">
        <v>12</v>
      </c>
      <c r="AF26" s="24">
        <v>20</v>
      </c>
      <c r="AG26" s="24">
        <v>10</v>
      </c>
      <c r="AH26" s="24">
        <v>17</v>
      </c>
      <c r="AI26" s="24">
        <v>12</v>
      </c>
      <c r="AJ26" s="24">
        <v>24</v>
      </c>
      <c r="AK26" s="29">
        <v>11</v>
      </c>
      <c r="AL26" s="29">
        <v>16</v>
      </c>
      <c r="AM26" s="24">
        <v>18</v>
      </c>
      <c r="AN26" s="24">
        <v>32</v>
      </c>
      <c r="AO26" s="20">
        <v>13</v>
      </c>
      <c r="AP26" s="20">
        <v>20</v>
      </c>
      <c r="AQ26" s="20">
        <v>16</v>
      </c>
      <c r="AR26" s="20">
        <v>28</v>
      </c>
      <c r="AS26" s="43">
        <v>13</v>
      </c>
      <c r="AT26" s="43">
        <v>20</v>
      </c>
      <c r="AU26" s="29">
        <v>16</v>
      </c>
      <c r="AV26" s="29">
        <v>28</v>
      </c>
      <c r="AW26" s="29">
        <v>13</v>
      </c>
      <c r="AX26" s="29">
        <v>20</v>
      </c>
      <c r="AY26" s="24">
        <v>16</v>
      </c>
      <c r="AZ26" s="87">
        <v>28</v>
      </c>
      <c r="BA26" s="55">
        <v>13</v>
      </c>
      <c r="BB26" s="55">
        <v>20</v>
      </c>
      <c r="BC26" s="56">
        <v>16</v>
      </c>
      <c r="BD26" s="56">
        <v>28</v>
      </c>
      <c r="BE26" s="49"/>
      <c r="CC26" s="25"/>
      <c r="CE26" s="25"/>
      <c r="XDE26" s="50"/>
      <c r="XDF26" s="50"/>
      <c r="XDG26" s="50"/>
      <c r="XDH26" s="50"/>
      <c r="XDI26" s="50"/>
      <c r="XDJ26" s="50"/>
      <c r="XDK26" s="50"/>
      <c r="XDL26" s="50"/>
      <c r="XDM26" s="50"/>
      <c r="XDN26" s="50"/>
      <c r="XDO26" s="50"/>
      <c r="XDP26" s="50"/>
      <c r="XDQ26" s="50"/>
      <c r="XDR26" s="50"/>
      <c r="XDS26" s="50"/>
      <c r="XDT26" s="50"/>
      <c r="XDU26" s="50"/>
      <c r="XDV26" s="50"/>
      <c r="XDW26" s="50"/>
      <c r="XDX26" s="50"/>
      <c r="XDY26" s="50"/>
      <c r="XDZ26" s="50"/>
      <c r="XEA26" s="50"/>
      <c r="XEB26" s="50"/>
      <c r="XEC26" s="50"/>
      <c r="XED26" s="50"/>
      <c r="XEE26" s="50"/>
      <c r="XEF26" s="50"/>
      <c r="XEG26" s="50"/>
      <c r="XEH26" s="50"/>
      <c r="XEI26" s="50"/>
      <c r="XEJ26" s="50"/>
      <c r="XEK26" s="50"/>
      <c r="XEL26" s="50"/>
      <c r="XEM26" s="50"/>
      <c r="XEN26" s="50"/>
      <c r="XEO26" s="50"/>
      <c r="XEP26" s="50"/>
      <c r="XEQ26" s="50"/>
      <c r="XER26" s="50"/>
      <c r="XES26" s="50"/>
      <c r="XET26" s="50"/>
      <c r="XEU26" s="50"/>
      <c r="XEV26" s="50"/>
      <c r="XEW26" s="50"/>
      <c r="XEX26" s="50"/>
      <c r="XEY26" s="50"/>
      <c r="XEZ26" s="50"/>
      <c r="XFA26" s="50"/>
      <c r="XFB26" s="50"/>
    </row>
    <row r="27" s="24" customFormat="1" customHeight="1" spans="1:83 16333:16382">
      <c r="A27" s="75"/>
      <c r="B27" s="24">
        <v>24</v>
      </c>
      <c r="C27" s="30" t="s">
        <v>1227</v>
      </c>
      <c r="D27" s="52"/>
      <c r="F27" s="57"/>
      <c r="Z27" s="52"/>
      <c r="AB27" s="28"/>
      <c r="AG27" s="41"/>
      <c r="AH27" s="41"/>
      <c r="AI27" s="41">
        <v>20</v>
      </c>
      <c r="AJ27" s="41">
        <v>15</v>
      </c>
      <c r="AK27" s="29">
        <v>20</v>
      </c>
      <c r="AL27" s="29">
        <v>12</v>
      </c>
      <c r="AM27" s="24">
        <v>20</v>
      </c>
      <c r="AN27" s="24">
        <v>12</v>
      </c>
      <c r="AO27" s="20">
        <v>17</v>
      </c>
      <c r="AP27" s="20">
        <v>10</v>
      </c>
      <c r="AQ27" s="20">
        <v>29</v>
      </c>
      <c r="AR27" s="20">
        <v>22</v>
      </c>
      <c r="AS27" s="43">
        <v>17</v>
      </c>
      <c r="AT27" s="43">
        <v>10</v>
      </c>
      <c r="AU27" s="29">
        <v>22</v>
      </c>
      <c r="AV27" s="29">
        <v>14</v>
      </c>
      <c r="AW27" s="29">
        <v>17</v>
      </c>
      <c r="AX27" s="29">
        <v>10</v>
      </c>
      <c r="AY27" s="58">
        <v>22</v>
      </c>
      <c r="AZ27" s="58">
        <v>14</v>
      </c>
      <c r="BA27" s="71">
        <v>17</v>
      </c>
      <c r="BB27" s="71">
        <v>10</v>
      </c>
      <c r="BC27" s="68">
        <v>22</v>
      </c>
      <c r="BD27" s="68">
        <v>14</v>
      </c>
      <c r="CC27" s="25"/>
      <c r="CE27" s="25"/>
      <c r="XDE27" s="50"/>
      <c r="XDF27" s="50"/>
      <c r="XDG27" s="50"/>
      <c r="XDH27" s="50"/>
      <c r="XDI27" s="50"/>
      <c r="XDJ27" s="50"/>
      <c r="XDK27" s="50"/>
      <c r="XDL27" s="50"/>
      <c r="XDM27" s="50"/>
      <c r="XDN27" s="50"/>
      <c r="XDO27" s="50"/>
      <c r="XDP27" s="50"/>
      <c r="XDQ27" s="50"/>
      <c r="XDR27" s="50"/>
      <c r="XDS27" s="50"/>
      <c r="XDT27" s="50"/>
      <c r="XDU27" s="50"/>
      <c r="XDV27" s="50"/>
      <c r="XDW27" s="50"/>
      <c r="XDX27" s="50"/>
      <c r="XDY27" s="50"/>
      <c r="XDZ27" s="50"/>
      <c r="XEA27" s="50"/>
      <c r="XEB27" s="50"/>
      <c r="XEC27" s="50"/>
      <c r="XED27" s="50"/>
      <c r="XEE27" s="50"/>
      <c r="XEF27" s="50"/>
      <c r="XEG27" s="50"/>
      <c r="XEH27" s="50"/>
      <c r="XEI27" s="50"/>
      <c r="XEJ27" s="50"/>
      <c r="XEK27" s="50"/>
      <c r="XEL27" s="50"/>
      <c r="XEM27" s="50"/>
      <c r="XEN27" s="50"/>
      <c r="XEO27" s="50"/>
      <c r="XEP27" s="50"/>
      <c r="XEQ27" s="50"/>
      <c r="XER27" s="50"/>
      <c r="XES27" s="50"/>
      <c r="XET27" s="50"/>
      <c r="XEU27" s="50"/>
      <c r="XEV27" s="50"/>
      <c r="XEW27" s="50"/>
      <c r="XEX27" s="50"/>
      <c r="XEY27" s="50"/>
      <c r="XEZ27" s="50"/>
      <c r="XFA27" s="50"/>
      <c r="XFB27" s="50"/>
    </row>
    <row r="28" s="24" customFormat="1" customHeight="1" spans="1:83 16333:16382">
      <c r="A28" s="75"/>
      <c r="B28" s="24">
        <v>25</v>
      </c>
      <c r="C28" s="30" t="s">
        <v>287</v>
      </c>
      <c r="D28" s="52" t="s">
        <v>288</v>
      </c>
      <c r="F28" s="57"/>
      <c r="G28" s="24">
        <v>22</v>
      </c>
      <c r="H28" s="24">
        <v>44</v>
      </c>
      <c r="I28" s="24">
        <v>26</v>
      </c>
      <c r="J28" s="24">
        <v>69</v>
      </c>
      <c r="Z28" s="52" t="s">
        <v>288</v>
      </c>
      <c r="AA28" s="24">
        <v>24</v>
      </c>
      <c r="AB28" s="28"/>
      <c r="AC28" s="24">
        <v>22</v>
      </c>
      <c r="AD28" s="24">
        <v>44</v>
      </c>
      <c r="AE28" s="24">
        <v>26</v>
      </c>
      <c r="AF28" s="24">
        <v>69</v>
      </c>
      <c r="AG28" s="41">
        <v>28</v>
      </c>
      <c r="AH28" s="41">
        <v>47</v>
      </c>
      <c r="AI28" s="41">
        <v>34</v>
      </c>
      <c r="AJ28" s="41">
        <v>66</v>
      </c>
      <c r="AK28" s="29">
        <v>26</v>
      </c>
      <c r="AL28" s="29">
        <v>46</v>
      </c>
      <c r="AM28" s="24">
        <v>36</v>
      </c>
      <c r="AN28" s="24">
        <v>70</v>
      </c>
      <c r="AO28" s="20">
        <v>29</v>
      </c>
      <c r="AP28" s="20">
        <v>49</v>
      </c>
      <c r="AQ28" s="20">
        <v>36</v>
      </c>
      <c r="AR28" s="20">
        <v>68</v>
      </c>
      <c r="AS28" s="43">
        <v>26</v>
      </c>
      <c r="AT28" s="43">
        <v>49</v>
      </c>
      <c r="AU28" s="29">
        <v>32</v>
      </c>
      <c r="AV28" s="29">
        <v>68</v>
      </c>
      <c r="AW28" s="29">
        <v>26</v>
      </c>
      <c r="AX28" s="29">
        <v>49</v>
      </c>
      <c r="AY28" s="58">
        <v>32</v>
      </c>
      <c r="AZ28" s="59">
        <v>68</v>
      </c>
      <c r="BA28" s="55">
        <v>26</v>
      </c>
      <c r="BB28" s="55">
        <v>49</v>
      </c>
      <c r="BC28" s="88">
        <v>32</v>
      </c>
      <c r="BD28" s="88">
        <v>79</v>
      </c>
      <c r="BE28" s="49"/>
      <c r="CC28" s="25"/>
      <c r="CE28" s="25"/>
      <c r="XDE28" s="50"/>
      <c r="XDF28" s="50"/>
      <c r="XDG28" s="50"/>
      <c r="XDH28" s="50"/>
      <c r="XDI28" s="50"/>
      <c r="XDJ28" s="50"/>
      <c r="XDK28" s="50"/>
      <c r="XDL28" s="50"/>
      <c r="XDM28" s="50"/>
      <c r="XDN28" s="50"/>
      <c r="XDO28" s="50"/>
      <c r="XDP28" s="50"/>
      <c r="XDQ28" s="50"/>
      <c r="XDR28" s="50"/>
      <c r="XDS28" s="50"/>
      <c r="XDT28" s="50"/>
      <c r="XDU28" s="50"/>
      <c r="XDV28" s="50"/>
      <c r="XDW28" s="50"/>
      <c r="XDX28" s="50"/>
      <c r="XDY28" s="50"/>
      <c r="XDZ28" s="50"/>
      <c r="XEA28" s="50"/>
      <c r="XEB28" s="50"/>
      <c r="XEC28" s="50"/>
      <c r="XED28" s="50"/>
      <c r="XEE28" s="50"/>
      <c r="XEF28" s="50"/>
      <c r="XEG28" s="50"/>
      <c r="XEH28" s="50"/>
      <c r="XEI28" s="50"/>
      <c r="XEJ28" s="50"/>
      <c r="XEK28" s="50"/>
      <c r="XEL28" s="50"/>
      <c r="XEM28" s="50"/>
      <c r="XEN28" s="50"/>
      <c r="XEO28" s="50"/>
      <c r="XEP28" s="50"/>
      <c r="XEQ28" s="50"/>
      <c r="XER28" s="50"/>
      <c r="XES28" s="50"/>
      <c r="XET28" s="50"/>
      <c r="XEU28" s="50"/>
      <c r="XEV28" s="50"/>
      <c r="XEW28" s="50"/>
      <c r="XEX28" s="50"/>
      <c r="XEY28" s="50"/>
      <c r="XEZ28" s="50"/>
      <c r="XFA28" s="50"/>
      <c r="XFB28" s="50"/>
    </row>
    <row r="29" s="24" customFormat="1" customHeight="1" spans="1:83 16333:16382">
      <c r="A29" s="75"/>
      <c r="B29" s="24">
        <v>26</v>
      </c>
      <c r="C29" s="23" t="s">
        <v>1228</v>
      </c>
      <c r="D29" s="27"/>
      <c r="F29" s="57"/>
      <c r="G29" s="24">
        <v>56</v>
      </c>
      <c r="H29" s="24">
        <v>12</v>
      </c>
      <c r="I29" s="24">
        <v>20</v>
      </c>
      <c r="J29" s="24">
        <v>37</v>
      </c>
      <c r="Z29" s="27"/>
      <c r="AA29" s="24">
        <v>17</v>
      </c>
      <c r="AB29" s="28"/>
      <c r="AC29" s="24">
        <v>56</v>
      </c>
      <c r="AD29" s="24">
        <v>12</v>
      </c>
      <c r="AE29" s="24">
        <v>20</v>
      </c>
      <c r="AF29" s="24">
        <v>37</v>
      </c>
      <c r="AG29" s="41">
        <v>63</v>
      </c>
      <c r="AH29" s="41">
        <v>12</v>
      </c>
      <c r="AI29" s="41">
        <v>20</v>
      </c>
      <c r="AJ29" s="41">
        <v>34</v>
      </c>
      <c r="AK29" s="29">
        <v>53</v>
      </c>
      <c r="AL29" s="29">
        <v>12</v>
      </c>
      <c r="AM29" s="24">
        <v>16</v>
      </c>
      <c r="AN29" s="24">
        <v>34</v>
      </c>
      <c r="AO29" s="20">
        <v>59</v>
      </c>
      <c r="AP29" s="20">
        <v>12</v>
      </c>
      <c r="AQ29" s="20">
        <v>20</v>
      </c>
      <c r="AR29" s="20">
        <v>39</v>
      </c>
      <c r="AS29" s="43">
        <v>65</v>
      </c>
      <c r="AT29" s="43">
        <v>15</v>
      </c>
      <c r="AU29" s="29">
        <v>24</v>
      </c>
      <c r="AV29" s="29">
        <v>42</v>
      </c>
      <c r="AW29" s="29">
        <v>65</v>
      </c>
      <c r="AX29" s="29">
        <v>15</v>
      </c>
      <c r="AY29" s="58">
        <v>24</v>
      </c>
      <c r="AZ29" s="59">
        <v>42</v>
      </c>
      <c r="BA29" s="55">
        <v>65</v>
      </c>
      <c r="BB29" s="55">
        <v>15</v>
      </c>
      <c r="BC29" s="56">
        <v>24</v>
      </c>
      <c r="BD29" s="56">
        <v>42</v>
      </c>
      <c r="BE29" s="49"/>
      <c r="BY29" s="25"/>
      <c r="XDE29" s="50"/>
      <c r="XDF29" s="50"/>
      <c r="XDG29" s="50"/>
      <c r="XDH29" s="50"/>
      <c r="XDI29" s="50"/>
      <c r="XDJ29" s="50"/>
      <c r="XDK29" s="50"/>
      <c r="XDL29" s="50"/>
      <c r="XDM29" s="50"/>
      <c r="XDN29" s="50"/>
      <c r="XDO29" s="50"/>
      <c r="XDP29" s="50"/>
      <c r="XDQ29" s="50"/>
      <c r="XDR29" s="50"/>
      <c r="XDS29" s="50"/>
      <c r="XDT29" s="50"/>
      <c r="XDU29" s="50"/>
      <c r="XDV29" s="50"/>
      <c r="XDW29" s="50"/>
      <c r="XDX29" s="50"/>
      <c r="XDY29" s="50"/>
      <c r="XDZ29" s="50"/>
      <c r="XEA29" s="50"/>
      <c r="XEB29" s="50"/>
      <c r="XEC29" s="50"/>
      <c r="XED29" s="50"/>
      <c r="XEE29" s="50"/>
      <c r="XEF29" s="50"/>
      <c r="XEG29" s="50"/>
      <c r="XEH29" s="50"/>
      <c r="XEI29" s="50"/>
      <c r="XEJ29" s="50"/>
      <c r="XEK29" s="50"/>
      <c r="XEL29" s="50"/>
      <c r="XEM29" s="50"/>
      <c r="XEN29" s="50"/>
      <c r="XEO29" s="50"/>
      <c r="XEP29" s="50"/>
      <c r="XEQ29" s="50"/>
      <c r="XER29" s="50"/>
      <c r="XES29" s="50"/>
      <c r="XET29" s="50"/>
      <c r="XEU29" s="50"/>
      <c r="XEV29" s="50"/>
      <c r="XEW29" s="50"/>
      <c r="XEX29" s="50"/>
      <c r="XEY29" s="50"/>
      <c r="XEZ29" s="50"/>
      <c r="XFA29" s="50"/>
      <c r="XFB29" s="50"/>
    </row>
    <row r="30" s="24" customFormat="1" customHeight="1" spans="1:83 16333:16382">
      <c r="A30" s="75"/>
      <c r="B30" s="24">
        <v>27</v>
      </c>
      <c r="C30" s="23" t="s">
        <v>1229</v>
      </c>
      <c r="D30" s="27"/>
      <c r="F30" s="57"/>
      <c r="Z30" s="27"/>
      <c r="AA30" s="24">
        <v>2</v>
      </c>
      <c r="AB30" s="28"/>
      <c r="AG30" s="41">
        <v>6</v>
      </c>
      <c r="AH30" s="41"/>
      <c r="AI30" s="24">
        <v>4</v>
      </c>
      <c r="AK30" s="29">
        <v>6</v>
      </c>
      <c r="AL30" s="29"/>
      <c r="AM30" s="24">
        <v>4</v>
      </c>
      <c r="AN30" s="24">
        <v>0</v>
      </c>
      <c r="AO30" s="20">
        <v>6</v>
      </c>
      <c r="AP30" s="20">
        <v>0</v>
      </c>
      <c r="AQ30" s="20">
        <v>4</v>
      </c>
      <c r="AR30" s="20">
        <v>0</v>
      </c>
      <c r="AS30" s="43">
        <v>6</v>
      </c>
      <c r="AT30" s="43">
        <v>0</v>
      </c>
      <c r="AU30" s="29">
        <v>4</v>
      </c>
      <c r="AV30" s="29">
        <v>0</v>
      </c>
      <c r="AW30" s="29">
        <v>6</v>
      </c>
      <c r="AX30" s="29">
        <v>0</v>
      </c>
      <c r="AY30" s="58">
        <v>4</v>
      </c>
      <c r="AZ30" s="59">
        <v>0</v>
      </c>
      <c r="BA30" s="55">
        <v>6</v>
      </c>
      <c r="BB30" s="55">
        <v>0</v>
      </c>
      <c r="BC30" s="56">
        <v>4</v>
      </c>
      <c r="BD30" s="56">
        <v>0</v>
      </c>
      <c r="BE30" s="49"/>
      <c r="BY30" s="25"/>
      <c r="XDE30" s="50"/>
      <c r="XDF30" s="50"/>
      <c r="XDG30" s="50"/>
      <c r="XDH30" s="50"/>
      <c r="XDI30" s="50"/>
      <c r="XDJ30" s="50"/>
      <c r="XDK30" s="50"/>
      <c r="XDL30" s="50"/>
      <c r="XDM30" s="50"/>
      <c r="XDN30" s="50"/>
      <c r="XDO30" s="50"/>
      <c r="XDP30" s="50"/>
      <c r="XDQ30" s="50"/>
      <c r="XDR30" s="50"/>
      <c r="XDS30" s="50"/>
      <c r="XDT30" s="50"/>
      <c r="XDU30" s="50"/>
      <c r="XDV30" s="50"/>
      <c r="XDW30" s="50"/>
      <c r="XDX30" s="50"/>
      <c r="XDY30" s="50"/>
      <c r="XDZ30" s="50"/>
      <c r="XEA30" s="50"/>
      <c r="XEB30" s="50"/>
      <c r="XEC30" s="50"/>
      <c r="XED30" s="50"/>
      <c r="XEE30" s="50"/>
      <c r="XEF30" s="50"/>
      <c r="XEG30" s="50"/>
      <c r="XEH30" s="50"/>
      <c r="XEI30" s="50"/>
      <c r="XEJ30" s="50"/>
      <c r="XEK30" s="50"/>
      <c r="XEL30" s="50"/>
      <c r="XEM30" s="50"/>
      <c r="XEN30" s="50"/>
      <c r="XEO30" s="50"/>
      <c r="XEP30" s="50"/>
      <c r="XEQ30" s="50"/>
      <c r="XER30" s="50"/>
      <c r="XES30" s="50"/>
      <c r="XET30" s="50"/>
      <c r="XEU30" s="50"/>
      <c r="XEV30" s="50"/>
      <c r="XEW30" s="50"/>
      <c r="XEX30" s="50"/>
      <c r="XEY30" s="50"/>
      <c r="XEZ30" s="50"/>
      <c r="XFA30" s="50"/>
      <c r="XFB30" s="50"/>
    </row>
    <row r="31" s="24" customFormat="1" customHeight="1" spans="1:83 16333:16382">
      <c r="A31" s="75"/>
      <c r="B31" s="24">
        <v>28</v>
      </c>
      <c r="C31" s="30" t="s">
        <v>302</v>
      </c>
      <c r="D31" s="52" t="s">
        <v>303</v>
      </c>
      <c r="F31" s="57"/>
      <c r="G31" s="24">
        <v>86</v>
      </c>
      <c r="H31" s="24">
        <v>31</v>
      </c>
      <c r="I31" s="24">
        <v>112</v>
      </c>
      <c r="J31" s="24">
        <v>48</v>
      </c>
      <c r="Z31" s="52" t="s">
        <v>303</v>
      </c>
      <c r="AA31" s="24">
        <v>44</v>
      </c>
      <c r="AB31" s="28"/>
      <c r="AC31" s="24">
        <v>86</v>
      </c>
      <c r="AD31" s="24">
        <v>31</v>
      </c>
      <c r="AE31" s="24">
        <v>112</v>
      </c>
      <c r="AF31" s="24">
        <v>48</v>
      </c>
      <c r="AG31" s="41">
        <v>87</v>
      </c>
      <c r="AH31" s="41">
        <v>45</v>
      </c>
      <c r="AI31" s="41">
        <v>109</v>
      </c>
      <c r="AJ31" s="41">
        <v>69</v>
      </c>
      <c r="AK31" s="29">
        <v>85</v>
      </c>
      <c r="AL31" s="29">
        <v>42</v>
      </c>
      <c r="AM31" s="24">
        <v>112</v>
      </c>
      <c r="AN31" s="24">
        <v>72</v>
      </c>
      <c r="AO31" s="20">
        <v>87</v>
      </c>
      <c r="AP31" s="20">
        <v>60</v>
      </c>
      <c r="AQ31" s="20">
        <v>118</v>
      </c>
      <c r="AR31" s="20">
        <v>78</v>
      </c>
      <c r="AS31" s="43">
        <v>87</v>
      </c>
      <c r="AT31" s="43">
        <v>60</v>
      </c>
      <c r="AU31" s="29">
        <v>112</v>
      </c>
      <c r="AV31" s="29">
        <v>80</v>
      </c>
      <c r="AW31" s="29">
        <v>87</v>
      </c>
      <c r="AX31" s="29">
        <v>57</v>
      </c>
      <c r="AY31" s="58">
        <v>108</v>
      </c>
      <c r="AZ31" s="59">
        <v>72</v>
      </c>
      <c r="BA31" s="55">
        <v>87</v>
      </c>
      <c r="BB31" s="55">
        <v>48</v>
      </c>
      <c r="BC31" s="56">
        <v>112</v>
      </c>
      <c r="BD31" s="56">
        <v>68</v>
      </c>
      <c r="BE31" s="49"/>
      <c r="CC31" s="25"/>
      <c r="CE31" s="25"/>
      <c r="XDE31" s="50"/>
      <c r="XDF31" s="50"/>
      <c r="XDG31" s="50"/>
      <c r="XDH31" s="50"/>
      <c r="XDI31" s="50"/>
      <c r="XDJ31" s="50"/>
      <c r="XDK31" s="50"/>
      <c r="XDL31" s="50"/>
      <c r="XDM31" s="50"/>
      <c r="XDN31" s="50"/>
      <c r="XDO31" s="50"/>
      <c r="XDP31" s="50"/>
      <c r="XDQ31" s="50"/>
      <c r="XDR31" s="50"/>
      <c r="XDS31" s="50"/>
      <c r="XDT31" s="50"/>
      <c r="XDU31" s="50"/>
      <c r="XDV31" s="50"/>
      <c r="XDW31" s="50"/>
      <c r="XDX31" s="50"/>
      <c r="XDY31" s="50"/>
      <c r="XDZ31" s="50"/>
      <c r="XEA31" s="50"/>
      <c r="XEB31" s="50"/>
      <c r="XEC31" s="50"/>
      <c r="XED31" s="50"/>
      <c r="XEE31" s="50"/>
      <c r="XEF31" s="50"/>
      <c r="XEG31" s="50"/>
      <c r="XEH31" s="50"/>
      <c r="XEI31" s="50"/>
      <c r="XEJ31" s="50"/>
      <c r="XEK31" s="50"/>
      <c r="XEL31" s="50"/>
      <c r="XEM31" s="50"/>
      <c r="XEN31" s="50"/>
      <c r="XEO31" s="50"/>
      <c r="XEP31" s="50"/>
      <c r="XEQ31" s="50"/>
      <c r="XER31" s="50"/>
      <c r="XES31" s="50"/>
      <c r="XET31" s="50"/>
      <c r="XEU31" s="50"/>
      <c r="XEV31" s="50"/>
      <c r="XEW31" s="50"/>
      <c r="XEX31" s="50"/>
      <c r="XEY31" s="50"/>
      <c r="XEZ31" s="50"/>
      <c r="XFA31" s="50"/>
      <c r="XFB31" s="50"/>
    </row>
    <row r="32" s="24" customFormat="1" customHeight="1" spans="1:83 16333:16382">
      <c r="A32" s="75"/>
      <c r="B32" s="24">
        <v>29</v>
      </c>
      <c r="C32" s="23" t="s">
        <v>1230</v>
      </c>
      <c r="D32" s="27"/>
      <c r="F32" s="57"/>
      <c r="G32" s="24">
        <v>48</v>
      </c>
      <c r="H32" s="24">
        <v>54</v>
      </c>
      <c r="I32" s="24">
        <v>35</v>
      </c>
      <c r="J32" s="24">
        <v>43</v>
      </c>
      <c r="Z32" s="27"/>
      <c r="AA32" s="24">
        <v>38</v>
      </c>
      <c r="AB32" s="28"/>
      <c r="AC32" s="24">
        <v>48</v>
      </c>
      <c r="AD32" s="24">
        <v>54</v>
      </c>
      <c r="AE32" s="24">
        <v>35</v>
      </c>
      <c r="AF32" s="24">
        <v>43</v>
      </c>
      <c r="AG32" s="41">
        <v>48</v>
      </c>
      <c r="AH32" s="41">
        <v>71</v>
      </c>
      <c r="AI32" s="41">
        <v>36</v>
      </c>
      <c r="AJ32" s="41">
        <v>46</v>
      </c>
      <c r="AK32" s="29">
        <v>50</v>
      </c>
      <c r="AL32" s="29">
        <v>66</v>
      </c>
      <c r="AM32" s="24">
        <v>36</v>
      </c>
      <c r="AN32" s="24">
        <v>43</v>
      </c>
      <c r="AO32" s="20">
        <v>51</v>
      </c>
      <c r="AP32" s="20">
        <v>66</v>
      </c>
      <c r="AQ32" s="20">
        <v>35</v>
      </c>
      <c r="AR32" s="20">
        <v>43</v>
      </c>
      <c r="AS32" s="43">
        <v>70</v>
      </c>
      <c r="AT32" s="43">
        <v>86</v>
      </c>
      <c r="AU32" s="89">
        <v>0</v>
      </c>
      <c r="AV32" s="89">
        <v>0</v>
      </c>
      <c r="AW32" s="29">
        <v>51</v>
      </c>
      <c r="AX32" s="29">
        <v>66</v>
      </c>
      <c r="AY32" s="58">
        <v>35</v>
      </c>
      <c r="AZ32" s="58">
        <v>43</v>
      </c>
      <c r="BA32" s="90">
        <v>51</v>
      </c>
      <c r="BB32" s="91">
        <v>66</v>
      </c>
      <c r="BC32" s="68">
        <v>35</v>
      </c>
      <c r="BD32" s="68">
        <v>43</v>
      </c>
      <c r="BE32" s="49"/>
      <c r="CE32" s="25"/>
      <c r="XDE32" s="50"/>
      <c r="XDF32" s="50"/>
      <c r="XDG32" s="50"/>
      <c r="XDH32" s="50"/>
      <c r="XDI32" s="50"/>
      <c r="XDJ32" s="50"/>
      <c r="XDK32" s="50"/>
      <c r="XDL32" s="50"/>
      <c r="XDM32" s="50"/>
      <c r="XDN32" s="50"/>
      <c r="XDO32" s="50"/>
      <c r="XDP32" s="50"/>
      <c r="XDQ32" s="50"/>
      <c r="XDR32" s="50"/>
      <c r="XDS32" s="50"/>
      <c r="XDT32" s="50"/>
      <c r="XDU32" s="50"/>
      <c r="XDV32" s="50"/>
      <c r="XDW32" s="50"/>
      <c r="XDX32" s="50"/>
      <c r="XDY32" s="50"/>
      <c r="XDZ32" s="50"/>
      <c r="XEA32" s="50"/>
      <c r="XEB32" s="50"/>
      <c r="XEC32" s="50"/>
      <c r="XED32" s="50"/>
      <c r="XEE32" s="50"/>
      <c r="XEF32" s="50"/>
      <c r="XEG32" s="50"/>
      <c r="XEH32" s="50"/>
      <c r="XEI32" s="50"/>
      <c r="XEJ32" s="50"/>
      <c r="XEK32" s="50"/>
      <c r="XEL32" s="50"/>
      <c r="XEM32" s="50"/>
      <c r="XEN32" s="50"/>
      <c r="XEO32" s="50"/>
      <c r="XEP32" s="50"/>
      <c r="XEQ32" s="50"/>
      <c r="XER32" s="50"/>
      <c r="XES32" s="50"/>
      <c r="XET32" s="50"/>
      <c r="XEU32" s="50"/>
      <c r="XEV32" s="50"/>
      <c r="XEW32" s="50"/>
      <c r="XEX32" s="50"/>
      <c r="XEY32" s="50"/>
      <c r="XEZ32" s="50"/>
      <c r="XFA32" s="50"/>
      <c r="XFB32" s="50"/>
    </row>
    <row r="33" s="24" customFormat="1" customHeight="1" spans="1:113 16333:16382">
      <c r="A33" s="75"/>
      <c r="B33" s="24">
        <v>30</v>
      </c>
      <c r="C33" s="23" t="s">
        <v>1231</v>
      </c>
      <c r="D33" s="27"/>
      <c r="F33" s="57"/>
      <c r="G33" s="24">
        <v>44</v>
      </c>
      <c r="H33" s="24">
        <v>28</v>
      </c>
      <c r="I33" s="24">
        <v>27</v>
      </c>
      <c r="J33" s="24">
        <v>21</v>
      </c>
      <c r="Z33" s="27"/>
      <c r="AB33" s="24">
        <v>26</v>
      </c>
      <c r="AC33" s="24">
        <v>44</v>
      </c>
      <c r="AD33" s="24">
        <v>28</v>
      </c>
      <c r="AE33" s="24">
        <v>27</v>
      </c>
      <c r="AF33" s="24">
        <v>21</v>
      </c>
      <c r="AG33" s="24">
        <v>30</v>
      </c>
      <c r="AH33" s="24">
        <v>45</v>
      </c>
      <c r="AI33" s="41">
        <v>34</v>
      </c>
      <c r="AJ33" s="41">
        <v>26</v>
      </c>
      <c r="AK33" s="29">
        <v>47</v>
      </c>
      <c r="AL33" s="29">
        <v>31</v>
      </c>
      <c r="AM33" s="24">
        <v>31</v>
      </c>
      <c r="AN33" s="24">
        <v>22</v>
      </c>
      <c r="AO33" s="20">
        <v>47</v>
      </c>
      <c r="AP33" s="20">
        <v>31</v>
      </c>
      <c r="AQ33" s="20">
        <v>28</v>
      </c>
      <c r="AR33" s="20">
        <v>25</v>
      </c>
      <c r="AS33" s="43">
        <v>49</v>
      </c>
      <c r="AT33" s="43">
        <v>55</v>
      </c>
      <c r="AU33" s="89">
        <v>0</v>
      </c>
      <c r="AV33" s="89">
        <v>0</v>
      </c>
      <c r="AW33" s="29">
        <v>41</v>
      </c>
      <c r="AX33" s="29">
        <v>37</v>
      </c>
      <c r="AY33" s="61">
        <v>25</v>
      </c>
      <c r="AZ33" s="61">
        <v>27</v>
      </c>
      <c r="BA33" s="92">
        <v>41</v>
      </c>
      <c r="BB33" s="93">
        <v>37</v>
      </c>
      <c r="BC33" s="68">
        <v>25</v>
      </c>
      <c r="BD33" s="68">
        <v>27</v>
      </c>
      <c r="BE33" s="49"/>
      <c r="CC33" s="25"/>
      <c r="XDE33" s="50"/>
      <c r="XDF33" s="50"/>
      <c r="XDG33" s="50"/>
      <c r="XDH33" s="50"/>
      <c r="XDI33" s="50"/>
      <c r="XDJ33" s="50"/>
      <c r="XDK33" s="50"/>
      <c r="XDL33" s="50"/>
      <c r="XDM33" s="50"/>
      <c r="XDN33" s="50"/>
      <c r="XDO33" s="50"/>
      <c r="XDP33" s="50"/>
      <c r="XDQ33" s="50"/>
      <c r="XDR33" s="50"/>
      <c r="XDS33" s="50"/>
      <c r="XDT33" s="50"/>
      <c r="XDU33" s="50"/>
      <c r="XDV33" s="50"/>
      <c r="XDW33" s="50"/>
      <c r="XDX33" s="50"/>
      <c r="XDY33" s="50"/>
      <c r="XDZ33" s="50"/>
      <c r="XEA33" s="50"/>
      <c r="XEB33" s="50"/>
      <c r="XEC33" s="50"/>
      <c r="XED33" s="50"/>
      <c r="XEE33" s="50"/>
      <c r="XEF33" s="50"/>
      <c r="XEG33" s="50"/>
      <c r="XEH33" s="50"/>
      <c r="XEI33" s="50"/>
      <c r="XEJ33" s="50"/>
      <c r="XEK33" s="50"/>
      <c r="XEL33" s="50"/>
      <c r="XEM33" s="50"/>
      <c r="XEN33" s="50"/>
      <c r="XEO33" s="50"/>
      <c r="XEP33" s="50"/>
      <c r="XEQ33" s="50"/>
      <c r="XER33" s="50"/>
      <c r="XES33" s="50"/>
      <c r="XET33" s="50"/>
      <c r="XEU33" s="50"/>
      <c r="XEV33" s="50"/>
      <c r="XEW33" s="50"/>
      <c r="XEX33" s="50"/>
      <c r="XEY33" s="50"/>
      <c r="XEZ33" s="50"/>
      <c r="XFA33" s="50"/>
      <c r="XFB33" s="50"/>
    </row>
    <row r="34" s="24" customFormat="1" customHeight="1" spans="1:113 16333:16382">
      <c r="A34" s="69" t="s">
        <v>1017</v>
      </c>
      <c r="B34" s="24">
        <v>54</v>
      </c>
      <c r="C34" s="36" t="s">
        <v>19</v>
      </c>
      <c r="D34" s="94" t="s">
        <v>13</v>
      </c>
      <c r="E34" s="94" t="s">
        <v>405</v>
      </c>
      <c r="F34" s="31" t="s">
        <v>20</v>
      </c>
      <c r="G34" s="94" t="s">
        <v>21</v>
      </c>
      <c r="H34" s="95">
        <v>18926260299</v>
      </c>
      <c r="I34" s="24" t="s">
        <v>695</v>
      </c>
      <c r="J34" s="94" t="s">
        <v>21</v>
      </c>
      <c r="K34" s="52">
        <v>18926260299</v>
      </c>
      <c r="L34" s="24" t="s">
        <v>695</v>
      </c>
      <c r="M34" s="24" t="s">
        <v>1018</v>
      </c>
      <c r="N34" s="27" t="s">
        <v>1019</v>
      </c>
      <c r="O34" s="27"/>
      <c r="Q34" s="24" t="s">
        <v>1020</v>
      </c>
      <c r="R34" s="24" t="s">
        <v>409</v>
      </c>
      <c r="S34" s="24" t="s">
        <v>409</v>
      </c>
      <c r="U34" s="94"/>
      <c r="V34" s="94" t="s">
        <v>1021</v>
      </c>
      <c r="W34" s="27" t="s">
        <v>1022</v>
      </c>
      <c r="X34" s="94" t="s">
        <v>899</v>
      </c>
      <c r="Y34" s="27" t="s">
        <v>1023</v>
      </c>
      <c r="Z34" s="27"/>
      <c r="AA34" s="24">
        <v>23</v>
      </c>
      <c r="AB34" s="28"/>
      <c r="AG34" s="41">
        <v>35</v>
      </c>
      <c r="AH34" s="41">
        <v>10</v>
      </c>
      <c r="AI34" s="41">
        <v>62</v>
      </c>
      <c r="AJ34" s="41">
        <v>26</v>
      </c>
      <c r="AK34" s="29">
        <v>64</v>
      </c>
      <c r="AL34" s="29">
        <v>16</v>
      </c>
      <c r="AM34" s="24">
        <v>64</v>
      </c>
      <c r="AN34" s="24">
        <v>24</v>
      </c>
      <c r="AO34" s="24">
        <v>65</v>
      </c>
      <c r="AP34" s="24">
        <v>16</v>
      </c>
      <c r="AQ34" s="96">
        <v>61</v>
      </c>
      <c r="AR34" s="96">
        <v>16</v>
      </c>
      <c r="AS34" s="43">
        <v>56</v>
      </c>
      <c r="AT34" s="43">
        <v>13</v>
      </c>
      <c r="AU34" s="20">
        <v>68</v>
      </c>
      <c r="AV34" s="20">
        <v>24</v>
      </c>
      <c r="AW34" s="97">
        <v>56</v>
      </c>
      <c r="AX34" s="98">
        <v>13</v>
      </c>
      <c r="AY34" s="45">
        <v>68</v>
      </c>
      <c r="AZ34" s="45">
        <v>24</v>
      </c>
      <c r="BA34" s="92">
        <v>56</v>
      </c>
      <c r="BB34" s="93">
        <v>13</v>
      </c>
      <c r="BC34" s="99">
        <v>68</v>
      </c>
      <c r="BD34" s="99">
        <v>24</v>
      </c>
      <c r="CS34" s="25"/>
    </row>
    <row r="35" s="24" customFormat="1" ht="37" customHeight="1" spans="1:113 16333:16382">
      <c r="A35" s="100"/>
      <c r="B35" s="24">
        <v>55</v>
      </c>
      <c r="C35" s="36" t="s">
        <v>1232</v>
      </c>
      <c r="D35" s="94" t="s">
        <v>13</v>
      </c>
      <c r="E35" s="94" t="s">
        <v>405</v>
      </c>
      <c r="F35" s="31" t="s">
        <v>20</v>
      </c>
      <c r="G35" s="94" t="s">
        <v>25</v>
      </c>
      <c r="H35" s="95">
        <v>13927691058</v>
      </c>
      <c r="I35" s="95">
        <v>661058</v>
      </c>
      <c r="J35" s="94" t="s">
        <v>26</v>
      </c>
      <c r="K35" s="52">
        <v>13553917543</v>
      </c>
      <c r="L35" s="95">
        <v>627543</v>
      </c>
      <c r="M35" s="95"/>
      <c r="N35" s="52"/>
      <c r="O35" s="52" t="s">
        <v>416</v>
      </c>
      <c r="Q35" s="24" t="s">
        <v>408</v>
      </c>
      <c r="R35" s="24" t="s">
        <v>418</v>
      </c>
      <c r="S35" s="24" t="s">
        <v>418</v>
      </c>
      <c r="V35" s="24" t="s">
        <v>904</v>
      </c>
      <c r="W35" s="27" t="s">
        <v>1025</v>
      </c>
      <c r="X35" s="94" t="s">
        <v>1026</v>
      </c>
      <c r="Y35" s="27" t="s">
        <v>1027</v>
      </c>
      <c r="Z35" s="27" t="s">
        <v>1233</v>
      </c>
      <c r="AA35" s="24">
        <v>60</v>
      </c>
      <c r="AB35" s="28"/>
      <c r="AC35" s="41">
        <v>194</v>
      </c>
      <c r="AD35" s="41">
        <v>131</v>
      </c>
      <c r="AG35" s="41">
        <v>195</v>
      </c>
      <c r="AH35" s="41">
        <v>120</v>
      </c>
      <c r="AK35" s="29">
        <v>189</v>
      </c>
      <c r="AL35" s="29">
        <v>130</v>
      </c>
      <c r="AO35" s="24">
        <v>210</v>
      </c>
      <c r="AP35" s="101">
        <v>132</v>
      </c>
      <c r="AQ35" s="96">
        <v>0</v>
      </c>
      <c r="AR35" s="96">
        <v>0</v>
      </c>
      <c r="AS35" s="43">
        <v>187</v>
      </c>
      <c r="AT35" s="43">
        <v>134</v>
      </c>
      <c r="AU35" s="25">
        <v>0</v>
      </c>
      <c r="AV35" s="25">
        <v>0</v>
      </c>
      <c r="AW35" s="97">
        <v>199</v>
      </c>
      <c r="AX35" s="97">
        <v>137</v>
      </c>
      <c r="AY35" s="70">
        <v>0</v>
      </c>
      <c r="AZ35" s="70">
        <v>0</v>
      </c>
      <c r="BA35" s="92">
        <v>194</v>
      </c>
      <c r="BB35" s="92">
        <v>142</v>
      </c>
      <c r="BC35" s="24">
        <v>0</v>
      </c>
      <c r="BD35" s="24">
        <v>0</v>
      </c>
      <c r="CY35" s="25"/>
    </row>
    <row r="36" s="24" customFormat="1" ht="33" customHeight="1" spans="1:113 16333:16382">
      <c r="A36" s="100"/>
      <c r="C36" s="36" t="s">
        <v>1234</v>
      </c>
      <c r="D36" s="94"/>
      <c r="E36" s="94"/>
      <c r="F36" s="31"/>
      <c r="G36" s="94"/>
      <c r="H36" s="95"/>
      <c r="I36" s="95"/>
      <c r="J36" s="94"/>
      <c r="K36" s="52"/>
      <c r="L36" s="95"/>
      <c r="M36" s="95"/>
      <c r="N36" s="52"/>
      <c r="O36" s="52"/>
      <c r="W36" s="27"/>
      <c r="X36" s="94"/>
      <c r="Y36" s="27"/>
      <c r="Z36" s="27"/>
      <c r="AA36" s="24">
        <v>47</v>
      </c>
      <c r="AB36" s="28"/>
      <c r="AC36" s="41">
        <v>119</v>
      </c>
      <c r="AD36" s="41">
        <v>86</v>
      </c>
      <c r="AG36" s="41">
        <v>144</v>
      </c>
      <c r="AH36" s="41">
        <v>86</v>
      </c>
      <c r="AK36" s="29">
        <v>154</v>
      </c>
      <c r="AL36" s="29">
        <v>91</v>
      </c>
      <c r="AO36" s="87">
        <v>154</v>
      </c>
      <c r="AP36" s="102">
        <v>96</v>
      </c>
      <c r="AQ36" s="103">
        <v>0</v>
      </c>
      <c r="AR36" s="96">
        <v>0</v>
      </c>
      <c r="AS36" s="104">
        <v>139</v>
      </c>
      <c r="AT36" s="43">
        <v>96</v>
      </c>
      <c r="AU36" s="25">
        <v>0</v>
      </c>
      <c r="AV36" s="25">
        <v>0</v>
      </c>
      <c r="AW36" s="97">
        <v>139</v>
      </c>
      <c r="AX36" s="97">
        <v>96</v>
      </c>
      <c r="AY36" s="101">
        <v>0</v>
      </c>
      <c r="AZ36" s="101">
        <v>0</v>
      </c>
      <c r="BA36" s="92">
        <v>139</v>
      </c>
      <c r="BB36" s="92">
        <v>96</v>
      </c>
      <c r="BC36" s="24">
        <v>0</v>
      </c>
      <c r="BD36" s="24">
        <v>0</v>
      </c>
      <c r="CY36" s="25"/>
    </row>
    <row r="37" s="24" customFormat="1" customHeight="1" spans="1:113 16333:16382">
      <c r="A37" s="100"/>
      <c r="B37" s="24">
        <v>56</v>
      </c>
      <c r="C37" s="35" t="s">
        <v>1235</v>
      </c>
      <c r="D37" s="105" t="s">
        <v>13</v>
      </c>
      <c r="E37" s="105" t="s">
        <v>405</v>
      </c>
      <c r="F37" s="106" t="s">
        <v>20</v>
      </c>
      <c r="G37" s="105" t="s">
        <v>25</v>
      </c>
      <c r="H37" s="107">
        <v>13927691058</v>
      </c>
      <c r="I37" s="107">
        <v>661058</v>
      </c>
      <c r="J37" s="105" t="s">
        <v>26</v>
      </c>
      <c r="K37" s="108">
        <v>13553917543</v>
      </c>
      <c r="L37" s="107">
        <v>627543</v>
      </c>
      <c r="M37" s="25"/>
      <c r="N37" s="109"/>
      <c r="O37" s="109"/>
      <c r="P37" s="25"/>
      <c r="Q37" s="25"/>
      <c r="R37" s="25" t="s">
        <v>418</v>
      </c>
      <c r="S37" s="25" t="s">
        <v>418</v>
      </c>
      <c r="T37" s="25"/>
      <c r="U37" s="25"/>
      <c r="V37" s="25" t="s">
        <v>904</v>
      </c>
      <c r="W37" s="109" t="s">
        <v>1025</v>
      </c>
      <c r="X37" s="25" t="s">
        <v>1030</v>
      </c>
      <c r="Y37" s="109" t="s">
        <v>1031</v>
      </c>
      <c r="Z37" s="109" t="s">
        <v>30</v>
      </c>
      <c r="AA37" s="24">
        <v>49</v>
      </c>
      <c r="AC37" s="110">
        <v>96</v>
      </c>
      <c r="AD37" s="110">
        <v>53</v>
      </c>
      <c r="AE37" s="110">
        <v>104</v>
      </c>
      <c r="AF37" s="110">
        <v>71</v>
      </c>
      <c r="AG37" s="110">
        <v>119</v>
      </c>
      <c r="AH37" s="110">
        <v>61</v>
      </c>
      <c r="AI37" s="41">
        <v>112</v>
      </c>
      <c r="AJ37" s="41">
        <v>75</v>
      </c>
      <c r="AK37" s="29">
        <v>121</v>
      </c>
      <c r="AL37" s="29">
        <v>62</v>
      </c>
      <c r="AM37" s="24">
        <v>105</v>
      </c>
      <c r="AN37" s="24">
        <v>74</v>
      </c>
      <c r="AO37" s="87">
        <v>133</v>
      </c>
      <c r="AP37" s="102">
        <v>63</v>
      </c>
      <c r="AQ37" s="103">
        <v>105</v>
      </c>
      <c r="AR37" s="96">
        <v>61</v>
      </c>
      <c r="AS37" s="43">
        <v>127</v>
      </c>
      <c r="AT37" s="43">
        <v>58</v>
      </c>
      <c r="AU37" s="20">
        <v>109</v>
      </c>
      <c r="AV37" s="20">
        <v>78</v>
      </c>
      <c r="AW37" s="111">
        <v>119</v>
      </c>
      <c r="AX37" s="111">
        <v>58</v>
      </c>
      <c r="AY37" s="45">
        <v>109</v>
      </c>
      <c r="AZ37" s="45">
        <v>78</v>
      </c>
      <c r="BA37" s="112">
        <v>119</v>
      </c>
      <c r="BB37" s="92">
        <v>61</v>
      </c>
      <c r="BC37" s="24">
        <v>109</v>
      </c>
      <c r="BD37" s="24">
        <v>78</v>
      </c>
      <c r="DI37" s="25"/>
    </row>
    <row r="38" s="24" customFormat="1" customHeight="1" spans="1:113 16333:16382">
      <c r="A38" s="100"/>
      <c r="B38" s="24">
        <v>57</v>
      </c>
      <c r="C38" s="36" t="s">
        <v>49</v>
      </c>
      <c r="D38" s="94" t="s">
        <v>13</v>
      </c>
      <c r="E38" s="94" t="s">
        <v>405</v>
      </c>
      <c r="F38" s="31" t="s">
        <v>50</v>
      </c>
      <c r="G38" s="94" t="s">
        <v>51</v>
      </c>
      <c r="H38" s="95">
        <v>13726992042</v>
      </c>
      <c r="I38" s="95">
        <v>672042</v>
      </c>
      <c r="J38" s="94" t="s">
        <v>52</v>
      </c>
      <c r="K38" s="52">
        <v>13553919573</v>
      </c>
      <c r="L38" s="95">
        <v>66573</v>
      </c>
      <c r="M38" s="95"/>
      <c r="N38" s="52"/>
      <c r="O38" s="27" t="s">
        <v>1039</v>
      </c>
      <c r="P38" s="24">
        <v>50</v>
      </c>
      <c r="Q38" s="24" t="s">
        <v>1020</v>
      </c>
      <c r="R38" s="24" t="s">
        <v>418</v>
      </c>
      <c r="S38" s="24" t="s">
        <v>418</v>
      </c>
      <c r="V38" s="24" t="s">
        <v>1040</v>
      </c>
      <c r="W38" s="27" t="s">
        <v>1041</v>
      </c>
      <c r="X38" s="24" t="s">
        <v>1042</v>
      </c>
      <c r="Y38" s="27" t="s">
        <v>1043</v>
      </c>
      <c r="Z38" s="27" t="s">
        <v>51</v>
      </c>
      <c r="AA38" s="24">
        <v>10</v>
      </c>
      <c r="AC38" s="24">
        <v>14</v>
      </c>
      <c r="AD38" s="24">
        <v>1</v>
      </c>
      <c r="AE38" s="24">
        <v>22</v>
      </c>
      <c r="AF38" s="24">
        <v>5</v>
      </c>
      <c r="AG38" s="24">
        <v>18</v>
      </c>
      <c r="AH38" s="24">
        <v>3</v>
      </c>
      <c r="AI38" s="24">
        <v>28</v>
      </c>
      <c r="AJ38" s="24">
        <v>11</v>
      </c>
      <c r="AK38" s="29">
        <v>25</v>
      </c>
      <c r="AL38" s="29">
        <v>14</v>
      </c>
      <c r="AM38" s="24">
        <v>22</v>
      </c>
      <c r="AN38" s="24">
        <v>8</v>
      </c>
      <c r="AO38" s="87">
        <v>22</v>
      </c>
      <c r="AP38" s="102">
        <v>8</v>
      </c>
      <c r="AQ38" s="103">
        <v>22</v>
      </c>
      <c r="AR38" s="96">
        <v>8</v>
      </c>
      <c r="AS38" s="43">
        <v>22</v>
      </c>
      <c r="AT38" s="43">
        <v>8</v>
      </c>
      <c r="AU38" s="20">
        <v>28</v>
      </c>
      <c r="AV38" s="20">
        <v>12</v>
      </c>
      <c r="AW38" s="97">
        <v>19</v>
      </c>
      <c r="AX38" s="98">
        <v>8</v>
      </c>
      <c r="AY38" s="45">
        <v>24</v>
      </c>
      <c r="AZ38" s="45">
        <v>12</v>
      </c>
      <c r="BA38" s="92">
        <v>19</v>
      </c>
      <c r="BB38" s="93">
        <v>8</v>
      </c>
      <c r="BC38" s="99">
        <v>22</v>
      </c>
      <c r="BD38" s="99">
        <v>14</v>
      </c>
      <c r="CS38" s="25"/>
    </row>
    <row r="39" s="24" customFormat="1" customHeight="1" spans="1:113 16333:16382">
      <c r="A39" s="100"/>
      <c r="B39" s="24">
        <v>58</v>
      </c>
      <c r="C39" s="36" t="s">
        <v>1033</v>
      </c>
      <c r="D39" s="94"/>
      <c r="E39" s="94"/>
      <c r="F39" s="31"/>
      <c r="G39" s="86"/>
      <c r="H39" s="113"/>
      <c r="I39" s="113"/>
      <c r="J39" s="86"/>
      <c r="K39" s="114"/>
      <c r="L39" s="113"/>
      <c r="M39" s="95"/>
      <c r="N39" s="52"/>
      <c r="O39" s="52"/>
      <c r="W39" s="27"/>
      <c r="Y39" s="27"/>
      <c r="Z39" s="52"/>
      <c r="AA39" s="24">
        <v>15</v>
      </c>
      <c r="AC39" s="24">
        <v>3</v>
      </c>
      <c r="AD39" s="24">
        <v>3</v>
      </c>
      <c r="AE39" s="24">
        <v>8</v>
      </c>
      <c r="AF39" s="24">
        <v>4</v>
      </c>
      <c r="AG39" s="24">
        <v>6</v>
      </c>
      <c r="AI39" s="24">
        <v>12</v>
      </c>
      <c r="AK39" s="29">
        <v>9</v>
      </c>
      <c r="AL39" s="29"/>
      <c r="AM39" s="24">
        <v>12</v>
      </c>
      <c r="AO39" s="87">
        <v>10</v>
      </c>
      <c r="AP39" s="102">
        <v>2</v>
      </c>
      <c r="AQ39" s="103">
        <v>14</v>
      </c>
      <c r="AR39" s="96">
        <v>2</v>
      </c>
      <c r="AS39" s="43">
        <v>10</v>
      </c>
      <c r="AT39" s="43">
        <v>2</v>
      </c>
      <c r="AU39" s="20">
        <v>14</v>
      </c>
      <c r="AV39" s="20">
        <v>2</v>
      </c>
      <c r="AW39" s="97">
        <v>10</v>
      </c>
      <c r="AX39" s="97">
        <v>2</v>
      </c>
      <c r="AY39" s="53">
        <v>14</v>
      </c>
      <c r="AZ39" s="53">
        <v>2</v>
      </c>
      <c r="BA39" s="92">
        <v>10</v>
      </c>
      <c r="BB39" s="92">
        <v>2</v>
      </c>
      <c r="BC39" s="24">
        <v>14</v>
      </c>
      <c r="BD39" s="24">
        <v>2</v>
      </c>
      <c r="DI39" s="25"/>
    </row>
    <row r="40" s="24" customFormat="1" customHeight="1" spans="1:113 16333:16382">
      <c r="A40" s="100"/>
      <c r="C40" s="36" t="s">
        <v>1236</v>
      </c>
      <c r="D40" s="94"/>
      <c r="E40" s="94"/>
      <c r="F40" s="31"/>
      <c r="G40" s="86"/>
      <c r="H40" s="113"/>
      <c r="I40" s="113"/>
      <c r="J40" s="86"/>
      <c r="K40" s="114"/>
      <c r="L40" s="113"/>
      <c r="M40" s="95"/>
      <c r="N40" s="52"/>
      <c r="O40" s="52"/>
      <c r="W40" s="27"/>
      <c r="Y40" s="27"/>
      <c r="Z40" s="52"/>
      <c r="AA40" s="24">
        <v>5</v>
      </c>
      <c r="AI40" s="24">
        <v>15</v>
      </c>
      <c r="AJ40" s="24">
        <v>15</v>
      </c>
      <c r="AK40" s="29">
        <v>9</v>
      </c>
      <c r="AL40" s="29">
        <v>6</v>
      </c>
      <c r="AM40" s="24">
        <v>12</v>
      </c>
      <c r="AN40" s="24">
        <v>8</v>
      </c>
      <c r="AO40" s="115">
        <v>9</v>
      </c>
      <c r="AP40" s="102">
        <v>6</v>
      </c>
      <c r="AQ40" s="103">
        <v>12</v>
      </c>
      <c r="AR40" s="96">
        <v>8</v>
      </c>
      <c r="AS40" s="43">
        <v>9</v>
      </c>
      <c r="AT40" s="43">
        <v>6</v>
      </c>
      <c r="AU40" s="20">
        <v>12</v>
      </c>
      <c r="AV40" s="20">
        <v>8</v>
      </c>
      <c r="AW40" s="97">
        <v>9</v>
      </c>
      <c r="AX40" s="97">
        <v>6</v>
      </c>
      <c r="AY40" s="58">
        <v>12</v>
      </c>
      <c r="AZ40" s="58">
        <v>14</v>
      </c>
      <c r="BA40" s="92">
        <v>9</v>
      </c>
      <c r="BB40" s="92">
        <v>11</v>
      </c>
      <c r="BC40" s="24">
        <v>12</v>
      </c>
      <c r="BD40" s="24">
        <v>14</v>
      </c>
      <c r="DI40" s="25"/>
    </row>
    <row r="41" s="24" customFormat="1" customHeight="1" spans="1:113 16333:16382">
      <c r="A41" s="100"/>
      <c r="C41" s="36" t="s">
        <v>1237</v>
      </c>
      <c r="D41" s="94"/>
      <c r="E41" s="94"/>
      <c r="F41" s="31"/>
      <c r="G41" s="86"/>
      <c r="H41" s="113"/>
      <c r="I41" s="113"/>
      <c r="J41" s="86"/>
      <c r="K41" s="114"/>
      <c r="L41" s="113"/>
      <c r="M41" s="95"/>
      <c r="N41" s="52"/>
      <c r="O41" s="52"/>
      <c r="W41" s="27"/>
      <c r="Y41" s="27"/>
      <c r="Z41" s="52"/>
      <c r="AA41" s="24">
        <v>12</v>
      </c>
      <c r="AC41" s="24">
        <v>24</v>
      </c>
      <c r="AD41" s="24">
        <v>12</v>
      </c>
      <c r="AE41" s="24">
        <v>30</v>
      </c>
      <c r="AF41" s="24">
        <v>18</v>
      </c>
      <c r="AG41" s="24">
        <v>19</v>
      </c>
      <c r="AH41" s="24">
        <v>14</v>
      </c>
      <c r="AI41" s="24">
        <v>22</v>
      </c>
      <c r="AJ41" s="24">
        <v>22</v>
      </c>
      <c r="AK41" s="29">
        <v>17</v>
      </c>
      <c r="AL41" s="29">
        <v>19</v>
      </c>
      <c r="AM41" s="24">
        <v>22</v>
      </c>
      <c r="AN41" s="87">
        <v>26</v>
      </c>
      <c r="AO41" s="116">
        <v>14</v>
      </c>
      <c r="AP41" s="102">
        <v>19</v>
      </c>
      <c r="AQ41" s="103">
        <v>22</v>
      </c>
      <c r="AR41" s="96">
        <v>26</v>
      </c>
      <c r="AS41" s="43">
        <v>17</v>
      </c>
      <c r="AT41" s="43">
        <v>19</v>
      </c>
      <c r="AU41" s="20">
        <v>22</v>
      </c>
      <c r="AV41" s="22">
        <v>26</v>
      </c>
      <c r="AW41" s="97">
        <v>17</v>
      </c>
      <c r="AX41" s="97">
        <v>19</v>
      </c>
      <c r="AY41" s="117">
        <v>22</v>
      </c>
      <c r="AZ41" s="118">
        <v>26</v>
      </c>
      <c r="BA41" s="92">
        <v>17</v>
      </c>
      <c r="BB41" s="92">
        <v>19</v>
      </c>
      <c r="BC41" s="24">
        <v>22</v>
      </c>
      <c r="BD41" s="24">
        <v>26</v>
      </c>
      <c r="DI41" s="25"/>
    </row>
    <row r="42" s="24" customFormat="1" customHeight="1" spans="1:113 16333:16382">
      <c r="A42" s="100"/>
      <c r="B42" s="24">
        <v>59</v>
      </c>
      <c r="C42" s="36" t="s">
        <v>91</v>
      </c>
      <c r="D42" s="94"/>
      <c r="E42" s="94"/>
      <c r="F42" s="31"/>
      <c r="G42" s="86"/>
      <c r="H42" s="113"/>
      <c r="I42" s="113"/>
      <c r="J42" s="86"/>
      <c r="K42" s="114"/>
      <c r="L42" s="113"/>
      <c r="M42" s="95"/>
      <c r="N42" s="52"/>
      <c r="O42" s="52"/>
      <c r="W42" s="27"/>
      <c r="Y42" s="27"/>
      <c r="Z42" s="52" t="s">
        <v>92</v>
      </c>
      <c r="AA42" s="24">
        <v>40</v>
      </c>
      <c r="AC42" s="41">
        <v>62</v>
      </c>
      <c r="AD42" s="41">
        <v>36</v>
      </c>
      <c r="AE42" s="41">
        <v>99</v>
      </c>
      <c r="AF42" s="41">
        <v>73</v>
      </c>
      <c r="AG42" s="119">
        <v>85</v>
      </c>
      <c r="AH42" s="120">
        <v>50</v>
      </c>
      <c r="AI42" s="41">
        <v>91</v>
      </c>
      <c r="AJ42" s="41">
        <v>80</v>
      </c>
      <c r="AK42" s="29">
        <v>64</v>
      </c>
      <c r="AL42" s="29">
        <v>46</v>
      </c>
      <c r="AM42" s="24">
        <v>85</v>
      </c>
      <c r="AN42" s="87">
        <v>70</v>
      </c>
      <c r="AO42" s="116">
        <v>62</v>
      </c>
      <c r="AP42" s="102">
        <v>67</v>
      </c>
      <c r="AQ42" s="103">
        <v>87</v>
      </c>
      <c r="AR42" s="96">
        <v>76</v>
      </c>
      <c r="AS42" s="43">
        <v>62</v>
      </c>
      <c r="AT42" s="43">
        <v>60</v>
      </c>
      <c r="AU42" s="20">
        <v>89</v>
      </c>
      <c r="AV42" s="121">
        <v>76</v>
      </c>
      <c r="AW42" s="97">
        <v>60</v>
      </c>
      <c r="AX42" s="97">
        <v>58</v>
      </c>
      <c r="AY42" s="58">
        <v>87</v>
      </c>
      <c r="AZ42" s="58">
        <v>75</v>
      </c>
      <c r="BA42" s="92">
        <v>60</v>
      </c>
      <c r="BB42" s="92">
        <v>58</v>
      </c>
      <c r="BC42" s="24">
        <v>87</v>
      </c>
      <c r="BD42" s="24">
        <v>75</v>
      </c>
      <c r="CS42" s="25"/>
    </row>
    <row r="43" s="24" customFormat="1" customHeight="1" spans="1:113 16333:16382">
      <c r="A43" s="100"/>
      <c r="B43" s="24">
        <v>60</v>
      </c>
      <c r="C43" s="36" t="s">
        <v>1238</v>
      </c>
      <c r="D43" s="94" t="s">
        <v>13</v>
      </c>
      <c r="E43" s="94" t="s">
        <v>405</v>
      </c>
      <c r="F43" s="31" t="s">
        <v>60</v>
      </c>
      <c r="G43" s="86" t="s">
        <v>1239</v>
      </c>
      <c r="H43" s="113">
        <v>13553932288</v>
      </c>
      <c r="I43" s="113">
        <v>672288</v>
      </c>
      <c r="J43" s="86" t="s">
        <v>71</v>
      </c>
      <c r="K43" s="114">
        <v>15811735705</v>
      </c>
      <c r="L43" s="113">
        <v>615705</v>
      </c>
      <c r="N43" s="27"/>
      <c r="O43" s="52" t="s">
        <v>1044</v>
      </c>
      <c r="Q43" s="24" t="s">
        <v>1045</v>
      </c>
      <c r="R43" s="24" t="s">
        <v>418</v>
      </c>
      <c r="S43" s="24" t="s">
        <v>418</v>
      </c>
      <c r="V43" s="24" t="s">
        <v>1046</v>
      </c>
      <c r="W43" s="52" t="s">
        <v>1047</v>
      </c>
      <c r="X43" s="94" t="s">
        <v>1048</v>
      </c>
      <c r="Y43" s="27" t="s">
        <v>1049</v>
      </c>
      <c r="Z43" s="52"/>
      <c r="AA43" s="24">
        <v>41</v>
      </c>
      <c r="AC43" s="24">
        <v>80</v>
      </c>
      <c r="AD43" s="24">
        <v>120</v>
      </c>
      <c r="AE43" s="24">
        <v>50</v>
      </c>
      <c r="AF43" s="24">
        <v>127</v>
      </c>
      <c r="AG43" s="24">
        <v>60</v>
      </c>
      <c r="AH43" s="24">
        <v>120</v>
      </c>
      <c r="AI43" s="24">
        <v>50</v>
      </c>
      <c r="AJ43" s="24">
        <v>100</v>
      </c>
      <c r="AK43" s="29">
        <v>80</v>
      </c>
      <c r="AL43" s="29">
        <v>100</v>
      </c>
      <c r="AM43" s="29">
        <v>50</v>
      </c>
      <c r="AN43" s="44">
        <v>100</v>
      </c>
      <c r="AO43" s="122">
        <v>80</v>
      </c>
      <c r="AP43" s="123">
        <v>100</v>
      </c>
      <c r="AQ43" s="103">
        <v>50</v>
      </c>
      <c r="AR43" s="96">
        <v>100</v>
      </c>
      <c r="AS43" s="43">
        <v>30</v>
      </c>
      <c r="AT43" s="43">
        <v>100</v>
      </c>
      <c r="AU43" s="20">
        <v>50</v>
      </c>
      <c r="AV43" s="121">
        <v>100</v>
      </c>
      <c r="AW43" s="97">
        <v>30</v>
      </c>
      <c r="AX43" s="97">
        <v>100</v>
      </c>
      <c r="AY43" s="58">
        <v>50</v>
      </c>
      <c r="AZ43" s="58">
        <v>100</v>
      </c>
      <c r="BA43" s="92">
        <v>40</v>
      </c>
      <c r="BB43" s="92">
        <v>100</v>
      </c>
      <c r="BC43" s="24">
        <v>40</v>
      </c>
      <c r="BD43" s="24">
        <v>100</v>
      </c>
      <c r="BS43" s="41"/>
    </row>
    <row r="44" s="24" customFormat="1" customHeight="1" spans="1:113 16333:16382">
      <c r="A44" s="100"/>
      <c r="B44" s="24">
        <v>61</v>
      </c>
      <c r="C44" s="36" t="s">
        <v>1240</v>
      </c>
      <c r="D44" s="94" t="s">
        <v>13</v>
      </c>
      <c r="E44" s="94" t="s">
        <v>405</v>
      </c>
      <c r="F44" s="31" t="s">
        <v>60</v>
      </c>
      <c r="G44" s="86" t="s">
        <v>70</v>
      </c>
      <c r="H44" s="113">
        <v>18820553993</v>
      </c>
      <c r="I44" s="113">
        <v>693993</v>
      </c>
      <c r="J44" s="86" t="s">
        <v>74</v>
      </c>
      <c r="K44" s="114">
        <v>13413595530</v>
      </c>
      <c r="L44" s="113">
        <v>685530</v>
      </c>
      <c r="M44" s="95"/>
      <c r="N44" s="52"/>
      <c r="O44" s="52" t="s">
        <v>1050</v>
      </c>
      <c r="Q44" s="24" t="s">
        <v>408</v>
      </c>
      <c r="R44" s="24" t="s">
        <v>418</v>
      </c>
      <c r="S44" s="24" t="s">
        <v>418</v>
      </c>
      <c r="V44" s="24" t="s">
        <v>1051</v>
      </c>
      <c r="W44" s="27" t="s">
        <v>1052</v>
      </c>
      <c r="X44" s="24" t="s">
        <v>1053</v>
      </c>
      <c r="Y44" s="27" t="s">
        <v>1054</v>
      </c>
      <c r="Z44" s="52"/>
      <c r="AC44" s="24">
        <v>40</v>
      </c>
      <c r="AD44" s="24">
        <v>50</v>
      </c>
      <c r="AE44" s="24">
        <v>30</v>
      </c>
      <c r="AF44" s="24">
        <v>40</v>
      </c>
      <c r="AG44" s="24">
        <v>50</v>
      </c>
      <c r="AH44" s="24">
        <v>50</v>
      </c>
      <c r="AI44" s="24">
        <v>30</v>
      </c>
      <c r="AJ44" s="24">
        <v>40</v>
      </c>
      <c r="AK44" s="29">
        <v>50</v>
      </c>
      <c r="AL44" s="29">
        <v>50</v>
      </c>
      <c r="AM44" s="24">
        <v>50</v>
      </c>
      <c r="AN44" s="87">
        <v>70</v>
      </c>
      <c r="AO44" s="116">
        <v>80</v>
      </c>
      <c r="AP44" s="102">
        <v>80</v>
      </c>
      <c r="AQ44" s="103">
        <v>60</v>
      </c>
      <c r="AR44" s="96">
        <v>60</v>
      </c>
      <c r="AS44" s="43">
        <v>80</v>
      </c>
      <c r="AT44" s="43">
        <v>80</v>
      </c>
      <c r="AU44" s="20">
        <v>60</v>
      </c>
      <c r="AV44" s="20">
        <v>60</v>
      </c>
      <c r="AW44" s="97">
        <v>80</v>
      </c>
      <c r="AX44" s="97">
        <v>100</v>
      </c>
      <c r="AY44" s="61">
        <v>60</v>
      </c>
      <c r="AZ44" s="61">
        <v>60</v>
      </c>
      <c r="BA44" s="92">
        <v>80</v>
      </c>
      <c r="BB44" s="92">
        <v>100</v>
      </c>
      <c r="BC44" s="101">
        <v>60</v>
      </c>
      <c r="BD44" s="101">
        <v>60</v>
      </c>
    </row>
    <row r="45" s="24" customFormat="1" ht="30" customHeight="1" spans="1:113 16333:16382">
      <c r="A45" s="100"/>
      <c r="B45" s="24">
        <v>63</v>
      </c>
      <c r="C45" s="36" t="s">
        <v>1241</v>
      </c>
      <c r="D45" s="94"/>
      <c r="E45" s="94"/>
      <c r="F45" s="31"/>
      <c r="G45" s="86"/>
      <c r="H45" s="113"/>
      <c r="I45" s="113"/>
      <c r="J45" s="86"/>
      <c r="K45" s="114"/>
      <c r="L45" s="113"/>
      <c r="M45" s="95"/>
      <c r="N45" s="52"/>
      <c r="O45" s="52"/>
      <c r="W45" s="27"/>
      <c r="Y45" s="27"/>
      <c r="Z45" s="124" t="s">
        <v>1242</v>
      </c>
      <c r="AA45" s="24">
        <v>19</v>
      </c>
      <c r="AC45" s="24">
        <v>44</v>
      </c>
      <c r="AD45" s="24">
        <v>31</v>
      </c>
      <c r="AE45" s="24">
        <v>27</v>
      </c>
      <c r="AF45" s="24">
        <v>27</v>
      </c>
      <c r="AG45" s="41">
        <v>27</v>
      </c>
      <c r="AH45" s="41">
        <v>31</v>
      </c>
      <c r="AI45" s="41">
        <v>27</v>
      </c>
      <c r="AJ45" s="41">
        <v>31</v>
      </c>
      <c r="AK45" s="29">
        <v>40</v>
      </c>
      <c r="AL45" s="29">
        <v>30</v>
      </c>
      <c r="AM45" s="24">
        <v>24</v>
      </c>
      <c r="AN45" s="87">
        <v>19</v>
      </c>
      <c r="AO45" s="116">
        <v>40</v>
      </c>
      <c r="AP45" s="102">
        <v>29</v>
      </c>
      <c r="AQ45" s="103">
        <v>24</v>
      </c>
      <c r="AR45" s="96">
        <v>20</v>
      </c>
      <c r="AS45" s="43">
        <v>39</v>
      </c>
      <c r="AT45" s="43">
        <v>30</v>
      </c>
      <c r="AU45" s="20">
        <v>38</v>
      </c>
      <c r="AV45" s="20">
        <v>36</v>
      </c>
      <c r="AW45" s="97">
        <v>30</v>
      </c>
      <c r="AX45" s="98">
        <v>25</v>
      </c>
      <c r="AY45" s="45">
        <v>30</v>
      </c>
      <c r="AZ45" s="45">
        <v>30</v>
      </c>
      <c r="BA45" s="112">
        <v>30</v>
      </c>
      <c r="BB45" s="92">
        <v>25</v>
      </c>
      <c r="BC45" s="24">
        <v>30</v>
      </c>
      <c r="BD45" s="24">
        <v>26</v>
      </c>
      <c r="CY45" s="25"/>
    </row>
    <row r="46" s="24" customFormat="1" customHeight="1" spans="1:113 16333:16382">
      <c r="A46" s="100"/>
      <c r="B46" s="24">
        <v>64</v>
      </c>
      <c r="C46" s="36" t="s">
        <v>1243</v>
      </c>
      <c r="D46" s="94"/>
      <c r="E46" s="94"/>
      <c r="F46" s="31"/>
      <c r="G46" s="86"/>
      <c r="H46" s="113"/>
      <c r="I46" s="113"/>
      <c r="J46" s="86"/>
      <c r="K46" s="114"/>
      <c r="L46" s="113"/>
      <c r="M46" s="95"/>
      <c r="N46" s="52"/>
      <c r="O46" s="52"/>
      <c r="W46" s="27"/>
      <c r="Y46" s="27"/>
      <c r="Z46" s="52" t="s">
        <v>1244</v>
      </c>
      <c r="AA46" s="24">
        <v>8</v>
      </c>
      <c r="AC46" s="24">
        <v>9</v>
      </c>
      <c r="AD46" s="24">
        <v>6</v>
      </c>
      <c r="AE46" s="24">
        <v>12</v>
      </c>
      <c r="AF46" s="24">
        <v>11</v>
      </c>
      <c r="AG46" s="24">
        <v>9</v>
      </c>
      <c r="AH46" s="24">
        <v>6</v>
      </c>
      <c r="AI46" s="24">
        <v>10</v>
      </c>
      <c r="AJ46" s="24">
        <v>14</v>
      </c>
      <c r="AK46" s="29">
        <v>6</v>
      </c>
      <c r="AL46" s="29">
        <v>12</v>
      </c>
      <c r="AM46" s="24">
        <v>10</v>
      </c>
      <c r="AN46" s="87">
        <v>14</v>
      </c>
      <c r="AO46" s="116">
        <v>9</v>
      </c>
      <c r="AP46" s="102">
        <v>9</v>
      </c>
      <c r="AQ46" s="103">
        <v>10</v>
      </c>
      <c r="AR46" s="96">
        <v>14</v>
      </c>
      <c r="AS46" s="43">
        <v>11</v>
      </c>
      <c r="AT46" s="43">
        <v>10</v>
      </c>
      <c r="AU46" s="20">
        <v>13</v>
      </c>
      <c r="AV46" s="20">
        <v>16</v>
      </c>
      <c r="AW46" s="97">
        <v>11</v>
      </c>
      <c r="AX46" s="97">
        <v>11</v>
      </c>
      <c r="AY46" s="53">
        <v>13</v>
      </c>
      <c r="AZ46" s="53">
        <v>16</v>
      </c>
      <c r="BA46" s="92">
        <v>11</v>
      </c>
      <c r="BB46" s="92">
        <v>11</v>
      </c>
      <c r="BC46" s="24">
        <v>13</v>
      </c>
      <c r="BD46" s="24">
        <v>16</v>
      </c>
      <c r="CY46" s="25"/>
      <c r="CZ46" s="25"/>
    </row>
    <row r="47" s="24" customFormat="1" customHeight="1" spans="1:113 16333:16382">
      <c r="A47" s="100"/>
      <c r="B47" s="24">
        <v>65</v>
      </c>
      <c r="C47" s="36" t="s">
        <v>1245</v>
      </c>
      <c r="D47" s="94"/>
      <c r="E47" s="94"/>
      <c r="F47" s="31"/>
      <c r="G47" s="86"/>
      <c r="H47" s="113"/>
      <c r="I47" s="113"/>
      <c r="J47" s="86"/>
      <c r="K47" s="114"/>
      <c r="L47" s="113"/>
      <c r="M47" s="95"/>
      <c r="N47" s="52"/>
      <c r="O47" s="52"/>
      <c r="W47" s="27"/>
      <c r="Y47" s="27"/>
      <c r="Z47" s="125" t="s">
        <v>126</v>
      </c>
      <c r="AA47" s="24">
        <v>15</v>
      </c>
      <c r="AC47" s="41">
        <v>41</v>
      </c>
      <c r="AD47" s="41">
        <v>54</v>
      </c>
      <c r="AG47" s="41">
        <v>41</v>
      </c>
      <c r="AH47" s="41">
        <v>54</v>
      </c>
      <c r="AK47" s="126">
        <v>33</v>
      </c>
      <c r="AL47" s="126">
        <v>37</v>
      </c>
      <c r="AN47" s="87"/>
      <c r="AO47" s="116">
        <v>41</v>
      </c>
      <c r="AP47" s="102">
        <v>52</v>
      </c>
      <c r="AQ47" s="103">
        <v>0</v>
      </c>
      <c r="AR47" s="96">
        <v>0</v>
      </c>
      <c r="AS47" s="43">
        <v>41</v>
      </c>
      <c r="AT47" s="43">
        <v>47</v>
      </c>
      <c r="AU47" s="25">
        <v>0</v>
      </c>
      <c r="AV47" s="25">
        <v>0</v>
      </c>
      <c r="AW47" s="97">
        <v>44</v>
      </c>
      <c r="AX47" s="97">
        <v>49</v>
      </c>
      <c r="AY47" s="24">
        <v>0</v>
      </c>
      <c r="AZ47" s="24">
        <v>0</v>
      </c>
      <c r="BA47" s="92">
        <v>41</v>
      </c>
      <c r="BB47" s="92">
        <v>43</v>
      </c>
      <c r="BC47" s="24">
        <v>0</v>
      </c>
      <c r="BD47" s="24">
        <v>0</v>
      </c>
      <c r="CY47" s="25"/>
    </row>
    <row r="48" s="24" customFormat="1" customHeight="1" spans="1:113 16333:16382">
      <c r="A48" s="100"/>
      <c r="B48" s="24">
        <v>66</v>
      </c>
      <c r="C48" s="36" t="s">
        <v>1246</v>
      </c>
      <c r="D48" s="94" t="s">
        <v>13</v>
      </c>
      <c r="E48" s="94" t="s">
        <v>405</v>
      </c>
      <c r="F48" s="31"/>
      <c r="G48" s="94"/>
      <c r="H48" s="95"/>
      <c r="I48" s="95"/>
      <c r="J48" s="94" t="s">
        <v>113</v>
      </c>
      <c r="K48" s="94">
        <v>13927633609</v>
      </c>
      <c r="L48" s="95">
        <v>413</v>
      </c>
      <c r="M48" s="95"/>
      <c r="N48" s="52"/>
      <c r="O48" s="52"/>
      <c r="R48" s="24" t="s">
        <v>418</v>
      </c>
      <c r="S48" s="24" t="s">
        <v>418</v>
      </c>
      <c r="V48" s="24" t="s">
        <v>1057</v>
      </c>
      <c r="W48" s="27" t="s">
        <v>1058</v>
      </c>
      <c r="X48" s="24" t="s">
        <v>1059</v>
      </c>
      <c r="Y48" s="27" t="s">
        <v>1060</v>
      </c>
      <c r="Z48" s="27"/>
      <c r="AA48" s="24">
        <v>31</v>
      </c>
      <c r="AC48" s="41">
        <v>50</v>
      </c>
      <c r="AD48" s="41">
        <v>28</v>
      </c>
      <c r="AE48" s="41">
        <v>38</v>
      </c>
      <c r="AF48" s="41">
        <v>23</v>
      </c>
      <c r="AG48" s="41">
        <v>60</v>
      </c>
      <c r="AH48" s="41">
        <v>27</v>
      </c>
      <c r="AI48" s="119">
        <v>40</v>
      </c>
      <c r="AJ48" s="119">
        <v>23</v>
      </c>
      <c r="AK48" s="29">
        <v>51</v>
      </c>
      <c r="AL48" s="29">
        <v>36</v>
      </c>
      <c r="AM48" s="24">
        <v>41</v>
      </c>
      <c r="AN48" s="87">
        <v>24</v>
      </c>
      <c r="AO48" s="127">
        <v>51</v>
      </c>
      <c r="AP48" s="102">
        <v>36</v>
      </c>
      <c r="AQ48" s="103">
        <v>50</v>
      </c>
      <c r="AR48" s="96">
        <v>31</v>
      </c>
      <c r="AS48" s="43">
        <v>50</v>
      </c>
      <c r="AT48" s="43">
        <v>40</v>
      </c>
      <c r="AU48" s="20">
        <v>39</v>
      </c>
      <c r="AV48" s="20">
        <v>26</v>
      </c>
      <c r="AW48" s="97">
        <v>50</v>
      </c>
      <c r="AX48" s="97">
        <v>40</v>
      </c>
      <c r="AY48" s="61">
        <v>39</v>
      </c>
      <c r="AZ48" s="61">
        <v>26</v>
      </c>
      <c r="BA48" s="92">
        <v>50</v>
      </c>
      <c r="BB48" s="92">
        <v>40</v>
      </c>
      <c r="BC48" s="101">
        <v>39</v>
      </c>
      <c r="BD48" s="101">
        <v>26</v>
      </c>
      <c r="DI48" s="25"/>
    </row>
    <row r="49" s="24" customFormat="1" ht="37" customHeight="1" spans="1:113">
      <c r="A49" s="100"/>
      <c r="B49" s="24">
        <v>67</v>
      </c>
      <c r="C49" s="36" t="s">
        <v>109</v>
      </c>
      <c r="D49" s="94" t="s">
        <v>13</v>
      </c>
      <c r="E49" s="94" t="s">
        <v>405</v>
      </c>
      <c r="F49" s="31" t="s">
        <v>106</v>
      </c>
      <c r="G49" s="94"/>
      <c r="H49" s="95"/>
      <c r="I49" s="95"/>
      <c r="J49" s="94" t="s">
        <v>110</v>
      </c>
      <c r="K49" s="52">
        <v>15914990767</v>
      </c>
      <c r="L49" s="95">
        <v>660767</v>
      </c>
      <c r="M49" s="95"/>
      <c r="N49" s="52"/>
      <c r="O49" s="52" t="s">
        <v>1062</v>
      </c>
      <c r="Q49" s="24" t="s">
        <v>1020</v>
      </c>
      <c r="R49" s="24" t="s">
        <v>418</v>
      </c>
      <c r="S49" s="24" t="s">
        <v>418</v>
      </c>
      <c r="V49" s="24" t="s">
        <v>419</v>
      </c>
      <c r="W49" s="27" t="s">
        <v>1063</v>
      </c>
      <c r="X49" s="24" t="s">
        <v>832</v>
      </c>
      <c r="Y49" s="27" t="s">
        <v>1064</v>
      </c>
      <c r="Z49" s="27"/>
      <c r="AA49" s="24">
        <v>17</v>
      </c>
      <c r="AC49" s="41">
        <v>24</v>
      </c>
      <c r="AD49" s="41">
        <v>21</v>
      </c>
      <c r="AE49" s="41">
        <v>39</v>
      </c>
      <c r="AF49" s="41">
        <v>31</v>
      </c>
      <c r="AG49" s="41">
        <v>34</v>
      </c>
      <c r="AH49" s="41">
        <v>21</v>
      </c>
      <c r="AI49" s="41">
        <v>41</v>
      </c>
      <c r="AJ49" s="41">
        <v>31</v>
      </c>
      <c r="AK49" s="29">
        <v>31</v>
      </c>
      <c r="AL49" s="29">
        <v>21</v>
      </c>
      <c r="AM49" s="24">
        <v>37</v>
      </c>
      <c r="AN49" s="87">
        <v>31</v>
      </c>
      <c r="AO49" s="127">
        <v>30</v>
      </c>
      <c r="AP49" s="102">
        <v>21</v>
      </c>
      <c r="AQ49" s="103">
        <v>37</v>
      </c>
      <c r="AR49" s="96">
        <v>31</v>
      </c>
      <c r="AS49" s="43">
        <v>30</v>
      </c>
      <c r="AT49" s="43">
        <v>21</v>
      </c>
      <c r="AU49" s="20">
        <v>37</v>
      </c>
      <c r="AV49" s="20">
        <v>31</v>
      </c>
      <c r="AW49" s="97">
        <v>30</v>
      </c>
      <c r="AX49" s="98">
        <v>21</v>
      </c>
      <c r="AY49" s="45">
        <v>37</v>
      </c>
      <c r="AZ49" s="45">
        <v>31</v>
      </c>
      <c r="BA49" s="92">
        <v>30</v>
      </c>
      <c r="BB49" s="93">
        <v>22</v>
      </c>
      <c r="BC49" s="99">
        <v>37</v>
      </c>
      <c r="BD49" s="99">
        <v>30</v>
      </c>
      <c r="CZ49" s="25"/>
    </row>
    <row r="50" s="24" customFormat="1" ht="37" customHeight="1" spans="1:113">
      <c r="A50" s="100"/>
      <c r="B50" s="24">
        <v>68</v>
      </c>
      <c r="C50" s="36" t="s">
        <v>115</v>
      </c>
      <c r="D50" s="94" t="s">
        <v>13</v>
      </c>
      <c r="E50" s="94" t="s">
        <v>405</v>
      </c>
      <c r="F50" s="31" t="s">
        <v>106</v>
      </c>
      <c r="G50" s="94"/>
      <c r="H50" s="95"/>
      <c r="I50" s="95"/>
      <c r="J50" s="94" t="s">
        <v>116</v>
      </c>
      <c r="K50" s="52">
        <v>13620578251</v>
      </c>
      <c r="L50" s="95">
        <v>6454</v>
      </c>
      <c r="M50" s="95"/>
      <c r="N50" s="52"/>
      <c r="O50" s="52" t="s">
        <v>1067</v>
      </c>
      <c r="Q50" s="24" t="s">
        <v>1020</v>
      </c>
      <c r="R50" s="24" t="s">
        <v>418</v>
      </c>
      <c r="S50" s="24" t="s">
        <v>418</v>
      </c>
      <c r="V50" s="24" t="s">
        <v>1068</v>
      </c>
      <c r="W50" s="128">
        <v>13413512625</v>
      </c>
      <c r="X50" s="24" t="s">
        <v>1068</v>
      </c>
      <c r="Y50" s="128">
        <v>13413512625</v>
      </c>
      <c r="Z50" s="128"/>
      <c r="AA50" s="24">
        <v>18</v>
      </c>
      <c r="AC50" s="41">
        <v>29</v>
      </c>
      <c r="AD50" s="41">
        <v>25</v>
      </c>
      <c r="AE50" s="41">
        <v>18</v>
      </c>
      <c r="AF50" s="41">
        <v>19</v>
      </c>
      <c r="AG50" s="24">
        <v>31</v>
      </c>
      <c r="AH50" s="24">
        <v>27</v>
      </c>
      <c r="AI50" s="24">
        <v>17</v>
      </c>
      <c r="AJ50" s="24">
        <v>17</v>
      </c>
      <c r="AK50" s="29">
        <v>28</v>
      </c>
      <c r="AL50" s="29">
        <v>30</v>
      </c>
      <c r="AM50" s="24">
        <v>17</v>
      </c>
      <c r="AN50" s="87">
        <v>17</v>
      </c>
      <c r="AO50" s="127">
        <v>28</v>
      </c>
      <c r="AP50" s="102">
        <v>30</v>
      </c>
      <c r="AQ50" s="103">
        <v>17</v>
      </c>
      <c r="AR50" s="96">
        <v>17</v>
      </c>
      <c r="AS50" s="43">
        <v>26</v>
      </c>
      <c r="AT50" s="43">
        <v>31</v>
      </c>
      <c r="AU50" s="20">
        <v>17</v>
      </c>
      <c r="AV50" s="121">
        <v>17</v>
      </c>
      <c r="AW50" s="97">
        <v>26</v>
      </c>
      <c r="AX50" s="97">
        <v>31</v>
      </c>
      <c r="AY50" s="45">
        <v>17</v>
      </c>
      <c r="AZ50" s="45">
        <v>17</v>
      </c>
      <c r="BA50" s="92">
        <v>26</v>
      </c>
      <c r="BB50" s="92">
        <v>33</v>
      </c>
      <c r="BC50" s="24">
        <v>17</v>
      </c>
      <c r="BD50" s="24">
        <v>15</v>
      </c>
      <c r="DI50" s="25"/>
    </row>
    <row r="51" s="24" customFormat="1" ht="28" customHeight="1" spans="1:113">
      <c r="A51" s="100"/>
      <c r="B51" s="24">
        <v>69</v>
      </c>
      <c r="C51" s="36" t="s">
        <v>105</v>
      </c>
      <c r="D51" s="94" t="s">
        <v>13</v>
      </c>
      <c r="E51" s="94" t="s">
        <v>405</v>
      </c>
      <c r="F51" s="31" t="s">
        <v>106</v>
      </c>
      <c r="G51" s="94" t="s">
        <v>1071</v>
      </c>
      <c r="H51" s="95">
        <v>13631075571</v>
      </c>
      <c r="I51" s="95">
        <v>665571</v>
      </c>
      <c r="J51" s="94" t="s">
        <v>1071</v>
      </c>
      <c r="K51" s="52">
        <v>13631075571</v>
      </c>
      <c r="L51" s="95">
        <v>665571</v>
      </c>
      <c r="M51" s="95"/>
      <c r="N51" s="52"/>
      <c r="O51" s="52" t="s">
        <v>1072</v>
      </c>
      <c r="Q51" s="24" t="s">
        <v>1020</v>
      </c>
      <c r="R51" s="24" t="s">
        <v>418</v>
      </c>
      <c r="S51" s="24" t="s">
        <v>418</v>
      </c>
      <c r="W51" s="27"/>
      <c r="X51" s="24" t="s">
        <v>1073</v>
      </c>
      <c r="Y51" s="27" t="s">
        <v>1074</v>
      </c>
      <c r="Z51" s="27" t="s">
        <v>1247</v>
      </c>
      <c r="AA51" s="24">
        <v>14</v>
      </c>
      <c r="AC51" s="24">
        <v>11</v>
      </c>
      <c r="AD51" s="24">
        <v>13</v>
      </c>
      <c r="AE51" s="24">
        <v>14</v>
      </c>
      <c r="AF51" s="24">
        <v>18</v>
      </c>
      <c r="AG51" s="24">
        <v>11</v>
      </c>
      <c r="AH51" s="24">
        <v>22</v>
      </c>
      <c r="AI51" s="24">
        <v>14</v>
      </c>
      <c r="AJ51" s="24">
        <v>30</v>
      </c>
      <c r="AK51" s="29">
        <v>11</v>
      </c>
      <c r="AL51" s="29">
        <v>31</v>
      </c>
      <c r="AM51" s="24">
        <v>18</v>
      </c>
      <c r="AN51" s="87">
        <v>38</v>
      </c>
      <c r="AO51" s="127">
        <v>11</v>
      </c>
      <c r="AP51" s="102">
        <v>31</v>
      </c>
      <c r="AQ51" s="103">
        <v>14</v>
      </c>
      <c r="AR51" s="96">
        <v>42</v>
      </c>
      <c r="AS51" s="43">
        <v>11</v>
      </c>
      <c r="AT51" s="43">
        <v>31</v>
      </c>
      <c r="AU51" s="20">
        <v>14</v>
      </c>
      <c r="AV51" s="20">
        <v>42</v>
      </c>
      <c r="AW51" s="97">
        <v>11</v>
      </c>
      <c r="AX51" s="97">
        <v>31</v>
      </c>
      <c r="AY51" s="58">
        <v>16</v>
      </c>
      <c r="AZ51" s="58">
        <v>40</v>
      </c>
      <c r="BA51" s="92">
        <v>14</v>
      </c>
      <c r="BB51" s="92">
        <v>28</v>
      </c>
      <c r="BC51" s="24">
        <v>18</v>
      </c>
      <c r="BD51" s="24">
        <v>38</v>
      </c>
      <c r="CY51" s="25"/>
    </row>
    <row r="52" s="24" customFormat="1" ht="28" customHeight="1" spans="1:113">
      <c r="A52" s="100"/>
      <c r="B52" s="24">
        <v>70</v>
      </c>
      <c r="C52" s="36" t="s">
        <v>1248</v>
      </c>
      <c r="D52" s="94" t="s">
        <v>492</v>
      </c>
      <c r="E52" s="94" t="s">
        <v>405</v>
      </c>
      <c r="F52" s="31" t="s">
        <v>106</v>
      </c>
      <c r="G52" s="24" t="s">
        <v>1078</v>
      </c>
      <c r="H52" s="24">
        <v>13828554495</v>
      </c>
      <c r="I52" s="95"/>
      <c r="J52" s="24" t="s">
        <v>1079</v>
      </c>
      <c r="K52" s="27">
        <v>18023330887</v>
      </c>
      <c r="L52" s="95"/>
      <c r="N52" s="27"/>
      <c r="O52" s="24">
        <v>16</v>
      </c>
      <c r="Q52" s="24" t="s">
        <v>408</v>
      </c>
      <c r="V52" s="24" t="s">
        <v>904</v>
      </c>
      <c r="W52" s="27" t="s">
        <v>1080</v>
      </c>
      <c r="Y52" s="27"/>
      <c r="Z52" s="27"/>
      <c r="AK52" s="29"/>
      <c r="AL52" s="29"/>
      <c r="AN52" s="87"/>
      <c r="AO52" s="127"/>
      <c r="AP52" s="102"/>
      <c r="AQ52" s="103"/>
      <c r="AR52" s="96"/>
      <c r="AS52" s="96"/>
      <c r="AT52" s="96"/>
      <c r="AU52" s="25"/>
      <c r="AV52" s="25"/>
    </row>
    <row r="53" s="24" customFormat="1" customHeight="1" spans="1:113">
      <c r="A53" s="100"/>
      <c r="B53" s="24">
        <v>71</v>
      </c>
      <c r="C53" s="35" t="s">
        <v>1249</v>
      </c>
      <c r="E53" s="94"/>
      <c r="F53" s="31" t="s">
        <v>106</v>
      </c>
      <c r="G53" s="94" t="s">
        <v>1082</v>
      </c>
      <c r="H53" s="94">
        <v>18902355553</v>
      </c>
      <c r="J53" s="94" t="s">
        <v>834</v>
      </c>
      <c r="K53" s="52" t="s">
        <v>1083</v>
      </c>
      <c r="N53" s="27"/>
      <c r="O53" s="27"/>
      <c r="V53" s="24" t="s">
        <v>834</v>
      </c>
      <c r="W53" s="27" t="s">
        <v>1083</v>
      </c>
      <c r="Z53" s="27"/>
      <c r="AC53" s="24">
        <v>9</v>
      </c>
      <c r="AE53" s="24">
        <v>6</v>
      </c>
      <c r="AG53" s="24">
        <v>9</v>
      </c>
      <c r="AI53" s="24">
        <v>6</v>
      </c>
      <c r="AK53" s="29">
        <v>4</v>
      </c>
      <c r="AL53" s="29"/>
      <c r="AM53" s="24">
        <v>2</v>
      </c>
      <c r="AN53" s="87"/>
      <c r="AO53" s="127">
        <v>3</v>
      </c>
      <c r="AP53" s="102"/>
      <c r="AQ53" s="103">
        <v>2</v>
      </c>
      <c r="AR53" s="96">
        <v>0</v>
      </c>
      <c r="AS53" s="43">
        <v>4</v>
      </c>
      <c r="AT53" s="96">
        <v>0</v>
      </c>
      <c r="AU53" s="129" t="s">
        <v>1250</v>
      </c>
      <c r="AV53" s="25"/>
      <c r="CZ53" s="25"/>
    </row>
    <row r="54" s="24" customFormat="1" ht="18" customHeight="1" spans="1:113">
      <c r="A54" s="100"/>
      <c r="B54" s="24">
        <v>72</v>
      </c>
      <c r="C54" s="36" t="s">
        <v>1251</v>
      </c>
      <c r="D54" s="94"/>
      <c r="E54" s="94"/>
      <c r="F54" s="31"/>
      <c r="G54" s="94"/>
      <c r="H54" s="95"/>
      <c r="I54" s="95"/>
      <c r="J54" s="94"/>
      <c r="K54" s="52"/>
      <c r="L54" s="95"/>
      <c r="M54" s="95"/>
      <c r="N54" s="52"/>
      <c r="O54" s="52"/>
      <c r="W54" s="27"/>
      <c r="X54" s="94"/>
      <c r="Y54" s="94"/>
      <c r="Z54" s="27"/>
      <c r="AA54" s="24">
        <v>3</v>
      </c>
      <c r="AK54" s="29"/>
      <c r="AL54" s="29"/>
      <c r="AN54" s="87"/>
      <c r="AO54" s="127"/>
      <c r="AP54" s="102"/>
      <c r="AQ54" s="103"/>
      <c r="AR54" s="96"/>
      <c r="AS54" s="43">
        <v>15</v>
      </c>
      <c r="AT54" s="96"/>
      <c r="AU54" s="25">
        <v>0</v>
      </c>
      <c r="AV54" s="25">
        <v>0</v>
      </c>
      <c r="AW54" s="97">
        <v>15</v>
      </c>
      <c r="AX54" s="97"/>
      <c r="AY54" s="24">
        <v>0</v>
      </c>
      <c r="AZ54" s="24">
        <v>0</v>
      </c>
      <c r="BA54" s="92">
        <v>15</v>
      </c>
      <c r="BB54" s="92"/>
      <c r="BC54" s="24">
        <v>0</v>
      </c>
      <c r="BD54" s="24">
        <v>0</v>
      </c>
      <c r="CZ54" s="25"/>
    </row>
    <row r="55" s="24" customFormat="1" customHeight="1" spans="1:113">
      <c r="A55" s="100"/>
      <c r="B55" s="24">
        <v>73</v>
      </c>
      <c r="C55" s="36" t="s">
        <v>1252</v>
      </c>
      <c r="D55" s="94"/>
      <c r="E55" s="94"/>
      <c r="F55" s="31"/>
      <c r="G55" s="94"/>
      <c r="H55" s="95"/>
      <c r="I55" s="95"/>
      <c r="J55" s="94"/>
      <c r="K55" s="52"/>
      <c r="L55" s="95"/>
      <c r="M55" s="95"/>
      <c r="N55" s="52"/>
      <c r="O55" s="52"/>
      <c r="W55" s="27"/>
      <c r="X55" s="94"/>
      <c r="Y55" s="94"/>
      <c r="Z55" s="27"/>
      <c r="AK55" s="29"/>
      <c r="AL55" s="29"/>
      <c r="AN55" s="87"/>
      <c r="AO55" s="127"/>
      <c r="AP55" s="102"/>
      <c r="AQ55" s="103"/>
      <c r="AR55" s="96"/>
      <c r="AS55" s="96"/>
      <c r="AT55" s="96"/>
      <c r="AU55" s="25"/>
      <c r="AV55" s="25"/>
      <c r="CW55" s="24"/>
      <c r="CX55" s="25"/>
    </row>
    <row r="56" s="24" customFormat="1" customHeight="1" spans="1:113">
      <c r="A56" s="100"/>
      <c r="B56" s="24">
        <v>74</v>
      </c>
      <c r="C56" s="35" t="s">
        <v>1253</v>
      </c>
      <c r="E56" s="94"/>
      <c r="F56" s="31" t="s">
        <v>106</v>
      </c>
      <c r="G56" s="94"/>
      <c r="H56" s="94"/>
      <c r="J56" s="94" t="s">
        <v>1090</v>
      </c>
      <c r="K56" s="52" t="s">
        <v>1091</v>
      </c>
      <c r="N56" s="27"/>
      <c r="O56" s="27"/>
      <c r="V56" s="24" t="s">
        <v>1090</v>
      </c>
      <c r="W56" s="27" t="s">
        <v>1091</v>
      </c>
      <c r="Y56" s="27"/>
      <c r="Z56" s="27"/>
      <c r="AK56" s="29"/>
      <c r="AL56" s="29"/>
      <c r="AN56" s="87"/>
      <c r="AO56" s="127"/>
      <c r="AP56" s="102"/>
      <c r="AQ56" s="103"/>
      <c r="AR56" s="96"/>
      <c r="AS56" s="96"/>
      <c r="AT56" s="96"/>
      <c r="AU56" s="25"/>
      <c r="AV56" s="25"/>
      <c r="CI56" s="24"/>
      <c r="CW56" s="24"/>
      <c r="CX56" s="25"/>
    </row>
    <row r="57" s="24" customFormat="1" ht="18.35" customHeight="1" spans="1:113">
      <c r="A57" s="100"/>
      <c r="B57" s="24">
        <v>75</v>
      </c>
      <c r="C57" s="35" t="s">
        <v>1254</v>
      </c>
      <c r="E57" s="94"/>
      <c r="F57" s="31"/>
      <c r="G57" s="94"/>
      <c r="H57" s="94"/>
      <c r="J57" s="94"/>
      <c r="K57" s="52"/>
      <c r="N57" s="27"/>
      <c r="O57" s="27"/>
      <c r="W57" s="27"/>
      <c r="Y57" s="27"/>
      <c r="Z57" s="27"/>
      <c r="AK57" s="29"/>
      <c r="AL57" s="29"/>
      <c r="AN57" s="87"/>
      <c r="AO57" s="130"/>
      <c r="AP57" s="102"/>
      <c r="AQ57" s="103"/>
      <c r="AR57" s="96"/>
      <c r="AS57" s="96"/>
      <c r="AT57" s="96"/>
      <c r="AU57" s="25"/>
      <c r="AV57" s="25"/>
      <c r="AY57" s="25"/>
      <c r="BG57" s="25"/>
      <c r="CO57" s="24"/>
    </row>
    <row r="58" s="24" customFormat="1" ht="22" customHeight="1" spans="1:113">
      <c r="A58" s="100"/>
      <c r="B58" s="24">
        <v>77</v>
      </c>
      <c r="C58" s="35" t="s">
        <v>1255</v>
      </c>
      <c r="F58" s="26"/>
      <c r="J58" s="24" t="s">
        <v>1095</v>
      </c>
      <c r="K58" s="27" t="s">
        <v>1098</v>
      </c>
      <c r="N58" s="27"/>
      <c r="O58" s="27"/>
      <c r="V58" s="24" t="s">
        <v>1095</v>
      </c>
      <c r="W58" s="27" t="s">
        <v>1096</v>
      </c>
      <c r="Y58" s="27"/>
      <c r="Z58" s="52"/>
      <c r="AC58" s="24">
        <v>15</v>
      </c>
      <c r="AD58" s="24">
        <v>5</v>
      </c>
      <c r="AG58" s="24">
        <v>15</v>
      </c>
      <c r="AH58" s="24">
        <v>5</v>
      </c>
      <c r="AK58" s="29">
        <v>8</v>
      </c>
      <c r="AL58" s="29">
        <v>4</v>
      </c>
      <c r="AN58" s="87"/>
      <c r="AO58" s="127">
        <v>18</v>
      </c>
      <c r="AP58" s="102"/>
      <c r="AQ58" s="103">
        <v>18</v>
      </c>
      <c r="AR58" s="96">
        <v>0</v>
      </c>
      <c r="AS58" s="43">
        <v>18</v>
      </c>
      <c r="AT58" s="96"/>
      <c r="AU58" s="20">
        <v>24</v>
      </c>
      <c r="AV58" s="25"/>
      <c r="AW58" s="97">
        <v>20</v>
      </c>
      <c r="AX58" s="97">
        <v>10</v>
      </c>
      <c r="AY58" s="20">
        <v>0</v>
      </c>
      <c r="AZ58" s="25">
        <v>0</v>
      </c>
      <c r="BA58" s="131">
        <v>20</v>
      </c>
      <c r="BB58" s="131">
        <v>10</v>
      </c>
      <c r="BC58" s="20">
        <v>0</v>
      </c>
      <c r="BD58" s="25">
        <v>0</v>
      </c>
      <c r="CY58" s="25"/>
      <c r="DI58" s="25"/>
    </row>
    <row r="59" s="24" customFormat="1" ht="22" customHeight="1" spans="1:113">
      <c r="A59" s="100"/>
      <c r="B59" s="24">
        <v>78</v>
      </c>
      <c r="C59" s="35" t="s">
        <v>1256</v>
      </c>
      <c r="F59" s="26"/>
      <c r="K59" s="27"/>
      <c r="N59" s="27"/>
      <c r="O59" s="27"/>
      <c r="W59" s="27"/>
      <c r="Y59" s="27"/>
      <c r="Z59" s="52"/>
      <c r="AC59" s="24">
        <v>5</v>
      </c>
      <c r="AD59" s="24">
        <v>5</v>
      </c>
      <c r="AG59" s="24">
        <v>5</v>
      </c>
      <c r="AH59" s="24">
        <v>5</v>
      </c>
      <c r="AK59" s="29">
        <v>3</v>
      </c>
      <c r="AL59" s="29">
        <v>3</v>
      </c>
      <c r="AN59" s="87"/>
      <c r="AO59" s="127"/>
      <c r="AP59" s="102"/>
      <c r="AQ59" s="103">
        <v>2</v>
      </c>
      <c r="AR59" s="96">
        <v>0</v>
      </c>
      <c r="AS59" s="43">
        <v>3</v>
      </c>
      <c r="AT59" s="96"/>
      <c r="AU59" s="20">
        <v>2</v>
      </c>
      <c r="AV59" s="25"/>
      <c r="AW59" s="97">
        <v>5</v>
      </c>
      <c r="AX59" s="97"/>
      <c r="AY59" s="20">
        <v>0</v>
      </c>
      <c r="AZ59" s="25">
        <v>0</v>
      </c>
      <c r="BA59" s="131">
        <v>5</v>
      </c>
      <c r="BB59" s="131"/>
      <c r="BC59" s="20">
        <v>0</v>
      </c>
      <c r="BD59" s="25">
        <v>0</v>
      </c>
      <c r="CY59" s="25"/>
      <c r="DI59" s="25"/>
    </row>
    <row r="60" s="24" customFormat="1" ht="22" customHeight="1" spans="1:113">
      <c r="A60" s="100"/>
      <c r="B60" s="24">
        <v>79</v>
      </c>
      <c r="C60" s="35" t="s">
        <v>1257</v>
      </c>
      <c r="F60" s="26"/>
      <c r="K60" s="27"/>
      <c r="N60" s="27"/>
      <c r="O60" s="27"/>
      <c r="W60" s="27"/>
      <c r="Y60" s="27"/>
      <c r="Z60" s="52"/>
      <c r="AA60" s="24">
        <v>7</v>
      </c>
      <c r="AE60" s="24">
        <v>12</v>
      </c>
      <c r="AF60" s="24">
        <v>4</v>
      </c>
      <c r="AG60" s="24">
        <v>18</v>
      </c>
      <c r="AH60" s="24">
        <v>6</v>
      </c>
      <c r="AI60" s="24">
        <v>12</v>
      </c>
      <c r="AJ60" s="24">
        <v>4</v>
      </c>
      <c r="AK60" s="29">
        <v>18</v>
      </c>
      <c r="AL60" s="29">
        <v>6</v>
      </c>
      <c r="AM60" s="24">
        <v>12</v>
      </c>
      <c r="AN60" s="87">
        <v>4</v>
      </c>
      <c r="AO60" s="127">
        <v>24</v>
      </c>
      <c r="AP60" s="102">
        <v>6</v>
      </c>
      <c r="AQ60" s="103">
        <v>12</v>
      </c>
      <c r="AR60" s="96">
        <v>4</v>
      </c>
      <c r="AS60" s="43">
        <v>24</v>
      </c>
      <c r="AT60" s="43">
        <v>6</v>
      </c>
      <c r="AU60" s="20">
        <v>16</v>
      </c>
      <c r="AV60" s="20">
        <v>4</v>
      </c>
      <c r="AW60" s="97">
        <v>24</v>
      </c>
      <c r="AX60" s="97">
        <v>6</v>
      </c>
      <c r="AY60" s="132">
        <v>16</v>
      </c>
      <c r="AZ60" s="132">
        <v>4</v>
      </c>
      <c r="BA60" s="92">
        <v>15</v>
      </c>
      <c r="BB60" s="92">
        <v>15</v>
      </c>
      <c r="BC60" s="24">
        <v>10</v>
      </c>
      <c r="BD60" s="24">
        <v>10</v>
      </c>
      <c r="CO60" s="25"/>
      <c r="DI60" s="25"/>
    </row>
    <row r="61" s="24" customFormat="1" customHeight="1" spans="1:113">
      <c r="A61" s="100"/>
      <c r="B61" s="24">
        <v>80</v>
      </c>
      <c r="C61" s="35" t="s">
        <v>1258</v>
      </c>
      <c r="F61" s="26"/>
      <c r="K61" s="27"/>
      <c r="N61" s="27"/>
      <c r="O61" s="27"/>
      <c r="W61" s="27"/>
      <c r="Y61" s="27"/>
      <c r="Z61" s="52"/>
      <c r="AB61" s="24">
        <v>6</v>
      </c>
      <c r="AC61" s="24">
        <v>15</v>
      </c>
      <c r="AE61" s="24">
        <v>10</v>
      </c>
      <c r="AG61" s="41">
        <v>15</v>
      </c>
      <c r="AH61" s="41">
        <v>3</v>
      </c>
      <c r="AI61" s="41">
        <v>10</v>
      </c>
      <c r="AJ61" s="41">
        <v>2</v>
      </c>
      <c r="AK61" s="29">
        <v>15</v>
      </c>
      <c r="AL61" s="29">
        <v>3</v>
      </c>
      <c r="AM61" s="24">
        <v>10</v>
      </c>
      <c r="AN61" s="87">
        <v>2</v>
      </c>
      <c r="AO61" s="127">
        <v>12</v>
      </c>
      <c r="AP61" s="102">
        <v>6</v>
      </c>
      <c r="AQ61" s="103">
        <v>10</v>
      </c>
      <c r="AR61" s="96">
        <v>2</v>
      </c>
      <c r="AS61" s="43">
        <v>12</v>
      </c>
      <c r="AT61" s="43">
        <v>6</v>
      </c>
      <c r="AU61" s="20">
        <v>8</v>
      </c>
      <c r="AV61" s="20">
        <v>4</v>
      </c>
      <c r="AW61" s="97">
        <v>12</v>
      </c>
      <c r="AX61" s="97">
        <v>6</v>
      </c>
      <c r="AY61" s="132">
        <v>8</v>
      </c>
      <c r="AZ61" s="132">
        <v>4</v>
      </c>
      <c r="BA61" s="92">
        <v>12</v>
      </c>
      <c r="BB61" s="92">
        <v>6</v>
      </c>
      <c r="BC61" s="24">
        <v>8</v>
      </c>
      <c r="BD61" s="24">
        <v>4</v>
      </c>
    </row>
    <row r="62" s="24" customFormat="1" ht="53" customHeight="1" spans="1:113">
      <c r="A62" s="100"/>
      <c r="B62" s="24">
        <v>146</v>
      </c>
      <c r="C62" s="36" t="s">
        <v>1259</v>
      </c>
      <c r="D62" s="94"/>
      <c r="E62" s="94"/>
      <c r="F62" s="31"/>
      <c r="G62" s="94"/>
      <c r="H62" s="95"/>
      <c r="I62" s="95"/>
      <c r="K62" s="27"/>
      <c r="N62" s="27"/>
      <c r="O62" s="27"/>
      <c r="W62" s="27"/>
      <c r="Y62" s="27"/>
      <c r="Z62" s="27"/>
      <c r="AA62" s="24">
        <v>1</v>
      </c>
      <c r="AD62" s="24">
        <v>18</v>
      </c>
      <c r="AG62" s="24">
        <v>18</v>
      </c>
      <c r="AH62" s="24"/>
      <c r="AI62" s="24">
        <v>18</v>
      </c>
      <c r="AJ62" s="24"/>
      <c r="AK62" s="29">
        <v>18</v>
      </c>
      <c r="AL62" s="29"/>
      <c r="AM62" s="24">
        <v>18</v>
      </c>
      <c r="AN62" s="24"/>
      <c r="AO62" s="87">
        <v>18</v>
      </c>
      <c r="AP62" s="102"/>
      <c r="AQ62" s="133">
        <v>18</v>
      </c>
      <c r="AR62" s="134"/>
      <c r="AS62" s="43">
        <v>18</v>
      </c>
      <c r="AT62" s="43"/>
      <c r="AU62" s="20">
        <v>18</v>
      </c>
      <c r="AV62" s="25"/>
      <c r="AW62" s="97">
        <v>18</v>
      </c>
      <c r="AX62" s="97"/>
      <c r="AY62" s="58">
        <v>18</v>
      </c>
      <c r="BA62" s="92">
        <v>18</v>
      </c>
      <c r="BB62" s="92"/>
      <c r="BC62" s="24">
        <v>18</v>
      </c>
    </row>
    <row r="63" s="24" customFormat="1" ht="37" customHeight="1" spans="1:113">
      <c r="A63" s="100"/>
      <c r="C63" s="135" t="s">
        <v>1260</v>
      </c>
      <c r="D63" s="94"/>
      <c r="E63" s="94"/>
      <c r="F63" s="31"/>
      <c r="G63" s="94"/>
      <c r="H63" s="95"/>
      <c r="I63" s="95"/>
      <c r="J63" s="94"/>
      <c r="K63" s="52"/>
      <c r="L63" s="95"/>
      <c r="M63" s="95"/>
      <c r="N63" s="52"/>
      <c r="O63" s="52"/>
      <c r="W63" s="27"/>
      <c r="X63" s="94"/>
      <c r="Y63" s="94"/>
      <c r="Z63" s="27"/>
      <c r="AA63" s="24">
        <v>1</v>
      </c>
      <c r="AK63" s="29"/>
      <c r="AL63" s="29"/>
      <c r="AO63" s="87">
        <v>5</v>
      </c>
      <c r="AP63" s="102"/>
      <c r="AQ63" s="103">
        <v>0</v>
      </c>
      <c r="AR63" s="96"/>
      <c r="AS63" s="43">
        <v>3</v>
      </c>
      <c r="AT63" s="43"/>
      <c r="AW63" s="97">
        <v>5</v>
      </c>
      <c r="AX63" s="97"/>
      <c r="AY63" s="24">
        <v>0</v>
      </c>
      <c r="BA63" s="92">
        <v>5</v>
      </c>
      <c r="BC63" s="24">
        <v>0</v>
      </c>
    </row>
    <row r="64" s="24" customFormat="1" ht="37" customHeight="1" spans="1:113">
      <c r="A64" s="100"/>
      <c r="C64" s="135" t="s">
        <v>1261</v>
      </c>
      <c r="D64" s="94"/>
      <c r="E64" s="94"/>
      <c r="F64" s="31"/>
      <c r="G64" s="94"/>
      <c r="H64" s="95"/>
      <c r="I64" s="95"/>
      <c r="J64" s="94"/>
      <c r="K64" s="52"/>
      <c r="L64" s="95"/>
      <c r="M64" s="95"/>
      <c r="N64" s="52"/>
      <c r="O64" s="52"/>
      <c r="W64" s="27"/>
      <c r="X64" s="94"/>
      <c r="Y64" s="94"/>
      <c r="Z64" s="27"/>
      <c r="AA64" s="24">
        <v>1</v>
      </c>
      <c r="AC64" s="24">
        <v>10</v>
      </c>
      <c r="AG64" s="24">
        <v>10</v>
      </c>
      <c r="AH64" s="24"/>
      <c r="AI64" s="24"/>
      <c r="AJ64" s="24"/>
      <c r="AK64" s="29">
        <v>10</v>
      </c>
      <c r="AL64" s="29"/>
      <c r="AO64" s="87">
        <v>6</v>
      </c>
      <c r="AP64" s="102"/>
      <c r="AQ64" s="103">
        <v>0</v>
      </c>
      <c r="AR64" s="96"/>
      <c r="AS64" s="43">
        <v>7</v>
      </c>
      <c r="AT64" s="43"/>
      <c r="AW64" s="97">
        <v>7</v>
      </c>
      <c r="AX64" s="97"/>
      <c r="AY64" s="24">
        <v>0</v>
      </c>
      <c r="BA64" s="24">
        <v>0</v>
      </c>
      <c r="BC64" s="24">
        <v>0</v>
      </c>
    </row>
    <row r="65" s="24" customFormat="1" ht="33" customHeight="1" spans="1:113">
      <c r="A65" s="100"/>
      <c r="C65" s="36" t="s">
        <v>1262</v>
      </c>
      <c r="D65" s="94"/>
      <c r="E65" s="94"/>
      <c r="F65" s="31"/>
      <c r="G65" s="94"/>
      <c r="H65" s="95"/>
      <c r="I65" s="95"/>
      <c r="J65" s="94"/>
      <c r="K65" s="52"/>
      <c r="L65" s="95"/>
      <c r="M65" s="95"/>
      <c r="N65" s="52"/>
      <c r="O65" s="52"/>
      <c r="W65" s="27"/>
      <c r="X65" s="94"/>
      <c r="Y65" s="94"/>
      <c r="Z65" s="136">
        <v>100</v>
      </c>
      <c r="AA65" s="24">
        <v>1</v>
      </c>
      <c r="AC65" s="24">
        <v>4</v>
      </c>
      <c r="AD65" s="24">
        <v>6</v>
      </c>
      <c r="AG65" s="24">
        <v>4</v>
      </c>
      <c r="AH65" s="24">
        <v>6</v>
      </c>
      <c r="AI65" s="24"/>
      <c r="AJ65" s="24"/>
      <c r="AK65" s="29">
        <v>4</v>
      </c>
      <c r="AL65" s="29">
        <v>6</v>
      </c>
      <c r="AO65" s="87">
        <v>4</v>
      </c>
      <c r="AP65" s="102">
        <v>6</v>
      </c>
      <c r="AQ65" s="133">
        <v>0</v>
      </c>
      <c r="AR65" s="134"/>
      <c r="AS65" s="43">
        <v>4</v>
      </c>
      <c r="AT65" s="43">
        <v>6</v>
      </c>
      <c r="AW65" s="97">
        <v>4</v>
      </c>
      <c r="AX65" s="97">
        <v>6</v>
      </c>
      <c r="AY65" s="24">
        <v>0</v>
      </c>
      <c r="AZ65" s="24">
        <v>0</v>
      </c>
      <c r="BA65" s="92">
        <v>4</v>
      </c>
      <c r="BB65" s="92">
        <v>6</v>
      </c>
      <c r="BC65" s="24">
        <v>0</v>
      </c>
    </row>
    <row r="66" s="24" customFormat="1" ht="57" customHeight="1" spans="1:113">
      <c r="A66" s="100"/>
      <c r="B66" s="24">
        <v>140</v>
      </c>
      <c r="C66" s="135" t="s">
        <v>1263</v>
      </c>
      <c r="D66" s="94"/>
      <c r="E66" s="94"/>
      <c r="F66" s="31"/>
      <c r="G66" s="94"/>
      <c r="H66" s="95"/>
      <c r="I66" s="95"/>
      <c r="K66" s="27"/>
      <c r="N66" s="27"/>
      <c r="O66" s="27"/>
      <c r="W66" s="27"/>
      <c r="Y66" s="27"/>
      <c r="Z66" s="27" t="s">
        <v>1264</v>
      </c>
      <c r="AA66" s="24">
        <v>1</v>
      </c>
      <c r="AC66" s="24">
        <v>10</v>
      </c>
      <c r="AG66" s="24">
        <v>10</v>
      </c>
      <c r="AH66" s="24"/>
      <c r="AI66" s="24"/>
      <c r="AJ66" s="24"/>
      <c r="AK66" s="29">
        <v>10</v>
      </c>
      <c r="AL66" s="29"/>
      <c r="AO66" s="87">
        <v>10</v>
      </c>
      <c r="AP66" s="102"/>
      <c r="AQ66" s="103">
        <v>0</v>
      </c>
      <c r="AR66" s="96"/>
      <c r="AS66" s="43">
        <v>10</v>
      </c>
      <c r="AT66" s="43"/>
      <c r="AU66" s="137"/>
      <c r="AW66" s="97">
        <v>10</v>
      </c>
      <c r="AX66" s="97"/>
      <c r="AY66" s="24">
        <v>0</v>
      </c>
      <c r="BA66" s="92">
        <v>10</v>
      </c>
      <c r="BC66" s="24">
        <v>0</v>
      </c>
      <c r="BK66" s="24"/>
      <c r="CW66" s="24"/>
    </row>
    <row r="67" s="24" customFormat="1" ht="33" customHeight="1" spans="1:113">
      <c r="A67" s="100"/>
      <c r="C67" s="36" t="s">
        <v>1265</v>
      </c>
      <c r="D67" s="94"/>
      <c r="E67" s="94"/>
      <c r="F67" s="31"/>
      <c r="G67" s="94"/>
      <c r="H67" s="95"/>
      <c r="I67" s="95"/>
      <c r="K67" s="27"/>
      <c r="N67" s="27"/>
      <c r="O67" s="27"/>
      <c r="W67" s="27"/>
      <c r="Y67" s="27"/>
      <c r="Z67" s="27" t="s">
        <v>1266</v>
      </c>
      <c r="AA67" s="24">
        <v>1</v>
      </c>
      <c r="AG67" s="24">
        <v>6</v>
      </c>
      <c r="AH67" s="24">
        <v>14</v>
      </c>
      <c r="AI67" s="24"/>
      <c r="AJ67" s="24"/>
      <c r="AK67" s="29">
        <v>6</v>
      </c>
      <c r="AL67" s="29">
        <v>14</v>
      </c>
      <c r="AO67" s="87">
        <v>6</v>
      </c>
      <c r="AP67" s="102">
        <v>14</v>
      </c>
      <c r="AQ67" s="103">
        <v>0</v>
      </c>
      <c r="AR67" s="96"/>
      <c r="AS67" s="43">
        <v>6</v>
      </c>
      <c r="AT67" s="43">
        <v>14</v>
      </c>
      <c r="AW67" s="97">
        <v>6</v>
      </c>
      <c r="AX67" s="97">
        <v>14</v>
      </c>
      <c r="AY67" s="24"/>
      <c r="AZ67" s="24"/>
      <c r="BA67" s="92">
        <v>10</v>
      </c>
      <c r="BB67" s="92">
        <v>20</v>
      </c>
    </row>
    <row r="68" s="24" customFormat="1" ht="42" customHeight="1" spans="1:113">
      <c r="A68" s="100"/>
      <c r="C68" s="36" t="s">
        <v>1267</v>
      </c>
      <c r="D68" s="94"/>
      <c r="E68" s="94"/>
      <c r="F68" s="31"/>
      <c r="G68" s="94"/>
      <c r="H68" s="95"/>
      <c r="I68" s="95"/>
      <c r="K68" s="27"/>
      <c r="N68" s="27"/>
      <c r="O68" s="27"/>
      <c r="W68" s="27"/>
      <c r="Y68" s="27"/>
      <c r="Z68" s="27" t="s">
        <v>1264</v>
      </c>
      <c r="AA68" s="24">
        <v>1</v>
      </c>
      <c r="AG68" s="24">
        <v>8</v>
      </c>
      <c r="AH68" s="24">
        <v>4</v>
      </c>
      <c r="AI68" s="24"/>
      <c r="AJ68" s="24"/>
      <c r="AK68" s="29">
        <v>8</v>
      </c>
      <c r="AL68" s="29">
        <v>4</v>
      </c>
      <c r="AO68" s="87">
        <v>8</v>
      </c>
      <c r="AP68" s="102">
        <v>4</v>
      </c>
      <c r="AQ68" s="103">
        <v>0</v>
      </c>
      <c r="AR68" s="96"/>
      <c r="AS68" s="43">
        <v>8</v>
      </c>
      <c r="AT68" s="43">
        <v>4</v>
      </c>
      <c r="AW68" s="97">
        <v>8</v>
      </c>
      <c r="AX68" s="97">
        <v>4</v>
      </c>
      <c r="AY68" s="24">
        <v>0</v>
      </c>
      <c r="AZ68" s="24">
        <v>0</v>
      </c>
      <c r="BA68" s="92">
        <v>8</v>
      </c>
      <c r="BB68" s="92">
        <v>4</v>
      </c>
      <c r="BC68" s="24">
        <v>0</v>
      </c>
      <c r="BD68" s="24">
        <v>0</v>
      </c>
    </row>
    <row r="69" s="24" customFormat="1" customHeight="1" spans="1:113">
      <c r="A69" s="100"/>
      <c r="B69" s="24">
        <v>83</v>
      </c>
      <c r="C69" s="35" t="s">
        <v>1268</v>
      </c>
      <c r="F69" s="26"/>
      <c r="J69" s="24" t="s">
        <v>624</v>
      </c>
      <c r="K69" s="27" t="s">
        <v>1103</v>
      </c>
      <c r="N69" s="27"/>
      <c r="O69" s="27"/>
      <c r="V69" s="24" t="s">
        <v>624</v>
      </c>
      <c r="W69" s="27" t="s">
        <v>1103</v>
      </c>
      <c r="Y69" s="27"/>
      <c r="Z69" s="27"/>
      <c r="AB69" s="24">
        <v>5</v>
      </c>
      <c r="AC69" s="24">
        <v>6</v>
      </c>
      <c r="AE69" s="24">
        <v>10</v>
      </c>
      <c r="AG69" s="24">
        <v>18</v>
      </c>
      <c r="AI69" s="24">
        <v>12</v>
      </c>
      <c r="AJ69" s="24">
        <v>2</v>
      </c>
      <c r="AK69" s="29">
        <v>18</v>
      </c>
      <c r="AL69" s="29">
        <v>3</v>
      </c>
      <c r="AM69" s="24">
        <v>14</v>
      </c>
      <c r="AN69" s="87"/>
      <c r="AO69" s="127">
        <v>12</v>
      </c>
      <c r="AP69" s="102">
        <v>5</v>
      </c>
      <c r="AQ69" s="103">
        <v>8</v>
      </c>
      <c r="AR69" s="96">
        <v>2</v>
      </c>
      <c r="AS69" s="43">
        <v>12</v>
      </c>
      <c r="AT69" s="43">
        <v>3</v>
      </c>
      <c r="AU69" s="24">
        <v>10</v>
      </c>
      <c r="AV69" s="24">
        <v>2</v>
      </c>
      <c r="AW69" s="97">
        <v>12</v>
      </c>
      <c r="AX69" s="97">
        <v>3</v>
      </c>
      <c r="AY69" s="58">
        <v>10</v>
      </c>
      <c r="AZ69" s="58">
        <v>2</v>
      </c>
      <c r="BA69" s="92">
        <v>18</v>
      </c>
      <c r="BB69" s="92">
        <v>3</v>
      </c>
      <c r="BC69" s="24">
        <v>10</v>
      </c>
      <c r="BD69" s="24">
        <v>2</v>
      </c>
      <c r="CZ69" s="25"/>
    </row>
    <row r="70" s="24" customFormat="1" customHeight="1" spans="1:113">
      <c r="A70" s="100"/>
      <c r="B70" s="24">
        <v>84</v>
      </c>
      <c r="C70" s="35" t="s">
        <v>1105</v>
      </c>
      <c r="F70" s="26"/>
      <c r="K70" s="27"/>
      <c r="N70" s="27"/>
      <c r="O70" s="27"/>
      <c r="W70" s="27"/>
      <c r="Y70" s="27"/>
      <c r="Z70" s="27"/>
      <c r="AK70" s="29"/>
      <c r="AL70" s="29"/>
      <c r="AO70" s="138"/>
      <c r="AP70" s="102"/>
      <c r="AQ70" s="103"/>
      <c r="AR70" s="96"/>
      <c r="AS70" s="96"/>
      <c r="AT70" s="96"/>
      <c r="AU70" s="29"/>
      <c r="AV70" s="29"/>
      <c r="CX70" s="25"/>
    </row>
    <row r="71" s="24" customFormat="1" ht="28" customHeight="1" spans="1:113">
      <c r="A71" s="100"/>
      <c r="B71" s="24">
        <v>85</v>
      </c>
      <c r="C71" s="35" t="s">
        <v>1269</v>
      </c>
      <c r="F71" s="26"/>
      <c r="J71" s="24" t="s">
        <v>1106</v>
      </c>
      <c r="K71" s="27" t="s">
        <v>1107</v>
      </c>
      <c r="N71" s="27"/>
      <c r="O71" s="27"/>
      <c r="V71" s="24" t="s">
        <v>1106</v>
      </c>
      <c r="W71" s="27" t="s">
        <v>1107</v>
      </c>
      <c r="Y71" s="27"/>
      <c r="Z71" s="27"/>
      <c r="AK71" s="29"/>
      <c r="AL71" s="29"/>
      <c r="AO71" s="87"/>
      <c r="AP71" s="102"/>
      <c r="AQ71" s="103"/>
      <c r="AR71" s="96"/>
      <c r="AS71" s="96"/>
      <c r="AT71" s="96"/>
      <c r="AU71" s="29"/>
      <c r="AV71" s="29"/>
      <c r="AY71" s="101"/>
      <c r="AZ71" s="101"/>
    </row>
    <row r="72" s="24" customFormat="1" ht="32" customHeight="1" spans="1:113">
      <c r="A72" s="100"/>
      <c r="B72" s="24">
        <v>86</v>
      </c>
      <c r="C72" s="36" t="s">
        <v>1270</v>
      </c>
      <c r="D72" s="94" t="s">
        <v>13</v>
      </c>
      <c r="E72" s="94" t="s">
        <v>405</v>
      </c>
      <c r="F72" s="31" t="s">
        <v>120</v>
      </c>
      <c r="G72" s="94" t="s">
        <v>158</v>
      </c>
      <c r="H72" s="52">
        <v>13727141363</v>
      </c>
      <c r="I72" s="95">
        <v>671363</v>
      </c>
      <c r="J72" s="24" t="s">
        <v>1112</v>
      </c>
      <c r="K72" s="24">
        <v>13926629772</v>
      </c>
      <c r="M72" s="95" t="s">
        <v>1271</v>
      </c>
      <c r="N72" s="52" t="s">
        <v>1114</v>
      </c>
      <c r="O72" s="52" t="s">
        <v>1115</v>
      </c>
      <c r="P72" s="24" t="s">
        <v>1116</v>
      </c>
      <c r="Q72" s="24" t="s">
        <v>408</v>
      </c>
      <c r="U72" s="94"/>
      <c r="V72" s="94" t="s">
        <v>1272</v>
      </c>
      <c r="W72" s="52">
        <v>13631074121</v>
      </c>
      <c r="X72" s="94" t="s">
        <v>1273</v>
      </c>
      <c r="Y72" s="52">
        <v>15917517016</v>
      </c>
      <c r="Z72" s="52" t="s">
        <v>1274</v>
      </c>
      <c r="AA72" s="24">
        <v>37</v>
      </c>
      <c r="AC72" s="41">
        <v>43</v>
      </c>
      <c r="AD72" s="41">
        <v>41</v>
      </c>
      <c r="AE72" s="41">
        <v>79</v>
      </c>
      <c r="AF72" s="41">
        <v>85</v>
      </c>
      <c r="AG72" s="41">
        <v>51</v>
      </c>
      <c r="AH72" s="41">
        <v>54</v>
      </c>
      <c r="AI72" s="41">
        <v>68</v>
      </c>
      <c r="AJ72" s="41">
        <v>72</v>
      </c>
      <c r="AK72" s="29">
        <v>51</v>
      </c>
      <c r="AL72" s="29">
        <v>54</v>
      </c>
      <c r="AM72" s="24">
        <v>72</v>
      </c>
      <c r="AN72" s="24">
        <v>80</v>
      </c>
      <c r="AO72" s="87">
        <v>48</v>
      </c>
      <c r="AP72" s="102">
        <v>63</v>
      </c>
      <c r="AQ72" s="103">
        <v>64</v>
      </c>
      <c r="AR72" s="96">
        <v>76</v>
      </c>
      <c r="AS72" s="43">
        <v>45</v>
      </c>
      <c r="AT72" s="43">
        <v>60</v>
      </c>
      <c r="AU72" s="24">
        <v>60</v>
      </c>
      <c r="AV72" s="24">
        <v>80</v>
      </c>
      <c r="AW72" s="97">
        <v>42</v>
      </c>
      <c r="AX72" s="98">
        <v>58</v>
      </c>
      <c r="AY72" s="73">
        <v>56</v>
      </c>
      <c r="AZ72" s="73">
        <v>72</v>
      </c>
      <c r="BA72" s="112">
        <v>48</v>
      </c>
      <c r="BB72" s="92">
        <v>63</v>
      </c>
      <c r="BC72" s="24">
        <v>63</v>
      </c>
      <c r="BD72" s="24">
        <v>84</v>
      </c>
      <c r="CY72" s="25"/>
    </row>
    <row r="73" s="24" customFormat="1" ht="45" customHeight="1" spans="1:113">
      <c r="A73" s="100"/>
      <c r="B73" s="24">
        <v>87</v>
      </c>
      <c r="C73" s="36" t="s">
        <v>1119</v>
      </c>
      <c r="D73" s="94" t="s">
        <v>13</v>
      </c>
      <c r="E73" s="94" t="s">
        <v>405</v>
      </c>
      <c r="F73" s="31" t="s">
        <v>125</v>
      </c>
      <c r="G73" s="94" t="s">
        <v>81</v>
      </c>
      <c r="H73" s="95">
        <v>18300022822</v>
      </c>
      <c r="I73" s="95">
        <v>62822</v>
      </c>
      <c r="J73" s="24" t="s">
        <v>1275</v>
      </c>
      <c r="K73" s="27" t="s">
        <v>695</v>
      </c>
      <c r="L73" s="24" t="s">
        <v>695</v>
      </c>
      <c r="N73" s="27"/>
      <c r="O73" s="27" t="s">
        <v>1120</v>
      </c>
      <c r="P73" s="24" t="s">
        <v>1121</v>
      </c>
      <c r="Q73" s="24" t="s">
        <v>408</v>
      </c>
      <c r="V73" s="24" t="s">
        <v>1131</v>
      </c>
      <c r="W73" s="27" t="s">
        <v>1276</v>
      </c>
      <c r="X73" s="24" t="s">
        <v>1122</v>
      </c>
      <c r="Y73" s="27" t="s">
        <v>1123</v>
      </c>
      <c r="Z73" s="86" t="s">
        <v>1277</v>
      </c>
      <c r="AA73" s="24">
        <v>15</v>
      </c>
      <c r="AC73" s="41">
        <v>21</v>
      </c>
      <c r="AD73" s="41">
        <v>9</v>
      </c>
      <c r="AE73" s="41">
        <v>24</v>
      </c>
      <c r="AF73" s="41">
        <v>16</v>
      </c>
      <c r="AG73" s="41">
        <v>28</v>
      </c>
      <c r="AH73" s="41">
        <v>20</v>
      </c>
      <c r="AI73" s="41">
        <v>34</v>
      </c>
      <c r="AJ73" s="41">
        <v>30</v>
      </c>
      <c r="AK73" s="29">
        <v>26</v>
      </c>
      <c r="AL73" s="29">
        <v>13</v>
      </c>
      <c r="AM73" s="24">
        <v>30</v>
      </c>
      <c r="AN73" s="24">
        <v>22</v>
      </c>
      <c r="AO73" s="87">
        <v>26</v>
      </c>
      <c r="AP73" s="102">
        <v>13</v>
      </c>
      <c r="AQ73" s="103">
        <v>34</v>
      </c>
      <c r="AR73" s="96">
        <v>25</v>
      </c>
      <c r="AS73" s="43">
        <v>29</v>
      </c>
      <c r="AT73" s="43">
        <v>15</v>
      </c>
      <c r="AU73" s="24">
        <v>34</v>
      </c>
      <c r="AV73" s="24">
        <v>22</v>
      </c>
      <c r="AW73" s="139">
        <v>26</v>
      </c>
      <c r="AX73" s="139">
        <v>13</v>
      </c>
      <c r="AY73" s="73">
        <v>34</v>
      </c>
      <c r="AZ73" s="73">
        <v>22</v>
      </c>
      <c r="BA73" s="92">
        <v>26</v>
      </c>
      <c r="BB73" s="92">
        <v>14</v>
      </c>
      <c r="BC73" s="24">
        <v>30</v>
      </c>
      <c r="BD73" s="24">
        <v>21</v>
      </c>
      <c r="CO73" s="25"/>
    </row>
    <row r="74" s="24" customFormat="1" customHeight="1" spans="1:113">
      <c r="A74" s="100"/>
      <c r="B74" s="24">
        <v>89</v>
      </c>
      <c r="C74" s="36" t="s">
        <v>1278</v>
      </c>
      <c r="D74" s="94"/>
      <c r="E74" s="94"/>
      <c r="F74" s="31" t="s">
        <v>106</v>
      </c>
      <c r="G74" s="94"/>
      <c r="H74" s="95"/>
      <c r="I74" s="95"/>
      <c r="J74" s="24" t="s">
        <v>1128</v>
      </c>
      <c r="K74" s="24">
        <v>13380715180</v>
      </c>
      <c r="N74" s="27"/>
      <c r="O74" s="27"/>
      <c r="V74" s="24" t="s">
        <v>1128</v>
      </c>
      <c r="W74" s="27" t="s">
        <v>1129</v>
      </c>
      <c r="Y74" s="27"/>
      <c r="Z74" s="39"/>
      <c r="AA74" s="24">
        <v>16</v>
      </c>
      <c r="AC74" s="24">
        <v>18</v>
      </c>
      <c r="AD74" s="24">
        <v>27</v>
      </c>
      <c r="AE74" s="24">
        <v>20</v>
      </c>
      <c r="AF74" s="24">
        <v>40</v>
      </c>
      <c r="AG74" s="41">
        <v>18</v>
      </c>
      <c r="AH74" s="41">
        <v>27</v>
      </c>
      <c r="AI74" s="41">
        <v>20</v>
      </c>
      <c r="AJ74" s="41">
        <v>40</v>
      </c>
      <c r="AK74" s="29">
        <v>18</v>
      </c>
      <c r="AL74" s="29">
        <v>27</v>
      </c>
      <c r="AM74" s="24">
        <v>20</v>
      </c>
      <c r="AN74" s="24">
        <v>40</v>
      </c>
      <c r="AO74" s="87">
        <v>18</v>
      </c>
      <c r="AP74" s="102">
        <v>27</v>
      </c>
      <c r="AQ74" s="103">
        <v>22</v>
      </c>
      <c r="AR74" s="96">
        <v>42</v>
      </c>
      <c r="AS74" s="43">
        <v>19</v>
      </c>
      <c r="AT74" s="43">
        <v>29</v>
      </c>
      <c r="AU74" s="24">
        <v>22</v>
      </c>
      <c r="AV74" s="24">
        <v>42</v>
      </c>
      <c r="AW74" s="97">
        <v>19</v>
      </c>
      <c r="AX74" s="97">
        <v>29</v>
      </c>
      <c r="AY74" s="140">
        <v>22</v>
      </c>
      <c r="AZ74" s="140">
        <v>42</v>
      </c>
      <c r="BA74" s="92">
        <v>19</v>
      </c>
      <c r="BB74" s="92">
        <v>29</v>
      </c>
      <c r="BC74" s="141">
        <v>22</v>
      </c>
      <c r="BD74" s="141">
        <v>42</v>
      </c>
      <c r="CO74" s="25"/>
    </row>
    <row r="75" s="24" customFormat="1" customHeight="1" spans="1:113">
      <c r="A75" s="100"/>
      <c r="B75" s="24">
        <v>90</v>
      </c>
      <c r="C75" s="36" t="s">
        <v>1279</v>
      </c>
      <c r="D75" s="94"/>
      <c r="E75" s="94"/>
      <c r="F75" s="31"/>
      <c r="G75" s="94"/>
      <c r="H75" s="95"/>
      <c r="I75" s="95"/>
      <c r="N75" s="27"/>
      <c r="O75" s="27"/>
      <c r="W75" s="27"/>
      <c r="Y75" s="27"/>
      <c r="Z75" s="39"/>
      <c r="AB75" s="24">
        <v>14</v>
      </c>
      <c r="AC75" s="41">
        <v>33</v>
      </c>
      <c r="AD75" s="41">
        <v>6</v>
      </c>
      <c r="AE75" s="41">
        <v>22</v>
      </c>
      <c r="AF75" s="41">
        <v>4</v>
      </c>
      <c r="AG75" s="41">
        <v>33</v>
      </c>
      <c r="AH75" s="41">
        <v>9</v>
      </c>
      <c r="AI75" s="41">
        <v>26</v>
      </c>
      <c r="AJ75" s="41">
        <v>6</v>
      </c>
      <c r="AK75" s="29">
        <v>33</v>
      </c>
      <c r="AL75" s="29">
        <v>9</v>
      </c>
      <c r="AM75" s="24">
        <v>22</v>
      </c>
      <c r="AN75" s="24">
        <v>6</v>
      </c>
      <c r="AO75" s="87">
        <v>33</v>
      </c>
      <c r="AP75" s="102">
        <v>9</v>
      </c>
      <c r="AQ75" s="103">
        <v>22</v>
      </c>
      <c r="AR75" s="96">
        <v>6</v>
      </c>
      <c r="AS75" s="43">
        <v>33</v>
      </c>
      <c r="AT75" s="43">
        <v>9</v>
      </c>
      <c r="AU75" s="24">
        <v>22</v>
      </c>
      <c r="AV75" s="24">
        <v>6</v>
      </c>
      <c r="AW75" s="97">
        <v>33</v>
      </c>
      <c r="AX75" s="97">
        <v>9</v>
      </c>
      <c r="AY75" s="140">
        <v>22</v>
      </c>
      <c r="AZ75" s="140">
        <v>6</v>
      </c>
      <c r="BA75" s="92">
        <v>33</v>
      </c>
      <c r="BB75" s="92">
        <v>9</v>
      </c>
      <c r="BC75" s="141">
        <v>22</v>
      </c>
      <c r="BD75" s="141">
        <v>6</v>
      </c>
      <c r="DI75" s="25"/>
    </row>
    <row r="76" s="24" customFormat="1" customHeight="1" spans="1:113">
      <c r="A76" s="100"/>
      <c r="B76" s="24">
        <v>91</v>
      </c>
      <c r="C76" s="35" t="s">
        <v>1130</v>
      </c>
      <c r="D76" s="94" t="s">
        <v>13</v>
      </c>
      <c r="E76" s="94" t="s">
        <v>405</v>
      </c>
      <c r="F76" s="31" t="s">
        <v>125</v>
      </c>
      <c r="G76" s="94"/>
      <c r="H76" s="95"/>
      <c r="I76" s="95"/>
      <c r="J76" s="24" t="s">
        <v>1131</v>
      </c>
      <c r="K76" s="24">
        <v>13553912809</v>
      </c>
      <c r="N76" s="27"/>
      <c r="O76" s="27"/>
      <c r="P76" s="24" t="s">
        <v>1132</v>
      </c>
      <c r="Q76" s="24" t="s">
        <v>408</v>
      </c>
      <c r="V76" s="24" t="s">
        <v>1133</v>
      </c>
      <c r="W76" s="27" t="s">
        <v>1134</v>
      </c>
      <c r="X76" s="24" t="s">
        <v>1133</v>
      </c>
      <c r="Y76" s="27" t="s">
        <v>1134</v>
      </c>
      <c r="Z76" s="27"/>
      <c r="AA76" s="24">
        <v>3</v>
      </c>
      <c r="AC76" s="24">
        <v>6</v>
      </c>
      <c r="AD76" s="24">
        <v>3</v>
      </c>
      <c r="AE76" s="24">
        <v>8</v>
      </c>
      <c r="AF76" s="24">
        <v>4</v>
      </c>
      <c r="AG76" s="24">
        <v>6</v>
      </c>
      <c r="AH76" s="24">
        <v>3</v>
      </c>
      <c r="AI76" s="24">
        <v>8</v>
      </c>
      <c r="AJ76" s="24">
        <v>4</v>
      </c>
      <c r="AK76" s="29">
        <v>6</v>
      </c>
      <c r="AL76" s="29">
        <v>3</v>
      </c>
      <c r="AM76" s="24">
        <v>8</v>
      </c>
      <c r="AN76" s="24">
        <v>4</v>
      </c>
      <c r="AO76" s="87">
        <v>6</v>
      </c>
      <c r="AP76" s="102">
        <v>3</v>
      </c>
      <c r="AQ76" s="103">
        <v>8</v>
      </c>
      <c r="AR76" s="96">
        <v>4</v>
      </c>
      <c r="AS76" s="43">
        <v>6</v>
      </c>
      <c r="AT76" s="43">
        <v>3</v>
      </c>
      <c r="AU76" s="24">
        <v>8</v>
      </c>
      <c r="AV76" s="24">
        <v>4</v>
      </c>
      <c r="AW76" s="97">
        <v>6</v>
      </c>
      <c r="AX76" s="97">
        <v>3</v>
      </c>
      <c r="AY76" s="29">
        <v>8</v>
      </c>
      <c r="AZ76" s="29">
        <v>4</v>
      </c>
      <c r="BA76" s="92">
        <v>6</v>
      </c>
      <c r="BB76" s="92">
        <v>3</v>
      </c>
      <c r="BC76" s="24">
        <v>8</v>
      </c>
      <c r="BD76" s="24">
        <v>4</v>
      </c>
      <c r="CY76" s="25"/>
      <c r="DI76" s="25"/>
    </row>
    <row r="77" s="24" customFormat="1" customHeight="1" spans="1:113">
      <c r="A77" s="100"/>
      <c r="B77" s="24">
        <v>92</v>
      </c>
      <c r="C77" s="35" t="s">
        <v>1280</v>
      </c>
      <c r="D77" s="94" t="s">
        <v>492</v>
      </c>
      <c r="E77" s="94" t="s">
        <v>405</v>
      </c>
      <c r="F77" s="31" t="s">
        <v>106</v>
      </c>
      <c r="G77" s="94"/>
      <c r="H77" s="95"/>
      <c r="I77" s="95"/>
      <c r="J77" s="24" t="s">
        <v>1281</v>
      </c>
      <c r="K77" s="24">
        <v>13678959245</v>
      </c>
      <c r="M77" s="24" t="s">
        <v>1282</v>
      </c>
      <c r="N77" s="27" t="s">
        <v>1283</v>
      </c>
      <c r="O77" s="27" t="s">
        <v>874</v>
      </c>
      <c r="P77" s="24" t="s">
        <v>1137</v>
      </c>
      <c r="Q77" s="24" t="s">
        <v>408</v>
      </c>
      <c r="V77" s="24" t="s">
        <v>1281</v>
      </c>
      <c r="W77" s="27" t="s">
        <v>1284</v>
      </c>
      <c r="Y77" s="27"/>
      <c r="Z77" s="27"/>
      <c r="AK77" s="29"/>
      <c r="AL77" s="29"/>
      <c r="AO77" s="87"/>
      <c r="AP77" s="102"/>
      <c r="AQ77" s="103"/>
      <c r="AR77" s="96"/>
      <c r="AS77" s="96"/>
      <c r="AT77" s="96"/>
      <c r="AU77" s="29"/>
      <c r="AV77" s="29"/>
    </row>
    <row r="78" s="24" customFormat="1" customHeight="1" spans="1:113">
      <c r="A78" s="100"/>
      <c r="B78" s="24">
        <v>93</v>
      </c>
      <c r="C78" s="35" t="s">
        <v>1285</v>
      </c>
      <c r="D78" s="94" t="s">
        <v>492</v>
      </c>
      <c r="E78" s="94" t="s">
        <v>405</v>
      </c>
      <c r="F78" s="31" t="s">
        <v>106</v>
      </c>
      <c r="G78" s="94"/>
      <c r="H78" s="95"/>
      <c r="I78" s="95"/>
      <c r="J78" s="24" t="s">
        <v>1136</v>
      </c>
      <c r="K78" s="27">
        <v>13728660886</v>
      </c>
      <c r="N78" s="27"/>
      <c r="O78" s="27"/>
      <c r="P78" s="24" t="s">
        <v>1137</v>
      </c>
      <c r="Q78" s="24" t="s">
        <v>408</v>
      </c>
      <c r="V78" s="24" t="s">
        <v>1136</v>
      </c>
      <c r="W78" s="27" t="s">
        <v>1138</v>
      </c>
      <c r="Y78" s="27"/>
      <c r="Z78" s="27"/>
      <c r="AA78" s="24"/>
      <c r="AB78" s="24">
        <v>10</v>
      </c>
      <c r="AC78" s="24">
        <v>27</v>
      </c>
      <c r="AE78" s="24">
        <v>18</v>
      </c>
      <c r="AG78" s="24">
        <v>27</v>
      </c>
      <c r="AI78" s="24">
        <v>18</v>
      </c>
      <c r="AK78" s="29">
        <v>27</v>
      </c>
      <c r="AL78" s="29"/>
      <c r="AM78" s="24">
        <v>18</v>
      </c>
      <c r="AO78" s="87">
        <v>27</v>
      </c>
      <c r="AP78" s="102"/>
      <c r="AQ78" s="103">
        <v>18</v>
      </c>
      <c r="AR78" s="96"/>
      <c r="AS78" s="43">
        <v>27</v>
      </c>
      <c r="AT78" s="43"/>
      <c r="AU78" s="24">
        <v>18</v>
      </c>
      <c r="AW78" s="97">
        <v>27</v>
      </c>
      <c r="AX78" s="97"/>
      <c r="AY78" s="29"/>
      <c r="AZ78" s="29"/>
      <c r="BA78" s="92">
        <v>45</v>
      </c>
      <c r="BB78" s="92"/>
      <c r="BC78" s="24">
        <v>0</v>
      </c>
    </row>
    <row r="79" s="24" customFormat="1" customHeight="1" spans="1:113">
      <c r="A79" s="100"/>
      <c r="B79" s="24">
        <v>94</v>
      </c>
      <c r="C79" s="35" t="s">
        <v>1286</v>
      </c>
      <c r="D79" s="94" t="s">
        <v>492</v>
      </c>
      <c r="E79" s="94" t="s">
        <v>405</v>
      </c>
      <c r="F79" s="31" t="s">
        <v>106</v>
      </c>
      <c r="G79" s="94"/>
      <c r="H79" s="95"/>
      <c r="I79" s="95"/>
      <c r="J79" s="24" t="s">
        <v>1140</v>
      </c>
      <c r="K79" s="27">
        <v>13824915028</v>
      </c>
      <c r="N79" s="27"/>
      <c r="O79" s="27"/>
      <c r="P79" s="24" t="s">
        <v>513</v>
      </c>
      <c r="Q79" s="24" t="s">
        <v>408</v>
      </c>
      <c r="V79" s="24" t="s">
        <v>1140</v>
      </c>
      <c r="W79" s="27" t="s">
        <v>794</v>
      </c>
      <c r="Y79" s="27"/>
      <c r="Z79" s="27"/>
      <c r="AB79" s="24">
        <v>1</v>
      </c>
      <c r="AG79" s="24">
        <v>3</v>
      </c>
      <c r="AI79" s="24">
        <v>2</v>
      </c>
      <c r="AK79" s="29">
        <v>3</v>
      </c>
      <c r="AL79" s="29"/>
      <c r="AM79" s="24">
        <v>2</v>
      </c>
      <c r="AO79" s="87">
        <v>3</v>
      </c>
      <c r="AP79" s="102"/>
      <c r="AQ79" s="103">
        <v>2</v>
      </c>
      <c r="AR79" s="96"/>
      <c r="AS79" s="43">
        <v>3</v>
      </c>
      <c r="AT79" s="43"/>
      <c r="AU79" s="24">
        <v>3</v>
      </c>
      <c r="AV79" s="24"/>
      <c r="AW79" s="97">
        <v>3</v>
      </c>
      <c r="AX79" s="97"/>
      <c r="AY79" s="29">
        <v>2</v>
      </c>
      <c r="AZ79" s="29"/>
      <c r="BA79" s="92">
        <v>3</v>
      </c>
      <c r="BB79" s="92"/>
      <c r="BC79" s="24">
        <v>2</v>
      </c>
      <c r="CZ79" s="25"/>
    </row>
    <row r="80" s="24" customFormat="1" customHeight="1" spans="1:113">
      <c r="A80" s="100"/>
      <c r="B80" s="24">
        <v>95</v>
      </c>
      <c r="C80" s="35" t="s">
        <v>1287</v>
      </c>
      <c r="D80" s="94"/>
      <c r="E80" s="94"/>
      <c r="F80" s="31"/>
      <c r="G80" s="94"/>
      <c r="H80" s="95"/>
      <c r="I80" s="95"/>
      <c r="K80" s="27"/>
      <c r="N80" s="27"/>
      <c r="O80" s="27"/>
      <c r="W80" s="27"/>
      <c r="Y80" s="27"/>
      <c r="Z80" s="27"/>
      <c r="AA80" s="24">
        <v>2</v>
      </c>
      <c r="AC80" s="24">
        <v>2</v>
      </c>
      <c r="AE80" s="24">
        <v>6</v>
      </c>
      <c r="AF80" s="24">
        <v>2</v>
      </c>
      <c r="AG80" s="24">
        <v>5</v>
      </c>
      <c r="AH80" s="24">
        <v>1</v>
      </c>
      <c r="AI80" s="24">
        <v>6</v>
      </c>
      <c r="AJ80" s="24">
        <v>2</v>
      </c>
      <c r="AK80" s="29"/>
      <c r="AL80" s="29">
        <v>6</v>
      </c>
      <c r="AN80" s="24">
        <v>8</v>
      </c>
      <c r="AO80" s="87">
        <v>4</v>
      </c>
      <c r="AP80" s="102">
        <v>2</v>
      </c>
      <c r="AQ80" s="103">
        <v>4</v>
      </c>
      <c r="AR80" s="96">
        <v>4</v>
      </c>
      <c r="AS80" s="43">
        <v>4</v>
      </c>
      <c r="AT80" s="43">
        <v>2</v>
      </c>
      <c r="AU80" s="24">
        <v>6</v>
      </c>
      <c r="AV80" s="24">
        <v>2</v>
      </c>
      <c r="AW80" s="97">
        <v>4</v>
      </c>
      <c r="AX80" s="97">
        <v>2</v>
      </c>
      <c r="AY80" s="45">
        <v>6</v>
      </c>
      <c r="AZ80" s="45">
        <v>2</v>
      </c>
      <c r="BA80" s="92">
        <v>4</v>
      </c>
      <c r="BB80" s="92">
        <v>2</v>
      </c>
      <c r="BC80" s="99">
        <v>6</v>
      </c>
      <c r="BD80" s="99">
        <v>2</v>
      </c>
      <c r="DI80" s="25"/>
    </row>
    <row r="81" s="24" customFormat="1" customHeight="1" spans="1:113">
      <c r="A81" s="100"/>
      <c r="B81" s="24">
        <v>96</v>
      </c>
      <c r="C81" s="35" t="s">
        <v>1288</v>
      </c>
      <c r="D81" s="94"/>
      <c r="E81" s="94"/>
      <c r="F81" s="31"/>
      <c r="G81" s="94"/>
      <c r="H81" s="95"/>
      <c r="I81" s="95"/>
      <c r="K81" s="27"/>
      <c r="N81" s="27"/>
      <c r="O81" s="27"/>
      <c r="W81" s="27"/>
      <c r="Y81" s="27"/>
      <c r="Z81" s="27"/>
      <c r="AA81" s="24"/>
      <c r="AB81" s="24">
        <v>2</v>
      </c>
      <c r="AC81" s="24">
        <v>6</v>
      </c>
      <c r="AE81" s="24">
        <v>4</v>
      </c>
      <c r="AG81" s="24">
        <v>6</v>
      </c>
      <c r="AI81" s="24">
        <v>4</v>
      </c>
      <c r="AK81" s="29">
        <v>6</v>
      </c>
      <c r="AL81" s="29"/>
      <c r="AM81" s="24">
        <v>4</v>
      </c>
      <c r="AO81" s="87">
        <v>6</v>
      </c>
      <c r="AP81" s="102"/>
      <c r="AQ81" s="103">
        <v>4</v>
      </c>
      <c r="AR81" s="96"/>
      <c r="AS81" s="43">
        <v>6</v>
      </c>
      <c r="AT81" s="43"/>
      <c r="AU81" s="24">
        <v>4</v>
      </c>
      <c r="AV81" s="24"/>
      <c r="AW81" s="97">
        <v>6</v>
      </c>
      <c r="AX81" s="97"/>
      <c r="AY81" s="45">
        <v>4</v>
      </c>
      <c r="AZ81" s="45">
        <v>0</v>
      </c>
      <c r="BA81" s="92">
        <v>6</v>
      </c>
      <c r="BB81" s="92"/>
      <c r="BC81" s="99">
        <v>4</v>
      </c>
      <c r="BD81" s="99">
        <v>0</v>
      </c>
      <c r="DI81" s="25"/>
    </row>
    <row r="82" s="24" customFormat="1" customHeight="1" spans="1:113">
      <c r="A82" s="100"/>
      <c r="B82" s="24">
        <v>97</v>
      </c>
      <c r="C82" s="35" t="s">
        <v>1289</v>
      </c>
      <c r="D82" s="94"/>
      <c r="E82" s="94"/>
      <c r="F82" s="31"/>
      <c r="G82" s="94"/>
      <c r="H82" s="95"/>
      <c r="I82" s="95"/>
      <c r="K82" s="27"/>
      <c r="N82" s="27"/>
      <c r="O82" s="27"/>
      <c r="W82" s="27"/>
      <c r="Y82" s="27"/>
      <c r="Z82" s="142" t="s">
        <v>1290</v>
      </c>
      <c r="AA82" s="24">
        <v>11</v>
      </c>
      <c r="AC82" s="41">
        <v>8</v>
      </c>
      <c r="AD82" s="41">
        <v>25</v>
      </c>
      <c r="AE82" s="41">
        <v>7</v>
      </c>
      <c r="AF82" s="41">
        <v>24</v>
      </c>
      <c r="AG82" s="41">
        <v>11</v>
      </c>
      <c r="AH82" s="41">
        <v>28</v>
      </c>
      <c r="AI82" s="41">
        <v>7</v>
      </c>
      <c r="AJ82" s="41">
        <v>24</v>
      </c>
      <c r="AK82" s="29">
        <v>11</v>
      </c>
      <c r="AL82" s="29">
        <v>28</v>
      </c>
      <c r="AM82" s="24">
        <v>11</v>
      </c>
      <c r="AN82" s="24">
        <v>24</v>
      </c>
      <c r="AO82" s="87">
        <v>14</v>
      </c>
      <c r="AP82" s="102">
        <v>32</v>
      </c>
      <c r="AQ82" s="103">
        <v>11</v>
      </c>
      <c r="AR82" s="96">
        <v>24</v>
      </c>
      <c r="AS82" s="43">
        <v>16</v>
      </c>
      <c r="AT82" s="43">
        <v>30</v>
      </c>
      <c r="AU82" s="24">
        <v>13</v>
      </c>
      <c r="AV82" s="24">
        <v>18</v>
      </c>
      <c r="AW82" s="97">
        <v>16</v>
      </c>
      <c r="AX82" s="98">
        <v>30</v>
      </c>
      <c r="AY82" s="73">
        <v>23</v>
      </c>
      <c r="AZ82" s="73">
        <v>58</v>
      </c>
      <c r="BA82" s="112">
        <v>26</v>
      </c>
      <c r="BB82" s="92">
        <v>70</v>
      </c>
      <c r="BC82" s="24">
        <v>23</v>
      </c>
      <c r="BD82" s="24">
        <v>58</v>
      </c>
      <c r="CY82" s="25"/>
    </row>
    <row r="83" s="24" customFormat="1" customHeight="1" spans="1:113">
      <c r="A83" s="100"/>
      <c r="C83" s="35" t="s">
        <v>1291</v>
      </c>
      <c r="D83" s="94"/>
      <c r="E83" s="94"/>
      <c r="F83" s="31"/>
      <c r="G83" s="94"/>
      <c r="H83" s="95"/>
      <c r="I83" s="95"/>
      <c r="K83" s="27"/>
      <c r="N83" s="27"/>
      <c r="O83" s="27"/>
      <c r="W83" s="27"/>
      <c r="Y83" s="27"/>
      <c r="Z83" s="142"/>
      <c r="AA83" s="24">
        <v>12</v>
      </c>
      <c r="AC83" s="41"/>
      <c r="AD83" s="41"/>
      <c r="AE83" s="41"/>
      <c r="AF83" s="41"/>
      <c r="AG83" s="41">
        <v>15</v>
      </c>
      <c r="AH83" s="41">
        <v>18</v>
      </c>
      <c r="AI83" s="41">
        <v>8</v>
      </c>
      <c r="AJ83" s="41">
        <v>12</v>
      </c>
      <c r="AK83" s="29">
        <v>15</v>
      </c>
      <c r="AL83" s="29">
        <v>18</v>
      </c>
      <c r="AM83" s="24">
        <v>9</v>
      </c>
      <c r="AN83" s="24">
        <v>13</v>
      </c>
      <c r="AO83" s="87">
        <v>15</v>
      </c>
      <c r="AP83" s="102">
        <v>18</v>
      </c>
      <c r="AQ83" s="103">
        <v>10</v>
      </c>
      <c r="AR83" s="96">
        <v>14</v>
      </c>
      <c r="AS83" s="43">
        <v>15</v>
      </c>
      <c r="AT83" s="43">
        <v>21</v>
      </c>
      <c r="AU83" s="24">
        <v>9</v>
      </c>
      <c r="AV83" s="24">
        <v>15</v>
      </c>
      <c r="AW83" s="97">
        <v>15</v>
      </c>
      <c r="AX83" s="98">
        <v>21</v>
      </c>
      <c r="AY83" s="73">
        <v>9</v>
      </c>
      <c r="AZ83" s="73">
        <v>15</v>
      </c>
      <c r="BA83" s="92">
        <v>15</v>
      </c>
      <c r="BB83" s="93">
        <v>21</v>
      </c>
      <c r="BC83" s="99">
        <v>9</v>
      </c>
      <c r="BD83" s="99">
        <v>15</v>
      </c>
      <c r="CY83" s="25"/>
    </row>
    <row r="84" s="24" customFormat="1" customHeight="1" spans="1:113">
      <c r="A84" s="100"/>
      <c r="C84" s="35" t="s">
        <v>1292</v>
      </c>
      <c r="D84" s="94"/>
      <c r="E84" s="94"/>
      <c r="F84" s="31"/>
      <c r="G84" s="94"/>
      <c r="H84" s="95"/>
      <c r="I84" s="95"/>
      <c r="K84" s="27"/>
      <c r="N84" s="27"/>
      <c r="O84" s="27"/>
      <c r="W84" s="27"/>
      <c r="Y84" s="27"/>
      <c r="Z84" s="142"/>
      <c r="AB84" s="24">
        <v>10</v>
      </c>
      <c r="AC84" s="41"/>
      <c r="AD84" s="41"/>
      <c r="AE84" s="41">
        <v>17</v>
      </c>
      <c r="AF84" s="41">
        <v>1</v>
      </c>
      <c r="AG84" s="41">
        <v>29</v>
      </c>
      <c r="AH84" s="41">
        <v>1</v>
      </c>
      <c r="AI84" s="41">
        <v>17</v>
      </c>
      <c r="AJ84" s="41">
        <v>1</v>
      </c>
      <c r="AK84" s="29">
        <v>26</v>
      </c>
      <c r="AL84" s="29">
        <v>1</v>
      </c>
      <c r="AM84" s="24">
        <v>17</v>
      </c>
      <c r="AN84" s="24">
        <v>1</v>
      </c>
      <c r="AO84" s="87">
        <v>26</v>
      </c>
      <c r="AP84" s="102">
        <v>1</v>
      </c>
      <c r="AQ84" s="103">
        <v>13</v>
      </c>
      <c r="AR84" s="96">
        <v>5</v>
      </c>
      <c r="AS84" s="43">
        <v>20</v>
      </c>
      <c r="AT84" s="43">
        <v>7</v>
      </c>
      <c r="AU84" s="24">
        <v>13</v>
      </c>
      <c r="AV84" s="24">
        <v>5</v>
      </c>
      <c r="AW84" s="97">
        <v>20</v>
      </c>
      <c r="AX84" s="98">
        <v>10</v>
      </c>
      <c r="AY84" s="73">
        <v>13</v>
      </c>
      <c r="AZ84" s="73">
        <v>7</v>
      </c>
      <c r="BA84" s="92">
        <v>20</v>
      </c>
      <c r="BB84" s="93">
        <v>10</v>
      </c>
      <c r="BC84" s="99">
        <v>13</v>
      </c>
      <c r="BD84" s="99">
        <v>7</v>
      </c>
      <c r="CY84" s="25"/>
    </row>
    <row r="85" s="24" customFormat="1" customHeight="1" spans="1:113">
      <c r="A85" s="100"/>
      <c r="C85" s="35" t="s">
        <v>1293</v>
      </c>
      <c r="D85" s="94"/>
      <c r="E85" s="94"/>
      <c r="F85" s="31"/>
      <c r="G85" s="94"/>
      <c r="H85" s="95"/>
      <c r="I85" s="95"/>
      <c r="K85" s="27"/>
      <c r="N85" s="27"/>
      <c r="O85" s="27"/>
      <c r="W85" s="27"/>
      <c r="Y85" s="27"/>
      <c r="Z85" s="142" t="s">
        <v>1294</v>
      </c>
      <c r="AA85" s="24">
        <v>35</v>
      </c>
      <c r="AC85" s="41"/>
      <c r="AD85" s="41"/>
      <c r="AE85" s="41"/>
      <c r="AF85" s="41"/>
      <c r="AG85" s="41">
        <v>54</v>
      </c>
      <c r="AH85" s="41">
        <v>36</v>
      </c>
      <c r="AI85" s="119">
        <v>71</v>
      </c>
      <c r="AJ85" s="119">
        <v>56</v>
      </c>
      <c r="AK85" s="29">
        <v>74</v>
      </c>
      <c r="AL85" s="29">
        <v>35</v>
      </c>
      <c r="AM85" s="24">
        <v>93</v>
      </c>
      <c r="AN85" s="24">
        <v>47</v>
      </c>
      <c r="AO85" s="87">
        <v>83</v>
      </c>
      <c r="AP85" s="102">
        <v>37</v>
      </c>
      <c r="AQ85" s="103">
        <v>99</v>
      </c>
      <c r="AR85" s="96">
        <v>45</v>
      </c>
      <c r="AS85" s="43">
        <v>77</v>
      </c>
      <c r="AT85" s="43">
        <v>34</v>
      </c>
      <c r="AU85" s="24">
        <v>96</v>
      </c>
      <c r="AV85" s="24">
        <v>46</v>
      </c>
      <c r="AW85" s="97">
        <v>75</v>
      </c>
      <c r="AX85" s="97">
        <v>36</v>
      </c>
      <c r="AY85" s="76">
        <v>92</v>
      </c>
      <c r="AZ85" s="76">
        <v>50</v>
      </c>
      <c r="BA85" s="92">
        <v>70</v>
      </c>
      <c r="BB85" s="92">
        <v>41</v>
      </c>
      <c r="BC85" s="24">
        <v>90</v>
      </c>
      <c r="BD85" s="24">
        <v>52</v>
      </c>
      <c r="CY85" s="25"/>
    </row>
    <row r="86" s="24" customFormat="1" ht="27" customHeight="1" spans="1:113">
      <c r="A86" s="143"/>
      <c r="C86" s="36" t="s">
        <v>37</v>
      </c>
      <c r="D86" s="94"/>
      <c r="E86" s="94"/>
      <c r="F86" s="31"/>
      <c r="G86" s="94"/>
      <c r="H86" s="95"/>
      <c r="I86" s="95"/>
      <c r="J86" s="94"/>
      <c r="K86" s="52"/>
      <c r="L86" s="95"/>
      <c r="M86" s="95"/>
      <c r="N86" s="52"/>
      <c r="O86" s="52"/>
      <c r="W86" s="27"/>
      <c r="X86" s="94"/>
      <c r="Y86" s="94"/>
      <c r="Z86" s="136"/>
      <c r="AA86" s="24">
        <v>23</v>
      </c>
      <c r="AC86" s="144"/>
      <c r="AD86" s="144"/>
      <c r="AE86" s="24"/>
      <c r="AF86" s="24"/>
      <c r="AG86" s="24"/>
      <c r="AH86" s="24"/>
      <c r="AI86" s="24"/>
      <c r="AJ86" s="24"/>
      <c r="AK86" s="29"/>
      <c r="AL86" s="29"/>
      <c r="AO86" s="24">
        <v>100</v>
      </c>
      <c r="AP86" s="24">
        <v>85</v>
      </c>
      <c r="AQ86" s="145"/>
      <c r="AR86" s="145"/>
      <c r="AS86" s="43">
        <v>48</v>
      </c>
      <c r="AT86" s="43">
        <v>21</v>
      </c>
      <c r="AU86" s="146">
        <v>62</v>
      </c>
      <c r="AV86" s="146">
        <v>30</v>
      </c>
      <c r="AW86" s="97">
        <v>48</v>
      </c>
      <c r="AX86" s="97">
        <v>21</v>
      </c>
      <c r="AY86" s="58">
        <v>62</v>
      </c>
      <c r="AZ86" s="58">
        <v>30</v>
      </c>
      <c r="BA86" s="92">
        <v>51</v>
      </c>
      <c r="BB86" s="92">
        <v>21</v>
      </c>
      <c r="BC86" s="24">
        <v>66</v>
      </c>
      <c r="BD86" s="24">
        <v>30</v>
      </c>
      <c r="CY86" s="25"/>
    </row>
    <row r="87" s="24" customFormat="1" ht="45.85" customHeight="1" spans="1:113">
      <c r="A87" s="100"/>
      <c r="C87" s="36" t="s">
        <v>1295</v>
      </c>
      <c r="D87" s="94"/>
      <c r="E87" s="94"/>
      <c r="F87" s="31"/>
      <c r="G87" s="94"/>
      <c r="H87" s="95"/>
      <c r="I87" s="95"/>
      <c r="K87" s="27"/>
      <c r="N87" s="27"/>
      <c r="O87" s="27"/>
      <c r="W87" s="27"/>
      <c r="Y87" s="27"/>
      <c r="Z87" s="142" t="s">
        <v>1294</v>
      </c>
      <c r="AA87" s="24">
        <v>1</v>
      </c>
      <c r="AC87" s="41"/>
      <c r="AD87" s="41"/>
      <c r="AE87" s="41"/>
      <c r="AF87" s="41"/>
      <c r="AG87" s="41">
        <v>2</v>
      </c>
      <c r="AH87" s="41">
        <v>1</v>
      </c>
      <c r="AI87" s="41">
        <v>2</v>
      </c>
      <c r="AJ87" s="41">
        <v>2</v>
      </c>
      <c r="AK87" s="29">
        <v>2</v>
      </c>
      <c r="AL87" s="29">
        <v>1</v>
      </c>
      <c r="AM87" s="24">
        <v>5</v>
      </c>
      <c r="AN87" s="24">
        <v>5</v>
      </c>
      <c r="AO87" s="87">
        <v>0</v>
      </c>
      <c r="AP87" s="24">
        <v>0</v>
      </c>
      <c r="AQ87" s="103">
        <v>5</v>
      </c>
      <c r="AR87" s="96">
        <v>5</v>
      </c>
      <c r="AS87" s="96">
        <v>0</v>
      </c>
      <c r="AT87" s="96">
        <v>0</v>
      </c>
      <c r="AU87" s="24">
        <v>5</v>
      </c>
      <c r="AV87" s="24">
        <v>5</v>
      </c>
      <c r="AW87" s="24">
        <v>0</v>
      </c>
      <c r="AX87" s="24">
        <v>0</v>
      </c>
      <c r="AY87" s="58">
        <v>5</v>
      </c>
      <c r="AZ87" s="58">
        <v>5</v>
      </c>
      <c r="BA87" s="24">
        <v>0</v>
      </c>
      <c r="BB87" s="24">
        <v>0</v>
      </c>
      <c r="BC87" s="24">
        <v>5</v>
      </c>
      <c r="BD87" s="24">
        <v>5</v>
      </c>
      <c r="CY87" s="25"/>
    </row>
    <row r="88" s="24" customFormat="1" ht="22" customHeight="1" spans="1:113">
      <c r="A88" s="147" t="s">
        <v>1296</v>
      </c>
      <c r="B88" s="24">
        <v>99</v>
      </c>
      <c r="C88" s="148" t="s">
        <v>1297</v>
      </c>
      <c r="D88" s="86" t="s">
        <v>13</v>
      </c>
      <c r="E88" s="94" t="s">
        <v>405</v>
      </c>
      <c r="F88" s="149" t="s">
        <v>125</v>
      </c>
      <c r="G88" s="86" t="s">
        <v>1298</v>
      </c>
      <c r="H88" s="113">
        <v>13922567495</v>
      </c>
      <c r="I88" s="113">
        <v>667495</v>
      </c>
      <c r="J88" s="86" t="s">
        <v>131</v>
      </c>
      <c r="K88" s="114">
        <v>13535958668</v>
      </c>
      <c r="L88" s="113">
        <v>6468</v>
      </c>
      <c r="N88" s="27"/>
      <c r="O88" s="27" t="s">
        <v>723</v>
      </c>
      <c r="Q88" s="24" t="s">
        <v>408</v>
      </c>
      <c r="R88" s="24" t="s">
        <v>418</v>
      </c>
      <c r="S88" s="24" t="s">
        <v>418</v>
      </c>
      <c r="U88" s="94"/>
      <c r="V88" s="94" t="s">
        <v>724</v>
      </c>
      <c r="W88" s="52" t="s">
        <v>725</v>
      </c>
      <c r="X88" s="94" t="s">
        <v>726</v>
      </c>
      <c r="Y88" s="52" t="s">
        <v>727</v>
      </c>
      <c r="Z88" s="27" t="s">
        <v>129</v>
      </c>
      <c r="AA88" s="24">
        <v>40</v>
      </c>
      <c r="AC88" s="150">
        <v>2</v>
      </c>
      <c r="AD88" s="150">
        <v>1</v>
      </c>
      <c r="AE88" s="150">
        <v>6</v>
      </c>
      <c r="AF88" s="150">
        <v>13</v>
      </c>
      <c r="AG88" s="151">
        <v>4</v>
      </c>
      <c r="AH88" s="151">
        <v>5</v>
      </c>
      <c r="AI88" s="151">
        <v>4</v>
      </c>
      <c r="AJ88" s="151">
        <v>8</v>
      </c>
      <c r="AK88" s="29">
        <v>43</v>
      </c>
      <c r="AL88" s="29">
        <v>20</v>
      </c>
      <c r="AM88" s="150">
        <v>101</v>
      </c>
      <c r="AN88" s="150">
        <v>73</v>
      </c>
      <c r="AO88" s="152">
        <v>82</v>
      </c>
      <c r="AP88" s="153">
        <v>48</v>
      </c>
      <c r="AQ88" s="154">
        <v>90</v>
      </c>
      <c r="AR88" s="155">
        <v>56</v>
      </c>
      <c r="AS88" s="43">
        <v>77</v>
      </c>
      <c r="AT88" s="43">
        <v>50</v>
      </c>
      <c r="AU88" s="146">
        <v>86</v>
      </c>
      <c r="AV88" s="146">
        <v>60</v>
      </c>
      <c r="AW88" s="97">
        <v>92</v>
      </c>
      <c r="AX88" s="97">
        <v>67</v>
      </c>
      <c r="AY88" s="58">
        <v>83</v>
      </c>
      <c r="AZ88" s="58">
        <v>65</v>
      </c>
      <c r="BA88" s="92">
        <v>81</v>
      </c>
      <c r="BB88" s="92">
        <v>69</v>
      </c>
      <c r="BC88" s="24">
        <v>101</v>
      </c>
      <c r="BD88" s="24">
        <v>123</v>
      </c>
      <c r="DI88" s="25"/>
    </row>
    <row r="89" s="24" customFormat="1" customHeight="1" spans="1:113">
      <c r="A89" s="147"/>
      <c r="B89" s="24">
        <v>100</v>
      </c>
      <c r="C89" s="148" t="s">
        <v>1299</v>
      </c>
      <c r="D89" s="24" t="s">
        <v>13</v>
      </c>
      <c r="E89" s="94" t="s">
        <v>405</v>
      </c>
      <c r="F89" s="26"/>
      <c r="G89" s="94"/>
      <c r="H89" s="52"/>
      <c r="J89" s="24" t="s">
        <v>717</v>
      </c>
      <c r="K89" s="27"/>
      <c r="N89" s="27"/>
      <c r="O89" s="27" t="s">
        <v>716</v>
      </c>
      <c r="R89" s="24" t="s">
        <v>409</v>
      </c>
      <c r="V89" s="24" t="s">
        <v>717</v>
      </c>
      <c r="W89" s="27" t="s">
        <v>718</v>
      </c>
      <c r="Y89" s="27"/>
      <c r="Z89" s="27"/>
      <c r="AA89" s="24">
        <v>6</v>
      </c>
      <c r="AE89" s="150">
        <v>20</v>
      </c>
      <c r="AG89" s="150">
        <v>15</v>
      </c>
      <c r="AH89" s="150"/>
      <c r="AI89" s="150">
        <v>20</v>
      </c>
      <c r="AJ89" s="150">
        <v>7</v>
      </c>
      <c r="AK89" s="29">
        <v>12</v>
      </c>
      <c r="AL89" s="29">
        <v>7</v>
      </c>
      <c r="AM89" s="150">
        <v>14</v>
      </c>
      <c r="AN89" s="150">
        <v>6</v>
      </c>
      <c r="AO89" s="152">
        <v>14</v>
      </c>
      <c r="AP89" s="153">
        <v>4</v>
      </c>
      <c r="AQ89" s="154">
        <v>16</v>
      </c>
      <c r="AR89" s="155">
        <v>8</v>
      </c>
      <c r="AS89" s="43">
        <v>13</v>
      </c>
      <c r="AT89" s="43">
        <v>5</v>
      </c>
      <c r="AU89" s="146">
        <v>13</v>
      </c>
      <c r="AV89" s="146">
        <v>5</v>
      </c>
      <c r="AW89" s="97">
        <v>13</v>
      </c>
      <c r="AX89" s="97">
        <v>5</v>
      </c>
      <c r="AY89" s="58">
        <v>16</v>
      </c>
      <c r="AZ89" s="58">
        <v>8</v>
      </c>
      <c r="BA89" s="92">
        <v>13</v>
      </c>
      <c r="BB89" s="92">
        <v>5</v>
      </c>
      <c r="BC89" s="24">
        <v>16</v>
      </c>
      <c r="BD89" s="24">
        <v>8</v>
      </c>
      <c r="CX89" s="25"/>
      <c r="DI89" s="25"/>
    </row>
    <row r="90" s="24" customFormat="1" customHeight="1" spans="1:113">
      <c r="A90" s="147"/>
      <c r="B90" s="24">
        <v>101</v>
      </c>
      <c r="C90" s="148" t="s">
        <v>1300</v>
      </c>
      <c r="D90" s="94"/>
      <c r="E90" s="94"/>
      <c r="F90" s="31"/>
      <c r="G90" s="94"/>
      <c r="H90" s="52"/>
      <c r="K90" s="27"/>
      <c r="N90" s="27"/>
      <c r="O90" s="27"/>
      <c r="W90" s="27"/>
      <c r="Y90" s="39"/>
      <c r="Z90" s="39"/>
      <c r="AK90" s="29"/>
      <c r="AL90" s="29"/>
      <c r="AO90" s="87"/>
      <c r="AP90" s="102"/>
      <c r="AQ90" s="156"/>
      <c r="AR90" s="145"/>
    </row>
    <row r="91" s="25" customFormat="1" customHeight="1" spans="1:113">
      <c r="A91" s="147"/>
      <c r="B91" s="25">
        <v>102</v>
      </c>
      <c r="C91" s="36" t="s">
        <v>138</v>
      </c>
      <c r="D91" s="157" t="s">
        <v>732</v>
      </c>
      <c r="E91" s="158"/>
      <c r="F91" s="159" t="s">
        <v>125</v>
      </c>
      <c r="G91" s="157" t="s">
        <v>1301</v>
      </c>
      <c r="H91" s="160">
        <v>13727175518</v>
      </c>
      <c r="I91" s="160">
        <v>635518</v>
      </c>
      <c r="J91" s="157" t="s">
        <v>1302</v>
      </c>
      <c r="K91" s="161">
        <v>13432705508</v>
      </c>
      <c r="L91" s="160">
        <v>655508</v>
      </c>
      <c r="M91" s="107"/>
      <c r="N91" s="108"/>
      <c r="O91" s="108" t="s">
        <v>626</v>
      </c>
      <c r="Q91" s="25" t="s">
        <v>695</v>
      </c>
      <c r="R91" s="25" t="s">
        <v>418</v>
      </c>
      <c r="V91" s="25" t="s">
        <v>485</v>
      </c>
      <c r="W91" s="109"/>
      <c r="X91" s="25" t="s">
        <v>733</v>
      </c>
      <c r="Y91" s="25">
        <v>13620516837</v>
      </c>
      <c r="Z91" s="39" t="s">
        <v>1303</v>
      </c>
      <c r="AA91" s="24">
        <v>39</v>
      </c>
      <c r="AC91" s="150">
        <v>39</v>
      </c>
      <c r="AD91" s="150">
        <v>78</v>
      </c>
      <c r="AE91" s="150">
        <v>57</v>
      </c>
      <c r="AF91" s="150">
        <v>102</v>
      </c>
      <c r="AG91" s="151">
        <v>42</v>
      </c>
      <c r="AH91" s="151">
        <v>75</v>
      </c>
      <c r="AI91" s="151">
        <v>54</v>
      </c>
      <c r="AJ91" s="151">
        <v>104</v>
      </c>
      <c r="AK91" s="29">
        <v>41</v>
      </c>
      <c r="AL91" s="29">
        <v>76</v>
      </c>
      <c r="AM91" s="150">
        <v>52</v>
      </c>
      <c r="AN91" s="162">
        <v>104</v>
      </c>
      <c r="AO91" s="152">
        <v>41</v>
      </c>
      <c r="AP91" s="153">
        <v>76</v>
      </c>
      <c r="AQ91" s="163">
        <v>52</v>
      </c>
      <c r="AR91" s="162">
        <v>104</v>
      </c>
      <c r="AS91" s="104">
        <v>41</v>
      </c>
      <c r="AT91" s="104">
        <v>78</v>
      </c>
      <c r="AU91" s="164">
        <v>41</v>
      </c>
      <c r="AV91" s="164">
        <v>78</v>
      </c>
      <c r="AW91" s="165">
        <v>41</v>
      </c>
      <c r="AX91" s="165">
        <v>78</v>
      </c>
      <c r="AY91" s="166">
        <v>52</v>
      </c>
      <c r="AZ91" s="166">
        <v>104</v>
      </c>
      <c r="BA91" s="167">
        <v>43</v>
      </c>
      <c r="BB91" s="167">
        <v>86</v>
      </c>
      <c r="BC91" s="25">
        <v>52</v>
      </c>
      <c r="BD91" s="25">
        <v>104</v>
      </c>
    </row>
    <row r="92" s="24" customFormat="1" customHeight="1" spans="1:113">
      <c r="A92" s="147"/>
      <c r="B92" s="24">
        <v>103</v>
      </c>
      <c r="C92" s="35" t="s">
        <v>737</v>
      </c>
      <c r="F92" s="26"/>
      <c r="J92" s="24" t="s">
        <v>738</v>
      </c>
      <c r="K92" s="27" t="s">
        <v>739</v>
      </c>
      <c r="N92" s="27"/>
      <c r="O92" s="27"/>
      <c r="W92" s="27"/>
      <c r="X92" s="24" t="s">
        <v>487</v>
      </c>
      <c r="Y92" s="27" t="s">
        <v>740</v>
      </c>
      <c r="Z92" s="39" t="s">
        <v>1304</v>
      </c>
      <c r="AA92" s="24">
        <v>8</v>
      </c>
      <c r="AC92" s="150">
        <v>8</v>
      </c>
      <c r="AD92" s="150">
        <v>10</v>
      </c>
      <c r="AE92" s="150">
        <v>13</v>
      </c>
      <c r="AF92" s="150">
        <v>18</v>
      </c>
      <c r="AG92" s="150">
        <v>10</v>
      </c>
      <c r="AH92" s="150">
        <v>11</v>
      </c>
      <c r="AI92" s="150">
        <v>10</v>
      </c>
      <c r="AJ92" s="150">
        <v>18</v>
      </c>
      <c r="AK92" s="29">
        <v>10</v>
      </c>
      <c r="AL92" s="29">
        <v>11</v>
      </c>
      <c r="AM92" s="150">
        <v>10</v>
      </c>
      <c r="AN92" s="150">
        <v>24</v>
      </c>
      <c r="AO92" s="152">
        <v>10</v>
      </c>
      <c r="AP92" s="153">
        <v>14</v>
      </c>
      <c r="AQ92" s="154">
        <v>12</v>
      </c>
      <c r="AR92" s="155">
        <v>20</v>
      </c>
      <c r="AS92" s="43">
        <v>11</v>
      </c>
      <c r="AT92" s="43">
        <v>13</v>
      </c>
      <c r="AU92" s="146">
        <v>11</v>
      </c>
      <c r="AV92" s="146">
        <v>13</v>
      </c>
      <c r="AW92" s="97">
        <v>11</v>
      </c>
      <c r="AX92" s="97">
        <v>13</v>
      </c>
      <c r="AY92" s="58">
        <v>11</v>
      </c>
      <c r="AZ92" s="58">
        <v>21</v>
      </c>
      <c r="BA92" s="92">
        <v>9</v>
      </c>
      <c r="BB92" s="92">
        <v>23</v>
      </c>
      <c r="BC92" s="24">
        <v>11</v>
      </c>
      <c r="BD92" s="24">
        <v>21</v>
      </c>
      <c r="CY92" s="25"/>
      <c r="DI92" s="25"/>
    </row>
    <row r="93" s="24" customFormat="1" customHeight="1" spans="1:113">
      <c r="A93" s="147"/>
      <c r="B93" s="24">
        <v>104</v>
      </c>
      <c r="C93" s="36" t="s">
        <v>1305</v>
      </c>
      <c r="D93" s="94" t="s">
        <v>492</v>
      </c>
      <c r="E93" s="94" t="s">
        <v>405</v>
      </c>
      <c r="F93" s="31"/>
      <c r="G93" s="94"/>
      <c r="H93" s="95"/>
      <c r="I93" s="95"/>
      <c r="J93" s="94" t="s">
        <v>745</v>
      </c>
      <c r="K93" s="52" t="s">
        <v>746</v>
      </c>
      <c r="L93" s="95"/>
      <c r="M93" s="52"/>
      <c r="O93" s="52"/>
      <c r="Q93" s="24" t="s">
        <v>408</v>
      </c>
      <c r="W93" s="27"/>
      <c r="X93" s="24" t="s">
        <v>745</v>
      </c>
      <c r="Y93" s="27" t="s">
        <v>746</v>
      </c>
      <c r="Z93" s="39"/>
      <c r="AA93" s="24">
        <v>6</v>
      </c>
      <c r="AC93" s="150">
        <v>9</v>
      </c>
      <c r="AD93" s="150">
        <v>9</v>
      </c>
      <c r="AE93" s="150">
        <v>5</v>
      </c>
      <c r="AF93" s="150">
        <v>7</v>
      </c>
      <c r="AG93" s="150">
        <v>9</v>
      </c>
      <c r="AH93" s="150">
        <v>9</v>
      </c>
      <c r="AI93" s="150">
        <v>5</v>
      </c>
      <c r="AJ93" s="150">
        <v>7</v>
      </c>
      <c r="AK93" s="29">
        <v>9</v>
      </c>
      <c r="AL93" s="29">
        <v>10</v>
      </c>
      <c r="AM93" s="150">
        <v>5</v>
      </c>
      <c r="AN93" s="150">
        <v>9</v>
      </c>
      <c r="AO93" s="152">
        <v>9</v>
      </c>
      <c r="AP93" s="153">
        <v>10</v>
      </c>
      <c r="AQ93" s="154">
        <v>5</v>
      </c>
      <c r="AR93" s="155">
        <v>9</v>
      </c>
      <c r="AS93" s="43">
        <v>9</v>
      </c>
      <c r="AT93" s="43">
        <v>10</v>
      </c>
      <c r="AU93" s="146">
        <v>9</v>
      </c>
      <c r="AV93" s="146">
        <v>10</v>
      </c>
      <c r="AW93" s="97">
        <v>9</v>
      </c>
      <c r="AX93" s="97">
        <v>10</v>
      </c>
      <c r="AY93" s="58">
        <v>5</v>
      </c>
      <c r="AZ93" s="58">
        <v>9</v>
      </c>
      <c r="BA93" s="92">
        <v>9</v>
      </c>
      <c r="BB93" s="92">
        <v>10</v>
      </c>
      <c r="BC93" s="24">
        <v>5</v>
      </c>
      <c r="BD93" s="24">
        <v>9</v>
      </c>
      <c r="DI93" s="25"/>
    </row>
    <row r="94" s="24" customFormat="1" customHeight="1" spans="1:113">
      <c r="A94" s="147"/>
      <c r="B94" s="24">
        <v>105</v>
      </c>
      <c r="C94" s="36" t="s">
        <v>1306</v>
      </c>
      <c r="D94" s="94"/>
      <c r="E94" s="94"/>
      <c r="F94" s="31"/>
      <c r="G94" s="94"/>
      <c r="H94" s="95"/>
      <c r="I94" s="95"/>
      <c r="J94" s="94"/>
      <c r="K94" s="52"/>
      <c r="L94" s="95"/>
      <c r="M94" s="52"/>
      <c r="O94" s="52"/>
      <c r="W94" s="27"/>
      <c r="Y94" s="27"/>
      <c r="Z94" s="39"/>
      <c r="AA94" s="24"/>
      <c r="AB94" s="24">
        <v>2</v>
      </c>
      <c r="AC94" s="150">
        <v>3</v>
      </c>
      <c r="AD94" s="150"/>
      <c r="AE94" s="150">
        <v>4</v>
      </c>
      <c r="AF94" s="150"/>
      <c r="AG94" s="150">
        <v>6</v>
      </c>
      <c r="AH94" s="150"/>
      <c r="AI94" s="150">
        <v>4</v>
      </c>
      <c r="AJ94" s="150"/>
      <c r="AK94" s="29">
        <v>6</v>
      </c>
      <c r="AL94" s="29"/>
      <c r="AM94" s="150">
        <v>4</v>
      </c>
      <c r="AN94" s="150"/>
      <c r="AO94" s="152">
        <v>6</v>
      </c>
      <c r="AP94" s="153"/>
      <c r="AQ94" s="154">
        <v>4</v>
      </c>
      <c r="AR94" s="155"/>
      <c r="AS94" s="43">
        <v>6</v>
      </c>
      <c r="AT94" s="43"/>
      <c r="AU94" s="146">
        <v>6</v>
      </c>
      <c r="AV94" s="146"/>
      <c r="AW94" s="97">
        <v>6</v>
      </c>
      <c r="AX94" s="97"/>
      <c r="AY94" s="58">
        <v>4</v>
      </c>
      <c r="AZ94" s="58"/>
      <c r="BA94" s="92">
        <v>6</v>
      </c>
      <c r="BB94" s="92"/>
      <c r="BC94" s="24">
        <v>4</v>
      </c>
      <c r="DI94" s="25"/>
    </row>
    <row r="95" s="24" customFormat="1" customHeight="1" spans="1:113">
      <c r="A95" s="147"/>
      <c r="B95" s="24">
        <v>106</v>
      </c>
      <c r="C95" s="36" t="s">
        <v>1307</v>
      </c>
      <c r="D95" s="94"/>
      <c r="E95" s="94"/>
      <c r="F95" s="31"/>
      <c r="G95" s="94"/>
      <c r="H95" s="95"/>
      <c r="I95" s="95"/>
      <c r="J95" s="94" t="s">
        <v>751</v>
      </c>
      <c r="K95" s="52" t="s">
        <v>752</v>
      </c>
      <c r="L95" s="95"/>
      <c r="M95" s="95"/>
      <c r="N95" s="52"/>
      <c r="O95" s="52" t="s">
        <v>753</v>
      </c>
      <c r="W95" s="27"/>
      <c r="X95" s="94" t="s">
        <v>754</v>
      </c>
      <c r="Y95" s="52" t="s">
        <v>755</v>
      </c>
      <c r="Z95" s="39"/>
      <c r="AA95" s="24">
        <v>11</v>
      </c>
      <c r="AC95" s="150">
        <v>12</v>
      </c>
      <c r="AD95" s="150">
        <v>21</v>
      </c>
      <c r="AE95" s="150">
        <v>5</v>
      </c>
      <c r="AF95" s="150">
        <v>17</v>
      </c>
      <c r="AG95" s="151">
        <v>5</v>
      </c>
      <c r="AH95" s="151">
        <v>28</v>
      </c>
      <c r="AI95" s="151">
        <v>5</v>
      </c>
      <c r="AJ95" s="151">
        <v>17</v>
      </c>
      <c r="AK95" s="29">
        <v>10</v>
      </c>
      <c r="AL95" s="29">
        <v>23</v>
      </c>
      <c r="AM95" s="150">
        <v>5</v>
      </c>
      <c r="AN95" s="150">
        <v>17</v>
      </c>
      <c r="AO95" s="152">
        <v>10</v>
      </c>
      <c r="AP95" s="153">
        <v>23</v>
      </c>
      <c r="AQ95" s="154">
        <v>5</v>
      </c>
      <c r="AR95" s="155">
        <v>17</v>
      </c>
      <c r="AS95" s="43">
        <v>10</v>
      </c>
      <c r="AT95" s="43">
        <v>23</v>
      </c>
      <c r="AU95" s="146">
        <v>10</v>
      </c>
      <c r="AV95" s="146">
        <v>23</v>
      </c>
      <c r="AW95" s="97">
        <v>10</v>
      </c>
      <c r="AX95" s="97">
        <v>23</v>
      </c>
      <c r="AY95" s="58">
        <v>5</v>
      </c>
      <c r="AZ95" s="58">
        <v>17</v>
      </c>
      <c r="BA95" s="92">
        <v>10</v>
      </c>
      <c r="BB95" s="92">
        <v>23</v>
      </c>
      <c r="BC95" s="24">
        <v>5</v>
      </c>
      <c r="BD95" s="24">
        <v>17</v>
      </c>
      <c r="CU95" s="25"/>
    </row>
    <row r="96" s="24" customFormat="1" customHeight="1" spans="1:113">
      <c r="A96" s="147"/>
      <c r="B96" s="24">
        <v>107</v>
      </c>
      <c r="C96" s="36" t="s">
        <v>1308</v>
      </c>
      <c r="D96" s="94"/>
      <c r="E96" s="94"/>
      <c r="F96" s="31"/>
      <c r="G96" s="94"/>
      <c r="H96" s="95"/>
      <c r="I96" s="95"/>
      <c r="J96" s="94"/>
      <c r="K96" s="52"/>
      <c r="L96" s="95"/>
      <c r="M96" s="95"/>
      <c r="N96" s="52"/>
      <c r="O96" s="52"/>
      <c r="W96" s="27"/>
      <c r="X96" s="94"/>
      <c r="Y96" s="52"/>
      <c r="Z96" s="39"/>
      <c r="AA96" s="24"/>
      <c r="AB96" s="24">
        <v>6</v>
      </c>
      <c r="AC96" s="150">
        <v>17</v>
      </c>
      <c r="AD96" s="150">
        <v>1</v>
      </c>
      <c r="AE96" s="150">
        <v>11</v>
      </c>
      <c r="AF96" s="150">
        <v>1</v>
      </c>
      <c r="AG96" s="151">
        <v>15</v>
      </c>
      <c r="AH96" s="151">
        <v>3</v>
      </c>
      <c r="AI96" s="168">
        <v>11</v>
      </c>
      <c r="AJ96" s="168">
        <v>1</v>
      </c>
      <c r="AK96" s="29">
        <v>12</v>
      </c>
      <c r="AL96" s="29">
        <v>6</v>
      </c>
      <c r="AM96" s="150">
        <v>9</v>
      </c>
      <c r="AN96" s="150">
        <v>3</v>
      </c>
      <c r="AO96" s="169">
        <v>15</v>
      </c>
      <c r="AP96" s="170">
        <v>3</v>
      </c>
      <c r="AQ96" s="155">
        <v>9</v>
      </c>
      <c r="AR96" s="155">
        <v>3</v>
      </c>
      <c r="AS96" s="43">
        <v>15</v>
      </c>
      <c r="AT96" s="43">
        <v>3</v>
      </c>
      <c r="AU96" s="146">
        <v>15</v>
      </c>
      <c r="AV96" s="146">
        <v>3</v>
      </c>
      <c r="AW96" s="97">
        <v>15</v>
      </c>
      <c r="AX96" s="97">
        <v>3</v>
      </c>
      <c r="AY96" s="58">
        <v>9</v>
      </c>
      <c r="AZ96" s="58">
        <v>3</v>
      </c>
      <c r="BA96" s="92">
        <v>15</v>
      </c>
      <c r="BB96" s="92">
        <v>3</v>
      </c>
      <c r="BC96" s="24">
        <v>9</v>
      </c>
      <c r="BD96" s="24">
        <v>3</v>
      </c>
      <c r="CZ96" s="25"/>
    </row>
    <row r="97" s="24" customFormat="1" customHeight="1" spans="1:113">
      <c r="A97" s="147"/>
      <c r="B97" s="24">
        <v>108</v>
      </c>
      <c r="C97" s="36" t="s">
        <v>133</v>
      </c>
      <c r="D97" s="94"/>
      <c r="E97" s="94"/>
      <c r="F97" s="31"/>
      <c r="G97" s="94"/>
      <c r="H97" s="95"/>
      <c r="I97" s="95"/>
      <c r="J97" s="94"/>
      <c r="K97" s="52"/>
      <c r="L97" s="95"/>
      <c r="M97" s="95"/>
      <c r="N97" s="52"/>
      <c r="O97" s="52"/>
      <c r="W97" s="27"/>
      <c r="X97" s="94"/>
      <c r="Y97" s="52"/>
      <c r="Z97" s="24" t="s">
        <v>1309</v>
      </c>
      <c r="AA97" s="24">
        <v>17</v>
      </c>
      <c r="AC97" s="150">
        <v>22</v>
      </c>
      <c r="AD97" s="150">
        <v>17</v>
      </c>
      <c r="AE97" s="150">
        <v>35</v>
      </c>
      <c r="AF97" s="150">
        <v>34</v>
      </c>
      <c r="AG97" s="151">
        <v>32</v>
      </c>
      <c r="AH97" s="151">
        <v>26</v>
      </c>
      <c r="AI97" s="151">
        <v>36</v>
      </c>
      <c r="AJ97" s="151">
        <v>38</v>
      </c>
      <c r="AK97" s="29">
        <v>31</v>
      </c>
      <c r="AL97" s="29">
        <v>32</v>
      </c>
      <c r="AM97" s="150">
        <v>28</v>
      </c>
      <c r="AN97" s="150">
        <v>27</v>
      </c>
      <c r="AO97" s="169">
        <v>33</v>
      </c>
      <c r="AP97" s="169">
        <v>26</v>
      </c>
      <c r="AQ97" s="155">
        <v>30</v>
      </c>
      <c r="AR97" s="155">
        <v>31</v>
      </c>
      <c r="AS97" s="43">
        <v>33</v>
      </c>
      <c r="AT97" s="43">
        <v>28</v>
      </c>
      <c r="AU97" s="146">
        <v>33</v>
      </c>
      <c r="AV97" s="146">
        <v>28</v>
      </c>
      <c r="AW97" s="97">
        <v>33</v>
      </c>
      <c r="AX97" s="97">
        <v>26</v>
      </c>
      <c r="AY97" s="58">
        <v>34</v>
      </c>
      <c r="AZ97" s="58">
        <v>26</v>
      </c>
      <c r="BA97" s="92">
        <v>36</v>
      </c>
      <c r="BB97" s="92">
        <v>23</v>
      </c>
      <c r="BC97" s="24">
        <v>34</v>
      </c>
      <c r="BD97" s="24">
        <v>26</v>
      </c>
      <c r="CW97" s="25"/>
    </row>
    <row r="98" s="24" customFormat="1" customHeight="1" spans="1:113">
      <c r="A98" s="147"/>
      <c r="B98" s="24">
        <v>109</v>
      </c>
      <c r="C98" s="36" t="s">
        <v>768</v>
      </c>
      <c r="D98" s="94" t="s">
        <v>13</v>
      </c>
      <c r="E98" s="94" t="s">
        <v>405</v>
      </c>
      <c r="F98" s="31" t="s">
        <v>120</v>
      </c>
      <c r="G98" s="94" t="s">
        <v>144</v>
      </c>
      <c r="H98" s="95">
        <v>13602923323</v>
      </c>
      <c r="I98" s="95">
        <v>63323</v>
      </c>
      <c r="J98" s="94" t="s">
        <v>144</v>
      </c>
      <c r="K98" s="52">
        <v>13602923323</v>
      </c>
      <c r="L98" s="95">
        <v>63323</v>
      </c>
      <c r="M98" s="95"/>
      <c r="N98" s="52"/>
      <c r="O98" s="52" t="s">
        <v>769</v>
      </c>
      <c r="P98" s="24" t="s">
        <v>770</v>
      </c>
      <c r="Q98" s="24" t="s">
        <v>408</v>
      </c>
      <c r="R98" s="24" t="s">
        <v>771</v>
      </c>
      <c r="V98" s="24" t="s">
        <v>772</v>
      </c>
      <c r="W98" s="27" t="s">
        <v>773</v>
      </c>
      <c r="X98" s="94" t="s">
        <v>774</v>
      </c>
      <c r="Y98" s="52">
        <v>13926628029</v>
      </c>
      <c r="Z98" s="24" t="s">
        <v>144</v>
      </c>
      <c r="AA98" s="24">
        <v>42</v>
      </c>
      <c r="AC98" s="150">
        <v>7</v>
      </c>
      <c r="AD98" s="150">
        <v>8</v>
      </c>
      <c r="AE98" s="150">
        <v>12</v>
      </c>
      <c r="AF98" s="150">
        <v>20</v>
      </c>
      <c r="AG98" s="151">
        <v>50</v>
      </c>
      <c r="AH98" s="151">
        <v>67</v>
      </c>
      <c r="AI98" s="151">
        <v>64</v>
      </c>
      <c r="AJ98" s="151">
        <v>104</v>
      </c>
      <c r="AK98" s="29">
        <v>64</v>
      </c>
      <c r="AL98" s="29">
        <v>104</v>
      </c>
      <c r="AM98" s="150">
        <v>64</v>
      </c>
      <c r="AN98" s="150">
        <v>104</v>
      </c>
      <c r="AO98" s="169">
        <v>57</v>
      </c>
      <c r="AP98" s="169">
        <v>73</v>
      </c>
      <c r="AQ98" s="155">
        <v>67</v>
      </c>
      <c r="AR98" s="155">
        <v>104</v>
      </c>
      <c r="AS98" s="43">
        <v>53</v>
      </c>
      <c r="AT98" s="43">
        <v>73</v>
      </c>
      <c r="AU98" s="146">
        <v>64</v>
      </c>
      <c r="AV98" s="146">
        <v>104</v>
      </c>
      <c r="AW98" s="97">
        <v>53</v>
      </c>
      <c r="AX98" s="97">
        <v>73</v>
      </c>
      <c r="AY98" s="58">
        <v>64</v>
      </c>
      <c r="AZ98" s="58">
        <v>104</v>
      </c>
      <c r="BA98" s="92">
        <v>53</v>
      </c>
      <c r="BB98" s="92">
        <v>73</v>
      </c>
      <c r="BC98" s="24">
        <v>62</v>
      </c>
      <c r="BD98" s="24">
        <v>106</v>
      </c>
      <c r="CK98" s="25"/>
    </row>
    <row r="99" s="24" customFormat="1" ht="20" customHeight="1" spans="1:113">
      <c r="A99" s="147"/>
      <c r="B99" s="24">
        <v>110</v>
      </c>
      <c r="C99" s="36" t="s">
        <v>1310</v>
      </c>
      <c r="D99" s="94" t="s">
        <v>13</v>
      </c>
      <c r="E99" s="94"/>
      <c r="F99" s="31" t="s">
        <v>125</v>
      </c>
      <c r="G99" s="94" t="s">
        <v>147</v>
      </c>
      <c r="H99" s="95">
        <v>15816231318</v>
      </c>
      <c r="I99" s="95">
        <v>661318</v>
      </c>
      <c r="J99" s="94" t="s">
        <v>1311</v>
      </c>
      <c r="K99" s="52">
        <v>13431958817</v>
      </c>
      <c r="L99" s="95">
        <v>68817</v>
      </c>
      <c r="M99" s="95"/>
      <c r="N99" s="52"/>
      <c r="O99" s="52" t="s">
        <v>779</v>
      </c>
      <c r="Q99" s="24" t="s">
        <v>408</v>
      </c>
      <c r="R99" s="24" t="s">
        <v>418</v>
      </c>
      <c r="W99" s="27"/>
      <c r="X99" s="24" t="s">
        <v>780</v>
      </c>
      <c r="Y99" s="27" t="s">
        <v>781</v>
      </c>
      <c r="Z99" s="39" t="s">
        <v>1312</v>
      </c>
      <c r="AA99" s="24">
        <v>15</v>
      </c>
      <c r="AC99" s="150">
        <v>18</v>
      </c>
      <c r="AD99" s="150">
        <v>15</v>
      </c>
      <c r="AE99" s="150">
        <v>29</v>
      </c>
      <c r="AF99" s="150">
        <v>29</v>
      </c>
      <c r="AG99" s="151">
        <v>30</v>
      </c>
      <c r="AH99" s="151">
        <v>18</v>
      </c>
      <c r="AI99" s="151">
        <v>38</v>
      </c>
      <c r="AJ99" s="151">
        <v>26</v>
      </c>
      <c r="AK99" s="29">
        <v>24</v>
      </c>
      <c r="AL99" s="29">
        <v>24</v>
      </c>
      <c r="AM99" s="150">
        <v>34</v>
      </c>
      <c r="AN99" s="150">
        <v>30</v>
      </c>
      <c r="AO99" s="169">
        <v>22</v>
      </c>
      <c r="AP99" s="169">
        <v>26</v>
      </c>
      <c r="AQ99" s="155">
        <v>28</v>
      </c>
      <c r="AR99" s="155">
        <v>39</v>
      </c>
      <c r="AS99" s="43">
        <v>22</v>
      </c>
      <c r="AT99" s="43">
        <v>29</v>
      </c>
      <c r="AU99" s="146">
        <v>28</v>
      </c>
      <c r="AV99" s="146">
        <v>40</v>
      </c>
      <c r="AW99" s="97">
        <v>22</v>
      </c>
      <c r="AX99" s="97">
        <v>29</v>
      </c>
      <c r="AY99" s="58">
        <v>28</v>
      </c>
      <c r="AZ99" s="58">
        <v>40</v>
      </c>
      <c r="BA99" s="92">
        <v>22</v>
      </c>
      <c r="BB99" s="92">
        <v>29</v>
      </c>
      <c r="BC99" s="24">
        <v>28</v>
      </c>
      <c r="BD99" s="24">
        <v>40</v>
      </c>
      <c r="CK99" s="25"/>
    </row>
    <row r="100" s="24" customFormat="1" customHeight="1" spans="1:113">
      <c r="A100" s="147"/>
      <c r="B100" s="24">
        <v>111</v>
      </c>
      <c r="C100" s="35" t="s">
        <v>1313</v>
      </c>
      <c r="F100" s="26"/>
      <c r="K100" s="27"/>
      <c r="N100" s="27"/>
      <c r="O100" s="27"/>
      <c r="W100" s="27"/>
      <c r="X100" s="24" t="s">
        <v>1314</v>
      </c>
      <c r="Y100" s="27" t="s">
        <v>1315</v>
      </c>
      <c r="Z100" s="39"/>
      <c r="AK100" s="29"/>
      <c r="AL100" s="29"/>
      <c r="AQ100" s="145"/>
      <c r="AR100" s="145"/>
    </row>
    <row r="101" s="24" customFormat="1" customHeight="1" spans="1:113">
      <c r="A101" s="147"/>
      <c r="B101" s="24">
        <v>112</v>
      </c>
      <c r="C101" s="35" t="s">
        <v>1316</v>
      </c>
      <c r="F101" s="26"/>
      <c r="K101" s="27"/>
      <c r="N101" s="27"/>
      <c r="O101" s="27"/>
      <c r="W101" s="27"/>
      <c r="X101" s="24" t="s">
        <v>793</v>
      </c>
      <c r="Y101" s="27" t="s">
        <v>794</v>
      </c>
      <c r="Z101" s="39"/>
      <c r="AC101" s="29"/>
      <c r="AD101" s="29">
        <v>3</v>
      </c>
      <c r="AF101" s="29">
        <v>2</v>
      </c>
      <c r="AH101" s="24">
        <v>3</v>
      </c>
      <c r="AJ101" s="24">
        <v>0</v>
      </c>
      <c r="AK101" s="29"/>
      <c r="AL101" s="29"/>
      <c r="AQ101" s="145"/>
      <c r="AR101" s="145"/>
    </row>
    <row r="102" s="24" customFormat="1" customHeight="1" spans="1:113">
      <c r="A102" s="171"/>
      <c r="B102" s="24">
        <v>113</v>
      </c>
      <c r="C102" s="35" t="s">
        <v>1317</v>
      </c>
      <c r="D102" s="94" t="s">
        <v>492</v>
      </c>
      <c r="E102" s="94"/>
      <c r="F102" s="31"/>
      <c r="G102" s="94"/>
      <c r="H102" s="95"/>
      <c r="I102" s="95"/>
      <c r="J102" s="24" t="s">
        <v>799</v>
      </c>
      <c r="K102" s="27">
        <v>18826601199</v>
      </c>
      <c r="L102" s="95"/>
      <c r="M102" s="95"/>
      <c r="N102" s="52"/>
      <c r="O102" s="52" t="s">
        <v>406</v>
      </c>
      <c r="R102" s="24" t="s">
        <v>418</v>
      </c>
      <c r="V102" s="24" t="s">
        <v>799</v>
      </c>
      <c r="W102" s="27" t="s">
        <v>800</v>
      </c>
      <c r="Z102" s="39"/>
      <c r="AK102" s="29"/>
      <c r="AL102" s="29"/>
      <c r="AQ102" s="145"/>
      <c r="AR102" s="145"/>
      <c r="CK102" s="25"/>
    </row>
    <row r="103" s="24" customFormat="1" customHeight="1" spans="1:113">
      <c r="A103" s="143" t="s">
        <v>1318</v>
      </c>
      <c r="B103" s="24">
        <v>116</v>
      </c>
      <c r="C103" s="35" t="s">
        <v>1319</v>
      </c>
      <c r="E103" s="94" t="s">
        <v>405</v>
      </c>
      <c r="F103" s="26"/>
      <c r="J103" s="24" t="s">
        <v>627</v>
      </c>
      <c r="K103" s="27">
        <v>13828592885</v>
      </c>
      <c r="L103" s="24" t="s">
        <v>805</v>
      </c>
      <c r="N103" s="27"/>
      <c r="O103" s="27" t="s">
        <v>806</v>
      </c>
      <c r="Q103" s="24" t="s">
        <v>408</v>
      </c>
      <c r="W103" s="27"/>
      <c r="X103" s="24" t="s">
        <v>807</v>
      </c>
      <c r="Y103" s="27" t="s">
        <v>808</v>
      </c>
      <c r="Z103" s="27" t="s">
        <v>1320</v>
      </c>
      <c r="AC103" s="150">
        <v>15</v>
      </c>
      <c r="AD103" s="150">
        <v>15</v>
      </c>
      <c r="AE103" s="150">
        <v>20</v>
      </c>
      <c r="AF103" s="150">
        <v>20</v>
      </c>
      <c r="AG103" s="150">
        <v>20</v>
      </c>
      <c r="AH103" s="150">
        <v>44</v>
      </c>
      <c r="AI103" s="150">
        <v>15</v>
      </c>
      <c r="AJ103" s="150">
        <v>33</v>
      </c>
      <c r="AK103" s="29">
        <v>20</v>
      </c>
      <c r="AL103" s="29">
        <v>44</v>
      </c>
      <c r="AM103" s="150">
        <v>15</v>
      </c>
      <c r="AN103" s="150">
        <v>33</v>
      </c>
      <c r="AO103" s="169">
        <v>20</v>
      </c>
      <c r="AP103" s="169">
        <v>44</v>
      </c>
      <c r="AQ103" s="155">
        <v>15</v>
      </c>
      <c r="AR103" s="155">
        <v>33</v>
      </c>
      <c r="AS103" s="172">
        <v>15</v>
      </c>
      <c r="AT103" s="172">
        <v>33</v>
      </c>
      <c r="AU103" s="173">
        <v>20</v>
      </c>
      <c r="AV103" s="173">
        <v>44</v>
      </c>
      <c r="AW103" s="174">
        <v>20</v>
      </c>
      <c r="AX103" s="174">
        <v>40</v>
      </c>
      <c r="AY103" s="58">
        <v>10</v>
      </c>
      <c r="AZ103" s="58">
        <v>20</v>
      </c>
      <c r="BA103" s="92">
        <v>20</v>
      </c>
      <c r="BB103" s="92">
        <v>40</v>
      </c>
      <c r="BC103" s="24">
        <v>14</v>
      </c>
      <c r="BD103" s="24">
        <v>16</v>
      </c>
      <c r="CY103" s="25"/>
    </row>
    <row r="104" s="24" customFormat="1" customHeight="1" spans="1:113">
      <c r="A104" s="143"/>
      <c r="B104" s="24">
        <v>117</v>
      </c>
      <c r="C104" s="35" t="s">
        <v>1321</v>
      </c>
      <c r="E104" s="94"/>
      <c r="F104" s="26"/>
      <c r="K104" s="27"/>
      <c r="N104" s="27"/>
      <c r="O104" s="27"/>
      <c r="W104" s="27"/>
      <c r="Y104" s="27"/>
      <c r="Z104" s="27"/>
      <c r="AK104" s="29"/>
      <c r="AL104" s="29"/>
      <c r="AQ104" s="145"/>
      <c r="AR104" s="145"/>
    </row>
    <row r="105" s="24" customFormat="1" customHeight="1" spans="1:113">
      <c r="A105" s="143"/>
      <c r="B105" s="24">
        <v>119</v>
      </c>
      <c r="C105" s="35" t="s">
        <v>1322</v>
      </c>
      <c r="E105" s="94" t="s">
        <v>405</v>
      </c>
      <c r="F105" s="26"/>
      <c r="J105" s="24" t="s">
        <v>441</v>
      </c>
      <c r="K105" s="24">
        <v>13729629919</v>
      </c>
      <c r="M105" s="24" t="s">
        <v>817</v>
      </c>
      <c r="N105" s="27" t="s">
        <v>818</v>
      </c>
      <c r="O105" s="27" t="s">
        <v>819</v>
      </c>
      <c r="P105" s="24" t="s">
        <v>820</v>
      </c>
      <c r="Q105" s="24" t="s">
        <v>408</v>
      </c>
      <c r="W105" s="27"/>
      <c r="Y105" s="27"/>
      <c r="Z105" s="39"/>
      <c r="AA105" s="24"/>
      <c r="AB105" s="24">
        <v>4</v>
      </c>
      <c r="AC105" s="150">
        <v>6</v>
      </c>
      <c r="AD105" s="150"/>
      <c r="AE105" s="150">
        <v>4</v>
      </c>
      <c r="AF105" s="150"/>
      <c r="AG105" s="150">
        <v>18</v>
      </c>
      <c r="AH105" s="150"/>
      <c r="AI105" s="150">
        <v>12</v>
      </c>
      <c r="AJ105" s="150"/>
      <c r="AK105" s="29">
        <v>12</v>
      </c>
      <c r="AL105" s="29"/>
      <c r="AM105" s="150">
        <v>16</v>
      </c>
      <c r="AN105" s="150"/>
      <c r="AO105" s="169">
        <v>12</v>
      </c>
      <c r="AP105" s="150"/>
      <c r="AQ105" s="155">
        <v>16</v>
      </c>
      <c r="AR105" s="155"/>
      <c r="AS105" s="43">
        <v>12</v>
      </c>
      <c r="AT105" s="43"/>
      <c r="AU105" s="146">
        <v>16</v>
      </c>
      <c r="AV105" s="146"/>
      <c r="AW105" s="97">
        <v>12</v>
      </c>
      <c r="AX105" s="97"/>
      <c r="AY105" s="58">
        <v>16</v>
      </c>
      <c r="AZ105" s="58"/>
      <c r="BA105" s="92">
        <v>12</v>
      </c>
      <c r="BC105" s="24">
        <v>16</v>
      </c>
      <c r="CZ105" s="25"/>
    </row>
    <row r="106" s="24" customFormat="1" customHeight="1" spans="1:113">
      <c r="A106" s="143"/>
      <c r="B106" s="24">
        <v>120</v>
      </c>
      <c r="C106" s="35" t="s">
        <v>826</v>
      </c>
      <c r="D106" s="24" t="s">
        <v>13</v>
      </c>
      <c r="E106" s="94" t="s">
        <v>405</v>
      </c>
      <c r="F106" s="149" t="s">
        <v>125</v>
      </c>
      <c r="G106" s="86" t="s">
        <v>186</v>
      </c>
      <c r="H106" s="113">
        <v>13620579034</v>
      </c>
      <c r="I106" s="113">
        <v>619034</v>
      </c>
      <c r="J106" s="86" t="s">
        <v>827</v>
      </c>
      <c r="K106" s="114">
        <v>13431981807</v>
      </c>
      <c r="L106" s="113">
        <v>621807</v>
      </c>
      <c r="M106" s="24" t="s">
        <v>774</v>
      </c>
      <c r="N106" s="27" t="s">
        <v>828</v>
      </c>
      <c r="O106" s="27" t="s">
        <v>518</v>
      </c>
      <c r="P106" s="24" t="s">
        <v>829</v>
      </c>
      <c r="Q106" s="24" t="s">
        <v>408</v>
      </c>
      <c r="R106" s="24" t="s">
        <v>418</v>
      </c>
      <c r="S106" s="24" t="s">
        <v>418</v>
      </c>
      <c r="V106" s="24" t="s">
        <v>830</v>
      </c>
      <c r="W106" s="39" t="s">
        <v>831</v>
      </c>
      <c r="Z106" s="52" t="s">
        <v>1323</v>
      </c>
      <c r="AA106" s="24">
        <v>11</v>
      </c>
      <c r="AC106" s="150">
        <v>19</v>
      </c>
      <c r="AD106" s="150">
        <v>18</v>
      </c>
      <c r="AE106" s="150">
        <v>35</v>
      </c>
      <c r="AF106" s="150">
        <v>37</v>
      </c>
      <c r="AG106" s="41">
        <v>15</v>
      </c>
      <c r="AH106" s="41">
        <v>9</v>
      </c>
      <c r="AI106" s="151">
        <v>19</v>
      </c>
      <c r="AJ106" s="151">
        <v>17</v>
      </c>
      <c r="AK106" s="29">
        <v>19</v>
      </c>
      <c r="AL106" s="29">
        <v>11</v>
      </c>
      <c r="AM106" s="150">
        <v>25</v>
      </c>
      <c r="AN106" s="150">
        <v>21</v>
      </c>
      <c r="AO106" s="169">
        <v>24</v>
      </c>
      <c r="AP106" s="169">
        <v>17</v>
      </c>
      <c r="AQ106" s="155">
        <v>22</v>
      </c>
      <c r="AR106" s="155">
        <v>18</v>
      </c>
      <c r="AS106" s="43">
        <v>19</v>
      </c>
      <c r="AT106" s="43">
        <v>14</v>
      </c>
      <c r="AU106" s="146">
        <v>22</v>
      </c>
      <c r="AV106" s="146">
        <v>22</v>
      </c>
      <c r="AW106" s="97">
        <v>19</v>
      </c>
      <c r="AX106" s="97">
        <v>14</v>
      </c>
      <c r="AY106" s="58">
        <v>23</v>
      </c>
      <c r="AZ106" s="58">
        <v>25</v>
      </c>
      <c r="BA106" s="92">
        <v>20</v>
      </c>
      <c r="BB106" s="92">
        <v>16</v>
      </c>
      <c r="BC106" s="24">
        <v>23</v>
      </c>
      <c r="BD106" s="24">
        <v>25</v>
      </c>
      <c r="CW106" s="25"/>
    </row>
    <row r="107" s="24" customFormat="1" customHeight="1" spans="1:113">
      <c r="A107" s="143"/>
      <c r="B107" s="24">
        <v>121</v>
      </c>
      <c r="C107" s="36" t="s">
        <v>1324</v>
      </c>
      <c r="D107" s="94" t="s">
        <v>13</v>
      </c>
      <c r="E107" s="94" t="s">
        <v>405</v>
      </c>
      <c r="F107" s="31" t="s">
        <v>120</v>
      </c>
      <c r="G107" s="94" t="s">
        <v>240</v>
      </c>
      <c r="H107" s="95">
        <v>13927696345</v>
      </c>
      <c r="I107" s="95">
        <v>666345</v>
      </c>
      <c r="J107" s="94" t="s">
        <v>240</v>
      </c>
      <c r="K107" s="95">
        <v>13927696345</v>
      </c>
      <c r="L107" s="95">
        <v>666345</v>
      </c>
      <c r="M107" s="24" t="s">
        <v>419</v>
      </c>
      <c r="N107" s="27" t="s">
        <v>837</v>
      </c>
      <c r="O107" s="27" t="s">
        <v>406</v>
      </c>
      <c r="P107" s="24" t="s">
        <v>838</v>
      </c>
      <c r="Q107" s="24" t="s">
        <v>408</v>
      </c>
      <c r="R107" s="24" t="s">
        <v>418</v>
      </c>
      <c r="V107" s="24" t="s">
        <v>419</v>
      </c>
      <c r="W107" s="27" t="s">
        <v>837</v>
      </c>
      <c r="Y107" s="27"/>
      <c r="Z107" s="27" t="s">
        <v>1325</v>
      </c>
      <c r="AA107" s="24">
        <v>17</v>
      </c>
      <c r="AC107" s="150">
        <v>21</v>
      </c>
      <c r="AD107" s="150">
        <v>27</v>
      </c>
      <c r="AE107" s="150">
        <v>35</v>
      </c>
      <c r="AF107" s="150">
        <v>36</v>
      </c>
      <c r="AG107" s="151">
        <v>24</v>
      </c>
      <c r="AH107" s="151">
        <v>24</v>
      </c>
      <c r="AI107" s="151">
        <v>35</v>
      </c>
      <c r="AJ107" s="151">
        <v>36</v>
      </c>
      <c r="AK107" s="29">
        <v>24</v>
      </c>
      <c r="AL107" s="29">
        <v>27</v>
      </c>
      <c r="AM107" s="150">
        <v>32</v>
      </c>
      <c r="AN107" s="150">
        <v>36</v>
      </c>
      <c r="AO107" s="169">
        <v>24</v>
      </c>
      <c r="AP107" s="169">
        <v>17</v>
      </c>
      <c r="AQ107" s="155">
        <v>32</v>
      </c>
      <c r="AR107" s="155">
        <v>46</v>
      </c>
      <c r="AS107" s="43">
        <v>24</v>
      </c>
      <c r="AT107" s="43">
        <v>27</v>
      </c>
      <c r="AU107" s="146">
        <v>32</v>
      </c>
      <c r="AV107" s="146">
        <v>36</v>
      </c>
      <c r="AW107" s="97">
        <v>24</v>
      </c>
      <c r="AX107" s="97">
        <v>27</v>
      </c>
      <c r="AY107" s="58">
        <v>32</v>
      </c>
      <c r="AZ107" s="58">
        <v>36</v>
      </c>
      <c r="BA107" s="92">
        <v>21</v>
      </c>
      <c r="BB107" s="92">
        <v>33</v>
      </c>
      <c r="BC107" s="24">
        <v>28</v>
      </c>
      <c r="BD107" s="24">
        <v>40</v>
      </c>
      <c r="CY107" s="25"/>
      <c r="DI107" s="25"/>
    </row>
    <row r="108" s="24" customFormat="1" customHeight="1" spans="1:113">
      <c r="A108" s="143"/>
      <c r="B108" s="24">
        <v>125</v>
      </c>
      <c r="C108" s="35" t="s">
        <v>1326</v>
      </c>
      <c r="E108" s="94" t="s">
        <v>405</v>
      </c>
      <c r="F108" s="26"/>
      <c r="J108" s="86" t="s">
        <v>854</v>
      </c>
      <c r="K108" s="52">
        <v>15816200780</v>
      </c>
      <c r="N108" s="27"/>
      <c r="O108" s="27" t="s">
        <v>855</v>
      </c>
      <c r="P108" s="24" t="s">
        <v>856</v>
      </c>
      <c r="Q108" s="24" t="s">
        <v>408</v>
      </c>
      <c r="W108" s="27"/>
      <c r="X108" s="24" t="s">
        <v>857</v>
      </c>
      <c r="Y108" s="27" t="s">
        <v>858</v>
      </c>
      <c r="Z108" s="52"/>
      <c r="AA108" s="24">
        <v>10</v>
      </c>
      <c r="AC108" s="150">
        <v>6</v>
      </c>
      <c r="AD108" s="150">
        <v>24</v>
      </c>
      <c r="AE108" s="150">
        <v>4</v>
      </c>
      <c r="AF108" s="150">
        <v>16</v>
      </c>
      <c r="AG108" s="151">
        <v>6</v>
      </c>
      <c r="AH108" s="151">
        <v>24</v>
      </c>
      <c r="AI108" s="151">
        <v>4</v>
      </c>
      <c r="AJ108" s="151">
        <v>16</v>
      </c>
      <c r="AK108" s="29">
        <v>6</v>
      </c>
      <c r="AL108" s="29">
        <v>24</v>
      </c>
      <c r="AM108" s="150">
        <v>4</v>
      </c>
      <c r="AN108" s="150">
        <v>16</v>
      </c>
      <c r="AO108" s="169">
        <v>6</v>
      </c>
      <c r="AP108" s="169">
        <v>24</v>
      </c>
      <c r="AQ108" s="155">
        <v>8</v>
      </c>
      <c r="AR108" s="155">
        <v>32</v>
      </c>
      <c r="AS108" s="43">
        <v>4</v>
      </c>
      <c r="AT108" s="43">
        <v>16</v>
      </c>
      <c r="AU108" s="146">
        <v>4</v>
      </c>
      <c r="AV108" s="146">
        <v>16</v>
      </c>
      <c r="AW108" s="97">
        <v>6</v>
      </c>
      <c r="AX108" s="97">
        <v>24</v>
      </c>
      <c r="AY108" s="58">
        <v>4</v>
      </c>
      <c r="AZ108" s="58">
        <v>16</v>
      </c>
      <c r="BA108" s="92">
        <v>6</v>
      </c>
      <c r="BB108" s="92">
        <v>24</v>
      </c>
      <c r="BC108" s="24">
        <v>4</v>
      </c>
      <c r="BD108" s="24">
        <v>16</v>
      </c>
      <c r="DI108" s="25"/>
    </row>
    <row r="109" s="24" customFormat="1" customHeight="1" spans="1:113">
      <c r="A109" s="143"/>
      <c r="B109" s="24">
        <v>126</v>
      </c>
      <c r="C109" s="35" t="s">
        <v>1327</v>
      </c>
      <c r="E109" s="94"/>
      <c r="F109" s="26"/>
      <c r="J109" s="86"/>
      <c r="K109" s="52"/>
      <c r="N109" s="27"/>
      <c r="O109" s="27"/>
      <c r="W109" s="27"/>
      <c r="Y109" s="27"/>
      <c r="Z109" s="52"/>
      <c r="AA109" s="24"/>
      <c r="AB109" s="24">
        <v>19</v>
      </c>
      <c r="AC109" s="89">
        <v>51</v>
      </c>
      <c r="AD109" s="89">
        <v>3</v>
      </c>
      <c r="AE109" s="150">
        <v>18</v>
      </c>
      <c r="AF109" s="150">
        <v>18</v>
      </c>
      <c r="AG109" s="151">
        <v>40</v>
      </c>
      <c r="AH109" s="151">
        <v>17</v>
      </c>
      <c r="AI109" s="151">
        <v>22</v>
      </c>
      <c r="AJ109" s="151">
        <v>16</v>
      </c>
      <c r="AK109" s="29">
        <v>40</v>
      </c>
      <c r="AL109" s="29">
        <v>17</v>
      </c>
      <c r="AM109" s="150">
        <v>22</v>
      </c>
      <c r="AN109" s="150">
        <v>16</v>
      </c>
      <c r="AO109" s="169">
        <v>40</v>
      </c>
      <c r="AP109" s="169">
        <v>17</v>
      </c>
      <c r="AQ109" s="155">
        <v>44</v>
      </c>
      <c r="AR109" s="155">
        <v>32</v>
      </c>
      <c r="AS109" s="43">
        <v>22</v>
      </c>
      <c r="AT109" s="43">
        <v>16</v>
      </c>
      <c r="AU109" s="146">
        <v>22</v>
      </c>
      <c r="AV109" s="146">
        <v>16</v>
      </c>
      <c r="AW109" s="97">
        <v>40</v>
      </c>
      <c r="AX109" s="97">
        <v>17</v>
      </c>
      <c r="AY109" s="58">
        <v>22</v>
      </c>
      <c r="AZ109" s="58">
        <v>16</v>
      </c>
      <c r="BA109" s="92">
        <v>40</v>
      </c>
      <c r="BB109" s="92">
        <v>17</v>
      </c>
      <c r="BC109" s="24">
        <v>22</v>
      </c>
      <c r="BD109" s="24">
        <v>16</v>
      </c>
      <c r="DI109" s="25"/>
    </row>
    <row r="110" s="24" customFormat="1" customHeight="1" spans="1:113">
      <c r="A110" s="143"/>
      <c r="B110" s="24">
        <v>127</v>
      </c>
      <c r="C110" s="35" t="s">
        <v>1328</v>
      </c>
      <c r="F110" s="26"/>
      <c r="K110" s="27"/>
      <c r="N110" s="27"/>
      <c r="O110" s="27"/>
      <c r="W110" s="27"/>
      <c r="Y110" s="27"/>
      <c r="Z110" s="39"/>
      <c r="AA110" s="24">
        <v>10</v>
      </c>
      <c r="AG110" s="24">
        <v>22</v>
      </c>
      <c r="AH110" s="24">
        <v>8</v>
      </c>
      <c r="AI110" s="150">
        <v>13</v>
      </c>
      <c r="AJ110" s="150">
        <v>7</v>
      </c>
      <c r="AK110" s="29">
        <v>13</v>
      </c>
      <c r="AL110" s="29">
        <v>7</v>
      </c>
      <c r="AM110" s="150">
        <v>22</v>
      </c>
      <c r="AN110" s="150">
        <v>8</v>
      </c>
      <c r="AO110" s="169">
        <v>18</v>
      </c>
      <c r="AP110" s="169">
        <v>8</v>
      </c>
      <c r="AQ110" s="155">
        <v>17</v>
      </c>
      <c r="AR110" s="155">
        <v>7</v>
      </c>
      <c r="AS110" s="43">
        <v>18</v>
      </c>
      <c r="AT110" s="43">
        <v>7</v>
      </c>
      <c r="AU110" s="146">
        <v>13</v>
      </c>
      <c r="AV110" s="146">
        <v>7</v>
      </c>
      <c r="AW110" s="97">
        <v>26</v>
      </c>
      <c r="AX110" s="97">
        <v>9</v>
      </c>
      <c r="AY110" s="58">
        <v>13</v>
      </c>
      <c r="AZ110" s="58">
        <v>7</v>
      </c>
      <c r="BA110" s="92">
        <v>21</v>
      </c>
      <c r="BB110" s="92">
        <v>9</v>
      </c>
      <c r="BC110" s="24">
        <v>12</v>
      </c>
      <c r="BD110" s="24">
        <v>8</v>
      </c>
      <c r="CK110" s="25"/>
    </row>
    <row r="111" s="24" customFormat="1" customHeight="1" spans="1:113">
      <c r="A111" s="143"/>
      <c r="B111" s="24">
        <v>128</v>
      </c>
      <c r="C111" s="35" t="s">
        <v>1329</v>
      </c>
      <c r="E111" s="94" t="s">
        <v>405</v>
      </c>
      <c r="F111" s="26"/>
      <c r="J111" s="24" t="s">
        <v>834</v>
      </c>
      <c r="K111" s="27" t="s">
        <v>835</v>
      </c>
      <c r="N111" s="27"/>
      <c r="O111" s="27" t="s">
        <v>753</v>
      </c>
      <c r="P111" s="24" t="s">
        <v>820</v>
      </c>
      <c r="Q111" s="24" t="s">
        <v>408</v>
      </c>
      <c r="V111" s="24" t="s">
        <v>834</v>
      </c>
      <c r="W111" s="27" t="s">
        <v>835</v>
      </c>
      <c r="Y111" s="27"/>
      <c r="Z111" s="27"/>
      <c r="AA111" s="24"/>
      <c r="AB111" s="24">
        <v>3</v>
      </c>
      <c r="AC111" s="150">
        <v>3</v>
      </c>
      <c r="AD111" s="150"/>
      <c r="AG111" s="24">
        <v>18</v>
      </c>
      <c r="AI111" s="150">
        <v>8</v>
      </c>
      <c r="AJ111" s="150"/>
      <c r="AK111" s="29">
        <v>6</v>
      </c>
      <c r="AL111" s="29"/>
      <c r="AM111" s="150">
        <v>9</v>
      </c>
      <c r="AN111" s="150"/>
      <c r="AO111" s="169">
        <v>9</v>
      </c>
      <c r="AP111" s="169"/>
      <c r="AQ111" s="155">
        <v>6</v>
      </c>
      <c r="AR111" s="155"/>
      <c r="AS111" s="43">
        <v>9</v>
      </c>
      <c r="AT111" s="43"/>
      <c r="AU111" s="146">
        <v>6</v>
      </c>
      <c r="AV111" s="146"/>
      <c r="AW111" s="97">
        <v>9</v>
      </c>
      <c r="AX111" s="97"/>
      <c r="AY111" s="58">
        <v>6</v>
      </c>
      <c r="AZ111" s="58"/>
      <c r="BA111" s="92">
        <v>9</v>
      </c>
      <c r="BB111" s="92"/>
      <c r="BC111" s="24">
        <v>6</v>
      </c>
      <c r="CZ111" s="25"/>
    </row>
    <row r="112" s="24" customFormat="1" customHeight="1" spans="1:113">
      <c r="A112" s="143"/>
      <c r="B112" s="24">
        <v>130</v>
      </c>
      <c r="C112" s="36" t="s">
        <v>1330</v>
      </c>
      <c r="D112" s="94"/>
      <c r="E112" s="94"/>
      <c r="F112" s="31"/>
      <c r="G112" s="94"/>
      <c r="H112" s="95"/>
      <c r="I112" s="95"/>
      <c r="J112" s="94"/>
      <c r="K112" s="95"/>
      <c r="L112" s="95"/>
      <c r="N112" s="27"/>
      <c r="O112" s="27"/>
      <c r="W112" s="27"/>
      <c r="Y112" s="27"/>
      <c r="Z112" s="52"/>
      <c r="AK112" s="29"/>
      <c r="AL112" s="29"/>
      <c r="AQ112" s="145"/>
      <c r="AR112" s="145"/>
      <c r="BA112" s="101"/>
      <c r="BB112" s="101"/>
    </row>
    <row r="113" s="24" customFormat="1" customHeight="1" spans="1:103">
      <c r="A113" s="143"/>
      <c r="B113" s="24">
        <v>131</v>
      </c>
      <c r="C113" s="36" t="s">
        <v>166</v>
      </c>
      <c r="D113" s="94" t="s">
        <v>13</v>
      </c>
      <c r="E113" s="94" t="s">
        <v>405</v>
      </c>
      <c r="F113" s="31" t="s">
        <v>120</v>
      </c>
      <c r="G113" s="94" t="s">
        <v>218</v>
      </c>
      <c r="H113" s="95">
        <v>13620593334</v>
      </c>
      <c r="I113" s="95"/>
      <c r="J113" s="94" t="s">
        <v>170</v>
      </c>
      <c r="K113" s="95">
        <v>13679528337</v>
      </c>
      <c r="L113" s="95"/>
      <c r="N113" s="27"/>
      <c r="O113" s="27" t="s">
        <v>600</v>
      </c>
      <c r="Q113" s="24" t="s">
        <v>408</v>
      </c>
      <c r="V113" s="24" t="s">
        <v>1331</v>
      </c>
      <c r="W113" s="27" t="s">
        <v>1332</v>
      </c>
      <c r="X113" s="24" t="s">
        <v>861</v>
      </c>
      <c r="Y113" s="27" t="s">
        <v>862</v>
      </c>
      <c r="Z113" s="52" t="s">
        <v>1333</v>
      </c>
      <c r="AA113" s="24">
        <v>7</v>
      </c>
      <c r="AC113" s="150">
        <v>9</v>
      </c>
      <c r="AD113" s="150">
        <v>9</v>
      </c>
      <c r="AE113" s="150">
        <v>10</v>
      </c>
      <c r="AF113" s="150">
        <v>14</v>
      </c>
      <c r="AG113" s="151">
        <v>12</v>
      </c>
      <c r="AH113" s="151">
        <v>9</v>
      </c>
      <c r="AI113" s="151">
        <v>15</v>
      </c>
      <c r="AJ113" s="151">
        <v>13</v>
      </c>
      <c r="AK113" s="29">
        <v>9</v>
      </c>
      <c r="AL113" s="29">
        <v>12</v>
      </c>
      <c r="AM113" s="150">
        <v>14</v>
      </c>
      <c r="AN113" s="150">
        <v>14</v>
      </c>
      <c r="AO113" s="169">
        <v>8</v>
      </c>
      <c r="AP113" s="169">
        <v>13</v>
      </c>
      <c r="AQ113" s="155">
        <v>10</v>
      </c>
      <c r="AR113" s="155">
        <v>18</v>
      </c>
      <c r="AS113" s="43">
        <v>8</v>
      </c>
      <c r="AT113" s="43">
        <v>13</v>
      </c>
      <c r="AU113" s="146">
        <v>10</v>
      </c>
      <c r="AV113" s="146">
        <v>18</v>
      </c>
      <c r="AW113" s="97">
        <v>8</v>
      </c>
      <c r="AX113" s="97">
        <v>13</v>
      </c>
      <c r="AY113" s="58">
        <v>10</v>
      </c>
      <c r="AZ113" s="59">
        <v>18</v>
      </c>
      <c r="BA113" s="175">
        <v>8</v>
      </c>
      <c r="BB113" s="175">
        <v>13</v>
      </c>
      <c r="BC113" s="176">
        <v>10</v>
      </c>
      <c r="BD113" s="24">
        <v>18</v>
      </c>
      <c r="CY113" s="25"/>
    </row>
    <row r="114" s="24" customFormat="1" ht="40" customHeight="1" spans="1:103">
      <c r="A114" s="143"/>
      <c r="B114" s="24">
        <v>132</v>
      </c>
      <c r="C114" s="36" t="s">
        <v>1334</v>
      </c>
      <c r="D114" s="94"/>
      <c r="E114" s="94"/>
      <c r="F114" s="31"/>
      <c r="G114" s="94"/>
      <c r="H114" s="95"/>
      <c r="I114" s="95"/>
      <c r="J114" s="94"/>
      <c r="K114" s="95"/>
      <c r="L114" s="95"/>
      <c r="N114" s="27"/>
      <c r="O114" s="27"/>
      <c r="W114" s="27"/>
      <c r="Y114" s="27"/>
      <c r="Z114" s="52"/>
      <c r="AK114" s="29"/>
      <c r="AL114" s="29"/>
      <c r="AQ114" s="145"/>
      <c r="AR114" s="145"/>
      <c r="BA114" s="70"/>
      <c r="BB114" s="70"/>
    </row>
    <row r="115" s="24" customFormat="1" customHeight="1" spans="1:103">
      <c r="A115" s="143"/>
      <c r="C115" s="35" t="s">
        <v>1335</v>
      </c>
      <c r="D115" s="94"/>
      <c r="E115" s="94"/>
      <c r="F115" s="31"/>
      <c r="G115" s="94"/>
      <c r="H115" s="95"/>
      <c r="I115" s="95"/>
      <c r="J115" s="94"/>
      <c r="K115" s="95"/>
      <c r="L115" s="95"/>
      <c r="N115" s="27"/>
      <c r="O115" s="27"/>
      <c r="W115" s="27"/>
      <c r="Y115" s="27"/>
      <c r="Z115" s="52"/>
      <c r="AA115" s="24">
        <v>1</v>
      </c>
      <c r="AC115" s="150">
        <v>2</v>
      </c>
      <c r="AD115" s="150">
        <v>1</v>
      </c>
      <c r="AE115" s="150">
        <v>1</v>
      </c>
      <c r="AF115" s="150">
        <v>1</v>
      </c>
      <c r="AG115" s="150">
        <v>2</v>
      </c>
      <c r="AH115" s="150">
        <v>1</v>
      </c>
      <c r="AI115" s="150">
        <v>1</v>
      </c>
      <c r="AJ115" s="150">
        <v>1</v>
      </c>
      <c r="AK115" s="29">
        <v>2</v>
      </c>
      <c r="AL115" s="29">
        <v>1</v>
      </c>
      <c r="AM115" s="150">
        <v>2</v>
      </c>
      <c r="AN115" s="150">
        <v>2</v>
      </c>
      <c r="AO115" s="169">
        <v>2</v>
      </c>
      <c r="AP115" s="169">
        <v>1</v>
      </c>
      <c r="AQ115" s="145">
        <v>2</v>
      </c>
      <c r="AR115" s="145">
        <v>2</v>
      </c>
      <c r="AS115" s="43">
        <v>2</v>
      </c>
      <c r="AT115" s="43">
        <v>1</v>
      </c>
      <c r="AU115" s="146">
        <v>2</v>
      </c>
      <c r="AV115" s="146">
        <v>2</v>
      </c>
      <c r="AW115" s="97">
        <v>2</v>
      </c>
      <c r="AX115" s="97">
        <v>1</v>
      </c>
      <c r="AY115" s="58">
        <v>2</v>
      </c>
      <c r="AZ115" s="58">
        <v>2</v>
      </c>
      <c r="BA115" s="92">
        <v>2</v>
      </c>
      <c r="BB115" s="92">
        <v>1</v>
      </c>
      <c r="BC115" s="24">
        <v>2</v>
      </c>
      <c r="BD115" s="24">
        <v>2</v>
      </c>
    </row>
    <row r="116" s="24" customFormat="1" customHeight="1" spans="1:103">
      <c r="A116" s="143"/>
      <c r="B116" s="24">
        <v>133</v>
      </c>
      <c r="C116" s="35" t="s">
        <v>1336</v>
      </c>
      <c r="F116" s="26"/>
      <c r="J116" s="24" t="s">
        <v>854</v>
      </c>
      <c r="K116" s="27" t="s">
        <v>865</v>
      </c>
      <c r="N116" s="27"/>
      <c r="O116" s="27"/>
      <c r="V116" s="24" t="s">
        <v>866</v>
      </c>
      <c r="W116" s="27" t="s">
        <v>867</v>
      </c>
      <c r="X116" s="24" t="s">
        <v>866</v>
      </c>
      <c r="Y116" s="27" t="s">
        <v>867</v>
      </c>
      <c r="Z116" s="52"/>
      <c r="AA116" s="24">
        <v>4</v>
      </c>
      <c r="AB116" s="24"/>
      <c r="AC116" s="150">
        <v>8</v>
      </c>
      <c r="AD116" s="150">
        <v>1</v>
      </c>
      <c r="AE116" s="150">
        <v>7</v>
      </c>
      <c r="AF116" s="150">
        <v>1</v>
      </c>
      <c r="AG116" s="151">
        <v>10</v>
      </c>
      <c r="AH116" s="151">
        <v>2</v>
      </c>
      <c r="AI116" s="150">
        <v>7</v>
      </c>
      <c r="AJ116" s="150">
        <v>1</v>
      </c>
      <c r="AK116" s="29">
        <v>10</v>
      </c>
      <c r="AL116" s="29">
        <v>2</v>
      </c>
      <c r="AM116" s="150">
        <v>7</v>
      </c>
      <c r="AN116" s="150">
        <v>1</v>
      </c>
      <c r="AO116" s="169">
        <v>11</v>
      </c>
      <c r="AP116" s="169">
        <v>1</v>
      </c>
      <c r="AQ116" s="145">
        <v>14</v>
      </c>
      <c r="AR116" s="145">
        <v>2</v>
      </c>
      <c r="AS116" s="43">
        <v>11</v>
      </c>
      <c r="AT116" s="43">
        <v>1</v>
      </c>
      <c r="AU116" s="146">
        <v>14</v>
      </c>
      <c r="AV116" s="146">
        <v>2</v>
      </c>
      <c r="AW116" s="97">
        <v>11</v>
      </c>
      <c r="AX116" s="97">
        <v>1</v>
      </c>
      <c r="AY116" s="58">
        <v>14</v>
      </c>
      <c r="AZ116" s="58">
        <v>2</v>
      </c>
      <c r="BA116" s="92">
        <v>11</v>
      </c>
      <c r="BB116" s="92">
        <v>1</v>
      </c>
      <c r="BC116" s="24">
        <v>14</v>
      </c>
      <c r="BD116" s="24">
        <v>2</v>
      </c>
      <c r="CI116" s="25"/>
    </row>
    <row r="117" s="24" customFormat="1" ht="27" customHeight="1" spans="1:103">
      <c r="A117" s="177" t="s">
        <v>1337</v>
      </c>
      <c r="B117" s="24">
        <v>1</v>
      </c>
      <c r="C117" s="36" t="s">
        <v>1338</v>
      </c>
      <c r="D117" s="94"/>
      <c r="E117" s="94"/>
      <c r="F117" s="31"/>
      <c r="G117" s="94"/>
      <c r="H117" s="95"/>
      <c r="I117" s="95"/>
      <c r="J117" s="94"/>
      <c r="K117" s="52"/>
      <c r="L117" s="95"/>
      <c r="M117" s="95"/>
      <c r="N117" s="52"/>
      <c r="O117" s="52"/>
      <c r="W117" s="27"/>
      <c r="X117" s="94"/>
      <c r="Y117" s="94"/>
      <c r="Z117" s="99"/>
      <c r="AC117" s="144">
        <v>5</v>
      </c>
      <c r="AD117" s="144"/>
      <c r="AG117" s="24">
        <v>5</v>
      </c>
      <c r="AK117" s="29"/>
      <c r="AL117" s="29"/>
      <c r="AQ117" s="145"/>
      <c r="AR117" s="145"/>
      <c r="CY117" s="25"/>
    </row>
    <row r="118" s="24" customFormat="1" customHeight="1" spans="1:103">
      <c r="A118" s="177"/>
      <c r="B118" s="24">
        <v>2</v>
      </c>
      <c r="C118" s="36" t="s">
        <v>197</v>
      </c>
      <c r="D118" s="94" t="s">
        <v>13</v>
      </c>
      <c r="E118" s="94" t="s">
        <v>405</v>
      </c>
      <c r="F118" s="31" t="s">
        <v>120</v>
      </c>
      <c r="G118" s="94" t="s">
        <v>1339</v>
      </c>
      <c r="H118" s="95">
        <v>13828528329</v>
      </c>
      <c r="I118" s="95">
        <v>688329</v>
      </c>
      <c r="J118" s="94" t="s">
        <v>1339</v>
      </c>
      <c r="K118" s="52">
        <v>13828528329</v>
      </c>
      <c r="L118" s="95">
        <v>688329</v>
      </c>
      <c r="M118" s="95"/>
      <c r="N118" s="52"/>
      <c r="O118" s="52" t="s">
        <v>844</v>
      </c>
      <c r="Q118" s="24" t="s">
        <v>408</v>
      </c>
      <c r="R118" s="24" t="s">
        <v>418</v>
      </c>
      <c r="S118" s="24" t="s">
        <v>418</v>
      </c>
      <c r="V118" s="24" t="s">
        <v>871</v>
      </c>
      <c r="W118" s="24">
        <v>13620579152</v>
      </c>
      <c r="X118" s="24" t="s">
        <v>1340</v>
      </c>
      <c r="Y118" s="41">
        <v>13417282500</v>
      </c>
      <c r="Z118" s="52"/>
      <c r="AC118" s="144"/>
      <c r="AD118" s="144"/>
      <c r="AE118" s="178"/>
      <c r="AF118" s="178"/>
      <c r="AK118" s="29"/>
      <c r="AL118" s="29"/>
      <c r="AQ118" s="145"/>
      <c r="AR118" s="145"/>
      <c r="BC118" s="24">
        <v>46</v>
      </c>
      <c r="BD118" s="24">
        <v>30</v>
      </c>
    </row>
    <row r="119" s="24" customFormat="1" customHeight="1" spans="1:103">
      <c r="A119" s="177"/>
      <c r="B119" s="24">
        <v>3</v>
      </c>
      <c r="C119" s="36" t="s">
        <v>873</v>
      </c>
      <c r="D119" s="94"/>
      <c r="E119" s="94"/>
      <c r="F119" s="31"/>
      <c r="G119" s="94"/>
      <c r="H119" s="95"/>
      <c r="I119" s="95"/>
      <c r="J119" s="94"/>
      <c r="K119" s="52"/>
      <c r="L119" s="95"/>
      <c r="M119" s="95"/>
      <c r="N119" s="52"/>
      <c r="O119" s="52"/>
      <c r="W119" s="27"/>
      <c r="Y119" s="27"/>
      <c r="Z119" s="39" t="s">
        <v>1341</v>
      </c>
      <c r="AA119" s="24">
        <v>18</v>
      </c>
      <c r="AC119" s="144">
        <v>51</v>
      </c>
      <c r="AD119" s="144">
        <v>3</v>
      </c>
      <c r="AE119" s="179">
        <v>66</v>
      </c>
      <c r="AF119" s="179">
        <v>6</v>
      </c>
      <c r="AG119" s="24">
        <v>45</v>
      </c>
      <c r="AH119" s="24">
        <v>6</v>
      </c>
      <c r="AI119" s="41">
        <v>62</v>
      </c>
      <c r="AJ119" s="41">
        <v>9</v>
      </c>
      <c r="AK119" s="29">
        <v>48</v>
      </c>
      <c r="AL119" s="29">
        <v>9</v>
      </c>
      <c r="AM119" s="24">
        <v>62</v>
      </c>
      <c r="AN119" s="24">
        <v>14</v>
      </c>
      <c r="AO119" s="24">
        <v>39</v>
      </c>
      <c r="AP119" s="24">
        <v>19</v>
      </c>
      <c r="AQ119" s="145">
        <v>50</v>
      </c>
      <c r="AR119" s="145">
        <v>22</v>
      </c>
      <c r="AS119" s="180">
        <v>46</v>
      </c>
      <c r="AT119" s="180">
        <v>15</v>
      </c>
      <c r="AU119" s="181">
        <v>58</v>
      </c>
      <c r="AV119" s="181">
        <v>18</v>
      </c>
      <c r="AW119" s="43">
        <v>33</v>
      </c>
      <c r="AX119" s="43">
        <v>24</v>
      </c>
      <c r="AY119" s="58">
        <v>46</v>
      </c>
      <c r="AZ119" s="58">
        <v>30</v>
      </c>
      <c r="BA119" s="92">
        <v>36</v>
      </c>
      <c r="BB119" s="182">
        <v>21</v>
      </c>
      <c r="CY119" s="25"/>
    </row>
    <row r="120" s="24" customFormat="1" ht="29" customHeight="1" spans="1:103">
      <c r="A120" s="177"/>
      <c r="B120" s="24">
        <v>4</v>
      </c>
      <c r="C120" s="36" t="s">
        <v>1342</v>
      </c>
      <c r="D120" s="94" t="s">
        <v>13</v>
      </c>
      <c r="E120" s="94"/>
      <c r="F120" s="31" t="s">
        <v>125</v>
      </c>
      <c r="G120" s="94" t="s">
        <v>209</v>
      </c>
      <c r="H120" s="95">
        <v>13729608990</v>
      </c>
      <c r="I120" s="95">
        <v>66990</v>
      </c>
      <c r="J120" s="94" t="s">
        <v>210</v>
      </c>
      <c r="K120" s="52">
        <v>13828520309</v>
      </c>
      <c r="L120" s="95">
        <v>620309</v>
      </c>
      <c r="M120" s="95"/>
      <c r="N120" s="52"/>
      <c r="O120" s="52"/>
      <c r="Q120" s="24" t="s">
        <v>695</v>
      </c>
      <c r="W120" s="27"/>
      <c r="Y120" s="27"/>
      <c r="Z120" s="39" t="s">
        <v>1343</v>
      </c>
      <c r="AA120" s="24">
        <v>22</v>
      </c>
      <c r="AC120" s="144"/>
      <c r="AD120" s="183"/>
      <c r="AE120" s="184">
        <v>42</v>
      </c>
      <c r="AF120" s="184">
        <v>26</v>
      </c>
      <c r="AG120" s="49">
        <v>33</v>
      </c>
      <c r="AH120" s="24">
        <v>31</v>
      </c>
      <c r="AI120" s="24">
        <v>46</v>
      </c>
      <c r="AJ120" s="24">
        <v>42</v>
      </c>
      <c r="AK120" s="29">
        <v>38</v>
      </c>
      <c r="AL120" s="29">
        <v>26</v>
      </c>
      <c r="AM120" s="24">
        <v>48</v>
      </c>
      <c r="AN120" s="24">
        <v>40</v>
      </c>
      <c r="AO120" s="24">
        <v>46</v>
      </c>
      <c r="AP120" s="24">
        <v>26</v>
      </c>
      <c r="AQ120" s="145">
        <v>52</v>
      </c>
      <c r="AR120" s="145">
        <v>48</v>
      </c>
      <c r="AS120" s="180">
        <v>46</v>
      </c>
      <c r="AT120" s="180">
        <v>37</v>
      </c>
      <c r="AU120" s="181">
        <v>52</v>
      </c>
      <c r="AV120" s="181">
        <v>57</v>
      </c>
      <c r="AW120" s="43">
        <v>42</v>
      </c>
      <c r="AX120" s="43">
        <v>41</v>
      </c>
      <c r="AY120" s="58">
        <v>46</v>
      </c>
      <c r="AZ120" s="58">
        <v>62</v>
      </c>
      <c r="BA120" s="92">
        <v>38</v>
      </c>
      <c r="BB120" s="92">
        <v>42</v>
      </c>
      <c r="BC120" s="24">
        <v>46</v>
      </c>
      <c r="BD120" s="24">
        <v>60</v>
      </c>
      <c r="CO120" s="25"/>
    </row>
    <row r="121" s="24" customFormat="1" ht="27" customHeight="1" spans="1:103">
      <c r="A121" s="177"/>
      <c r="B121" s="24">
        <v>5</v>
      </c>
      <c r="C121" s="36" t="s">
        <v>1344</v>
      </c>
      <c r="D121" s="94"/>
      <c r="E121" s="94"/>
      <c r="F121" s="31"/>
      <c r="G121" s="94"/>
      <c r="H121" s="95"/>
      <c r="I121" s="95"/>
      <c r="J121" s="94"/>
      <c r="K121" s="52"/>
      <c r="L121" s="95"/>
      <c r="M121" s="95"/>
      <c r="N121" s="52"/>
      <c r="O121" s="52"/>
      <c r="W121" s="27"/>
      <c r="Y121" s="27"/>
      <c r="Z121" s="39"/>
      <c r="AA121" s="24">
        <v>15</v>
      </c>
      <c r="AC121" s="144"/>
      <c r="AD121" s="144"/>
      <c r="AE121" s="185">
        <v>26</v>
      </c>
      <c r="AF121" s="185">
        <v>34</v>
      </c>
      <c r="AG121" s="24">
        <v>15</v>
      </c>
      <c r="AH121" s="24">
        <v>20</v>
      </c>
      <c r="AI121" s="24">
        <v>22</v>
      </c>
      <c r="AJ121" s="24">
        <v>30</v>
      </c>
      <c r="AK121" s="29">
        <v>17</v>
      </c>
      <c r="AL121" s="29">
        <v>20</v>
      </c>
      <c r="AM121" s="24">
        <v>20</v>
      </c>
      <c r="AN121" s="24">
        <v>28</v>
      </c>
      <c r="AO121" s="24">
        <v>17</v>
      </c>
      <c r="AP121" s="24">
        <v>19</v>
      </c>
      <c r="AQ121" s="145">
        <v>20</v>
      </c>
      <c r="AR121" s="145">
        <v>24</v>
      </c>
      <c r="AS121" s="180">
        <v>17</v>
      </c>
      <c r="AT121" s="180">
        <v>16</v>
      </c>
      <c r="AU121" s="181">
        <v>20</v>
      </c>
      <c r="AV121" s="181">
        <v>24</v>
      </c>
      <c r="AW121" s="43">
        <v>17</v>
      </c>
      <c r="AX121" s="43">
        <v>16</v>
      </c>
      <c r="AY121" s="58">
        <v>20</v>
      </c>
      <c r="AZ121" s="58">
        <v>24</v>
      </c>
      <c r="BA121" s="92">
        <v>17</v>
      </c>
      <c r="BB121" s="92">
        <v>16</v>
      </c>
      <c r="BC121" s="24">
        <v>20</v>
      </c>
      <c r="BD121" s="24">
        <v>24</v>
      </c>
      <c r="CO121" s="25"/>
    </row>
    <row r="122" s="24" customFormat="1" ht="27" customHeight="1" spans="1:103">
      <c r="A122" s="177"/>
      <c r="B122" s="24">
        <v>6</v>
      </c>
      <c r="C122" s="36" t="s">
        <v>1345</v>
      </c>
      <c r="D122" s="94"/>
      <c r="E122" s="94"/>
      <c r="F122" s="31"/>
      <c r="G122" s="94"/>
      <c r="H122" s="95"/>
      <c r="I122" s="95"/>
      <c r="J122" s="94"/>
      <c r="K122" s="52"/>
      <c r="L122" s="95"/>
      <c r="M122" s="95"/>
      <c r="N122" s="52"/>
      <c r="O122" s="52"/>
      <c r="W122" s="27"/>
      <c r="Y122" s="27"/>
      <c r="Z122" s="39"/>
      <c r="AA122" s="24">
        <v>2</v>
      </c>
      <c r="AC122" s="144"/>
      <c r="AD122" s="144">
        <v>6</v>
      </c>
      <c r="AE122" s="178"/>
      <c r="AF122" s="178">
        <v>4</v>
      </c>
      <c r="AH122" s="24">
        <v>6</v>
      </c>
      <c r="AJ122" s="24">
        <v>4</v>
      </c>
      <c r="AK122" s="29"/>
      <c r="AL122" s="29">
        <v>3</v>
      </c>
      <c r="AN122" s="24">
        <v>2</v>
      </c>
      <c r="AO122" s="24"/>
      <c r="AP122" s="24">
        <v>5</v>
      </c>
      <c r="AQ122" s="145"/>
      <c r="AR122" s="145">
        <v>0</v>
      </c>
      <c r="AS122" s="180"/>
      <c r="AT122" s="180">
        <v>4</v>
      </c>
      <c r="AU122" s="181"/>
      <c r="AV122" s="181">
        <v>0</v>
      </c>
      <c r="AW122" s="43"/>
      <c r="AX122" s="43">
        <v>5</v>
      </c>
      <c r="AZ122" s="24">
        <v>0</v>
      </c>
      <c r="BA122" s="92"/>
      <c r="BB122" s="92">
        <v>5</v>
      </c>
      <c r="BD122" s="24">
        <v>0</v>
      </c>
      <c r="CO122" s="25"/>
    </row>
    <row r="123" s="24" customFormat="1" ht="27" customHeight="1" spans="1:103">
      <c r="A123" s="177"/>
      <c r="B123" s="24">
        <v>7</v>
      </c>
      <c r="C123" s="36" t="s">
        <v>1346</v>
      </c>
      <c r="D123" s="94"/>
      <c r="E123" s="94"/>
      <c r="F123" s="31"/>
      <c r="G123" s="94"/>
      <c r="H123" s="95"/>
      <c r="I123" s="95"/>
      <c r="J123" s="94"/>
      <c r="K123" s="52"/>
      <c r="L123" s="95"/>
      <c r="M123" s="95"/>
      <c r="N123" s="52"/>
      <c r="O123" s="52"/>
      <c r="W123" s="27"/>
      <c r="Y123" s="27"/>
      <c r="Z123" s="39"/>
      <c r="AA123" s="24">
        <v>4</v>
      </c>
      <c r="AB123" s="24"/>
      <c r="AC123" s="144">
        <v>3</v>
      </c>
      <c r="AD123" s="144"/>
      <c r="AE123" s="178">
        <v>14</v>
      </c>
      <c r="AF123" s="178">
        <v>3</v>
      </c>
      <c r="AG123" s="24">
        <v>10</v>
      </c>
      <c r="AH123" s="24">
        <v>2</v>
      </c>
      <c r="AI123" s="24">
        <v>7</v>
      </c>
      <c r="AJ123" s="24">
        <v>1</v>
      </c>
      <c r="AK123" s="29">
        <v>10</v>
      </c>
      <c r="AL123" s="29">
        <v>2</v>
      </c>
      <c r="AM123" s="24">
        <v>7</v>
      </c>
      <c r="AN123" s="24">
        <v>1</v>
      </c>
      <c r="AO123" s="24">
        <v>18</v>
      </c>
      <c r="AP123" s="24">
        <v>2</v>
      </c>
      <c r="AQ123" s="145">
        <v>0</v>
      </c>
      <c r="AR123" s="145">
        <v>0</v>
      </c>
      <c r="AS123" s="180">
        <v>14</v>
      </c>
      <c r="AT123" s="180">
        <v>2</v>
      </c>
      <c r="AU123" s="181">
        <v>0</v>
      </c>
      <c r="AV123" s="181">
        <v>0</v>
      </c>
      <c r="AW123" s="43">
        <v>18</v>
      </c>
      <c r="AX123" s="43">
        <v>2</v>
      </c>
      <c r="AY123" s="24">
        <v>0</v>
      </c>
      <c r="AZ123" s="24">
        <v>0</v>
      </c>
      <c r="BA123" s="92">
        <v>15</v>
      </c>
      <c r="BB123" s="92">
        <v>5</v>
      </c>
      <c r="BC123" s="24">
        <v>0</v>
      </c>
      <c r="BD123" s="24">
        <v>0</v>
      </c>
      <c r="CO123" s="25"/>
    </row>
    <row r="124" s="24" customFormat="1" customHeight="1" spans="1:103">
      <c r="A124" s="177"/>
      <c r="B124" s="24">
        <v>8</v>
      </c>
      <c r="C124" s="36" t="s">
        <v>213</v>
      </c>
      <c r="D124" s="94" t="s">
        <v>13</v>
      </c>
      <c r="E124" s="94" t="s">
        <v>405</v>
      </c>
      <c r="F124" s="31" t="s">
        <v>120</v>
      </c>
      <c r="G124" s="94" t="s">
        <v>1347</v>
      </c>
      <c r="H124" s="95">
        <v>13416524908</v>
      </c>
      <c r="I124" s="95">
        <v>66908</v>
      </c>
      <c r="J124" s="94" t="s">
        <v>1347</v>
      </c>
      <c r="K124" s="52">
        <v>13416524908</v>
      </c>
      <c r="L124" s="95">
        <v>66908</v>
      </c>
      <c r="M124" s="95"/>
      <c r="N124" s="52"/>
      <c r="O124" s="52" t="s">
        <v>451</v>
      </c>
      <c r="Q124" s="24" t="s">
        <v>408</v>
      </c>
      <c r="R124" s="24" t="s">
        <v>418</v>
      </c>
      <c r="S124" s="24" t="s">
        <v>418</v>
      </c>
      <c r="V124" s="24" t="s">
        <v>903</v>
      </c>
      <c r="W124" s="24">
        <v>13435258931</v>
      </c>
      <c r="X124" s="24" t="s">
        <v>904</v>
      </c>
      <c r="Y124" s="41">
        <v>13413484889</v>
      </c>
      <c r="Z124" s="52" t="s">
        <v>1348</v>
      </c>
      <c r="AA124" s="24">
        <v>16</v>
      </c>
      <c r="AC124" s="186">
        <v>12</v>
      </c>
      <c r="AD124" s="186">
        <v>33</v>
      </c>
      <c r="AE124" s="187">
        <v>14</v>
      </c>
      <c r="AF124" s="187">
        <v>46</v>
      </c>
      <c r="AG124" s="24">
        <v>9</v>
      </c>
      <c r="AH124" s="24">
        <v>39</v>
      </c>
      <c r="AI124" s="24">
        <v>14</v>
      </c>
      <c r="AJ124" s="24">
        <v>50</v>
      </c>
      <c r="AK124" s="29">
        <v>12</v>
      </c>
      <c r="AL124" s="29">
        <v>36</v>
      </c>
      <c r="AM124" s="24">
        <v>21</v>
      </c>
      <c r="AN124" s="24">
        <v>46</v>
      </c>
      <c r="AO124" s="24">
        <v>12</v>
      </c>
      <c r="AP124" s="24">
        <v>36</v>
      </c>
      <c r="AQ124" s="145">
        <v>18</v>
      </c>
      <c r="AR124" s="145">
        <v>46</v>
      </c>
      <c r="AS124" s="180">
        <v>12</v>
      </c>
      <c r="AT124" s="180">
        <v>36</v>
      </c>
      <c r="AU124" s="181">
        <v>18</v>
      </c>
      <c r="AV124" s="181">
        <v>46</v>
      </c>
      <c r="AW124" s="43">
        <v>12</v>
      </c>
      <c r="AX124" s="43">
        <v>36</v>
      </c>
      <c r="AY124" s="58">
        <v>18</v>
      </c>
      <c r="AZ124" s="58">
        <v>46</v>
      </c>
      <c r="BA124" s="92">
        <v>12</v>
      </c>
      <c r="BB124" s="92">
        <v>39</v>
      </c>
      <c r="BC124" s="24">
        <v>18</v>
      </c>
      <c r="BD124" s="24">
        <v>46</v>
      </c>
      <c r="CY124" s="25"/>
    </row>
    <row r="125" s="24" customFormat="1" customHeight="1" spans="1:103">
      <c r="A125" s="177"/>
      <c r="B125" s="24">
        <v>9</v>
      </c>
      <c r="C125" s="36" t="s">
        <v>1349</v>
      </c>
      <c r="D125" s="94" t="s">
        <v>13</v>
      </c>
      <c r="E125" s="94" t="s">
        <v>405</v>
      </c>
      <c r="F125" s="31" t="s">
        <v>125</v>
      </c>
      <c r="G125" s="94" t="s">
        <v>1350</v>
      </c>
      <c r="H125" s="95">
        <v>13824916966</v>
      </c>
      <c r="I125" s="95">
        <v>666966</v>
      </c>
      <c r="J125" s="94" t="s">
        <v>1351</v>
      </c>
      <c r="K125" s="52">
        <v>13828521389</v>
      </c>
      <c r="L125" s="95">
        <v>631389</v>
      </c>
      <c r="M125" s="95"/>
      <c r="N125" s="52"/>
      <c r="O125" s="52" t="s">
        <v>906</v>
      </c>
      <c r="Q125" s="24" t="s">
        <v>408</v>
      </c>
      <c r="R125" s="24" t="s">
        <v>418</v>
      </c>
      <c r="S125" s="24" t="s">
        <v>418</v>
      </c>
      <c r="V125" s="24" t="s">
        <v>907</v>
      </c>
      <c r="W125" s="24">
        <v>15975835018</v>
      </c>
      <c r="Y125" s="27"/>
      <c r="Z125" s="27" t="s">
        <v>1352</v>
      </c>
      <c r="AA125" s="24">
        <v>10</v>
      </c>
      <c r="AC125" s="144"/>
      <c r="AD125" s="144"/>
      <c r="AK125" s="29"/>
      <c r="AL125" s="29"/>
      <c r="AM125" s="24">
        <v>24</v>
      </c>
      <c r="AN125" s="24">
        <v>8</v>
      </c>
      <c r="AO125" s="24">
        <v>19</v>
      </c>
      <c r="AP125" s="24">
        <v>11</v>
      </c>
      <c r="AQ125" s="145">
        <v>33</v>
      </c>
      <c r="AR125" s="145">
        <v>12</v>
      </c>
      <c r="AS125" s="180">
        <v>21</v>
      </c>
      <c r="AT125" s="180">
        <v>10</v>
      </c>
      <c r="AU125" s="181">
        <v>31</v>
      </c>
      <c r="AV125" s="181">
        <v>10</v>
      </c>
      <c r="AW125" s="43">
        <v>20</v>
      </c>
      <c r="AX125" s="43">
        <v>11</v>
      </c>
      <c r="AY125" s="58">
        <v>29</v>
      </c>
      <c r="AZ125" s="58">
        <v>12</v>
      </c>
      <c r="BA125" s="92">
        <v>20</v>
      </c>
      <c r="BB125" s="92">
        <v>11</v>
      </c>
      <c r="BC125" s="24">
        <v>29</v>
      </c>
      <c r="BD125" s="24">
        <v>12</v>
      </c>
    </row>
    <row r="126" s="24" customFormat="1" customHeight="1" spans="1:103">
      <c r="A126" s="177"/>
      <c r="B126" s="24">
        <v>10</v>
      </c>
      <c r="C126" s="35" t="s">
        <v>1353</v>
      </c>
      <c r="D126" s="94" t="s">
        <v>492</v>
      </c>
      <c r="E126" s="94" t="s">
        <v>405</v>
      </c>
      <c r="F126" s="31" t="s">
        <v>106</v>
      </c>
      <c r="G126" s="94"/>
      <c r="H126" s="95"/>
      <c r="I126" s="95"/>
      <c r="J126" s="24" t="s">
        <v>427</v>
      </c>
      <c r="K126" s="27" t="s">
        <v>919</v>
      </c>
      <c r="L126" s="95"/>
      <c r="M126" s="95"/>
      <c r="N126" s="52"/>
      <c r="O126" s="52" t="s">
        <v>1354</v>
      </c>
      <c r="P126" s="24" t="s">
        <v>820</v>
      </c>
      <c r="Q126" s="24" t="s">
        <v>408</v>
      </c>
      <c r="V126" s="24" t="s">
        <v>427</v>
      </c>
      <c r="W126" s="24">
        <v>13727101530</v>
      </c>
      <c r="Y126" s="27"/>
      <c r="AA126" s="27" t="s">
        <v>1355</v>
      </c>
      <c r="AC126" s="186">
        <v>19</v>
      </c>
      <c r="AD126" s="186">
        <v>11</v>
      </c>
      <c r="AE126" s="24">
        <v>17</v>
      </c>
      <c r="AF126" s="24">
        <v>9</v>
      </c>
      <c r="AG126" s="24">
        <v>26</v>
      </c>
      <c r="AH126" s="24">
        <v>16</v>
      </c>
      <c r="AI126" s="24">
        <v>17</v>
      </c>
      <c r="AJ126" s="24">
        <v>14</v>
      </c>
      <c r="AK126" s="29">
        <v>26</v>
      </c>
      <c r="AL126" s="29">
        <v>21</v>
      </c>
      <c r="AM126" s="24">
        <v>17</v>
      </c>
      <c r="AN126" s="24">
        <v>19</v>
      </c>
      <c r="AO126" s="24">
        <v>26</v>
      </c>
      <c r="AP126" s="24">
        <v>19</v>
      </c>
      <c r="AQ126" s="145">
        <v>17</v>
      </c>
      <c r="AR126" s="145">
        <v>13</v>
      </c>
      <c r="AS126" s="180">
        <v>26</v>
      </c>
      <c r="AT126" s="180">
        <v>19</v>
      </c>
      <c r="AU126" s="181">
        <v>17</v>
      </c>
      <c r="AV126" s="181">
        <v>13</v>
      </c>
      <c r="AW126" s="43">
        <v>26</v>
      </c>
      <c r="AX126" s="43">
        <v>19</v>
      </c>
      <c r="AY126" s="58">
        <v>17</v>
      </c>
      <c r="AZ126" s="58">
        <v>13</v>
      </c>
      <c r="BA126" s="92">
        <v>26</v>
      </c>
      <c r="BB126" s="92">
        <v>19</v>
      </c>
      <c r="BC126" s="24">
        <v>17</v>
      </c>
      <c r="BD126" s="24">
        <v>13</v>
      </c>
      <c r="CY126" s="25"/>
    </row>
    <row r="127" s="24" customFormat="1" customHeight="1" spans="1:103">
      <c r="A127" s="177"/>
      <c r="B127" s="24">
        <v>11</v>
      </c>
      <c r="C127" s="35" t="s">
        <v>1356</v>
      </c>
      <c r="D127" s="94"/>
      <c r="E127" s="94"/>
      <c r="F127" s="31"/>
      <c r="G127" s="94"/>
      <c r="H127" s="95"/>
      <c r="I127" s="95"/>
      <c r="K127" s="27"/>
      <c r="L127" s="95"/>
      <c r="M127" s="95"/>
      <c r="N127" s="52"/>
      <c r="O127" s="52"/>
      <c r="W127" s="27"/>
      <c r="Y127" s="27"/>
      <c r="AA127" s="24">
        <v>2</v>
      </c>
      <c r="AB127" s="27"/>
      <c r="AC127" s="144">
        <v>3</v>
      </c>
      <c r="AD127" s="144"/>
      <c r="AE127" s="24">
        <v>2</v>
      </c>
      <c r="AG127" s="24">
        <v>3</v>
      </c>
      <c r="AH127" s="24">
        <v>3</v>
      </c>
      <c r="AI127" s="24">
        <v>2</v>
      </c>
      <c r="AJ127" s="24">
        <v>2</v>
      </c>
      <c r="AK127" s="29">
        <v>3</v>
      </c>
      <c r="AL127" s="29">
        <v>3</v>
      </c>
      <c r="AM127" s="24">
        <v>1</v>
      </c>
      <c r="AN127" s="24">
        <v>3</v>
      </c>
      <c r="AO127" s="24">
        <v>2</v>
      </c>
      <c r="AP127" s="24">
        <v>4</v>
      </c>
      <c r="AQ127" s="145">
        <v>1</v>
      </c>
      <c r="AR127" s="145">
        <v>3</v>
      </c>
      <c r="AS127" s="180">
        <v>2</v>
      </c>
      <c r="AT127" s="180">
        <v>4</v>
      </c>
      <c r="AU127" s="181">
        <v>1</v>
      </c>
      <c r="AV127" s="181">
        <v>3</v>
      </c>
      <c r="AW127" s="43">
        <v>2</v>
      </c>
      <c r="AX127" s="43">
        <v>4</v>
      </c>
      <c r="AY127" s="58">
        <v>1</v>
      </c>
      <c r="AZ127" s="58">
        <v>3</v>
      </c>
      <c r="BA127" s="92">
        <v>2</v>
      </c>
      <c r="BB127" s="92">
        <v>4</v>
      </c>
      <c r="BC127" s="24">
        <v>1</v>
      </c>
      <c r="BD127" s="24">
        <v>3</v>
      </c>
    </row>
    <row r="128" s="24" customFormat="1" ht="24" customHeight="1" spans="1:103">
      <c r="A128" s="177"/>
      <c r="B128" s="24">
        <v>12</v>
      </c>
      <c r="C128" s="35" t="s">
        <v>1357</v>
      </c>
      <c r="D128" s="94"/>
      <c r="E128" s="94"/>
      <c r="F128" s="31"/>
      <c r="G128" s="94"/>
      <c r="H128" s="95"/>
      <c r="I128" s="95"/>
      <c r="K128" s="27"/>
      <c r="L128" s="95"/>
      <c r="M128" s="95"/>
      <c r="N128" s="52"/>
      <c r="O128" s="52"/>
      <c r="Y128" s="27"/>
      <c r="Z128" s="27"/>
      <c r="AC128" s="144"/>
      <c r="AD128" s="144"/>
      <c r="AK128" s="29"/>
      <c r="AL128" s="29"/>
      <c r="AQ128" s="145"/>
      <c r="AR128" s="145"/>
      <c r="AS128" s="20"/>
      <c r="AT128" s="20"/>
      <c r="AU128" s="20"/>
      <c r="AV128" s="20"/>
      <c r="CX128" s="25"/>
    </row>
    <row r="129" s="24" customFormat="1" customHeight="1" spans="1:103">
      <c r="A129" s="177"/>
      <c r="B129" s="24">
        <v>13</v>
      </c>
      <c r="C129" s="36" t="s">
        <v>1358</v>
      </c>
      <c r="D129" s="94"/>
      <c r="E129" s="94" t="s">
        <v>405</v>
      </c>
      <c r="F129" s="31" t="s">
        <v>106</v>
      </c>
      <c r="G129" s="94"/>
      <c r="H129" s="95"/>
      <c r="I129" s="95"/>
      <c r="J129" s="24" t="s">
        <v>912</v>
      </c>
      <c r="K129" s="24">
        <v>13631063126</v>
      </c>
      <c r="L129" s="39"/>
      <c r="M129" s="95"/>
      <c r="N129" s="52"/>
      <c r="O129" s="52" t="s">
        <v>913</v>
      </c>
      <c r="P129" s="24" t="s">
        <v>914</v>
      </c>
      <c r="Q129" s="24" t="s">
        <v>408</v>
      </c>
      <c r="V129" s="24" t="s">
        <v>915</v>
      </c>
      <c r="W129" s="24">
        <v>13535964776</v>
      </c>
      <c r="Y129" s="27"/>
      <c r="Z129" s="27"/>
      <c r="AC129" s="144"/>
      <c r="AD129" s="144"/>
      <c r="AK129" s="29"/>
      <c r="AL129" s="29"/>
      <c r="AQ129" s="145"/>
      <c r="AR129" s="145"/>
      <c r="AS129" s="20"/>
      <c r="AT129" s="20"/>
      <c r="AU129" s="20"/>
      <c r="AV129" s="20"/>
    </row>
    <row r="130" s="24" customFormat="1" customHeight="1" spans="1:103">
      <c r="A130" s="177"/>
      <c r="B130" s="24">
        <v>14</v>
      </c>
      <c r="C130" s="36" t="s">
        <v>1359</v>
      </c>
      <c r="D130" s="94"/>
      <c r="E130" s="94"/>
      <c r="F130" s="31"/>
      <c r="G130" s="94"/>
      <c r="H130" s="95"/>
      <c r="I130" s="95"/>
      <c r="J130" s="94"/>
      <c r="K130" s="52"/>
      <c r="L130" s="95"/>
      <c r="M130" s="95"/>
      <c r="N130" s="52"/>
      <c r="O130" s="52"/>
      <c r="Y130" s="27"/>
      <c r="Z130" s="27"/>
      <c r="AA130" s="24">
        <v>1</v>
      </c>
      <c r="AC130" s="144">
        <v>3</v>
      </c>
      <c r="AD130" s="144"/>
      <c r="AE130" s="24">
        <v>2</v>
      </c>
      <c r="AG130" s="24">
        <v>2</v>
      </c>
      <c r="AI130" s="24">
        <v>3</v>
      </c>
      <c r="AK130" s="29">
        <v>3</v>
      </c>
      <c r="AL130" s="29"/>
      <c r="AM130" s="24">
        <v>2</v>
      </c>
      <c r="AO130" s="24">
        <v>3</v>
      </c>
      <c r="AP130" s="24"/>
      <c r="AQ130" s="145">
        <v>0</v>
      </c>
      <c r="AR130" s="145"/>
      <c r="AS130" s="180">
        <v>4</v>
      </c>
      <c r="AT130" s="180"/>
      <c r="AU130" s="181">
        <v>0</v>
      </c>
      <c r="AV130" s="181"/>
      <c r="AW130" s="43">
        <v>5</v>
      </c>
      <c r="AX130" s="43"/>
      <c r="AY130" s="24">
        <v>0</v>
      </c>
      <c r="BA130" s="92">
        <v>5</v>
      </c>
      <c r="BC130" s="24">
        <v>0</v>
      </c>
    </row>
    <row r="131" s="24" customFormat="1" customHeight="1" spans="1:103">
      <c r="A131" s="177"/>
      <c r="B131" s="24">
        <v>22</v>
      </c>
      <c r="C131" s="36" t="s">
        <v>942</v>
      </c>
      <c r="D131" s="94" t="s">
        <v>13</v>
      </c>
      <c r="E131" s="94"/>
      <c r="F131" s="31" t="s">
        <v>120</v>
      </c>
      <c r="G131" s="94" t="s">
        <v>231</v>
      </c>
      <c r="H131" s="95">
        <v>13824939398</v>
      </c>
      <c r="I131" s="95">
        <v>669398</v>
      </c>
      <c r="J131" s="94" t="s">
        <v>231</v>
      </c>
      <c r="K131" s="52">
        <v>13824939398</v>
      </c>
      <c r="L131" s="95">
        <v>669398</v>
      </c>
      <c r="M131" s="95"/>
      <c r="N131" s="52"/>
      <c r="O131" s="52"/>
      <c r="Q131" s="24" t="s">
        <v>695</v>
      </c>
      <c r="V131" s="24" t="s">
        <v>943</v>
      </c>
      <c r="W131" s="27"/>
      <c r="X131" s="24" t="s">
        <v>943</v>
      </c>
      <c r="Y131" s="27" t="s">
        <v>944</v>
      </c>
      <c r="Z131" s="27" t="s">
        <v>231</v>
      </c>
      <c r="AA131" s="24">
        <v>13</v>
      </c>
      <c r="AC131" s="144">
        <v>14</v>
      </c>
      <c r="AD131" s="144">
        <v>25</v>
      </c>
      <c r="AE131" s="24">
        <v>16</v>
      </c>
      <c r="AF131" s="24">
        <v>36</v>
      </c>
      <c r="AG131" s="24">
        <v>14</v>
      </c>
      <c r="AH131" s="24">
        <v>22</v>
      </c>
      <c r="AI131" s="24">
        <v>16</v>
      </c>
      <c r="AJ131" s="24">
        <v>36</v>
      </c>
      <c r="AK131" s="29">
        <v>12</v>
      </c>
      <c r="AL131" s="29">
        <v>18</v>
      </c>
      <c r="AM131" s="24">
        <v>18</v>
      </c>
      <c r="AN131" s="24">
        <v>46</v>
      </c>
      <c r="AO131" s="24">
        <v>12</v>
      </c>
      <c r="AP131" s="24">
        <v>15</v>
      </c>
      <c r="AQ131" s="145">
        <v>18</v>
      </c>
      <c r="AR131" s="145">
        <v>46</v>
      </c>
      <c r="AS131" s="180">
        <v>12</v>
      </c>
      <c r="AT131" s="180">
        <v>15</v>
      </c>
      <c r="AU131" s="181">
        <v>18</v>
      </c>
      <c r="AV131" s="181">
        <v>46</v>
      </c>
      <c r="AW131" s="43">
        <v>12</v>
      </c>
      <c r="AX131" s="43">
        <v>15</v>
      </c>
      <c r="AY131" s="58">
        <v>18</v>
      </c>
      <c r="AZ131" s="58">
        <v>46</v>
      </c>
      <c r="BA131" s="92">
        <v>12</v>
      </c>
      <c r="BB131" s="92">
        <v>15</v>
      </c>
      <c r="BC131" s="24">
        <v>18</v>
      </c>
      <c r="BD131" s="24">
        <v>46</v>
      </c>
      <c r="CO131" s="25"/>
      <c r="CW131" s="25"/>
    </row>
    <row r="132" s="24" customFormat="1" ht="28" customHeight="1" spans="1:103">
      <c r="A132" s="177"/>
      <c r="B132" s="24">
        <v>23</v>
      </c>
      <c r="C132" s="36" t="s">
        <v>1360</v>
      </c>
      <c r="D132" s="94"/>
      <c r="E132" s="94"/>
      <c r="F132" s="31"/>
      <c r="G132" s="94"/>
      <c r="H132" s="95"/>
      <c r="I132" s="95"/>
      <c r="J132" s="94"/>
      <c r="K132" s="52"/>
      <c r="L132" s="95"/>
      <c r="M132" s="95"/>
      <c r="N132" s="52"/>
      <c r="O132" s="52"/>
      <c r="W132" s="27"/>
      <c r="Y132" s="27"/>
      <c r="Z132" s="188" t="s">
        <v>1361</v>
      </c>
      <c r="AA132" s="24">
        <v>6</v>
      </c>
      <c r="AC132" s="144"/>
      <c r="AD132" s="144"/>
      <c r="AE132" s="24">
        <v>10</v>
      </c>
      <c r="AF132" s="24">
        <v>10</v>
      </c>
      <c r="AG132" s="24">
        <v>5</v>
      </c>
      <c r="AH132" s="24">
        <v>10</v>
      </c>
      <c r="AI132" s="24">
        <v>10</v>
      </c>
      <c r="AJ132" s="24">
        <v>10</v>
      </c>
      <c r="AK132" s="29">
        <v>6</v>
      </c>
      <c r="AL132" s="29">
        <v>12</v>
      </c>
      <c r="AM132" s="24">
        <v>12</v>
      </c>
      <c r="AN132" s="24">
        <v>12</v>
      </c>
      <c r="AO132" s="24">
        <v>6</v>
      </c>
      <c r="AP132" s="24">
        <v>12</v>
      </c>
      <c r="AQ132" s="145">
        <v>12</v>
      </c>
      <c r="AR132" s="145">
        <v>12</v>
      </c>
      <c r="AS132" s="180">
        <v>6</v>
      </c>
      <c r="AT132" s="180">
        <v>12</v>
      </c>
      <c r="AU132" s="181">
        <v>12</v>
      </c>
      <c r="AV132" s="181">
        <v>12</v>
      </c>
      <c r="AW132" s="43">
        <v>5</v>
      </c>
      <c r="AX132" s="43">
        <v>13</v>
      </c>
      <c r="AY132" s="58">
        <v>8</v>
      </c>
      <c r="AZ132" s="58">
        <v>12</v>
      </c>
      <c r="BA132" s="92">
        <v>4</v>
      </c>
      <c r="BB132" s="92">
        <v>11</v>
      </c>
      <c r="BC132" s="24">
        <v>10</v>
      </c>
      <c r="BD132" s="24">
        <v>14</v>
      </c>
      <c r="CK132" s="25"/>
    </row>
    <row r="133" s="24" customFormat="1" ht="24" customHeight="1" spans="1:103">
      <c r="A133" s="177"/>
      <c r="B133" s="24">
        <v>24</v>
      </c>
      <c r="C133" s="36" t="s">
        <v>1362</v>
      </c>
      <c r="D133" s="94"/>
      <c r="E133" s="94"/>
      <c r="F133" s="31"/>
      <c r="G133" s="94"/>
      <c r="H133" s="95"/>
      <c r="I133" s="95"/>
      <c r="J133" s="94"/>
      <c r="K133" s="52"/>
      <c r="L133" s="95"/>
      <c r="M133" s="95"/>
      <c r="N133" s="52"/>
      <c r="O133" s="52"/>
      <c r="W133" s="27"/>
      <c r="X133" s="94"/>
      <c r="Y133" s="94"/>
      <c r="Z133" s="188"/>
      <c r="AA133" s="24">
        <v>6</v>
      </c>
      <c r="AC133" s="144"/>
      <c r="AD133" s="144"/>
      <c r="AE133" s="24">
        <v>10</v>
      </c>
      <c r="AF133" s="24">
        <v>14</v>
      </c>
      <c r="AG133" s="24">
        <v>6</v>
      </c>
      <c r="AH133" s="24">
        <v>12</v>
      </c>
      <c r="AI133" s="24">
        <v>10</v>
      </c>
      <c r="AJ133" s="24">
        <v>14</v>
      </c>
      <c r="AK133" s="29">
        <v>6</v>
      </c>
      <c r="AL133" s="29">
        <v>12</v>
      </c>
      <c r="AM133" s="24">
        <v>10</v>
      </c>
      <c r="AN133" s="24">
        <v>14</v>
      </c>
      <c r="AO133" s="24">
        <v>6</v>
      </c>
      <c r="AP133" s="24">
        <v>12</v>
      </c>
      <c r="AQ133" s="145">
        <v>10</v>
      </c>
      <c r="AR133" s="145">
        <v>14</v>
      </c>
      <c r="AS133" s="180">
        <v>6</v>
      </c>
      <c r="AT133" s="180">
        <v>12</v>
      </c>
      <c r="AU133" s="181">
        <v>10</v>
      </c>
      <c r="AV133" s="181">
        <v>14</v>
      </c>
      <c r="AW133" s="43">
        <v>6</v>
      </c>
      <c r="AX133" s="43">
        <v>12</v>
      </c>
      <c r="AY133" s="58">
        <v>10</v>
      </c>
      <c r="AZ133" s="58">
        <v>14</v>
      </c>
      <c r="BA133" s="92">
        <v>6</v>
      </c>
      <c r="BB133" s="92">
        <v>12</v>
      </c>
      <c r="BC133" s="24">
        <v>10</v>
      </c>
      <c r="BD133" s="24">
        <v>14</v>
      </c>
      <c r="CK133" s="25"/>
    </row>
    <row r="134" s="24" customFormat="1" customHeight="1" spans="1:103">
      <c r="A134" s="177"/>
      <c r="B134" s="24">
        <v>25</v>
      </c>
      <c r="C134" s="36" t="s">
        <v>1363</v>
      </c>
      <c r="D134" s="94"/>
      <c r="E134" s="94"/>
      <c r="F134" s="31"/>
      <c r="G134" s="94"/>
      <c r="H134" s="95"/>
      <c r="I134" s="95"/>
      <c r="J134" s="94"/>
      <c r="K134" s="52"/>
      <c r="L134" s="95"/>
      <c r="M134" s="95"/>
      <c r="N134" s="52"/>
      <c r="O134" s="52"/>
      <c r="W134" s="27"/>
      <c r="X134" s="94"/>
      <c r="Y134" s="94"/>
      <c r="Z134" s="189"/>
      <c r="AA134" s="24">
        <v>17</v>
      </c>
      <c r="AC134" s="144">
        <v>27</v>
      </c>
      <c r="AD134" s="144">
        <v>21</v>
      </c>
      <c r="AE134" s="24">
        <v>34</v>
      </c>
      <c r="AF134" s="24">
        <v>30</v>
      </c>
      <c r="AG134" s="24">
        <v>23</v>
      </c>
      <c r="AH134" s="24">
        <v>25</v>
      </c>
      <c r="AI134" s="24">
        <v>32</v>
      </c>
      <c r="AJ134" s="24">
        <v>32</v>
      </c>
      <c r="AK134" s="29">
        <v>25</v>
      </c>
      <c r="AL134" s="29">
        <v>23</v>
      </c>
      <c r="AM134" s="24">
        <v>34</v>
      </c>
      <c r="AN134" s="24">
        <v>30</v>
      </c>
      <c r="AO134" s="24">
        <v>27</v>
      </c>
      <c r="AP134" s="24">
        <v>21</v>
      </c>
      <c r="AQ134" s="145">
        <v>34</v>
      </c>
      <c r="AR134" s="145">
        <v>30</v>
      </c>
      <c r="AS134" s="180">
        <v>27</v>
      </c>
      <c r="AT134" s="180">
        <v>21</v>
      </c>
      <c r="AU134" s="181">
        <v>34</v>
      </c>
      <c r="AV134" s="181">
        <v>30</v>
      </c>
      <c r="AW134" s="43">
        <v>24</v>
      </c>
      <c r="AX134" s="43">
        <v>21</v>
      </c>
      <c r="AY134" s="58">
        <v>28</v>
      </c>
      <c r="AZ134" s="58">
        <v>28</v>
      </c>
      <c r="BA134" s="92">
        <v>22</v>
      </c>
      <c r="BB134" s="92">
        <v>20</v>
      </c>
      <c r="BC134" s="24">
        <v>28</v>
      </c>
      <c r="BD134" s="24">
        <v>28</v>
      </c>
      <c r="CM134" s="25"/>
      <c r="CW134" s="25"/>
    </row>
    <row r="135" s="24" customFormat="1" customHeight="1" spans="1:103">
      <c r="A135" s="177"/>
      <c r="B135" s="24">
        <v>26</v>
      </c>
      <c r="C135" s="35" t="s">
        <v>1364</v>
      </c>
      <c r="E135" s="94"/>
      <c r="F135" s="31"/>
      <c r="K135" s="39"/>
      <c r="N135" s="27"/>
      <c r="W135" s="39"/>
      <c r="Y135" s="27"/>
      <c r="Z135" s="27"/>
      <c r="AA135" s="24">
        <v>7</v>
      </c>
      <c r="AC135" s="144">
        <v>2</v>
      </c>
      <c r="AD135" s="144">
        <v>4</v>
      </c>
      <c r="AE135" s="24">
        <v>2</v>
      </c>
      <c r="AF135" s="24">
        <v>6</v>
      </c>
      <c r="AG135" s="24">
        <v>16</v>
      </c>
      <c r="AH135" s="24">
        <v>5</v>
      </c>
      <c r="AI135" s="24">
        <v>23</v>
      </c>
      <c r="AJ135" s="24">
        <v>5</v>
      </c>
      <c r="AK135" s="29">
        <v>16</v>
      </c>
      <c r="AL135" s="29">
        <v>5</v>
      </c>
      <c r="AM135" s="24">
        <v>23</v>
      </c>
      <c r="AN135" s="24">
        <v>5</v>
      </c>
      <c r="AO135" s="24">
        <v>18</v>
      </c>
      <c r="AP135" s="24">
        <v>3</v>
      </c>
      <c r="AQ135" s="145">
        <v>24</v>
      </c>
      <c r="AR135" s="145">
        <v>4</v>
      </c>
      <c r="AS135" s="180">
        <v>15</v>
      </c>
      <c r="AT135" s="180">
        <v>6</v>
      </c>
      <c r="AU135" s="181">
        <v>16</v>
      </c>
      <c r="AV135" s="181">
        <v>12</v>
      </c>
      <c r="AW135" s="43">
        <v>12</v>
      </c>
      <c r="AX135" s="43">
        <v>9</v>
      </c>
      <c r="AY135" s="58">
        <v>16</v>
      </c>
      <c r="AZ135" s="58">
        <v>12</v>
      </c>
      <c r="BA135" s="92">
        <v>12</v>
      </c>
      <c r="BB135" s="92">
        <v>9</v>
      </c>
      <c r="BC135" s="24">
        <v>16</v>
      </c>
      <c r="BD135" s="24">
        <v>12</v>
      </c>
    </row>
    <row r="136" s="24" customFormat="1" customHeight="1" spans="1:103">
      <c r="A136" s="177"/>
      <c r="B136" s="24">
        <v>28</v>
      </c>
      <c r="C136" s="23" t="s">
        <v>975</v>
      </c>
      <c r="E136" s="94"/>
      <c r="F136" s="31"/>
      <c r="K136" s="39"/>
      <c r="N136" s="27"/>
      <c r="W136" s="39"/>
      <c r="Y136" s="27"/>
      <c r="Z136" s="109"/>
      <c r="AA136" s="24">
        <v>3</v>
      </c>
      <c r="AC136" s="144"/>
      <c r="AD136" s="144"/>
      <c r="AG136" s="24">
        <v>3</v>
      </c>
      <c r="AH136" s="24">
        <v>6</v>
      </c>
      <c r="AI136" s="24">
        <v>4</v>
      </c>
      <c r="AJ136" s="24">
        <v>8</v>
      </c>
      <c r="AK136" s="29"/>
      <c r="AL136" s="29">
        <v>9</v>
      </c>
      <c r="AN136" s="24">
        <v>12</v>
      </c>
      <c r="AO136" s="24">
        <v>6</v>
      </c>
      <c r="AP136" s="24">
        <v>3</v>
      </c>
      <c r="AQ136" s="145">
        <v>0</v>
      </c>
      <c r="AR136" s="145">
        <v>15</v>
      </c>
      <c r="AS136" s="180">
        <v>3</v>
      </c>
      <c r="AT136" s="180">
        <v>6</v>
      </c>
      <c r="AU136" s="181">
        <v>0</v>
      </c>
      <c r="AV136" s="181">
        <v>12</v>
      </c>
      <c r="AW136" s="43">
        <v>3</v>
      </c>
      <c r="AX136" s="43">
        <v>6</v>
      </c>
      <c r="AY136" s="58"/>
      <c r="AZ136" s="58">
        <v>12</v>
      </c>
      <c r="BA136" s="92">
        <v>3</v>
      </c>
      <c r="BB136" s="92">
        <v>6</v>
      </c>
      <c r="BD136" s="24">
        <v>12</v>
      </c>
      <c r="CY136" s="25"/>
    </row>
    <row r="137" s="24" customFormat="1" customHeight="1" spans="1:103">
      <c r="A137" s="177"/>
      <c r="B137" s="24">
        <v>29</v>
      </c>
      <c r="C137" s="30" t="s">
        <v>1365</v>
      </c>
      <c r="E137" s="94"/>
      <c r="F137" s="31" t="s">
        <v>106</v>
      </c>
      <c r="J137" s="24" t="s">
        <v>717</v>
      </c>
      <c r="K137" s="39" t="s">
        <v>946</v>
      </c>
      <c r="N137" s="27"/>
      <c r="O137" s="24">
        <v>51</v>
      </c>
      <c r="Q137" s="24" t="s">
        <v>408</v>
      </c>
      <c r="V137" s="24" t="s">
        <v>717</v>
      </c>
      <c r="W137" s="39" t="s">
        <v>946</v>
      </c>
      <c r="Y137" s="27"/>
      <c r="Z137" s="27"/>
      <c r="AA137" s="24">
        <v>7</v>
      </c>
      <c r="AC137" s="144"/>
      <c r="AD137" s="144"/>
      <c r="AG137" s="24">
        <v>19</v>
      </c>
      <c r="AH137" s="24">
        <v>2</v>
      </c>
      <c r="AI137" s="24">
        <v>12</v>
      </c>
      <c r="AJ137" s="24">
        <v>2</v>
      </c>
      <c r="AK137" s="29">
        <v>19</v>
      </c>
      <c r="AL137" s="29">
        <v>2</v>
      </c>
      <c r="AM137" s="24">
        <v>12</v>
      </c>
      <c r="AN137" s="24">
        <v>2</v>
      </c>
      <c r="AO137" s="24">
        <v>19</v>
      </c>
      <c r="AP137" s="24">
        <v>2</v>
      </c>
      <c r="AQ137" s="145">
        <v>12</v>
      </c>
      <c r="AR137" s="145">
        <v>2</v>
      </c>
      <c r="AS137" s="180">
        <v>19</v>
      </c>
      <c r="AT137" s="180">
        <v>2</v>
      </c>
      <c r="AU137" s="181">
        <v>12</v>
      </c>
      <c r="AV137" s="181">
        <v>2</v>
      </c>
      <c r="AW137" s="43">
        <v>19</v>
      </c>
      <c r="AX137" s="43">
        <v>2</v>
      </c>
      <c r="AY137" s="58">
        <v>12</v>
      </c>
      <c r="AZ137" s="58">
        <v>2</v>
      </c>
      <c r="BA137" s="92">
        <v>19</v>
      </c>
      <c r="BB137" s="92">
        <v>2</v>
      </c>
      <c r="BC137" s="24">
        <v>12</v>
      </c>
      <c r="BD137" s="24">
        <v>2</v>
      </c>
    </row>
    <row r="138" s="24" customFormat="1" customHeight="1" spans="1:103">
      <c r="A138" s="177"/>
      <c r="B138" s="24">
        <v>30</v>
      </c>
      <c r="C138" s="30" t="s">
        <v>1366</v>
      </c>
      <c r="E138" s="94"/>
      <c r="F138" s="31" t="s">
        <v>106</v>
      </c>
      <c r="J138" s="24" t="s">
        <v>949</v>
      </c>
      <c r="K138" s="39" t="s">
        <v>950</v>
      </c>
      <c r="N138" s="27"/>
      <c r="O138" s="24">
        <v>4</v>
      </c>
      <c r="Q138" s="24" t="s">
        <v>408</v>
      </c>
      <c r="V138" s="24" t="s">
        <v>949</v>
      </c>
      <c r="W138" s="39" t="s">
        <v>950</v>
      </c>
      <c r="Y138" s="27"/>
      <c r="Z138" s="27"/>
      <c r="AC138" s="144"/>
      <c r="AD138" s="144"/>
      <c r="AK138" s="29"/>
      <c r="AL138" s="29"/>
      <c r="AQ138" s="145"/>
      <c r="AR138" s="145"/>
      <c r="AS138" s="20"/>
      <c r="AT138" s="20"/>
      <c r="AU138" s="20"/>
      <c r="AV138" s="20"/>
    </row>
    <row r="139" s="24" customFormat="1" customHeight="1" spans="1:103">
      <c r="A139" s="177"/>
      <c r="B139" s="24">
        <v>31</v>
      </c>
      <c r="C139" s="30" t="s">
        <v>1367</v>
      </c>
      <c r="E139" s="94"/>
      <c r="F139" s="31"/>
      <c r="K139" s="39"/>
      <c r="N139" s="27"/>
      <c r="W139" s="39"/>
      <c r="Y139" s="27"/>
      <c r="Z139" s="27"/>
      <c r="AC139" s="144"/>
      <c r="AD139" s="144"/>
      <c r="AK139" s="29"/>
      <c r="AL139" s="29"/>
      <c r="AQ139" s="145"/>
      <c r="AR139" s="145"/>
      <c r="AS139" s="20"/>
      <c r="AT139" s="20"/>
      <c r="AU139" s="20"/>
      <c r="AV139" s="20"/>
    </row>
    <row r="140" s="24" customFormat="1" customHeight="1" spans="1:103">
      <c r="A140" s="177"/>
      <c r="B140" s="24">
        <v>32</v>
      </c>
      <c r="C140" s="30" t="s">
        <v>1368</v>
      </c>
      <c r="D140" s="94"/>
      <c r="E140" s="94"/>
      <c r="F140" s="31"/>
      <c r="G140" s="94"/>
      <c r="H140" s="95"/>
      <c r="I140" s="95"/>
      <c r="J140" s="94"/>
      <c r="K140" s="52"/>
      <c r="L140" s="95"/>
      <c r="M140" s="95"/>
      <c r="N140" s="52"/>
      <c r="O140" s="52"/>
      <c r="W140" s="27"/>
      <c r="X140" s="94"/>
      <c r="Y140" s="94"/>
      <c r="Z140" s="27"/>
      <c r="AC140" s="144"/>
      <c r="AD140" s="144"/>
      <c r="AK140" s="29"/>
      <c r="AL140" s="29"/>
      <c r="AQ140" s="145"/>
      <c r="AR140" s="145"/>
      <c r="AS140" s="20"/>
      <c r="AT140" s="20"/>
      <c r="AU140" s="20"/>
      <c r="AV140" s="20"/>
    </row>
    <row r="141" s="24" customFormat="1" customHeight="1" spans="1:103">
      <c r="A141" s="177"/>
      <c r="B141" s="24">
        <v>33</v>
      </c>
      <c r="C141" s="30" t="s">
        <v>1369</v>
      </c>
      <c r="D141" s="94"/>
      <c r="E141" s="94"/>
      <c r="F141" s="31"/>
      <c r="G141" s="94"/>
      <c r="H141" s="95"/>
      <c r="I141" s="95"/>
      <c r="J141" s="94"/>
      <c r="K141" s="52"/>
      <c r="L141" s="95"/>
      <c r="M141" s="95"/>
      <c r="N141" s="52"/>
      <c r="O141" s="52"/>
      <c r="W141" s="27"/>
      <c r="X141" s="94"/>
      <c r="Y141" s="94"/>
      <c r="Z141" s="27"/>
      <c r="AC141" s="144"/>
      <c r="AD141" s="144"/>
      <c r="AK141" s="29"/>
      <c r="AL141" s="29"/>
      <c r="AQ141" s="145"/>
      <c r="AR141" s="145"/>
      <c r="AS141" s="20"/>
      <c r="AT141" s="20"/>
      <c r="AU141" s="20"/>
      <c r="AV141" s="20"/>
    </row>
    <row r="142" s="24" customFormat="1" customHeight="1" spans="1:103">
      <c r="A142" s="177"/>
      <c r="B142" s="24">
        <v>34</v>
      </c>
      <c r="C142" s="30" t="s">
        <v>1370</v>
      </c>
      <c r="D142" s="94"/>
      <c r="E142" s="94"/>
      <c r="F142" s="31"/>
      <c r="G142" s="94"/>
      <c r="H142" s="95"/>
      <c r="I142" s="95"/>
      <c r="J142" s="94"/>
      <c r="K142" s="52"/>
      <c r="L142" s="95"/>
      <c r="M142" s="95"/>
      <c r="N142" s="52"/>
      <c r="O142" s="52"/>
      <c r="W142" s="27"/>
      <c r="X142" s="94"/>
      <c r="Y142" s="94"/>
      <c r="Z142" s="142" t="s">
        <v>1371</v>
      </c>
      <c r="AA142" s="24">
        <v>13</v>
      </c>
      <c r="AC142" s="144">
        <v>24</v>
      </c>
      <c r="AD142" s="144">
        <v>12</v>
      </c>
      <c r="AE142" s="119">
        <v>26</v>
      </c>
      <c r="AF142" s="119">
        <v>22</v>
      </c>
      <c r="AG142" s="24">
        <v>15</v>
      </c>
      <c r="AH142" s="24">
        <v>21</v>
      </c>
      <c r="AI142" s="24">
        <v>26</v>
      </c>
      <c r="AJ142" s="24">
        <v>22</v>
      </c>
      <c r="AK142" s="29">
        <v>23</v>
      </c>
      <c r="AL142" s="29">
        <v>28</v>
      </c>
      <c r="AM142" s="24">
        <v>30</v>
      </c>
      <c r="AN142" s="24">
        <v>25</v>
      </c>
      <c r="AO142" s="24">
        <v>18</v>
      </c>
      <c r="AP142" s="24">
        <v>21</v>
      </c>
      <c r="AQ142" s="145">
        <v>31</v>
      </c>
      <c r="AR142" s="145">
        <v>22</v>
      </c>
      <c r="AS142" s="180">
        <v>18</v>
      </c>
      <c r="AT142" s="180">
        <v>21</v>
      </c>
      <c r="AU142" s="181">
        <v>30</v>
      </c>
      <c r="AV142" s="181">
        <v>22</v>
      </c>
      <c r="AW142" s="43">
        <v>18</v>
      </c>
      <c r="AX142" s="43">
        <v>21</v>
      </c>
      <c r="AY142" s="58">
        <v>44</v>
      </c>
      <c r="AZ142" s="58">
        <v>98</v>
      </c>
      <c r="BA142" s="92">
        <v>34</v>
      </c>
      <c r="BB142" s="92">
        <v>91</v>
      </c>
      <c r="BC142" s="24">
        <v>44</v>
      </c>
      <c r="BD142" s="24">
        <v>96</v>
      </c>
      <c r="CS142" s="25"/>
    </row>
    <row r="143" s="24" customFormat="1" customHeight="1" spans="1:103">
      <c r="A143" s="177"/>
      <c r="B143" s="24">
        <v>35</v>
      </c>
      <c r="C143" s="30" t="s">
        <v>892</v>
      </c>
      <c r="D143" s="94"/>
      <c r="E143" s="94"/>
      <c r="F143" s="31"/>
      <c r="G143" s="94"/>
      <c r="H143" s="95"/>
      <c r="I143" s="95"/>
      <c r="J143" s="94"/>
      <c r="K143" s="52"/>
      <c r="L143" s="95"/>
      <c r="M143" s="95"/>
      <c r="N143" s="52"/>
      <c r="O143" s="52"/>
      <c r="W143" s="27"/>
      <c r="X143" s="94"/>
      <c r="Y143" s="94"/>
      <c r="Z143" s="190" t="s">
        <v>1372</v>
      </c>
      <c r="AA143" s="24">
        <v>8</v>
      </c>
      <c r="AC143" s="186">
        <v>28</v>
      </c>
      <c r="AD143" s="186">
        <v>20</v>
      </c>
      <c r="AE143" s="119">
        <v>28</v>
      </c>
      <c r="AF143" s="119">
        <v>36</v>
      </c>
      <c r="AG143" s="24">
        <v>12</v>
      </c>
      <c r="AH143" s="24">
        <v>12</v>
      </c>
      <c r="AI143" s="24">
        <v>12</v>
      </c>
      <c r="AJ143" s="24">
        <v>20</v>
      </c>
      <c r="AK143" s="29">
        <v>12</v>
      </c>
      <c r="AL143" s="29">
        <v>12</v>
      </c>
      <c r="AM143" s="24">
        <v>12</v>
      </c>
      <c r="AN143" s="24">
        <v>20</v>
      </c>
      <c r="AO143" s="24">
        <v>12</v>
      </c>
      <c r="AP143" s="24">
        <v>12</v>
      </c>
      <c r="AQ143" s="145">
        <v>12</v>
      </c>
      <c r="AR143" s="145">
        <v>20</v>
      </c>
      <c r="AS143" s="180">
        <v>12</v>
      </c>
      <c r="AT143" s="180">
        <v>12</v>
      </c>
      <c r="AU143" s="181">
        <v>12</v>
      </c>
      <c r="AV143" s="181">
        <v>20</v>
      </c>
      <c r="AW143" s="43">
        <v>10</v>
      </c>
      <c r="AX143" s="43">
        <v>11</v>
      </c>
      <c r="AY143" s="58">
        <v>20</v>
      </c>
      <c r="AZ143" s="58">
        <v>48</v>
      </c>
      <c r="BA143" s="92">
        <v>20</v>
      </c>
      <c r="BB143" s="92">
        <v>41</v>
      </c>
      <c r="BC143" s="24">
        <v>20</v>
      </c>
      <c r="BD143" s="24">
        <v>48</v>
      </c>
      <c r="CK143" s="25"/>
    </row>
    <row r="144" s="24" customFormat="1" customHeight="1" spans="1:103">
      <c r="A144" s="177"/>
      <c r="B144" s="24">
        <v>36</v>
      </c>
      <c r="C144" s="30" t="s">
        <v>1373</v>
      </c>
      <c r="D144" s="94"/>
      <c r="E144" s="94"/>
      <c r="F144" s="31"/>
      <c r="G144" s="94"/>
      <c r="H144" s="95"/>
      <c r="I144" s="95"/>
      <c r="J144" s="94"/>
      <c r="K144" s="52"/>
      <c r="L144" s="95"/>
      <c r="M144" s="95"/>
      <c r="N144" s="52"/>
      <c r="O144" s="52"/>
      <c r="W144" s="27"/>
      <c r="X144" s="94"/>
      <c r="Y144" s="94"/>
      <c r="Z144" s="27"/>
      <c r="AC144" s="144"/>
      <c r="AD144" s="144"/>
      <c r="AK144" s="29"/>
      <c r="AL144" s="29"/>
      <c r="AM144" s="191"/>
      <c r="AQ144" s="145"/>
      <c r="AR144" s="145"/>
      <c r="AS144" s="20"/>
      <c r="AT144" s="20"/>
      <c r="AU144" s="20"/>
      <c r="AV144" s="20"/>
    </row>
    <row r="145" s="24" customFormat="1" customHeight="1" spans="1:103">
      <c r="A145" s="177"/>
      <c r="B145" s="24">
        <v>37</v>
      </c>
      <c r="C145" s="30" t="s">
        <v>1374</v>
      </c>
      <c r="D145" s="94"/>
      <c r="E145" s="94"/>
      <c r="F145" s="31"/>
      <c r="G145" s="94"/>
      <c r="H145" s="95"/>
      <c r="I145" s="95"/>
      <c r="J145" s="94"/>
      <c r="K145" s="52"/>
      <c r="L145" s="95"/>
      <c r="M145" s="95"/>
      <c r="N145" s="52"/>
      <c r="O145" s="52"/>
      <c r="W145" s="27"/>
      <c r="X145" s="94"/>
      <c r="Y145" s="94"/>
      <c r="Z145" s="27"/>
      <c r="AC145" s="144">
        <v>72</v>
      </c>
      <c r="AD145" s="144"/>
      <c r="AK145" s="29"/>
      <c r="AL145" s="29"/>
      <c r="AQ145" s="145"/>
      <c r="AR145" s="145"/>
      <c r="AS145" s="20"/>
      <c r="AT145" s="20"/>
      <c r="AU145" s="20"/>
      <c r="AV145" s="20"/>
      <c r="AY145" s="58">
        <v>18</v>
      </c>
      <c r="AZ145" s="58"/>
      <c r="CW145" s="25"/>
    </row>
    <row r="146" s="24" customFormat="1" customHeight="1" spans="1:103">
      <c r="A146" s="177"/>
      <c r="B146" s="24">
        <v>38</v>
      </c>
      <c r="C146" s="30" t="s">
        <v>1375</v>
      </c>
      <c r="D146" s="94"/>
      <c r="E146" s="94"/>
      <c r="F146" s="31"/>
      <c r="G146" s="94"/>
      <c r="H146" s="95"/>
      <c r="I146" s="95"/>
      <c r="J146" s="94"/>
      <c r="K146" s="52"/>
      <c r="L146" s="95"/>
      <c r="M146" s="95"/>
      <c r="N146" s="52"/>
      <c r="O146" s="52"/>
      <c r="W146" s="27"/>
      <c r="X146" s="94"/>
      <c r="Y146" s="94"/>
      <c r="Z146" s="27"/>
      <c r="AC146" s="144"/>
      <c r="AD146" s="144"/>
      <c r="AK146" s="29"/>
      <c r="AL146" s="29"/>
      <c r="AQ146" s="145"/>
      <c r="AR146" s="145"/>
      <c r="AS146" s="20"/>
      <c r="AT146" s="20"/>
      <c r="AU146" s="20"/>
      <c r="AV146" s="20"/>
      <c r="CW146" s="25"/>
    </row>
    <row r="147" s="24" customFormat="1" customHeight="1" spans="1:103">
      <c r="A147" s="177"/>
      <c r="B147" s="24">
        <v>39</v>
      </c>
      <c r="C147" s="30" t="s">
        <v>1376</v>
      </c>
      <c r="D147" s="94"/>
      <c r="E147" s="94"/>
      <c r="F147" s="31"/>
      <c r="G147" s="94"/>
      <c r="H147" s="95"/>
      <c r="I147" s="95"/>
      <c r="J147" s="94"/>
      <c r="K147" s="52"/>
      <c r="L147" s="95"/>
      <c r="M147" s="95"/>
      <c r="N147" s="52"/>
      <c r="O147" s="52"/>
      <c r="W147" s="27"/>
      <c r="X147" s="94"/>
      <c r="Y147" s="94"/>
      <c r="Z147" s="27"/>
      <c r="AA147" s="24">
        <v>3</v>
      </c>
      <c r="AC147" s="144">
        <v>10</v>
      </c>
      <c r="AD147" s="144"/>
      <c r="AG147" s="24">
        <v>3</v>
      </c>
      <c r="AH147" s="24">
        <v>6</v>
      </c>
      <c r="AJ147" s="24">
        <v>12</v>
      </c>
      <c r="AK147" s="29"/>
      <c r="AL147" s="29">
        <v>9</v>
      </c>
      <c r="AN147" s="24">
        <v>12</v>
      </c>
      <c r="AO147" s="24"/>
      <c r="AP147" s="24">
        <v>9</v>
      </c>
      <c r="AQ147" s="145"/>
      <c r="AR147" s="145">
        <v>12</v>
      </c>
      <c r="AS147" s="180"/>
      <c r="AT147" s="180">
        <v>9</v>
      </c>
      <c r="AU147" s="181"/>
      <c r="AV147" s="181">
        <v>12</v>
      </c>
      <c r="AW147" s="43"/>
      <c r="AX147" s="43">
        <v>15</v>
      </c>
      <c r="AY147" s="24">
        <v>0</v>
      </c>
      <c r="AZ147" s="24">
        <v>0</v>
      </c>
      <c r="BA147" s="92"/>
      <c r="BB147" s="92">
        <v>15</v>
      </c>
      <c r="BD147" s="24">
        <v>0</v>
      </c>
      <c r="BO147" s="24">
        <f>SUM(AV147:BN147)</f>
        <v>42</v>
      </c>
      <c r="BP147" s="24">
        <f>SUM(AW147:BO147)</f>
        <v>72</v>
      </c>
      <c r="BQ147" s="24">
        <f>SUM(AX147:BP147)</f>
        <v>144</v>
      </c>
      <c r="BR147" s="24">
        <f>SUM(AY147:BQ147)</f>
        <v>273</v>
      </c>
      <c r="BS147" s="24">
        <f>SUM(AZ147:BR147)</f>
        <v>546</v>
      </c>
    </row>
    <row r="148" s="24" customFormat="1" customHeight="1" spans="1:103">
      <c r="A148" s="177"/>
      <c r="B148" s="24">
        <v>40</v>
      </c>
      <c r="C148" s="30" t="s">
        <v>1377</v>
      </c>
      <c r="D148" s="94"/>
      <c r="E148" s="94"/>
      <c r="F148" s="31"/>
      <c r="G148" s="94"/>
      <c r="H148" s="95"/>
      <c r="I148" s="95"/>
      <c r="J148" s="94"/>
      <c r="K148" s="52"/>
      <c r="L148" s="95"/>
      <c r="M148" s="95"/>
      <c r="N148" s="52"/>
      <c r="O148" s="52"/>
      <c r="W148" s="27"/>
      <c r="X148" s="94"/>
      <c r="Y148" s="94"/>
      <c r="Z148" s="27"/>
      <c r="AC148" s="144">
        <v>2</v>
      </c>
      <c r="AD148" s="144"/>
      <c r="AK148" s="29"/>
      <c r="AL148" s="29"/>
      <c r="AQ148" s="145"/>
      <c r="AR148" s="145"/>
      <c r="AS148" s="20"/>
      <c r="AT148" s="20"/>
      <c r="AU148" s="20"/>
      <c r="AV148" s="20"/>
      <c r="CW148" s="25"/>
      <c r="CY148" s="25"/>
    </row>
    <row r="149" s="24" customFormat="1" customHeight="1" spans="1:103">
      <c r="A149" s="177"/>
      <c r="B149" s="24">
        <v>41</v>
      </c>
      <c r="C149" s="30" t="s">
        <v>1016</v>
      </c>
      <c r="D149" s="94"/>
      <c r="E149" s="94"/>
      <c r="F149" s="31"/>
      <c r="G149" s="94"/>
      <c r="H149" s="95"/>
      <c r="I149" s="95"/>
      <c r="J149" s="94"/>
      <c r="K149" s="52"/>
      <c r="L149" s="95"/>
      <c r="M149" s="95"/>
      <c r="N149" s="52"/>
      <c r="O149" s="52"/>
      <c r="W149" s="27"/>
      <c r="X149" s="94"/>
      <c r="Y149" s="94"/>
      <c r="Z149" s="27"/>
      <c r="AC149" s="144"/>
      <c r="AD149" s="144"/>
      <c r="AK149" s="29"/>
      <c r="AL149" s="29"/>
      <c r="AQ149" s="145"/>
      <c r="AR149" s="145"/>
      <c r="AS149" s="20"/>
      <c r="AT149" s="20"/>
      <c r="AU149" s="20"/>
      <c r="AV149" s="20"/>
    </row>
    <row r="150" s="24" customFormat="1" customHeight="1" spans="1:103">
      <c r="A150" s="177"/>
      <c r="B150" s="24">
        <v>42</v>
      </c>
      <c r="C150" s="30" t="s">
        <v>1378</v>
      </c>
      <c r="D150" s="94"/>
      <c r="E150" s="94"/>
      <c r="F150" s="31"/>
      <c r="G150" s="94"/>
      <c r="H150" s="95"/>
      <c r="I150" s="95"/>
      <c r="J150" s="94"/>
      <c r="K150" s="52"/>
      <c r="L150" s="95"/>
      <c r="M150" s="95"/>
      <c r="N150" s="52"/>
      <c r="O150" s="52"/>
      <c r="W150" s="27"/>
      <c r="X150" s="94"/>
      <c r="Y150" s="94"/>
      <c r="Z150" s="27"/>
      <c r="AC150" s="144"/>
      <c r="AD150" s="144"/>
      <c r="AK150" s="29"/>
      <c r="AL150" s="29"/>
      <c r="AQ150" s="145"/>
      <c r="AR150" s="145"/>
      <c r="AS150" s="20"/>
      <c r="AT150" s="20"/>
      <c r="AU150" s="20"/>
      <c r="AV150" s="20"/>
    </row>
    <row r="151" s="24" customFormat="1" customHeight="1" spans="1:103">
      <c r="A151" s="177"/>
      <c r="B151" s="24">
        <v>43</v>
      </c>
      <c r="C151" s="30" t="s">
        <v>1379</v>
      </c>
      <c r="D151" s="94"/>
      <c r="E151" s="94"/>
      <c r="F151" s="31"/>
      <c r="G151" s="94"/>
      <c r="H151" s="95"/>
      <c r="I151" s="95"/>
      <c r="J151" s="94"/>
      <c r="K151" s="52"/>
      <c r="L151" s="95"/>
      <c r="M151" s="95"/>
      <c r="N151" s="52"/>
      <c r="O151" s="52"/>
      <c r="W151" s="27"/>
      <c r="X151" s="94"/>
      <c r="Y151" s="94"/>
      <c r="Z151" s="27"/>
      <c r="AC151" s="144"/>
      <c r="AD151" s="144"/>
      <c r="AK151" s="29"/>
      <c r="AL151" s="29"/>
      <c r="AQ151" s="145"/>
      <c r="AR151" s="145"/>
      <c r="AS151" s="20"/>
      <c r="AT151" s="20"/>
      <c r="AU151" s="20"/>
      <c r="AV151" s="20"/>
      <c r="CY151" s="25"/>
    </row>
    <row r="152" s="24" customFormat="1" customHeight="1" spans="1:103">
      <c r="A152" s="177"/>
      <c r="B152" s="24">
        <v>44</v>
      </c>
      <c r="C152" s="30" t="s">
        <v>1380</v>
      </c>
      <c r="D152" s="94"/>
      <c r="E152" s="94"/>
      <c r="F152" s="31"/>
      <c r="G152" s="94"/>
      <c r="H152" s="95"/>
      <c r="I152" s="95"/>
      <c r="J152" s="94"/>
      <c r="K152" s="52"/>
      <c r="L152" s="95"/>
      <c r="M152" s="95"/>
      <c r="N152" s="52"/>
      <c r="O152" s="52"/>
      <c r="W152" s="27"/>
      <c r="X152" s="94"/>
      <c r="Y152" s="94"/>
      <c r="Z152" s="27" t="s">
        <v>985</v>
      </c>
      <c r="AA152" s="24">
        <v>5</v>
      </c>
      <c r="AC152" s="144">
        <v>9</v>
      </c>
      <c r="AD152" s="144">
        <v>6</v>
      </c>
      <c r="AE152" s="24">
        <v>6</v>
      </c>
      <c r="AF152" s="24">
        <v>14</v>
      </c>
      <c r="AG152" s="24">
        <v>6</v>
      </c>
      <c r="AH152" s="24">
        <v>9</v>
      </c>
      <c r="AI152" s="24">
        <v>8</v>
      </c>
      <c r="AJ152" s="24">
        <v>14</v>
      </c>
      <c r="AK152" s="29">
        <v>4</v>
      </c>
      <c r="AL152" s="29">
        <v>9</v>
      </c>
      <c r="AM152" s="24">
        <v>6</v>
      </c>
      <c r="AN152" s="24">
        <v>16</v>
      </c>
      <c r="AO152" s="24">
        <v>4</v>
      </c>
      <c r="AP152" s="24">
        <v>11</v>
      </c>
      <c r="AQ152" s="145">
        <v>6</v>
      </c>
      <c r="AR152" s="145">
        <v>14</v>
      </c>
      <c r="AS152" s="180">
        <v>3</v>
      </c>
      <c r="AT152" s="180">
        <v>12</v>
      </c>
      <c r="AU152" s="181">
        <v>6</v>
      </c>
      <c r="AV152" s="181">
        <v>14</v>
      </c>
      <c r="AW152" s="43">
        <v>3</v>
      </c>
      <c r="AX152" s="43">
        <v>12</v>
      </c>
      <c r="AY152" s="58">
        <v>6</v>
      </c>
      <c r="AZ152" s="58">
        <v>14</v>
      </c>
      <c r="BA152" s="92">
        <v>3</v>
      </c>
      <c r="BB152" s="92">
        <v>12</v>
      </c>
      <c r="BC152" s="24">
        <v>6</v>
      </c>
      <c r="BD152" s="24">
        <v>14</v>
      </c>
      <c r="CK152" s="25"/>
    </row>
    <row r="153" s="24" customFormat="1" customHeight="1" spans="1:103">
      <c r="A153" s="177"/>
      <c r="B153" s="24">
        <v>45</v>
      </c>
      <c r="C153" s="30" t="s">
        <v>1381</v>
      </c>
      <c r="D153" s="94"/>
      <c r="E153" s="94"/>
      <c r="F153" s="31"/>
      <c r="G153" s="94"/>
      <c r="H153" s="95"/>
      <c r="I153" s="95"/>
      <c r="J153" s="94"/>
      <c r="K153" s="52"/>
      <c r="L153" s="95"/>
      <c r="M153" s="95"/>
      <c r="N153" s="52"/>
      <c r="O153" s="52"/>
      <c r="W153" s="27"/>
      <c r="X153" s="94"/>
      <c r="Y153" s="94"/>
      <c r="AA153" s="27" t="s">
        <v>1355</v>
      </c>
      <c r="AC153" s="144">
        <v>23</v>
      </c>
      <c r="AD153" s="144">
        <v>34</v>
      </c>
      <c r="AE153" s="24">
        <v>7</v>
      </c>
      <c r="AF153" s="24">
        <v>21</v>
      </c>
      <c r="AG153" s="24">
        <v>9</v>
      </c>
      <c r="AH153" s="24">
        <v>21</v>
      </c>
      <c r="AI153" s="24">
        <v>9</v>
      </c>
      <c r="AJ153" s="24">
        <v>21</v>
      </c>
      <c r="AK153" s="29">
        <v>17</v>
      </c>
      <c r="AL153" s="29">
        <v>28</v>
      </c>
      <c r="AM153" s="24">
        <v>8</v>
      </c>
      <c r="AN153" s="24">
        <v>22</v>
      </c>
      <c r="AO153" s="24">
        <v>17</v>
      </c>
      <c r="AP153" s="24">
        <v>28</v>
      </c>
      <c r="AQ153" s="145">
        <v>8</v>
      </c>
      <c r="AR153" s="145">
        <v>22</v>
      </c>
      <c r="AS153" s="180">
        <v>15</v>
      </c>
      <c r="AT153" s="180">
        <v>30</v>
      </c>
      <c r="AU153" s="181">
        <v>8</v>
      </c>
      <c r="AV153" s="181">
        <v>22</v>
      </c>
      <c r="AW153" s="43">
        <v>15</v>
      </c>
      <c r="AX153" s="43">
        <v>30</v>
      </c>
      <c r="AY153" s="58">
        <v>8</v>
      </c>
      <c r="AZ153" s="58">
        <v>22</v>
      </c>
      <c r="BA153" s="92">
        <v>15</v>
      </c>
      <c r="BB153" s="92">
        <v>30</v>
      </c>
      <c r="BC153" s="24">
        <v>8</v>
      </c>
      <c r="BD153" s="24">
        <v>22</v>
      </c>
      <c r="CW153" s="25"/>
    </row>
    <row r="154" s="24" customFormat="1" customHeight="1" spans="1:103">
      <c r="A154" s="177"/>
      <c r="B154" s="24">
        <v>46</v>
      </c>
      <c r="C154" s="30" t="s">
        <v>1382</v>
      </c>
      <c r="D154" s="94"/>
      <c r="E154" s="94"/>
      <c r="F154" s="31"/>
      <c r="G154" s="94"/>
      <c r="H154" s="95"/>
      <c r="I154" s="95"/>
      <c r="J154" s="94"/>
      <c r="K154" s="52"/>
      <c r="L154" s="95"/>
      <c r="M154" s="95"/>
      <c r="N154" s="52"/>
      <c r="O154" s="52"/>
      <c r="W154" s="27"/>
      <c r="X154" s="94"/>
      <c r="Y154" s="94"/>
      <c r="AB154" s="27" t="s">
        <v>1355</v>
      </c>
      <c r="AC154" s="144">
        <v>19</v>
      </c>
      <c r="AD154" s="144">
        <v>14</v>
      </c>
      <c r="AE154" s="24">
        <v>14</v>
      </c>
      <c r="AF154" s="24">
        <v>10</v>
      </c>
      <c r="AG154" s="24">
        <v>21</v>
      </c>
      <c r="AH154" s="24">
        <v>10</v>
      </c>
      <c r="AI154" s="24">
        <v>18</v>
      </c>
      <c r="AJ154" s="24">
        <v>10</v>
      </c>
      <c r="AK154" s="29">
        <v>29</v>
      </c>
      <c r="AL154" s="29">
        <v>16</v>
      </c>
      <c r="AM154" s="24">
        <v>17</v>
      </c>
      <c r="AN154" s="24">
        <v>13</v>
      </c>
      <c r="AO154" s="24">
        <v>29</v>
      </c>
      <c r="AP154" s="24">
        <v>16</v>
      </c>
      <c r="AQ154" s="145">
        <v>17</v>
      </c>
      <c r="AR154" s="145">
        <v>13</v>
      </c>
      <c r="AS154" s="180">
        <v>26</v>
      </c>
      <c r="AT154" s="180">
        <v>19</v>
      </c>
      <c r="AU154" s="181">
        <v>17</v>
      </c>
      <c r="AV154" s="181">
        <v>13</v>
      </c>
      <c r="AW154" s="43">
        <v>26</v>
      </c>
      <c r="AX154" s="43">
        <v>19</v>
      </c>
      <c r="AY154" s="58">
        <v>17</v>
      </c>
      <c r="AZ154" s="58">
        <v>13</v>
      </c>
      <c r="BA154" s="92">
        <v>26</v>
      </c>
      <c r="BB154" s="92">
        <v>19</v>
      </c>
      <c r="BC154" s="24">
        <v>17</v>
      </c>
      <c r="BD154" s="24">
        <v>13</v>
      </c>
      <c r="CW154" s="25"/>
    </row>
    <row r="155" s="24" customFormat="1" customHeight="1" spans="1:103">
      <c r="A155" s="177"/>
      <c r="B155" s="24">
        <v>47</v>
      </c>
      <c r="C155" s="23" t="s">
        <v>922</v>
      </c>
      <c r="D155" s="94"/>
      <c r="E155" s="94"/>
      <c r="F155" s="31"/>
      <c r="G155" s="94"/>
      <c r="H155" s="95"/>
      <c r="I155" s="95"/>
      <c r="K155" s="27"/>
      <c r="N155" s="27"/>
      <c r="O155" s="27"/>
      <c r="W155" s="27"/>
      <c r="Y155" s="27"/>
      <c r="Z155" s="27"/>
      <c r="AA155" s="24">
        <v>13</v>
      </c>
      <c r="AK155" s="29">
        <v>50</v>
      </c>
      <c r="AL155" s="29">
        <v>50</v>
      </c>
      <c r="AM155" s="24">
        <v>86</v>
      </c>
      <c r="AN155" s="24">
        <v>6</v>
      </c>
      <c r="AO155" s="24">
        <v>65</v>
      </c>
      <c r="AP155" s="24">
        <v>4</v>
      </c>
      <c r="AQ155" s="24">
        <v>124</v>
      </c>
      <c r="AR155" s="24">
        <v>8</v>
      </c>
      <c r="AS155" s="180">
        <v>58</v>
      </c>
      <c r="AT155" s="180">
        <v>28</v>
      </c>
      <c r="AU155" s="181">
        <v>85</v>
      </c>
      <c r="AV155" s="181">
        <v>27</v>
      </c>
      <c r="AW155" s="43">
        <v>52</v>
      </c>
      <c r="AX155" s="43">
        <v>32</v>
      </c>
      <c r="AY155" s="58">
        <v>101</v>
      </c>
      <c r="AZ155" s="58">
        <v>66</v>
      </c>
      <c r="BA155" s="92">
        <v>65</v>
      </c>
      <c r="BB155" s="92">
        <v>65</v>
      </c>
      <c r="BC155" s="24">
        <v>89</v>
      </c>
      <c r="BD155" s="24">
        <v>68</v>
      </c>
    </row>
    <row r="156" s="24" customFormat="1" customHeight="1" spans="1:103">
      <c r="A156" s="192"/>
      <c r="C156" s="23"/>
      <c r="D156" s="94"/>
      <c r="E156" s="94"/>
      <c r="F156" s="31"/>
      <c r="G156" s="94"/>
      <c r="H156" s="95"/>
      <c r="I156" s="95"/>
      <c r="K156" s="27"/>
      <c r="N156" s="27"/>
      <c r="O156" s="27"/>
      <c r="W156" s="27"/>
      <c r="Y156" s="27"/>
      <c r="Z156" s="27"/>
      <c r="AK156" s="29"/>
      <c r="AL156" s="29"/>
    </row>
    <row r="157" s="24" customFormat="1" customHeight="1" spans="1:103">
      <c r="A157" s="192"/>
      <c r="C157" s="35" t="s">
        <v>1383</v>
      </c>
      <c r="D157" s="94"/>
      <c r="E157" s="94"/>
      <c r="F157" s="31"/>
      <c r="G157" s="94"/>
      <c r="H157" s="95"/>
      <c r="I157" s="95"/>
      <c r="K157" s="27"/>
      <c r="N157" s="27"/>
      <c r="O157" s="27"/>
      <c r="W157" s="27"/>
      <c r="Y157" s="27"/>
      <c r="Z157" s="27"/>
      <c r="AB157" s="28"/>
      <c r="AI157" s="24">
        <f>SUM(AI3:AI154)</f>
        <v>2453</v>
      </c>
      <c r="AJ157" s="24">
        <f>SUM(AJ3:AJ154)</f>
        <v>2511</v>
      </c>
      <c r="AK157" s="29">
        <v>25</v>
      </c>
      <c r="AL157" s="29">
        <v>25</v>
      </c>
      <c r="AW157" s="24">
        <v>65</v>
      </c>
      <c r="AX157" s="24">
        <v>65</v>
      </c>
    </row>
    <row r="158" s="24" customFormat="1" customHeight="1" spans="1:103">
      <c r="A158" s="192"/>
      <c r="C158" s="35" t="s">
        <v>1384</v>
      </c>
      <c r="D158" s="94"/>
      <c r="E158" s="94"/>
      <c r="F158" s="31"/>
      <c r="G158" s="94"/>
      <c r="H158" s="95"/>
      <c r="I158" s="95"/>
      <c r="K158" s="27"/>
      <c r="N158" s="27"/>
      <c r="O158" s="27"/>
      <c r="W158" s="27"/>
      <c r="Y158" s="27"/>
      <c r="Z158" s="27"/>
      <c r="AB158" s="28"/>
      <c r="AK158" s="29"/>
      <c r="AL158" s="29"/>
      <c r="AW158" s="24">
        <v>36</v>
      </c>
    </row>
    <row r="159" s="24" customFormat="1" ht="25" customHeight="1" spans="1:103">
      <c r="A159" s="192"/>
      <c r="C159" s="30"/>
      <c r="D159" s="94"/>
      <c r="E159" s="94"/>
      <c r="F159" s="31"/>
      <c r="G159" s="94"/>
      <c r="H159" s="95"/>
      <c r="I159" s="95"/>
      <c r="J159" s="94"/>
      <c r="K159" s="52"/>
      <c r="L159" s="95"/>
      <c r="M159" s="95"/>
      <c r="N159" s="52"/>
      <c r="O159" s="52"/>
      <c r="W159" s="27"/>
      <c r="X159" s="94"/>
      <c r="Y159" s="94"/>
      <c r="Z159" s="27"/>
      <c r="AA159" s="24" t="s">
        <v>1385</v>
      </c>
      <c r="AB159" s="28" t="s">
        <v>1017</v>
      </c>
      <c r="AC159" s="25"/>
      <c r="AD159" s="25"/>
      <c r="AE159" s="25"/>
      <c r="AF159" s="25"/>
      <c r="AG159" s="25"/>
      <c r="AH159" s="25"/>
      <c r="AI159" s="25"/>
      <c r="AJ159" s="25"/>
      <c r="AK159" s="193">
        <v>10</v>
      </c>
      <c r="AL159" s="193">
        <v>20</v>
      </c>
      <c r="AM159" s="25">
        <v>10</v>
      </c>
      <c r="AN159" s="25">
        <v>20</v>
      </c>
      <c r="AQ159" s="24">
        <f>SUM(AQ34:AQ87)</f>
        <v>971</v>
      </c>
      <c r="AR159" s="24">
        <f>SUM(AR34:AR87)</f>
        <v>770</v>
      </c>
      <c r="AS159" s="24">
        <f t="shared" ref="AS159:BD159" si="0">SUM(AS34:AS68)</f>
        <v>1079</v>
      </c>
      <c r="AT159" s="24">
        <f t="shared" si="0"/>
        <v>822</v>
      </c>
      <c r="AU159" s="24">
        <f t="shared" si="0"/>
        <v>678</v>
      </c>
      <c r="AV159" s="24">
        <f t="shared" si="0"/>
        <v>562</v>
      </c>
      <c r="AW159" s="24">
        <f t="shared" si="0"/>
        <v>1074</v>
      </c>
      <c r="AX159" s="24">
        <f t="shared" si="0"/>
        <v>851</v>
      </c>
      <c r="AY159" s="24">
        <f t="shared" si="0"/>
        <v>640</v>
      </c>
      <c r="AZ159" s="24">
        <f t="shared" si="0"/>
        <v>559</v>
      </c>
      <c r="BA159" s="24">
        <f t="shared" si="0"/>
        <v>1067</v>
      </c>
      <c r="BB159" s="24">
        <f t="shared" si="0"/>
        <v>873</v>
      </c>
      <c r="BC159" s="24">
        <f t="shared" si="0"/>
        <v>624</v>
      </c>
      <c r="BD159" s="24">
        <f t="shared" si="0"/>
        <v>558</v>
      </c>
    </row>
    <row r="160" s="24" customFormat="1" ht="25" customHeight="1" spans="1:103">
      <c r="A160" s="192"/>
      <c r="C160" s="30"/>
      <c r="D160" s="94"/>
      <c r="E160" s="94"/>
      <c r="F160" s="31"/>
      <c r="G160" s="94"/>
      <c r="H160" s="95"/>
      <c r="I160" s="95"/>
      <c r="J160" s="94"/>
      <c r="K160" s="52"/>
      <c r="L160" s="95"/>
      <c r="M160" s="95"/>
      <c r="N160" s="52"/>
      <c r="O160" s="52"/>
      <c r="W160" s="27"/>
      <c r="X160" s="94"/>
      <c r="Y160" s="94"/>
      <c r="Z160" s="27"/>
      <c r="AB160" s="28" t="s">
        <v>1386</v>
      </c>
      <c r="AC160" s="25"/>
      <c r="AD160" s="25"/>
      <c r="AE160" s="25"/>
      <c r="AF160" s="25"/>
      <c r="AG160" s="25"/>
      <c r="AH160" s="25"/>
      <c r="AI160" s="25"/>
      <c r="AJ160" s="25"/>
      <c r="AK160" s="193"/>
      <c r="AL160" s="193"/>
      <c r="AM160" s="25"/>
      <c r="AN160" s="25"/>
      <c r="AS160" s="24">
        <f t="shared" ref="AS160:BD160" si="1">SUM(AS69:AS87)</f>
        <v>360</v>
      </c>
      <c r="AT160" s="24">
        <f t="shared" si="1"/>
        <v>234</v>
      </c>
      <c r="AU160" s="24">
        <f t="shared" si="1"/>
        <v>385</v>
      </c>
      <c r="AV160" s="24">
        <f t="shared" si="1"/>
        <v>277</v>
      </c>
      <c r="AW160" s="24">
        <f t="shared" si="1"/>
        <v>352</v>
      </c>
      <c r="AX160" s="24">
        <f t="shared" si="1"/>
        <v>235</v>
      </c>
      <c r="AY160" s="24">
        <f t="shared" si="1"/>
        <v>368</v>
      </c>
      <c r="AZ160" s="24">
        <f t="shared" si="1"/>
        <v>315</v>
      </c>
      <c r="BA160" s="24">
        <f t="shared" si="1"/>
        <v>390</v>
      </c>
      <c r="BB160" s="24">
        <f t="shared" si="1"/>
        <v>286</v>
      </c>
      <c r="BC160" s="24">
        <f t="shared" si="1"/>
        <v>373</v>
      </c>
      <c r="BD160" s="24">
        <f t="shared" si="1"/>
        <v>328</v>
      </c>
    </row>
    <row r="161" s="24" customFormat="1" ht="25" customHeight="1" spans="1:66">
      <c r="A161" s="192"/>
      <c r="C161" s="30"/>
      <c r="D161" s="94"/>
      <c r="E161" s="94"/>
      <c r="F161" s="31"/>
      <c r="G161" s="94"/>
      <c r="H161" s="95"/>
      <c r="I161" s="95"/>
      <c r="J161" s="94"/>
      <c r="K161" s="52"/>
      <c r="L161" s="95"/>
      <c r="M161" s="95"/>
      <c r="N161" s="52"/>
      <c r="O161" s="52"/>
      <c r="W161" s="27"/>
      <c r="X161" s="94"/>
      <c r="Y161" s="94"/>
      <c r="Z161" s="27"/>
      <c r="AB161" s="28" t="s">
        <v>1387</v>
      </c>
      <c r="AC161" s="25">
        <v>248</v>
      </c>
      <c r="AD161" s="25">
        <v>188</v>
      </c>
      <c r="AE161" s="25">
        <v>333</v>
      </c>
      <c r="AF161" s="25">
        <v>386</v>
      </c>
      <c r="AG161" s="25"/>
      <c r="AH161" s="25"/>
      <c r="AI161" s="25"/>
      <c r="AJ161" s="25"/>
      <c r="AK161" s="193">
        <f>SUM(AK3:AK159)</f>
        <v>3017</v>
      </c>
      <c r="AL161" s="193">
        <f>SUM(AL3:AL159)</f>
        <v>2590</v>
      </c>
      <c r="AM161" s="25">
        <f>SUM(AM3:AM159)</f>
        <v>2687</v>
      </c>
      <c r="AN161" s="25">
        <f>SUM(AN3:AN159)</f>
        <v>2653</v>
      </c>
      <c r="AQ161" s="24">
        <f t="shared" ref="AQ161:BD161" si="2">SUM(AQ88:AQ116)</f>
        <v>504</v>
      </c>
      <c r="AR161" s="24">
        <f t="shared" si="2"/>
        <v>581</v>
      </c>
      <c r="AS161" s="24">
        <f t="shared" si="2"/>
        <v>434</v>
      </c>
      <c r="AT161" s="24">
        <f t="shared" si="2"/>
        <v>440</v>
      </c>
      <c r="AU161" s="24">
        <f t="shared" si="2"/>
        <v>477</v>
      </c>
      <c r="AV161" s="24">
        <f t="shared" si="2"/>
        <v>527</v>
      </c>
      <c r="AW161" s="24">
        <f t="shared" si="2"/>
        <v>482</v>
      </c>
      <c r="AX161" s="24">
        <f t="shared" si="2"/>
        <v>473</v>
      </c>
      <c r="AY161" s="24">
        <f t="shared" si="2"/>
        <v>463</v>
      </c>
      <c r="AZ161" s="24">
        <f t="shared" si="2"/>
        <v>539</v>
      </c>
      <c r="BA161" s="24">
        <f t="shared" si="2"/>
        <v>467</v>
      </c>
      <c r="BB161" s="24">
        <f t="shared" si="2"/>
        <v>498</v>
      </c>
      <c r="BC161" s="24">
        <f t="shared" si="2"/>
        <v>478</v>
      </c>
      <c r="BD161" s="24">
        <f t="shared" si="2"/>
        <v>600</v>
      </c>
    </row>
    <row r="162" s="24" customFormat="1" ht="25" customHeight="1" spans="1:66">
      <c r="A162" s="192"/>
      <c r="C162" s="30"/>
      <c r="D162" s="94"/>
      <c r="E162" s="94"/>
      <c r="F162" s="31"/>
      <c r="G162" s="94"/>
      <c r="H162" s="95"/>
      <c r="I162" s="95"/>
      <c r="J162" s="94"/>
      <c r="K162" s="52"/>
      <c r="L162" s="95"/>
      <c r="M162" s="95"/>
      <c r="N162" s="52"/>
      <c r="O162" s="52"/>
      <c r="W162" s="27"/>
      <c r="X162" s="94"/>
      <c r="Y162" s="94"/>
      <c r="Z162" s="27"/>
      <c r="AB162" s="28" t="s">
        <v>1388</v>
      </c>
      <c r="AC162" s="25">
        <v>752</v>
      </c>
      <c r="AD162" s="25">
        <v>609</v>
      </c>
      <c r="AE162" s="25">
        <v>684</v>
      </c>
      <c r="AF162" s="25">
        <v>764</v>
      </c>
      <c r="AG162" s="25"/>
      <c r="AH162" s="25"/>
      <c r="AI162" s="25"/>
      <c r="AJ162" s="25"/>
      <c r="AK162" s="193"/>
      <c r="AL162" s="193"/>
      <c r="AM162" s="25"/>
      <c r="AN162" s="25"/>
      <c r="AQ162" s="24">
        <f t="shared" ref="AQ162:BD162" si="3">SUM(AQ3:AQ33)</f>
        <v>784</v>
      </c>
      <c r="AR162" s="24">
        <f t="shared" si="3"/>
        <v>937</v>
      </c>
      <c r="AS162" s="24">
        <f t="shared" si="3"/>
        <v>845</v>
      </c>
      <c r="AT162" s="24">
        <f t="shared" si="3"/>
        <v>876</v>
      </c>
      <c r="AU162" s="89">
        <f t="shared" si="3"/>
        <v>727</v>
      </c>
      <c r="AV162" s="89">
        <f t="shared" si="3"/>
        <v>867</v>
      </c>
      <c r="AW162" s="24">
        <f t="shared" si="3"/>
        <v>813</v>
      </c>
      <c r="AX162" s="24">
        <f t="shared" si="3"/>
        <v>836</v>
      </c>
      <c r="AY162" s="24">
        <f t="shared" si="3"/>
        <v>765</v>
      </c>
      <c r="AZ162" s="24">
        <f t="shared" si="3"/>
        <v>934</v>
      </c>
      <c r="BA162" s="24">
        <f t="shared" si="3"/>
        <v>811</v>
      </c>
      <c r="BB162" s="24">
        <f t="shared" si="3"/>
        <v>828</v>
      </c>
      <c r="BC162" s="24">
        <f t="shared" si="3"/>
        <v>767</v>
      </c>
      <c r="BD162" s="24">
        <f t="shared" si="3"/>
        <v>957</v>
      </c>
    </row>
    <row r="163" s="24" customFormat="1" customHeight="1" spans="1:66">
      <c r="A163" s="192"/>
      <c r="C163" s="30"/>
      <c r="D163" s="94"/>
      <c r="E163" s="94"/>
      <c r="F163" s="31"/>
      <c r="G163" s="94"/>
      <c r="H163" s="95"/>
      <c r="I163" s="95"/>
      <c r="J163" s="94"/>
      <c r="K163" s="52"/>
      <c r="L163" s="95"/>
      <c r="M163" s="95"/>
      <c r="N163" s="52"/>
      <c r="O163" s="52"/>
      <c r="W163" s="27"/>
      <c r="X163" s="94"/>
      <c r="Y163" s="94"/>
      <c r="Z163" s="27"/>
      <c r="AB163" s="28" t="s">
        <v>1389</v>
      </c>
      <c r="AC163" s="25">
        <v>387</v>
      </c>
      <c r="AD163" s="25">
        <v>221</v>
      </c>
      <c r="AE163" s="25">
        <v>420</v>
      </c>
      <c r="AF163" s="25">
        <v>387</v>
      </c>
      <c r="AG163" s="25"/>
      <c r="AH163" s="25"/>
      <c r="AI163" s="25"/>
      <c r="AJ163" s="25"/>
      <c r="AK163" s="193"/>
      <c r="AL163" s="193"/>
      <c r="AM163" s="25"/>
      <c r="AN163" s="25"/>
      <c r="AQ163" s="24">
        <f t="shared" ref="AQ163:AU163" si="4">SUM(AQ117:AQ157)</f>
        <v>499</v>
      </c>
      <c r="AR163" s="24">
        <f t="shared" ref="AR163:AV163" si="5">SUM(AR117:AR158)</f>
        <v>402</v>
      </c>
      <c r="AS163" s="24">
        <f t="shared" si="4"/>
        <v>408</v>
      </c>
      <c r="AT163" s="24">
        <f t="shared" si="5"/>
        <v>348</v>
      </c>
      <c r="AU163" s="24">
        <f t="shared" si="5"/>
        <v>457</v>
      </c>
      <c r="AV163" s="24">
        <f t="shared" si="5"/>
        <v>429</v>
      </c>
      <c r="AW163" s="24">
        <f t="shared" ref="AW163:BD163" si="6">SUM(AW117:AW156)</f>
        <v>380</v>
      </c>
      <c r="AX163" s="24">
        <f t="shared" si="6"/>
        <v>376</v>
      </c>
      <c r="AY163" s="24">
        <f t="shared" si="6"/>
        <v>483</v>
      </c>
      <c r="AZ163" s="24">
        <f t="shared" si="6"/>
        <v>577</v>
      </c>
      <c r="BA163" s="24">
        <f t="shared" si="6"/>
        <v>412</v>
      </c>
      <c r="BB163" s="24">
        <f t="shared" si="6"/>
        <v>510</v>
      </c>
      <c r="BC163" s="24">
        <f t="shared" si="6"/>
        <v>455</v>
      </c>
      <c r="BD163" s="24">
        <f t="shared" si="6"/>
        <v>577</v>
      </c>
    </row>
    <row r="164" s="24" customFormat="1" customHeight="1" spans="1:66">
      <c r="A164" s="192"/>
      <c r="C164" s="30"/>
      <c r="D164" s="94"/>
      <c r="E164" s="94"/>
      <c r="F164" s="31"/>
      <c r="G164" s="94"/>
      <c r="H164" s="95"/>
      <c r="I164" s="95"/>
      <c r="J164" s="94"/>
      <c r="K164" s="52"/>
      <c r="L164" s="95"/>
      <c r="M164" s="95"/>
      <c r="N164" s="52"/>
      <c r="O164" s="52"/>
      <c r="W164" s="27"/>
      <c r="X164" s="94"/>
      <c r="Y164" s="94"/>
      <c r="Z164" s="27"/>
      <c r="AB164" s="28" t="s">
        <v>1390</v>
      </c>
      <c r="AC164" s="25">
        <v>30</v>
      </c>
      <c r="AD164" s="25">
        <v>50</v>
      </c>
      <c r="AE164" s="25"/>
      <c r="AF164" s="25"/>
      <c r="AG164" s="25"/>
      <c r="AH164" s="25"/>
      <c r="AI164" s="25"/>
      <c r="AJ164" s="25"/>
      <c r="AK164" s="193"/>
      <c r="AL164" s="193"/>
      <c r="AM164" s="25"/>
      <c r="AN164" s="25"/>
      <c r="AO164" s="25">
        <v>10</v>
      </c>
      <c r="AP164" s="25">
        <v>20</v>
      </c>
      <c r="AQ164" s="25">
        <v>10</v>
      </c>
      <c r="AR164" s="25">
        <v>20</v>
      </c>
      <c r="AS164" s="25">
        <v>10</v>
      </c>
      <c r="AT164" s="25">
        <v>20</v>
      </c>
      <c r="AU164" s="25">
        <v>14</v>
      </c>
      <c r="AV164" s="25">
        <v>16</v>
      </c>
      <c r="AW164" s="25">
        <v>10</v>
      </c>
      <c r="AX164" s="25">
        <v>20</v>
      </c>
      <c r="AY164" s="25"/>
      <c r="AZ164" s="25"/>
      <c r="BA164" s="25"/>
      <c r="BB164" s="25"/>
      <c r="BC164" s="25"/>
      <c r="BD164" s="25"/>
      <c r="BM164" s="25"/>
      <c r="BN164" s="25"/>
    </row>
    <row r="165" s="24" customFormat="1" customHeight="1" spans="1:66">
      <c r="A165" s="192"/>
      <c r="C165" s="30"/>
      <c r="D165" s="94"/>
      <c r="E165" s="94"/>
      <c r="F165" s="31"/>
      <c r="G165" s="94"/>
      <c r="H165" s="95"/>
      <c r="I165" s="95"/>
      <c r="J165" s="94"/>
      <c r="K165" s="52"/>
      <c r="L165" s="95"/>
      <c r="M165" s="95"/>
      <c r="N165" s="52"/>
      <c r="O165" s="52"/>
      <c r="W165" s="27"/>
      <c r="X165" s="94"/>
      <c r="Y165" s="94"/>
      <c r="Z165" s="27"/>
      <c r="AB165" s="28" t="s">
        <v>1391</v>
      </c>
      <c r="AC165" s="25">
        <f t="shared" ref="AC165:AH165" si="7">SUM(AC161:AC164)</f>
        <v>1417</v>
      </c>
      <c r="AD165" s="25">
        <f t="shared" si="7"/>
        <v>1068</v>
      </c>
      <c r="AE165" s="25">
        <f t="shared" si="7"/>
        <v>1437</v>
      </c>
      <c r="AF165" s="25">
        <f t="shared" si="7"/>
        <v>1537</v>
      </c>
      <c r="AG165" s="25">
        <f t="shared" si="7"/>
        <v>0</v>
      </c>
      <c r="AH165" s="25">
        <f t="shared" si="7"/>
        <v>0</v>
      </c>
      <c r="AI165" s="25"/>
      <c r="AJ165" s="25"/>
      <c r="AK165" s="193"/>
      <c r="AL165" s="193"/>
      <c r="AM165" s="25"/>
      <c r="AN165" s="25"/>
      <c r="AO165" s="25">
        <f>SUM(AO3:AO164)</f>
        <v>3296</v>
      </c>
      <c r="AP165" s="25">
        <f>SUM(AP3:AP164)</f>
        <v>2710</v>
      </c>
      <c r="AQ165" s="24">
        <f t="shared" ref="AQ165:AX165" si="8">SUM(AQ159:AQ164)</f>
        <v>2768</v>
      </c>
      <c r="AR165" s="24">
        <f t="shared" si="8"/>
        <v>2710</v>
      </c>
      <c r="AS165" s="24">
        <f t="shared" si="8"/>
        <v>3136</v>
      </c>
      <c r="AT165" s="24">
        <f t="shared" si="8"/>
        <v>2740</v>
      </c>
      <c r="AU165" s="24">
        <f t="shared" si="8"/>
        <v>2738</v>
      </c>
      <c r="AV165" s="24">
        <f t="shared" si="8"/>
        <v>2678</v>
      </c>
      <c r="AW165" s="24">
        <f t="shared" ref="AW165:BD165" si="9">SUM(AW157:AW164)</f>
        <v>3212</v>
      </c>
      <c r="AX165" s="24">
        <f t="shared" si="9"/>
        <v>2856</v>
      </c>
      <c r="AY165" s="24">
        <f t="shared" si="9"/>
        <v>2719</v>
      </c>
      <c r="AZ165" s="24">
        <f t="shared" si="9"/>
        <v>2924</v>
      </c>
      <c r="BA165" s="24">
        <f t="shared" si="9"/>
        <v>3147</v>
      </c>
      <c r="BB165" s="24">
        <f t="shared" si="9"/>
        <v>2995</v>
      </c>
      <c r="BC165" s="24">
        <f t="shared" si="9"/>
        <v>2697</v>
      </c>
      <c r="BD165" s="24">
        <f t="shared" si="9"/>
        <v>3020</v>
      </c>
      <c r="BM165" s="25"/>
      <c r="BN165" s="25"/>
    </row>
    <row r="166" s="24" customFormat="1" customHeight="1" spans="1:66">
      <c r="A166" s="194"/>
      <c r="C166" s="30"/>
      <c r="D166" s="94"/>
      <c r="E166" s="94"/>
      <c r="F166" s="31"/>
      <c r="G166" s="94"/>
      <c r="H166" s="95"/>
      <c r="I166" s="95"/>
      <c r="J166" s="94"/>
      <c r="K166" s="52"/>
      <c r="L166" s="95"/>
      <c r="M166" s="95"/>
      <c r="N166" s="52"/>
      <c r="O166" s="52"/>
      <c r="W166" s="27"/>
      <c r="Y166" s="27"/>
      <c r="Z166" s="27"/>
      <c r="AB166" s="28"/>
      <c r="AG166" s="24">
        <v>30</v>
      </c>
      <c r="AH166" s="24">
        <v>50</v>
      </c>
      <c r="AK166" s="29"/>
      <c r="AL166" s="29"/>
      <c r="AO166" s="20"/>
      <c r="AP166" s="20"/>
      <c r="AQ166" s="24"/>
      <c r="BC166" s="195" t="s">
        <v>1392</v>
      </c>
      <c r="BM166" s="25"/>
      <c r="BN166" s="25"/>
    </row>
    <row r="167" s="24" customFormat="1" customHeight="1" spans="1:66">
      <c r="A167" s="194"/>
      <c r="C167" s="196" t="s">
        <v>1393</v>
      </c>
      <c r="D167" s="94"/>
      <c r="E167" s="94"/>
      <c r="F167" s="31"/>
      <c r="G167" s="94"/>
      <c r="H167" s="95"/>
      <c r="I167" s="95"/>
      <c r="J167" s="94"/>
      <c r="K167" s="52"/>
      <c r="L167" s="95"/>
      <c r="M167" s="95"/>
      <c r="N167" s="52"/>
      <c r="O167" s="52"/>
      <c r="W167" s="27"/>
      <c r="Y167" s="27"/>
      <c r="Z167" s="27"/>
      <c r="AB167" s="28"/>
      <c r="AE167" s="24">
        <v>2116</v>
      </c>
      <c r="AF167" s="24">
        <v>2122</v>
      </c>
      <c r="AG167" s="24">
        <v>3252</v>
      </c>
      <c r="AH167" s="24">
        <v>2742</v>
      </c>
      <c r="AK167" s="29"/>
      <c r="AL167" s="29"/>
      <c r="BM167" s="25"/>
      <c r="BN167" s="25"/>
    </row>
    <row r="168" s="24" customFormat="1" customHeight="1" spans="1:66">
      <c r="A168" s="194"/>
      <c r="C168" s="30"/>
      <c r="D168" s="94"/>
      <c r="E168" s="94"/>
      <c r="F168" s="31"/>
      <c r="G168" s="94"/>
      <c r="H168" s="95"/>
      <c r="I168" s="95"/>
      <c r="J168" s="94"/>
      <c r="K168" s="52"/>
      <c r="L168" s="95"/>
      <c r="M168" s="95"/>
      <c r="N168" s="52"/>
      <c r="O168" s="52"/>
      <c r="W168" s="27"/>
      <c r="Y168" s="27"/>
      <c r="Z168" s="27"/>
      <c r="AB168" s="28"/>
      <c r="AE168" s="24">
        <f>AE167-AE165</f>
        <v>679</v>
      </c>
      <c r="AF168" s="24">
        <f>AF167-AF165</f>
        <v>585</v>
      </c>
      <c r="AK168" s="29"/>
      <c r="AL168" s="29"/>
      <c r="AS168" s="24" t="str">
        <f>_xlfn.DISPIMG("ID_D91386FA68324B45B0C8CE1083A1BAF7",1)</f>
        <v>=DISPIMG("ID_D91386FA68324B45B0C8CE1083A1BAF7",1)</v>
      </c>
      <c r="BM168" s="25"/>
      <c r="BN168" s="25"/>
    </row>
    <row r="169" s="24" customFormat="1" customHeight="1" spans="1:66">
      <c r="C169" s="30"/>
      <c r="D169" s="94"/>
      <c r="E169" s="94"/>
      <c r="F169" s="31"/>
      <c r="G169" s="94"/>
      <c r="H169" s="95"/>
      <c r="I169" s="95"/>
      <c r="J169" s="94"/>
      <c r="K169" s="52"/>
      <c r="N169" s="27"/>
      <c r="O169" s="27"/>
      <c r="W169" s="27"/>
      <c r="Y169" s="27"/>
      <c r="Z169" s="27"/>
      <c r="AB169" s="28"/>
      <c r="AK169" s="29"/>
      <c r="AL169" s="29"/>
    </row>
    <row r="170" s="24" customFormat="1" customHeight="1" spans="1:66">
      <c r="C170" s="30"/>
      <c r="D170" s="94"/>
      <c r="E170" s="94"/>
      <c r="F170" s="31"/>
      <c r="G170" s="94"/>
      <c r="H170" s="95"/>
      <c r="I170" s="95"/>
      <c r="J170" s="94"/>
      <c r="K170" s="52"/>
      <c r="L170" s="95"/>
      <c r="M170" s="95"/>
      <c r="N170" s="52"/>
      <c r="O170" s="52"/>
      <c r="W170" s="27"/>
      <c r="Y170" s="27"/>
      <c r="Z170" s="27"/>
      <c r="AB170" s="28"/>
      <c r="AK170" s="29"/>
      <c r="AL170" s="29"/>
    </row>
    <row r="171" s="24" customFormat="1" customHeight="1" spans="1:66">
      <c r="C171" s="30"/>
      <c r="D171" s="94"/>
      <c r="E171" s="94"/>
      <c r="F171" s="31"/>
      <c r="G171" s="94"/>
      <c r="H171" s="95"/>
      <c r="I171" s="95"/>
      <c r="J171" s="94"/>
      <c r="K171" s="52"/>
      <c r="L171" s="95"/>
      <c r="M171" s="95"/>
      <c r="N171" s="52"/>
      <c r="O171" s="52"/>
      <c r="W171" s="27"/>
      <c r="Y171" s="27"/>
      <c r="Z171" s="27"/>
      <c r="AB171" s="28"/>
      <c r="AK171" s="29"/>
      <c r="AL171" s="29"/>
    </row>
    <row r="172" s="24" customFormat="1" customHeight="1" spans="1:66">
      <c r="C172" s="30"/>
      <c r="D172" s="94"/>
      <c r="E172" s="94"/>
      <c r="F172" s="31"/>
      <c r="G172" s="94"/>
      <c r="H172" s="95"/>
      <c r="I172" s="95"/>
      <c r="J172" s="94"/>
      <c r="K172" s="52"/>
      <c r="L172" s="95"/>
      <c r="M172" s="95"/>
      <c r="N172" s="52"/>
      <c r="O172" s="52"/>
      <c r="W172" s="27"/>
      <c r="Y172" s="27"/>
      <c r="Z172" s="27"/>
      <c r="AB172" s="28"/>
      <c r="AK172" s="29"/>
      <c r="AL172" s="29"/>
    </row>
    <row r="173" s="24" customFormat="1" customHeight="1" spans="1:66">
      <c r="C173" s="30"/>
      <c r="D173" s="94"/>
      <c r="E173" s="94"/>
      <c r="F173" s="31"/>
      <c r="G173" s="94"/>
      <c r="H173" s="95"/>
      <c r="I173" s="95"/>
      <c r="J173" s="94"/>
      <c r="K173" s="52"/>
      <c r="L173" s="95"/>
      <c r="M173" s="95"/>
      <c r="N173" s="52"/>
      <c r="O173" s="52"/>
      <c r="W173" s="27"/>
      <c r="Y173" s="27"/>
      <c r="Z173" s="27"/>
      <c r="AB173" s="28"/>
      <c r="AK173" s="29"/>
      <c r="AL173" s="29"/>
    </row>
    <row r="174" s="24" customFormat="1" customHeight="1" spans="1:66">
      <c r="C174" s="30"/>
      <c r="D174" s="94"/>
      <c r="E174" s="94"/>
      <c r="F174" s="31"/>
      <c r="G174" s="94"/>
      <c r="H174" s="95"/>
      <c r="I174" s="95"/>
      <c r="J174" s="94"/>
      <c r="K174" s="52"/>
      <c r="L174" s="95"/>
      <c r="M174" s="95"/>
      <c r="N174" s="52"/>
      <c r="O174" s="52"/>
      <c r="W174" s="27"/>
      <c r="Y174" s="27"/>
      <c r="Z174" s="27"/>
      <c r="AB174" s="28"/>
      <c r="AK174" s="29"/>
      <c r="AL174" s="29"/>
    </row>
    <row r="175" s="24" customFormat="1" customHeight="1" spans="1:66">
      <c r="C175" s="30"/>
      <c r="D175" s="94"/>
      <c r="E175" s="94"/>
      <c r="F175" s="31"/>
      <c r="G175" s="94"/>
      <c r="H175" s="95"/>
      <c r="I175" s="95"/>
      <c r="J175" s="94"/>
      <c r="K175" s="52"/>
      <c r="L175" s="95"/>
      <c r="M175" s="95"/>
      <c r="N175" s="52"/>
      <c r="O175" s="52"/>
      <c r="W175" s="27"/>
      <c r="Y175" s="27"/>
      <c r="Z175" s="27"/>
      <c r="AB175" s="28"/>
      <c r="AK175" s="29"/>
      <c r="AL175" s="29"/>
    </row>
    <row r="176" s="24" customFormat="1" customHeight="1" spans="1:66">
      <c r="C176" s="30"/>
      <c r="D176" s="94"/>
      <c r="E176" s="94"/>
      <c r="F176" s="31"/>
      <c r="G176" s="94"/>
      <c r="H176" s="95"/>
      <c r="I176" s="95"/>
      <c r="J176" s="94"/>
      <c r="K176" s="52"/>
      <c r="L176" s="95"/>
      <c r="M176" s="95"/>
      <c r="N176" s="52"/>
      <c r="O176" s="52"/>
      <c r="W176" s="27"/>
      <c r="Y176" s="27"/>
      <c r="Z176" s="27"/>
      <c r="AB176" s="28"/>
      <c r="AK176" s="29"/>
      <c r="AL176" s="29"/>
    </row>
    <row r="177" s="24" customFormat="1" customHeight="1" spans="3:38">
      <c r="C177" s="30"/>
      <c r="D177" s="94"/>
      <c r="E177" s="94"/>
      <c r="F177" s="31"/>
      <c r="G177" s="94"/>
      <c r="H177" s="95"/>
      <c r="I177" s="95"/>
      <c r="J177" s="94"/>
      <c r="K177" s="52"/>
      <c r="L177" s="95"/>
      <c r="M177" s="95"/>
      <c r="N177" s="52"/>
      <c r="O177" s="52"/>
      <c r="W177" s="27"/>
      <c r="Y177" s="27"/>
      <c r="Z177" s="27"/>
      <c r="AB177" s="28"/>
      <c r="AK177" s="29"/>
      <c r="AL177" s="29"/>
    </row>
    <row r="178" s="24" customFormat="1" customHeight="1" spans="3:38">
      <c r="C178" s="30"/>
      <c r="D178" s="94"/>
      <c r="E178" s="94"/>
      <c r="F178" s="31"/>
      <c r="G178" s="94"/>
      <c r="H178" s="95"/>
      <c r="I178" s="95"/>
      <c r="J178" s="94"/>
      <c r="K178" s="52"/>
      <c r="L178" s="95"/>
      <c r="M178" s="95"/>
      <c r="N178" s="52"/>
      <c r="O178" s="52"/>
      <c r="W178" s="27"/>
      <c r="Y178" s="27"/>
      <c r="Z178" s="27"/>
      <c r="AB178" s="28"/>
      <c r="AK178" s="29"/>
      <c r="AL178" s="29"/>
    </row>
    <row r="179" s="24" customFormat="1" customHeight="1" spans="3:38">
      <c r="C179" s="30"/>
      <c r="D179" s="94"/>
      <c r="E179" s="94"/>
      <c r="F179" s="31"/>
      <c r="G179" s="94"/>
      <c r="H179" s="95"/>
      <c r="I179" s="95"/>
      <c r="J179" s="94"/>
      <c r="K179" s="52"/>
      <c r="L179" s="95"/>
      <c r="M179" s="95"/>
      <c r="N179" s="52"/>
      <c r="O179" s="52"/>
      <c r="W179" s="27"/>
      <c r="Y179" s="27"/>
      <c r="Z179" s="27"/>
      <c r="AB179" s="28"/>
      <c r="AK179" s="29"/>
      <c r="AL179" s="29"/>
    </row>
    <row r="180" s="24" customFormat="1" customHeight="1" spans="3:38">
      <c r="C180" s="30"/>
      <c r="D180" s="94"/>
      <c r="E180" s="94"/>
      <c r="F180" s="31"/>
      <c r="G180" s="94"/>
      <c r="H180" s="95"/>
      <c r="J180" s="94"/>
      <c r="K180" s="52"/>
      <c r="N180" s="27"/>
      <c r="O180" s="27"/>
      <c r="W180" s="27"/>
      <c r="Y180" s="27"/>
      <c r="Z180" s="27"/>
      <c r="AB180" s="28"/>
      <c r="AK180" s="29"/>
      <c r="AL180" s="29"/>
    </row>
    <row r="181" s="24" customFormat="1" customHeight="1" spans="3:38">
      <c r="C181" s="23"/>
      <c r="D181" s="94"/>
      <c r="E181" s="94"/>
      <c r="F181" s="31"/>
      <c r="G181" s="94"/>
      <c r="H181" s="95"/>
      <c r="I181" s="95"/>
      <c r="K181" s="27"/>
      <c r="L181" s="95"/>
      <c r="M181" s="95"/>
      <c r="N181" s="52"/>
      <c r="O181" s="52"/>
      <c r="W181" s="27"/>
      <c r="Y181" s="27"/>
      <c r="Z181" s="27"/>
      <c r="AB181" s="28"/>
      <c r="AK181" s="29"/>
      <c r="AL181" s="29"/>
    </row>
    <row r="182" s="24" customFormat="1" customHeight="1" spans="3:38">
      <c r="C182" s="23"/>
      <c r="D182" s="94"/>
      <c r="E182" s="94"/>
      <c r="F182" s="31"/>
      <c r="G182" s="94"/>
      <c r="H182" s="95"/>
      <c r="I182" s="95"/>
      <c r="K182" s="27"/>
      <c r="L182" s="95"/>
      <c r="M182" s="95"/>
      <c r="N182" s="52"/>
      <c r="O182" s="52"/>
      <c r="W182" s="27"/>
      <c r="Y182" s="27"/>
      <c r="Z182" s="27"/>
      <c r="AB182" s="28"/>
      <c r="AK182" s="29"/>
      <c r="AL182" s="29"/>
    </row>
    <row r="183" s="24" customFormat="1" customHeight="1" spans="3:38">
      <c r="C183" s="30"/>
      <c r="D183" s="94"/>
      <c r="E183" s="94"/>
      <c r="F183" s="31"/>
      <c r="G183" s="94"/>
      <c r="H183" s="95"/>
      <c r="J183" s="94"/>
      <c r="K183" s="52"/>
      <c r="L183" s="95"/>
      <c r="M183" s="95"/>
      <c r="N183" s="52"/>
      <c r="O183" s="52"/>
      <c r="W183" s="27"/>
      <c r="Y183" s="27"/>
      <c r="Z183" s="27"/>
      <c r="AB183" s="28"/>
      <c r="AK183" s="29"/>
      <c r="AL183" s="29"/>
    </row>
    <row r="184" s="24" customFormat="1" customHeight="1" spans="3:38">
      <c r="C184" s="23"/>
      <c r="D184" s="94"/>
      <c r="E184" s="94"/>
      <c r="F184" s="31"/>
      <c r="G184" s="94"/>
      <c r="H184" s="95"/>
      <c r="I184" s="95"/>
      <c r="K184" s="27"/>
      <c r="L184" s="95"/>
      <c r="M184" s="95"/>
      <c r="N184" s="52"/>
      <c r="O184" s="52"/>
      <c r="W184" s="27"/>
      <c r="Y184" s="27"/>
      <c r="Z184" s="27"/>
      <c r="AB184" s="28"/>
      <c r="AK184" s="29"/>
      <c r="AL184" s="29"/>
    </row>
    <row r="185" s="24" customFormat="1" customHeight="1" spans="3:38">
      <c r="C185" s="30"/>
      <c r="D185" s="94"/>
      <c r="E185" s="94"/>
      <c r="F185" s="31"/>
      <c r="G185" s="94"/>
      <c r="H185" s="95"/>
      <c r="I185" s="95"/>
      <c r="J185" s="94"/>
      <c r="K185" s="52"/>
      <c r="L185" s="95"/>
      <c r="M185" s="95"/>
      <c r="N185" s="52"/>
      <c r="O185" s="52"/>
      <c r="W185" s="27"/>
      <c r="Y185" s="27"/>
      <c r="Z185" s="27"/>
      <c r="AB185" s="28"/>
      <c r="AK185" s="29"/>
      <c r="AL185" s="29"/>
    </row>
    <row r="186" s="24" customFormat="1" customHeight="1" spans="3:38">
      <c r="C186" s="30"/>
      <c r="D186" s="94"/>
      <c r="E186" s="94"/>
      <c r="F186" s="31"/>
      <c r="G186" s="94"/>
      <c r="H186" s="95"/>
      <c r="I186" s="95"/>
      <c r="J186" s="94"/>
      <c r="K186" s="52"/>
      <c r="L186" s="95"/>
      <c r="M186" s="95"/>
      <c r="N186" s="52"/>
      <c r="O186" s="52"/>
      <c r="W186" s="27"/>
      <c r="Y186" s="27"/>
      <c r="Z186" s="27"/>
      <c r="AB186" s="28"/>
      <c r="AK186" s="29"/>
      <c r="AL186" s="29"/>
    </row>
    <row r="187" s="24" customFormat="1" customHeight="1" spans="3:38">
      <c r="C187" s="30"/>
      <c r="D187" s="94"/>
      <c r="E187" s="94"/>
      <c r="F187" s="31"/>
      <c r="G187" s="94"/>
      <c r="H187" s="95"/>
      <c r="I187" s="95"/>
      <c r="J187" s="94"/>
      <c r="K187" s="52"/>
      <c r="L187" s="95"/>
      <c r="M187" s="95"/>
      <c r="N187" s="52"/>
      <c r="O187" s="52"/>
      <c r="W187" s="27"/>
      <c r="Y187" s="27"/>
      <c r="Z187" s="27"/>
      <c r="AB187" s="28"/>
      <c r="AK187" s="29"/>
      <c r="AL187" s="29"/>
    </row>
    <row r="188" s="24" customFormat="1" customHeight="1" spans="3:38">
      <c r="C188" s="23"/>
      <c r="E188" s="94"/>
      <c r="F188" s="26"/>
      <c r="K188" s="39"/>
      <c r="N188" s="27"/>
      <c r="O188" s="27"/>
      <c r="W188" s="27"/>
      <c r="Y188" s="27"/>
      <c r="Z188" s="27"/>
      <c r="AB188" s="28"/>
      <c r="AK188" s="29"/>
      <c r="AL188" s="29"/>
    </row>
    <row r="189" s="24" customFormat="1" customHeight="1" spans="3:38">
      <c r="C189" s="23"/>
      <c r="E189" s="94"/>
      <c r="F189" s="26"/>
      <c r="K189" s="27"/>
      <c r="N189" s="27"/>
      <c r="O189" s="27"/>
      <c r="W189" s="27"/>
      <c r="Y189" s="27"/>
      <c r="Z189" s="27"/>
      <c r="AB189" s="28"/>
      <c r="AK189" s="29"/>
      <c r="AL189" s="29"/>
    </row>
    <row r="190" s="24" customFormat="1" customHeight="1" spans="3:38">
      <c r="C190" s="23"/>
      <c r="E190" s="94"/>
      <c r="F190" s="26"/>
      <c r="K190" s="27"/>
      <c r="N190" s="27"/>
      <c r="O190" s="27"/>
      <c r="W190" s="27"/>
      <c r="Y190" s="27"/>
      <c r="Z190" s="27"/>
      <c r="AB190" s="28"/>
      <c r="AK190" s="29"/>
      <c r="AL190" s="29"/>
    </row>
    <row r="191" s="24" customFormat="1" customHeight="1" spans="3:38">
      <c r="C191" s="23"/>
      <c r="E191" s="94"/>
      <c r="F191" s="26"/>
      <c r="K191" s="27"/>
      <c r="N191" s="27"/>
      <c r="O191" s="27"/>
      <c r="W191" s="27"/>
      <c r="Y191" s="27"/>
      <c r="Z191" s="27"/>
      <c r="AB191" s="28"/>
      <c r="AK191" s="29"/>
      <c r="AL191" s="29"/>
    </row>
    <row r="192" s="24" customFormat="1" customHeight="1" spans="3:38">
      <c r="C192" s="23"/>
      <c r="F192" s="26"/>
      <c r="K192" s="39"/>
      <c r="N192" s="27"/>
      <c r="O192" s="94"/>
      <c r="W192" s="27"/>
      <c r="Y192" s="27"/>
      <c r="Z192" s="27"/>
      <c r="AB192" s="28"/>
      <c r="AK192" s="29"/>
      <c r="AL192" s="29"/>
    </row>
    <row r="193" s="24" customFormat="1" customHeight="1" spans="3:38">
      <c r="C193" s="23"/>
      <c r="E193" s="94"/>
      <c r="F193" s="26"/>
      <c r="H193" s="27"/>
      <c r="J193" s="86"/>
      <c r="K193" s="52"/>
      <c r="N193" s="27"/>
      <c r="O193" s="94"/>
      <c r="W193" s="27"/>
      <c r="Y193" s="27"/>
      <c r="Z193" s="27"/>
      <c r="AB193" s="28"/>
      <c r="AK193" s="29"/>
      <c r="AL193" s="29"/>
    </row>
    <row r="194" s="24" customFormat="1" customHeight="1" spans="3:38">
      <c r="C194" s="30"/>
      <c r="D194" s="94"/>
      <c r="E194" s="94"/>
      <c r="F194" s="31"/>
      <c r="G194" s="94"/>
      <c r="H194" s="95"/>
      <c r="J194" s="94"/>
      <c r="K194" s="52"/>
      <c r="L194" s="95"/>
      <c r="M194" s="95"/>
      <c r="N194" s="52"/>
      <c r="O194" s="52"/>
      <c r="W194" s="27"/>
      <c r="Y194" s="27"/>
      <c r="Z194" s="27"/>
      <c r="AB194" s="28"/>
      <c r="AK194" s="29"/>
      <c r="AL194" s="29"/>
    </row>
    <row r="195" s="24" customFormat="1" customHeight="1" spans="3:38">
      <c r="C195" s="197"/>
      <c r="D195" s="86"/>
      <c r="E195" s="198"/>
      <c r="F195" s="149"/>
      <c r="G195" s="86"/>
      <c r="H195" s="113"/>
      <c r="I195" s="113"/>
      <c r="J195" s="86"/>
      <c r="K195" s="113"/>
      <c r="L195" s="113"/>
      <c r="N195" s="27"/>
      <c r="O195" s="27"/>
      <c r="W195" s="27"/>
      <c r="Y195" s="27"/>
      <c r="Z195" s="27"/>
      <c r="AB195" s="28"/>
      <c r="AK195" s="29"/>
      <c r="AL195" s="29"/>
    </row>
    <row r="196" s="24" customFormat="1" customHeight="1" spans="3:38">
      <c r="C196" s="197"/>
      <c r="D196" s="86"/>
      <c r="E196" s="198"/>
      <c r="F196" s="149"/>
      <c r="G196" s="86"/>
      <c r="H196" s="113"/>
      <c r="I196" s="113"/>
      <c r="J196" s="86"/>
      <c r="K196" s="114"/>
      <c r="L196" s="113"/>
      <c r="N196" s="27"/>
      <c r="O196" s="27"/>
      <c r="W196" s="27"/>
      <c r="Y196" s="27"/>
      <c r="Z196" s="27"/>
      <c r="AB196" s="28"/>
      <c r="AK196" s="29"/>
      <c r="AL196" s="29"/>
    </row>
    <row r="197" s="24" customFormat="1" customHeight="1" spans="3:38">
      <c r="C197" s="23"/>
      <c r="D197" s="94"/>
      <c r="F197" s="26"/>
      <c r="J197" s="27"/>
      <c r="K197" s="27"/>
      <c r="N197" s="27"/>
      <c r="O197" s="27"/>
      <c r="W197" s="27"/>
      <c r="Y197" s="27"/>
      <c r="Z197" s="27"/>
      <c r="AB197" s="28"/>
      <c r="AK197" s="29"/>
      <c r="AL197" s="29"/>
    </row>
    <row r="198" s="24" customFormat="1" customHeight="1" spans="3:38">
      <c r="C198" s="23"/>
      <c r="F198" s="26"/>
      <c r="K198" s="27"/>
      <c r="N198" s="27"/>
      <c r="O198" s="27"/>
      <c r="W198" s="27"/>
      <c r="Y198" s="27"/>
      <c r="Z198" s="27"/>
      <c r="AB198" s="28"/>
      <c r="AK198" s="29"/>
      <c r="AL198" s="29"/>
    </row>
    <row r="199" s="24" customFormat="1" customHeight="1" spans="3:38">
      <c r="C199" s="23"/>
      <c r="F199" s="26"/>
      <c r="K199" s="27"/>
      <c r="N199" s="27"/>
      <c r="O199" s="27"/>
      <c r="W199" s="27"/>
      <c r="Y199" s="27"/>
      <c r="Z199" s="27"/>
      <c r="AB199" s="28"/>
      <c r="AK199" s="29"/>
      <c r="AL199" s="29"/>
    </row>
    <row r="200" s="24" customFormat="1" customHeight="1" spans="3:38">
      <c r="C200" s="23"/>
      <c r="F200" s="26"/>
      <c r="J200" s="27"/>
      <c r="K200" s="27"/>
      <c r="N200" s="27"/>
      <c r="O200" s="27"/>
      <c r="W200" s="27"/>
      <c r="Y200" s="27"/>
      <c r="Z200" s="27"/>
      <c r="AB200" s="28"/>
      <c r="AK200" s="29"/>
      <c r="AL200" s="29"/>
    </row>
    <row r="201" s="24" customFormat="1" customHeight="1" spans="3:38">
      <c r="C201" s="23"/>
      <c r="F201" s="26"/>
      <c r="K201" s="27"/>
      <c r="N201" s="27"/>
      <c r="O201" s="27"/>
      <c r="W201" s="27"/>
      <c r="Y201" s="27"/>
      <c r="Z201" s="27"/>
      <c r="AB201" s="28"/>
      <c r="AK201" s="29"/>
      <c r="AL201" s="29"/>
    </row>
    <row r="202" s="24" customFormat="1" customHeight="1" spans="3:38">
      <c r="C202" s="23"/>
      <c r="F202" s="26"/>
      <c r="K202" s="27"/>
      <c r="N202" s="27"/>
      <c r="O202" s="27"/>
      <c r="W202" s="27"/>
      <c r="Y202" s="27"/>
      <c r="Z202" s="27"/>
      <c r="AB202" s="28"/>
      <c r="AK202" s="29"/>
      <c r="AL202" s="29"/>
    </row>
    <row r="203" s="24" customFormat="1" customHeight="1" spans="3:38">
      <c r="C203" s="23"/>
      <c r="F203" s="26"/>
      <c r="K203" s="27"/>
      <c r="N203" s="27"/>
      <c r="O203" s="27"/>
      <c r="W203" s="27"/>
      <c r="Y203" s="27"/>
      <c r="Z203" s="27"/>
      <c r="AB203" s="28"/>
      <c r="AK203" s="29"/>
      <c r="AL203" s="29"/>
    </row>
    <row r="204" s="24" customFormat="1" customHeight="1" spans="3:38">
      <c r="C204" s="23"/>
      <c r="F204" s="26"/>
      <c r="K204" s="27"/>
      <c r="N204" s="27"/>
      <c r="O204" s="27"/>
      <c r="W204" s="27"/>
      <c r="Y204" s="27"/>
      <c r="Z204" s="27"/>
      <c r="AB204" s="28"/>
      <c r="AK204" s="29"/>
      <c r="AL204" s="29"/>
    </row>
    <row r="205" s="24" customFormat="1" customHeight="1" spans="3:38">
      <c r="C205" s="23"/>
      <c r="F205" s="26"/>
      <c r="K205" s="27"/>
      <c r="N205" s="27"/>
      <c r="O205" s="27"/>
      <c r="W205" s="27"/>
      <c r="Y205" s="27"/>
      <c r="Z205" s="27"/>
      <c r="AB205" s="28"/>
      <c r="AK205" s="29"/>
      <c r="AL205" s="29"/>
    </row>
    <row r="206" s="24" customFormat="1" customHeight="1" spans="3:38">
      <c r="C206" s="197"/>
      <c r="D206" s="86"/>
      <c r="E206" s="86"/>
      <c r="F206" s="149"/>
      <c r="G206" s="86"/>
      <c r="H206" s="113"/>
      <c r="I206" s="113"/>
      <c r="J206" s="86"/>
      <c r="K206" s="113"/>
      <c r="L206" s="113"/>
      <c r="N206" s="27"/>
      <c r="O206" s="27"/>
      <c r="W206" s="27"/>
      <c r="Y206" s="27"/>
      <c r="Z206" s="27"/>
      <c r="AB206" s="28"/>
      <c r="AK206" s="29"/>
      <c r="AL206" s="29"/>
    </row>
    <row r="207" s="24" customFormat="1" customHeight="1" spans="3:38">
      <c r="C207" s="197"/>
      <c r="D207" s="86"/>
      <c r="E207" s="86"/>
      <c r="F207" s="149"/>
      <c r="G207" s="86"/>
      <c r="H207" s="113"/>
      <c r="I207" s="113"/>
      <c r="J207" s="86"/>
      <c r="K207" s="199"/>
      <c r="L207" s="199"/>
      <c r="N207" s="27"/>
      <c r="O207" s="27"/>
      <c r="W207" s="27"/>
      <c r="Y207" s="27"/>
      <c r="Z207" s="27"/>
      <c r="AB207" s="28"/>
      <c r="AK207" s="29"/>
      <c r="AL207" s="29"/>
    </row>
    <row r="208" s="24" customFormat="1" customHeight="1" spans="3:38">
      <c r="C208" s="197"/>
      <c r="D208" s="86"/>
      <c r="E208" s="86"/>
      <c r="F208" s="149"/>
      <c r="G208" s="86"/>
      <c r="H208" s="113"/>
      <c r="I208" s="113"/>
      <c r="J208" s="86"/>
      <c r="K208" s="113"/>
      <c r="L208" s="113"/>
      <c r="N208" s="27"/>
      <c r="O208" s="27"/>
      <c r="W208" s="27"/>
      <c r="Y208" s="27"/>
      <c r="Z208" s="27"/>
      <c r="AB208" s="28"/>
      <c r="AK208" s="29"/>
      <c r="AL208" s="29"/>
    </row>
    <row r="209" s="24" customFormat="1" customHeight="1" spans="3:38">
      <c r="C209" s="197"/>
      <c r="D209" s="86"/>
      <c r="E209" s="86"/>
      <c r="F209" s="149"/>
      <c r="G209" s="86"/>
      <c r="H209" s="199"/>
      <c r="I209" s="199"/>
      <c r="J209" s="86"/>
      <c r="K209" s="113"/>
      <c r="L209" s="113"/>
      <c r="N209" s="27"/>
      <c r="O209" s="27"/>
      <c r="W209" s="27"/>
      <c r="Y209" s="27"/>
      <c r="Z209" s="27"/>
      <c r="AB209" s="28"/>
      <c r="AK209" s="29"/>
      <c r="AL209" s="29"/>
    </row>
    <row r="210" s="24" customFormat="1" customHeight="1" spans="3:38">
      <c r="C210" s="197"/>
      <c r="D210" s="86"/>
      <c r="E210" s="86"/>
      <c r="F210" s="149"/>
      <c r="G210" s="86"/>
      <c r="H210" s="199"/>
      <c r="I210" s="199"/>
      <c r="J210" s="86"/>
      <c r="K210" s="113"/>
      <c r="L210" s="113"/>
      <c r="N210" s="27"/>
      <c r="O210" s="27"/>
      <c r="W210" s="27"/>
      <c r="Y210" s="27"/>
      <c r="Z210" s="27"/>
      <c r="AB210" s="28"/>
      <c r="AK210" s="29"/>
      <c r="AL210" s="29"/>
    </row>
    <row r="211" s="24" customFormat="1" customHeight="1" spans="3:38">
      <c r="C211" s="197"/>
      <c r="D211" s="86"/>
      <c r="E211" s="86"/>
      <c r="F211" s="149"/>
      <c r="G211" s="86"/>
      <c r="H211" s="113"/>
      <c r="I211" s="199"/>
      <c r="J211" s="86"/>
      <c r="K211" s="113"/>
      <c r="L211" s="199"/>
      <c r="N211" s="27"/>
      <c r="O211" s="27"/>
      <c r="W211" s="27"/>
      <c r="Y211" s="27"/>
      <c r="Z211" s="27"/>
      <c r="AB211" s="28"/>
      <c r="AK211" s="29"/>
      <c r="AL211" s="29"/>
    </row>
    <row r="212" s="24" customFormat="1" customHeight="1" spans="3:38">
      <c r="C212" s="197"/>
      <c r="D212" s="86"/>
      <c r="E212" s="86"/>
      <c r="F212" s="149"/>
      <c r="G212" s="199"/>
      <c r="H212" s="199"/>
      <c r="I212" s="199"/>
      <c r="J212" s="86"/>
      <c r="K212" s="113"/>
      <c r="L212" s="113"/>
      <c r="N212" s="27"/>
      <c r="O212" s="27"/>
      <c r="W212" s="27"/>
      <c r="Y212" s="27"/>
      <c r="Z212" s="27"/>
      <c r="AB212" s="28"/>
      <c r="AK212" s="29"/>
      <c r="AL212" s="29"/>
    </row>
    <row r="213" s="24" customFormat="1" customHeight="1" spans="3:38">
      <c r="C213" s="197"/>
      <c r="D213" s="86"/>
      <c r="E213" s="86"/>
      <c r="F213" s="149"/>
      <c r="G213" s="199"/>
      <c r="H213" s="199"/>
      <c r="I213" s="199"/>
      <c r="J213" s="86"/>
      <c r="K213" s="113"/>
      <c r="L213" s="199"/>
      <c r="N213" s="27"/>
      <c r="O213" s="27"/>
      <c r="W213" s="27"/>
      <c r="Y213" s="27"/>
      <c r="Z213" s="27"/>
      <c r="AB213" s="28"/>
      <c r="AK213" s="29"/>
      <c r="AL213" s="29"/>
    </row>
    <row r="214" s="24" customFormat="1" customHeight="1" spans="3:38">
      <c r="C214" s="197"/>
      <c r="D214" s="86"/>
      <c r="E214" s="86"/>
      <c r="F214" s="149"/>
      <c r="G214" s="199"/>
      <c r="H214" s="199"/>
      <c r="I214" s="199"/>
      <c r="J214" s="86"/>
      <c r="K214" s="113"/>
      <c r="L214" s="199"/>
      <c r="N214" s="27"/>
      <c r="O214" s="27"/>
      <c r="W214" s="27"/>
      <c r="Y214" s="27"/>
      <c r="Z214" s="27"/>
      <c r="AB214" s="28"/>
      <c r="AK214" s="29"/>
      <c r="AL214" s="29"/>
    </row>
    <row r="215" s="24" customFormat="1" customHeight="1" spans="3:38">
      <c r="C215" s="30"/>
      <c r="D215" s="94"/>
      <c r="E215" s="94"/>
      <c r="F215" s="31"/>
      <c r="G215" s="94"/>
      <c r="H215" s="95"/>
      <c r="I215" s="95"/>
      <c r="J215" s="94"/>
      <c r="K215" s="52"/>
      <c r="L215" s="95"/>
      <c r="M215" s="95"/>
      <c r="N215" s="52"/>
      <c r="O215" s="52"/>
      <c r="W215" s="27"/>
      <c r="Y215" s="27"/>
      <c r="Z215" s="52"/>
      <c r="AB215" s="28"/>
      <c r="AK215" s="29"/>
      <c r="AL215" s="29"/>
    </row>
    <row r="216" s="24" customFormat="1" customHeight="1" spans="3:38">
      <c r="C216" s="30"/>
      <c r="D216" s="94"/>
      <c r="E216" s="94"/>
      <c r="F216" s="31"/>
      <c r="G216" s="94"/>
      <c r="H216" s="95"/>
      <c r="I216" s="95"/>
      <c r="J216" s="94"/>
      <c r="K216" s="52"/>
      <c r="L216" s="95"/>
      <c r="M216" s="95"/>
      <c r="N216" s="52"/>
      <c r="O216" s="52"/>
      <c r="W216" s="27"/>
      <c r="Y216" s="27"/>
      <c r="Z216" s="52"/>
      <c r="AB216" s="28"/>
      <c r="AK216" s="29"/>
      <c r="AL216" s="29"/>
    </row>
    <row r="217" s="24" customFormat="1" customHeight="1" spans="3:38">
      <c r="C217" s="23"/>
      <c r="F217" s="26"/>
      <c r="H217" s="128"/>
      <c r="K217" s="27"/>
      <c r="N217" s="27"/>
      <c r="O217" s="27"/>
      <c r="W217" s="27"/>
      <c r="Y217" s="27"/>
      <c r="AB217" s="28"/>
      <c r="AK217" s="29"/>
      <c r="AL217" s="29"/>
    </row>
    <row r="218" s="24" customFormat="1" customHeight="1" spans="3:38">
      <c r="C218" s="23"/>
      <c r="E218" s="94"/>
      <c r="F218" s="26"/>
      <c r="G218" s="94"/>
      <c r="H218" s="94"/>
      <c r="K218" s="27"/>
      <c r="N218" s="27"/>
      <c r="O218" s="27"/>
      <c r="W218" s="27"/>
      <c r="Y218" s="27"/>
      <c r="Z218" s="39"/>
      <c r="AB218" s="28"/>
      <c r="AK218" s="29"/>
      <c r="AL218" s="29"/>
    </row>
    <row r="219" s="24" customFormat="1" customHeight="1" spans="3:38">
      <c r="C219" s="23"/>
      <c r="F219" s="26"/>
      <c r="K219" s="27"/>
      <c r="N219" s="27"/>
      <c r="O219" s="27"/>
      <c r="W219" s="27"/>
      <c r="Y219" s="27"/>
      <c r="Z219" s="52"/>
      <c r="AB219" s="28"/>
      <c r="AK219" s="29"/>
      <c r="AL219" s="29"/>
    </row>
    <row r="220" s="24" customFormat="1" customHeight="1" spans="3:38">
      <c r="C220" s="23"/>
      <c r="F220" s="26"/>
      <c r="K220" s="27"/>
      <c r="N220" s="27"/>
      <c r="O220" s="27"/>
      <c r="W220" s="27"/>
      <c r="Y220" s="27"/>
      <c r="Z220" s="27"/>
      <c r="AB220" s="28"/>
      <c r="AK220" s="29"/>
      <c r="AL220" s="29"/>
    </row>
    <row r="221" s="24" customFormat="1" customHeight="1" spans="3:38">
      <c r="C221" s="23"/>
      <c r="F221" s="26"/>
      <c r="K221" s="27"/>
      <c r="N221" s="27"/>
      <c r="O221" s="27"/>
      <c r="W221" s="27"/>
      <c r="Y221" s="27"/>
      <c r="Z221" s="27"/>
      <c r="AB221" s="28"/>
      <c r="AK221" s="29"/>
      <c r="AL221" s="29"/>
    </row>
    <row r="222" s="24" customFormat="1" customHeight="1" spans="3:38">
      <c r="C222" s="23"/>
      <c r="F222" s="26"/>
      <c r="K222" s="27"/>
      <c r="N222" s="27"/>
      <c r="O222" s="27"/>
      <c r="W222" s="27"/>
      <c r="Y222" s="27"/>
      <c r="Z222" s="27"/>
      <c r="AB222" s="28"/>
      <c r="AK222" s="29"/>
      <c r="AL222" s="29"/>
    </row>
    <row r="223" s="24" customFormat="1" customHeight="1" spans="3:38">
      <c r="C223" s="23"/>
      <c r="F223" s="26"/>
      <c r="K223" s="27"/>
      <c r="N223" s="27"/>
      <c r="O223" s="27"/>
      <c r="W223" s="27"/>
      <c r="Y223" s="27"/>
      <c r="Z223" s="27"/>
      <c r="AB223" s="28"/>
      <c r="AK223" s="29"/>
      <c r="AL223" s="29"/>
    </row>
    <row r="224" s="24" customFormat="1" customHeight="1" spans="3:38">
      <c r="C224" s="23"/>
      <c r="F224" s="26"/>
      <c r="K224" s="27"/>
      <c r="N224" s="27"/>
      <c r="O224" s="27"/>
      <c r="W224" s="27"/>
      <c r="Y224" s="27"/>
      <c r="Z224" s="27"/>
      <c r="AB224" s="28"/>
      <c r="AK224" s="29"/>
      <c r="AL224" s="29"/>
    </row>
    <row r="225" s="24" customFormat="1" customHeight="1" spans="3:38">
      <c r="C225" s="23"/>
      <c r="F225" s="26"/>
      <c r="K225" s="27"/>
      <c r="N225" s="27"/>
      <c r="O225" s="27"/>
      <c r="W225" s="27"/>
      <c r="Y225" s="27"/>
      <c r="Z225" s="27"/>
      <c r="AB225" s="28"/>
      <c r="AK225" s="29"/>
      <c r="AL225" s="29"/>
    </row>
    <row r="226" s="24" customFormat="1" customHeight="1" spans="3:38">
      <c r="C226" s="23"/>
      <c r="D226" s="94"/>
      <c r="E226" s="94"/>
      <c r="F226" s="31"/>
      <c r="G226" s="94"/>
      <c r="H226" s="95"/>
      <c r="I226" s="95"/>
      <c r="J226" s="94"/>
      <c r="K226" s="52"/>
      <c r="L226" s="95"/>
      <c r="M226" s="95"/>
      <c r="N226" s="52"/>
      <c r="O226" s="52"/>
      <c r="W226" s="27"/>
      <c r="Y226" s="41"/>
      <c r="Z226" s="52"/>
      <c r="AB226" s="28"/>
      <c r="AK226" s="29"/>
      <c r="AL226" s="29"/>
    </row>
    <row r="227" s="24" customFormat="1" customHeight="1" spans="3:38">
      <c r="C227" s="30"/>
      <c r="D227" s="94"/>
      <c r="E227" s="94"/>
      <c r="F227" s="31"/>
      <c r="G227" s="94"/>
      <c r="H227" s="95"/>
      <c r="I227" s="95"/>
      <c r="J227" s="94"/>
      <c r="K227" s="52"/>
      <c r="L227" s="95"/>
      <c r="M227" s="95"/>
      <c r="N227" s="52"/>
      <c r="O227" s="52"/>
      <c r="W227" s="27"/>
      <c r="Y227" s="27"/>
      <c r="Z227" s="27"/>
      <c r="AB227" s="28"/>
      <c r="AK227" s="29"/>
      <c r="AL227" s="29"/>
    </row>
    <row r="228" s="24" customFormat="1" customHeight="1" spans="3:38">
      <c r="C228" s="23"/>
      <c r="F228" s="26"/>
      <c r="K228" s="27"/>
      <c r="N228" s="27"/>
      <c r="O228" s="27"/>
      <c r="W228" s="27"/>
      <c r="Y228" s="27"/>
      <c r="Z228" s="27"/>
      <c r="AB228" s="28"/>
      <c r="AK228" s="29"/>
      <c r="AL228" s="29"/>
    </row>
    <row r="229" s="24" customFormat="1" customHeight="1" spans="3:38">
      <c r="C229" s="23"/>
      <c r="F229" s="26"/>
      <c r="K229" s="27"/>
      <c r="N229" s="27"/>
      <c r="O229" s="27"/>
      <c r="W229" s="27"/>
      <c r="Y229" s="27"/>
      <c r="Z229" s="27"/>
      <c r="AB229" s="28"/>
      <c r="AK229" s="29"/>
      <c r="AL229" s="29"/>
    </row>
    <row r="230" s="24" customFormat="1" customHeight="1" spans="3:38">
      <c r="C230" s="30"/>
      <c r="D230" s="94"/>
      <c r="E230" s="94"/>
      <c r="F230" s="31"/>
      <c r="G230" s="94"/>
      <c r="H230" s="95"/>
      <c r="I230" s="95"/>
      <c r="J230" s="94"/>
      <c r="K230" s="52"/>
      <c r="L230" s="95"/>
      <c r="M230" s="95"/>
      <c r="N230" s="52"/>
      <c r="O230" s="52"/>
      <c r="W230" s="27"/>
      <c r="Y230" s="27"/>
      <c r="Z230" s="52"/>
      <c r="AB230" s="28"/>
      <c r="AK230" s="29"/>
      <c r="AL230" s="29"/>
    </row>
    <row r="231" s="24" customFormat="1" customHeight="1" spans="3:38">
      <c r="C231" s="23"/>
      <c r="D231" s="94"/>
      <c r="E231" s="94"/>
      <c r="F231" s="31"/>
      <c r="G231" s="94"/>
      <c r="H231" s="95"/>
      <c r="I231" s="95"/>
      <c r="K231" s="27"/>
      <c r="L231" s="95"/>
      <c r="M231" s="95"/>
      <c r="N231" s="52"/>
      <c r="O231" s="52"/>
      <c r="W231" s="27"/>
      <c r="X231" s="94"/>
      <c r="Y231" s="52"/>
      <c r="Z231" s="27"/>
      <c r="AB231" s="28"/>
      <c r="AK231" s="29"/>
      <c r="AL231" s="29"/>
    </row>
    <row r="232" s="24" customFormat="1" customHeight="1" spans="3:38">
      <c r="C232" s="30"/>
      <c r="D232" s="94"/>
      <c r="E232" s="94"/>
      <c r="F232" s="31"/>
      <c r="G232" s="94"/>
      <c r="H232" s="95"/>
      <c r="I232" s="95"/>
      <c r="K232" s="27"/>
      <c r="L232" s="95"/>
      <c r="M232" s="95"/>
      <c r="N232" s="52"/>
      <c r="O232" s="52"/>
      <c r="W232" s="27"/>
      <c r="X232" s="94"/>
      <c r="Y232" s="52"/>
      <c r="Z232" s="27"/>
      <c r="AB232" s="28"/>
      <c r="AK232" s="29"/>
      <c r="AL232" s="29"/>
    </row>
    <row r="233" s="24" customFormat="1" customHeight="1" spans="3:38">
      <c r="C233" s="30"/>
      <c r="D233" s="94"/>
      <c r="E233" s="94"/>
      <c r="F233" s="31"/>
      <c r="G233" s="94"/>
      <c r="H233" s="95"/>
      <c r="I233" s="95"/>
      <c r="J233" s="94"/>
      <c r="K233" s="52"/>
      <c r="L233" s="95"/>
      <c r="M233" s="95"/>
      <c r="N233" s="52"/>
      <c r="O233" s="52"/>
      <c r="W233" s="27"/>
      <c r="X233" s="94"/>
      <c r="Y233" s="52"/>
      <c r="Z233" s="128"/>
      <c r="AB233" s="28"/>
      <c r="AK233" s="29"/>
      <c r="AL233" s="29"/>
    </row>
    <row r="234" s="24" customFormat="1" customHeight="1" spans="3:38">
      <c r="C234" s="30"/>
      <c r="D234" s="94"/>
      <c r="E234" s="94"/>
      <c r="F234" s="31"/>
      <c r="G234" s="94"/>
      <c r="H234" s="95"/>
      <c r="I234" s="95"/>
      <c r="J234" s="94"/>
      <c r="K234" s="52"/>
      <c r="L234" s="95"/>
      <c r="M234" s="95"/>
      <c r="N234" s="52"/>
      <c r="O234" s="52"/>
      <c r="W234" s="27"/>
      <c r="X234" s="94"/>
      <c r="Y234" s="52"/>
      <c r="Z234" s="27"/>
      <c r="AB234" s="28"/>
      <c r="AK234" s="29"/>
      <c r="AL234" s="29"/>
    </row>
    <row r="235" s="24" customFormat="1" customHeight="1" spans="3:38">
      <c r="C235" s="30"/>
      <c r="D235" s="94"/>
      <c r="E235" s="94"/>
      <c r="F235" s="31"/>
      <c r="G235" s="94"/>
      <c r="H235" s="95"/>
      <c r="I235" s="95"/>
      <c r="J235" s="94"/>
      <c r="K235" s="52"/>
      <c r="L235" s="95"/>
      <c r="M235" s="95"/>
      <c r="N235" s="52"/>
      <c r="O235" s="52"/>
      <c r="W235" s="27"/>
      <c r="Y235" s="27"/>
      <c r="Z235" s="27"/>
      <c r="AB235" s="28"/>
      <c r="AK235" s="29"/>
      <c r="AL235" s="29"/>
    </row>
    <row r="236" s="24" customFormat="1" customHeight="1" spans="3:38">
      <c r="C236" s="23"/>
      <c r="F236" s="26"/>
      <c r="K236" s="27"/>
      <c r="N236" s="27"/>
      <c r="O236" s="27"/>
      <c r="W236" s="27"/>
      <c r="Y236" s="27"/>
      <c r="Z236" s="27"/>
      <c r="AB236" s="28"/>
      <c r="AK236" s="29"/>
      <c r="AL236" s="29"/>
    </row>
    <row r="237" s="24" customFormat="1" customHeight="1" spans="3:38">
      <c r="C237" s="30"/>
      <c r="D237" s="94"/>
      <c r="E237" s="94"/>
      <c r="F237" s="31"/>
      <c r="G237" s="94"/>
      <c r="H237" s="95"/>
      <c r="I237" s="95"/>
      <c r="J237" s="94"/>
      <c r="K237" s="52"/>
      <c r="L237" s="95"/>
      <c r="M237" s="95"/>
      <c r="N237" s="52"/>
      <c r="O237" s="52"/>
      <c r="W237" s="27"/>
      <c r="Y237" s="27"/>
      <c r="Z237" s="27"/>
      <c r="AB237" s="28"/>
      <c r="AK237" s="29"/>
      <c r="AL237" s="29"/>
    </row>
    <row r="238" s="24" customFormat="1" customHeight="1" spans="3:38">
      <c r="C238" s="30"/>
      <c r="D238" s="94"/>
      <c r="E238" s="94"/>
      <c r="F238" s="31"/>
      <c r="G238" s="94"/>
      <c r="H238" s="95"/>
      <c r="I238" s="95"/>
      <c r="J238" s="94"/>
      <c r="K238" s="52"/>
      <c r="L238" s="95"/>
      <c r="M238" s="95"/>
      <c r="N238" s="52"/>
      <c r="O238" s="52"/>
      <c r="W238" s="27"/>
      <c r="Y238" s="27"/>
      <c r="Z238" s="27"/>
      <c r="AB238" s="28"/>
      <c r="AK238" s="29"/>
      <c r="AL238" s="29"/>
    </row>
    <row r="239" s="24" customFormat="1" customHeight="1" spans="3:38">
      <c r="C239" s="30"/>
      <c r="D239" s="94"/>
      <c r="E239" s="94"/>
      <c r="F239" s="31"/>
      <c r="G239" s="94"/>
      <c r="H239" s="95"/>
      <c r="I239" s="95"/>
      <c r="J239" s="94"/>
      <c r="K239" s="52"/>
      <c r="L239" s="95"/>
      <c r="M239" s="95"/>
      <c r="N239" s="52"/>
      <c r="O239" s="52"/>
      <c r="Y239" s="27"/>
      <c r="Z239" s="27"/>
      <c r="AB239" s="28"/>
      <c r="AK239" s="29"/>
      <c r="AL239" s="29"/>
    </row>
    <row r="240" s="24" customFormat="1" customHeight="1" spans="3:38">
      <c r="C240" s="30"/>
      <c r="D240" s="94"/>
      <c r="E240" s="94"/>
      <c r="F240" s="31"/>
      <c r="G240" s="94"/>
      <c r="H240" s="95"/>
      <c r="I240" s="95"/>
      <c r="J240" s="128"/>
      <c r="K240" s="128"/>
      <c r="L240" s="95"/>
      <c r="M240" s="95"/>
      <c r="N240" s="52"/>
      <c r="O240" s="52"/>
      <c r="Y240" s="27"/>
      <c r="Z240" s="27"/>
      <c r="AB240" s="28"/>
      <c r="AK240" s="29"/>
      <c r="AL240" s="29"/>
    </row>
    <row r="241" s="24" customFormat="1" customHeight="1" spans="3:38">
      <c r="C241" s="30"/>
      <c r="D241" s="94"/>
      <c r="E241" s="94"/>
      <c r="F241" s="31"/>
      <c r="G241" s="94"/>
      <c r="H241" s="95"/>
      <c r="I241" s="95"/>
      <c r="J241" s="94"/>
      <c r="K241" s="52"/>
      <c r="L241" s="95"/>
      <c r="M241" s="95"/>
      <c r="N241" s="52"/>
      <c r="O241" s="52"/>
      <c r="W241" s="27"/>
      <c r="Y241" s="27"/>
      <c r="Z241" s="52"/>
      <c r="AB241" s="28"/>
      <c r="AK241" s="29"/>
      <c r="AL241" s="29"/>
    </row>
    <row r="242" s="24" customFormat="1" customHeight="1" spans="3:38">
      <c r="C242" s="23"/>
      <c r="D242" s="94"/>
      <c r="E242" s="94"/>
      <c r="F242" s="31"/>
      <c r="G242" s="94"/>
      <c r="H242" s="95"/>
      <c r="I242" s="95"/>
      <c r="K242" s="27"/>
      <c r="L242" s="95"/>
      <c r="M242" s="95"/>
      <c r="N242" s="52"/>
      <c r="O242" s="52"/>
      <c r="W242" s="27"/>
      <c r="Y242" s="27"/>
      <c r="Z242" s="27"/>
      <c r="AB242" s="28"/>
      <c r="AK242" s="29"/>
      <c r="AL242" s="29"/>
    </row>
    <row r="243" s="24" customFormat="1" customHeight="1" spans="3:38">
      <c r="C243" s="23"/>
      <c r="D243" s="94"/>
      <c r="E243" s="94"/>
      <c r="F243" s="31"/>
      <c r="G243" s="94"/>
      <c r="H243" s="95"/>
      <c r="I243" s="95"/>
      <c r="K243" s="27"/>
      <c r="L243" s="95"/>
      <c r="M243" s="95"/>
      <c r="N243" s="52"/>
      <c r="O243" s="52"/>
      <c r="Y243" s="27"/>
      <c r="Z243" s="27"/>
      <c r="AB243" s="28"/>
      <c r="AK243" s="29"/>
      <c r="AL243" s="29"/>
    </row>
    <row r="244" s="24" customFormat="1" customHeight="1" spans="3:38">
      <c r="C244" s="23"/>
      <c r="D244" s="94"/>
      <c r="E244" s="94"/>
      <c r="F244" s="31"/>
      <c r="G244" s="94"/>
      <c r="H244" s="95"/>
      <c r="I244" s="95"/>
      <c r="K244" s="27"/>
      <c r="L244" s="95"/>
      <c r="M244" s="95"/>
      <c r="N244" s="52"/>
      <c r="O244" s="52"/>
      <c r="Y244" s="27"/>
      <c r="Z244" s="27"/>
      <c r="AB244" s="28"/>
      <c r="AK244" s="29"/>
      <c r="AL244" s="29"/>
    </row>
    <row r="245" s="24" customFormat="1" customHeight="1" spans="3:38">
      <c r="C245" s="23"/>
      <c r="D245" s="94"/>
      <c r="E245" s="94"/>
      <c r="F245" s="31"/>
      <c r="G245" s="94"/>
      <c r="H245" s="95"/>
      <c r="I245" s="95"/>
      <c r="K245" s="27"/>
      <c r="L245" s="95"/>
      <c r="M245" s="95"/>
      <c r="N245" s="52"/>
      <c r="O245" s="52"/>
      <c r="W245" s="27"/>
      <c r="Y245" s="27"/>
      <c r="Z245" s="27"/>
      <c r="AB245" s="28"/>
      <c r="AK245" s="29"/>
      <c r="AL245" s="29"/>
    </row>
    <row r="246" s="24" customFormat="1" customHeight="1" spans="3:38">
      <c r="C246" s="23"/>
      <c r="D246" s="94"/>
      <c r="E246" s="94"/>
      <c r="F246" s="31"/>
      <c r="G246" s="94"/>
      <c r="H246" s="95"/>
      <c r="I246" s="95"/>
      <c r="K246" s="128"/>
      <c r="L246" s="95"/>
      <c r="M246" s="95"/>
      <c r="N246" s="52"/>
      <c r="O246" s="52"/>
      <c r="W246" s="27"/>
      <c r="Y246" s="27"/>
      <c r="Z246" s="27"/>
      <c r="AB246" s="28"/>
      <c r="AK246" s="29"/>
      <c r="AL246" s="29"/>
    </row>
    <row r="247" s="24" customFormat="1" customHeight="1" spans="3:38">
      <c r="C247" s="23"/>
      <c r="D247" s="94"/>
      <c r="E247" s="94"/>
      <c r="F247" s="31"/>
      <c r="G247" s="94"/>
      <c r="H247" s="95"/>
      <c r="I247" s="95"/>
      <c r="K247" s="27"/>
      <c r="L247" s="95"/>
      <c r="M247" s="95"/>
      <c r="N247" s="52"/>
      <c r="O247" s="52"/>
      <c r="W247" s="27"/>
      <c r="Y247" s="27"/>
      <c r="Z247" s="52"/>
      <c r="AB247" s="28"/>
      <c r="AK247" s="29"/>
      <c r="AL247" s="29"/>
    </row>
    <row r="248" s="24" customFormat="1" customHeight="1" spans="3:38">
      <c r="C248" s="23"/>
      <c r="D248" s="94"/>
      <c r="E248" s="94"/>
      <c r="F248" s="31"/>
      <c r="G248" s="94"/>
      <c r="H248" s="95"/>
      <c r="I248" s="95"/>
      <c r="K248" s="27"/>
      <c r="L248" s="95"/>
      <c r="M248" s="95"/>
      <c r="N248" s="52"/>
      <c r="O248" s="52"/>
      <c r="Y248" s="27"/>
      <c r="Z248" s="52"/>
      <c r="AB248" s="28"/>
      <c r="AK248" s="29"/>
      <c r="AL248" s="29"/>
    </row>
    <row r="249" s="24" customFormat="1" customHeight="1" spans="3:38">
      <c r="C249" s="30"/>
      <c r="D249" s="94"/>
      <c r="E249" s="94"/>
      <c r="F249" s="149"/>
      <c r="G249" s="86"/>
      <c r="H249" s="113"/>
      <c r="I249" s="113"/>
      <c r="J249" s="86"/>
      <c r="K249" s="114"/>
      <c r="L249" s="113"/>
      <c r="M249" s="95"/>
      <c r="N249" s="52"/>
      <c r="O249" s="52"/>
      <c r="P249" s="52"/>
      <c r="V249" s="95"/>
      <c r="W249" s="27"/>
      <c r="Y249" s="27"/>
      <c r="Z249" s="27"/>
      <c r="AB249" s="28"/>
      <c r="AK249" s="29"/>
      <c r="AL249" s="29"/>
    </row>
    <row r="250" s="24" customFormat="1" customHeight="1" spans="3:38">
      <c r="C250" s="23"/>
      <c r="E250" s="94"/>
      <c r="F250" s="31"/>
      <c r="K250" s="27"/>
      <c r="N250" s="27"/>
      <c r="O250" s="27"/>
      <c r="W250" s="27"/>
      <c r="Y250" s="27"/>
      <c r="Z250" s="27"/>
      <c r="AB250" s="28"/>
      <c r="AK250" s="29"/>
      <c r="AL250" s="29"/>
    </row>
    <row r="251" s="24" customFormat="1" customHeight="1" spans="3:38">
      <c r="C251" s="23"/>
      <c r="D251" s="94"/>
      <c r="E251" s="94"/>
      <c r="F251" s="31"/>
      <c r="G251" s="94"/>
      <c r="H251" s="95"/>
      <c r="I251" s="95"/>
      <c r="K251" s="39"/>
      <c r="L251" s="95"/>
      <c r="M251" s="95"/>
      <c r="N251" s="52"/>
      <c r="O251" s="52"/>
      <c r="W251" s="27"/>
      <c r="Y251" s="27"/>
      <c r="Z251" s="128"/>
      <c r="AB251" s="28"/>
      <c r="AK251" s="29"/>
      <c r="AL251" s="29"/>
    </row>
    <row r="252" s="24" customFormat="1" customHeight="1" spans="3:38">
      <c r="C252" s="23"/>
      <c r="D252" s="94"/>
      <c r="E252" s="94"/>
      <c r="F252" s="31"/>
      <c r="G252" s="94"/>
      <c r="H252" s="95"/>
      <c r="I252" s="95"/>
      <c r="K252" s="27"/>
      <c r="N252" s="27"/>
      <c r="O252" s="27"/>
      <c r="W252" s="27"/>
      <c r="Y252" s="27"/>
      <c r="Z252" s="27"/>
      <c r="AB252" s="28"/>
      <c r="AK252" s="29"/>
      <c r="AL252" s="29"/>
    </row>
    <row r="253" s="24" customFormat="1" customHeight="1" spans="3:38">
      <c r="C253" s="23"/>
      <c r="D253" s="94"/>
      <c r="E253" s="94"/>
      <c r="F253" s="31"/>
      <c r="G253" s="94"/>
      <c r="H253" s="95"/>
      <c r="I253" s="95"/>
      <c r="K253" s="27"/>
      <c r="N253" s="27"/>
      <c r="O253" s="27"/>
      <c r="W253" s="27"/>
      <c r="Y253" s="27"/>
      <c r="Z253" s="27"/>
      <c r="AB253" s="28"/>
      <c r="AK253" s="29"/>
      <c r="AL253" s="29"/>
    </row>
    <row r="254" s="24" customFormat="1" customHeight="1" spans="3:38">
      <c r="C254" s="197"/>
      <c r="D254" s="86"/>
      <c r="E254" s="198"/>
      <c r="F254" s="149"/>
      <c r="G254" s="86"/>
      <c r="H254" s="113"/>
      <c r="I254" s="113"/>
      <c r="J254" s="86"/>
      <c r="K254" s="113"/>
      <c r="L254" s="113"/>
      <c r="M254" s="199"/>
      <c r="N254" s="27"/>
      <c r="O254" s="27"/>
      <c r="W254" s="27"/>
      <c r="Y254" s="27"/>
      <c r="Z254" s="27"/>
      <c r="AB254" s="28"/>
      <c r="AK254" s="29"/>
      <c r="AL254" s="2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XFB254" etc:filterBottomFollowUsedRange="1">
    <extLst/>
  </autoFilter>
  <mergeCells count="88">
    <mergeCell ref="G1:I1"/>
    <mergeCell ref="J1:L1"/>
    <mergeCell ref="M1:N1"/>
    <mergeCell ref="V1:W1"/>
    <mergeCell ref="X1:Y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H1"/>
    <mergeCell ref="DI1:DK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EH1:EI1"/>
    <mergeCell ref="D91:E91"/>
    <mergeCell ref="D195:E195"/>
    <mergeCell ref="D196:E196"/>
    <mergeCell ref="D254:E254"/>
    <mergeCell ref="A1:A2"/>
    <mergeCell ref="A3:A6"/>
    <mergeCell ref="A7:A8"/>
    <mergeCell ref="A9:A13"/>
    <mergeCell ref="A14:A23"/>
    <mergeCell ref="A24:A33"/>
    <mergeCell ref="A34:A87"/>
    <mergeCell ref="A88:A102"/>
    <mergeCell ref="A103:A116"/>
    <mergeCell ref="A117:A155"/>
    <mergeCell ref="B1:B2"/>
    <mergeCell ref="C1:C2"/>
    <mergeCell ref="D1:D2"/>
    <mergeCell ref="E1:E2"/>
    <mergeCell ref="F1:F2"/>
    <mergeCell ref="O1:O2"/>
    <mergeCell ref="P1:P2"/>
    <mergeCell ref="Q1:Q2"/>
    <mergeCell ref="R1:R2"/>
    <mergeCell ref="S1:S2"/>
    <mergeCell ref="T1:T2"/>
    <mergeCell ref="U1:U2"/>
    <mergeCell ref="Z1:Z2"/>
    <mergeCell ref="Z238:Z239"/>
    <mergeCell ref="DL1:DL2"/>
    <mergeCell ref="DO1:DO2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4"/>
  <sheetViews>
    <sheetView workbookViewId="0">
      <selection activeCell="AL24" sqref="AL24"/>
    </sheetView>
  </sheetViews>
  <sheetFormatPr defaultColWidth="9" defaultRowHeight="13.5"/>
  <cols>
    <col min="1" max="1" width="4.38333333333333" style="14" customWidth="1"/>
    <col min="2" max="2" width="14" style="13" customWidth="1"/>
    <col min="3" max="32" width="4.25" style="13" customWidth="1"/>
    <col min="33" max="16384" width="9" style="13"/>
  </cols>
  <sheetData>
    <row r="1" s="13" customFormat="1" ht="38" customHeight="1" spans="1:32">
      <c r="A1" s="15" t="s">
        <v>1394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="13" customFormat="1" ht="18.75" spans="1:32">
      <c r="A2" s="16" t="s">
        <v>1395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="13" customFormat="1" ht="20" customHeight="1" spans="1:32">
      <c r="A3" s="17" t="s">
        <v>348</v>
      </c>
      <c r="B3" s="18" t="s">
        <v>8</v>
      </c>
      <c r="C3" s="19" t="s">
        <v>1396</v>
      </c>
      <c r="D3" s="19" t="s">
        <v>1397</v>
      </c>
      <c r="E3" s="19" t="s">
        <v>1398</v>
      </c>
      <c r="F3" s="19" t="s">
        <v>1399</v>
      </c>
      <c r="G3" s="19" t="s">
        <v>1400</v>
      </c>
      <c r="H3" s="19" t="s">
        <v>1401</v>
      </c>
      <c r="I3" s="19" t="s">
        <v>1402</v>
      </c>
      <c r="J3" s="19" t="s">
        <v>1403</v>
      </c>
      <c r="K3" s="19" t="s">
        <v>1404</v>
      </c>
      <c r="L3" s="19" t="s">
        <v>1405</v>
      </c>
      <c r="M3" s="19" t="s">
        <v>1406</v>
      </c>
      <c r="N3" s="19" t="s">
        <v>1407</v>
      </c>
      <c r="O3" s="19" t="s">
        <v>1408</v>
      </c>
      <c r="P3" s="19" t="s">
        <v>1409</v>
      </c>
      <c r="Q3" s="19" t="s">
        <v>1410</v>
      </c>
      <c r="R3" s="19" t="s">
        <v>1411</v>
      </c>
      <c r="S3" s="19" t="s">
        <v>1412</v>
      </c>
      <c r="T3" s="19" t="s">
        <v>1413</v>
      </c>
      <c r="U3" s="19" t="s">
        <v>1414</v>
      </c>
      <c r="V3" s="19" t="s">
        <v>1415</v>
      </c>
      <c r="W3" s="19" t="s">
        <v>1416</v>
      </c>
      <c r="X3" s="19" t="s">
        <v>1417</v>
      </c>
      <c r="Y3" s="19" t="s">
        <v>1418</v>
      </c>
      <c r="Z3" s="19" t="s">
        <v>1419</v>
      </c>
      <c r="AA3" s="19" t="s">
        <v>1420</v>
      </c>
      <c r="AB3" s="19" t="s">
        <v>1421</v>
      </c>
      <c r="AC3" s="19" t="s">
        <v>1422</v>
      </c>
      <c r="AD3" s="19" t="s">
        <v>1423</v>
      </c>
      <c r="AE3" s="19" t="s">
        <v>1424</v>
      </c>
      <c r="AF3" s="19" t="s">
        <v>1425</v>
      </c>
    </row>
    <row r="4" s="13" customFormat="1" ht="21" customHeight="1" spans="1:32">
      <c r="A4" s="20">
        <v>1</v>
      </c>
      <c r="B4" s="21" t="s">
        <v>1426</v>
      </c>
      <c r="C4" s="20"/>
      <c r="D4" s="20"/>
      <c r="E4" s="20"/>
      <c r="F4" s="20"/>
      <c r="G4" s="20"/>
      <c r="H4" s="20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</row>
    <row r="5" s="13" customFormat="1" ht="21" customHeight="1" spans="1:32">
      <c r="A5" s="20">
        <v>2</v>
      </c>
      <c r="B5" s="21" t="s">
        <v>1427</v>
      </c>
      <c r="C5" s="20"/>
      <c r="D5" s="20"/>
      <c r="E5" s="20"/>
      <c r="F5" s="20"/>
      <c r="G5" s="20"/>
      <c r="H5" s="20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</row>
    <row r="6" s="13" customFormat="1" ht="21" customHeight="1" spans="1:32">
      <c r="A6" s="20">
        <v>3</v>
      </c>
      <c r="B6" s="21" t="s">
        <v>1428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</row>
    <row r="7" s="13" customFormat="1" ht="21" customHeight="1" spans="1:32">
      <c r="A7" s="20">
        <v>4</v>
      </c>
      <c r="B7" s="21" t="s">
        <v>1429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</row>
    <row r="8" s="13" customFormat="1" ht="21" customHeight="1" spans="1:32">
      <c r="A8" s="20">
        <v>5</v>
      </c>
      <c r="B8" s="21" t="s">
        <v>1430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="13" customFormat="1" ht="21" customHeight="1" spans="1:32">
      <c r="A9" s="20">
        <v>6</v>
      </c>
      <c r="B9" s="21" t="s">
        <v>1431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="13" customFormat="1" ht="21" customHeight="1" spans="1:32">
      <c r="A10" s="20">
        <v>7</v>
      </c>
      <c r="B10" s="21" t="s">
        <v>1432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 s="13" customFormat="1" ht="21" customHeight="1" spans="1:32">
      <c r="A11" s="20">
        <v>8</v>
      </c>
      <c r="B11" s="21" t="s">
        <v>1433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="13" customFormat="1" ht="21" customHeight="1" spans="1:32">
      <c r="A12" s="20">
        <v>9</v>
      </c>
      <c r="B12" s="20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 s="13" customFormat="1" ht="21" customHeight="1" spans="1:32">
      <c r="A13" s="20">
        <v>10</v>
      </c>
      <c r="B13" s="22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 s="13" customFormat="1" ht="21" customHeight="1" spans="1:32">
      <c r="A14" s="20">
        <v>11</v>
      </c>
      <c r="B14" s="20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</row>
    <row r="15" s="13" customFormat="1" ht="21" customHeight="1" spans="1:32">
      <c r="A15" s="20">
        <v>12</v>
      </c>
      <c r="B15" s="20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</row>
    <row r="16" s="13" customFormat="1" ht="21" customHeight="1" spans="1:32">
      <c r="A16" s="20">
        <v>13</v>
      </c>
      <c r="B16" s="20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s="13" customFormat="1" ht="21" customHeight="1" spans="1:32">
      <c r="A17" s="20">
        <v>14</v>
      </c>
      <c r="B17" s="20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="13" customFormat="1" ht="21" customHeight="1" spans="1:32">
      <c r="A18" s="20">
        <v>15</v>
      </c>
      <c r="B18" s="20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19" s="13" customFormat="1" ht="21" customHeight="1" spans="1:32">
      <c r="A19" s="20">
        <v>16</v>
      </c>
      <c r="B19" s="20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</row>
    <row r="20" s="13" customFormat="1" ht="21" customHeight="1" spans="1:32">
      <c r="A20" s="20">
        <v>17</v>
      </c>
      <c r="B20" s="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</row>
    <row r="21" s="13" customFormat="1" ht="21" customHeight="1" spans="1:32">
      <c r="A21" s="20">
        <v>18</v>
      </c>
      <c r="B21" s="20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</row>
    <row r="22" s="13" customFormat="1" ht="21" customHeight="1" spans="1:32">
      <c r="A22" s="20">
        <v>19</v>
      </c>
      <c r="B22" s="20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s="13" customFormat="1" ht="21" customHeight="1" spans="1:32">
      <c r="A23" s="20">
        <v>20</v>
      </c>
      <c r="B23" s="20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  <row r="24" s="13" customFormat="1" ht="21" customHeight="1" spans="1:32">
      <c r="A24" s="20">
        <v>21</v>
      </c>
      <c r="B24" s="22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</row>
  </sheetData>
  <sheetProtection formatCells="0" formatColumns="0" formatRows="0" insertRows="0" insertColumns="0" insertHyperlinks="0" deleteColumns="0" deleteRows="0" sort="0" autoFilter="0" pivotTables="0"/>
  <mergeCells count="2">
    <mergeCell ref="A1:AF1"/>
    <mergeCell ref="A2:AF2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zoomScale="70" zoomScaleNormal="70" workbookViewId="0">
      <selection activeCell="R21" sqref="R21"/>
    </sheetView>
  </sheetViews>
  <sheetFormatPr defaultColWidth="9" defaultRowHeight="35.25" outlineLevelCol="5"/>
  <cols>
    <col min="1" max="1" width="5.25" style="1" customWidth="1"/>
    <col min="2" max="2" width="35.25" style="1" customWidth="1"/>
    <col min="3" max="3" width="10.175" style="1" customWidth="1"/>
    <col min="4" max="4" width="13.7416666666667" style="1" customWidth="1"/>
    <col min="5" max="5" width="13.2166666666667" style="1" customWidth="1"/>
    <col min="6" max="6" width="35.25" style="1" customWidth="1"/>
    <col min="7" max="16364" width="9" style="1"/>
    <col min="16365" max="16384" width="9" style="2"/>
  </cols>
  <sheetData>
    <row r="1" s="1" customFormat="1" ht="38" customHeight="1" spans="1:6">
      <c r="A1" s="3" t="s">
        <v>1434</v>
      </c>
      <c r="B1" s="3"/>
      <c r="C1" s="3"/>
      <c r="D1" s="3"/>
      <c r="E1" s="3"/>
      <c r="F1" s="3"/>
    </row>
    <row r="2" s="1" customFormat="1" ht="23" customHeight="1" spans="1:6">
      <c r="A2" s="4" t="s">
        <v>348</v>
      </c>
      <c r="B2" s="5" t="s">
        <v>8</v>
      </c>
      <c r="C2" s="6" t="s">
        <v>386</v>
      </c>
      <c r="D2" s="6" t="s">
        <v>389</v>
      </c>
      <c r="E2" s="4" t="s">
        <v>348</v>
      </c>
      <c r="F2" s="5" t="s">
        <v>8</v>
      </c>
    </row>
    <row r="3" s="1" customFormat="1" ht="23" customHeight="1" spans="1:6">
      <c r="A3" s="7">
        <v>1</v>
      </c>
      <c r="B3" s="7" t="s">
        <v>1435</v>
      </c>
      <c r="C3" s="7" t="s">
        <v>1436</v>
      </c>
      <c r="D3" s="7"/>
      <c r="E3" s="7">
        <v>26</v>
      </c>
      <c r="F3" s="7"/>
    </row>
    <row r="4" s="1" customFormat="1" ht="23" customHeight="1" spans="1:6">
      <c r="A4" s="7">
        <v>2</v>
      </c>
      <c r="B4" s="8"/>
      <c r="C4" s="7"/>
      <c r="D4" s="7"/>
      <c r="E4" s="7">
        <v>27</v>
      </c>
      <c r="F4" s="8"/>
    </row>
    <row r="5" s="1" customFormat="1" ht="23" customHeight="1" spans="1:6">
      <c r="A5" s="7">
        <v>3</v>
      </c>
      <c r="B5" s="8"/>
      <c r="C5" s="7"/>
      <c r="D5" s="7"/>
      <c r="E5" s="7">
        <v>28</v>
      </c>
      <c r="F5" s="8"/>
    </row>
    <row r="6" s="1" customFormat="1" ht="23" customHeight="1" spans="1:6">
      <c r="A6" s="7">
        <v>4</v>
      </c>
      <c r="B6" s="8"/>
      <c r="C6" s="7"/>
      <c r="D6" s="7"/>
      <c r="E6" s="7">
        <v>29</v>
      </c>
      <c r="F6" s="8"/>
    </row>
    <row r="7" s="1" customFormat="1" ht="23" customHeight="1" spans="1:6">
      <c r="A7" s="7">
        <v>5</v>
      </c>
      <c r="B7" s="8"/>
      <c r="C7" s="7"/>
      <c r="D7" s="7"/>
      <c r="E7" s="7">
        <v>30</v>
      </c>
      <c r="F7" s="8"/>
    </row>
    <row r="8" s="1" customFormat="1" ht="23" customHeight="1" spans="1:6">
      <c r="A8" s="7">
        <v>6</v>
      </c>
      <c r="B8" s="8"/>
      <c r="C8" s="7"/>
      <c r="D8" s="7"/>
      <c r="E8" s="7">
        <v>31</v>
      </c>
      <c r="F8" s="8"/>
    </row>
    <row r="9" s="1" customFormat="1" ht="23" customHeight="1" spans="1:6">
      <c r="A9" s="7">
        <v>7</v>
      </c>
      <c r="B9" s="8"/>
      <c r="C9" s="7"/>
      <c r="D9" s="7"/>
      <c r="E9" s="7">
        <v>32</v>
      </c>
      <c r="F9" s="8"/>
    </row>
    <row r="10" s="1" customFormat="1" ht="23" customHeight="1" spans="1:6">
      <c r="A10" s="7">
        <v>8</v>
      </c>
      <c r="B10" s="8"/>
      <c r="C10" s="7"/>
      <c r="D10" s="7"/>
      <c r="E10" s="7">
        <v>33</v>
      </c>
      <c r="F10" s="8"/>
    </row>
    <row r="11" s="1" customFormat="1" ht="23" customHeight="1" spans="1:6">
      <c r="A11" s="7">
        <v>9</v>
      </c>
      <c r="B11" s="8"/>
      <c r="C11" s="7"/>
      <c r="D11" s="7"/>
      <c r="E11" s="7">
        <v>34</v>
      </c>
      <c r="F11" s="8"/>
    </row>
    <row r="12" s="1" customFormat="1" ht="23" customHeight="1" spans="1:6">
      <c r="A12" s="7">
        <v>10</v>
      </c>
      <c r="B12" s="9"/>
      <c r="C12" s="10"/>
      <c r="D12" s="10"/>
      <c r="E12" s="7">
        <v>35</v>
      </c>
      <c r="F12" s="9"/>
    </row>
    <row r="13" s="1" customFormat="1" ht="23" customHeight="1" spans="1:6">
      <c r="A13" s="7">
        <v>11</v>
      </c>
      <c r="B13" s="8"/>
      <c r="C13" s="7"/>
      <c r="D13" s="7"/>
      <c r="E13" s="7">
        <v>36</v>
      </c>
      <c r="F13" s="8"/>
    </row>
    <row r="14" s="1" customFormat="1" ht="23" customHeight="1" spans="1:6">
      <c r="A14" s="7">
        <v>12</v>
      </c>
      <c r="B14" s="8"/>
      <c r="C14" s="7" t="s">
        <v>672</v>
      </c>
      <c r="D14" s="7"/>
      <c r="E14" s="7">
        <v>37</v>
      </c>
      <c r="F14" s="8"/>
    </row>
    <row r="15" s="1" customFormat="1" ht="23" customHeight="1" spans="1:6">
      <c r="A15" s="7">
        <v>13</v>
      </c>
      <c r="B15" s="8"/>
      <c r="C15" s="7"/>
      <c r="D15" s="7"/>
      <c r="E15" s="7">
        <v>38</v>
      </c>
      <c r="F15" s="8"/>
    </row>
    <row r="16" s="1" customFormat="1" ht="23" customHeight="1" spans="1:6">
      <c r="A16" s="7">
        <v>14</v>
      </c>
      <c r="B16" s="8"/>
      <c r="C16" s="7"/>
      <c r="D16" s="7"/>
      <c r="E16" s="7">
        <v>39</v>
      </c>
      <c r="F16" s="8"/>
    </row>
    <row r="17" s="1" customFormat="1" ht="23" customHeight="1" spans="1:6">
      <c r="A17" s="7">
        <v>15</v>
      </c>
      <c r="B17" s="8"/>
      <c r="C17" s="7"/>
      <c r="D17" s="7"/>
      <c r="E17" s="7">
        <v>40</v>
      </c>
      <c r="F17" s="8"/>
    </row>
    <row r="18" s="1" customFormat="1" ht="23" customHeight="1" spans="1:6">
      <c r="A18" s="7">
        <v>16</v>
      </c>
      <c r="B18" s="8"/>
      <c r="C18" s="7"/>
      <c r="D18" s="7"/>
      <c r="E18" s="7">
        <v>41</v>
      </c>
      <c r="F18" s="8"/>
    </row>
    <row r="19" s="1" customFormat="1" ht="23" customHeight="1" spans="1:6">
      <c r="A19" s="7">
        <v>17</v>
      </c>
      <c r="B19" s="8"/>
      <c r="C19" s="7"/>
      <c r="D19" s="7"/>
      <c r="E19" s="7">
        <v>42</v>
      </c>
      <c r="F19" s="8"/>
    </row>
    <row r="20" s="1" customFormat="1" ht="23" customHeight="1" spans="1:6">
      <c r="A20" s="7">
        <v>18</v>
      </c>
      <c r="B20" s="8"/>
      <c r="C20" s="7"/>
      <c r="D20" s="7"/>
      <c r="E20" s="7">
        <v>43</v>
      </c>
      <c r="F20" s="8"/>
    </row>
    <row r="21" s="1" customFormat="1" ht="23" customHeight="1" spans="1:6">
      <c r="A21" s="7">
        <v>19</v>
      </c>
      <c r="B21" s="8"/>
      <c r="C21" s="7"/>
      <c r="D21" s="7"/>
      <c r="E21" s="7">
        <v>44</v>
      </c>
      <c r="F21" s="8"/>
    </row>
    <row r="22" s="1" customFormat="1" ht="23" customHeight="1" spans="1:6">
      <c r="A22" s="7">
        <v>20</v>
      </c>
      <c r="B22" s="8"/>
      <c r="C22" s="7"/>
      <c r="D22" s="7"/>
      <c r="E22" s="7">
        <v>45</v>
      </c>
      <c r="F22" s="8"/>
    </row>
    <row r="23" s="1" customFormat="1" ht="23" customHeight="1" spans="1:6">
      <c r="A23" s="7">
        <v>21</v>
      </c>
      <c r="B23" s="9"/>
      <c r="C23" s="10"/>
      <c r="D23" s="10"/>
      <c r="E23" s="7">
        <v>46</v>
      </c>
      <c r="F23" s="9"/>
    </row>
    <row r="24" s="1" customFormat="1" ht="23" customHeight="1" spans="1:6">
      <c r="A24" s="7">
        <v>22</v>
      </c>
      <c r="B24" s="8"/>
      <c r="C24" s="7"/>
      <c r="D24" s="7"/>
      <c r="E24" s="7">
        <v>47</v>
      </c>
      <c r="F24" s="8"/>
    </row>
    <row r="25" s="1" customFormat="1" ht="23" customHeight="1" spans="1:6">
      <c r="A25" s="7">
        <v>23</v>
      </c>
      <c r="B25" s="11"/>
      <c r="C25" s="12"/>
      <c r="D25" s="12"/>
      <c r="E25" s="7">
        <v>48</v>
      </c>
      <c r="F25" s="11"/>
    </row>
    <row r="26" s="1" customFormat="1" ht="23" customHeight="1" spans="1:6">
      <c r="A26" s="7">
        <v>24</v>
      </c>
      <c r="B26" s="11"/>
      <c r="C26" s="12"/>
      <c r="D26" s="12"/>
      <c r="E26" s="7">
        <v>49</v>
      </c>
      <c r="F26" s="11"/>
    </row>
    <row r="27" s="1" customFormat="1" ht="23" customHeight="1" spans="1:6">
      <c r="A27" s="7">
        <v>25</v>
      </c>
      <c r="B27" s="8"/>
      <c r="C27" s="7"/>
      <c r="D27" s="7"/>
      <c r="E27" s="7">
        <v>50</v>
      </c>
      <c r="F27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��RN0O��	g12*N�s
R�N10*N�s
R	N10*N�s�f;N�N1-3t^�~/e�~Ng25�eSbUS9e30�eM��RN0O��	g12*N�s
R�N10*N�s
R	N10*N�s5_�i7_9\�^��wN���~[rvY�Y�psNx��SsTYO�N*gM���N3.9�S_�Y�SvY�WY�90/e	�
3g�N�S17)Y  4g�N�S21)Y
5g�N�S19)Y  6g�N�S21)Y 7g�N�S8)Y
7g10�SS_)Y�S�[iRYO�vvY�iR4/e	��N3.9�S_�Y�SvY�WY�90/e	�
3g�N�S17)Y
4g�N�S21)Y
5g�N�S19)Y
6g�N�S21)Y
7g�N�S8)Y
7g10�SS_)Y�S�[iRYO�vvY�iR4/e	�/epe/epe5_�i7_/epeRN0O��	g12*N�s
R�N10*N�s
R	N10*N�s5_�i7_�la��x�N���Qd�S�P��]�P���50/e�P��P��]��[��~���P�RN0O��	g12*N�s
R�N10*N�s
R	N10*N�se��20�v��[5_�i7_Ջn�5_�i7_Ջn��f;N�N1-3t^�~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英德市各学校联系通信录（新）</vt:lpstr>
      <vt:lpstr>学生奶</vt:lpstr>
      <vt:lpstr>鲜奶</vt:lpstr>
      <vt:lpstr>教职工鲜奶领奶表（签领）</vt:lpstr>
      <vt:lpstr>鲜奶订购表（张贴冰箱）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張榮強</cp:lastModifiedBy>
  <dcterms:created xsi:type="dcterms:W3CDTF">2024-09-09T10:33:00Z</dcterms:created>
  <dcterms:modified xsi:type="dcterms:W3CDTF">2026-04-21T00:44:14Z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EDCF5A2F9321405E811FA60808A145C4_13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