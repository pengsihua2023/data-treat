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汇总" sheetId="4" r:id="rId1"/>
    <sheet name="学生" sheetId="1" r:id="rId2"/>
    <sheet name="3.16" sheetId="2" r:id="rId3"/>
    <sheet name="3.19" sheetId="3" r:id="rId4"/>
    <sheet name="3.23" sheetId="5" r:id="rId5"/>
    <sheet name="3.26" sheetId="6" r:id="rId6"/>
    <sheet name="3.30" sheetId="7" r:id="rId7"/>
    <sheet name="4.2" sheetId="8" r:id="rId8"/>
    <sheet name="4.7" sheetId="9" r:id="rId9"/>
    <sheet name="4.9" sheetId="10" r:id="rId10"/>
    <sheet name="4.13" sheetId="11" r:id="rId11"/>
    <sheet name="4.16" sheetId="12" r:id="rId12"/>
    <sheet name="4.20" sheetId="13" r:id="rId13"/>
    <sheet name="4.23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<sst xmlns="http://schemas.openxmlformats.org/spreadsheetml/2006/main" count="362" uniqueCount="62">
  <si>
    <t>英德市横石水培幼幼儿园教师鲜奶领奶表</t>
  </si>
  <si>
    <t>序号</t>
  </si>
  <si>
    <t>职工姓名</t>
  </si>
  <si>
    <t>合计</t>
  </si>
  <si>
    <t>剩余</t>
  </si>
  <si>
    <t>林梓垚（学生）</t>
  </si>
  <si>
    <t>林芮墨（学生）</t>
  </si>
  <si>
    <t>张航（学生）</t>
  </si>
  <si>
    <t>李雯希（学生）</t>
  </si>
  <si>
    <t>何婧（学生）</t>
  </si>
  <si>
    <t>华美霖（学生）</t>
  </si>
  <si>
    <t>张婧彤（学生）</t>
  </si>
  <si>
    <t>线上订单汇总表</t>
  </si>
  <si>
    <t>导出时间2026-03-13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</si>
  <si>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</si>
  <si>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</si>
  <si>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</si>
  <si>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</si>
  <si>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</si>
  <si>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</si>
  <si>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</si>
  <si>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</si>
  <si>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</si>
  <si>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15302026030922174294340</t>
  </si>
  <si>
    <t>林梓垚</t>
  </si>
  <si>
    <t>英德市 | 横石水镇培幼幼儿园 | 大班 | 大班</t>
  </si>
  <si>
    <t>2026年春季幼儿园巴氏低温鲜奶套餐（100盒）</t>
  </si>
  <si>
    <t>2026-03-09 22:17:49</t>
  </si>
  <si>
    <t>培幼大A班</t>
  </si>
  <si>
    <t>15302026030921354320033</t>
  </si>
  <si>
    <t>林芮墨</t>
  </si>
  <si>
    <t>英德市 | 横石水镇培幼幼儿园 | 小班 | 小班</t>
  </si>
  <si>
    <t>2026-03-09 21:35:56</t>
  </si>
  <si>
    <t>喝时要加热一下，纯牛奶或是纯酸奶，不喝饮品</t>
  </si>
  <si>
    <t>15302026030920534149424</t>
  </si>
  <si>
    <t>张航</t>
  </si>
  <si>
    <t>2026-03-09 20:53:50</t>
  </si>
  <si>
    <t>只要鲜牛奶</t>
  </si>
  <si>
    <t>15302026030919353787107</t>
  </si>
  <si>
    <t>李雯希</t>
  </si>
  <si>
    <t>2026-03-09 19:35:47</t>
  </si>
  <si>
    <t>15302026030919024153203</t>
  </si>
  <si>
    <t>何婧</t>
  </si>
  <si>
    <t>2026-03-09 19:02:47</t>
  </si>
  <si>
    <t>15302026030918232490474</t>
  </si>
  <si>
    <t>华美霖</t>
  </si>
  <si>
    <t>2026-03-09 18:23:30</t>
  </si>
  <si>
    <t>15302026030914380855030</t>
  </si>
  <si>
    <t>张婧彤</t>
  </si>
  <si>
    <t>2026-03-09 14:38:19</t>
  </si>
  <si>
    <t>配送日期</t>
  </si>
  <si>
    <t>配送天数</t>
  </si>
  <si>
    <t>鲜</t>
  </si>
  <si>
    <t>酸</t>
  </si>
  <si>
    <t>备注</t>
  </si>
  <si>
    <r>
      <rPr>
        <sz val="11"/>
        <color rgb="FF000000"/>
        <rFont val="Calibri"/>
        <charset val="134"/>
      </rPr>
      <t>3</t>
    </r>
    <r>
      <rPr>
        <sz val="11"/>
        <color rgb="FF000000"/>
        <rFont val="宋体"/>
        <charset val="134"/>
      </rPr>
      <t>天</t>
    </r>
  </si>
  <si>
    <t>2天</t>
  </si>
  <si>
    <r>
      <rPr>
        <sz val="6"/>
        <color rgb="FF000000"/>
        <rFont val="宋体"/>
        <charset val="134"/>
      </rPr>
      <t>培幼大</t>
    </r>
    <r>
      <rPr>
        <sz val="6"/>
        <color rgb="FF000000"/>
        <rFont val="Calibri"/>
        <charset val="134"/>
      </rPr>
      <t>A</t>
    </r>
    <r>
      <rPr>
        <sz val="6"/>
        <color rgb="FF000000"/>
        <rFont val="宋体"/>
        <charset val="134"/>
      </rPr>
      <t>班</t>
    </r>
  </si>
  <si>
    <r>
      <rPr>
        <sz val="12"/>
        <color rgb="FF000000"/>
        <rFont val="宋体"/>
        <charset val="134"/>
      </rPr>
      <t>培幼大</t>
    </r>
    <r>
      <rPr>
        <sz val="12"/>
        <color rgb="FF000000"/>
        <rFont val="Calibri"/>
        <charset val="134"/>
      </rPr>
      <t>A</t>
    </r>
    <r>
      <rPr>
        <sz val="12"/>
        <color rgb="FF000000"/>
        <rFont val="宋体"/>
        <charset val="134"/>
      </rPr>
      <t>班</t>
    </r>
  </si>
  <si>
    <t>鲜奶</t>
  </si>
  <si>
    <t>酸奶</t>
  </si>
  <si>
    <t>3天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</si>
</sst>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rgb="FF000000"/>
      <name val="Calibri"/>
      <charset val="134"/>
    </font>
    <font>
      <sz val="16"/>
      <color rgb="FF000000"/>
      <name val="Calibri"/>
      <charset val="134"/>
    </font>
    <font>
      <sz val="12"/>
      <color rgb="FF000000"/>
      <name val="Calibri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6"/>
      <color rgb="FF000000"/>
      <name val="宋体"/>
      <charset val="134"/>
    </font>
    <font>
      <sz val="6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9" applyNumberFormat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58" fontId="0" fillId="0" borderId="4" xfId="0" applyNumberForma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4" xfId="0" applyNumberFormat="1" applyFont="1" applyFill="1" applyBorder="1" applyAlignment="1">
      <alignment horizontal="center" vertical="center"/>
    </xf>
    <xf numFmtId="58" fontId="12" fillId="0" borderId="4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workbookViewId="0">
      <selection activeCell="O25" sqref="O25"/>
    </sheetView>
  </sheetViews>
  <sheetFormatPr defaultColWidth="9.14285714285714" defaultRowHeight="15"/>
  <cols>
    <col min="1" max="2" width="17.5714285714286" style="3" customWidth="1"/>
    <col min="3" max="3" width="8" style="3" customWidth="1"/>
    <col min="4" max="16" width="8.57142857142857" style="3" customWidth="1"/>
    <col min="17" max="17" width="13.1428571428571" style="3" customWidth="1"/>
    <col min="18" max="16384" width="9.14285714285714" style="3"/>
  </cols>
  <sheetData>
    <row r="1" s="1" customFormat="1" ht="30" customHeight="1" spans="1:19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="32" customFormat="1" ht="29" customHeight="1" spans="1:19">
      <c r="A2" s="33" t="s">
        <v>1</v>
      </c>
      <c r="B2" s="33" t="s">
        <v>2</v>
      </c>
      <c r="C2" s="33"/>
      <c r="D2" s="34">
        <v>46097</v>
      </c>
      <c r="E2" s="34">
        <v>46100</v>
      </c>
      <c r="F2" s="34">
        <v>46104</v>
      </c>
      <c r="G2" s="34">
        <v>46107</v>
      </c>
      <c r="H2" s="34">
        <v>46111</v>
      </c>
      <c r="I2" s="34">
        <v>46114</v>
      </c>
      <c r="J2" s="34">
        <v>46119</v>
      </c>
      <c r="K2" s="34">
        <v>46121</v>
      </c>
      <c r="L2" s="34">
        <v>46125</v>
      </c>
      <c r="M2" s="34">
        <v>46128</v>
      </c>
      <c r="N2" s="34">
        <v>46132</v>
      </c>
      <c r="O2" s="34">
        <v>46135</v>
      </c>
      <c r="P2" s="33"/>
      <c r="Q2" s="33"/>
      <c r="R2" s="35" t="s">
        <v>3</v>
      </c>
      <c r="S2" s="35" t="s">
        <v>4</v>
      </c>
    </row>
    <row r="3" s="3" customFormat="1" ht="26" customHeight="1" spans="1:19">
      <c r="A3" s="16">
        <v>1</v>
      </c>
      <c r="B3" s="18" t="s">
        <v>5</v>
      </c>
      <c r="C3" s="18">
        <v>100</v>
      </c>
      <c r="D3" s="16">
        <v>3</v>
      </c>
      <c r="E3" s="16">
        <v>2</v>
      </c>
      <c r="F3" s="16">
        <v>3</v>
      </c>
      <c r="G3" s="16">
        <v>2</v>
      </c>
      <c r="H3" s="16">
        <v>3</v>
      </c>
      <c r="I3" s="16">
        <v>2</v>
      </c>
      <c r="J3" s="16">
        <v>3</v>
      </c>
      <c r="K3" s="16">
        <v>2</v>
      </c>
      <c r="L3" s="16">
        <v>3</v>
      </c>
      <c r="M3" s="16">
        <v>2</v>
      </c>
      <c r="N3" s="16">
        <v>3</v>
      </c>
      <c r="O3" s="16">
        <v>2</v>
      </c>
      <c r="P3" s="16"/>
      <c r="Q3" s="16"/>
      <c r="R3" s="3">
        <f>SUM(D3:Q3)</f>
        <v>30</v>
      </c>
      <c r="S3" s="3">
        <f>C3-R3</f>
        <v>70</v>
      </c>
    </row>
    <row r="4" s="3" customFormat="1" ht="26" customHeight="1" spans="1:19">
      <c r="A4" s="16">
        <v>2</v>
      </c>
      <c r="B4" s="18" t="s">
        <v>6</v>
      </c>
      <c r="C4" s="18">
        <v>100</v>
      </c>
      <c r="D4" s="16">
        <v>3</v>
      </c>
      <c r="E4" s="16">
        <v>2</v>
      </c>
      <c r="F4" s="16">
        <v>3</v>
      </c>
      <c r="G4" s="16">
        <v>2</v>
      </c>
      <c r="H4" s="16">
        <v>3</v>
      </c>
      <c r="I4" s="16">
        <v>2</v>
      </c>
      <c r="J4" s="16">
        <v>3</v>
      </c>
      <c r="K4" s="16">
        <v>2</v>
      </c>
      <c r="L4" s="16">
        <v>3</v>
      </c>
      <c r="M4" s="16">
        <v>2</v>
      </c>
      <c r="N4" s="16">
        <v>3</v>
      </c>
      <c r="O4" s="16">
        <v>2</v>
      </c>
      <c r="P4" s="16"/>
      <c r="Q4" s="16"/>
      <c r="R4" s="3">
        <f t="shared" ref="R4:R9" si="0">SUM(D4:Q4)</f>
        <v>30</v>
      </c>
      <c r="S4" s="3">
        <f t="shared" ref="S4:S9" si="1">C4-R4</f>
        <v>70</v>
      </c>
    </row>
    <row r="5" s="3" customFormat="1" ht="26" customHeight="1" spans="1:19">
      <c r="A5" s="16">
        <v>3</v>
      </c>
      <c r="B5" s="18" t="s">
        <v>7</v>
      </c>
      <c r="C5" s="18">
        <v>100</v>
      </c>
      <c r="D5" s="16">
        <v>3</v>
      </c>
      <c r="E5" s="16">
        <v>2</v>
      </c>
      <c r="F5" s="16">
        <v>3</v>
      </c>
      <c r="G5" s="16">
        <v>2</v>
      </c>
      <c r="H5" s="16">
        <v>3</v>
      </c>
      <c r="I5" s="16">
        <v>2</v>
      </c>
      <c r="J5" s="16">
        <v>3</v>
      </c>
      <c r="K5" s="16">
        <v>2</v>
      </c>
      <c r="L5" s="16">
        <v>3</v>
      </c>
      <c r="M5" s="16">
        <v>2</v>
      </c>
      <c r="N5" s="16">
        <v>3</v>
      </c>
      <c r="O5" s="16">
        <v>2</v>
      </c>
      <c r="P5" s="16"/>
      <c r="Q5" s="16"/>
      <c r="R5" s="3">
        <f t="shared" si="0"/>
        <v>30</v>
      </c>
      <c r="S5" s="3">
        <f t="shared" si="1"/>
        <v>70</v>
      </c>
    </row>
    <row r="6" s="3" customFormat="1" ht="26" customHeight="1" spans="1:19">
      <c r="A6" s="16">
        <v>4</v>
      </c>
      <c r="B6" s="18" t="s">
        <v>8</v>
      </c>
      <c r="C6" s="18">
        <v>100</v>
      </c>
      <c r="D6" s="16">
        <v>3</v>
      </c>
      <c r="E6" s="16">
        <v>2</v>
      </c>
      <c r="F6" s="16">
        <v>3</v>
      </c>
      <c r="G6" s="16">
        <v>2</v>
      </c>
      <c r="H6" s="16">
        <v>3</v>
      </c>
      <c r="I6" s="16">
        <v>2</v>
      </c>
      <c r="J6" s="16">
        <v>3</v>
      </c>
      <c r="K6" s="16">
        <v>2</v>
      </c>
      <c r="L6" s="16">
        <v>3</v>
      </c>
      <c r="M6" s="16">
        <v>2</v>
      </c>
      <c r="N6" s="16">
        <v>3</v>
      </c>
      <c r="O6" s="16">
        <v>2</v>
      </c>
      <c r="P6" s="16"/>
      <c r="Q6" s="16"/>
      <c r="R6" s="3">
        <f t="shared" si="0"/>
        <v>30</v>
      </c>
      <c r="S6" s="3">
        <f t="shared" si="1"/>
        <v>70</v>
      </c>
    </row>
    <row r="7" s="3" customFormat="1" ht="26" customHeight="1" spans="1:19">
      <c r="A7" s="16">
        <v>5</v>
      </c>
      <c r="B7" s="18" t="s">
        <v>9</v>
      </c>
      <c r="C7" s="18">
        <v>100</v>
      </c>
      <c r="D7" s="16">
        <v>3</v>
      </c>
      <c r="E7" s="16">
        <v>2</v>
      </c>
      <c r="F7" s="16">
        <v>3</v>
      </c>
      <c r="G7" s="16">
        <v>2</v>
      </c>
      <c r="H7" s="16">
        <v>3</v>
      </c>
      <c r="I7" s="16">
        <v>2</v>
      </c>
      <c r="J7" s="16">
        <v>3</v>
      </c>
      <c r="K7" s="16">
        <v>2</v>
      </c>
      <c r="L7" s="16">
        <v>3</v>
      </c>
      <c r="M7" s="16">
        <v>2</v>
      </c>
      <c r="N7" s="16">
        <v>3</v>
      </c>
      <c r="O7" s="16">
        <v>2</v>
      </c>
      <c r="P7" s="16"/>
      <c r="Q7" s="16"/>
      <c r="R7" s="3">
        <f t="shared" si="0"/>
        <v>30</v>
      </c>
      <c r="S7" s="3">
        <f t="shared" si="1"/>
        <v>70</v>
      </c>
    </row>
    <row r="8" s="3" customFormat="1" ht="26" customHeight="1" spans="1:19">
      <c r="A8" s="16">
        <v>6</v>
      </c>
      <c r="B8" s="18" t="s">
        <v>10</v>
      </c>
      <c r="C8" s="18">
        <v>100</v>
      </c>
      <c r="D8" s="16">
        <v>3</v>
      </c>
      <c r="E8" s="16">
        <v>2</v>
      </c>
      <c r="F8" s="16">
        <v>3</v>
      </c>
      <c r="G8" s="16">
        <v>2</v>
      </c>
      <c r="H8" s="16">
        <v>3</v>
      </c>
      <c r="I8" s="16">
        <v>2</v>
      </c>
      <c r="J8" s="16">
        <v>3</v>
      </c>
      <c r="K8" s="16">
        <v>2</v>
      </c>
      <c r="L8" s="16">
        <v>3</v>
      </c>
      <c r="M8" s="16">
        <v>2</v>
      </c>
      <c r="N8" s="16">
        <v>3</v>
      </c>
      <c r="O8" s="16">
        <v>2</v>
      </c>
      <c r="P8" s="16"/>
      <c r="Q8" s="16"/>
      <c r="R8" s="3">
        <f t="shared" si="0"/>
        <v>30</v>
      </c>
      <c r="S8" s="3">
        <f t="shared" si="1"/>
        <v>70</v>
      </c>
    </row>
    <row r="9" s="3" customFormat="1" ht="26" customHeight="1" spans="1:19">
      <c r="A9" s="16">
        <v>7</v>
      </c>
      <c r="B9" s="18" t="s">
        <v>11</v>
      </c>
      <c r="C9" s="18">
        <v>100</v>
      </c>
      <c r="D9" s="16">
        <v>3</v>
      </c>
      <c r="E9" s="16">
        <v>2</v>
      </c>
      <c r="F9" s="16">
        <v>3</v>
      </c>
      <c r="G9" s="16">
        <v>2</v>
      </c>
      <c r="H9" s="16">
        <v>3</v>
      </c>
      <c r="I9" s="16">
        <v>2</v>
      </c>
      <c r="J9" s="16">
        <v>3</v>
      </c>
      <c r="K9" s="16">
        <v>2</v>
      </c>
      <c r="L9" s="16">
        <v>3</v>
      </c>
      <c r="M9" s="16">
        <v>2</v>
      </c>
      <c r="N9" s="16">
        <v>3</v>
      </c>
      <c r="O9" s="16">
        <v>2</v>
      </c>
      <c r="P9" s="16"/>
      <c r="Q9" s="16"/>
      <c r="R9" s="3">
        <f t="shared" si="0"/>
        <v>30</v>
      </c>
      <c r="S9" s="3">
        <f t="shared" si="1"/>
        <v>70</v>
      </c>
    </row>
    <row r="11" spans="1:19">
      <c r="D11" s="3">
        <f>SUM(D3:D9)</f>
        <v>21</v>
      </c>
      <c r="E11" s="3">
        <f t="shared" ref="E11:P11" si="2">SUM(E3:E9)</f>
        <v>14</v>
      </c>
      <c r="F11" s="3">
        <f t="shared" si="2"/>
        <v>21</v>
      </c>
      <c r="G11" s="3">
        <f t="shared" si="2"/>
        <v>14</v>
      </c>
      <c r="H11" s="3">
        <f t="shared" si="2"/>
        <v>21</v>
      </c>
      <c r="I11" s="3">
        <f t="shared" si="2"/>
        <v>14</v>
      </c>
      <c r="J11" s="3">
        <f t="shared" si="2"/>
        <v>21</v>
      </c>
      <c r="K11" s="3">
        <f t="shared" si="2"/>
        <v>14</v>
      </c>
      <c r="L11" s="3">
        <f t="shared" si="2"/>
        <v>21</v>
      </c>
      <c r="M11" s="3">
        <f t="shared" si="2"/>
        <v>14</v>
      </c>
      <c r="N11" s="3">
        <f t="shared" si="2"/>
        <v>21</v>
      </c>
      <c r="O11" s="3">
        <f t="shared" si="2"/>
        <v>14</v>
      </c>
      <c r="P11" s="3">
        <f t="shared" si="2"/>
        <v>0</v>
      </c>
    </row>
  </sheetData>
  <mergeCells count="1">
    <mergeCell ref="A1:Q1"/>
  </mergeCells>
  <pageMargins left="0.75" right="0.75" top="1" bottom="1" header="0.5" footer="0.5"/>
  <headerFooter/>
  <ignoredErrors>
    <ignoredError sqref="A1:S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I4" sqref="I4:I6"/>
    </sheetView>
  </sheetViews>
  <sheetFormatPr defaultColWidth="9" defaultRowHeight="15"/>
  <cols>
    <col min="1" max="1" width="10" customWidth="1"/>
    <col min="2" max="2" width="30" customWidth="1"/>
    <col min="3" max="3" width="15" customWidth="1"/>
    <col min="4" max="4" width="50" customWidth="1"/>
    <col min="5" max="5" width="20" customWidth="1"/>
    <col min="6" max="6" width="50" customWidth="1"/>
    <col min="7" max="8" width="25" customWidth="1"/>
    <col min="9" max="10" width="50" customWidth="1"/>
  </cols>
  <sheetData>
    <row r="1" ht="30" customHeight="1" spans="1:10">
      <c r="A1" s="31" t="s">
        <v>12</v>
      </c>
      <c r="B1" s="31"/>
      <c r="C1" s="31"/>
      <c r="D1" s="31"/>
      <c r="E1" s="31"/>
      <c r="F1" s="31"/>
      <c r="G1" s="31"/>
      <c r="H1" s="31"/>
      <c r="I1" s="31"/>
      <c r="J1" s="31"/>
    </row>
    <row r="2" ht="30" customHeight="1" spans="1:10">
      <c r="A2" s="31" t="s">
        <v>13</v>
      </c>
      <c r="B2" s="31"/>
      <c r="C2" s="31"/>
      <c r="D2" s="31"/>
      <c r="E2" s="31"/>
      <c r="F2" s="31"/>
      <c r="G2" s="31"/>
      <c r="H2" s="31"/>
      <c r="I2" s="31"/>
      <c r="J2" s="31"/>
    </row>
    <row r="3" ht="25" customHeight="1" spans="1:10">
      <c r="A3" s="31" t="s">
        <v>1</v>
      </c>
      <c r="B3" s="31" t="s">
        <v>14</v>
      </c>
      <c r="C3" s="31" t="s">
        <v>15</v>
      </c>
      <c r="D3" s="31" t="s">
        <v>16</v>
      </c>
      <c r="E3" s="31" t="s">
        <v>17</v>
      </c>
      <c r="F3" s="31" t="s">
        <v>18</v>
      </c>
      <c r="G3" s="31" t="s">
        <v>19</v>
      </c>
      <c r="H3" s="31" t="s">
        <v>20</v>
      </c>
      <c r="I3" s="31" t="s">
        <v>21</v>
      </c>
      <c r="J3" s="31" t="s">
        <v>22</v>
      </c>
    </row>
    <row r="4" ht="25" customHeight="1" spans="1:10">
      <c r="A4" s="31">
        <v>1</v>
      </c>
      <c r="B4" s="31" t="s">
        <v>23</v>
      </c>
      <c r="C4" s="31" t="s">
        <v>24</v>
      </c>
      <c r="D4" s="31" t="s">
        <v>25</v>
      </c>
      <c r="E4" s="31">
        <v>13535116828</v>
      </c>
      <c r="F4" s="31" t="s">
        <v>26</v>
      </c>
      <c r="G4" s="31">
        <v>350</v>
      </c>
      <c r="H4" s="31" t="s">
        <v>27</v>
      </c>
      <c r="I4" s="31" t="s">
        <v>28</v>
      </c>
      <c r="J4" s="31"/>
    </row>
    <row r="5" ht="25" customHeight="1" spans="1:10">
      <c r="A5" s="31">
        <v>2</v>
      </c>
      <c r="B5" s="31" t="s">
        <v>29</v>
      </c>
      <c r="C5" s="31" t="s">
        <v>30</v>
      </c>
      <c r="D5" s="31" t="s">
        <v>31</v>
      </c>
      <c r="E5" s="31">
        <v>15920440014</v>
      </c>
      <c r="F5" s="31" t="s">
        <v>26</v>
      </c>
      <c r="G5" s="31">
        <v>350</v>
      </c>
      <c r="H5" s="31" t="s">
        <v>32</v>
      </c>
      <c r="I5" s="31" t="s">
        <v>33</v>
      </c>
      <c r="J5" s="31"/>
    </row>
    <row r="6" ht="25" customHeight="1" spans="1:10">
      <c r="A6" s="31">
        <v>3</v>
      </c>
      <c r="B6" s="31" t="s">
        <v>34</v>
      </c>
      <c r="C6" s="31" t="s">
        <v>35</v>
      </c>
      <c r="D6" s="31" t="s">
        <v>25</v>
      </c>
      <c r="E6" s="31">
        <v>17353028969</v>
      </c>
      <c r="F6" s="31" t="s">
        <v>26</v>
      </c>
      <c r="G6" s="31">
        <v>350</v>
      </c>
      <c r="H6" s="31" t="s">
        <v>36</v>
      </c>
      <c r="I6" s="31" t="s">
        <v>37</v>
      </c>
      <c r="J6" s="31"/>
    </row>
    <row r="7" ht="25" customHeight="1" spans="1:10">
      <c r="A7" s="31">
        <v>4</v>
      </c>
      <c r="B7" s="31" t="s">
        <v>38</v>
      </c>
      <c r="C7" s="31" t="s">
        <v>39</v>
      </c>
      <c r="D7" s="31" t="s">
        <v>25</v>
      </c>
      <c r="E7" s="31">
        <v>15016689362</v>
      </c>
      <c r="F7" s="31" t="s">
        <v>26</v>
      </c>
      <c r="G7" s="31">
        <v>350</v>
      </c>
      <c r="H7" s="31" t="s">
        <v>40</v>
      </c>
      <c r="I7" s="31"/>
      <c r="J7" s="31"/>
    </row>
    <row r="8" ht="25" customHeight="1" spans="1:10">
      <c r="A8" s="31">
        <v>5</v>
      </c>
      <c r="B8" s="31" t="s">
        <v>41</v>
      </c>
      <c r="C8" s="31" t="s">
        <v>42</v>
      </c>
      <c r="D8" s="31" t="s">
        <v>25</v>
      </c>
      <c r="E8" s="31">
        <v>13553616455</v>
      </c>
      <c r="F8" s="31" t="s">
        <v>26</v>
      </c>
      <c r="G8" s="31">
        <v>350</v>
      </c>
      <c r="H8" s="31" t="s">
        <v>43</v>
      </c>
      <c r="I8" s="31"/>
      <c r="J8" s="31"/>
    </row>
    <row r="9" ht="25" customHeight="1" spans="1:10">
      <c r="A9" s="31">
        <v>6</v>
      </c>
      <c r="B9" s="31" t="s">
        <v>44</v>
      </c>
      <c r="C9" s="31" t="s">
        <v>45</v>
      </c>
      <c r="D9" s="31" t="s">
        <v>25</v>
      </c>
      <c r="E9" s="31">
        <v>18318386744</v>
      </c>
      <c r="F9" s="31" t="s">
        <v>26</v>
      </c>
      <c r="G9" s="31">
        <v>350</v>
      </c>
      <c r="H9" s="31" t="s">
        <v>46</v>
      </c>
      <c r="I9" s="31"/>
      <c r="J9" s="31"/>
    </row>
    <row r="10" ht="25" customHeight="1" spans="1:10">
      <c r="A10" s="31">
        <v>7</v>
      </c>
      <c r="B10" s="31" t="s">
        <v>47</v>
      </c>
      <c r="C10" s="31" t="s">
        <v>48</v>
      </c>
      <c r="D10" s="31" t="s">
        <v>25</v>
      </c>
      <c r="E10" s="31">
        <v>15813255658</v>
      </c>
      <c r="F10" s="31" t="s">
        <v>26</v>
      </c>
      <c r="G10" s="31">
        <v>350</v>
      </c>
      <c r="H10" s="31" t="s">
        <v>49</v>
      </c>
      <c r="I10" s="31"/>
      <c r="J10" s="31"/>
    </row>
  </sheetData>
  <sheetProtection formatCells="0" formatColumns="0" formatRows="0" insertRows="0" insertColumns="0" insertHyperlinks="0" deleteColumns="0" deleteRows="0" sort="0" autoFilter="0" pivotTables="0"/>
  <mergeCells count="2">
    <mergeCell ref="A1:J1"/>
    <mergeCell ref="A2:J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22" sqref="D22"/>
    </sheetView>
  </sheetViews>
  <sheetFormatPr defaultColWidth="9.14285714285714" defaultRowHeight="15" outlineLevelCol="6"/>
  <cols>
    <col min="1" max="1" width="17.5714285714286" style="14" customWidth="1"/>
    <col min="2" max="2" width="13.4285714285714" style="14" customWidth="1"/>
    <col min="3" max="4" width="17.5714285714286" style="14" customWidth="1"/>
    <col min="5" max="6" width="9.28571428571429" style="14" customWidth="1"/>
    <col min="7" max="7" width="48.5714285714286" style="14" customWidth="1"/>
    <col min="8" max="16384" width="9.14285714285714" style="14"/>
  </cols>
  <sheetData>
    <row r="1" s="13" customFormat="1" ht="30" customHeight="1" spans="1:7">
      <c r="A1" s="7" t="s">
        <v>0</v>
      </c>
      <c r="B1" s="7"/>
      <c r="C1" s="7"/>
      <c r="D1" s="7"/>
      <c r="E1" s="7"/>
      <c r="F1" s="7"/>
      <c r="G1" s="7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52</v>
      </c>
      <c r="F2" s="7" t="s">
        <v>53</v>
      </c>
      <c r="G2" s="7" t="s">
        <v>54</v>
      </c>
    </row>
    <row r="3" ht="19" customHeight="1" spans="1:7">
      <c r="A3" s="26">
        <v>1</v>
      </c>
      <c r="B3" s="27">
        <v>46097</v>
      </c>
      <c r="C3" s="18" t="s">
        <v>5</v>
      </c>
      <c r="D3" s="28" t="s">
        <v>55</v>
      </c>
      <c r="E3" s="26">
        <v>2</v>
      </c>
      <c r="F3" s="26">
        <v>1</v>
      </c>
      <c r="G3" s="16" t="s">
        <v>28</v>
      </c>
    </row>
    <row r="4" ht="19" customHeight="1" spans="1:7">
      <c r="A4" s="26">
        <v>2</v>
      </c>
      <c r="B4" s="27">
        <v>46097</v>
      </c>
      <c r="C4" s="18" t="s">
        <v>6</v>
      </c>
      <c r="D4" s="28" t="s">
        <v>55</v>
      </c>
      <c r="E4" s="26">
        <v>2</v>
      </c>
      <c r="F4" s="26">
        <v>1</v>
      </c>
      <c r="G4" s="16" t="s">
        <v>33</v>
      </c>
    </row>
    <row r="5" ht="19" customHeight="1" spans="1:7">
      <c r="A5" s="26">
        <v>3</v>
      </c>
      <c r="B5" s="27">
        <v>46097</v>
      </c>
      <c r="C5" s="18" t="s">
        <v>7</v>
      </c>
      <c r="D5" s="28" t="s">
        <v>55</v>
      </c>
      <c r="E5" s="26">
        <v>3</v>
      </c>
      <c r="F5" s="26"/>
      <c r="G5" s="16" t="s">
        <v>37</v>
      </c>
    </row>
    <row r="6" ht="19" customHeight="1" spans="1:7">
      <c r="A6" s="26">
        <v>4</v>
      </c>
      <c r="B6" s="27">
        <v>46097</v>
      </c>
      <c r="C6" s="18" t="s">
        <v>8</v>
      </c>
      <c r="D6" s="28" t="s">
        <v>55</v>
      </c>
      <c r="E6" s="26">
        <v>3</v>
      </c>
      <c r="F6" s="26"/>
      <c r="G6" s="26"/>
    </row>
    <row r="7" ht="19" customHeight="1" spans="1:7">
      <c r="A7" s="26">
        <v>5</v>
      </c>
      <c r="B7" s="27">
        <v>46097</v>
      </c>
      <c r="C7" s="18" t="s">
        <v>9</v>
      </c>
      <c r="D7" s="28" t="s">
        <v>55</v>
      </c>
      <c r="E7" s="26">
        <v>3</v>
      </c>
      <c r="F7" s="26"/>
      <c r="G7" s="26"/>
    </row>
    <row r="8" ht="19" customHeight="1" spans="1:7">
      <c r="A8" s="26">
        <v>6</v>
      </c>
      <c r="B8" s="27">
        <v>46097</v>
      </c>
      <c r="C8" s="18" t="s">
        <v>10</v>
      </c>
      <c r="D8" s="28" t="s">
        <v>55</v>
      </c>
      <c r="E8" s="26">
        <v>3</v>
      </c>
      <c r="F8" s="26"/>
      <c r="G8" s="26"/>
    </row>
    <row r="9" ht="19" customHeight="1" spans="1:7">
      <c r="A9" s="26">
        <v>7</v>
      </c>
      <c r="B9" s="27">
        <v>46097</v>
      </c>
      <c r="C9" s="18" t="s">
        <v>11</v>
      </c>
      <c r="D9" s="28" t="s">
        <v>55</v>
      </c>
      <c r="E9" s="26">
        <v>3</v>
      </c>
      <c r="F9" s="26"/>
      <c r="G9" s="26"/>
    </row>
    <row r="10" ht="19" customHeight="1" spans="1:7">
      <c r="E10" s="14">
        <f>SUM(E3:E9)</f>
        <v>19</v>
      </c>
      <c r="F10" s="14">
        <f>SUM(F3:F9)</f>
        <v>2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3" sqref="D3:D9"/>
    </sheetView>
  </sheetViews>
  <sheetFormatPr defaultColWidth="9.14285714285714" defaultRowHeight="15" outlineLevelCol="6"/>
  <cols>
    <col min="1" max="1" width="10.1428571428571" style="3" customWidth="1"/>
    <col min="2" max="2" width="12.5714285714286" style="3" customWidth="1"/>
    <col min="3" max="3" width="17.5714285714286" style="3" customWidth="1"/>
    <col min="4" max="4" width="12.5714285714286" style="3" customWidth="1"/>
    <col min="5" max="6" width="8.42857142857143" style="3" customWidth="1"/>
    <col min="7" max="7" width="26.7142857142857" style="3" customWidth="1"/>
    <col min="8" max="16384" width="9.14285714285714" style="3"/>
  </cols>
  <sheetData>
    <row r="1" s="1" customFormat="1" ht="30" customHeight="1" spans="1:7">
      <c r="A1" s="15" t="s">
        <v>0</v>
      </c>
      <c r="B1" s="15"/>
      <c r="C1" s="15"/>
      <c r="D1" s="15"/>
      <c r="E1" s="15"/>
      <c r="F1" s="15"/>
      <c r="G1" s="7"/>
    </row>
    <row r="2" s="2" customFormat="1" ht="29" customHeight="1" spans="1:7">
      <c r="A2" s="15" t="s">
        <v>1</v>
      </c>
      <c r="B2" s="15" t="s">
        <v>50</v>
      </c>
      <c r="C2" s="15" t="s">
        <v>2</v>
      </c>
      <c r="D2" s="15" t="s">
        <v>51</v>
      </c>
      <c r="E2" s="15" t="s">
        <v>52</v>
      </c>
      <c r="F2" s="15" t="s">
        <v>53</v>
      </c>
      <c r="G2" s="15" t="s">
        <v>54</v>
      </c>
    </row>
    <row r="3" ht="26" customHeight="1" spans="1:7">
      <c r="A3" s="16">
        <v>1</v>
      </c>
      <c r="B3" s="17">
        <v>46100</v>
      </c>
      <c r="C3" s="18" t="s">
        <v>5</v>
      </c>
      <c r="D3" s="19" t="s">
        <v>56</v>
      </c>
      <c r="E3" s="16">
        <v>1</v>
      </c>
      <c r="F3" s="16">
        <v>1</v>
      </c>
      <c r="G3" s="29" t="s">
        <v>57</v>
      </c>
    </row>
    <row r="4" ht="26" customHeight="1" spans="1:7">
      <c r="A4" s="16">
        <v>2</v>
      </c>
      <c r="B4" s="17">
        <v>46100</v>
      </c>
      <c r="C4" s="18" t="s">
        <v>6</v>
      </c>
      <c r="D4" s="19" t="s">
        <v>56</v>
      </c>
      <c r="E4" s="16">
        <v>1</v>
      </c>
      <c r="F4" s="16">
        <v>1</v>
      </c>
      <c r="G4" s="29" t="s">
        <v>33</v>
      </c>
    </row>
    <row r="5" ht="26" customHeight="1" spans="1:7">
      <c r="A5" s="16">
        <v>3</v>
      </c>
      <c r="B5" s="17">
        <v>46100</v>
      </c>
      <c r="C5" s="18" t="s">
        <v>7</v>
      </c>
      <c r="D5" s="19" t="s">
        <v>56</v>
      </c>
      <c r="E5" s="16">
        <v>2</v>
      </c>
      <c r="F5" s="16"/>
      <c r="G5" s="29" t="s">
        <v>37</v>
      </c>
    </row>
    <row r="6" ht="26" customHeight="1" spans="1:7">
      <c r="A6" s="16">
        <v>4</v>
      </c>
      <c r="B6" s="17">
        <v>46100</v>
      </c>
      <c r="C6" s="18" t="s">
        <v>8</v>
      </c>
      <c r="D6" s="19" t="s">
        <v>56</v>
      </c>
      <c r="E6" s="16">
        <v>2</v>
      </c>
      <c r="F6" s="16"/>
      <c r="G6" s="30"/>
    </row>
    <row r="7" ht="26" customHeight="1" spans="1:7">
      <c r="A7" s="16">
        <v>5</v>
      </c>
      <c r="B7" s="17">
        <v>46100</v>
      </c>
      <c r="C7" s="18" t="s">
        <v>9</v>
      </c>
      <c r="D7" s="19" t="s">
        <v>56</v>
      </c>
      <c r="E7" s="16">
        <v>2</v>
      </c>
      <c r="F7" s="16"/>
      <c r="G7" s="30"/>
    </row>
    <row r="8" ht="26" customHeight="1" spans="1:7">
      <c r="A8" s="16">
        <v>6</v>
      </c>
      <c r="B8" s="17">
        <v>46100</v>
      </c>
      <c r="C8" s="18" t="s">
        <v>10</v>
      </c>
      <c r="D8" s="19" t="s">
        <v>56</v>
      </c>
      <c r="E8" s="16">
        <v>2</v>
      </c>
      <c r="F8" s="16"/>
      <c r="G8" s="30"/>
    </row>
    <row r="9" ht="26" customHeight="1" spans="1:7">
      <c r="A9" s="16">
        <v>7</v>
      </c>
      <c r="B9" s="17">
        <v>46100</v>
      </c>
      <c r="C9" s="18" t="s">
        <v>11</v>
      </c>
      <c r="D9" s="19" t="s">
        <v>56</v>
      </c>
      <c r="E9" s="16">
        <v>2</v>
      </c>
      <c r="F9" s="16"/>
    </row>
    <row r="10" spans="1:7">
      <c r="E10" s="3">
        <f>SUM(E3:E9)</f>
        <v>12</v>
      </c>
      <c r="F10" s="22">
        <f>SUM(F3:F9)</f>
        <v>2</v>
      </c>
      <c r="G10" s="16"/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5" sqref="D5"/>
    </sheetView>
  </sheetViews>
  <sheetFormatPr defaultColWidth="9.14285714285714" defaultRowHeight="15" outlineLevelCol="6"/>
  <cols>
    <col min="1" max="1" width="17.5714285714286" style="14" customWidth="1"/>
    <col min="2" max="2" width="13.4285714285714" style="14" customWidth="1"/>
    <col min="3" max="4" width="17.5714285714286" style="14" customWidth="1"/>
    <col min="5" max="6" width="9.28571428571429" style="14" customWidth="1"/>
    <col min="7" max="7" width="37.8571428571429" style="14" customWidth="1"/>
    <col min="8" max="16384" width="9.14285714285714" style="14"/>
  </cols>
  <sheetData>
    <row r="1" s="13" customFormat="1" ht="30" customHeight="1" spans="1:7">
      <c r="A1" s="7" t="s">
        <v>0</v>
      </c>
      <c r="B1" s="7"/>
      <c r="C1" s="7"/>
      <c r="D1" s="7"/>
      <c r="E1" s="7"/>
      <c r="F1" s="7"/>
      <c r="G1" s="7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52</v>
      </c>
      <c r="F2" s="7" t="s">
        <v>53</v>
      </c>
      <c r="G2" s="7" t="s">
        <v>54</v>
      </c>
    </row>
    <row r="3" s="14" customFormat="1" ht="19" customHeight="1" spans="1:7">
      <c r="A3" s="26">
        <v>1</v>
      </c>
      <c r="B3" s="27">
        <v>46104</v>
      </c>
      <c r="C3" s="18" t="s">
        <v>5</v>
      </c>
      <c r="D3" s="28" t="s">
        <v>55</v>
      </c>
      <c r="E3" s="26">
        <v>2</v>
      </c>
      <c r="F3" s="26">
        <v>1</v>
      </c>
      <c r="G3" s="16" t="s">
        <v>28</v>
      </c>
    </row>
    <row r="4" s="14" customFormat="1" ht="27" spans="1:7">
      <c r="A4" s="26">
        <v>2</v>
      </c>
      <c r="B4" s="27">
        <v>46104</v>
      </c>
      <c r="C4" s="18" t="s">
        <v>6</v>
      </c>
      <c r="D4" s="28" t="s">
        <v>55</v>
      </c>
      <c r="E4" s="26">
        <v>2</v>
      </c>
      <c r="F4" s="26">
        <v>1</v>
      </c>
      <c r="G4" s="25" t="s">
        <v>33</v>
      </c>
    </row>
    <row r="5" s="14" customFormat="1" ht="19" customHeight="1" spans="1:7">
      <c r="A5" s="26">
        <v>3</v>
      </c>
      <c r="B5" s="27">
        <v>46104</v>
      </c>
      <c r="C5" s="18" t="s">
        <v>7</v>
      </c>
      <c r="D5" s="28" t="s">
        <v>55</v>
      </c>
      <c r="E5" s="26">
        <v>3</v>
      </c>
      <c r="F5" s="26"/>
      <c r="G5" s="16" t="s">
        <v>37</v>
      </c>
    </row>
    <row r="6" s="14" customFormat="1" ht="19" customHeight="1" spans="1:7">
      <c r="A6" s="26">
        <v>4</v>
      </c>
      <c r="B6" s="27">
        <v>46104</v>
      </c>
      <c r="C6" s="18" t="s">
        <v>8</v>
      </c>
      <c r="D6" s="28" t="s">
        <v>55</v>
      </c>
      <c r="E6" s="26">
        <v>3</v>
      </c>
      <c r="F6" s="26"/>
      <c r="G6" s="26"/>
    </row>
    <row r="7" s="14" customFormat="1" ht="19" customHeight="1" spans="1:7">
      <c r="A7" s="26">
        <v>5</v>
      </c>
      <c r="B7" s="27">
        <v>46104</v>
      </c>
      <c r="C7" s="18" t="s">
        <v>9</v>
      </c>
      <c r="D7" s="28" t="s">
        <v>55</v>
      </c>
      <c r="E7" s="26">
        <v>3</v>
      </c>
      <c r="F7" s="26"/>
      <c r="G7" s="26"/>
    </row>
    <row r="8" s="14" customFormat="1" ht="19" customHeight="1" spans="1:7">
      <c r="A8" s="26">
        <v>6</v>
      </c>
      <c r="B8" s="27">
        <v>46104</v>
      </c>
      <c r="C8" s="18" t="s">
        <v>10</v>
      </c>
      <c r="D8" s="28" t="s">
        <v>55</v>
      </c>
      <c r="E8" s="26">
        <v>3</v>
      </c>
      <c r="F8" s="26"/>
      <c r="G8" s="26"/>
    </row>
    <row r="9" s="14" customFormat="1" ht="19" customHeight="1" spans="1:7">
      <c r="A9" s="26">
        <v>7</v>
      </c>
      <c r="B9" s="27">
        <v>46104</v>
      </c>
      <c r="C9" s="18" t="s">
        <v>11</v>
      </c>
      <c r="D9" s="28" t="s">
        <v>55</v>
      </c>
      <c r="E9" s="26">
        <v>3</v>
      </c>
      <c r="F9" s="26"/>
      <c r="G9" s="26"/>
    </row>
    <row r="10" s="14" customFormat="1" ht="19" customHeight="1" spans="1:7">
      <c r="E10" s="14">
        <f>SUM(E3:E9)</f>
        <v>19</v>
      </c>
      <c r="F10" s="14">
        <f>SUM(F3:F9)</f>
        <v>2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10"/>
    </sheetView>
  </sheetViews>
  <sheetFormatPr defaultColWidth="9.14285714285714" defaultRowHeight="15.75" outlineLevelCol="6"/>
  <cols>
    <col min="1" max="1" width="10.1428571428571" style="3" customWidth="1"/>
    <col min="2" max="2" width="12.5714285714286" style="3" customWidth="1"/>
    <col min="3" max="3" width="17.5714285714286" style="3" customWidth="1"/>
    <col min="4" max="4" width="12.5714285714286" style="3" customWidth="1"/>
    <col min="5" max="6" width="8.42857142857143" style="3" customWidth="1"/>
    <col min="7" max="7" width="38.5714285714286" style="2" customWidth="1"/>
    <col min="8" max="16384" width="9.14285714285714" style="3"/>
  </cols>
  <sheetData>
    <row r="1" s="1" customFormat="1" ht="30" customHeight="1" spans="1:7">
      <c r="A1" s="15" t="s">
        <v>0</v>
      </c>
      <c r="B1" s="15"/>
      <c r="C1" s="15"/>
      <c r="D1" s="15"/>
      <c r="E1" s="15"/>
      <c r="F1" s="15"/>
      <c r="G1" s="15"/>
    </row>
    <row r="2" s="2" customFormat="1" ht="29" customHeight="1" spans="1:7">
      <c r="A2" s="15" t="s">
        <v>1</v>
      </c>
      <c r="B2" s="15" t="s">
        <v>50</v>
      </c>
      <c r="C2" s="15" t="s">
        <v>2</v>
      </c>
      <c r="D2" s="15" t="s">
        <v>51</v>
      </c>
      <c r="E2" s="15" t="s">
        <v>52</v>
      </c>
      <c r="F2" s="15" t="s">
        <v>53</v>
      </c>
      <c r="G2" s="15" t="s">
        <v>54</v>
      </c>
    </row>
    <row r="3" s="3" customFormat="1" ht="26" customHeight="1" spans="1:7">
      <c r="A3" s="16">
        <v>1</v>
      </c>
      <c r="B3" s="17">
        <v>46107</v>
      </c>
      <c r="C3" s="18" t="s">
        <v>5</v>
      </c>
      <c r="D3" s="19" t="s">
        <v>56</v>
      </c>
      <c r="E3" s="16">
        <v>1</v>
      </c>
      <c r="F3" s="16">
        <v>1</v>
      </c>
      <c r="G3" s="19" t="s">
        <v>58</v>
      </c>
    </row>
    <row r="4" s="3" customFormat="1" ht="28.5" spans="1:7">
      <c r="A4" s="16">
        <v>2</v>
      </c>
      <c r="B4" s="17">
        <v>46107</v>
      </c>
      <c r="C4" s="18" t="s">
        <v>6</v>
      </c>
      <c r="D4" s="19" t="s">
        <v>56</v>
      </c>
      <c r="E4" s="16">
        <v>1</v>
      </c>
      <c r="F4" s="16">
        <v>1</v>
      </c>
      <c r="G4" s="20" t="s">
        <v>33</v>
      </c>
    </row>
    <row r="5" s="3" customFormat="1" ht="26" customHeight="1" spans="1:7">
      <c r="A5" s="16">
        <v>3</v>
      </c>
      <c r="B5" s="17">
        <v>46107</v>
      </c>
      <c r="C5" s="18" t="s">
        <v>7</v>
      </c>
      <c r="D5" s="19" t="s">
        <v>56</v>
      </c>
      <c r="E5" s="16">
        <v>2</v>
      </c>
      <c r="F5" s="16"/>
      <c r="G5" s="19" t="s">
        <v>37</v>
      </c>
    </row>
    <row r="6" s="3" customFormat="1" ht="26" customHeight="1" spans="1:7">
      <c r="A6" s="16">
        <v>4</v>
      </c>
      <c r="B6" s="17">
        <v>46107</v>
      </c>
      <c r="C6" s="18" t="s">
        <v>8</v>
      </c>
      <c r="D6" s="19" t="s">
        <v>56</v>
      </c>
      <c r="E6" s="16">
        <v>2</v>
      </c>
      <c r="F6" s="16"/>
      <c r="G6" s="21"/>
    </row>
    <row r="7" s="3" customFormat="1" ht="26" customHeight="1" spans="1:7">
      <c r="A7" s="16">
        <v>5</v>
      </c>
      <c r="B7" s="17">
        <v>46107</v>
      </c>
      <c r="C7" s="18" t="s">
        <v>9</v>
      </c>
      <c r="D7" s="19" t="s">
        <v>56</v>
      </c>
      <c r="E7" s="16">
        <v>2</v>
      </c>
      <c r="F7" s="16"/>
      <c r="G7" s="21"/>
    </row>
    <row r="8" s="3" customFormat="1" ht="26" customHeight="1" spans="1:7">
      <c r="A8" s="16">
        <v>6</v>
      </c>
      <c r="B8" s="17">
        <v>46107</v>
      </c>
      <c r="C8" s="18" t="s">
        <v>10</v>
      </c>
      <c r="D8" s="19" t="s">
        <v>56</v>
      </c>
      <c r="E8" s="16">
        <v>2</v>
      </c>
      <c r="F8" s="16"/>
      <c r="G8" s="21"/>
    </row>
    <row r="9" s="3" customFormat="1" ht="26" customHeight="1" spans="1:7">
      <c r="A9" s="16">
        <v>7</v>
      </c>
      <c r="B9" s="17">
        <v>46107</v>
      </c>
      <c r="C9" s="18" t="s">
        <v>11</v>
      </c>
      <c r="D9" s="19" t="s">
        <v>56</v>
      </c>
      <c r="E9" s="16">
        <v>2</v>
      </c>
      <c r="F9" s="16"/>
      <c r="G9" s="21"/>
    </row>
    <row r="10" s="3" customFormat="1" spans="1:7">
      <c r="E10" s="3">
        <f>SUM(E3:E9)</f>
        <v>12</v>
      </c>
      <c r="F10" s="22">
        <f>SUM(F3:F9)</f>
        <v>2</v>
      </c>
      <c r="G10" s="23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2" sqref="A$1:A$1048576"/>
    </sheetView>
  </sheetViews>
  <sheetFormatPr defaultColWidth="9.14285714285714" defaultRowHeight="15" outlineLevelCol="6"/>
  <cols>
    <col min="1" max="1" width="8.14285714285714" style="14" customWidth="1"/>
    <col min="2" max="2" width="13.4285714285714" style="14" customWidth="1"/>
    <col min="3" max="4" width="17.5714285714286" style="14" customWidth="1"/>
    <col min="5" max="6" width="9.28571428571429" style="14" customWidth="1"/>
    <col min="7" max="7" width="37.8571428571429" style="14" customWidth="1"/>
    <col min="8" max="16384" width="9.14285714285714" style="14"/>
  </cols>
  <sheetData>
    <row r="1" s="13" customFormat="1" ht="30" customHeight="1" spans="1:7">
      <c r="A1" s="7" t="s">
        <v>0</v>
      </c>
      <c r="B1" s="7"/>
      <c r="C1" s="7"/>
      <c r="D1" s="7"/>
      <c r="E1" s="7"/>
      <c r="F1" s="7"/>
      <c r="G1" s="7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52</v>
      </c>
      <c r="F2" s="7" t="s">
        <v>53</v>
      </c>
      <c r="G2" s="7" t="s">
        <v>54</v>
      </c>
    </row>
    <row r="3" s="14" customFormat="1" ht="29" customHeight="1" spans="1:7">
      <c r="A3" s="16">
        <v>1</v>
      </c>
      <c r="B3" s="17">
        <v>46111</v>
      </c>
      <c r="C3" s="18" t="s">
        <v>5</v>
      </c>
      <c r="D3" s="24" t="s">
        <v>55</v>
      </c>
      <c r="E3" s="16">
        <v>2</v>
      </c>
      <c r="F3" s="16">
        <v>1</v>
      </c>
      <c r="G3" s="16" t="s">
        <v>28</v>
      </c>
    </row>
    <row r="4" s="14" customFormat="1" ht="29" customHeight="1" spans="1:7">
      <c r="A4" s="16">
        <v>2</v>
      </c>
      <c r="B4" s="17">
        <v>46111</v>
      </c>
      <c r="C4" s="18" t="s">
        <v>6</v>
      </c>
      <c r="D4" s="24" t="s">
        <v>55</v>
      </c>
      <c r="E4" s="16">
        <v>2</v>
      </c>
      <c r="F4" s="16">
        <v>1</v>
      </c>
      <c r="G4" s="25" t="s">
        <v>33</v>
      </c>
    </row>
    <row r="5" s="14" customFormat="1" ht="29" customHeight="1" spans="1:7">
      <c r="A5" s="16">
        <v>3</v>
      </c>
      <c r="B5" s="17">
        <v>46111</v>
      </c>
      <c r="C5" s="18" t="s">
        <v>7</v>
      </c>
      <c r="D5" s="24" t="s">
        <v>55</v>
      </c>
      <c r="E5" s="16">
        <v>3</v>
      </c>
      <c r="F5" s="16"/>
      <c r="G5" s="16" t="s">
        <v>37</v>
      </c>
    </row>
    <row r="6" s="14" customFormat="1" ht="29" customHeight="1" spans="1:7">
      <c r="A6" s="16">
        <v>4</v>
      </c>
      <c r="B6" s="17">
        <v>46111</v>
      </c>
      <c r="C6" s="18" t="s">
        <v>8</v>
      </c>
      <c r="D6" s="24" t="s">
        <v>55</v>
      </c>
      <c r="E6" s="16">
        <v>3</v>
      </c>
      <c r="F6" s="16"/>
      <c r="G6" s="16"/>
    </row>
    <row r="7" s="14" customFormat="1" ht="29" customHeight="1" spans="1:7">
      <c r="A7" s="16">
        <v>5</v>
      </c>
      <c r="B7" s="17">
        <v>46111</v>
      </c>
      <c r="C7" s="18" t="s">
        <v>9</v>
      </c>
      <c r="D7" s="24" t="s">
        <v>55</v>
      </c>
      <c r="E7" s="16">
        <v>3</v>
      </c>
      <c r="F7" s="16"/>
      <c r="G7" s="16"/>
    </row>
    <row r="8" s="14" customFormat="1" ht="29" customHeight="1" spans="1:7">
      <c r="A8" s="16">
        <v>6</v>
      </c>
      <c r="B8" s="17">
        <v>46111</v>
      </c>
      <c r="C8" s="18" t="s">
        <v>10</v>
      </c>
      <c r="D8" s="24" t="s">
        <v>55</v>
      </c>
      <c r="E8" s="16">
        <v>3</v>
      </c>
      <c r="F8" s="16"/>
      <c r="G8" s="16"/>
    </row>
    <row r="9" s="14" customFormat="1" ht="29" customHeight="1" spans="1:7">
      <c r="A9" s="16">
        <v>7</v>
      </c>
      <c r="B9" s="17">
        <v>46111</v>
      </c>
      <c r="C9" s="18" t="s">
        <v>11</v>
      </c>
      <c r="D9" s="24" t="s">
        <v>55</v>
      </c>
      <c r="E9" s="16">
        <v>3</v>
      </c>
      <c r="F9" s="16"/>
      <c r="G9" s="16"/>
    </row>
    <row r="10" s="14" customFormat="1" ht="19" customHeight="1" spans="1:7">
      <c r="A10" s="3"/>
      <c r="B10" s="3"/>
      <c r="C10" s="3"/>
      <c r="D10" s="3"/>
      <c r="E10" s="3">
        <f>SUM(E3:E9)</f>
        <v>19</v>
      </c>
      <c r="F10" s="3">
        <f>SUM(F3:F9)</f>
        <v>2</v>
      </c>
      <c r="G10" s="3"/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2" sqref="A$1:A$1048576"/>
    </sheetView>
  </sheetViews>
  <sheetFormatPr defaultColWidth="9.14285714285714" defaultRowHeight="15.75" outlineLevelCol="6"/>
  <cols>
    <col min="1" max="1" width="10.1428571428571" style="3" customWidth="1"/>
    <col min="2" max="2" width="12.5714285714286" style="3" customWidth="1"/>
    <col min="3" max="3" width="17.5714285714286" style="3" customWidth="1"/>
    <col min="4" max="4" width="12.5714285714286" style="3" customWidth="1"/>
    <col min="5" max="6" width="8.42857142857143" style="3" customWidth="1"/>
    <col min="7" max="7" width="38.5714285714286" style="2" customWidth="1"/>
    <col min="8" max="16384" width="9.14285714285714" style="3"/>
  </cols>
  <sheetData>
    <row r="1" s="1" customFormat="1" ht="30" customHeight="1" spans="1:7">
      <c r="A1" s="15" t="s">
        <v>0</v>
      </c>
      <c r="B1" s="15"/>
      <c r="C1" s="15"/>
      <c r="D1" s="15"/>
      <c r="E1" s="15"/>
      <c r="F1" s="15"/>
      <c r="G1" s="15"/>
    </row>
    <row r="2" s="2" customFormat="1" ht="29" customHeight="1" spans="1:7">
      <c r="A2" s="15" t="s">
        <v>1</v>
      </c>
      <c r="B2" s="15" t="s">
        <v>50</v>
      </c>
      <c r="C2" s="15" t="s">
        <v>2</v>
      </c>
      <c r="D2" s="15" t="s">
        <v>51</v>
      </c>
      <c r="E2" s="15" t="s">
        <v>52</v>
      </c>
      <c r="F2" s="15" t="s">
        <v>53</v>
      </c>
      <c r="G2" s="15" t="s">
        <v>54</v>
      </c>
    </row>
    <row r="3" s="3" customFormat="1" ht="26" customHeight="1" spans="1:7">
      <c r="A3" s="16">
        <v>1</v>
      </c>
      <c r="B3" s="17">
        <v>46114</v>
      </c>
      <c r="C3" s="18" t="s">
        <v>5</v>
      </c>
      <c r="D3" s="19" t="s">
        <v>56</v>
      </c>
      <c r="E3" s="16">
        <v>1</v>
      </c>
      <c r="F3" s="16">
        <v>1</v>
      </c>
      <c r="G3" s="19" t="s">
        <v>58</v>
      </c>
    </row>
    <row r="4" s="3" customFormat="1" ht="28.5" spans="1:7">
      <c r="A4" s="16">
        <v>2</v>
      </c>
      <c r="B4" s="17">
        <v>46114</v>
      </c>
      <c r="C4" s="18" t="s">
        <v>6</v>
      </c>
      <c r="D4" s="19" t="s">
        <v>56</v>
      </c>
      <c r="E4" s="16">
        <v>1</v>
      </c>
      <c r="F4" s="16">
        <v>1</v>
      </c>
      <c r="G4" s="20" t="s">
        <v>33</v>
      </c>
    </row>
    <row r="5" s="3" customFormat="1" ht="26" customHeight="1" spans="1:7">
      <c r="A5" s="16">
        <v>3</v>
      </c>
      <c r="B5" s="17">
        <v>46114</v>
      </c>
      <c r="C5" s="18" t="s">
        <v>7</v>
      </c>
      <c r="D5" s="19" t="s">
        <v>56</v>
      </c>
      <c r="E5" s="16">
        <v>2</v>
      </c>
      <c r="F5" s="16"/>
      <c r="G5" s="19" t="s">
        <v>37</v>
      </c>
    </row>
    <row r="6" s="3" customFormat="1" ht="26" customHeight="1" spans="1:7">
      <c r="A6" s="16">
        <v>4</v>
      </c>
      <c r="B6" s="17">
        <v>46114</v>
      </c>
      <c r="C6" s="18" t="s">
        <v>8</v>
      </c>
      <c r="D6" s="19" t="s">
        <v>56</v>
      </c>
      <c r="E6" s="16">
        <v>2</v>
      </c>
      <c r="F6" s="16"/>
      <c r="G6" s="21"/>
    </row>
    <row r="7" s="3" customFormat="1" ht="26" customHeight="1" spans="1:7">
      <c r="A7" s="16">
        <v>5</v>
      </c>
      <c r="B7" s="17">
        <v>46114</v>
      </c>
      <c r="C7" s="18" t="s">
        <v>9</v>
      </c>
      <c r="D7" s="19" t="s">
        <v>56</v>
      </c>
      <c r="E7" s="16">
        <v>2</v>
      </c>
      <c r="F7" s="16"/>
      <c r="G7" s="21"/>
    </row>
    <row r="8" s="3" customFormat="1" ht="26" customHeight="1" spans="1:7">
      <c r="A8" s="16">
        <v>6</v>
      </c>
      <c r="B8" s="17">
        <v>46114</v>
      </c>
      <c r="C8" s="18" t="s">
        <v>10</v>
      </c>
      <c r="D8" s="19" t="s">
        <v>56</v>
      </c>
      <c r="E8" s="16">
        <v>2</v>
      </c>
      <c r="F8" s="16"/>
      <c r="G8" s="21"/>
    </row>
    <row r="9" s="3" customFormat="1" ht="26" customHeight="1" spans="1:7">
      <c r="A9" s="16">
        <v>7</v>
      </c>
      <c r="B9" s="17">
        <v>46114</v>
      </c>
      <c r="C9" s="18" t="s">
        <v>11</v>
      </c>
      <c r="D9" s="19" t="s">
        <v>56</v>
      </c>
      <c r="E9" s="16">
        <v>2</v>
      </c>
      <c r="F9" s="16"/>
      <c r="G9" s="21"/>
    </row>
    <row r="10" s="3" customFormat="1" spans="1:7">
      <c r="E10" s="3">
        <f>SUM(E3:E9)</f>
        <v>12</v>
      </c>
      <c r="F10" s="22">
        <f>SUM(F3:F9)</f>
        <v>2</v>
      </c>
      <c r="G10" s="23"/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28" sqref="G28"/>
    </sheetView>
  </sheetViews>
  <sheetFormatPr defaultColWidth="9.14285714285714" defaultRowHeight="15" outlineLevelCol="6"/>
  <cols>
    <col min="1" max="1" width="8.14285714285714" style="14" customWidth="1"/>
    <col min="2" max="2" width="15" style="14" customWidth="1"/>
    <col min="3" max="3" width="17.4285714285714" style="14" customWidth="1"/>
    <col min="4" max="4" width="15" style="14" customWidth="1"/>
    <col min="5" max="6" width="10.7142857142857" style="14" customWidth="1"/>
    <col min="7" max="7" width="36.1428571428571" style="14" customWidth="1"/>
    <col min="8" max="16384" width="9.14285714285714" style="14"/>
  </cols>
  <sheetData>
    <row r="1" s="13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14" customFormat="1" ht="26" customHeight="1" spans="1:7">
      <c r="A3" s="8">
        <v>1</v>
      </c>
      <c r="B3" s="9">
        <v>46119</v>
      </c>
      <c r="C3" s="8" t="s">
        <v>5</v>
      </c>
      <c r="D3" s="8" t="s">
        <v>61</v>
      </c>
      <c r="E3" s="8">
        <v>2</v>
      </c>
      <c r="F3" s="8">
        <v>1</v>
      </c>
      <c r="G3" s="8" t="s">
        <v>28</v>
      </c>
    </row>
    <row r="4" s="14" customFormat="1" ht="26" customHeight="1" spans="1:7">
      <c r="A4" s="8">
        <v>2</v>
      </c>
      <c r="B4" s="9">
        <v>46119</v>
      </c>
      <c r="C4" s="8" t="s">
        <v>6</v>
      </c>
      <c r="D4" s="8" t="s">
        <v>61</v>
      </c>
      <c r="E4" s="8">
        <v>2</v>
      </c>
      <c r="F4" s="8">
        <v>1</v>
      </c>
      <c r="G4" s="10" t="s">
        <v>33</v>
      </c>
    </row>
    <row r="5" s="14" customFormat="1" ht="26" customHeight="1" spans="1:7">
      <c r="A5" s="8">
        <v>3</v>
      </c>
      <c r="B5" s="9">
        <v>46119</v>
      </c>
      <c r="C5" s="8" t="s">
        <v>7</v>
      </c>
      <c r="D5" s="8" t="s">
        <v>61</v>
      </c>
      <c r="E5" s="8">
        <v>3</v>
      </c>
      <c r="F5" s="8"/>
      <c r="G5" s="8" t="s">
        <v>37</v>
      </c>
    </row>
    <row r="6" s="14" customFormat="1" ht="26" customHeight="1" spans="1:7">
      <c r="A6" s="8">
        <v>4</v>
      </c>
      <c r="B6" s="9">
        <v>46119</v>
      </c>
      <c r="C6" s="8" t="s">
        <v>8</v>
      </c>
      <c r="D6" s="8" t="s">
        <v>61</v>
      </c>
      <c r="E6" s="8">
        <v>3</v>
      </c>
      <c r="F6" s="8"/>
      <c r="G6" s="8"/>
    </row>
    <row r="7" s="14" customFormat="1" ht="26" customHeight="1" spans="1:7">
      <c r="A7" s="8">
        <v>5</v>
      </c>
      <c r="B7" s="9">
        <v>46119</v>
      </c>
      <c r="C7" s="8" t="s">
        <v>9</v>
      </c>
      <c r="D7" s="8" t="s">
        <v>61</v>
      </c>
      <c r="E7" s="8">
        <v>3</v>
      </c>
      <c r="F7" s="8"/>
      <c r="G7" s="8"/>
    </row>
    <row r="8" s="14" customFormat="1" ht="26" customHeight="1" spans="1:7">
      <c r="A8" s="8">
        <v>6</v>
      </c>
      <c r="B8" s="9">
        <v>46119</v>
      </c>
      <c r="C8" s="8" t="s">
        <v>10</v>
      </c>
      <c r="D8" s="8" t="s">
        <v>61</v>
      </c>
      <c r="E8" s="8">
        <v>3</v>
      </c>
      <c r="F8" s="8"/>
      <c r="G8" s="8"/>
    </row>
    <row r="9" s="14" customFormat="1" ht="26" customHeight="1" spans="1:7">
      <c r="A9" s="8">
        <v>7</v>
      </c>
      <c r="B9" s="9">
        <v>46119</v>
      </c>
      <c r="C9" s="8" t="s">
        <v>11</v>
      </c>
      <c r="D9" s="8" t="s">
        <v>61</v>
      </c>
      <c r="E9" s="8">
        <v>3</v>
      </c>
      <c r="F9" s="8"/>
      <c r="G9" s="8"/>
    </row>
    <row r="10" s="14" customFormat="1" ht="19" customHeight="1" spans="1:7">
      <c r="A10" s="11"/>
      <c r="B10" s="11"/>
      <c r="C10" s="11"/>
      <c r="D10" s="11"/>
      <c r="E10" s="11">
        <f>SUM(E3:E9)</f>
        <v>19</v>
      </c>
      <c r="F10" s="11">
        <f>SUM(F3:F9)</f>
        <v>2</v>
      </c>
      <c r="G10" s="11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28" sqref="G28"/>
    </sheetView>
  </sheetViews>
  <sheetFormatPr defaultColWidth="9.14285714285714" defaultRowHeight="15.75" outlineLevelCol="6"/>
  <cols>
    <col min="1" max="1" width="8.14285714285714" style="3" customWidth="1"/>
    <col min="2" max="2" width="15" style="3" customWidth="1"/>
    <col min="3" max="3" width="17.4285714285714" style="3" customWidth="1"/>
    <col min="4" max="4" width="15" style="3" customWidth="1"/>
    <col min="5" max="6" width="10.7142857142857" style="3" customWidth="1"/>
    <col min="7" max="7" width="36.1428571428571" style="2" customWidth="1"/>
    <col min="8" max="16384" width="9.14285714285714" style="3"/>
  </cols>
  <sheetData>
    <row r="1" s="1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2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3" customFormat="1" ht="26" customHeight="1" spans="1:7">
      <c r="A3" s="8">
        <v>1</v>
      </c>
      <c r="B3" s="9">
        <v>46121</v>
      </c>
      <c r="C3" s="8" t="s">
        <v>5</v>
      </c>
      <c r="D3" s="8" t="s">
        <v>56</v>
      </c>
      <c r="E3" s="8">
        <v>1</v>
      </c>
      <c r="F3" s="8">
        <v>1</v>
      </c>
      <c r="G3" s="8" t="s">
        <v>28</v>
      </c>
    </row>
    <row r="4" s="3" customFormat="1" ht="26" customHeight="1" spans="1:7">
      <c r="A4" s="8">
        <v>2</v>
      </c>
      <c r="B4" s="9">
        <v>46121</v>
      </c>
      <c r="C4" s="8" t="s">
        <v>6</v>
      </c>
      <c r="D4" s="8" t="s">
        <v>56</v>
      </c>
      <c r="E4" s="8">
        <v>1</v>
      </c>
      <c r="F4" s="8">
        <v>1</v>
      </c>
      <c r="G4" s="10" t="s">
        <v>33</v>
      </c>
    </row>
    <row r="5" s="3" customFormat="1" ht="26" customHeight="1" spans="1:7">
      <c r="A5" s="8">
        <v>3</v>
      </c>
      <c r="B5" s="9">
        <v>46121</v>
      </c>
      <c r="C5" s="8" t="s">
        <v>7</v>
      </c>
      <c r="D5" s="8" t="s">
        <v>56</v>
      </c>
      <c r="E5" s="8">
        <v>2</v>
      </c>
      <c r="F5" s="8"/>
      <c r="G5" s="8" t="s">
        <v>37</v>
      </c>
    </row>
    <row r="6" s="3" customFormat="1" ht="26" customHeight="1" spans="1:7">
      <c r="A6" s="8">
        <v>4</v>
      </c>
      <c r="B6" s="9">
        <v>46121</v>
      </c>
      <c r="C6" s="8" t="s">
        <v>8</v>
      </c>
      <c r="D6" s="8" t="s">
        <v>56</v>
      </c>
      <c r="E6" s="8">
        <v>2</v>
      </c>
      <c r="F6" s="8"/>
      <c r="G6" s="8"/>
    </row>
    <row r="7" s="3" customFormat="1" ht="26" customHeight="1" spans="1:7">
      <c r="A7" s="8">
        <v>5</v>
      </c>
      <c r="B7" s="9">
        <v>46121</v>
      </c>
      <c r="C7" s="8" t="s">
        <v>9</v>
      </c>
      <c r="D7" s="8" t="s">
        <v>56</v>
      </c>
      <c r="E7" s="8">
        <v>2</v>
      </c>
      <c r="F7" s="8"/>
      <c r="G7" s="8"/>
    </row>
    <row r="8" s="3" customFormat="1" ht="26" customHeight="1" spans="1:7">
      <c r="A8" s="8">
        <v>6</v>
      </c>
      <c r="B8" s="9">
        <v>46121</v>
      </c>
      <c r="C8" s="8" t="s">
        <v>10</v>
      </c>
      <c r="D8" s="8" t="s">
        <v>56</v>
      </c>
      <c r="E8" s="8">
        <v>2</v>
      </c>
      <c r="F8" s="8"/>
      <c r="G8" s="8"/>
    </row>
    <row r="9" s="3" customFormat="1" ht="26" customHeight="1" spans="1:7">
      <c r="A9" s="8">
        <v>7</v>
      </c>
      <c r="B9" s="9">
        <v>46121</v>
      </c>
      <c r="C9" s="8" t="s">
        <v>11</v>
      </c>
      <c r="D9" s="8" t="s">
        <v>56</v>
      </c>
      <c r="E9" s="8">
        <v>2</v>
      </c>
      <c r="F9" s="8"/>
      <c r="G9" s="8"/>
    </row>
    <row r="10" s="3" customFormat="1" ht="15" spans="1:7">
      <c r="A10" s="11"/>
      <c r="B10" s="11"/>
      <c r="C10" s="11"/>
      <c r="D10" s="11"/>
      <c r="E10" s="11">
        <f>SUM(E3:E9)</f>
        <v>12</v>
      </c>
      <c r="F10" s="11">
        <f>SUM(F3:F9)</f>
        <v>2</v>
      </c>
      <c r="G10" s="12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I22" sqref="I22"/>
    </sheetView>
  </sheetViews>
  <sheetFormatPr defaultColWidth="9.14285714285714" defaultRowHeight="15" outlineLevelCol="6"/>
  <cols>
    <col min="1" max="1" width="8.14285714285714" style="14" customWidth="1"/>
    <col min="2" max="2" width="15" style="14" customWidth="1"/>
    <col min="3" max="3" width="17.4285714285714" style="14" customWidth="1"/>
    <col min="4" max="4" width="15" style="14" customWidth="1"/>
    <col min="5" max="6" width="10.7142857142857" style="14" customWidth="1"/>
    <col min="7" max="7" width="36.1428571428571" style="14" customWidth="1"/>
    <col min="8" max="16384" width="9.14285714285714" style="14"/>
  </cols>
  <sheetData>
    <row r="1" s="13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14" customFormat="1" ht="26" customHeight="1" spans="1:7">
      <c r="A3" s="8">
        <v>1</v>
      </c>
      <c r="B3" s="9">
        <v>46125</v>
      </c>
      <c r="C3" s="8" t="s">
        <v>5</v>
      </c>
      <c r="D3" s="8" t="s">
        <v>61</v>
      </c>
      <c r="E3" s="8">
        <v>2</v>
      </c>
      <c r="F3" s="8">
        <v>1</v>
      </c>
      <c r="G3" s="8" t="s">
        <v>28</v>
      </c>
    </row>
    <row r="4" s="14" customFormat="1" ht="26" customHeight="1" spans="1:7">
      <c r="A4" s="8">
        <v>2</v>
      </c>
      <c r="B4" s="9">
        <v>46125</v>
      </c>
      <c r="C4" s="8" t="s">
        <v>6</v>
      </c>
      <c r="D4" s="8" t="s">
        <v>61</v>
      </c>
      <c r="E4" s="8">
        <v>2</v>
      </c>
      <c r="F4" s="8">
        <v>1</v>
      </c>
      <c r="G4" s="10" t="s">
        <v>33</v>
      </c>
    </row>
    <row r="5" s="14" customFormat="1" ht="26" customHeight="1" spans="1:7">
      <c r="A5" s="8">
        <v>3</v>
      </c>
      <c r="B5" s="9">
        <v>46125</v>
      </c>
      <c r="C5" s="8" t="s">
        <v>7</v>
      </c>
      <c r="D5" s="8" t="s">
        <v>61</v>
      </c>
      <c r="E5" s="8">
        <v>3</v>
      </c>
      <c r="F5" s="8"/>
      <c r="G5" s="8" t="s">
        <v>37</v>
      </c>
    </row>
    <row r="6" s="14" customFormat="1" ht="26" customHeight="1" spans="1:7">
      <c r="A6" s="8">
        <v>4</v>
      </c>
      <c r="B6" s="9">
        <v>46125</v>
      </c>
      <c r="C6" s="8" t="s">
        <v>8</v>
      </c>
      <c r="D6" s="8" t="s">
        <v>61</v>
      </c>
      <c r="E6" s="8">
        <v>3</v>
      </c>
      <c r="F6" s="8"/>
      <c r="G6" s="8"/>
    </row>
    <row r="7" s="14" customFormat="1" ht="26" customHeight="1" spans="1:7">
      <c r="A7" s="8">
        <v>5</v>
      </c>
      <c r="B7" s="9">
        <v>46125</v>
      </c>
      <c r="C7" s="8" t="s">
        <v>9</v>
      </c>
      <c r="D7" s="8" t="s">
        <v>61</v>
      </c>
      <c r="E7" s="8">
        <v>3</v>
      </c>
      <c r="F7" s="8"/>
      <c r="G7" s="8"/>
    </row>
    <row r="8" s="14" customFormat="1" ht="26" customHeight="1" spans="1:7">
      <c r="A8" s="8">
        <v>6</v>
      </c>
      <c r="B8" s="9">
        <v>46125</v>
      </c>
      <c r="C8" s="8" t="s">
        <v>10</v>
      </c>
      <c r="D8" s="8" t="s">
        <v>61</v>
      </c>
      <c r="E8" s="8">
        <v>3</v>
      </c>
      <c r="F8" s="8"/>
      <c r="G8" s="8"/>
    </row>
    <row r="9" s="14" customFormat="1" ht="26" customHeight="1" spans="1:7">
      <c r="A9" s="8">
        <v>7</v>
      </c>
      <c r="B9" s="9">
        <v>46125</v>
      </c>
      <c r="C9" s="8" t="s">
        <v>11</v>
      </c>
      <c r="D9" s="8" t="s">
        <v>61</v>
      </c>
      <c r="E9" s="8">
        <v>3</v>
      </c>
      <c r="F9" s="8"/>
      <c r="G9" s="8"/>
    </row>
    <row r="10" s="14" customFormat="1" ht="19" customHeight="1" spans="1:7">
      <c r="A10" s="11"/>
      <c r="B10" s="11"/>
      <c r="C10" s="11"/>
      <c r="D10" s="11"/>
      <c r="E10" s="11">
        <f>SUM(E3:E9)</f>
        <v>19</v>
      </c>
      <c r="F10" s="11">
        <f>SUM(F3:F9)</f>
        <v>2</v>
      </c>
      <c r="G10" s="11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I22" sqref="I22"/>
    </sheetView>
  </sheetViews>
  <sheetFormatPr defaultColWidth="9.14285714285714" defaultRowHeight="15.75" outlineLevelCol="6"/>
  <cols>
    <col min="1" max="1" width="8.14285714285714" style="3" customWidth="1"/>
    <col min="2" max="2" width="15" style="3" customWidth="1"/>
    <col min="3" max="3" width="17.4285714285714" style="3" customWidth="1"/>
    <col min="4" max="4" width="15" style="3" customWidth="1"/>
    <col min="5" max="6" width="10.7142857142857" style="3" customWidth="1"/>
    <col min="7" max="7" width="36.1428571428571" style="2" customWidth="1"/>
    <col min="8" max="16384" width="9.14285714285714" style="3"/>
  </cols>
  <sheetData>
    <row r="1" s="1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2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3" customFormat="1" ht="26" customHeight="1" spans="1:7">
      <c r="A3" s="8">
        <v>1</v>
      </c>
      <c r="B3" s="9">
        <v>46128</v>
      </c>
      <c r="C3" s="8" t="s">
        <v>5</v>
      </c>
      <c r="D3" s="8" t="s">
        <v>56</v>
      </c>
      <c r="E3" s="8">
        <v>1</v>
      </c>
      <c r="F3" s="8">
        <v>1</v>
      </c>
      <c r="G3" s="8" t="s">
        <v>28</v>
      </c>
    </row>
    <row r="4" s="3" customFormat="1" ht="26" customHeight="1" spans="1:7">
      <c r="A4" s="8">
        <v>2</v>
      </c>
      <c r="B4" s="9">
        <v>46128</v>
      </c>
      <c r="C4" s="8" t="s">
        <v>6</v>
      </c>
      <c r="D4" s="8" t="s">
        <v>56</v>
      </c>
      <c r="E4" s="8">
        <v>1</v>
      </c>
      <c r="F4" s="8">
        <v>1</v>
      </c>
      <c r="G4" s="10" t="s">
        <v>33</v>
      </c>
    </row>
    <row r="5" s="3" customFormat="1" ht="26" customHeight="1" spans="1:7">
      <c r="A5" s="8">
        <v>3</v>
      </c>
      <c r="B5" s="9">
        <v>46128</v>
      </c>
      <c r="C5" s="8" t="s">
        <v>7</v>
      </c>
      <c r="D5" s="8" t="s">
        <v>56</v>
      </c>
      <c r="E5" s="8">
        <v>2</v>
      </c>
      <c r="F5" s="8"/>
      <c r="G5" s="8" t="s">
        <v>37</v>
      </c>
    </row>
    <row r="6" s="3" customFormat="1" ht="26" customHeight="1" spans="1:7">
      <c r="A6" s="8">
        <v>4</v>
      </c>
      <c r="B6" s="9">
        <v>46128</v>
      </c>
      <c r="C6" s="8" t="s">
        <v>8</v>
      </c>
      <c r="D6" s="8" t="s">
        <v>56</v>
      </c>
      <c r="E6" s="8">
        <v>2</v>
      </c>
      <c r="F6" s="8"/>
      <c r="G6" s="8"/>
    </row>
    <row r="7" s="3" customFormat="1" ht="26" customHeight="1" spans="1:7">
      <c r="A7" s="8">
        <v>5</v>
      </c>
      <c r="B7" s="9">
        <v>46128</v>
      </c>
      <c r="C7" s="8" t="s">
        <v>9</v>
      </c>
      <c r="D7" s="8" t="s">
        <v>56</v>
      </c>
      <c r="E7" s="8">
        <v>2</v>
      </c>
      <c r="F7" s="8"/>
      <c r="G7" s="8"/>
    </row>
    <row r="8" s="3" customFormat="1" ht="26" customHeight="1" spans="1:7">
      <c r="A8" s="8">
        <v>6</v>
      </c>
      <c r="B8" s="9">
        <v>46128</v>
      </c>
      <c r="C8" s="8" t="s">
        <v>10</v>
      </c>
      <c r="D8" s="8" t="s">
        <v>56</v>
      </c>
      <c r="E8" s="8">
        <v>2</v>
      </c>
      <c r="F8" s="8"/>
      <c r="G8" s="8"/>
    </row>
    <row r="9" s="3" customFormat="1" ht="26" customHeight="1" spans="1:7">
      <c r="A9" s="8">
        <v>7</v>
      </c>
      <c r="B9" s="9">
        <v>46128</v>
      </c>
      <c r="C9" s="8" t="s">
        <v>11</v>
      </c>
      <c r="D9" s="8" t="s">
        <v>56</v>
      </c>
      <c r="E9" s="8">
        <v>2</v>
      </c>
      <c r="F9" s="8"/>
      <c r="G9" s="8"/>
    </row>
    <row r="10" s="3" customFormat="1" ht="15" spans="1:7">
      <c r="A10" s="11"/>
      <c r="B10" s="11"/>
      <c r="C10" s="11"/>
      <c r="D10" s="11"/>
      <c r="E10" s="11">
        <f>SUM(E3:E9)</f>
        <v>12</v>
      </c>
      <c r="F10" s="11">
        <f>SUM(F3:F9)</f>
        <v>2</v>
      </c>
      <c r="G10" s="12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B4" sqref="B4:B9"/>
    </sheetView>
  </sheetViews>
  <sheetFormatPr defaultColWidth="9.14285714285714" defaultRowHeight="15" outlineLevelCol="6"/>
  <cols>
    <col min="1" max="1" width="8.14285714285714" style="14" customWidth="1"/>
    <col min="2" max="2" width="15" style="14" customWidth="1"/>
    <col min="3" max="3" width="17.4285714285714" style="14" customWidth="1"/>
    <col min="4" max="4" width="15" style="14" customWidth="1"/>
    <col min="5" max="6" width="10.7142857142857" style="14" customWidth="1"/>
    <col min="7" max="7" width="36.1428571428571" style="14" customWidth="1"/>
    <col min="8" max="16384" width="9.14285714285714" style="14"/>
  </cols>
  <sheetData>
    <row r="1" s="13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13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14" customFormat="1" ht="26" customHeight="1" spans="1:7">
      <c r="A3" s="8">
        <v>1</v>
      </c>
      <c r="B3" s="9">
        <v>46132</v>
      </c>
      <c r="C3" s="8" t="s">
        <v>5</v>
      </c>
      <c r="D3" s="8" t="s">
        <v>61</v>
      </c>
      <c r="E3" s="8">
        <v>2</v>
      </c>
      <c r="F3" s="8">
        <v>1</v>
      </c>
      <c r="G3" s="8" t="s">
        <v>28</v>
      </c>
    </row>
    <row r="4" s="14" customFormat="1" ht="26" customHeight="1" spans="1:7">
      <c r="A4" s="8">
        <v>2</v>
      </c>
      <c r="B4" s="9">
        <v>46132</v>
      </c>
      <c r="C4" s="8" t="s">
        <v>6</v>
      </c>
      <c r="D4" s="8" t="s">
        <v>61</v>
      </c>
      <c r="E4" s="8">
        <v>2</v>
      </c>
      <c r="F4" s="8">
        <v>1</v>
      </c>
      <c r="G4" s="10" t="s">
        <v>33</v>
      </c>
    </row>
    <row r="5" s="14" customFormat="1" ht="26" customHeight="1" spans="1:7">
      <c r="A5" s="8">
        <v>3</v>
      </c>
      <c r="B5" s="9">
        <v>46132</v>
      </c>
      <c r="C5" s="8" t="s">
        <v>7</v>
      </c>
      <c r="D5" s="8" t="s">
        <v>61</v>
      </c>
      <c r="E5" s="8">
        <v>3</v>
      </c>
      <c r="F5" s="8"/>
      <c r="G5" s="8" t="s">
        <v>37</v>
      </c>
    </row>
    <row r="6" s="14" customFormat="1" ht="26" customHeight="1" spans="1:7">
      <c r="A6" s="8">
        <v>4</v>
      </c>
      <c r="B6" s="9">
        <v>46132</v>
      </c>
      <c r="C6" s="8" t="s">
        <v>8</v>
      </c>
      <c r="D6" s="8" t="s">
        <v>61</v>
      </c>
      <c r="E6" s="8">
        <v>3</v>
      </c>
      <c r="F6" s="8"/>
      <c r="G6" s="8"/>
    </row>
    <row r="7" s="14" customFormat="1" ht="26" customHeight="1" spans="1:7">
      <c r="A7" s="8">
        <v>5</v>
      </c>
      <c r="B7" s="9">
        <v>46132</v>
      </c>
      <c r="C7" s="8" t="s">
        <v>9</v>
      </c>
      <c r="D7" s="8" t="s">
        <v>61</v>
      </c>
      <c r="E7" s="8">
        <v>3</v>
      </c>
      <c r="F7" s="8"/>
      <c r="G7" s="8"/>
    </row>
    <row r="8" s="14" customFormat="1" ht="26" customHeight="1" spans="1:7">
      <c r="A8" s="8">
        <v>6</v>
      </c>
      <c r="B8" s="9">
        <v>46132</v>
      </c>
      <c r="C8" s="8" t="s">
        <v>10</v>
      </c>
      <c r="D8" s="8" t="s">
        <v>61</v>
      </c>
      <c r="E8" s="8">
        <v>3</v>
      </c>
      <c r="F8" s="8"/>
      <c r="G8" s="8"/>
    </row>
    <row r="9" s="14" customFormat="1" ht="26" customHeight="1" spans="1:7">
      <c r="A9" s="8">
        <v>7</v>
      </c>
      <c r="B9" s="9">
        <v>46132</v>
      </c>
      <c r="C9" s="8" t="s">
        <v>11</v>
      </c>
      <c r="D9" s="8" t="s">
        <v>61</v>
      </c>
      <c r="E9" s="8">
        <v>3</v>
      </c>
      <c r="F9" s="8"/>
      <c r="G9" s="8"/>
    </row>
    <row r="10" s="14" customFormat="1" ht="19" customHeight="1" spans="1:7">
      <c r="A10" s="11"/>
      <c r="B10" s="11"/>
      <c r="C10" s="11"/>
      <c r="D10" s="11"/>
      <c r="E10" s="11">
        <f>SUM(E3:E9)</f>
        <v>19</v>
      </c>
      <c r="F10" s="11">
        <f>SUM(F3:F9)</f>
        <v>2</v>
      </c>
      <c r="G10" s="11"/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6" sqref="G16"/>
    </sheetView>
  </sheetViews>
  <sheetFormatPr defaultColWidth="9.14285714285714" defaultRowHeight="15.75" outlineLevelCol="6"/>
  <cols>
    <col min="1" max="1" width="8.14285714285714" style="3" customWidth="1"/>
    <col min="2" max="2" width="15" style="3" customWidth="1"/>
    <col min="3" max="3" width="17.4285714285714" style="3" customWidth="1"/>
    <col min="4" max="4" width="15" style="3" customWidth="1"/>
    <col min="5" max="6" width="10.7142857142857" style="3" customWidth="1"/>
    <col min="7" max="7" width="36.1428571428571" style="2" customWidth="1"/>
    <col min="8" max="16384" width="9.14285714285714" style="3"/>
  </cols>
  <sheetData>
    <row r="1" s="1" customFormat="1" ht="30" customHeight="1" spans="1:7">
      <c r="A1" s="4" t="s">
        <v>0</v>
      </c>
      <c r="B1" s="5"/>
      <c r="C1" s="5"/>
      <c r="D1" s="5"/>
      <c r="E1" s="5"/>
      <c r="F1" s="5"/>
      <c r="G1" s="6"/>
    </row>
    <row r="2" s="2" customFormat="1" ht="30" customHeight="1" spans="1:7">
      <c r="A2" s="7" t="s">
        <v>1</v>
      </c>
      <c r="B2" s="7" t="s">
        <v>50</v>
      </c>
      <c r="C2" s="7" t="s">
        <v>2</v>
      </c>
      <c r="D2" s="7" t="s">
        <v>51</v>
      </c>
      <c r="E2" s="7" t="s">
        <v>59</v>
      </c>
      <c r="F2" s="7" t="s">
        <v>60</v>
      </c>
      <c r="G2" s="7" t="s">
        <v>54</v>
      </c>
    </row>
    <row r="3" s="3" customFormat="1" ht="26" customHeight="1" spans="1:7">
      <c r="A3" s="8">
        <v>1</v>
      </c>
      <c r="B3" s="9">
        <v>46135</v>
      </c>
      <c r="C3" s="8" t="s">
        <v>5</v>
      </c>
      <c r="D3" s="8" t="s">
        <v>56</v>
      </c>
      <c r="E3" s="8">
        <v>1</v>
      </c>
      <c r="F3" s="8">
        <v>1</v>
      </c>
      <c r="G3" s="8" t="s">
        <v>28</v>
      </c>
    </row>
    <row r="4" s="3" customFormat="1" ht="26" customHeight="1" spans="1:7">
      <c r="A4" s="8">
        <v>2</v>
      </c>
      <c r="B4" s="9">
        <v>46135</v>
      </c>
      <c r="C4" s="8" t="s">
        <v>6</v>
      </c>
      <c r="D4" s="8" t="s">
        <v>56</v>
      </c>
      <c r="E4" s="8">
        <v>1</v>
      </c>
      <c r="F4" s="8">
        <v>1</v>
      </c>
      <c r="G4" s="10" t="s">
        <v>33</v>
      </c>
    </row>
    <row r="5" s="3" customFormat="1" ht="26" customHeight="1" spans="1:7">
      <c r="A5" s="8">
        <v>3</v>
      </c>
      <c r="B5" s="9">
        <v>46135</v>
      </c>
      <c r="C5" s="8" t="s">
        <v>7</v>
      </c>
      <c r="D5" s="8" t="s">
        <v>56</v>
      </c>
      <c r="E5" s="8">
        <v>2</v>
      </c>
      <c r="F5" s="8"/>
      <c r="G5" s="8" t="s">
        <v>37</v>
      </c>
    </row>
    <row r="6" s="3" customFormat="1" ht="26" customHeight="1" spans="1:7">
      <c r="A6" s="8">
        <v>4</v>
      </c>
      <c r="B6" s="9">
        <v>46135</v>
      </c>
      <c r="C6" s="8" t="s">
        <v>8</v>
      </c>
      <c r="D6" s="8" t="s">
        <v>56</v>
      </c>
      <c r="E6" s="8">
        <v>2</v>
      </c>
      <c r="F6" s="8"/>
      <c r="G6" s="8"/>
    </row>
    <row r="7" s="3" customFormat="1" ht="26" customHeight="1" spans="1:7">
      <c r="A7" s="8">
        <v>5</v>
      </c>
      <c r="B7" s="9">
        <v>46135</v>
      </c>
      <c r="C7" s="8" t="s">
        <v>9</v>
      </c>
      <c r="D7" s="8" t="s">
        <v>56</v>
      </c>
      <c r="E7" s="8">
        <v>2</v>
      </c>
      <c r="F7" s="8"/>
      <c r="G7" s="8"/>
    </row>
    <row r="8" s="3" customFormat="1" ht="26" customHeight="1" spans="1:7">
      <c r="A8" s="8">
        <v>6</v>
      </c>
      <c r="B8" s="9">
        <v>46135</v>
      </c>
      <c r="C8" s="8" t="s">
        <v>10</v>
      </c>
      <c r="D8" s="8" t="s">
        <v>56</v>
      </c>
      <c r="E8" s="8">
        <v>2</v>
      </c>
      <c r="F8" s="8"/>
      <c r="G8" s="8"/>
    </row>
    <row r="9" s="3" customFormat="1" ht="26" customHeight="1" spans="1:7">
      <c r="A9" s="8">
        <v>7</v>
      </c>
      <c r="B9" s="9">
        <v>46135</v>
      </c>
      <c r="C9" s="8" t="s">
        <v>11</v>
      </c>
      <c r="D9" s="8" t="s">
        <v>56</v>
      </c>
      <c r="E9" s="8">
        <v>2</v>
      </c>
      <c r="F9" s="8"/>
      <c r="G9" s="8"/>
    </row>
    <row r="10" s="3" customFormat="1" ht="15" spans="1:7">
      <c r="A10" s="11"/>
      <c r="B10" s="11"/>
      <c r="C10" s="11"/>
      <c r="D10" s="11"/>
      <c r="E10" s="11">
        <f>SUM(E3:E9)</f>
        <v>12</v>
      </c>
      <c r="F10" s="11">
        <f>SUM(F3:F9)</f>
        <v>2</v>
      </c>
      <c r="G10" s="12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学生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張榮強</cp:lastModifiedBy>
  <dcterms:created xsi:type="dcterms:W3CDTF">2026-03-13T18:43:00Z</dcterms:created>
  <dcterms:modified xsi:type="dcterms:W3CDTF">2026-04-17T00:46:27Z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04AEFEC181AF41528BBAB0BCF692DACA_13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