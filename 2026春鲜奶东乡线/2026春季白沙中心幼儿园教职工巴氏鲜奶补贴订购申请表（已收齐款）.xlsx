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11"/>
  </bookViews>
  <sheets>
    <sheet name="Sheet1" sheetId="1" r:id="rId1"/>
    <sheet name="汇总表" sheetId="2" r:id="rId2"/>
    <sheet name="3.9" sheetId="3" r:id="rId3"/>
    <sheet name="3.12" sheetId="4" r:id="rId4"/>
    <sheet name="3.16" sheetId="5" r:id="rId5"/>
    <sheet name="3.19" sheetId="6" r:id="rId6"/>
    <sheet name="3.23" sheetId="7" r:id="rId7"/>
    <sheet name="3.26" sheetId="8" r:id="rId8"/>
    <sheet name="3.30" sheetId="9" r:id="rId9"/>
    <sheet name="4.7" sheetId="10" r:id="rId10"/>
    <sheet name="4.13" sheetId="11" r:id="rId11"/>
    <sheet name="4.20" sheetId="12" r:id="rId12"/>
    <sheet name="4.27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<sst xmlns="http://schemas.openxmlformats.org/spreadsheetml/2006/main" count="136" uniqueCount="35">
  <si>
    <t>线上订单汇总表</t>
  </si>
  <si>
    <t>导出时间2026-03-06</t>
  </si>
  <si>
    <t>序号</t>
  </si>
  <si>
    <t>订单号</t>
  </si>
  <si>
    <t>学生姓名</t>
  </si>
  <si>
    <t>区 | 校 | 年 | 班</t>
  </si>
  <si>
    <t>家长手机号</t>
  </si>
  <si>
    <t>套餐名称</t>
  </si>
  <si>
    <t>订单金额</t>
  </si>
  <si>
    <t>家长备注</t>
  </si>
  <si>
    <t>商户备注</t>
  </si>
  <si>
    <t>15302026030519132074303</t>
  </si>
  <si>
    <t>邓雨萌</t>
  </si>
  <si>
    <t>英德市 | 白沙镇中心幼儿园 | 中班 | 中班</t>
  </si>
  <si>
    <t>2026年春季幼儿园巴氏低温鲜奶套餐（100盒）</t>
  </si>
  <si>
    <t xml:space="preserve">                                                   英德市白沙中心幼儿园教师鲜奶领奶表</t>
  </si>
  <si>
    <t>姓名</t>
  </si>
  <si>
    <t>订购份数</t>
  </si>
  <si>
    <t>总计</t>
  </si>
  <si>
    <t>剩余</t>
  </si>
  <si>
    <t>邓雨萌学生</t>
  </si>
  <si>
    <t>英德市白沙中心幼儿园教师鲜奶领奶表</t>
  </si>
  <si>
    <t>配送日期</t>
  </si>
  <si>
    <t>职工姓名</t>
  </si>
  <si>
    <t>配送天数</t>
  </si>
  <si>
    <t>鲜</t>
  </si>
  <si>
    <t>酸</t>
  </si>
  <si>
    <t>备注</t>
  </si>
  <si>
    <t>3天</t>
  </si>
  <si>
    <t>2天</t>
  </si>
  <si>
    <t>补发</t>
  </si>
  <si>
    <t>4天</t>
  </si>
  <si>
    <t>5天</t>
  </si>
  <si>
    <t>4.13要求改为常温奶</t>
  </si>
  <si>
    <t>发常温奶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</si>
</sst>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b/>
      <sz val="9"/>
      <name val="宋体"/>
      <charset val="134"/>
    </font>
    <font>
      <b/>
      <sz val="9"/>
      <name val="宋体"/>
      <charset val="134"/>
      <scheme val="minor"/>
    </font>
    <font>
      <sz val="10"/>
      <color rgb="FF000000"/>
      <name val="宋体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2" borderId="9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10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1" fillId="0" borderId="0">
      <alignment vertical="center"/>
    </xf>
    <xf numFmtId="0" fontId="22" fillId="3" borderId="12">
      <alignment vertical="center"/>
    </xf>
    <xf numFmtId="0" fontId="23" fillId="4" borderId="13">
      <alignment vertical="center"/>
    </xf>
    <xf numFmtId="0" fontId="24" fillId="4" borderId="12">
      <alignment vertical="center"/>
    </xf>
    <xf numFmtId="0" fontId="25" fillId="5" borderId="14">
      <alignment vertical="center"/>
    </xf>
    <xf numFmtId="0" fontId="26" fillId="0" borderId="15">
      <alignment vertical="center"/>
    </xf>
    <xf numFmtId="0" fontId="27" fillId="0" borderId="16">
      <alignment vertical="center"/>
    </xf>
    <xf numFmtId="0" fontId="28" fillId="6" borderId="0">
      <alignment vertical="center"/>
    </xf>
    <xf numFmtId="0" fontId="29" fillId="7" borderId="0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2" fillId="11" borderId="0">
      <alignment vertical="center"/>
    </xf>
    <xf numFmtId="0" fontId="31" fillId="12" borderId="0">
      <alignment vertical="center"/>
    </xf>
    <xf numFmtId="0" fontId="31" fillId="13" borderId="0">
      <alignment vertical="center"/>
    </xf>
    <xf numFmtId="0" fontId="32" fillId="14" borderId="0">
      <alignment vertical="center"/>
    </xf>
    <xf numFmtId="0" fontId="32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</cellStyleXfs>
  <cellXfs count="44">
    <xf numFmtId="0" fontId="0" fillId="0" borderId="0" xfId="0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58" fontId="0" fillId="0" borderId="5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58" fontId="0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9" fillId="0" borderId="7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center" wrapText="1"/>
    </xf>
    <xf numFmtId="0" fontId="10" fillId="0" borderId="8" xfId="0" applyNumberFormat="1" applyFont="1" applyFill="1" applyBorder="1" applyAlignment="1">
      <alignment horizontal="center" vertical="center"/>
    </xf>
    <xf numFmtId="0" fontId="10" fillId="0" borderId="8" xfId="0" applyNumberFormat="1" applyFont="1" applyFill="1" applyBorder="1" applyAlignment="1">
      <alignment horizontal="center" vertical="center" wrapText="1"/>
    </xf>
    <xf numFmtId="58" fontId="10" fillId="0" borderId="8" xfId="0" applyNumberFormat="1" applyFont="1" applyFill="1" applyBorder="1" applyAlignment="1">
      <alignment horizontal="center" vertical="center" wrapText="1"/>
    </xf>
    <xf numFmtId="0" fontId="11" fillId="0" borderId="8" xfId="0" applyNumberFormat="1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0" xfId="0" applyFont="1" applyFill="1" applyAlignment="1"/>
    <xf numFmtId="0" fontId="1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C4" sqref="C4"/>
    </sheetView>
  </sheetViews>
  <sheetFormatPr defaultColWidth="7.875" defaultRowHeight="15" outlineLevelRow="3"/>
  <cols>
    <col min="1" max="1" width="8.75" style="42" customWidth="1"/>
    <col min="2" max="2" width="26.25" style="42" customWidth="1"/>
    <col min="3" max="3" width="13.125" style="42" customWidth="1"/>
    <col min="4" max="4" width="43.75" style="42" customWidth="1"/>
    <col min="5" max="5" width="17.5" style="42" customWidth="1"/>
    <col min="6" max="6" width="43.75" style="42" customWidth="1"/>
    <col min="7" max="7" width="21.875" style="42" customWidth="1"/>
    <col min="8" max="9" width="43.75" style="42" customWidth="1"/>
    <col min="10" max="16384" width="7.875" style="42"/>
  </cols>
  <sheetData>
    <row r="1" s="42" customFormat="1" ht="30" customHeight="1" spans="1:9">
      <c r="A1" s="43" t="s">
        <v>0</v>
      </c>
      <c r="B1" s="43"/>
      <c r="C1" s="43"/>
      <c r="D1" s="43"/>
      <c r="E1" s="43"/>
      <c r="F1" s="43"/>
      <c r="G1" s="43"/>
      <c r="H1" s="43"/>
      <c r="I1" s="43"/>
    </row>
    <row r="2" s="42" customFormat="1" ht="30" customHeight="1" spans="1:9">
      <c r="A2" s="43" t="s">
        <v>1</v>
      </c>
      <c r="B2" s="43"/>
      <c r="C2" s="43"/>
      <c r="D2" s="43"/>
      <c r="E2" s="43"/>
      <c r="F2" s="43"/>
      <c r="G2" s="43"/>
      <c r="H2" s="43"/>
      <c r="I2" s="43"/>
    </row>
    <row r="3" s="42" customFormat="1" ht="25" customHeight="1" spans="1:9">
      <c r="A3" s="43" t="s">
        <v>2</v>
      </c>
      <c r="B3" s="43" t="s">
        <v>3</v>
      </c>
      <c r="C3" s="43" t="s">
        <v>4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43" t="s">
        <v>10</v>
      </c>
    </row>
    <row r="4" s="42" customFormat="1" ht="25" customHeight="1" spans="1:9">
      <c r="A4" s="43">
        <v>1</v>
      </c>
      <c r="B4" s="43" t="s">
        <v>11</v>
      </c>
      <c r="C4" s="43" t="s">
        <v>12</v>
      </c>
      <c r="D4" s="43" t="s">
        <v>13</v>
      </c>
      <c r="E4" s="43">
        <v>13450825134</v>
      </c>
      <c r="F4" s="43" t="s">
        <v>14</v>
      </c>
      <c r="G4" s="43">
        <v>350</v>
      </c>
      <c r="H4" s="43"/>
      <c r="I4" s="43"/>
    </row>
  </sheetData>
  <mergeCells count="2">
    <mergeCell ref="A1:I1"/>
    <mergeCell ref="A2:I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"/>
  <sheetViews>
    <sheetView workbookViewId="0">
      <selection activeCell="G10" sqref="G10"/>
    </sheetView>
  </sheetViews>
  <sheetFormatPr defaultColWidth="9" defaultRowHeight="13.5"/>
  <cols>
    <col min="1" max="3" width="9" style="14"/>
    <col min="4" max="20" width="7.375" style="14" customWidth="1"/>
    <col min="21" max="16377" width="9" style="14"/>
    <col min="16378" max="16384" width="9" style="32"/>
  </cols>
  <sheetData>
    <row r="1" s="30" customFormat="1" ht="31" customHeight="1" spans="1:22">
      <c r="A1" s="33" t="s">
        <v>15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="31" customFormat="1" ht="29" customHeight="1" spans="1:22">
      <c r="A2" s="35" t="s">
        <v>2</v>
      </c>
      <c r="B2" s="35" t="s">
        <v>16</v>
      </c>
      <c r="C2" s="36" t="s">
        <v>17</v>
      </c>
      <c r="D2" s="37">
        <v>46090</v>
      </c>
      <c r="E2" s="37">
        <v>46093</v>
      </c>
      <c r="F2" s="37">
        <v>46097</v>
      </c>
      <c r="G2" s="37">
        <v>46100</v>
      </c>
      <c r="H2" s="37">
        <v>46104</v>
      </c>
      <c r="I2" s="37">
        <v>46107</v>
      </c>
      <c r="J2" s="37">
        <v>46111</v>
      </c>
      <c r="K2" s="37">
        <v>46119</v>
      </c>
      <c r="L2" s="37">
        <v>46125</v>
      </c>
      <c r="M2" s="37">
        <v>46132</v>
      </c>
      <c r="N2" s="37">
        <v>46139</v>
      </c>
      <c r="O2" s="37"/>
      <c r="P2" s="37"/>
      <c r="Q2" s="37"/>
      <c r="R2" s="37"/>
      <c r="S2" s="37"/>
      <c r="T2" s="37"/>
      <c r="U2" s="38" t="s">
        <v>18</v>
      </c>
      <c r="V2" s="39" t="s">
        <v>19</v>
      </c>
    </row>
    <row r="3" s="14" customFormat="1" ht="21" customHeight="1" spans="1:22">
      <c r="A3" s="25">
        <v>1</v>
      </c>
      <c r="B3" s="10" t="s">
        <v>20</v>
      </c>
      <c r="C3" s="25">
        <v>100</v>
      </c>
      <c r="D3" s="25">
        <v>3</v>
      </c>
      <c r="E3" s="25">
        <v>2</v>
      </c>
      <c r="F3" s="25">
        <v>2</v>
      </c>
      <c r="G3" s="25">
        <v>3</v>
      </c>
      <c r="H3" s="25">
        <v>3</v>
      </c>
      <c r="I3" s="25">
        <v>2</v>
      </c>
      <c r="J3" s="25">
        <v>5</v>
      </c>
      <c r="K3" s="25">
        <v>4</v>
      </c>
      <c r="L3" s="25">
        <v>5</v>
      </c>
      <c r="M3" s="25"/>
      <c r="N3" s="25"/>
      <c r="O3" s="25"/>
      <c r="P3" s="25"/>
      <c r="Q3" s="25"/>
      <c r="R3" s="25"/>
      <c r="S3" s="25"/>
      <c r="T3" s="25"/>
      <c r="U3" s="25">
        <f>SUM(D3:T3)</f>
        <v>29</v>
      </c>
      <c r="V3" s="29">
        <f>C3-U3</f>
        <v>71</v>
      </c>
    </row>
    <row r="4" s="14" customFormat="1" ht="21" customHeight="1" spans="1:22">
      <c r="A4" s="25">
        <v>2</v>
      </c>
      <c r="B4" s="40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9"/>
    </row>
    <row r="5" s="14" customFormat="1" ht="21" customHeight="1" spans="1:22">
      <c r="A5" s="25">
        <v>3</v>
      </c>
      <c r="B5" s="40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9"/>
    </row>
    <row r="6" s="14" customFormat="1" ht="21" customHeight="1" spans="1:22">
      <c r="A6" s="25">
        <v>4</v>
      </c>
      <c r="B6" s="40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9"/>
    </row>
    <row r="7" s="14" customFormat="1" ht="21" customHeight="1" spans="1:22">
      <c r="A7" s="25">
        <v>5</v>
      </c>
      <c r="B7" s="40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9"/>
    </row>
    <row r="8" s="14" customFormat="1" ht="21" customHeight="1" spans="1:22">
      <c r="A8" s="25">
        <v>6</v>
      </c>
      <c r="B8" s="40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9"/>
    </row>
    <row r="9" s="14" customFormat="1" ht="21" customHeight="1" spans="1:22">
      <c r="A9" s="25">
        <v>7</v>
      </c>
      <c r="B9" s="40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9"/>
    </row>
    <row r="10" s="14" customFormat="1" ht="21" customHeight="1" spans="1:22">
      <c r="A10" s="25">
        <v>8</v>
      </c>
      <c r="B10" s="40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9"/>
    </row>
    <row r="11" s="14" customFormat="1" ht="21" customHeight="1" spans="1:22">
      <c r="A11" s="25">
        <v>9</v>
      </c>
      <c r="B11" s="40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9"/>
    </row>
    <row r="12" s="14" customFormat="1" ht="21" customHeight="1" spans="1:22">
      <c r="A12" s="25">
        <v>10</v>
      </c>
      <c r="B12" s="40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9"/>
    </row>
    <row r="13" s="14" customFormat="1" ht="22" customHeight="1" spans="1:22">
      <c r="A13" s="25">
        <v>11</v>
      </c>
      <c r="B13" s="41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9"/>
    </row>
    <row r="14" s="14" customFormat="1" ht="20" customHeight="1" spans="1:22">
      <c r="A14" s="25">
        <v>12</v>
      </c>
      <c r="B14" s="40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9"/>
    </row>
    <row r="15" s="14" customFormat="1" ht="21" customHeight="1" spans="1:22">
      <c r="A15" s="25">
        <v>13</v>
      </c>
      <c r="B15" s="40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9"/>
    </row>
    <row r="16" s="14" customFormat="1" ht="21" customHeight="1" spans="1:22">
      <c r="A16" s="25">
        <v>14</v>
      </c>
      <c r="B16" s="40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9"/>
    </row>
    <row r="17" s="14" customFormat="1" ht="21" customHeight="1" spans="1:22">
      <c r="A17" s="25">
        <v>15</v>
      </c>
      <c r="B17" s="40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15"/>
    </row>
    <row r="18" s="14" customFormat="1" ht="21" customHeight="1" spans="1:22">
      <c r="A18" s="25">
        <v>16</v>
      </c>
      <c r="B18" s="40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15"/>
    </row>
    <row r="19" s="14" customFormat="1" ht="21" customHeight="1" spans="1:22">
      <c r="A19" s="25">
        <v>17</v>
      </c>
      <c r="B19" s="40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15"/>
    </row>
    <row r="20" s="14" customFormat="1" ht="21" customHeight="1" spans="1:22">
      <c r="A20" s="25">
        <v>18</v>
      </c>
      <c r="B20" s="40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15"/>
    </row>
    <row r="21" s="14" customFormat="1" ht="21" customHeight="1" spans="1:22">
      <c r="A21" s="25">
        <v>19</v>
      </c>
      <c r="B21" s="40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15"/>
    </row>
    <row r="22" s="14" customFormat="1" ht="21" customHeight="1" spans="1:22">
      <c r="A22" s="25">
        <v>20</v>
      </c>
      <c r="B22" s="40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15"/>
    </row>
    <row r="23" s="14" customFormat="1" ht="21" customHeight="1" spans="1:22">
      <c r="A23" s="25">
        <v>21</v>
      </c>
      <c r="B23" s="40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15"/>
    </row>
    <row r="24" s="14" customFormat="1" ht="21" customHeight="1" spans="1:22">
      <c r="A24" s="25">
        <v>22</v>
      </c>
      <c r="B24" s="40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15"/>
    </row>
    <row r="25" s="14" customFormat="1" ht="21" customHeight="1" spans="1:22">
      <c r="A25" s="25">
        <v>23</v>
      </c>
      <c r="B25" s="40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15"/>
    </row>
    <row r="26" s="14" customFormat="1"/>
    <row r="27" s="14" customFormat="1"/>
    <row r="28" s="14" customFormat="1"/>
    <row r="29" s="14" customFormat="1"/>
    <row r="30" s="14" customFormat="1"/>
    <row r="31" s="14" customFormat="1"/>
  </sheetData>
  <mergeCells count="1">
    <mergeCell ref="A1:U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selection activeCell="A1" sqref="A1:G4"/>
    </sheetView>
  </sheetViews>
  <sheetFormatPr defaultColWidth="8" defaultRowHeight="13.5" outlineLevelRow="3"/>
  <cols>
    <col min="1" max="1" width="10.625" style="14" customWidth="1"/>
    <col min="2" max="2" width="12.625" style="14" customWidth="1"/>
    <col min="3" max="3" width="15.25" style="14" customWidth="1"/>
    <col min="4" max="6" width="10.625" style="14" customWidth="1"/>
    <col min="7" max="7" width="22.125" style="14" customWidth="1"/>
    <col min="8" max="16384" width="8" style="14"/>
  </cols>
  <sheetData>
    <row r="1" s="14" customFormat="1" ht="38" customHeight="1" spans="1:15">
      <c r="A1" s="1" t="s">
        <v>21</v>
      </c>
      <c r="B1" s="1"/>
      <c r="C1" s="1"/>
      <c r="D1" s="2"/>
      <c r="E1" s="2"/>
      <c r="F1" s="3"/>
      <c r="G1" s="4"/>
      <c r="I1" s="4"/>
      <c r="J1" s="4"/>
      <c r="K1" s="4"/>
      <c r="L1" s="4"/>
      <c r="M1" s="4"/>
      <c r="N1" s="4"/>
      <c r="O1" s="4"/>
    </row>
    <row r="2" s="17" customFormat="1" ht="32" customHeight="1" spans="1:15">
      <c r="A2" s="5" t="s">
        <v>2</v>
      </c>
      <c r="B2" s="5" t="s">
        <v>22</v>
      </c>
      <c r="C2" s="5" t="s">
        <v>23</v>
      </c>
      <c r="D2" s="6" t="s">
        <v>24</v>
      </c>
      <c r="E2" s="7" t="s">
        <v>25</v>
      </c>
      <c r="F2" s="7" t="s">
        <v>26</v>
      </c>
      <c r="G2" s="7" t="s">
        <v>27</v>
      </c>
      <c r="I2" s="18"/>
      <c r="J2" s="18"/>
      <c r="K2" s="18"/>
      <c r="L2" s="18"/>
      <c r="M2" s="18"/>
      <c r="N2" s="18"/>
      <c r="O2" s="18"/>
    </row>
    <row r="3" s="14" customFormat="1" ht="22" customHeight="1" spans="1:15">
      <c r="A3" s="8">
        <v>1</v>
      </c>
      <c r="B3" s="9">
        <v>46090</v>
      </c>
      <c r="C3" s="10" t="s">
        <v>20</v>
      </c>
      <c r="D3" s="11" t="s">
        <v>28</v>
      </c>
      <c r="E3" s="12">
        <v>3</v>
      </c>
      <c r="F3" s="12"/>
      <c r="G3" s="13"/>
      <c r="I3" s="19"/>
      <c r="J3" s="20"/>
      <c r="K3" s="21"/>
      <c r="L3" s="19"/>
      <c r="M3" s="22"/>
      <c r="N3" s="22"/>
      <c r="O3" s="23"/>
    </row>
    <row r="4" s="14" customFormat="1" spans="1:15">
      <c r="E4" s="15">
        <f>SUM(E3:E3)</f>
        <v>3</v>
      </c>
      <c r="F4" s="15">
        <f>SUM(F3:F3)</f>
        <v>0</v>
      </c>
    </row>
  </sheetData>
  <mergeCells count="2">
    <mergeCell ref="A1:F1"/>
    <mergeCell ref="I1:N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F10" sqref="F10"/>
    </sheetView>
  </sheetViews>
  <sheetFormatPr defaultColWidth="8" defaultRowHeight="13.5" outlineLevelRow="4"/>
  <cols>
    <col min="1" max="1" width="10.625" style="14" customWidth="1"/>
    <col min="2" max="2" width="12.625" style="14" customWidth="1"/>
    <col min="3" max="3" width="15.25" style="14" customWidth="1"/>
    <col min="4" max="6" width="10.625" style="14" customWidth="1"/>
    <col min="7" max="7" width="22.125" style="14" customWidth="1"/>
    <col min="8" max="16384" width="8" style="14"/>
  </cols>
  <sheetData>
    <row r="1" s="14" customFormat="1" ht="38" customHeight="1" spans="1:15">
      <c r="A1" s="1" t="s">
        <v>21</v>
      </c>
      <c r="B1" s="1"/>
      <c r="C1" s="1"/>
      <c r="D1" s="2"/>
      <c r="E1" s="2"/>
      <c r="F1" s="3"/>
      <c r="G1" s="4"/>
      <c r="I1" s="4"/>
      <c r="J1" s="4"/>
      <c r="K1" s="4"/>
      <c r="L1" s="4"/>
      <c r="M1" s="4"/>
      <c r="N1" s="4"/>
      <c r="O1" s="4"/>
    </row>
    <row r="2" s="17" customFormat="1" ht="32" customHeight="1" spans="1:15">
      <c r="A2" s="5" t="s">
        <v>2</v>
      </c>
      <c r="B2" s="5" t="s">
        <v>22</v>
      </c>
      <c r="C2" s="5" t="s">
        <v>23</v>
      </c>
      <c r="D2" s="6" t="s">
        <v>24</v>
      </c>
      <c r="E2" s="7" t="s">
        <v>25</v>
      </c>
      <c r="F2" s="7" t="s">
        <v>26</v>
      </c>
      <c r="G2" s="7" t="s">
        <v>27</v>
      </c>
      <c r="I2" s="18"/>
      <c r="J2" s="18"/>
      <c r="K2" s="18"/>
      <c r="L2" s="18"/>
      <c r="M2" s="18"/>
      <c r="N2" s="18"/>
      <c r="O2" s="18"/>
    </row>
    <row r="3" s="14" customFormat="1" ht="22" customHeight="1" spans="1:15">
      <c r="A3" s="8">
        <v>1</v>
      </c>
      <c r="B3" s="9">
        <v>46093</v>
      </c>
      <c r="C3" s="10" t="s">
        <v>20</v>
      </c>
      <c r="D3" s="11" t="s">
        <v>29</v>
      </c>
      <c r="E3" s="12">
        <v>2</v>
      </c>
      <c r="F3" s="12"/>
      <c r="G3" s="13"/>
      <c r="I3" s="19"/>
      <c r="J3" s="20"/>
      <c r="K3" s="21"/>
      <c r="L3" s="19"/>
      <c r="M3" s="22"/>
      <c r="N3" s="22"/>
      <c r="O3" s="23"/>
    </row>
    <row r="4" s="14" customFormat="1" spans="1:15">
      <c r="E4" s="15"/>
      <c r="F4" s="15"/>
    </row>
    <row r="5" s="14" customFormat="1" spans="1:15">
      <c r="E5" s="15">
        <f>SUM(E3:E3)</f>
        <v>2</v>
      </c>
      <c r="F5" s="15">
        <f>SUM(F3:F3)</f>
        <v>0</v>
      </c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J6" sqref="J6:J8"/>
    </sheetView>
  </sheetViews>
  <sheetFormatPr defaultColWidth="9" defaultRowHeight="13.5" outlineLevelRow="3" outlineLevelCol="6"/>
  <cols>
    <col min="2" max="2" width="10.125" customWidth="1"/>
    <col min="3" max="3" width="12" customWidth="1"/>
    <col min="4" max="4" width="9.625" customWidth="1"/>
  </cols>
  <sheetData>
    <row r="1" ht="24" customHeight="1" spans="1:7">
      <c r="A1" s="1" t="s">
        <v>21</v>
      </c>
      <c r="B1" s="1"/>
      <c r="C1" s="1"/>
      <c r="D1" s="2"/>
      <c r="E1" s="2"/>
      <c r="F1" s="3"/>
      <c r="G1" s="4"/>
    </row>
    <row r="2" ht="24" customHeight="1" spans="1:7">
      <c r="A2" s="5" t="s">
        <v>2</v>
      </c>
      <c r="B2" s="5" t="s">
        <v>22</v>
      </c>
      <c r="C2" s="5" t="s">
        <v>23</v>
      </c>
      <c r="D2" s="6" t="s">
        <v>24</v>
      </c>
      <c r="E2" s="7" t="s">
        <v>25</v>
      </c>
      <c r="F2" s="7" t="s">
        <v>26</v>
      </c>
      <c r="G2" s="7" t="s">
        <v>27</v>
      </c>
    </row>
    <row r="3" ht="24" customHeight="1" spans="1:7">
      <c r="A3" s="8">
        <v>1</v>
      </c>
      <c r="B3" s="9">
        <v>46097</v>
      </c>
      <c r="C3" s="10" t="s">
        <v>20</v>
      </c>
      <c r="D3" s="11" t="s">
        <v>28</v>
      </c>
      <c r="E3" s="12">
        <v>2</v>
      </c>
      <c r="F3" s="12"/>
      <c r="G3" s="13"/>
    </row>
    <row r="4" spans="1:7">
      <c r="A4" s="14"/>
      <c r="B4" s="14"/>
      <c r="C4" s="14"/>
      <c r="D4" s="14"/>
      <c r="E4" s="15">
        <f>SUM(E3:E3)</f>
        <v>2</v>
      </c>
      <c r="F4" s="15">
        <f>SUM(F3:F3)</f>
        <v>0</v>
      </c>
      <c r="G4" s="14"/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31" sqref="D31"/>
    </sheetView>
  </sheetViews>
  <sheetFormatPr defaultColWidth="9" defaultRowHeight="13.5" outlineLevelRow="4" outlineLevelCol="6"/>
  <cols>
    <col min="2" max="2" width="10.5" customWidth="1"/>
    <col min="3" max="3" width="12" customWidth="1"/>
  </cols>
  <sheetData>
    <row r="1" ht="27" customHeight="1" spans="1:7">
      <c r="A1" s="24" t="s">
        <v>21</v>
      </c>
      <c r="B1" s="24"/>
      <c r="C1" s="24"/>
      <c r="D1" s="24"/>
      <c r="E1" s="24"/>
      <c r="F1" s="24"/>
      <c r="G1" s="24"/>
    </row>
    <row r="2" ht="27" customHeight="1" spans="1:7">
      <c r="A2" s="7" t="s">
        <v>2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</row>
    <row r="3" ht="27" customHeight="1" spans="1:7">
      <c r="A3" s="25">
        <v>1</v>
      </c>
      <c r="B3" s="9">
        <v>46100</v>
      </c>
      <c r="C3" s="26" t="s">
        <v>20</v>
      </c>
      <c r="D3" s="25" t="s">
        <v>29</v>
      </c>
      <c r="E3" s="27">
        <v>2</v>
      </c>
      <c r="F3" s="27"/>
      <c r="G3" s="13"/>
    </row>
    <row r="4" ht="31" customHeight="1" spans="1:7">
      <c r="A4" s="28"/>
      <c r="B4" s="9">
        <v>46100</v>
      </c>
      <c r="C4" s="26" t="s">
        <v>20</v>
      </c>
      <c r="D4" s="28" t="s">
        <v>30</v>
      </c>
      <c r="E4" s="29">
        <v>1</v>
      </c>
      <c r="F4" s="29"/>
      <c r="G4" s="28"/>
    </row>
    <row r="5" ht="29" customHeight="1" spans="1:7">
      <c r="A5" s="28"/>
      <c r="B5" s="28"/>
      <c r="C5" s="28"/>
      <c r="D5" s="28"/>
      <c r="E5" s="29">
        <f>SUM(E3:E4)</f>
        <v>3</v>
      </c>
      <c r="F5" s="29">
        <f>SUM(F3:F3)</f>
        <v>0</v>
      </c>
      <c r="G5" s="28"/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C2" sqref="C$1:C$1048576"/>
    </sheetView>
  </sheetViews>
  <sheetFormatPr defaultColWidth="9" defaultRowHeight="13.5" outlineLevelRow="3" outlineLevelCol="6"/>
  <cols>
    <col min="1" max="2" width="10.125" customWidth="1"/>
    <col min="3" max="3" width="12.5" customWidth="1"/>
    <col min="4" max="7" width="10.125" customWidth="1"/>
  </cols>
  <sheetData>
    <row r="1" ht="23" customHeight="1" spans="1:7">
      <c r="A1" s="1" t="s">
        <v>21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22</v>
      </c>
      <c r="C2" s="5" t="s">
        <v>23</v>
      </c>
      <c r="D2" s="6" t="s">
        <v>24</v>
      </c>
      <c r="E2" s="7" t="s">
        <v>25</v>
      </c>
      <c r="F2" s="7" t="s">
        <v>26</v>
      </c>
      <c r="G2" s="7" t="s">
        <v>27</v>
      </c>
    </row>
    <row r="3" ht="23" customHeight="1" spans="1:7">
      <c r="A3" s="8">
        <v>1</v>
      </c>
      <c r="B3" s="9">
        <v>46090</v>
      </c>
      <c r="C3" s="10" t="s">
        <v>20</v>
      </c>
      <c r="D3" s="11" t="s">
        <v>28</v>
      </c>
      <c r="E3" s="12">
        <v>3</v>
      </c>
      <c r="F3" s="12"/>
      <c r="G3" s="13"/>
    </row>
    <row r="4" spans="1:7">
      <c r="A4" s="14"/>
      <c r="B4" s="14"/>
      <c r="C4" s="14"/>
      <c r="D4" s="14"/>
      <c r="E4" s="15">
        <f>SUM(E3:E3)</f>
        <v>3</v>
      </c>
      <c r="F4" s="15">
        <f>SUM(F3:F3)</f>
        <v>0</v>
      </c>
      <c r="G4" s="14"/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E9" sqref="E9"/>
    </sheetView>
  </sheetViews>
  <sheetFormatPr defaultColWidth="8" defaultRowHeight="13.5" outlineLevelRow="4"/>
  <cols>
    <col min="1" max="1" width="10.625" style="14" customWidth="1"/>
    <col min="2" max="2" width="12.625" style="14" customWidth="1"/>
    <col min="3" max="3" width="15.25" style="14" customWidth="1"/>
    <col min="4" max="6" width="10.625" style="14" customWidth="1"/>
    <col min="7" max="7" width="22.125" style="14" customWidth="1"/>
    <col min="8" max="16384" width="8" style="14"/>
  </cols>
  <sheetData>
    <row r="1" s="14" customFormat="1" ht="38" customHeight="1" spans="1:15">
      <c r="A1" s="1" t="s">
        <v>21</v>
      </c>
      <c r="B1" s="1"/>
      <c r="C1" s="1"/>
      <c r="D1" s="2"/>
      <c r="E1" s="2"/>
      <c r="F1" s="3"/>
      <c r="G1" s="4"/>
      <c r="I1" s="4"/>
      <c r="J1" s="4"/>
      <c r="K1" s="4"/>
      <c r="L1" s="4"/>
      <c r="M1" s="4"/>
      <c r="N1" s="4"/>
      <c r="O1" s="4"/>
    </row>
    <row r="2" s="17" customFormat="1" ht="32" customHeight="1" spans="1:15">
      <c r="A2" s="5" t="s">
        <v>2</v>
      </c>
      <c r="B2" s="5" t="s">
        <v>22</v>
      </c>
      <c r="C2" s="5" t="s">
        <v>23</v>
      </c>
      <c r="D2" s="6" t="s">
        <v>24</v>
      </c>
      <c r="E2" s="7" t="s">
        <v>25</v>
      </c>
      <c r="F2" s="7" t="s">
        <v>26</v>
      </c>
      <c r="G2" s="7" t="s">
        <v>27</v>
      </c>
      <c r="I2" s="18"/>
      <c r="J2" s="18"/>
      <c r="K2" s="18"/>
      <c r="L2" s="18"/>
      <c r="M2" s="18"/>
      <c r="N2" s="18"/>
      <c r="O2" s="18"/>
    </row>
    <row r="3" s="14" customFormat="1" ht="22" customHeight="1" spans="1:15">
      <c r="A3" s="8">
        <v>1</v>
      </c>
      <c r="B3" s="9">
        <v>46107</v>
      </c>
      <c r="C3" s="10" t="s">
        <v>20</v>
      </c>
      <c r="D3" s="11" t="s">
        <v>29</v>
      </c>
      <c r="E3" s="12">
        <v>2</v>
      </c>
      <c r="F3" s="12"/>
      <c r="G3" s="13"/>
      <c r="I3" s="19"/>
      <c r="J3" s="20"/>
      <c r="K3" s="21"/>
      <c r="L3" s="19"/>
      <c r="M3" s="22"/>
      <c r="N3" s="22"/>
      <c r="O3" s="23"/>
    </row>
    <row r="4" s="14" customFormat="1" spans="1:15">
      <c r="E4" s="15"/>
      <c r="F4" s="15"/>
    </row>
    <row r="5" s="14" customFormat="1" spans="1:15">
      <c r="E5" s="15">
        <f>SUM(E3:E3)</f>
        <v>2</v>
      </c>
      <c r="F5" s="15">
        <f>SUM(F3:F3)</f>
        <v>0</v>
      </c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N12" sqref="N12"/>
    </sheetView>
  </sheetViews>
  <sheetFormatPr defaultColWidth="9" defaultRowHeight="13.5" outlineLevelRow="3" outlineLevelCol="6"/>
  <cols>
    <col min="1" max="2" width="10.125" customWidth="1"/>
    <col min="3" max="3" width="12.5" customWidth="1"/>
    <col min="4" max="7" width="10.125" customWidth="1"/>
  </cols>
  <sheetData>
    <row r="1" ht="23" customHeight="1" spans="1:7">
      <c r="A1" s="1" t="s">
        <v>21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22</v>
      </c>
      <c r="C2" s="5" t="s">
        <v>23</v>
      </c>
      <c r="D2" s="6" t="s">
        <v>24</v>
      </c>
      <c r="E2" s="7" t="s">
        <v>25</v>
      </c>
      <c r="F2" s="7" t="s">
        <v>26</v>
      </c>
      <c r="G2" s="7" t="s">
        <v>27</v>
      </c>
    </row>
    <row r="3" ht="23" customHeight="1" spans="1:7">
      <c r="A3" s="8">
        <v>1</v>
      </c>
      <c r="B3" s="9">
        <v>46111</v>
      </c>
      <c r="C3" s="10" t="s">
        <v>20</v>
      </c>
      <c r="D3" s="11" t="s">
        <v>28</v>
      </c>
      <c r="E3" s="12">
        <v>5</v>
      </c>
      <c r="F3" s="12"/>
      <c r="G3" s="13"/>
    </row>
    <row r="4" spans="1:7">
      <c r="A4" s="14"/>
      <c r="B4" s="14"/>
      <c r="C4" s="14"/>
      <c r="D4" s="14"/>
      <c r="E4" s="15">
        <f>SUM(E3:E3)</f>
        <v>5</v>
      </c>
      <c r="F4" s="15">
        <f>SUM(F3:F3)</f>
        <v>0</v>
      </c>
      <c r="G4" s="14"/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I40" sqref="I40"/>
    </sheetView>
  </sheetViews>
  <sheetFormatPr defaultColWidth="9" defaultRowHeight="13.5" outlineLevelRow="3" outlineLevelCol="6"/>
  <cols>
    <col min="1" max="2" width="10.125" customWidth="1"/>
    <col min="3" max="3" width="12.5" customWidth="1"/>
    <col min="4" max="7" width="10.125" customWidth="1"/>
  </cols>
  <sheetData>
    <row r="1" ht="23" customHeight="1" spans="1:7">
      <c r="A1" s="1" t="s">
        <v>21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22</v>
      </c>
      <c r="C2" s="5" t="s">
        <v>23</v>
      </c>
      <c r="D2" s="6" t="s">
        <v>24</v>
      </c>
      <c r="E2" s="7" t="s">
        <v>25</v>
      </c>
      <c r="F2" s="7" t="s">
        <v>26</v>
      </c>
      <c r="G2" s="7" t="s">
        <v>27</v>
      </c>
    </row>
    <row r="3" ht="23" customHeight="1" spans="1:7">
      <c r="A3" s="8">
        <v>1</v>
      </c>
      <c r="B3" s="9">
        <v>46119</v>
      </c>
      <c r="C3" s="10" t="s">
        <v>20</v>
      </c>
      <c r="D3" s="11" t="s">
        <v>31</v>
      </c>
      <c r="E3" s="12">
        <v>4</v>
      </c>
      <c r="F3" s="12"/>
      <c r="G3" s="13"/>
    </row>
    <row r="4" spans="1:7">
      <c r="A4" s="14"/>
      <c r="B4" s="14"/>
      <c r="C4" s="14"/>
      <c r="D4" s="14"/>
      <c r="E4" s="15">
        <f>SUM(E3:E3)</f>
        <v>4</v>
      </c>
      <c r="F4" s="15">
        <f>SUM(F3:F3)</f>
        <v>0</v>
      </c>
      <c r="G4" s="14"/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L36" sqref="L36"/>
    </sheetView>
  </sheetViews>
  <sheetFormatPr defaultColWidth="9" defaultRowHeight="13.5" outlineLevelRow="3" outlineLevelCol="6"/>
  <cols>
    <col min="1" max="2" width="10.125" customWidth="1"/>
    <col min="3" max="3" width="12.5" customWidth="1"/>
    <col min="4" max="7" width="10.125" customWidth="1"/>
  </cols>
  <sheetData>
    <row r="1" ht="23" customHeight="1" spans="1:7">
      <c r="A1" s="1" t="s">
        <v>21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22</v>
      </c>
      <c r="C2" s="5" t="s">
        <v>23</v>
      </c>
      <c r="D2" s="6" t="s">
        <v>24</v>
      </c>
      <c r="E2" s="7" t="s">
        <v>25</v>
      </c>
      <c r="F2" s="7" t="s">
        <v>26</v>
      </c>
      <c r="G2" s="7" t="s">
        <v>27</v>
      </c>
    </row>
    <row r="3" ht="23" customHeight="1" spans="1:7">
      <c r="A3" s="8">
        <v>1</v>
      </c>
      <c r="B3" s="9">
        <v>46125</v>
      </c>
      <c r="C3" s="10" t="s">
        <v>20</v>
      </c>
      <c r="D3" s="11" t="s">
        <v>32</v>
      </c>
      <c r="E3" s="12">
        <v>5</v>
      </c>
      <c r="F3" s="12"/>
      <c r="G3" s="13"/>
    </row>
    <row r="4" spans="1:7">
      <c r="A4" s="14"/>
      <c r="B4" s="14"/>
      <c r="C4" s="14"/>
      <c r="D4" s="14"/>
      <c r="E4" s="15">
        <f>SUM(E3:E3)</f>
        <v>5</v>
      </c>
      <c r="F4" s="15">
        <f>SUM(F3:F3)</f>
        <v>0</v>
      </c>
      <c r="G4" s="14"/>
    </row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8" sqref="G8"/>
    </sheetView>
  </sheetViews>
  <sheetFormatPr defaultColWidth="9" defaultRowHeight="13.5" outlineLevelRow="3" outlineLevelCol="6"/>
  <cols>
    <col min="1" max="2" width="10.125" customWidth="1"/>
    <col min="3" max="3" width="12.5" customWidth="1"/>
    <col min="4" max="6" width="10.125" customWidth="1"/>
    <col min="7" max="7" width="23.625" customWidth="1"/>
  </cols>
  <sheetData>
    <row r="1" ht="23" customHeight="1" spans="1:7">
      <c r="A1" s="1" t="s">
        <v>21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22</v>
      </c>
      <c r="C2" s="5" t="s">
        <v>23</v>
      </c>
      <c r="D2" s="6" t="s">
        <v>24</v>
      </c>
      <c r="E2" s="7" t="s">
        <v>25</v>
      </c>
      <c r="F2" s="7" t="s">
        <v>26</v>
      </c>
      <c r="G2" s="7" t="s">
        <v>27</v>
      </c>
    </row>
    <row r="3" ht="23" customHeight="1" spans="1:7">
      <c r="A3" s="8">
        <v>1</v>
      </c>
      <c r="B3" s="9">
        <v>46132</v>
      </c>
      <c r="C3" s="10" t="s">
        <v>20</v>
      </c>
      <c r="D3" s="11" t="s">
        <v>32</v>
      </c>
      <c r="E3" s="12">
        <v>0</v>
      </c>
      <c r="F3" s="12"/>
      <c r="G3" s="13" t="s">
        <v>33</v>
      </c>
    </row>
    <row r="4" spans="1:7">
      <c r="A4" s="14"/>
      <c r="B4" s="14"/>
      <c r="C4" s="14"/>
      <c r="D4" s="14"/>
      <c r="E4" s="16">
        <f>SUM(E3:E3)</f>
        <v>0</v>
      </c>
      <c r="F4" s="15">
        <f>SUM(F3:F3)</f>
        <v>0</v>
      </c>
      <c r="G4" s="14"/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E3" sqref="E3"/>
    </sheetView>
  </sheetViews>
  <sheetFormatPr defaultColWidth="9" defaultRowHeight="13.5" outlineLevelRow="3" outlineLevelCol="6"/>
  <cols>
    <col min="1" max="2" width="10.125" customWidth="1"/>
    <col min="3" max="3" width="12.5" customWidth="1"/>
    <col min="4" max="7" width="10.125" customWidth="1"/>
  </cols>
  <sheetData>
    <row r="1" ht="23" customHeight="1" spans="1:7">
      <c r="A1" s="1" t="s">
        <v>21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22</v>
      </c>
      <c r="C2" s="5" t="s">
        <v>23</v>
      </c>
      <c r="D2" s="6" t="s">
        <v>24</v>
      </c>
      <c r="E2" s="7" t="s">
        <v>25</v>
      </c>
      <c r="F2" s="7" t="s">
        <v>26</v>
      </c>
      <c r="G2" s="7" t="s">
        <v>27</v>
      </c>
    </row>
    <row r="3" ht="23" customHeight="1" spans="1:7">
      <c r="A3" s="8">
        <v>1</v>
      </c>
      <c r="B3" s="9">
        <v>46139</v>
      </c>
      <c r="C3" s="10" t="s">
        <v>20</v>
      </c>
      <c r="D3" s="11" t="s">
        <v>32</v>
      </c>
      <c r="E3" s="12">
        <v>0</v>
      </c>
      <c r="F3" s="12"/>
      <c r="G3" s="13" t="s">
        <v>34</v>
      </c>
    </row>
    <row r="4" spans="1:7">
      <c r="A4" s="14"/>
      <c r="B4" s="14"/>
      <c r="C4" s="14"/>
      <c r="D4" s="14"/>
      <c r="E4" s="15">
        <f>SUM(E3:E3)</f>
        <v>0</v>
      </c>
      <c r="F4" s="15">
        <f>SUM(F3:F3)</f>
        <v>0</v>
      </c>
      <c r="G4" s="14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汇总表</vt:lpstr>
      <vt:lpstr>3.9</vt:lpstr>
      <vt:lpstr>3.12</vt:lpstr>
      <vt:lpstr>3.16</vt:lpstr>
      <vt:lpstr>3.19</vt:lpstr>
      <vt:lpstr>3.23</vt:lpstr>
      <vt:lpstr>3.26</vt:lpstr>
      <vt:lpstr>3.30</vt:lpstr>
      <vt:lpstr>4.7</vt:lpstr>
      <vt:lpstr>4.13</vt:lpstr>
      <vt:lpstr>4.20</vt:lpstr>
      <vt:lpstr>4.27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2026-04-20T07:19:30Z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FE641126C7CD4EC59203DD2D84072338_13</vt:lpwstr>
  </property>
  <property fmtid="{D5CDD505-2E9C-101B-9397-08002B2CF9AE}" pid="4" name="CalculationRule">
    <vt:i4>0</vt:i4>
  </property>
</Properties>
</file>