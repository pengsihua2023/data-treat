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80" windowHeight="12375" firstSheet="1" activeTab="5"/>
  </bookViews>
  <sheets>
    <sheet name="Sheet2" sheetId="2" r:id="rId1"/>
    <sheet name="配送汇总" sheetId="1" r:id="rId2"/>
    <sheet name="4.13" sheetId="3" r:id="rId3"/>
    <sheet name="4.16" sheetId="4" r:id="rId4"/>
    <sheet name="4.20" sheetId="5" r:id="rId5"/>
    <sheet name="4.23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<sst xmlns="http://schemas.openxmlformats.org/spreadsheetml/2006/main" count="133" uniqueCount="40">
  <si>
    <t>2026春季英红镇中心幼儿园教职工巴氏鲜奶补贴订购申请表（20份起送，特殊申请除外</t>
  </si>
  <si>
    <t>本学期订购一份赠送1本笔记本+1支花梨木圆珠笔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</si>
  <si>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</si>
  <si>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</si>
  <si>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</si>
  <si>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</si>
  <si>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</si>
  <si>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</si>
  <si>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</si>
  <si>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</si>
  <si>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</si>
  <si>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</si>
  <si>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</si>
  <si>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张春伟</t>
  </si>
  <si>
    <t>√</t>
  </si>
  <si>
    <t>吴育红</t>
  </si>
  <si>
    <t>英红中心幼儿园领取表</t>
  </si>
  <si>
    <t>学校</t>
  </si>
  <si>
    <t>征订情况</t>
  </si>
  <si>
    <t>总共</t>
  </si>
  <si>
    <t>未送</t>
  </si>
  <si>
    <t>吴园老师</t>
  </si>
  <si>
    <t>学生/邓陆煊</t>
  </si>
  <si>
    <t>王梓航</t>
  </si>
  <si>
    <t>邓陆煊</t>
  </si>
  <si>
    <t>张春伟 鲜奶</t>
  </si>
  <si>
    <t>吴育红 鲜酸奶</t>
  </si>
  <si>
    <t>注：吴育红 鲜酸各半，鲜1酸2</t>
  </si>
  <si>
    <t>鲜</t>
  </si>
  <si>
    <t>酸</t>
  </si>
  <si>
    <t>英红中心幼儿园</t>
  </si>
  <si>
    <t>配送日期</t>
  </si>
  <si>
    <t>配送天数</t>
  </si>
  <si>
    <t>3天</t>
  </si>
  <si>
    <t>王梓航学生</t>
  </si>
  <si>
    <t xml:space="preserve"> 鲜酸各半，鲜1酸2</t>
  </si>
  <si>
    <r>
      <rPr>
        <b/>
        <sz val="12"/>
        <color theme="1"/>
        <rFont val="宋体"/>
        <charset val="134"/>
        <scheme val="minor"/>
      </rPr>
      <t>英红中心幼儿园</t>
    </r>
    <r>
      <rPr>
        <b/>
        <sz val="12"/>
        <color rgb="FFFF0000"/>
        <rFont val="宋体"/>
        <charset val="134"/>
        <scheme val="minor"/>
      </rPr>
      <t>教职工</t>
    </r>
    <r>
      <rPr>
        <b/>
        <sz val="12"/>
        <color theme="1"/>
        <rFont val="宋体"/>
        <charset val="134"/>
        <scheme val="minor"/>
      </rPr>
      <t>鲜奶订购表</t>
    </r>
  </si>
  <si>
    <t>4天</t>
  </si>
  <si>
    <r>
      <rPr>
        <b/>
        <sz val="12"/>
        <color theme="1"/>
        <rFont val="宋体"/>
        <charset val="134"/>
        <scheme val="minor"/>
      </rPr>
      <t>英红中心幼儿园</t>
    </r>
    <r>
      <rPr>
        <b/>
        <sz val="12"/>
        <color rgb="FFFF0000"/>
        <rFont val="宋体"/>
        <charset val="134"/>
        <scheme val="minor"/>
      </rPr>
      <t>学生</t>
    </r>
    <r>
      <rPr>
        <b/>
        <sz val="12"/>
        <color theme="1"/>
        <rFont val="宋体"/>
        <charset val="134"/>
        <scheme val="minor"/>
      </rPr>
      <t>鲜奶订购表</t>
    </r>
  </si>
  <si>
    <t>2天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</si>
</sst>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sz val="10"/>
      <name val="宋体"/>
      <charset val="134"/>
      <scheme val="minor"/>
    </font>
    <font>
      <sz val="9"/>
      <name val="宋体"/>
      <charset val="134"/>
    </font>
    <font>
      <sz val="11"/>
      <name val="宋体"/>
      <charset val="134"/>
    </font>
    <font>
      <b/>
      <sz val="14"/>
      <name val="宋体"/>
      <charset val="134"/>
    </font>
    <font>
      <sz val="10"/>
      <name val="宋体"/>
      <charset val="134"/>
    </font>
    <font>
      <sz val="11"/>
      <color rgb="FFFF0000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12" applyNumberFormat="0" applyAlignment="0" applyProtection="0">
      <alignment vertical="center"/>
    </xf>
    <xf numFmtId="0" fontId="27" fillId="5" borderId="13" applyNumberFormat="0" applyAlignment="0" applyProtection="0">
      <alignment vertical="center"/>
    </xf>
    <xf numFmtId="0" fontId="28" fillId="5" borderId="12" applyNumberFormat="0" applyAlignment="0" applyProtection="0">
      <alignment vertical="center"/>
    </xf>
    <xf numFmtId="0" fontId="29" fillId="6" borderId="14" applyNumberFormat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58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58" fontId="0" fillId="0" borderId="0" xfId="0" applyNumberForma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8" fillId="0" borderId="0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1" fillId="0" borderId="0" xfId="0" applyNumberFormat="1" applyFont="1" applyFill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58" fontId="9" fillId="0" borderId="1" xfId="0" applyNumberFormat="1" applyFont="1" applyFill="1" applyBorder="1" applyAlignment="1">
      <alignment horizontal="center" vertical="center"/>
    </xf>
    <xf numFmtId="58" fontId="9" fillId="0" borderId="1" xfId="0" applyNumberFormat="1" applyFont="1" applyFill="1" applyBorder="1" applyAlignment="1">
      <alignment horizontal="right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1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12</xdr:col>
      <xdr:colOff>279400</xdr:colOff>
      <xdr:row>21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57850" y="514350"/>
          <a:ext cx="3022600" cy="3810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D5" sqref="D5:E6"/>
    </sheetView>
  </sheetViews>
  <sheetFormatPr defaultColWidth="9" defaultRowHeight="13.5"/>
  <cols>
    <col min="3" max="3" width="11.25" customWidth="1"/>
  </cols>
  <sheetData>
    <row r="1" ht="20.25" customHeight="1" spans="1:25">
      <c r="A1" s="40" t="s">
        <v>0</v>
      </c>
      <c r="B1" s="40"/>
      <c r="C1" s="40"/>
      <c r="D1" s="40"/>
      <c r="E1" s="40"/>
      <c r="F1" s="40"/>
      <c r="G1" s="40"/>
      <c r="H1" s="40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 ht="20.25" customHeight="1" spans="1:25">
      <c r="A2" s="42" t="s">
        <v>1</v>
      </c>
      <c r="B2" s="42"/>
      <c r="C2" s="42"/>
      <c r="D2" s="42"/>
      <c r="E2" s="42"/>
      <c r="F2" s="42"/>
      <c r="G2" s="42"/>
      <c r="H2" s="42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 customHeight="1" spans="1:25">
      <c r="A3" s="43" t="s">
        <v>2</v>
      </c>
      <c r="B3" s="43" t="s">
        <v>3</v>
      </c>
      <c r="C3" s="43" t="s">
        <v>4</v>
      </c>
      <c r="D3" s="44" t="s">
        <v>5</v>
      </c>
      <c r="E3" s="44"/>
      <c r="F3" s="44" t="s">
        <v>6</v>
      </c>
      <c r="G3" s="44"/>
      <c r="H3" s="43" t="s">
        <v>7</v>
      </c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 ht="54" spans="1:25">
      <c r="A4" s="43"/>
      <c r="B4" s="43"/>
      <c r="C4" s="43"/>
      <c r="D4" s="45" t="s">
        <v>8</v>
      </c>
      <c r="E4" s="45" t="s">
        <v>9</v>
      </c>
      <c r="F4" s="45" t="s">
        <v>10</v>
      </c>
      <c r="G4" s="45" t="s">
        <v>11</v>
      </c>
      <c r="H4" s="46" t="s">
        <v>12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</row>
    <row r="5" spans="1:25">
      <c r="A5" s="10">
        <v>1</v>
      </c>
      <c r="B5" s="10" t="s">
        <v>13</v>
      </c>
      <c r="C5" s="10">
        <v>18165697737</v>
      </c>
      <c r="D5" s="10" t="s">
        <v>14</v>
      </c>
      <c r="E5" s="10"/>
      <c r="F5" s="10">
        <v>350</v>
      </c>
      <c r="G5" s="10">
        <v>210</v>
      </c>
      <c r="H5" s="10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 spans="1:25">
      <c r="A6" s="10">
        <v>2</v>
      </c>
      <c r="B6" s="10" t="s">
        <v>15</v>
      </c>
      <c r="C6" s="10">
        <v>15816278930</v>
      </c>
      <c r="D6" s="10" t="s">
        <v>14</v>
      </c>
      <c r="E6" s="10" t="s">
        <v>14</v>
      </c>
      <c r="F6" s="10">
        <v>350</v>
      </c>
      <c r="G6" s="10">
        <v>210</v>
      </c>
      <c r="H6" s="10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 spans="1:25">
      <c r="A7" s="10">
        <v>3</v>
      </c>
      <c r="B7" s="10"/>
      <c r="C7" s="10"/>
      <c r="D7" s="10"/>
      <c r="E7" s="10"/>
      <c r="F7" s="10">
        <v>350</v>
      </c>
      <c r="G7" s="10">
        <v>210</v>
      </c>
      <c r="H7" s="10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</row>
    <row r="8" spans="1:25">
      <c r="A8" s="10">
        <v>4</v>
      </c>
      <c r="B8" s="10"/>
      <c r="C8" s="10"/>
      <c r="D8" s="10"/>
      <c r="E8" s="10"/>
      <c r="F8" s="10">
        <v>350</v>
      </c>
      <c r="G8" s="10">
        <v>210</v>
      </c>
      <c r="H8" s="10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</row>
    <row r="9" spans="1:25">
      <c r="A9" s="10">
        <v>5</v>
      </c>
      <c r="B9" s="10"/>
      <c r="C9" s="10"/>
      <c r="D9" s="10"/>
      <c r="E9" s="10"/>
      <c r="F9" s="10">
        <v>350</v>
      </c>
      <c r="G9" s="10">
        <v>210</v>
      </c>
      <c r="H9" s="10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</row>
    <row r="10" spans="1:25">
      <c r="A10" s="10">
        <v>6</v>
      </c>
      <c r="B10" s="10"/>
      <c r="C10" s="10"/>
      <c r="D10" s="10"/>
      <c r="E10" s="10"/>
      <c r="F10" s="10">
        <v>350</v>
      </c>
      <c r="G10" s="10">
        <v>210</v>
      </c>
      <c r="H10" s="10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</row>
    <row r="11" spans="1:25">
      <c r="A11" s="10">
        <v>7</v>
      </c>
      <c r="B11" s="10"/>
      <c r="C11" s="10"/>
      <c r="D11" s="10"/>
      <c r="E11" s="10"/>
      <c r="F11" s="10">
        <v>350</v>
      </c>
      <c r="G11" s="10">
        <v>210</v>
      </c>
      <c r="H11" s="10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</row>
    <row r="12" spans="1:25">
      <c r="A12" s="10">
        <v>8</v>
      </c>
      <c r="B12" s="10"/>
      <c r="C12" s="10"/>
      <c r="D12" s="10"/>
      <c r="E12" s="10"/>
      <c r="F12" s="10">
        <v>350</v>
      </c>
      <c r="G12" s="10">
        <v>210</v>
      </c>
      <c r="H12" s="10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 spans="1:25">
      <c r="A13" s="10">
        <v>9</v>
      </c>
      <c r="B13" s="10"/>
      <c r="C13" s="10"/>
      <c r="D13" s="10"/>
      <c r="E13" s="10"/>
      <c r="F13" s="10">
        <v>350</v>
      </c>
      <c r="G13" s="10">
        <v>210</v>
      </c>
      <c r="H13" s="10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 spans="1:25">
      <c r="A14" s="10">
        <v>10</v>
      </c>
      <c r="B14" s="10"/>
      <c r="C14" s="10"/>
      <c r="D14" s="10"/>
      <c r="E14" s="10"/>
      <c r="F14" s="10">
        <v>350</v>
      </c>
      <c r="G14" s="10">
        <v>210</v>
      </c>
      <c r="H14" s="10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 spans="1:25">
      <c r="A15" s="10">
        <v>11</v>
      </c>
      <c r="B15" s="10"/>
      <c r="C15" s="10"/>
      <c r="D15" s="10"/>
      <c r="E15" s="10"/>
      <c r="F15" s="10">
        <v>350</v>
      </c>
      <c r="G15" s="10">
        <v>210</v>
      </c>
      <c r="H15" s="10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 spans="1:25">
      <c r="A16" s="10">
        <v>12</v>
      </c>
      <c r="B16" s="10"/>
      <c r="C16" s="10"/>
      <c r="D16" s="10"/>
      <c r="E16" s="10"/>
      <c r="F16" s="10">
        <v>350</v>
      </c>
      <c r="G16" s="10">
        <v>210</v>
      </c>
      <c r="H16" s="10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 spans="1:25">
      <c r="A17" s="10">
        <v>13</v>
      </c>
      <c r="B17" s="10"/>
      <c r="C17" s="10"/>
      <c r="D17" s="10"/>
      <c r="E17" s="10"/>
      <c r="F17" s="10">
        <v>350</v>
      </c>
      <c r="G17" s="10">
        <v>210</v>
      </c>
      <c r="H17" s="10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</row>
    <row r="18" spans="1:25">
      <c r="A18" s="10">
        <v>14</v>
      </c>
      <c r="B18" s="10"/>
      <c r="C18" s="10"/>
      <c r="D18" s="10"/>
      <c r="E18" s="10"/>
      <c r="F18" s="10">
        <v>350</v>
      </c>
      <c r="G18" s="10">
        <v>210</v>
      </c>
      <c r="H18" s="10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 spans="1:25">
      <c r="A19" s="10">
        <v>15</v>
      </c>
      <c r="B19" s="10"/>
      <c r="C19" s="10"/>
      <c r="D19" s="10"/>
      <c r="E19" s="10"/>
      <c r="F19" s="10">
        <v>350</v>
      </c>
      <c r="G19" s="10">
        <v>210</v>
      </c>
      <c r="H19" s="10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</row>
    <row r="20" spans="1:25">
      <c r="A20" s="10">
        <v>16</v>
      </c>
      <c r="B20" s="10"/>
      <c r="C20" s="10"/>
      <c r="D20" s="10"/>
      <c r="E20" s="10"/>
      <c r="F20" s="10">
        <v>350</v>
      </c>
      <c r="G20" s="10">
        <v>210</v>
      </c>
      <c r="H20" s="10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 spans="1:25">
      <c r="A21" s="10">
        <v>17</v>
      </c>
      <c r="B21" s="10"/>
      <c r="C21" s="10"/>
      <c r="D21" s="10"/>
      <c r="E21" s="47"/>
      <c r="F21" s="10">
        <v>350</v>
      </c>
      <c r="G21" s="10">
        <v>210</v>
      </c>
      <c r="H21" s="10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</row>
    <row r="22" spans="1:25">
      <c r="A22" s="10">
        <v>18</v>
      </c>
      <c r="B22" s="10"/>
      <c r="C22" s="10"/>
      <c r="D22" s="10"/>
      <c r="E22" s="10"/>
      <c r="F22" s="10">
        <v>350</v>
      </c>
      <c r="G22" s="10">
        <v>210</v>
      </c>
      <c r="H22" s="10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 spans="1:25">
      <c r="A23" s="10">
        <v>19</v>
      </c>
      <c r="B23" s="10"/>
      <c r="C23" s="10"/>
      <c r="D23" s="10"/>
      <c r="E23" s="10"/>
      <c r="F23" s="10">
        <v>350</v>
      </c>
      <c r="G23" s="10">
        <v>210</v>
      </c>
      <c r="H23" s="10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 spans="1:25">
      <c r="A24" s="10">
        <v>20</v>
      </c>
      <c r="B24" s="10"/>
      <c r="C24" s="10"/>
      <c r="D24" s="10"/>
      <c r="E24" s="10"/>
      <c r="F24" s="10">
        <v>350</v>
      </c>
      <c r="G24" s="10">
        <v>210</v>
      </c>
      <c r="H24" s="10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 spans="1:25">
      <c r="A25" s="10">
        <v>21</v>
      </c>
      <c r="B25" s="10"/>
      <c r="C25" s="10"/>
      <c r="D25" s="10"/>
      <c r="E25" s="10"/>
      <c r="F25" s="10">
        <v>350</v>
      </c>
      <c r="G25" s="10">
        <v>210</v>
      </c>
      <c r="H25" s="10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 spans="1:25">
      <c r="A26" s="10">
        <v>22</v>
      </c>
      <c r="B26" s="10"/>
      <c r="C26" s="10"/>
      <c r="D26" s="10"/>
      <c r="E26" s="10"/>
      <c r="F26" s="10">
        <v>350</v>
      </c>
      <c r="G26" s="10">
        <v>210</v>
      </c>
      <c r="H26" s="10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</row>
    <row r="27" spans="1:25">
      <c r="A27" s="10">
        <v>23</v>
      </c>
      <c r="B27" s="10"/>
      <c r="C27" s="10"/>
      <c r="D27" s="10"/>
      <c r="E27" s="10"/>
      <c r="F27" s="10">
        <v>350</v>
      </c>
      <c r="G27" s="10">
        <v>210</v>
      </c>
      <c r="H27" s="10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 spans="1:25">
      <c r="A28" s="10">
        <v>24</v>
      </c>
      <c r="B28" s="10"/>
      <c r="C28" s="10"/>
      <c r="D28" s="10"/>
      <c r="E28" s="10"/>
      <c r="F28" s="10">
        <v>350</v>
      </c>
      <c r="G28" s="10">
        <v>210</v>
      </c>
      <c r="H28" s="10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</row>
    <row r="29" spans="1:25">
      <c r="A29" s="10">
        <v>31</v>
      </c>
      <c r="B29" s="10"/>
      <c r="C29" s="10"/>
      <c r="D29" s="10"/>
      <c r="E29" s="10"/>
      <c r="F29" s="10">
        <v>350</v>
      </c>
      <c r="G29" s="10">
        <v>210</v>
      </c>
      <c r="H29" s="10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 spans="1:25">
      <c r="A30" s="10">
        <v>32</v>
      </c>
      <c r="B30" s="10"/>
      <c r="C30" s="10"/>
      <c r="D30" s="10"/>
      <c r="E30" s="10"/>
      <c r="F30" s="10">
        <v>350</v>
      </c>
      <c r="G30" s="10">
        <v>210</v>
      </c>
      <c r="H30" s="10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 spans="1:25">
      <c r="A31" s="10">
        <v>33</v>
      </c>
      <c r="B31" s="10"/>
      <c r="C31" s="10"/>
      <c r="D31" s="10"/>
      <c r="E31" s="10"/>
      <c r="F31" s="10">
        <v>350</v>
      </c>
      <c r="G31" s="10">
        <v>210</v>
      </c>
      <c r="H31" s="10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 spans="1:25">
      <c r="A32" s="10">
        <v>34</v>
      </c>
      <c r="B32" s="10"/>
      <c r="C32" s="10"/>
      <c r="D32" s="10"/>
      <c r="E32" s="10"/>
      <c r="F32" s="10">
        <v>350</v>
      </c>
      <c r="G32" s="10">
        <v>210</v>
      </c>
      <c r="H32" s="10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 spans="1:25">
      <c r="A33" s="10">
        <v>35</v>
      </c>
      <c r="B33" s="10"/>
      <c r="C33" s="10"/>
      <c r="D33" s="10"/>
      <c r="E33" s="10"/>
      <c r="F33" s="10">
        <v>350</v>
      </c>
      <c r="G33" s="10">
        <v>210</v>
      </c>
      <c r="H33" s="10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 spans="1:25">
      <c r="A34" s="10">
        <v>36</v>
      </c>
      <c r="B34" s="10"/>
      <c r="C34" s="10"/>
      <c r="D34" s="10"/>
      <c r="E34" s="10"/>
      <c r="F34" s="10">
        <v>350</v>
      </c>
      <c r="G34" s="10">
        <v>210</v>
      </c>
      <c r="H34" s="10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 spans="1:25">
      <c r="A35" s="10">
        <v>37</v>
      </c>
      <c r="B35" s="10"/>
      <c r="C35" s="10"/>
      <c r="D35" s="10"/>
      <c r="E35" s="10"/>
      <c r="F35" s="10">
        <v>350</v>
      </c>
      <c r="G35" s="10">
        <v>210</v>
      </c>
      <c r="H35" s="10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 spans="1:25">
      <c r="A36" s="10">
        <v>38</v>
      </c>
      <c r="B36" s="10"/>
      <c r="C36" s="10"/>
      <c r="D36" s="10"/>
      <c r="E36" s="10"/>
      <c r="F36" s="10">
        <v>350</v>
      </c>
      <c r="G36" s="10">
        <v>210</v>
      </c>
      <c r="H36" s="10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 spans="1:25">
      <c r="A37" s="10">
        <v>39</v>
      </c>
      <c r="B37" s="10"/>
      <c r="C37" s="10"/>
      <c r="D37" s="10"/>
      <c r="E37" s="10"/>
      <c r="F37" s="10">
        <v>350</v>
      </c>
      <c r="G37" s="10">
        <v>210</v>
      </c>
      <c r="H37" s="10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 spans="1:25">
      <c r="A38" s="10">
        <v>40</v>
      </c>
      <c r="B38" s="10"/>
      <c r="C38" s="10"/>
      <c r="D38" s="10"/>
      <c r="E38" s="10"/>
      <c r="F38" s="10">
        <v>350</v>
      </c>
      <c r="G38" s="10">
        <v>210</v>
      </c>
      <c r="H38" s="10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 spans="1:25">
      <c r="A39" s="10">
        <v>41</v>
      </c>
      <c r="B39" s="10"/>
      <c r="C39" s="10"/>
      <c r="D39" s="10"/>
      <c r="E39" s="10"/>
      <c r="F39" s="10">
        <v>350</v>
      </c>
      <c r="G39" s="10">
        <v>210</v>
      </c>
      <c r="H39" s="10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 spans="1:25">
      <c r="A40" s="10">
        <v>42</v>
      </c>
      <c r="B40" s="10"/>
      <c r="C40" s="10"/>
      <c r="D40" s="10"/>
      <c r="E40" s="10"/>
      <c r="F40" s="10">
        <v>350</v>
      </c>
      <c r="G40" s="10">
        <v>210</v>
      </c>
      <c r="H40" s="10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5">
      <c r="A41" s="10">
        <v>43</v>
      </c>
      <c r="B41" s="10"/>
      <c r="C41" s="10"/>
      <c r="D41" s="10"/>
      <c r="E41" s="10"/>
      <c r="F41" s="10">
        <v>350</v>
      </c>
      <c r="G41" s="10">
        <v>210</v>
      </c>
      <c r="H41" s="10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 spans="1:25">
      <c r="A42" s="10">
        <v>44</v>
      </c>
      <c r="B42" s="10"/>
      <c r="C42" s="10"/>
      <c r="D42" s="10"/>
      <c r="E42" s="10"/>
      <c r="F42" s="10">
        <v>350</v>
      </c>
      <c r="G42" s="10">
        <v>210</v>
      </c>
      <c r="H42" s="10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 spans="1:25">
      <c r="A43" s="10">
        <v>45</v>
      </c>
      <c r="B43" s="10"/>
      <c r="C43" s="10"/>
      <c r="D43" s="10"/>
      <c r="E43" s="10"/>
      <c r="F43" s="10">
        <v>350</v>
      </c>
      <c r="G43" s="10">
        <v>210</v>
      </c>
      <c r="H43" s="10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 spans="1: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 spans="1:2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</row>
    <row r="46" spans="1:25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25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 spans="1:25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</row>
    <row r="49" spans="1:25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</row>
    <row r="50" spans="1:25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</row>
    <row r="51" spans="1:25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</row>
    <row r="52" spans="1:25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 spans="1:25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</row>
    <row r="54" spans="1:25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</row>
    <row r="55" spans="1:2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</row>
    <row r="56" spans="1:25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</row>
    <row r="57" spans="1:25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 spans="1:25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</row>
    <row r="59" spans="1:25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</row>
    <row r="60" spans="1:25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</row>
    <row r="65" spans="1:2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</row>
    <row r="70" spans="1:25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</row>
    <row r="75" spans="1:2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</row>
    <row r="80" spans="1:25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</row>
    <row r="85" spans="1:2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</row>
    <row r="87" spans="1:25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</row>
    <row r="88" spans="1:25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</row>
    <row r="89" spans="1: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</row>
    <row r="90" spans="1: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</row>
    <row r="91" spans="1:25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</row>
    <row r="92" spans="1:25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</row>
    <row r="93" spans="1:25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</row>
    <row r="94" spans="1:25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</row>
    <row r="95" spans="1:2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</row>
    <row r="96" spans="1:25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</row>
    <row r="97" spans="1:25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</row>
    <row r="98" spans="1:25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</row>
    <row r="99" spans="1:25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</row>
    <row r="100" spans="1:25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</row>
    <row r="101" spans="1:25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</row>
    <row r="102" spans="1:25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</row>
    <row r="103" spans="1:25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</row>
    <row r="104" spans="1:25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</row>
    <row r="105" spans="1:2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</row>
    <row r="106" spans="1:25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</row>
    <row r="107" spans="1:25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</row>
    <row r="108" spans="1:25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</row>
    <row r="109" spans="1:25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</row>
    <row r="110" spans="1:25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</row>
    <row r="111" spans="1:25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</row>
    <row r="112" spans="1:25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</row>
    <row r="113" spans="1:25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</row>
    <row r="114" spans="1:25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</row>
    <row r="115" spans="1:2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</row>
    <row r="116" spans="1:25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</row>
    <row r="117" spans="1:25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</row>
    <row r="118" spans="1:25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</row>
    <row r="119" spans="1:25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</row>
    <row r="120" spans="1:25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</row>
    <row r="121" spans="1:25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</row>
    <row r="122" spans="1:25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</row>
    <row r="123" spans="1:25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</row>
    <row r="124" spans="1:25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</row>
    <row r="125" spans="1: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</row>
    <row r="126" spans="1:25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</row>
    <row r="127" spans="1:25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</row>
    <row r="128" spans="1:25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</row>
    <row r="129" spans="1:25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</row>
    <row r="130" spans="1:25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</row>
    <row r="131" spans="1:25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</row>
    <row r="132" spans="1:25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</row>
    <row r="133" spans="1:25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</row>
    <row r="134" spans="1:25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</row>
    <row r="135" spans="1:2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</row>
    <row r="136" spans="1:25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</row>
    <row r="137" spans="1:25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</row>
    <row r="138" spans="1:25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</row>
    <row r="139" spans="1:25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</row>
    <row r="140" spans="1:25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</row>
    <row r="141" spans="1:25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</row>
    <row r="142" spans="1:25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</row>
    <row r="143" spans="1:25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</row>
    <row r="144" spans="1:25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</row>
    <row r="145" spans="1:2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</row>
    <row r="146" spans="1:25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</row>
    <row r="147" spans="1:25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</row>
    <row r="148" spans="1:25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</row>
    <row r="149" spans="1:25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</row>
    <row r="150" spans="1:25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</row>
    <row r="151" spans="1:25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</row>
    <row r="152" spans="1:25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</row>
    <row r="153" spans="1:25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</row>
    <row r="154" spans="1:25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</row>
    <row r="155" spans="1:2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</row>
    <row r="156" spans="1:25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</row>
    <row r="157" spans="1:25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</row>
    <row r="158" spans="1:25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</row>
    <row r="159" spans="1:25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</row>
    <row r="160" spans="1:25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</row>
    <row r="161" spans="1:25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</row>
    <row r="162" spans="1:25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</row>
    <row r="163" spans="1:25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</row>
    <row r="164" spans="1:25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</row>
    <row r="165" spans="1:2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</row>
    <row r="166" spans="1:25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</row>
    <row r="167" spans="1:25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</row>
    <row r="168" spans="1:25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</row>
    <row r="169" spans="1:25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</row>
    <row r="170" spans="1:25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</row>
    <row r="171" spans="1:25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</row>
    <row r="172" spans="1:25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</row>
    <row r="173" spans="1:25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</row>
    <row r="174" spans="1:25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</row>
    <row r="175" spans="1:2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</row>
    <row r="176" spans="1:25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</row>
    <row r="177" spans="1:25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</row>
    <row r="178" spans="1:25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</row>
    <row r="179" spans="1:25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</row>
    <row r="180" spans="1:25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</row>
    <row r="181" spans="1:25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</row>
    <row r="182" spans="1:25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</row>
    <row r="183" spans="1:25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</row>
    <row r="184" spans="1:25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</row>
    <row r="185" spans="1:2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</row>
    <row r="186" spans="1:25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</row>
    <row r="187" spans="1:25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</row>
    <row r="188" spans="1:25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</row>
    <row r="189" spans="1:25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13"/>
  <sheetViews>
    <sheetView topLeftCell="AE1" workbookViewId="0">
      <selection activeCell="AP10" sqref="AP10"/>
    </sheetView>
  </sheetViews>
  <sheetFormatPr defaultColWidth="9" defaultRowHeight="13.5"/>
  <cols>
    <col min="1" max="1" width="13.8833333333333" style="31" customWidth="1"/>
    <col min="2" max="2" width="25.25" style="31" customWidth="1"/>
    <col min="3" max="3" width="9" style="31"/>
    <col min="4" max="26" width="7.55833333333333" style="31" hidden="1" customWidth="1"/>
    <col min="27" max="27" width="6.5" style="31" hidden="1" customWidth="1"/>
    <col min="28" max="29" width="0.125" style="31" customWidth="1"/>
    <col min="30" max="48" width="7.13333333333333" style="31" customWidth="1"/>
    <col min="49" max="16384" width="9" style="31"/>
  </cols>
  <sheetData>
    <row r="1" s="28" customFormat="1" ht="31" customHeight="1" spans="1:50">
      <c r="A1" s="32" t="s">
        <v>16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</row>
    <row r="2" s="29" customFormat="1" ht="21" customHeight="1" spans="1:50">
      <c r="A2" s="29" t="s">
        <v>2</v>
      </c>
      <c r="B2" s="33" t="s">
        <v>17</v>
      </c>
      <c r="C2" s="29" t="s">
        <v>18</v>
      </c>
      <c r="D2" s="34">
        <v>46315</v>
      </c>
      <c r="E2" s="34">
        <v>46318</v>
      </c>
      <c r="F2" s="34">
        <v>46322</v>
      </c>
      <c r="G2" s="34">
        <v>46325</v>
      </c>
      <c r="H2" s="34">
        <v>46329</v>
      </c>
      <c r="I2" s="34">
        <v>46332</v>
      </c>
      <c r="J2" s="34">
        <v>46336</v>
      </c>
      <c r="K2" s="34">
        <v>46339</v>
      </c>
      <c r="L2" s="34">
        <v>46343</v>
      </c>
      <c r="M2" s="34">
        <v>46346</v>
      </c>
      <c r="N2" s="34">
        <v>46350</v>
      </c>
      <c r="O2" s="34">
        <v>46353</v>
      </c>
      <c r="P2" s="34">
        <v>46357</v>
      </c>
      <c r="Q2" s="34">
        <v>46364</v>
      </c>
      <c r="R2" s="34">
        <v>46367</v>
      </c>
      <c r="S2" s="35">
        <v>46371</v>
      </c>
      <c r="T2" s="34">
        <v>46374</v>
      </c>
      <c r="U2" s="34">
        <v>46381</v>
      </c>
      <c r="V2" s="34">
        <v>46385</v>
      </c>
      <c r="W2" s="34">
        <v>46026</v>
      </c>
      <c r="X2" s="34">
        <v>46030</v>
      </c>
      <c r="Y2" s="35">
        <v>46034</v>
      </c>
      <c r="Z2" s="35">
        <v>46037</v>
      </c>
      <c r="AA2" s="35">
        <v>46041</v>
      </c>
      <c r="AB2" s="34">
        <v>46048</v>
      </c>
      <c r="AC2" s="34">
        <v>46050</v>
      </c>
      <c r="AD2" s="34">
        <v>46090</v>
      </c>
      <c r="AE2" s="34">
        <v>46093</v>
      </c>
      <c r="AF2" s="34">
        <v>46097</v>
      </c>
      <c r="AG2" s="34">
        <v>46100</v>
      </c>
      <c r="AH2" s="34">
        <v>46104</v>
      </c>
      <c r="AI2" s="34">
        <v>46107</v>
      </c>
      <c r="AJ2" s="34">
        <v>46111</v>
      </c>
      <c r="AK2" s="34">
        <v>46114</v>
      </c>
      <c r="AL2" s="34">
        <v>46119</v>
      </c>
      <c r="AM2" s="34">
        <v>46121</v>
      </c>
      <c r="AN2" s="34">
        <v>46125</v>
      </c>
      <c r="AO2" s="34">
        <v>46128</v>
      </c>
      <c r="AP2" s="34">
        <v>46132</v>
      </c>
      <c r="AQ2" s="34">
        <v>46135</v>
      </c>
      <c r="AR2" s="34"/>
      <c r="AS2" s="34"/>
      <c r="AT2" s="34"/>
      <c r="AU2" s="34"/>
      <c r="AV2" s="34"/>
      <c r="AW2" s="29" t="s">
        <v>19</v>
      </c>
      <c r="AX2" s="29" t="s">
        <v>20</v>
      </c>
    </row>
    <row r="3" s="30" customFormat="1" ht="21" hidden="1" customHeight="1" spans="1:50">
      <c r="A3" s="30">
        <v>1</v>
      </c>
      <c r="B3" s="36" t="s">
        <v>21</v>
      </c>
      <c r="C3" s="30">
        <v>100</v>
      </c>
      <c r="D3" s="30">
        <v>3</v>
      </c>
      <c r="E3" s="30">
        <v>4</v>
      </c>
      <c r="F3" s="30">
        <v>3</v>
      </c>
      <c r="G3" s="30">
        <v>4</v>
      </c>
      <c r="H3" s="30">
        <v>3</v>
      </c>
      <c r="I3" s="30">
        <v>4</v>
      </c>
      <c r="J3" s="30">
        <v>3</v>
      </c>
      <c r="K3" s="30">
        <v>4</v>
      </c>
      <c r="L3" s="30">
        <v>3</v>
      </c>
      <c r="M3" s="30">
        <v>4</v>
      </c>
      <c r="N3" s="30">
        <v>3</v>
      </c>
      <c r="O3" s="30">
        <v>4</v>
      </c>
      <c r="P3" s="30">
        <v>3</v>
      </c>
      <c r="Q3" s="30">
        <v>3</v>
      </c>
      <c r="R3" s="30">
        <v>4</v>
      </c>
      <c r="S3" s="30">
        <v>3</v>
      </c>
      <c r="T3" s="30">
        <v>4</v>
      </c>
      <c r="U3" s="30">
        <v>4</v>
      </c>
      <c r="V3" s="30">
        <v>3</v>
      </c>
      <c r="W3" s="30">
        <v>4</v>
      </c>
      <c r="X3" s="30">
        <v>4</v>
      </c>
      <c r="Y3" s="30">
        <v>3</v>
      </c>
      <c r="Z3" s="30">
        <v>4</v>
      </c>
      <c r="AA3" s="30">
        <v>5</v>
      </c>
      <c r="AB3" s="30">
        <v>6</v>
      </c>
      <c r="AC3" s="30">
        <v>6</v>
      </c>
      <c r="AD3" s="30">
        <v>2</v>
      </c>
      <c r="AW3" s="30">
        <v>100</v>
      </c>
      <c r="AX3" s="30">
        <v>0</v>
      </c>
    </row>
    <row r="4" s="30" customFormat="1" ht="23" hidden="1" customHeight="1" spans="1:50">
      <c r="A4" s="30">
        <v>2</v>
      </c>
      <c r="B4" s="37" t="s">
        <v>22</v>
      </c>
      <c r="C4" s="30">
        <v>60</v>
      </c>
      <c r="D4" s="30">
        <v>3</v>
      </c>
      <c r="E4" s="30">
        <v>2</v>
      </c>
      <c r="F4" s="30">
        <v>3</v>
      </c>
      <c r="G4" s="30">
        <v>2</v>
      </c>
      <c r="H4" s="30">
        <v>3</v>
      </c>
      <c r="I4" s="30">
        <v>2</v>
      </c>
      <c r="J4" s="30">
        <v>3</v>
      </c>
      <c r="K4" s="30">
        <v>2</v>
      </c>
      <c r="L4" s="30">
        <v>3</v>
      </c>
      <c r="M4" s="30">
        <v>2</v>
      </c>
      <c r="N4" s="30">
        <v>3</v>
      </c>
      <c r="O4" s="30">
        <v>2</v>
      </c>
      <c r="P4" s="30">
        <v>3</v>
      </c>
      <c r="Q4" s="30">
        <v>3</v>
      </c>
      <c r="R4" s="30">
        <v>2</v>
      </c>
      <c r="S4" s="30">
        <v>3</v>
      </c>
      <c r="T4" s="30">
        <v>2</v>
      </c>
      <c r="U4" s="30">
        <v>2</v>
      </c>
      <c r="V4" s="30">
        <v>3</v>
      </c>
      <c r="W4" s="30">
        <v>4</v>
      </c>
      <c r="X4" s="30">
        <v>2</v>
      </c>
      <c r="Y4" s="30">
        <v>3</v>
      </c>
      <c r="Z4" s="30">
        <v>2</v>
      </c>
      <c r="AA4" s="30">
        <v>1</v>
      </c>
      <c r="AW4" s="30">
        <f>SUM(D4:AC4)</f>
        <v>60</v>
      </c>
      <c r="AX4" s="30">
        <v>0</v>
      </c>
    </row>
    <row r="5" ht="15" spans="1:50">
      <c r="B5" s="38" t="s">
        <v>23</v>
      </c>
      <c r="C5" s="31">
        <v>100</v>
      </c>
      <c r="AD5" s="31">
        <v>3</v>
      </c>
      <c r="AE5" s="31">
        <v>2</v>
      </c>
      <c r="AF5" s="31">
        <v>3</v>
      </c>
      <c r="AG5" s="31">
        <v>2</v>
      </c>
      <c r="AH5" s="31">
        <v>3</v>
      </c>
      <c r="AI5" s="31">
        <v>2</v>
      </c>
      <c r="AJ5" s="31">
        <v>3</v>
      </c>
      <c r="AK5" s="31">
        <v>2</v>
      </c>
      <c r="AL5" s="31">
        <v>3</v>
      </c>
      <c r="AM5" s="31">
        <v>2</v>
      </c>
      <c r="AN5" s="31">
        <v>3</v>
      </c>
      <c r="AO5" s="31">
        <v>2</v>
      </c>
      <c r="AP5" s="31">
        <v>3</v>
      </c>
      <c r="AQ5" s="31">
        <v>2</v>
      </c>
      <c r="AW5" s="31">
        <f>SUM(AD5:AV5)</f>
        <v>35</v>
      </c>
      <c r="AX5" s="31">
        <f>C5-AW5</f>
        <v>65</v>
      </c>
    </row>
    <row r="6" ht="15" spans="1:50">
      <c r="B6" s="38" t="s">
        <v>24</v>
      </c>
      <c r="C6" s="31">
        <v>100</v>
      </c>
      <c r="AD6" s="31">
        <v>3</v>
      </c>
      <c r="AE6" s="31">
        <v>2</v>
      </c>
      <c r="AF6" s="31">
        <v>3</v>
      </c>
      <c r="AG6" s="31">
        <v>2</v>
      </c>
      <c r="AH6" s="31">
        <v>3</v>
      </c>
      <c r="AI6" s="31">
        <v>2</v>
      </c>
      <c r="AJ6" s="31">
        <v>3</v>
      </c>
      <c r="AK6" s="31">
        <v>2</v>
      </c>
      <c r="AL6" s="31">
        <v>3</v>
      </c>
      <c r="AM6" s="31">
        <v>2</v>
      </c>
      <c r="AN6" s="31">
        <v>3</v>
      </c>
      <c r="AO6" s="31">
        <v>2</v>
      </c>
      <c r="AP6" s="31">
        <v>3</v>
      </c>
      <c r="AQ6" s="31">
        <v>2</v>
      </c>
      <c r="AW6" s="31">
        <f>SUM(AD6:AV6)</f>
        <v>35</v>
      </c>
      <c r="AX6" s="31">
        <f>C6-AW6</f>
        <v>65</v>
      </c>
    </row>
    <row r="9" spans="1:50">
      <c r="B9" s="10" t="s">
        <v>25</v>
      </c>
      <c r="C9" s="31">
        <v>100</v>
      </c>
      <c r="AE9" s="31">
        <v>4</v>
      </c>
      <c r="AF9" s="31">
        <v>3</v>
      </c>
      <c r="AG9" s="31">
        <v>4</v>
      </c>
      <c r="AH9" s="31">
        <v>3</v>
      </c>
      <c r="AI9" s="31">
        <v>4</v>
      </c>
      <c r="AJ9" s="31">
        <v>3</v>
      </c>
      <c r="AK9" s="31">
        <v>4</v>
      </c>
      <c r="AL9" s="31">
        <v>3</v>
      </c>
      <c r="AM9" s="31">
        <v>4</v>
      </c>
      <c r="AN9" s="31">
        <v>3</v>
      </c>
      <c r="AO9" s="31">
        <v>4</v>
      </c>
      <c r="AP9" s="31">
        <v>3</v>
      </c>
      <c r="AQ9" s="31">
        <v>4</v>
      </c>
      <c r="AW9" s="31">
        <f>SUM(AD9:AV9)</f>
        <v>46</v>
      </c>
      <c r="AX9" s="31">
        <f>C9-AW9</f>
        <v>54</v>
      </c>
    </row>
    <row r="10" spans="1:50">
      <c r="B10" s="10" t="s">
        <v>26</v>
      </c>
      <c r="C10" s="31">
        <v>100</v>
      </c>
      <c r="AE10" s="31">
        <v>4</v>
      </c>
      <c r="AF10" s="31">
        <v>3</v>
      </c>
      <c r="AG10" s="31">
        <v>4</v>
      </c>
      <c r="AH10" s="31">
        <v>3</v>
      </c>
      <c r="AI10" s="31">
        <v>4</v>
      </c>
      <c r="AJ10" s="31">
        <v>3</v>
      </c>
      <c r="AK10" s="31">
        <v>4</v>
      </c>
      <c r="AL10" s="31">
        <v>3</v>
      </c>
      <c r="AM10" s="31">
        <v>4</v>
      </c>
      <c r="AN10" s="31">
        <v>3</v>
      </c>
      <c r="AO10" s="31">
        <v>4</v>
      </c>
      <c r="AP10" s="31">
        <v>3</v>
      </c>
      <c r="AQ10" s="31">
        <v>4</v>
      </c>
      <c r="AW10" s="31">
        <f>SUM(AD10:AV10)</f>
        <v>46</v>
      </c>
      <c r="AX10" s="31">
        <f>C10-AW10</f>
        <v>54</v>
      </c>
    </row>
    <row r="11" spans="1:50">
      <c r="B11" s="39" t="s">
        <v>27</v>
      </c>
    </row>
    <row r="12" spans="1:50">
      <c r="AH12" s="31" t="s">
        <v>28</v>
      </c>
      <c r="AJ12" s="31">
        <v>10</v>
      </c>
      <c r="AK12" s="31">
        <v>10</v>
      </c>
      <c r="AL12" s="31">
        <v>10</v>
      </c>
      <c r="AM12" s="31">
        <v>10</v>
      </c>
      <c r="AN12" s="31">
        <v>10</v>
      </c>
      <c r="AO12" s="31">
        <v>10</v>
      </c>
      <c r="AP12" s="31">
        <v>10</v>
      </c>
      <c r="AQ12" s="31">
        <v>10</v>
      </c>
    </row>
    <row r="13" spans="1:50">
      <c r="AH13" s="31" t="s">
        <v>29</v>
      </c>
      <c r="AJ13" s="31">
        <v>2</v>
      </c>
      <c r="AK13" s="31">
        <v>2</v>
      </c>
      <c r="AL13" s="31">
        <v>2</v>
      </c>
      <c r="AM13" s="31">
        <v>2</v>
      </c>
      <c r="AN13" s="31">
        <v>2</v>
      </c>
      <c r="AO13" s="31">
        <v>2</v>
      </c>
      <c r="AP13" s="31">
        <v>2</v>
      </c>
      <c r="AQ13" s="31">
        <v>2</v>
      </c>
    </row>
  </sheetData>
  <mergeCells count="1">
    <mergeCell ref="A1:AX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selection activeCell="A10" sqref="A10"/>
    </sheetView>
  </sheetViews>
  <sheetFormatPr defaultColWidth="14.5" defaultRowHeight="13.5"/>
  <cols>
    <col min="1" max="4" width="14.5" customWidth="1"/>
    <col min="5" max="6" width="11.875" customWidth="1"/>
    <col min="7" max="7" width="19.375" customWidth="1"/>
    <col min="8" max="16384" width="14.5" customWidth="1"/>
  </cols>
  <sheetData>
    <row r="1" spans="1:15">
      <c r="A1" s="9" t="s">
        <v>30</v>
      </c>
      <c r="B1" s="9"/>
      <c r="C1" s="9"/>
      <c r="D1" s="9"/>
      <c r="E1" s="9"/>
      <c r="F1" s="9"/>
      <c r="G1" s="9"/>
      <c r="I1" s="9" t="s">
        <v>30</v>
      </c>
      <c r="J1" s="9"/>
      <c r="K1" s="9"/>
      <c r="L1" s="9"/>
      <c r="M1" s="9"/>
      <c r="N1" s="9"/>
      <c r="O1" s="9"/>
    </row>
    <row r="2" ht="18.75" spans="1:15">
      <c r="A2" s="14" t="s">
        <v>2</v>
      </c>
      <c r="B2" s="14" t="s">
        <v>31</v>
      </c>
      <c r="C2" s="14" t="s">
        <v>3</v>
      </c>
      <c r="D2" s="14" t="s">
        <v>32</v>
      </c>
      <c r="E2" s="15" t="s">
        <v>28</v>
      </c>
      <c r="F2" s="16" t="s">
        <v>29</v>
      </c>
      <c r="G2" s="17" t="s">
        <v>7</v>
      </c>
      <c r="I2" s="14" t="s">
        <v>2</v>
      </c>
      <c r="J2" s="14" t="s">
        <v>31</v>
      </c>
      <c r="K2" s="14" t="s">
        <v>3</v>
      </c>
      <c r="L2" s="14" t="s">
        <v>32</v>
      </c>
      <c r="M2" s="15" t="s">
        <v>28</v>
      </c>
      <c r="N2" s="16" t="s">
        <v>29</v>
      </c>
      <c r="O2" s="17" t="s">
        <v>7</v>
      </c>
    </row>
    <row r="3" spans="1:15">
      <c r="A3" s="18">
        <v>1</v>
      </c>
      <c r="B3" s="19">
        <v>46125</v>
      </c>
      <c r="C3" s="18" t="s">
        <v>13</v>
      </c>
      <c r="D3" s="20" t="s">
        <v>33</v>
      </c>
      <c r="E3" s="13">
        <v>3</v>
      </c>
      <c r="F3" s="13"/>
      <c r="G3" s="20"/>
      <c r="I3" s="18">
        <v>1</v>
      </c>
      <c r="J3" s="19">
        <v>46125</v>
      </c>
      <c r="K3" s="21" t="s">
        <v>34</v>
      </c>
      <c r="L3" s="20" t="s">
        <v>33</v>
      </c>
      <c r="M3" s="13">
        <v>3</v>
      </c>
      <c r="N3" s="20"/>
      <c r="O3" s="20"/>
    </row>
    <row r="4" ht="15" spans="1:15">
      <c r="A4" s="7">
        <v>2</v>
      </c>
      <c r="B4" s="8">
        <v>46125</v>
      </c>
      <c r="C4" s="7" t="s">
        <v>15</v>
      </c>
      <c r="D4" s="9" t="s">
        <v>33</v>
      </c>
      <c r="E4" s="7">
        <v>1</v>
      </c>
      <c r="F4" s="7">
        <v>2</v>
      </c>
      <c r="G4" s="9" t="s">
        <v>35</v>
      </c>
      <c r="I4" s="7">
        <v>2</v>
      </c>
      <c r="J4" s="8">
        <v>46125</v>
      </c>
      <c r="K4" s="11" t="s">
        <v>24</v>
      </c>
      <c r="L4" s="9" t="s">
        <v>33</v>
      </c>
      <c r="M4" s="7">
        <v>3</v>
      </c>
      <c r="N4" s="9"/>
      <c r="O4" s="9"/>
    </row>
    <row r="5" spans="1:15">
      <c r="A5" s="22"/>
      <c r="B5" s="23"/>
      <c r="C5" s="24"/>
      <c r="D5" s="25"/>
      <c r="E5" s="22">
        <f>SUM(E3:E4)</f>
        <v>4</v>
      </c>
      <c r="F5" s="25">
        <f>SUM(F3:F4)</f>
        <v>2</v>
      </c>
      <c r="G5" s="25"/>
      <c r="I5" s="22"/>
      <c r="J5" s="23"/>
      <c r="K5" s="24"/>
      <c r="L5" s="25"/>
      <c r="M5" s="22">
        <f>SUM(M3:M4)</f>
        <v>6</v>
      </c>
      <c r="N5" s="25"/>
      <c r="O5" s="25"/>
    </row>
    <row r="6" ht="15" spans="1:15">
      <c r="A6" s="22"/>
      <c r="B6" s="23"/>
      <c r="C6" s="26"/>
      <c r="D6" s="25"/>
      <c r="E6" s="22"/>
      <c r="F6" s="25"/>
      <c r="G6" s="25"/>
      <c r="I6" s="22"/>
      <c r="J6" s="23"/>
      <c r="K6" s="26"/>
      <c r="L6" s="25"/>
      <c r="M6" s="22"/>
      <c r="N6" s="25"/>
      <c r="O6" s="25"/>
    </row>
    <row r="7" ht="15" spans="1:15">
      <c r="A7" s="26"/>
      <c r="B7" s="25"/>
      <c r="C7" s="26"/>
      <c r="D7" s="25"/>
      <c r="E7" s="25"/>
      <c r="F7" s="25"/>
      <c r="G7" s="25"/>
      <c r="I7" s="26"/>
      <c r="J7" s="25"/>
      <c r="K7" s="26"/>
      <c r="L7" s="25"/>
      <c r="M7" s="25"/>
      <c r="N7" s="25"/>
      <c r="O7" s="25"/>
    </row>
    <row r="8" spans="1:15">
      <c r="A8" s="25"/>
      <c r="B8" s="25"/>
      <c r="C8" s="25"/>
      <c r="D8" s="25"/>
      <c r="E8" s="25"/>
      <c r="F8" s="25"/>
      <c r="G8" s="25"/>
    </row>
    <row r="9" spans="1:15">
      <c r="A9" s="25"/>
      <c r="B9" s="25"/>
      <c r="C9" s="25"/>
      <c r="D9" s="25"/>
      <c r="E9" s="25"/>
      <c r="F9" s="25"/>
      <c r="G9" s="25"/>
    </row>
    <row r="10" spans="1:15">
      <c r="A10" s="25"/>
      <c r="B10" s="25"/>
      <c r="C10" s="25"/>
      <c r="D10" s="25"/>
      <c r="E10" s="25"/>
      <c r="F10" s="25"/>
      <c r="G10" s="25"/>
    </row>
    <row r="11" spans="1:15">
      <c r="A11" s="25"/>
      <c r="B11" s="25"/>
      <c r="C11" s="25"/>
      <c r="D11" s="25"/>
      <c r="E11" s="25"/>
      <c r="F11" s="25"/>
      <c r="G11" s="25"/>
    </row>
    <row r="12" spans="1:15">
      <c r="A12" s="25"/>
      <c r="B12" s="25"/>
      <c r="C12" s="25"/>
      <c r="D12" s="25"/>
      <c r="E12" s="25"/>
      <c r="F12" s="25"/>
      <c r="G12" s="25"/>
    </row>
    <row r="13" spans="1:15">
      <c r="A13" s="25"/>
      <c r="B13" s="25"/>
      <c r="C13" s="25"/>
      <c r="D13" s="25"/>
      <c r="E13" s="25"/>
      <c r="F13" s="25"/>
      <c r="G13" s="25"/>
    </row>
    <row r="14" spans="1:15">
      <c r="A14" s="25"/>
      <c r="B14" s="25"/>
      <c r="C14" s="25"/>
      <c r="D14" s="25"/>
      <c r="E14" s="25"/>
      <c r="F14" s="25"/>
      <c r="G14" s="25"/>
    </row>
    <row r="15" spans="1:15">
      <c r="A15" s="25"/>
      <c r="B15" s="25"/>
      <c r="C15" s="25"/>
      <c r="D15" s="25"/>
      <c r="E15" s="25"/>
      <c r="F15" s="25"/>
      <c r="G15" s="25"/>
    </row>
    <row r="16" spans="1:15">
      <c r="A16" s="25"/>
      <c r="B16" s="25"/>
      <c r="C16" s="25"/>
      <c r="D16" s="25"/>
      <c r="E16" s="25"/>
      <c r="F16" s="25"/>
      <c r="G16" s="25"/>
    </row>
    <row r="17" spans="1:7">
      <c r="A17" s="25"/>
      <c r="B17" s="25"/>
      <c r="C17" s="25"/>
      <c r="D17" s="25"/>
      <c r="E17" s="25"/>
      <c r="F17" s="25"/>
      <c r="G17" s="25"/>
    </row>
    <row r="18" spans="1:7">
      <c r="A18" s="25"/>
      <c r="B18" s="25"/>
      <c r="C18" s="25"/>
      <c r="D18" s="25"/>
      <c r="E18" s="25"/>
      <c r="F18" s="25"/>
      <c r="G18" s="25"/>
    </row>
    <row r="19" spans="1:7">
      <c r="A19" s="25"/>
      <c r="B19" s="25"/>
      <c r="C19" s="25"/>
      <c r="D19" s="25"/>
      <c r="E19" s="25"/>
      <c r="F19" s="25"/>
      <c r="G19" s="25"/>
    </row>
    <row r="20" spans="1:7">
      <c r="A20" s="25"/>
      <c r="B20" s="25"/>
      <c r="C20" s="25"/>
      <c r="D20" s="25"/>
      <c r="E20" s="25"/>
      <c r="F20" s="25"/>
      <c r="G20" s="25"/>
    </row>
    <row r="21" spans="1:7">
      <c r="A21" s="27"/>
      <c r="B21" s="27"/>
      <c r="C21" s="27"/>
      <c r="D21" s="27"/>
      <c r="E21" s="27"/>
      <c r="F21" s="27"/>
      <c r="G21" s="27"/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E4" sqref="E4"/>
    </sheetView>
  </sheetViews>
  <sheetFormatPr defaultColWidth="11.375" defaultRowHeight="13.5" outlineLevelCol="6"/>
  <cols>
    <col min="1" max="6" width="11.375" customWidth="1"/>
    <col min="7" max="7" width="27.75" customWidth="1"/>
    <col min="8" max="16384" width="11.375" customWidth="1"/>
  </cols>
  <sheetData>
    <row r="1" s="1" customFormat="1" ht="26" customHeight="1" spans="1:7">
      <c r="A1" s="2" t="s">
        <v>36</v>
      </c>
      <c r="B1" s="2"/>
      <c r="C1" s="2"/>
      <c r="D1" s="2"/>
      <c r="E1" s="2"/>
      <c r="F1" s="2"/>
      <c r="G1" s="2"/>
    </row>
    <row r="2" s="1" customFormat="1" ht="26" customHeight="1" spans="1:7">
      <c r="A2" s="3" t="s">
        <v>2</v>
      </c>
      <c r="B2" s="3" t="s">
        <v>31</v>
      </c>
      <c r="C2" s="3" t="s">
        <v>3</v>
      </c>
      <c r="D2" s="3" t="s">
        <v>32</v>
      </c>
      <c r="E2" s="4" t="s">
        <v>28</v>
      </c>
      <c r="F2" s="5" t="s">
        <v>29</v>
      </c>
      <c r="G2" s="6" t="s">
        <v>7</v>
      </c>
    </row>
    <row r="3" ht="26" customHeight="1" spans="1:7">
      <c r="A3" s="7">
        <v>1</v>
      </c>
      <c r="B3" s="8">
        <v>46128</v>
      </c>
      <c r="C3" s="7" t="s">
        <v>13</v>
      </c>
      <c r="D3" s="9" t="s">
        <v>37</v>
      </c>
      <c r="E3" s="10">
        <v>4</v>
      </c>
      <c r="F3" s="10"/>
      <c r="G3" s="9"/>
    </row>
    <row r="4" ht="26" customHeight="1" spans="1:7">
      <c r="A4" s="7">
        <v>2</v>
      </c>
      <c r="B4" s="8">
        <v>46128</v>
      </c>
      <c r="C4" s="7" t="s">
        <v>15</v>
      </c>
      <c r="D4" s="9" t="s">
        <v>37</v>
      </c>
      <c r="E4" s="10">
        <v>2</v>
      </c>
      <c r="F4" s="10">
        <v>2</v>
      </c>
      <c r="G4" s="9" t="s">
        <v>35</v>
      </c>
    </row>
    <row r="5" customFormat="1" ht="23" customHeight="1" spans="1:7">
      <c r="A5" s="11"/>
      <c r="B5" s="9"/>
      <c r="C5" s="11"/>
      <c r="D5" s="9"/>
      <c r="E5" s="9">
        <f>SUM(E3:E4)</f>
        <v>6</v>
      </c>
      <c r="F5" s="9">
        <f>SUM(F3:F4)</f>
        <v>2</v>
      </c>
      <c r="G5" s="9"/>
    </row>
    <row r="6" ht="21" customHeight="1"/>
    <row r="8" s="1" customFormat="1" ht="23" customHeight="1" spans="1:7">
      <c r="A8" s="2" t="s">
        <v>38</v>
      </c>
      <c r="B8" s="2"/>
      <c r="C8" s="2"/>
      <c r="D8" s="2"/>
      <c r="E8" s="2"/>
      <c r="F8" s="2"/>
      <c r="G8" s="2"/>
    </row>
    <row r="9" s="1" customFormat="1" ht="23" customHeight="1" spans="1:7">
      <c r="A9" s="3" t="s">
        <v>2</v>
      </c>
      <c r="B9" s="3" t="s">
        <v>31</v>
      </c>
      <c r="C9" s="3" t="s">
        <v>3</v>
      </c>
      <c r="D9" s="3" t="s">
        <v>32</v>
      </c>
      <c r="E9" s="4" t="s">
        <v>28</v>
      </c>
      <c r="F9" s="5" t="s">
        <v>29</v>
      </c>
      <c r="G9" s="6" t="s">
        <v>7</v>
      </c>
    </row>
    <row r="10" ht="23" customHeight="1" spans="1:7">
      <c r="A10" s="7">
        <v>1</v>
      </c>
      <c r="B10" s="8">
        <v>46128</v>
      </c>
      <c r="C10" s="12" t="s">
        <v>23</v>
      </c>
      <c r="D10" s="9" t="s">
        <v>39</v>
      </c>
      <c r="E10" s="10">
        <v>2</v>
      </c>
      <c r="F10" s="9"/>
      <c r="G10" s="9"/>
    </row>
    <row r="11" ht="23" customHeight="1" spans="1:7">
      <c r="A11" s="7">
        <v>2</v>
      </c>
      <c r="B11" s="8">
        <v>46128</v>
      </c>
      <c r="C11" s="12" t="s">
        <v>24</v>
      </c>
      <c r="D11" s="9" t="s">
        <v>39</v>
      </c>
      <c r="E11" s="10">
        <v>2</v>
      </c>
      <c r="F11" s="9"/>
      <c r="G11" s="9"/>
    </row>
    <row r="12" ht="23" customHeight="1" spans="1:7">
      <c r="A12" s="11"/>
      <c r="B12" s="9"/>
      <c r="C12" s="11"/>
      <c r="D12" s="9"/>
      <c r="E12" s="9">
        <f>SUM(E10:E11)</f>
        <v>4</v>
      </c>
      <c r="F12" s="9">
        <f>SUM(F10:F11)</f>
        <v>0</v>
      </c>
      <c r="G12" s="9"/>
    </row>
    <row r="14" ht="21" customHeight="1"/>
  </sheetData>
  <mergeCells count="2">
    <mergeCell ref="A1:G1"/>
    <mergeCell ref="A8:G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G26" sqref="G26"/>
    </sheetView>
  </sheetViews>
  <sheetFormatPr defaultColWidth="11.375" defaultRowHeight="13.5" outlineLevelCol="6"/>
  <cols>
    <col min="1" max="6" width="11.375" customWidth="1"/>
    <col min="7" max="7" width="27.75" customWidth="1"/>
    <col min="8" max="16384" width="11.375" customWidth="1"/>
  </cols>
  <sheetData>
    <row r="1" s="1" customFormat="1" ht="26" customHeight="1" spans="1:7">
      <c r="A1" s="2" t="s">
        <v>36</v>
      </c>
      <c r="B1" s="2"/>
      <c r="C1" s="2"/>
      <c r="D1" s="2"/>
      <c r="E1" s="2"/>
      <c r="F1" s="2"/>
      <c r="G1" s="2"/>
    </row>
    <row r="2" s="1" customFormat="1" ht="26" customHeight="1" spans="1:7">
      <c r="A2" s="3" t="s">
        <v>2</v>
      </c>
      <c r="B2" s="3" t="s">
        <v>31</v>
      </c>
      <c r="C2" s="3" t="s">
        <v>3</v>
      </c>
      <c r="D2" s="3" t="s">
        <v>32</v>
      </c>
      <c r="E2" s="4" t="s">
        <v>28</v>
      </c>
      <c r="F2" s="5" t="s">
        <v>29</v>
      </c>
      <c r="G2" s="6" t="s">
        <v>7</v>
      </c>
    </row>
    <row r="3" ht="26" customHeight="1" spans="1:7">
      <c r="A3" s="7">
        <v>1</v>
      </c>
      <c r="B3" s="8">
        <v>46132</v>
      </c>
      <c r="C3" s="7" t="s">
        <v>13</v>
      </c>
      <c r="D3" s="9" t="s">
        <v>33</v>
      </c>
      <c r="E3" s="13">
        <v>3</v>
      </c>
      <c r="F3" s="13"/>
      <c r="G3" s="9"/>
    </row>
    <row r="4" ht="26" customHeight="1" spans="1:7">
      <c r="A4" s="7">
        <v>2</v>
      </c>
      <c r="B4" s="8">
        <v>46132</v>
      </c>
      <c r="C4" s="7" t="s">
        <v>15</v>
      </c>
      <c r="D4" s="9" t="s">
        <v>33</v>
      </c>
      <c r="E4" s="7">
        <v>1</v>
      </c>
      <c r="F4" s="7">
        <v>2</v>
      </c>
      <c r="G4" s="9" t="s">
        <v>35</v>
      </c>
    </row>
    <row r="5" customFormat="1" ht="23" customHeight="1" spans="1:7">
      <c r="A5" s="11"/>
      <c r="B5" s="9"/>
      <c r="C5" s="11"/>
      <c r="D5" s="9"/>
      <c r="E5" s="9">
        <f>SUM(E3:E4)</f>
        <v>4</v>
      </c>
      <c r="F5" s="9">
        <f>SUM(F3:F4)</f>
        <v>2</v>
      </c>
      <c r="G5" s="9"/>
    </row>
    <row r="6" ht="21" customHeight="1"/>
    <row r="8" s="1" customFormat="1" ht="23" customHeight="1" spans="1:7">
      <c r="A8" s="2" t="s">
        <v>38</v>
      </c>
      <c r="B8" s="2"/>
      <c r="C8" s="2"/>
      <c r="D8" s="2"/>
      <c r="E8" s="2"/>
      <c r="F8" s="2"/>
      <c r="G8" s="2"/>
    </row>
    <row r="9" s="1" customFormat="1" ht="23" customHeight="1" spans="1:7">
      <c r="A9" s="3" t="s">
        <v>2</v>
      </c>
      <c r="B9" s="3" t="s">
        <v>31</v>
      </c>
      <c r="C9" s="3" t="s">
        <v>3</v>
      </c>
      <c r="D9" s="3" t="s">
        <v>32</v>
      </c>
      <c r="E9" s="4" t="s">
        <v>28</v>
      </c>
      <c r="F9" s="5" t="s">
        <v>29</v>
      </c>
      <c r="G9" s="6" t="s">
        <v>7</v>
      </c>
    </row>
    <row r="10" ht="23" customHeight="1" spans="1:7">
      <c r="A10" s="7">
        <v>1</v>
      </c>
      <c r="B10" s="8">
        <v>46132</v>
      </c>
      <c r="C10" s="12" t="s">
        <v>23</v>
      </c>
      <c r="D10" s="9" t="s">
        <v>33</v>
      </c>
      <c r="E10" s="10">
        <v>3</v>
      </c>
      <c r="F10" s="9"/>
      <c r="G10" s="9"/>
    </row>
    <row r="11" ht="23" customHeight="1" spans="1:7">
      <c r="A11" s="7">
        <v>2</v>
      </c>
      <c r="B11" s="8">
        <v>46132</v>
      </c>
      <c r="C11" s="12" t="s">
        <v>24</v>
      </c>
      <c r="D11" s="9" t="s">
        <v>33</v>
      </c>
      <c r="E11" s="10">
        <v>3</v>
      </c>
      <c r="F11" s="9"/>
      <c r="G11" s="9"/>
    </row>
    <row r="12" ht="23" customHeight="1" spans="1:7">
      <c r="A12" s="11"/>
      <c r="B12" s="9"/>
      <c r="C12" s="11"/>
      <c r="D12" s="9"/>
      <c r="E12" s="9">
        <f>SUM(E10:E11)</f>
        <v>6</v>
      </c>
      <c r="F12" s="9">
        <f>SUM(F10:F11)</f>
        <v>0</v>
      </c>
      <c r="G12" s="9"/>
    </row>
    <row r="14" ht="21" customHeight="1"/>
  </sheetData>
  <mergeCells count="2">
    <mergeCell ref="A1:G1"/>
    <mergeCell ref="A8:G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C22" sqref="C22"/>
    </sheetView>
  </sheetViews>
  <sheetFormatPr defaultColWidth="11.375" defaultRowHeight="13.5" outlineLevelCol="6"/>
  <cols>
    <col min="1" max="6" width="11.375" customWidth="1"/>
    <col min="7" max="7" width="27.75" customWidth="1"/>
    <col min="8" max="16384" width="11.375" customWidth="1"/>
  </cols>
  <sheetData>
    <row r="1" s="1" customFormat="1" ht="26" customHeight="1" spans="1:7">
      <c r="A1" s="2" t="s">
        <v>36</v>
      </c>
      <c r="B1" s="2"/>
      <c r="C1" s="2"/>
      <c r="D1" s="2"/>
      <c r="E1" s="2"/>
      <c r="F1" s="2"/>
      <c r="G1" s="2"/>
    </row>
    <row r="2" s="1" customFormat="1" ht="26" customHeight="1" spans="1:7">
      <c r="A2" s="3" t="s">
        <v>2</v>
      </c>
      <c r="B2" s="3" t="s">
        <v>31</v>
      </c>
      <c r="C2" s="3" t="s">
        <v>3</v>
      </c>
      <c r="D2" s="3" t="s">
        <v>32</v>
      </c>
      <c r="E2" s="4" t="s">
        <v>28</v>
      </c>
      <c r="F2" s="5" t="s">
        <v>29</v>
      </c>
      <c r="G2" s="6" t="s">
        <v>7</v>
      </c>
    </row>
    <row r="3" ht="26" customHeight="1" spans="1:7">
      <c r="A3" s="7">
        <v>1</v>
      </c>
      <c r="B3" s="8">
        <v>46132</v>
      </c>
      <c r="C3" s="7" t="s">
        <v>13</v>
      </c>
      <c r="D3" s="9" t="s">
        <v>37</v>
      </c>
      <c r="E3" s="10">
        <v>4</v>
      </c>
      <c r="F3" s="10"/>
      <c r="G3" s="9"/>
    </row>
    <row r="4" ht="26" customHeight="1" spans="1:7">
      <c r="A4" s="7">
        <v>2</v>
      </c>
      <c r="B4" s="8">
        <v>46132</v>
      </c>
      <c r="C4" s="7" t="s">
        <v>15</v>
      </c>
      <c r="D4" s="9" t="s">
        <v>37</v>
      </c>
      <c r="E4" s="10">
        <v>2</v>
      </c>
      <c r="F4" s="10">
        <v>2</v>
      </c>
      <c r="G4" s="9" t="s">
        <v>35</v>
      </c>
    </row>
    <row r="5" customFormat="1" ht="23" customHeight="1" spans="1:7">
      <c r="A5" s="11"/>
      <c r="B5" s="9"/>
      <c r="C5" s="11"/>
      <c r="D5" s="9"/>
      <c r="E5" s="9">
        <f>SUM(E3:E4)</f>
        <v>6</v>
      </c>
      <c r="F5" s="9">
        <f>SUM(F3:F4)</f>
        <v>2</v>
      </c>
      <c r="G5" s="9"/>
    </row>
    <row r="6" ht="21" customHeight="1"/>
    <row r="8" s="1" customFormat="1" ht="23" customHeight="1" spans="1:7">
      <c r="A8" s="2" t="s">
        <v>38</v>
      </c>
      <c r="B8" s="2"/>
      <c r="C8" s="2"/>
      <c r="D8" s="2"/>
      <c r="E8" s="2"/>
      <c r="F8" s="2"/>
      <c r="G8" s="2"/>
    </row>
    <row r="9" s="1" customFormat="1" ht="23" customHeight="1" spans="1:7">
      <c r="A9" s="3" t="s">
        <v>2</v>
      </c>
      <c r="B9" s="3" t="s">
        <v>31</v>
      </c>
      <c r="C9" s="3" t="s">
        <v>3</v>
      </c>
      <c r="D9" s="3" t="s">
        <v>32</v>
      </c>
      <c r="E9" s="4" t="s">
        <v>28</v>
      </c>
      <c r="F9" s="5" t="s">
        <v>29</v>
      </c>
      <c r="G9" s="6" t="s">
        <v>7</v>
      </c>
    </row>
    <row r="10" ht="23" customHeight="1" spans="1:7">
      <c r="A10" s="7">
        <v>1</v>
      </c>
      <c r="B10" s="8">
        <v>46132</v>
      </c>
      <c r="C10" s="12" t="s">
        <v>23</v>
      </c>
      <c r="D10" s="9" t="s">
        <v>39</v>
      </c>
      <c r="E10" s="10">
        <v>2</v>
      </c>
      <c r="F10" s="9"/>
      <c r="G10" s="9"/>
    </row>
    <row r="11" ht="23" customHeight="1" spans="1:7">
      <c r="A11" s="7">
        <v>2</v>
      </c>
      <c r="B11" s="8">
        <v>46132</v>
      </c>
      <c r="C11" s="12" t="s">
        <v>24</v>
      </c>
      <c r="D11" s="9" t="s">
        <v>39</v>
      </c>
      <c r="E11" s="10">
        <v>2</v>
      </c>
      <c r="F11" s="9"/>
      <c r="G11" s="9"/>
    </row>
    <row r="12" ht="23" customHeight="1" spans="1:7">
      <c r="A12" s="11"/>
      <c r="B12" s="9"/>
      <c r="C12" s="11"/>
      <c r="D12" s="9"/>
      <c r="E12" s="9">
        <f>SUM(E10:E11)</f>
        <v>4</v>
      </c>
      <c r="F12" s="9">
        <f>SUM(F10:F11)</f>
        <v>0</v>
      </c>
      <c r="G12" s="9"/>
    </row>
    <row r="14" ht="21" customHeight="1"/>
  </sheetData>
  <mergeCells count="2">
    <mergeCell ref="A1:G1"/>
    <mergeCell ref="A8:G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Sheet2</vt:lpstr>
      <vt:lpstr>配送汇总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2026-03-06T10:12:00Z</dcterms:created>
  <dcterms:modified xsi:type="dcterms:W3CDTF">2026-04-17T01:57:22Z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583C41B41CAE4274B2C3D260166A69D5_11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