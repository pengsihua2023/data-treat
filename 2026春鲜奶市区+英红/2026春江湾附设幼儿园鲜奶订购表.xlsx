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080" windowHeight="12375"/>
  </bookViews>
  <sheets>
    <sheet name="Sheet1" sheetId="1" r:id="rId1"/>
    <sheet name="3.30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<sst xmlns="http://schemas.openxmlformats.org/spreadsheetml/2006/main" count="37" uniqueCount="27">
  <si>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江湾附设幼儿园鲜奶订购表</t>
  </si>
  <si>
    <t>序号</t>
  </si>
  <si>
    <t>姓名</t>
  </si>
  <si>
    <t>订购份数</t>
  </si>
  <si>
    <t>总计</t>
  </si>
  <si>
    <t>上学期剩余</t>
  </si>
  <si>
    <t>已送总计</t>
  </si>
  <si>
    <t>剩余</t>
  </si>
  <si>
    <t>陆艺扬</t>
  </si>
  <si>
    <t>100支（鲜奶）</t>
  </si>
  <si>
    <t>送齐</t>
  </si>
  <si>
    <t>黄园1</t>
  </si>
  <si>
    <t>120订学赠</t>
  </si>
  <si>
    <t>黄园2</t>
  </si>
  <si>
    <t>李婧菲</t>
  </si>
  <si>
    <t>3.27重新下单100支纯奶</t>
  </si>
  <si>
    <t>李歆冉</t>
  </si>
  <si>
    <t>吴煜宁</t>
  </si>
  <si>
    <t>莫小英</t>
  </si>
  <si>
    <t>李梓涵</t>
  </si>
  <si>
    <t>李一凡</t>
  </si>
  <si>
    <r>
      <rPr>
        <sz val="12"/>
        <color theme="1"/>
        <rFont val="宋体"/>
        <charset val="134"/>
        <scheme val="minor"/>
      </rPr>
      <t>100支（</t>
    </r>
    <r>
      <rPr>
        <sz val="12"/>
        <color rgb="FFFF0000"/>
        <rFont val="宋体"/>
        <charset val="134"/>
        <scheme val="minor"/>
      </rPr>
      <t>酸奶</t>
    </r>
    <r>
      <rPr>
        <sz val="12"/>
        <color theme="1"/>
        <rFont val="宋体"/>
        <charset val="134"/>
        <scheme val="minor"/>
      </rPr>
      <t>）</t>
    </r>
  </si>
  <si>
    <t>补送</t>
  </si>
  <si>
    <t>鲜</t>
  </si>
  <si>
    <t>鲜奶</t>
  </si>
  <si>
    <t>酸</t>
  </si>
  <si>
    <t>酸奶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</si>
</sst>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Calibri"/>
      <charset val="134"/>
    </font>
    <font>
      <b/>
      <sz val="12"/>
      <name val="宋体"/>
      <charset val="134"/>
    </font>
    <font>
      <sz val="12"/>
      <name val="宋体"/>
      <charset val="134"/>
    </font>
    <font>
      <sz val="12"/>
      <color rgb="FFFF0000"/>
      <name val="宋体"/>
      <charset val="134"/>
    </font>
    <font>
      <sz val="12"/>
      <color rgb="FF626B7D"/>
      <name val="宋体"/>
      <charset val="134"/>
    </font>
    <font>
      <sz val="12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2"/>
      <color rgb="FF000000"/>
      <name val="宋体"/>
      <charset val="134"/>
    </font>
    <font>
      <sz val="1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5" applyNumberFormat="0" applyAlignment="0" applyProtection="0">
      <alignment vertical="center"/>
    </xf>
    <xf numFmtId="0" fontId="22" fillId="5" borderId="6" applyNumberFormat="0" applyAlignment="0" applyProtection="0">
      <alignment vertical="center"/>
    </xf>
    <xf numFmtId="0" fontId="23" fillId="5" borderId="5" applyNumberFormat="0" applyAlignment="0" applyProtection="0">
      <alignment vertical="center"/>
    </xf>
    <xf numFmtId="0" fontId="24" fillId="6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/>
    <xf numFmtId="0" fontId="2" fillId="0" borderId="0" xfId="0" applyFont="1" applyFill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left" vertical="center" wrapText="1"/>
    </xf>
    <xf numFmtId="0" fontId="1" fillId="0" borderId="1" xfId="0" applyNumberFormat="1" applyFont="1" applyFill="1" applyBorder="1" applyAlignment="1">
      <alignment vertical="center"/>
    </xf>
    <xf numFmtId="0" fontId="5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58" fontId="5" fillId="0" borderId="1" xfId="0" applyNumberFormat="1" applyFont="1" applyFill="1" applyBorder="1" applyAlignment="1">
      <alignment horizontal="center" vertical="center"/>
    </xf>
    <xf numFmtId="58" fontId="6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58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/>
    <xf numFmtId="0" fontId="12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D20"/>
  <sheetViews>
    <sheetView tabSelected="1" topLeftCell="BO1" workbookViewId="0">
      <selection activeCell="BY18" sqref="BY18"/>
    </sheetView>
  </sheetViews>
  <sheetFormatPr defaultColWidth="9" defaultRowHeight="14.25"/>
  <cols>
    <col min="1" max="1" width="9" style="4"/>
    <col min="2" max="2" width="9" style="2"/>
    <col min="3" max="3" width="18.625" style="2" customWidth="1"/>
    <col min="4" max="13" width="6" style="2" hidden="1" customWidth="1"/>
    <col min="14" max="14" width="9.625" style="2" hidden="1" customWidth="1"/>
    <col min="15" max="24" width="6" style="2" hidden="1" customWidth="1"/>
    <col min="25" max="25" width="6.875" style="2" hidden="1" customWidth="1"/>
    <col min="26" max="26" width="10.125" style="2" hidden="1" customWidth="1"/>
    <col min="27" max="30" width="5.25" style="2" hidden="1" customWidth="1"/>
    <col min="31" max="57" width="0.108333333333333" style="2" hidden="1" customWidth="1"/>
    <col min="58" max="60" width="0.108333333333333" style="2" customWidth="1"/>
    <col min="61" max="63" width="0.125" style="2" customWidth="1"/>
    <col min="64" max="70" width="9.125" style="2" customWidth="1"/>
    <col min="71" max="71" width="7.375" style="2" customWidth="1"/>
    <col min="72" max="72" width="7.625" style="2" customWidth="1"/>
    <col min="73" max="78" width="9" style="2" customWidth="1"/>
    <col min="79" max="80" width="9" style="2"/>
    <col min="81" max="81" width="11.5" style="2" customWidth="1"/>
    <col min="82" max="16384" width="9" style="2"/>
  </cols>
  <sheetData>
    <row r="1" s="1" customFormat="1" ht="40" customHeight="1" spans="1:8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</row>
    <row r="2" s="1" customFormat="1" ht="29" customHeight="1" spans="1:82">
      <c r="A2" s="8" t="s">
        <v>1</v>
      </c>
      <c r="B2" s="8" t="s">
        <v>2</v>
      </c>
      <c r="C2" s="9" t="s">
        <v>3</v>
      </c>
      <c r="D2" s="10">
        <v>45789</v>
      </c>
      <c r="E2" s="10">
        <v>45796</v>
      </c>
      <c r="F2" s="10">
        <v>45799</v>
      </c>
      <c r="G2" s="10">
        <v>45803</v>
      </c>
      <c r="H2" s="10">
        <v>45806</v>
      </c>
      <c r="I2" s="10">
        <v>45811</v>
      </c>
      <c r="J2" s="10">
        <v>45817</v>
      </c>
      <c r="K2" s="10">
        <v>45820</v>
      </c>
      <c r="L2" s="10">
        <v>45824</v>
      </c>
      <c r="M2" s="10">
        <v>45827</v>
      </c>
      <c r="N2" s="10">
        <v>45831</v>
      </c>
      <c r="O2" s="10">
        <v>45834</v>
      </c>
      <c r="P2" s="10">
        <v>45838</v>
      </c>
      <c r="Q2" s="10">
        <v>45841</v>
      </c>
      <c r="R2" s="10">
        <v>45845</v>
      </c>
      <c r="S2" s="10">
        <v>45848</v>
      </c>
      <c r="T2" s="10">
        <v>45852</v>
      </c>
      <c r="U2" s="11">
        <v>45859</v>
      </c>
      <c r="V2" s="10">
        <v>45866</v>
      </c>
      <c r="W2" s="10"/>
      <c r="X2" s="12" t="s">
        <v>4</v>
      </c>
      <c r="Y2" s="12" t="s">
        <v>5</v>
      </c>
      <c r="Z2" s="13">
        <v>45908</v>
      </c>
      <c r="AA2" s="13">
        <v>45910</v>
      </c>
      <c r="AB2" s="13">
        <v>45915</v>
      </c>
      <c r="AC2" s="13">
        <v>45918</v>
      </c>
      <c r="AD2" s="13">
        <v>45922</v>
      </c>
      <c r="AE2" s="13">
        <v>45928</v>
      </c>
      <c r="AF2" s="13">
        <v>45939</v>
      </c>
      <c r="AG2" s="13">
        <v>45943</v>
      </c>
      <c r="AH2" s="13">
        <v>45946</v>
      </c>
      <c r="AI2" s="13">
        <v>45950</v>
      </c>
      <c r="AJ2" s="13">
        <v>45953</v>
      </c>
      <c r="AK2" s="13">
        <v>45957</v>
      </c>
      <c r="AL2" s="13">
        <v>45960</v>
      </c>
      <c r="AM2" s="13">
        <v>45964</v>
      </c>
      <c r="AN2" s="13">
        <v>45967</v>
      </c>
      <c r="AO2" s="13">
        <v>45971</v>
      </c>
      <c r="AP2" s="13">
        <v>45974</v>
      </c>
      <c r="AQ2" s="13">
        <v>45978</v>
      </c>
      <c r="AR2" s="13">
        <v>45981</v>
      </c>
      <c r="AS2" s="13">
        <v>45985</v>
      </c>
      <c r="AT2" s="13">
        <v>45988</v>
      </c>
      <c r="AU2" s="13">
        <v>45992</v>
      </c>
      <c r="AV2" s="13">
        <v>45995</v>
      </c>
      <c r="AW2" s="13">
        <v>45999</v>
      </c>
      <c r="AX2" s="13">
        <v>46002</v>
      </c>
      <c r="AY2" s="13">
        <v>46006</v>
      </c>
      <c r="AZ2" s="13">
        <v>46009</v>
      </c>
      <c r="BA2" s="13">
        <v>46013</v>
      </c>
      <c r="BB2" s="13">
        <v>46016</v>
      </c>
      <c r="BC2" s="13">
        <v>46020</v>
      </c>
      <c r="BD2" s="13">
        <v>45661</v>
      </c>
      <c r="BE2" s="13">
        <v>45665</v>
      </c>
      <c r="BF2" s="13">
        <v>46034</v>
      </c>
      <c r="BG2" s="13">
        <v>46037</v>
      </c>
      <c r="BH2" s="13">
        <v>46041</v>
      </c>
      <c r="BI2" s="13">
        <v>46044</v>
      </c>
      <c r="BJ2" s="13">
        <v>46048</v>
      </c>
      <c r="BK2" s="13">
        <v>46050</v>
      </c>
      <c r="BL2" s="13">
        <v>46090</v>
      </c>
      <c r="BM2" s="13">
        <v>46093</v>
      </c>
      <c r="BN2" s="13">
        <v>46097</v>
      </c>
      <c r="BO2" s="13">
        <v>46100</v>
      </c>
      <c r="BP2" s="13">
        <v>46104</v>
      </c>
      <c r="BQ2" s="13">
        <v>46107</v>
      </c>
      <c r="BR2" s="13">
        <v>46111</v>
      </c>
      <c r="BS2" s="13">
        <v>46114</v>
      </c>
      <c r="BT2" s="13">
        <v>46119</v>
      </c>
      <c r="BU2" s="13">
        <v>46121</v>
      </c>
      <c r="BV2" s="13">
        <v>46125</v>
      </c>
      <c r="BW2" s="13">
        <v>46128</v>
      </c>
      <c r="BX2" s="13">
        <v>46132</v>
      </c>
      <c r="BY2" s="13">
        <v>46135</v>
      </c>
      <c r="BZ2" s="13"/>
      <c r="CA2" s="12" t="s">
        <v>6</v>
      </c>
      <c r="CB2" s="12" t="s">
        <v>7</v>
      </c>
    </row>
    <row r="3" s="2" customFormat="1" spans="1:82">
      <c r="A3" s="14"/>
      <c r="B3" s="15" t="s">
        <v>8</v>
      </c>
      <c r="C3" s="16" t="s">
        <v>9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7"/>
      <c r="V3" s="16"/>
      <c r="W3" s="16"/>
      <c r="X3" s="16"/>
      <c r="Y3" s="16">
        <v>100</v>
      </c>
      <c r="Z3" s="16"/>
      <c r="AA3" s="16"/>
      <c r="AB3" s="16"/>
      <c r="AC3" s="16"/>
      <c r="AD3" s="16"/>
      <c r="AE3" s="16">
        <v>3</v>
      </c>
      <c r="AF3" s="16">
        <v>3</v>
      </c>
      <c r="AG3" s="16">
        <v>3</v>
      </c>
      <c r="AH3" s="16">
        <v>2</v>
      </c>
      <c r="AI3" s="16">
        <v>3</v>
      </c>
      <c r="AJ3" s="16">
        <v>2</v>
      </c>
      <c r="AK3" s="16">
        <v>3</v>
      </c>
      <c r="AL3" s="16">
        <v>2</v>
      </c>
      <c r="AM3" s="16">
        <v>3</v>
      </c>
      <c r="AN3" s="16">
        <v>2</v>
      </c>
      <c r="AO3" s="16">
        <v>3</v>
      </c>
      <c r="AP3" s="16">
        <v>2</v>
      </c>
      <c r="AQ3" s="16">
        <v>3</v>
      </c>
      <c r="AR3" s="16">
        <v>2</v>
      </c>
      <c r="AS3" s="16">
        <v>3</v>
      </c>
      <c r="AT3" s="16">
        <v>2</v>
      </c>
      <c r="AU3" s="16">
        <v>3</v>
      </c>
      <c r="AV3" s="16">
        <v>2</v>
      </c>
      <c r="AW3" s="16">
        <v>3</v>
      </c>
      <c r="AX3" s="16">
        <v>2</v>
      </c>
      <c r="AY3" s="16">
        <v>3</v>
      </c>
      <c r="AZ3" s="16">
        <v>2</v>
      </c>
      <c r="BA3" s="16">
        <v>3</v>
      </c>
      <c r="BB3" s="16">
        <v>2</v>
      </c>
      <c r="BC3" s="16">
        <v>3</v>
      </c>
      <c r="BD3" s="16">
        <v>4</v>
      </c>
      <c r="BE3" s="16">
        <v>2</v>
      </c>
      <c r="BF3" s="16">
        <v>3</v>
      </c>
      <c r="BG3" s="16">
        <v>2</v>
      </c>
      <c r="BH3" s="16">
        <v>3</v>
      </c>
      <c r="BI3" s="16">
        <v>2</v>
      </c>
      <c r="BJ3" s="16">
        <v>3</v>
      </c>
      <c r="BK3" s="16">
        <v>2</v>
      </c>
      <c r="BL3" s="16">
        <v>3</v>
      </c>
      <c r="BM3" s="18">
        <v>2</v>
      </c>
      <c r="BN3" s="18">
        <v>3</v>
      </c>
      <c r="BO3" s="18">
        <v>2</v>
      </c>
      <c r="BP3" s="18">
        <v>3</v>
      </c>
      <c r="BQ3" s="18">
        <v>2</v>
      </c>
      <c r="BR3" s="19" t="s">
        <v>10</v>
      </c>
      <c r="BS3" s="18"/>
      <c r="BT3" s="18"/>
      <c r="BU3" s="18"/>
      <c r="BV3" s="18"/>
      <c r="BW3" s="16"/>
      <c r="BX3" s="16"/>
      <c r="BY3" s="16"/>
      <c r="BZ3" s="16"/>
      <c r="CA3" s="20">
        <f>SUM(Z3:BU3)</f>
        <v>100</v>
      </c>
      <c r="CB3" s="20">
        <f>100-CA3</f>
        <v>0</v>
      </c>
      <c r="CC3" s="2" t="s">
        <v>5</v>
      </c>
    </row>
    <row r="4" s="2" customFormat="1" hidden="1" spans="1:82">
      <c r="A4" s="14">
        <v>6</v>
      </c>
      <c r="B4" s="15" t="s">
        <v>11</v>
      </c>
      <c r="C4" s="16"/>
      <c r="D4" s="16"/>
      <c r="E4" s="16">
        <v>3</v>
      </c>
      <c r="F4" s="16">
        <v>2</v>
      </c>
      <c r="G4" s="16">
        <v>3</v>
      </c>
      <c r="H4" s="16">
        <v>2</v>
      </c>
      <c r="I4" s="16">
        <v>4</v>
      </c>
      <c r="J4" s="16">
        <v>3</v>
      </c>
      <c r="K4" s="16">
        <v>2</v>
      </c>
      <c r="L4" s="16">
        <v>3</v>
      </c>
      <c r="M4" s="16">
        <v>2</v>
      </c>
      <c r="N4" s="16">
        <v>3</v>
      </c>
      <c r="O4" s="16">
        <v>2</v>
      </c>
      <c r="P4" s="16">
        <v>3</v>
      </c>
      <c r="Q4" s="16">
        <v>2</v>
      </c>
      <c r="R4" s="16">
        <v>3</v>
      </c>
      <c r="S4" s="16">
        <v>2</v>
      </c>
      <c r="T4" s="16">
        <v>5</v>
      </c>
      <c r="U4" s="17">
        <v>4</v>
      </c>
      <c r="V4" s="16">
        <v>5</v>
      </c>
      <c r="W4" s="16"/>
      <c r="X4" s="16">
        <f>SUM(D4:W4)</f>
        <v>53</v>
      </c>
      <c r="Y4" s="16" t="s">
        <v>12</v>
      </c>
      <c r="Z4" s="16"/>
      <c r="AA4" s="16"/>
      <c r="AB4" s="16"/>
      <c r="AC4" s="16">
        <v>12</v>
      </c>
      <c r="AD4" s="16">
        <v>18</v>
      </c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8"/>
      <c r="BN4" s="18"/>
      <c r="BO4" s="18"/>
      <c r="BP4" s="18"/>
      <c r="BQ4" s="18"/>
      <c r="BR4" s="19"/>
      <c r="BS4" s="18"/>
      <c r="BT4" s="18"/>
      <c r="BU4" s="18"/>
      <c r="BV4" s="18"/>
      <c r="BW4" s="16"/>
      <c r="BX4" s="16"/>
      <c r="BY4" s="16"/>
      <c r="BZ4" s="16"/>
      <c r="CA4" s="20"/>
      <c r="CB4" s="20"/>
    </row>
    <row r="5" s="2" customFormat="1" hidden="1" spans="1:82">
      <c r="A5" s="14">
        <v>7</v>
      </c>
      <c r="B5" s="15" t="s">
        <v>13</v>
      </c>
      <c r="C5" s="16"/>
      <c r="D5" s="16"/>
      <c r="E5" s="16">
        <v>3</v>
      </c>
      <c r="F5" s="16">
        <v>2</v>
      </c>
      <c r="G5" s="16">
        <v>3</v>
      </c>
      <c r="H5" s="16">
        <v>2</v>
      </c>
      <c r="I5" s="16">
        <v>4</v>
      </c>
      <c r="J5" s="16">
        <v>3</v>
      </c>
      <c r="K5" s="16">
        <v>2</v>
      </c>
      <c r="L5" s="16">
        <v>3</v>
      </c>
      <c r="M5" s="16">
        <v>2</v>
      </c>
      <c r="N5" s="16">
        <v>3</v>
      </c>
      <c r="O5" s="16">
        <v>2</v>
      </c>
      <c r="P5" s="16">
        <v>3</v>
      </c>
      <c r="Q5" s="16">
        <v>2</v>
      </c>
      <c r="R5" s="16">
        <v>3</v>
      </c>
      <c r="S5" s="16">
        <v>2</v>
      </c>
      <c r="T5" s="16">
        <v>5</v>
      </c>
      <c r="U5" s="17">
        <v>4</v>
      </c>
      <c r="V5" s="16">
        <v>5</v>
      </c>
      <c r="W5" s="16"/>
      <c r="X5" s="16">
        <f>SUM(D5:W5)</f>
        <v>53</v>
      </c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8"/>
      <c r="BN5" s="18"/>
      <c r="BO5" s="18"/>
      <c r="BP5" s="18"/>
      <c r="BQ5" s="18"/>
      <c r="BR5" s="19"/>
      <c r="BS5" s="18"/>
      <c r="BT5" s="18"/>
      <c r="BU5" s="18"/>
      <c r="BV5" s="18"/>
      <c r="BW5" s="16"/>
      <c r="BX5" s="16"/>
      <c r="BY5" s="16"/>
      <c r="BZ5" s="16"/>
      <c r="CA5" s="20"/>
      <c r="CB5" s="20"/>
    </row>
    <row r="6" s="2" customFormat="1" spans="1:82">
      <c r="A6" s="14"/>
      <c r="B6" s="15" t="s">
        <v>14</v>
      </c>
      <c r="C6" s="16" t="s">
        <v>9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7"/>
      <c r="V6" s="16"/>
      <c r="W6" s="16"/>
      <c r="X6" s="16"/>
      <c r="Y6" s="16">
        <v>100</v>
      </c>
      <c r="Z6" s="16"/>
      <c r="AA6" s="16"/>
      <c r="AB6" s="16"/>
      <c r="AC6" s="16"/>
      <c r="AD6" s="16"/>
      <c r="AE6" s="16">
        <v>3</v>
      </c>
      <c r="AF6" s="16">
        <v>3</v>
      </c>
      <c r="AG6" s="16">
        <v>3</v>
      </c>
      <c r="AH6" s="16">
        <v>2</v>
      </c>
      <c r="AI6" s="16">
        <v>3</v>
      </c>
      <c r="AJ6" s="16">
        <v>2</v>
      </c>
      <c r="AK6" s="16">
        <v>3</v>
      </c>
      <c r="AL6" s="16">
        <v>2</v>
      </c>
      <c r="AM6" s="16">
        <v>3</v>
      </c>
      <c r="AN6" s="16">
        <v>2</v>
      </c>
      <c r="AO6" s="16">
        <v>3</v>
      </c>
      <c r="AP6" s="16">
        <v>2</v>
      </c>
      <c r="AQ6" s="16">
        <v>3</v>
      </c>
      <c r="AR6" s="16">
        <v>2</v>
      </c>
      <c r="AS6" s="16">
        <v>3</v>
      </c>
      <c r="AT6" s="16">
        <v>2</v>
      </c>
      <c r="AU6" s="16">
        <v>3</v>
      </c>
      <c r="AV6" s="16">
        <v>2</v>
      </c>
      <c r="AW6" s="16">
        <v>3</v>
      </c>
      <c r="AX6" s="16">
        <v>2</v>
      </c>
      <c r="AY6" s="16">
        <v>3</v>
      </c>
      <c r="AZ6" s="16">
        <v>2</v>
      </c>
      <c r="BA6" s="16">
        <v>3</v>
      </c>
      <c r="BB6" s="16">
        <v>2</v>
      </c>
      <c r="BC6" s="16">
        <v>3</v>
      </c>
      <c r="BD6" s="16">
        <v>4</v>
      </c>
      <c r="BE6" s="16">
        <v>2</v>
      </c>
      <c r="BF6" s="16">
        <v>3</v>
      </c>
      <c r="BG6" s="16">
        <v>2</v>
      </c>
      <c r="BH6" s="16">
        <v>3</v>
      </c>
      <c r="BI6" s="16">
        <v>2</v>
      </c>
      <c r="BJ6" s="16">
        <v>3</v>
      </c>
      <c r="BK6" s="16">
        <v>2</v>
      </c>
      <c r="BL6" s="16">
        <v>3</v>
      </c>
      <c r="BM6" s="18">
        <v>2</v>
      </c>
      <c r="BN6" s="18">
        <v>3</v>
      </c>
      <c r="BO6" s="18">
        <v>2</v>
      </c>
      <c r="BP6" s="18">
        <v>3</v>
      </c>
      <c r="BQ6" s="18">
        <v>2</v>
      </c>
      <c r="BR6" s="19" t="s">
        <v>10</v>
      </c>
      <c r="BS6" s="18"/>
      <c r="BT6" s="18"/>
      <c r="BU6" s="18">
        <v>2</v>
      </c>
      <c r="BV6" s="18">
        <v>0</v>
      </c>
      <c r="BW6" s="18">
        <v>2</v>
      </c>
      <c r="BX6" s="21">
        <v>6</v>
      </c>
      <c r="BY6" s="18">
        <v>2</v>
      </c>
      <c r="BZ6" s="21"/>
      <c r="CA6" s="20">
        <f>SUM(BV6:BX6)</f>
        <v>8</v>
      </c>
      <c r="CB6" s="20">
        <f>100-CA6</f>
        <v>92</v>
      </c>
      <c r="CC6" s="2" t="s">
        <v>5</v>
      </c>
      <c r="CD6" s="2" t="s">
        <v>15</v>
      </c>
    </row>
    <row r="7" spans="1:82">
      <c r="A7" s="14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21"/>
      <c r="BY7" s="18"/>
      <c r="BZ7" s="21"/>
      <c r="CA7" s="16"/>
      <c r="CB7" s="16"/>
    </row>
    <row r="8" spans="1:82">
      <c r="A8" s="14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21"/>
      <c r="BY8" s="18"/>
      <c r="BZ8" s="21"/>
      <c r="CA8" s="16"/>
      <c r="CB8" s="16"/>
    </row>
    <row r="9" s="3" customFormat="1" ht="25" customHeight="1" spans="1:82">
      <c r="A9" s="22">
        <v>1</v>
      </c>
      <c r="B9" s="23" t="s">
        <v>16</v>
      </c>
      <c r="C9" s="16" t="s">
        <v>9</v>
      </c>
      <c r="D9" s="22"/>
      <c r="E9" s="22"/>
      <c r="F9" s="22"/>
      <c r="G9" s="22"/>
      <c r="H9" s="22"/>
      <c r="I9" s="22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1">
        <v>2</v>
      </c>
      <c r="BN9" s="18">
        <v>3</v>
      </c>
      <c r="BO9" s="18">
        <v>2</v>
      </c>
      <c r="BP9" s="21">
        <v>3</v>
      </c>
      <c r="BQ9" s="18">
        <v>2</v>
      </c>
      <c r="BR9" s="21">
        <v>3</v>
      </c>
      <c r="BS9" s="21">
        <v>2</v>
      </c>
      <c r="BT9" s="21">
        <v>3</v>
      </c>
      <c r="BU9" s="21">
        <v>2</v>
      </c>
      <c r="BV9" s="21">
        <v>3</v>
      </c>
      <c r="BW9" s="21">
        <v>2</v>
      </c>
      <c r="BX9" s="21">
        <v>3</v>
      </c>
      <c r="BY9" s="21">
        <v>2</v>
      </c>
      <c r="BZ9" s="21"/>
      <c r="CA9" s="24">
        <f>SUM(BL9:BX9)</f>
        <v>30</v>
      </c>
      <c r="CB9" s="20">
        <f t="shared" ref="CB7:CB13" si="0">100-CA9</f>
        <v>70</v>
      </c>
    </row>
    <row r="10" s="3" customFormat="1" ht="25" customHeight="1" spans="1:82">
      <c r="A10" s="22">
        <v>2</v>
      </c>
      <c r="B10" s="23" t="s">
        <v>17</v>
      </c>
      <c r="C10" s="16" t="s">
        <v>9</v>
      </c>
      <c r="D10" s="22"/>
      <c r="E10" s="22"/>
      <c r="F10" s="22"/>
      <c r="G10" s="22"/>
      <c r="H10" s="22"/>
      <c r="I10" s="22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1">
        <v>2</v>
      </c>
      <c r="BN10" s="18">
        <v>3</v>
      </c>
      <c r="BO10" s="18">
        <v>2</v>
      </c>
      <c r="BP10" s="21">
        <v>3</v>
      </c>
      <c r="BQ10" s="18">
        <v>2</v>
      </c>
      <c r="BR10" s="21">
        <v>3</v>
      </c>
      <c r="BS10" s="21">
        <v>2</v>
      </c>
      <c r="BT10" s="21">
        <v>3</v>
      </c>
      <c r="BU10" s="21">
        <v>2</v>
      </c>
      <c r="BV10" s="21">
        <v>3</v>
      </c>
      <c r="BW10" s="21">
        <v>2</v>
      </c>
      <c r="BX10" s="21">
        <v>3</v>
      </c>
      <c r="BY10" s="21">
        <v>2</v>
      </c>
      <c r="BZ10" s="21"/>
      <c r="CA10" s="24">
        <f>SUM(BL10:BX10)</f>
        <v>30</v>
      </c>
      <c r="CB10" s="20">
        <f t="shared" si="0"/>
        <v>70</v>
      </c>
    </row>
    <row r="11" s="3" customFormat="1" ht="25" customHeight="1" spans="1:82">
      <c r="A11" s="22">
        <v>3</v>
      </c>
      <c r="B11" s="23" t="s">
        <v>18</v>
      </c>
      <c r="C11" s="16" t="s">
        <v>9</v>
      </c>
      <c r="D11" s="22"/>
      <c r="E11" s="22"/>
      <c r="F11" s="22"/>
      <c r="G11" s="22"/>
      <c r="H11" s="22"/>
      <c r="I11" s="22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1">
        <v>2</v>
      </c>
      <c r="BN11" s="18">
        <v>3</v>
      </c>
      <c r="BO11" s="18">
        <v>2</v>
      </c>
      <c r="BP11" s="21">
        <v>3</v>
      </c>
      <c r="BQ11" s="18">
        <v>2</v>
      </c>
      <c r="BR11" s="21">
        <v>3</v>
      </c>
      <c r="BS11" s="21">
        <v>2</v>
      </c>
      <c r="BT11" s="21">
        <v>3</v>
      </c>
      <c r="BU11" s="21">
        <v>2</v>
      </c>
      <c r="BV11" s="21">
        <v>3</v>
      </c>
      <c r="BW11" s="21">
        <v>2</v>
      </c>
      <c r="BX11" s="21">
        <v>3</v>
      </c>
      <c r="BY11" s="21">
        <v>2</v>
      </c>
      <c r="BZ11" s="21"/>
      <c r="CA11" s="24">
        <f>SUM(BL11:BX11)</f>
        <v>30</v>
      </c>
      <c r="CB11" s="20">
        <f t="shared" si="0"/>
        <v>70</v>
      </c>
    </row>
    <row r="12" ht="18.75" spans="1:82">
      <c r="A12" s="22">
        <v>4</v>
      </c>
      <c r="B12" s="25" t="s">
        <v>19</v>
      </c>
      <c r="C12" s="16" t="s">
        <v>9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8"/>
      <c r="BN12" s="18">
        <v>3</v>
      </c>
      <c r="BO12" s="18">
        <v>2</v>
      </c>
      <c r="BP12" s="18">
        <v>3</v>
      </c>
      <c r="BQ12" s="18">
        <v>2</v>
      </c>
      <c r="BR12" s="18">
        <v>3</v>
      </c>
      <c r="BS12" s="21">
        <v>2</v>
      </c>
      <c r="BT12" s="18">
        <v>3</v>
      </c>
      <c r="BU12" s="21">
        <v>2</v>
      </c>
      <c r="BV12" s="18">
        <v>3</v>
      </c>
      <c r="BW12" s="21">
        <v>2</v>
      </c>
      <c r="BX12" s="21">
        <v>3</v>
      </c>
      <c r="BY12" s="21">
        <v>2</v>
      </c>
      <c r="BZ12" s="21"/>
      <c r="CA12" s="24">
        <f>SUM(BL12:BX12)</f>
        <v>28</v>
      </c>
      <c r="CB12" s="20">
        <f t="shared" si="0"/>
        <v>72</v>
      </c>
    </row>
    <row r="13" ht="36" customHeight="1" spans="1:82">
      <c r="A13" s="14">
        <v>5</v>
      </c>
      <c r="B13" s="16" t="s">
        <v>20</v>
      </c>
      <c r="C13" s="16" t="s">
        <v>21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8"/>
      <c r="BN13" s="18"/>
      <c r="BO13" s="18">
        <v>2</v>
      </c>
      <c r="BP13" s="18">
        <v>3</v>
      </c>
      <c r="BQ13" s="18">
        <v>2</v>
      </c>
      <c r="BR13" s="18">
        <v>3</v>
      </c>
      <c r="BS13" s="21">
        <v>2</v>
      </c>
      <c r="BT13" s="18">
        <v>3</v>
      </c>
      <c r="BU13" s="21">
        <v>2</v>
      </c>
      <c r="BV13" s="18">
        <v>3</v>
      </c>
      <c r="BW13" s="21">
        <v>2</v>
      </c>
      <c r="BX13" s="21">
        <v>3</v>
      </c>
      <c r="BY13" s="21">
        <v>2</v>
      </c>
      <c r="BZ13" s="21"/>
      <c r="CA13" s="24">
        <f>SUM(BL13:BX13)</f>
        <v>25</v>
      </c>
      <c r="CB13" s="20">
        <f t="shared" si="0"/>
        <v>75</v>
      </c>
    </row>
    <row r="14" spans="1:82">
      <c r="C14" s="2" t="s">
        <v>22</v>
      </c>
      <c r="BR14" s="2">
        <v>2</v>
      </c>
    </row>
    <row r="17" spans="3:77">
      <c r="C17" s="2" t="s">
        <v>23</v>
      </c>
      <c r="BN17" s="2" t="s">
        <v>24</v>
      </c>
      <c r="BO17" s="2">
        <f>SUM(BO3:BO12)</f>
        <v>12</v>
      </c>
      <c r="BP17" s="2">
        <f>SUM(BP3:BP12)</f>
        <v>18</v>
      </c>
      <c r="BQ17" s="2">
        <f>SUM(BQ3:BQ13)</f>
        <v>14</v>
      </c>
      <c r="BR17" s="2">
        <f t="shared" ref="BR17:BU17" si="1">SUM(BR9:BR12)</f>
        <v>12</v>
      </c>
      <c r="BS17" s="2">
        <f t="shared" si="1"/>
        <v>8</v>
      </c>
      <c r="BT17" s="2">
        <f t="shared" si="1"/>
        <v>12</v>
      </c>
      <c r="BU17" s="2">
        <f t="shared" ref="BU17:BY17" si="2">SUM(BU3:BU12)</f>
        <v>10</v>
      </c>
      <c r="BV17" s="2">
        <f t="shared" si="2"/>
        <v>12</v>
      </c>
      <c r="BW17" s="2">
        <f t="shared" si="2"/>
        <v>10</v>
      </c>
      <c r="BX17" s="2">
        <f t="shared" si="2"/>
        <v>18</v>
      </c>
      <c r="BY17" s="2">
        <f t="shared" si="2"/>
        <v>10</v>
      </c>
    </row>
    <row r="18" spans="3:77">
      <c r="D18" s="2" t="s">
        <v>23</v>
      </c>
    </row>
    <row r="19" spans="3:77">
      <c r="C19" s="2" t="s">
        <v>25</v>
      </c>
      <c r="BN19" s="2" t="s">
        <v>26</v>
      </c>
      <c r="BO19" s="2">
        <f>BO13</f>
        <v>2</v>
      </c>
      <c r="BR19" s="2">
        <f>SUM(BR13:BR14)</f>
        <v>5</v>
      </c>
      <c r="BS19" s="2">
        <f t="shared" ref="BS19:BV19" si="3">SUM(BS13)</f>
        <v>2</v>
      </c>
      <c r="BT19" s="2">
        <f t="shared" si="3"/>
        <v>3</v>
      </c>
      <c r="BU19" s="2">
        <f t="shared" si="3"/>
        <v>2</v>
      </c>
      <c r="BV19" s="2">
        <f t="shared" si="3"/>
        <v>3</v>
      </c>
      <c r="BW19" s="2">
        <v>2</v>
      </c>
      <c r="BX19" s="2">
        <v>3</v>
      </c>
      <c r="BY19" s="2">
        <v>2</v>
      </c>
    </row>
    <row r="20" spans="3:77">
      <c r="D20" s="2" t="s">
        <v>25</v>
      </c>
    </row>
  </sheetData>
  <mergeCells count="1">
    <mergeCell ref="A1:X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3" sqref="C2:C3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3.30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張榮強</cp:lastModifiedBy>
  <dcterms:created xsi:type="dcterms:W3CDTF">2026-03-06T09:38:00Z</dcterms:created>
  <dcterms:modified xsi:type="dcterms:W3CDTF">2026-04-17T03:37:37Z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B0034BF1F295453997439A68B205135E_11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