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firstSheet="4" activeTab="10"/>
  </bookViews>
  <sheets>
    <sheet name="Sheet1" sheetId="1" r:id="rId1"/>
    <sheet name="Sheet2" sheetId="2" r:id="rId2"/>
    <sheet name="配送汇总" sheetId="4" r:id="rId3"/>
    <sheet name="礼品" sheetId="7" r:id="rId4"/>
    <sheet name="3.9" sheetId="3" r:id="rId5"/>
    <sheet name="3.15" sheetId="5" r:id="rId6"/>
    <sheet name="3.22" sheetId="6" r:id="rId7"/>
    <sheet name="3.29" sheetId="8" r:id="rId8"/>
    <sheet name="4.7" sheetId="9" r:id="rId9"/>
    <sheet name="4.12" sheetId="10" r:id="rId10"/>
    <sheet name="4.19" sheetId="11" r:id="rId11"/>
    <sheet name="4. 26" sheetId="12" r:id="rId12"/>
  </sheets>
  <definedNames>
    <definedName name="_xlnm.Print_Area" localSheetId="10">'4.19'!$I$1:$O$29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<sst xmlns="http://schemas.openxmlformats.org/spreadsheetml/2006/main" count="1988" uniqueCount="200">
  <si>
    <t>2026春季英德市英德中学教职工巴氏鲜奶补贴订购申请表（20份起送，特殊申请除外</t>
  </si>
  <si>
    <t>本学期订购一份赠送1本笔记本+1支花梨木圆珠笔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</si>
  <si>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</si>
  <si>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</si>
  <si>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</si>
  <si>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</si>
  <si>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</si>
  <si>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</si>
  <si>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</si>
  <si>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</si>
  <si>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</si>
  <si>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</si>
  <si>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</si>
  <si>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方玉梅</t>
  </si>
  <si>
    <t>✔</t>
  </si>
  <si>
    <t>高中部</t>
  </si>
  <si>
    <t>3.31已收款</t>
  </si>
  <si>
    <t>陆关兴</t>
  </si>
  <si>
    <t>✓</t>
  </si>
  <si>
    <t>苏芝玫</t>
  </si>
  <si>
    <t>√</t>
  </si>
  <si>
    <t>李惠华</t>
  </si>
  <si>
    <t>3.30已收款</t>
  </si>
  <si>
    <t>张江奇</t>
  </si>
  <si>
    <t>潘建彬</t>
  </si>
  <si>
    <t>✓（3支）</t>
  </si>
  <si>
    <t>✓（2支）</t>
  </si>
  <si>
    <t>徐彩霞</t>
  </si>
  <si>
    <t>唐春枝</t>
  </si>
  <si>
    <t>蔡小芹</t>
  </si>
  <si>
    <t>罗近邻</t>
  </si>
  <si>
    <t>按5鲜5酸配送，4.12号新增</t>
  </si>
  <si>
    <t>4.12已收款</t>
  </si>
  <si>
    <t>佘彩霞</t>
  </si>
  <si>
    <t>黄品庆</t>
  </si>
  <si>
    <t>✅</t>
  </si>
  <si>
    <t>苏伟</t>
  </si>
  <si>
    <t>刘秀娟</t>
  </si>
  <si>
    <t>丘秀娟</t>
  </si>
  <si>
    <t>✔️</t>
  </si>
  <si>
    <t>郭丽兰</t>
  </si>
  <si>
    <t>戴春海</t>
  </si>
  <si>
    <t>龙秋霞1</t>
  </si>
  <si>
    <t>龙秋霞2</t>
  </si>
  <si>
    <t>✓（8支）</t>
  </si>
  <si>
    <t>田美林</t>
  </si>
  <si>
    <t>黄春玲</t>
  </si>
  <si>
    <t>黄小玲1</t>
  </si>
  <si>
    <t>黄小玲2</t>
  </si>
  <si>
    <t>彭劲才</t>
  </si>
  <si>
    <t>黎春婵</t>
  </si>
  <si>
    <t>侯建炬</t>
  </si>
  <si>
    <t>陈小敏</t>
  </si>
  <si>
    <t>4.1已收款</t>
  </si>
  <si>
    <t>陈月霞</t>
  </si>
  <si>
    <t>李颖红</t>
  </si>
  <si>
    <t>田园诗</t>
  </si>
  <si>
    <t>胡言羽</t>
  </si>
  <si>
    <t>黄金花</t>
  </si>
  <si>
    <t>高中部2份</t>
  </si>
  <si>
    <t>钟小梅</t>
  </si>
  <si>
    <t>蒋文仙</t>
  </si>
  <si>
    <t>邵莉萍1</t>
  </si>
  <si>
    <t>邵莉萍2</t>
  </si>
  <si>
    <t>邵莉萍3</t>
  </si>
  <si>
    <t>龙敏君</t>
  </si>
  <si>
    <t>熊欢</t>
  </si>
  <si>
    <t>✔（8支）</t>
  </si>
  <si>
    <t>✔（2支）</t>
  </si>
  <si>
    <t>2份</t>
  </si>
  <si>
    <t>黄来娣</t>
  </si>
  <si>
    <t>刘雪珍</t>
  </si>
  <si>
    <t>黄艳冬1</t>
  </si>
  <si>
    <t>黄艳冬2</t>
  </si>
  <si>
    <t>祝俊丽</t>
  </si>
  <si>
    <t>吴燕娇</t>
  </si>
  <si>
    <t>冯敬微</t>
  </si>
  <si>
    <t>叶本思</t>
  </si>
  <si>
    <t>陈剑芸</t>
  </si>
  <si>
    <t>王松</t>
  </si>
  <si>
    <t>陈丽穗1</t>
  </si>
  <si>
    <t>陈丽穗2</t>
  </si>
  <si>
    <t>林丽华1</t>
  </si>
  <si>
    <t>✔3</t>
  </si>
  <si>
    <t>✔2</t>
  </si>
  <si>
    <t>李北娟</t>
  </si>
  <si>
    <t>林丽华2</t>
  </si>
  <si>
    <t xml:space="preserve">                                                   英德市英德中学教师鲜奶领奶表</t>
  </si>
  <si>
    <t>姓名</t>
  </si>
  <si>
    <t>订购份数</t>
  </si>
  <si>
    <t>总计</t>
  </si>
  <si>
    <t>剩余</t>
  </si>
  <si>
    <t>曾庆妙1</t>
  </si>
  <si>
    <t>100支</t>
  </si>
  <si>
    <t>暂停送</t>
  </si>
  <si>
    <t>曾庆妙2</t>
  </si>
  <si>
    <t>送齐</t>
  </si>
  <si>
    <t>罗怀英</t>
  </si>
  <si>
    <t>邓彩灵</t>
  </si>
  <si>
    <t>yLr485313029</t>
  </si>
  <si>
    <t>倪妮</t>
  </si>
  <si>
    <t>请假</t>
  </si>
  <si>
    <t>包文婧</t>
  </si>
  <si>
    <t>114支</t>
  </si>
  <si>
    <t>老钟</t>
  </si>
  <si>
    <t>郭丽兰1</t>
  </si>
  <si>
    <t>郭丽兰2</t>
  </si>
  <si>
    <t>cnq618445270</t>
  </si>
  <si>
    <t>张彩琼</t>
  </si>
  <si>
    <t>郭会思1</t>
  </si>
  <si>
    <t>郭会思2</t>
  </si>
  <si>
    <t>郭会思3</t>
  </si>
  <si>
    <t>陈薇</t>
  </si>
  <si>
    <t>121支</t>
  </si>
  <si>
    <t>王舒琪</t>
  </si>
  <si>
    <t>.陈小敏</t>
  </si>
  <si>
    <t>胡少丽</t>
  </si>
  <si>
    <t>李怡菲</t>
  </si>
  <si>
    <t>陈秀珍</t>
  </si>
  <si>
    <t>张夏云</t>
  </si>
  <si>
    <t>陈怡影</t>
  </si>
  <si>
    <t>梁敏</t>
  </si>
  <si>
    <t>罗艳丽</t>
  </si>
  <si>
    <t>曾秀娟</t>
  </si>
  <si>
    <t>莫海容</t>
  </si>
  <si>
    <t>留下学期</t>
  </si>
  <si>
    <t>陈彩英</t>
  </si>
  <si>
    <t>145支</t>
  </si>
  <si>
    <t>范细英</t>
  </si>
  <si>
    <t>剩余5盒</t>
  </si>
  <si>
    <t>蓝小见1</t>
  </si>
  <si>
    <t>蓝小见2</t>
  </si>
  <si>
    <t>刘素芬1</t>
  </si>
  <si>
    <t>刘素芬2</t>
  </si>
  <si>
    <t>谭润珍1</t>
  </si>
  <si>
    <t>谭润珍2</t>
  </si>
  <si>
    <t>黄新苗</t>
  </si>
  <si>
    <t>龙永花</t>
  </si>
  <si>
    <t>杨堂伟</t>
  </si>
  <si>
    <t>陈玉静</t>
  </si>
  <si>
    <t>陈春莲</t>
  </si>
  <si>
    <t>谭秀云</t>
  </si>
  <si>
    <t>上期剩余</t>
  </si>
  <si>
    <t>罗近邻1</t>
  </si>
  <si>
    <t>罗近邻2</t>
  </si>
  <si>
    <t>黎春婵1</t>
  </si>
  <si>
    <t>黎春婵2</t>
  </si>
  <si>
    <t>黄金花1</t>
  </si>
  <si>
    <t>黄金花2</t>
  </si>
  <si>
    <t>邵莉萍</t>
  </si>
  <si>
    <t>暂时不送</t>
  </si>
  <si>
    <t>龙敏君1</t>
  </si>
  <si>
    <t>龙敏君2</t>
  </si>
  <si>
    <t>熊欢1</t>
  </si>
  <si>
    <t>林丽华</t>
  </si>
  <si>
    <t>曾庆妙</t>
  </si>
  <si>
    <t>上学期剩余</t>
  </si>
  <si>
    <t>4月份再送</t>
  </si>
  <si>
    <t>3.29增订</t>
  </si>
  <si>
    <t>上学期剩余10支，</t>
  </si>
  <si>
    <t>熊欢2</t>
  </si>
  <si>
    <t>郑春梅</t>
  </si>
  <si>
    <t>英德中学高中部教师礼品领取表</t>
  </si>
  <si>
    <t>配送日期</t>
  </si>
  <si>
    <t>礼品份（笔记本+笔）</t>
  </si>
  <si>
    <t>签字</t>
  </si>
  <si>
    <t>60份</t>
  </si>
  <si>
    <t>英德中学高中部教师鲜奶领奶表</t>
  </si>
  <si>
    <t>配送天数</t>
  </si>
  <si>
    <t>鲜</t>
  </si>
  <si>
    <t>酸</t>
  </si>
  <si>
    <t>5天</t>
  </si>
  <si>
    <t>上期剩余送齐</t>
  </si>
  <si>
    <t>每周4纯6酸</t>
  </si>
  <si>
    <t>补发</t>
  </si>
  <si>
    <t>改为每次6支</t>
  </si>
  <si>
    <t>此前不够奶，此数不计入总数</t>
  </si>
  <si>
    <t>2份，每次6鲜4酸</t>
  </si>
  <si>
    <t>一周8支，鲜酸各半</t>
  </si>
  <si>
    <t>唐春枝1</t>
  </si>
  <si>
    <t>唐春枝2</t>
  </si>
  <si>
    <t>戴春海1</t>
  </si>
  <si>
    <t>戴春海2</t>
  </si>
  <si>
    <t>4月12号再送</t>
  </si>
  <si>
    <t>新增3.29</t>
  </si>
  <si>
    <t>4.6漏送，不补送，顺延</t>
  </si>
  <si>
    <t>田美林1</t>
  </si>
  <si>
    <t>田美林2</t>
  </si>
  <si>
    <t>4.8起改为3鲜3酸</t>
  </si>
  <si>
    <t>待确认</t>
  </si>
  <si>
    <t>4.6漏送</t>
  </si>
  <si>
    <t>共2份4.13起改6鲜4酸</t>
  </si>
  <si>
    <t>4月起配送5支</t>
  </si>
  <si>
    <t>4月12号再送，3鲜2酸</t>
  </si>
  <si>
    <t>没有订购</t>
  </si>
  <si>
    <t>上期剩余已送完，3.29新增</t>
  </si>
  <si>
    <t>5酸5鲜</t>
  </si>
  <si>
    <t>4.17要求改全鲜</t>
  </si>
  <si>
    <t>4.19后配6酸</t>
  </si>
  <si>
    <t>4.19起全酸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</si>
</sst>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宋体"/>
      <charset val="134"/>
      <scheme val="minor"/>
    </font>
    <font>
      <b/>
      <sz val="18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color rgb="FF000000"/>
      <name val="宋体"/>
      <charset val="134"/>
    </font>
    <font>
      <sz val="14"/>
      <color rgb="FFFF0000"/>
      <name val="宋体"/>
      <charset val="134"/>
      <scheme val="minor"/>
    </font>
    <font>
      <sz val="10"/>
      <color rgb="FF000000"/>
      <name val="宋体"/>
      <charset val="134"/>
    </font>
    <font>
      <sz val="14"/>
      <name val="宋体"/>
      <charset val="134"/>
    </font>
    <font>
      <sz val="14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rgb="FFFF0000"/>
      <name val="宋体"/>
      <charset val="134"/>
    </font>
    <font>
      <sz val="14"/>
      <color rgb="FFFF0000"/>
      <name val="宋体"/>
      <charset val="134"/>
    </font>
    <font>
      <b/>
      <sz val="20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10"/>
      <color rgb="FFFF0000"/>
      <name val="宋体"/>
      <charset val="134"/>
    </font>
    <font>
      <b/>
      <sz val="16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sz val="16"/>
      <color rgb="FF000000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b/>
      <sz val="11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8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  <scheme val="minor"/>
    </font>
    <font>
      <sz val="12"/>
      <color rgb="FF000000"/>
      <name val="宋体"/>
      <charset val="134"/>
    </font>
    <font>
      <sz val="10"/>
      <color rgb="FF000000"/>
      <name val="宋体"/>
      <charset val="134"/>
      <scheme val="minor"/>
    </font>
    <font>
      <b/>
      <sz val="16"/>
      <color rgb="FFDE3C36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46" fillId="0" borderId="12" applyNumberFormat="0" applyFill="0" applyAlignment="0" applyProtection="0">
      <alignment vertical="center"/>
    </xf>
    <xf numFmtId="0" fontId="47" fillId="0" borderId="13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8" borderId="14" applyNumberFormat="0" applyAlignment="0" applyProtection="0">
      <alignment vertical="center"/>
    </xf>
    <xf numFmtId="0" fontId="49" fillId="9" borderId="15" applyNumberFormat="0" applyAlignment="0" applyProtection="0">
      <alignment vertical="center"/>
    </xf>
    <xf numFmtId="0" fontId="50" fillId="9" borderId="14" applyNumberFormat="0" applyAlignment="0" applyProtection="0">
      <alignment vertical="center"/>
    </xf>
    <xf numFmtId="0" fontId="51" fillId="10" borderId="16" applyNumberFormat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</cellStyleXfs>
  <cellXfs count="144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4" xfId="0" applyFont="1" applyBorder="1" applyAlignment="1">
      <alignment horizontal="center" vertical="center"/>
    </xf>
    <xf numFmtId="58" fontId="4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58" fontId="10" fillId="0" borderId="4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3" xfId="0" applyNumberFormat="1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4" fillId="0" borderId="0" xfId="0" applyFont="1">
      <alignment vertical="center"/>
    </xf>
    <xf numFmtId="0" fontId="1" fillId="0" borderId="4" xfId="0" applyNumberFormat="1" applyFont="1" applyFill="1" applyBorder="1" applyAlignment="1">
      <alignment horizontal="center" vertical="center"/>
    </xf>
    <xf numFmtId="0" fontId="21" fillId="0" borderId="4" xfId="0" applyNumberFormat="1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58" fontId="20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3" fillId="0" borderId="0" xfId="0" applyNumberFormat="1" applyFont="1" applyFill="1" applyBorder="1" applyAlignme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24" fillId="0" borderId="4" xfId="0" applyNumberFormat="1" applyFont="1" applyFill="1" applyBorder="1" applyAlignment="1">
      <alignment horizontal="left" vertical="center" wrapText="1"/>
    </xf>
    <xf numFmtId="0" fontId="24" fillId="0" borderId="4" xfId="0" applyNumberFormat="1" applyFont="1" applyFill="1" applyBorder="1" applyAlignment="1">
      <alignment horizontal="center" vertical="center" wrapText="1"/>
    </xf>
    <xf numFmtId="0" fontId="23" fillId="0" borderId="4" xfId="0" applyNumberFormat="1" applyFont="1" applyFill="1" applyBorder="1" applyAlignment="1">
      <alignment vertical="center"/>
    </xf>
    <xf numFmtId="0" fontId="25" fillId="0" borderId="4" xfId="0" applyNumberFormat="1" applyFont="1" applyFill="1" applyBorder="1" applyAlignment="1">
      <alignment horizontal="center" vertical="center"/>
    </xf>
    <xf numFmtId="0" fontId="25" fillId="0" borderId="4" xfId="0" applyNumberFormat="1" applyFont="1" applyFill="1" applyBorder="1" applyAlignment="1">
      <alignment horizontal="center" vertical="center" wrapText="1"/>
    </xf>
    <xf numFmtId="58" fontId="25" fillId="0" borderId="4" xfId="0" applyNumberFormat="1" applyFont="1" applyFill="1" applyBorder="1" applyAlignment="1">
      <alignment horizontal="center" vertical="center" wrapText="1"/>
    </xf>
    <xf numFmtId="58" fontId="25" fillId="0" borderId="4" xfId="0" applyNumberFormat="1" applyFont="1" applyFill="1" applyBorder="1" applyAlignment="1">
      <alignment horizontal="center" vertical="center"/>
    </xf>
    <xf numFmtId="0" fontId="23" fillId="0" borderId="4" xfId="0" applyNumberFormat="1" applyFont="1" applyFill="1" applyBorder="1" applyAlignment="1">
      <alignment horizontal="center" vertical="center"/>
    </xf>
    <xf numFmtId="0" fontId="26" fillId="0" borderId="4" xfId="0" applyNumberFormat="1" applyFont="1" applyFill="1" applyBorder="1" applyAlignment="1">
      <alignment horizontal="center" vertical="center"/>
    </xf>
    <xf numFmtId="0" fontId="0" fillId="0" borderId="4" xfId="0" applyFont="1" applyBorder="1">
      <alignment vertical="center"/>
    </xf>
    <xf numFmtId="0" fontId="27" fillId="0" borderId="4" xfId="0" applyFont="1" applyBorder="1" applyAlignment="1">
      <alignment horizontal="center" vertical="center"/>
    </xf>
    <xf numFmtId="0" fontId="28" fillId="0" borderId="4" xfId="0" applyNumberFormat="1" applyFont="1" applyFill="1" applyBorder="1" applyAlignment="1">
      <alignment horizontal="center" vertical="center"/>
    </xf>
    <xf numFmtId="0" fontId="0" fillId="0" borderId="0" xfId="0" applyFont="1" applyBorder="1">
      <alignment vertical="center"/>
    </xf>
    <xf numFmtId="0" fontId="28" fillId="0" borderId="0" xfId="0" applyNumberFormat="1" applyFont="1" applyFill="1" applyBorder="1" applyAlignment="1">
      <alignment horizontal="center" vertical="center"/>
    </xf>
    <xf numFmtId="58" fontId="0" fillId="0" borderId="4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58" fontId="0" fillId="0" borderId="0" xfId="0" applyNumberFormat="1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0" fillId="2" borderId="4" xfId="0" applyFont="1" applyFill="1" applyBorder="1">
      <alignment vertical="center"/>
    </xf>
    <xf numFmtId="0" fontId="0" fillId="2" borderId="0" xfId="0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0" fillId="0" borderId="4" xfId="0" applyFont="1" applyFill="1" applyBorder="1">
      <alignment vertical="center"/>
    </xf>
    <xf numFmtId="0" fontId="29" fillId="0" borderId="0" xfId="0" applyFont="1" applyBorder="1" applyAlignment="1">
      <alignment horizontal="center" vertical="center"/>
    </xf>
    <xf numFmtId="0" fontId="17" fillId="0" borderId="4" xfId="0" applyFont="1" applyBorder="1">
      <alignment vertical="center"/>
    </xf>
    <xf numFmtId="0" fontId="0" fillId="2" borderId="4" xfId="0" applyFont="1" applyFill="1" applyBorder="1" applyAlignment="1">
      <alignment horizontal="center" vertical="center"/>
    </xf>
    <xf numFmtId="0" fontId="29" fillId="0" borderId="0" xfId="0" applyFont="1" applyBorder="1" applyAlignment="1">
      <alignment horizontal="left" vertical="center"/>
    </xf>
    <xf numFmtId="0" fontId="0" fillId="0" borderId="5" xfId="0" applyFont="1" applyBorder="1" applyAlignment="1">
      <alignment horizontal="center" vertical="center"/>
    </xf>
    <xf numFmtId="0" fontId="11" fillId="0" borderId="0" xfId="0" applyNumberFormat="1" applyFont="1" applyFill="1" applyBorder="1" applyAlignment="1">
      <alignment vertical="center"/>
    </xf>
    <xf numFmtId="0" fontId="30" fillId="0" borderId="0" xfId="0" applyNumberFormat="1" applyFont="1" applyFill="1" applyBorder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4" borderId="0" xfId="0" applyFill="1">
      <alignment vertical="center"/>
    </xf>
    <xf numFmtId="0" fontId="0" fillId="0" borderId="0" xfId="0" applyFill="1">
      <alignment vertical="center"/>
    </xf>
    <xf numFmtId="0" fontId="0" fillId="5" borderId="0" xfId="0" applyFill="1">
      <alignment vertical="center"/>
    </xf>
    <xf numFmtId="0" fontId="0" fillId="0" borderId="4" xfId="0" applyBorder="1">
      <alignment vertical="center"/>
    </xf>
    <xf numFmtId="0" fontId="31" fillId="0" borderId="0" xfId="0" applyFont="1">
      <alignment vertical="center"/>
    </xf>
    <xf numFmtId="0" fontId="32" fillId="0" borderId="4" xfId="0" applyNumberFormat="1" applyFont="1" applyFill="1" applyBorder="1" applyAlignment="1">
      <alignment horizontal="left" vertical="center" wrapText="1"/>
    </xf>
    <xf numFmtId="0" fontId="31" fillId="0" borderId="0" xfId="0" applyNumberFormat="1" applyFont="1" applyFill="1" applyBorder="1" applyAlignment="1">
      <alignment vertical="center"/>
    </xf>
    <xf numFmtId="0" fontId="33" fillId="0" borderId="4" xfId="0" applyNumberFormat="1" applyFont="1" applyFill="1" applyBorder="1" applyAlignment="1">
      <alignment horizontal="center" vertical="center"/>
    </xf>
    <xf numFmtId="0" fontId="33" fillId="0" borderId="4" xfId="0" applyNumberFormat="1" applyFont="1" applyFill="1" applyBorder="1" applyAlignment="1">
      <alignment horizontal="center" vertical="center" wrapText="1"/>
    </xf>
    <xf numFmtId="58" fontId="33" fillId="0" borderId="4" xfId="0" applyNumberFormat="1" applyFont="1" applyFill="1" applyBorder="1" applyAlignment="1">
      <alignment horizontal="center" vertical="center" wrapText="1"/>
    </xf>
    <xf numFmtId="58" fontId="33" fillId="0" borderId="4" xfId="0" applyNumberFormat="1" applyFont="1" applyFill="1" applyBorder="1" applyAlignment="1">
      <alignment horizontal="center" vertical="center"/>
    </xf>
    <xf numFmtId="58" fontId="34" fillId="0" borderId="4" xfId="0" applyNumberFormat="1" applyFont="1" applyFill="1" applyBorder="1" applyAlignment="1">
      <alignment horizontal="center" vertical="center"/>
    </xf>
    <xf numFmtId="0" fontId="30" fillId="0" borderId="4" xfId="0" applyNumberFormat="1" applyFont="1" applyFill="1" applyBorder="1" applyAlignment="1">
      <alignment horizontal="center" vertical="center"/>
    </xf>
    <xf numFmtId="0" fontId="31" fillId="0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35" fillId="4" borderId="4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31" fillId="4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36" fillId="3" borderId="4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/>
    </xf>
    <xf numFmtId="0" fontId="0" fillId="4" borderId="4" xfId="0" applyFill="1" applyBorder="1">
      <alignment vertical="center"/>
    </xf>
    <xf numFmtId="0" fontId="3" fillId="3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35" fillId="0" borderId="4" xfId="0" applyFont="1" applyFill="1" applyBorder="1" applyAlignment="1">
      <alignment horizontal="center" vertical="center"/>
    </xf>
    <xf numFmtId="0" fontId="4" fillId="4" borderId="4" xfId="0" applyFont="1" applyFill="1" applyBorder="1">
      <alignment vertical="center"/>
    </xf>
    <xf numFmtId="0" fontId="36" fillId="4" borderId="0" xfId="0" applyFont="1" applyFill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31" fillId="0" borderId="0" xfId="0" applyFont="1" applyFill="1">
      <alignment vertical="center"/>
    </xf>
    <xf numFmtId="0" fontId="0" fillId="5" borderId="4" xfId="0" applyFill="1" applyBorder="1">
      <alignment vertical="center"/>
    </xf>
    <xf numFmtId="0" fontId="0" fillId="5" borderId="4" xfId="0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0" fillId="5" borderId="4" xfId="0" applyFont="1" applyFill="1" applyBorder="1" applyAlignment="1">
      <alignment horizontal="center" vertical="center"/>
    </xf>
    <xf numFmtId="0" fontId="31" fillId="5" borderId="0" xfId="0" applyFont="1" applyFill="1">
      <alignment vertical="center"/>
    </xf>
    <xf numFmtId="0" fontId="0" fillId="0" borderId="4" xfId="0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 wrapText="1"/>
    </xf>
    <xf numFmtId="0" fontId="39" fillId="0" borderId="9" xfId="0" applyFont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7" fillId="0" borderId="6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customXml" Target="../customXml/item2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33</xdr:col>
      <xdr:colOff>228600</xdr:colOff>
      <xdr:row>0</xdr:row>
      <xdr:rowOff>200025</xdr:rowOff>
    </xdr:from>
    <xdr:to>
      <xdr:col>44</xdr:col>
      <xdr:colOff>38100</xdr:colOff>
      <xdr:row>92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78190" y="200025"/>
          <a:ext cx="6515100" cy="69818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6"/>
  <sheetViews>
    <sheetView topLeftCell="B2" workbookViewId="0">
      <selection activeCell="J16" sqref="J16"/>
    </sheetView>
  </sheetViews>
  <sheetFormatPr defaultColWidth="8.89166666666667" defaultRowHeight="13.5"/>
  <cols>
    <col min="3" max="3" width="13.3333333333333" customWidth="1"/>
    <col min="8" max="8" width="17.875" customWidth="1"/>
  </cols>
  <sheetData>
    <row r="1" ht="20.4" customHeight="1" spans="1:25">
      <c r="A1" s="130" t="s">
        <v>0</v>
      </c>
      <c r="B1" s="130"/>
      <c r="C1" s="130"/>
      <c r="D1" s="130"/>
      <c r="E1" s="130"/>
      <c r="F1" s="130"/>
      <c r="G1" s="130"/>
      <c r="H1" s="130"/>
      <c r="I1" s="131"/>
      <c r="J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</row>
    <row r="2" ht="20.4" customHeight="1" spans="1:25">
      <c r="A2" s="132" t="s">
        <v>1</v>
      </c>
      <c r="B2" s="132"/>
      <c r="C2" s="132"/>
      <c r="D2" s="132"/>
      <c r="E2" s="132"/>
      <c r="F2" s="132"/>
      <c r="G2" s="132"/>
      <c r="H2" s="132"/>
      <c r="I2" s="131"/>
      <c r="J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ht="14.4" customHeight="1" spans="1:25">
      <c r="A3" s="133" t="s">
        <v>2</v>
      </c>
      <c r="B3" s="133" t="s">
        <v>3</v>
      </c>
      <c r="C3" s="133" t="s">
        <v>4</v>
      </c>
      <c r="D3" s="134" t="s">
        <v>5</v>
      </c>
      <c r="E3" s="134"/>
      <c r="F3" s="134" t="s">
        <v>6</v>
      </c>
      <c r="G3" s="134"/>
      <c r="H3" s="133" t="s">
        <v>7</v>
      </c>
      <c r="I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</row>
    <row r="4" ht="54" spans="1:25">
      <c r="A4" s="133"/>
      <c r="B4" s="133"/>
      <c r="C4" s="133"/>
      <c r="D4" s="135" t="s">
        <v>8</v>
      </c>
      <c r="E4" s="135" t="s">
        <v>9</v>
      </c>
      <c r="F4" s="135" t="s">
        <v>10</v>
      </c>
      <c r="G4" s="135" t="s">
        <v>11</v>
      </c>
      <c r="H4" s="136" t="s">
        <v>12</v>
      </c>
      <c r="I4" s="131"/>
      <c r="J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</row>
    <row r="5" spans="1:25">
      <c r="A5" s="137">
        <v>1</v>
      </c>
      <c r="B5" s="137" t="s">
        <v>13</v>
      </c>
      <c r="C5" s="137">
        <v>18922563151</v>
      </c>
      <c r="D5" s="137"/>
      <c r="E5" s="137" t="s">
        <v>14</v>
      </c>
      <c r="F5" s="137">
        <v>350</v>
      </c>
      <c r="G5" s="137">
        <v>210</v>
      </c>
      <c r="H5" s="137" t="s">
        <v>15</v>
      </c>
      <c r="I5" s="138" t="s">
        <v>16</v>
      </c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</row>
    <row r="6" spans="1:25">
      <c r="A6" s="137">
        <v>2</v>
      </c>
      <c r="B6" s="137" t="s">
        <v>17</v>
      </c>
      <c r="C6" s="137">
        <v>15992014537</v>
      </c>
      <c r="D6" s="137" t="s">
        <v>18</v>
      </c>
      <c r="E6" s="137"/>
      <c r="F6" s="137">
        <v>350</v>
      </c>
      <c r="G6" s="137">
        <v>210</v>
      </c>
      <c r="H6" s="137" t="s">
        <v>15</v>
      </c>
      <c r="I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</row>
    <row r="7" spans="1:25">
      <c r="A7" s="137">
        <v>3</v>
      </c>
      <c r="B7" s="137" t="s">
        <v>19</v>
      </c>
      <c r="C7" s="137">
        <v>13539516536</v>
      </c>
      <c r="D7" s="137" t="s">
        <v>20</v>
      </c>
      <c r="E7" s="137"/>
      <c r="F7" s="137">
        <v>350</v>
      </c>
      <c r="G7" s="137">
        <v>210</v>
      </c>
      <c r="H7" s="137" t="s">
        <v>15</v>
      </c>
      <c r="I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</row>
    <row r="8" spans="1:25">
      <c r="A8" s="137">
        <v>4</v>
      </c>
      <c r="B8" s="137" t="s">
        <v>21</v>
      </c>
      <c r="C8" s="137">
        <v>15975829024</v>
      </c>
      <c r="D8" s="137"/>
      <c r="E8" s="137" t="s">
        <v>18</v>
      </c>
      <c r="F8" s="137">
        <v>350</v>
      </c>
      <c r="G8" s="137">
        <v>210</v>
      </c>
      <c r="H8" s="137" t="s">
        <v>15</v>
      </c>
      <c r="I8" s="131" t="s">
        <v>22</v>
      </c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</row>
    <row r="9" spans="1:25">
      <c r="A9" s="137">
        <v>5</v>
      </c>
      <c r="B9" s="137" t="s">
        <v>23</v>
      </c>
      <c r="C9" s="137">
        <v>15119780019</v>
      </c>
      <c r="D9" s="137" t="s">
        <v>18</v>
      </c>
      <c r="E9" s="137"/>
      <c r="F9" s="137">
        <v>350</v>
      </c>
      <c r="G9" s="137">
        <v>210</v>
      </c>
      <c r="H9" s="137"/>
      <c r="I9" s="131" t="s">
        <v>22</v>
      </c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</row>
    <row r="10" spans="1:25">
      <c r="A10" s="137">
        <v>6</v>
      </c>
      <c r="B10" s="137" t="s">
        <v>24</v>
      </c>
      <c r="C10" s="137">
        <v>18023733988</v>
      </c>
      <c r="D10" s="137" t="s">
        <v>25</v>
      </c>
      <c r="E10" s="137" t="s">
        <v>26</v>
      </c>
      <c r="F10" s="137">
        <v>350</v>
      </c>
      <c r="G10" s="137">
        <v>210</v>
      </c>
      <c r="H10" s="137"/>
      <c r="I10" s="131" t="s">
        <v>22</v>
      </c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</row>
    <row r="11" spans="1:25">
      <c r="A11" s="137">
        <v>7</v>
      </c>
      <c r="B11" s="137" t="s">
        <v>27</v>
      </c>
      <c r="C11" s="137">
        <v>13750153593</v>
      </c>
      <c r="D11" s="137" t="s">
        <v>14</v>
      </c>
      <c r="E11" s="137"/>
      <c r="F11" s="137">
        <v>350</v>
      </c>
      <c r="G11" s="137">
        <v>210</v>
      </c>
      <c r="H11" s="137"/>
      <c r="I11" s="131" t="s">
        <v>22</v>
      </c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</row>
    <row r="12" spans="1:25">
      <c r="A12" s="137">
        <v>8</v>
      </c>
      <c r="B12" s="137" t="s">
        <v>28</v>
      </c>
      <c r="C12" s="137">
        <v>15089736142</v>
      </c>
      <c r="D12" s="137" t="s">
        <v>20</v>
      </c>
      <c r="E12" s="137"/>
      <c r="F12" s="137">
        <v>350</v>
      </c>
      <c r="G12" s="137">
        <v>210</v>
      </c>
      <c r="H12" s="137" t="s">
        <v>15</v>
      </c>
      <c r="I12" s="131" t="s">
        <v>22</v>
      </c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</row>
    <row r="13" spans="1:25">
      <c r="A13" s="137">
        <v>9</v>
      </c>
      <c r="B13" s="137" t="s">
        <v>28</v>
      </c>
      <c r="C13" s="137">
        <v>15089736142</v>
      </c>
      <c r="D13" s="137"/>
      <c r="E13" s="137" t="s">
        <v>20</v>
      </c>
      <c r="F13" s="137">
        <v>350</v>
      </c>
      <c r="G13" s="137">
        <v>210</v>
      </c>
      <c r="H13" s="137" t="s">
        <v>15</v>
      </c>
      <c r="I13" s="131" t="s">
        <v>22</v>
      </c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</row>
    <row r="14" spans="1:25">
      <c r="A14" s="137">
        <v>10</v>
      </c>
      <c r="B14" s="137" t="s">
        <v>29</v>
      </c>
      <c r="C14" s="137">
        <v>13750119581</v>
      </c>
      <c r="D14" s="137"/>
      <c r="E14" s="137" t="s">
        <v>18</v>
      </c>
      <c r="F14" s="137">
        <v>350</v>
      </c>
      <c r="G14" s="137">
        <v>210</v>
      </c>
      <c r="H14" s="137" t="s">
        <v>15</v>
      </c>
      <c r="I14" s="138" t="s">
        <v>16</v>
      </c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</row>
    <row r="15" spans="1:25">
      <c r="A15" s="137">
        <v>11</v>
      </c>
      <c r="B15" s="137" t="s">
        <v>30</v>
      </c>
      <c r="C15" s="137">
        <v>13553994870</v>
      </c>
      <c r="D15" s="139" t="s">
        <v>14</v>
      </c>
      <c r="E15" s="137" t="s">
        <v>14</v>
      </c>
      <c r="F15" s="137">
        <v>350</v>
      </c>
      <c r="G15" s="137">
        <v>210</v>
      </c>
      <c r="H15" s="137"/>
      <c r="I15" s="131" t="s">
        <v>22</v>
      </c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</row>
    <row r="16" spans="1:25">
      <c r="A16" s="137"/>
      <c r="B16" s="137" t="s">
        <v>30</v>
      </c>
      <c r="C16" s="137">
        <v>13553994871</v>
      </c>
      <c r="D16" s="139" t="s">
        <v>14</v>
      </c>
      <c r="E16" s="137" t="s">
        <v>14</v>
      </c>
      <c r="F16" s="137">
        <v>350</v>
      </c>
      <c r="G16" s="137">
        <v>210</v>
      </c>
      <c r="H16" s="137" t="s">
        <v>31</v>
      </c>
      <c r="I16" s="131" t="s">
        <v>32</v>
      </c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</row>
    <row r="17" spans="1:25">
      <c r="A17" s="137">
        <v>12</v>
      </c>
      <c r="B17" s="137" t="s">
        <v>33</v>
      </c>
      <c r="C17" s="137">
        <v>15820321536</v>
      </c>
      <c r="D17" s="137" t="s">
        <v>18</v>
      </c>
      <c r="E17" s="137" t="s">
        <v>18</v>
      </c>
      <c r="F17" s="137">
        <v>350</v>
      </c>
      <c r="G17" s="137">
        <v>210</v>
      </c>
      <c r="H17" s="137"/>
      <c r="I17" s="131" t="s">
        <v>22</v>
      </c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</row>
    <row r="18" spans="1:25">
      <c r="A18" s="137">
        <v>13</v>
      </c>
      <c r="B18" s="137" t="s">
        <v>34</v>
      </c>
      <c r="C18" s="137">
        <v>13542450005</v>
      </c>
      <c r="D18" s="137"/>
      <c r="E18" s="137" t="s">
        <v>35</v>
      </c>
      <c r="F18" s="137">
        <v>350</v>
      </c>
      <c r="G18" s="137">
        <v>210</v>
      </c>
      <c r="H18" s="137"/>
      <c r="I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</row>
    <row r="19" spans="1:25">
      <c r="A19" s="137">
        <v>14</v>
      </c>
      <c r="B19" s="137" t="s">
        <v>36</v>
      </c>
      <c r="C19" s="137">
        <v>15975855257</v>
      </c>
      <c r="D19" s="137"/>
      <c r="E19" s="137" t="s">
        <v>18</v>
      </c>
      <c r="F19" s="137">
        <v>350</v>
      </c>
      <c r="G19" s="137">
        <v>210</v>
      </c>
      <c r="H19" s="137"/>
      <c r="I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</row>
    <row r="20" spans="1:25">
      <c r="A20" s="137">
        <v>15</v>
      </c>
      <c r="B20" s="137" t="s">
        <v>37</v>
      </c>
      <c r="C20" s="137">
        <v>15975855087</v>
      </c>
      <c r="D20" s="137"/>
      <c r="E20" s="137" t="s">
        <v>18</v>
      </c>
      <c r="F20" s="137">
        <v>350</v>
      </c>
      <c r="G20" s="137">
        <v>210</v>
      </c>
      <c r="H20" s="137"/>
      <c r="I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</row>
    <row r="21" spans="1:25">
      <c r="A21" s="137">
        <v>16</v>
      </c>
      <c r="B21" s="137" t="s">
        <v>38</v>
      </c>
      <c r="C21" s="137">
        <v>13926633733</v>
      </c>
      <c r="D21" s="137" t="s">
        <v>39</v>
      </c>
      <c r="E21" s="137"/>
      <c r="F21" s="137">
        <v>350</v>
      </c>
      <c r="G21" s="137">
        <v>210</v>
      </c>
      <c r="H21" s="137" t="s">
        <v>15</v>
      </c>
      <c r="I21" s="131" t="s">
        <v>22</v>
      </c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</row>
    <row r="22" spans="1:25">
      <c r="A22" s="137">
        <v>17</v>
      </c>
      <c r="B22" s="137" t="s">
        <v>40</v>
      </c>
      <c r="C22" s="137">
        <v>13928749048</v>
      </c>
      <c r="D22" s="137" t="s">
        <v>18</v>
      </c>
      <c r="E22" s="137" t="s">
        <v>18</v>
      </c>
      <c r="F22" s="137">
        <v>350</v>
      </c>
      <c r="G22" s="137">
        <v>210</v>
      </c>
      <c r="H22" s="137"/>
      <c r="I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</row>
    <row r="23" spans="1:25">
      <c r="A23" s="137">
        <v>18</v>
      </c>
      <c r="B23" s="137" t="s">
        <v>40</v>
      </c>
      <c r="C23" s="137">
        <v>13928749048</v>
      </c>
      <c r="D23" s="131"/>
      <c r="E23" s="137" t="s">
        <v>18</v>
      </c>
      <c r="F23" s="137">
        <v>350</v>
      </c>
      <c r="G23" s="137">
        <v>210</v>
      </c>
      <c r="H23" s="137"/>
      <c r="I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</row>
    <row r="24" spans="1:25">
      <c r="A24" s="137">
        <v>19</v>
      </c>
      <c r="B24" s="137" t="s">
        <v>41</v>
      </c>
      <c r="C24" s="137">
        <v>13622436243</v>
      </c>
      <c r="D24" s="137" t="s">
        <v>18</v>
      </c>
      <c r="E24" s="137"/>
      <c r="F24" s="137">
        <v>350</v>
      </c>
      <c r="G24" s="137">
        <v>210</v>
      </c>
      <c r="H24" s="137"/>
      <c r="I24" s="138" t="s">
        <v>16</v>
      </c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</row>
    <row r="25" spans="1:25">
      <c r="A25" s="137">
        <v>20</v>
      </c>
      <c r="B25" s="137" t="s">
        <v>41</v>
      </c>
      <c r="C25" s="137">
        <v>13622436243</v>
      </c>
      <c r="D25" s="137"/>
      <c r="E25" s="137" t="s">
        <v>18</v>
      </c>
      <c r="F25" s="137">
        <v>350</v>
      </c>
      <c r="G25" s="137">
        <v>210</v>
      </c>
      <c r="H25" s="137"/>
      <c r="I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</row>
    <row r="26" spans="1:25">
      <c r="A26" s="137">
        <v>21</v>
      </c>
      <c r="B26" s="137" t="s">
        <v>42</v>
      </c>
      <c r="C26" s="137">
        <v>13415215461</v>
      </c>
      <c r="D26" s="137" t="s">
        <v>26</v>
      </c>
      <c r="E26" s="137"/>
      <c r="F26" s="137">
        <v>350</v>
      </c>
      <c r="G26" s="137">
        <v>210</v>
      </c>
      <c r="H26" s="137" t="s">
        <v>15</v>
      </c>
      <c r="I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</row>
    <row r="27" spans="1:25">
      <c r="A27" s="137">
        <v>22</v>
      </c>
      <c r="B27" s="137" t="s">
        <v>43</v>
      </c>
      <c r="C27" s="137">
        <v>13415215461</v>
      </c>
      <c r="D27" s="137"/>
      <c r="E27" s="137" t="s">
        <v>44</v>
      </c>
      <c r="F27" s="137">
        <v>350</v>
      </c>
      <c r="G27" s="137">
        <v>210</v>
      </c>
      <c r="H27" s="137" t="s">
        <v>15</v>
      </c>
      <c r="I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</row>
    <row r="28" spans="1:25">
      <c r="A28" s="137">
        <v>23</v>
      </c>
      <c r="B28" s="137" t="s">
        <v>45</v>
      </c>
      <c r="C28" s="137">
        <v>13059599516</v>
      </c>
      <c r="D28" s="137" t="s">
        <v>18</v>
      </c>
      <c r="E28" s="137"/>
      <c r="F28" s="137">
        <v>350</v>
      </c>
      <c r="G28" s="137">
        <v>210</v>
      </c>
      <c r="H28" s="137"/>
      <c r="I28" s="131" t="s">
        <v>22</v>
      </c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</row>
    <row r="29" spans="1:25">
      <c r="A29" s="137">
        <v>24</v>
      </c>
      <c r="B29" s="137" t="s">
        <v>45</v>
      </c>
      <c r="C29" s="137">
        <v>13059599516</v>
      </c>
      <c r="D29" s="137" t="s">
        <v>18</v>
      </c>
      <c r="E29" s="137"/>
      <c r="F29" s="137">
        <v>350</v>
      </c>
      <c r="G29" s="137">
        <v>210</v>
      </c>
      <c r="H29" s="137"/>
      <c r="I29" s="131" t="s">
        <v>22</v>
      </c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</row>
    <row r="30" spans="1:25">
      <c r="A30" s="137">
        <v>25</v>
      </c>
      <c r="B30" s="137" t="s">
        <v>46</v>
      </c>
      <c r="C30" s="137">
        <v>13727175060</v>
      </c>
      <c r="D30" s="137" t="s">
        <v>14</v>
      </c>
      <c r="E30" s="137"/>
      <c r="F30" s="137">
        <v>350</v>
      </c>
      <c r="G30" s="137">
        <v>210</v>
      </c>
      <c r="H30" s="137" t="s">
        <v>15</v>
      </c>
      <c r="I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</row>
    <row r="31" spans="1:25">
      <c r="A31" s="137">
        <v>26</v>
      </c>
      <c r="B31" s="137" t="s">
        <v>47</v>
      </c>
      <c r="C31" s="137">
        <v>17353020136</v>
      </c>
      <c r="D31" s="137" t="s">
        <v>14</v>
      </c>
      <c r="E31" s="137"/>
      <c r="F31" s="137">
        <v>350</v>
      </c>
      <c r="G31" s="137">
        <v>210</v>
      </c>
      <c r="H31" s="137" t="s">
        <v>15</v>
      </c>
      <c r="I31" s="131" t="s">
        <v>22</v>
      </c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</row>
    <row r="32" spans="1:25">
      <c r="A32" s="137">
        <v>27</v>
      </c>
      <c r="B32" s="137" t="s">
        <v>48</v>
      </c>
      <c r="C32" s="137">
        <v>17353020136</v>
      </c>
      <c r="D32" s="137" t="s">
        <v>14</v>
      </c>
      <c r="E32" s="137"/>
      <c r="F32" s="137">
        <v>350</v>
      </c>
      <c r="G32" s="137">
        <v>210</v>
      </c>
      <c r="H32" s="137" t="s">
        <v>15</v>
      </c>
      <c r="I32" s="131" t="s">
        <v>22</v>
      </c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</row>
    <row r="33" spans="1:25">
      <c r="A33" s="137">
        <v>28</v>
      </c>
      <c r="B33" s="137" t="s">
        <v>49</v>
      </c>
      <c r="C33" s="137">
        <v>15016674570</v>
      </c>
      <c r="D33" s="137" t="s">
        <v>18</v>
      </c>
      <c r="E33" s="137"/>
      <c r="F33" s="137">
        <v>350</v>
      </c>
      <c r="G33" s="137">
        <v>210</v>
      </c>
      <c r="H33" s="137" t="s">
        <v>15</v>
      </c>
      <c r="I33" s="138" t="s">
        <v>16</v>
      </c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</row>
    <row r="34" spans="1:25">
      <c r="A34" s="137">
        <v>29</v>
      </c>
      <c r="B34" s="137" t="s">
        <v>50</v>
      </c>
      <c r="C34" s="137">
        <v>15876348515</v>
      </c>
      <c r="D34" s="137" t="s">
        <v>18</v>
      </c>
      <c r="E34" s="137"/>
      <c r="F34" s="137">
        <v>350</v>
      </c>
      <c r="G34" s="137">
        <v>210</v>
      </c>
      <c r="H34" s="137" t="s">
        <v>15</v>
      </c>
      <c r="I34" s="131" t="s">
        <v>22</v>
      </c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</row>
    <row r="35" spans="1:25">
      <c r="A35" s="137">
        <v>30</v>
      </c>
      <c r="B35" s="137" t="s">
        <v>51</v>
      </c>
      <c r="C35" s="137">
        <v>13539525946</v>
      </c>
      <c r="D35" s="137" t="s">
        <v>18</v>
      </c>
      <c r="E35" s="137"/>
      <c r="F35" s="137">
        <v>350</v>
      </c>
      <c r="G35" s="137">
        <v>210</v>
      </c>
      <c r="H35" s="137" t="s">
        <v>15</v>
      </c>
      <c r="I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</row>
    <row r="36" spans="1:25">
      <c r="A36" s="137">
        <v>31</v>
      </c>
      <c r="B36" s="137" t="s">
        <v>52</v>
      </c>
      <c r="C36" s="137">
        <v>13413512987</v>
      </c>
      <c r="D36" s="137" t="s">
        <v>14</v>
      </c>
      <c r="E36" s="137" t="s">
        <v>14</v>
      </c>
      <c r="F36" s="137">
        <v>350</v>
      </c>
      <c r="G36" s="137">
        <v>210</v>
      </c>
      <c r="H36" s="137"/>
      <c r="I36" s="138" t="s">
        <v>53</v>
      </c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</row>
    <row r="37" spans="1:25">
      <c r="A37" s="137">
        <v>32</v>
      </c>
      <c r="B37" s="137" t="s">
        <v>54</v>
      </c>
      <c r="C37" s="137">
        <v>18926659432</v>
      </c>
      <c r="D37" s="137"/>
      <c r="E37" s="137" t="s">
        <v>39</v>
      </c>
      <c r="F37" s="137">
        <v>350</v>
      </c>
      <c r="G37" s="137">
        <v>210</v>
      </c>
      <c r="H37" s="137" t="s">
        <v>15</v>
      </c>
      <c r="I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</row>
    <row r="38" spans="1:25">
      <c r="A38" s="140">
        <v>33</v>
      </c>
      <c r="B38" s="140" t="s">
        <v>55</v>
      </c>
      <c r="C38" s="140">
        <v>13413461050</v>
      </c>
      <c r="D38" s="140" t="s">
        <v>20</v>
      </c>
      <c r="E38" s="140" t="s">
        <v>20</v>
      </c>
      <c r="F38" s="140">
        <v>350</v>
      </c>
      <c r="G38" s="140">
        <v>210</v>
      </c>
      <c r="H38" s="140"/>
      <c r="I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</row>
    <row r="39" spans="1:25">
      <c r="A39" s="141">
        <v>34</v>
      </c>
      <c r="B39" s="141" t="s">
        <v>56</v>
      </c>
      <c r="C39" s="141">
        <v>13922569599</v>
      </c>
      <c r="D39" s="141" t="s">
        <v>14</v>
      </c>
      <c r="E39" s="141" t="s">
        <v>14</v>
      </c>
      <c r="F39" s="141">
        <v>350</v>
      </c>
      <c r="G39" s="141">
        <v>210</v>
      </c>
      <c r="H39" s="141" t="s">
        <v>15</v>
      </c>
      <c r="I39" s="131" t="s">
        <v>22</v>
      </c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</row>
    <row r="40" spans="1:25">
      <c r="A40" s="141">
        <v>35</v>
      </c>
      <c r="B40" s="141" t="s">
        <v>57</v>
      </c>
      <c r="C40" s="141">
        <v>15113700322</v>
      </c>
      <c r="D40" s="141" t="s">
        <v>20</v>
      </c>
      <c r="E40" s="141" t="s">
        <v>20</v>
      </c>
      <c r="F40" s="141">
        <v>350</v>
      </c>
      <c r="G40" s="141">
        <v>210</v>
      </c>
      <c r="H40" s="141"/>
      <c r="I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</row>
    <row r="41" spans="1:25">
      <c r="A41" s="141">
        <v>36</v>
      </c>
      <c r="B41" s="141" t="s">
        <v>58</v>
      </c>
      <c r="C41" s="141">
        <v>13750117016</v>
      </c>
      <c r="D41" s="141" t="s">
        <v>14</v>
      </c>
      <c r="E41" s="141" t="s">
        <v>14</v>
      </c>
      <c r="F41" s="141">
        <v>350</v>
      </c>
      <c r="G41" s="141">
        <v>210</v>
      </c>
      <c r="H41" s="142" t="s">
        <v>59</v>
      </c>
      <c r="I41" s="138" t="s">
        <v>16</v>
      </c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</row>
    <row r="42" spans="1:25">
      <c r="A42" s="141">
        <v>37</v>
      </c>
      <c r="B42" s="141" t="s">
        <v>60</v>
      </c>
      <c r="C42" s="141">
        <v>18718226454</v>
      </c>
      <c r="D42" s="141" t="s">
        <v>26</v>
      </c>
      <c r="E42" s="141"/>
      <c r="F42" s="141"/>
      <c r="G42" s="141"/>
      <c r="H42" s="141"/>
      <c r="I42" s="131" t="s">
        <v>22</v>
      </c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</row>
    <row r="43" spans="1:25">
      <c r="A43" s="141">
        <v>38</v>
      </c>
      <c r="B43" s="141" t="s">
        <v>61</v>
      </c>
      <c r="C43" s="141">
        <v>15813253870</v>
      </c>
      <c r="D43" s="141" t="s">
        <v>14</v>
      </c>
      <c r="E43" s="141" t="s">
        <v>14</v>
      </c>
      <c r="F43" s="141">
        <v>350</v>
      </c>
      <c r="G43" s="141">
        <v>210</v>
      </c>
      <c r="H43" s="141" t="s">
        <v>15</v>
      </c>
      <c r="I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</row>
    <row r="44" spans="1:25">
      <c r="A44" s="141">
        <v>39</v>
      </c>
      <c r="B44" s="141" t="s">
        <v>62</v>
      </c>
      <c r="C44" s="141">
        <v>13610533001</v>
      </c>
      <c r="D44" s="141" t="s">
        <v>20</v>
      </c>
      <c r="E44" s="141"/>
      <c r="F44" s="141">
        <v>350</v>
      </c>
      <c r="G44" s="141">
        <v>210</v>
      </c>
      <c r="H44" s="141"/>
      <c r="I44" s="131" t="s">
        <v>22</v>
      </c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</row>
    <row r="45" spans="1:25">
      <c r="A45" s="141">
        <v>40</v>
      </c>
      <c r="B45" s="141" t="s">
        <v>63</v>
      </c>
      <c r="C45" s="141">
        <v>13610533001</v>
      </c>
      <c r="D45" s="141"/>
      <c r="E45" s="141" t="s">
        <v>20</v>
      </c>
      <c r="F45" s="141">
        <v>350</v>
      </c>
      <c r="G45" s="141">
        <v>210</v>
      </c>
      <c r="H45" s="141"/>
      <c r="I45" s="131" t="s">
        <v>22</v>
      </c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</row>
    <row r="46" spans="1:25">
      <c r="A46" s="141">
        <v>41</v>
      </c>
      <c r="B46" s="141" t="s">
        <v>64</v>
      </c>
      <c r="C46" s="141">
        <v>13610533001</v>
      </c>
      <c r="D46" s="141" t="s">
        <v>20</v>
      </c>
      <c r="E46" s="141" t="s">
        <v>20</v>
      </c>
      <c r="F46" s="141">
        <v>350</v>
      </c>
      <c r="G46" s="141">
        <v>210</v>
      </c>
      <c r="H46" s="141"/>
      <c r="I46" s="131" t="s">
        <v>22</v>
      </c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</row>
    <row r="47" spans="1:25">
      <c r="A47" s="141">
        <v>42</v>
      </c>
      <c r="B47" s="141" t="s">
        <v>65</v>
      </c>
      <c r="C47" s="141">
        <v>13631095597</v>
      </c>
      <c r="D47" s="141" t="s">
        <v>26</v>
      </c>
      <c r="E47" s="141" t="s">
        <v>26</v>
      </c>
      <c r="F47" s="141">
        <v>350</v>
      </c>
      <c r="G47" s="141">
        <v>210</v>
      </c>
      <c r="H47" s="141"/>
      <c r="I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</row>
    <row r="48" spans="1:25">
      <c r="A48" s="141">
        <v>43</v>
      </c>
      <c r="B48" s="141" t="s">
        <v>66</v>
      </c>
      <c r="C48" s="141">
        <v>18219382989</v>
      </c>
      <c r="D48" s="141" t="s">
        <v>67</v>
      </c>
      <c r="E48" s="141" t="s">
        <v>68</v>
      </c>
      <c r="F48" s="141">
        <v>350</v>
      </c>
      <c r="G48" s="141">
        <v>210</v>
      </c>
      <c r="H48" s="141" t="s">
        <v>69</v>
      </c>
      <c r="I48" s="131" t="s">
        <v>22</v>
      </c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</row>
    <row r="49" spans="1:25">
      <c r="A49" s="141">
        <v>44</v>
      </c>
      <c r="B49" s="141" t="s">
        <v>70</v>
      </c>
      <c r="C49" s="141">
        <v>13318624638</v>
      </c>
      <c r="D49" s="141" t="s">
        <v>26</v>
      </c>
      <c r="E49" s="141" t="s">
        <v>25</v>
      </c>
      <c r="F49" s="141">
        <v>350</v>
      </c>
      <c r="G49" s="141">
        <v>210</v>
      </c>
      <c r="H49" s="141"/>
      <c r="I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</row>
    <row r="50" spans="1:25">
      <c r="A50" s="141">
        <v>45</v>
      </c>
      <c r="B50" s="141" t="s">
        <v>71</v>
      </c>
      <c r="C50" s="141">
        <v>13729697284</v>
      </c>
      <c r="D50" s="141">
        <v>3</v>
      </c>
      <c r="E50" s="141">
        <v>2</v>
      </c>
      <c r="F50" s="141">
        <v>350</v>
      </c>
      <c r="G50" s="141">
        <v>210</v>
      </c>
      <c r="H50" s="141" t="s">
        <v>15</v>
      </c>
      <c r="I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</row>
    <row r="51" spans="1:25">
      <c r="A51" s="141">
        <v>46</v>
      </c>
      <c r="B51" s="141" t="s">
        <v>72</v>
      </c>
      <c r="C51" s="141">
        <v>15622186750</v>
      </c>
      <c r="D51" s="141">
        <v>3</v>
      </c>
      <c r="E51" s="141">
        <v>2</v>
      </c>
      <c r="F51" s="141"/>
      <c r="G51" s="141"/>
      <c r="H51" s="141"/>
      <c r="I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</row>
    <row r="52" spans="1:25">
      <c r="A52" s="141">
        <v>47</v>
      </c>
      <c r="B52" s="141" t="s">
        <v>73</v>
      </c>
      <c r="C52" s="141">
        <v>15622186750</v>
      </c>
      <c r="D52" s="141"/>
      <c r="E52" s="141">
        <v>5</v>
      </c>
      <c r="F52" s="141"/>
      <c r="G52" s="141"/>
      <c r="H52" s="141"/>
      <c r="I52" s="131"/>
      <c r="J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</row>
    <row r="53" spans="1:25">
      <c r="A53" s="141">
        <v>48</v>
      </c>
      <c r="B53" s="141" t="s">
        <v>74</v>
      </c>
      <c r="C53" s="141">
        <v>18922562420</v>
      </c>
      <c r="D53" s="141">
        <v>5</v>
      </c>
      <c r="E53" s="141"/>
      <c r="F53" s="141"/>
      <c r="G53" s="141"/>
      <c r="H53" s="141"/>
      <c r="I53" s="138" t="s">
        <v>53</v>
      </c>
      <c r="J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</row>
    <row r="54" spans="1:25">
      <c r="A54" s="141">
        <v>49</v>
      </c>
      <c r="B54" s="141" t="s">
        <v>75</v>
      </c>
      <c r="C54" s="141">
        <v>15766584060</v>
      </c>
      <c r="D54" s="141" t="s">
        <v>20</v>
      </c>
      <c r="E54" s="141" t="s">
        <v>20</v>
      </c>
      <c r="F54" s="141">
        <v>350</v>
      </c>
      <c r="G54" s="141">
        <v>210</v>
      </c>
      <c r="H54" s="141" t="s">
        <v>15</v>
      </c>
      <c r="I54" s="131" t="s">
        <v>22</v>
      </c>
      <c r="J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</row>
    <row r="55" spans="1:25">
      <c r="A55" s="141">
        <v>50</v>
      </c>
      <c r="B55" s="141" t="s">
        <v>76</v>
      </c>
      <c r="C55" s="141">
        <v>18998981929</v>
      </c>
      <c r="D55" s="141" t="s">
        <v>18</v>
      </c>
      <c r="E55" s="141"/>
      <c r="F55" s="141">
        <v>350</v>
      </c>
      <c r="G55" s="141">
        <v>210</v>
      </c>
      <c r="H55" s="141"/>
      <c r="I55" s="131" t="s">
        <v>22</v>
      </c>
      <c r="J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</row>
    <row r="56" spans="1:25">
      <c r="A56" s="141">
        <v>51</v>
      </c>
      <c r="B56" s="141" t="s">
        <v>77</v>
      </c>
      <c r="C56" s="141">
        <v>13631055132</v>
      </c>
      <c r="D56" s="141" t="s">
        <v>18</v>
      </c>
      <c r="E56" s="141"/>
      <c r="F56" s="141">
        <v>350</v>
      </c>
      <c r="G56" s="141">
        <v>210</v>
      </c>
      <c r="H56" s="141" t="s">
        <v>15</v>
      </c>
      <c r="I56" s="131" t="s">
        <v>22</v>
      </c>
      <c r="J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</row>
    <row r="57" spans="1:25">
      <c r="A57" s="141">
        <v>52</v>
      </c>
      <c r="B57" s="141" t="s">
        <v>78</v>
      </c>
      <c r="C57" s="141">
        <v>13250766686</v>
      </c>
      <c r="D57" s="141" t="s">
        <v>20</v>
      </c>
      <c r="E57" s="141"/>
      <c r="F57" s="141">
        <v>350</v>
      </c>
      <c r="G57" s="141">
        <v>210</v>
      </c>
      <c r="H57" s="141" t="s">
        <v>15</v>
      </c>
      <c r="I57" s="131" t="s">
        <v>22</v>
      </c>
      <c r="J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</row>
    <row r="58" spans="1:25">
      <c r="A58" s="141">
        <v>53</v>
      </c>
      <c r="B58" s="141" t="s">
        <v>79</v>
      </c>
      <c r="C58" s="141">
        <v>13679538860</v>
      </c>
      <c r="D58" s="141" t="s">
        <v>18</v>
      </c>
      <c r="E58" s="141"/>
      <c r="F58" s="141">
        <v>350</v>
      </c>
      <c r="G58" s="141">
        <v>210</v>
      </c>
      <c r="H58" s="141" t="s">
        <v>15</v>
      </c>
      <c r="I58" s="138" t="s">
        <v>16</v>
      </c>
      <c r="J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</row>
    <row r="59" spans="1:25">
      <c r="A59" s="141">
        <v>54</v>
      </c>
      <c r="B59" s="141" t="s">
        <v>80</v>
      </c>
      <c r="C59" s="141">
        <v>18922600364</v>
      </c>
      <c r="D59" s="141" t="s">
        <v>14</v>
      </c>
      <c r="E59" s="141" t="s">
        <v>14</v>
      </c>
      <c r="F59" s="141"/>
      <c r="G59" s="141"/>
      <c r="H59" s="141" t="s">
        <v>15</v>
      </c>
      <c r="I59" s="131" t="s">
        <v>22</v>
      </c>
      <c r="J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</row>
    <row r="60" spans="1:25">
      <c r="A60" s="141">
        <v>55</v>
      </c>
      <c r="B60" s="141" t="s">
        <v>81</v>
      </c>
      <c r="C60" s="141">
        <v>18922600364</v>
      </c>
      <c r="D60" s="141" t="s">
        <v>14</v>
      </c>
      <c r="E60" s="141" t="s">
        <v>14</v>
      </c>
      <c r="F60" s="141"/>
      <c r="G60" s="141"/>
      <c r="H60" s="141" t="s">
        <v>15</v>
      </c>
      <c r="I60" s="131" t="s">
        <v>22</v>
      </c>
      <c r="J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</row>
    <row r="61" spans="1:25">
      <c r="A61" s="141">
        <v>56</v>
      </c>
      <c r="B61" s="141" t="s">
        <v>82</v>
      </c>
      <c r="C61" s="141">
        <v>15323196806</v>
      </c>
      <c r="D61" s="141" t="s">
        <v>83</v>
      </c>
      <c r="E61" s="141" t="s">
        <v>84</v>
      </c>
      <c r="F61" s="141">
        <v>350</v>
      </c>
      <c r="G61" s="141">
        <v>210</v>
      </c>
      <c r="H61" s="141" t="s">
        <v>15</v>
      </c>
      <c r="I61" s="131" t="s">
        <v>22</v>
      </c>
      <c r="J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</row>
    <row r="62" spans="1:25">
      <c r="A62" s="141">
        <v>57</v>
      </c>
      <c r="B62" s="141" t="s">
        <v>85</v>
      </c>
      <c r="C62" s="141">
        <v>13824928938</v>
      </c>
      <c r="D62" s="141" t="s">
        <v>14</v>
      </c>
      <c r="E62" s="141" t="s">
        <v>14</v>
      </c>
      <c r="F62" s="141">
        <v>350</v>
      </c>
      <c r="G62" s="141">
        <v>210</v>
      </c>
      <c r="H62" s="141" t="s">
        <v>15</v>
      </c>
      <c r="I62" s="131" t="s">
        <v>22</v>
      </c>
      <c r="J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</row>
    <row r="63" spans="1:25">
      <c r="A63" s="141">
        <v>58</v>
      </c>
      <c r="B63" s="141" t="s">
        <v>86</v>
      </c>
      <c r="C63" s="143"/>
      <c r="D63" s="141">
        <v>3</v>
      </c>
      <c r="E63" s="141">
        <v>2</v>
      </c>
      <c r="F63" s="141"/>
      <c r="G63" s="141"/>
      <c r="H63" s="141"/>
      <c r="I63" s="131" t="s">
        <v>22</v>
      </c>
      <c r="J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</row>
    <row r="64" spans="1:25">
      <c r="A64" s="141"/>
      <c r="B64" s="141" t="s">
        <v>50</v>
      </c>
      <c r="C64" s="141"/>
      <c r="D64" s="141"/>
      <c r="E64" s="141"/>
      <c r="F64" s="141"/>
      <c r="G64" s="141"/>
      <c r="H64" s="141"/>
      <c r="I64" s="131" t="s">
        <v>22</v>
      </c>
      <c r="J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</row>
    <row r="65" spans="1:25">
      <c r="A65" s="141"/>
      <c r="B65" s="141"/>
      <c r="C65" s="141"/>
      <c r="D65" s="141"/>
      <c r="E65" s="141"/>
      <c r="F65" s="141"/>
      <c r="G65" s="141"/>
      <c r="H65" s="141"/>
      <c r="I65" s="131"/>
      <c r="J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</row>
    <row r="66" spans="1:25">
      <c r="A66" s="141"/>
      <c r="B66" s="141"/>
      <c r="C66" s="141"/>
      <c r="D66" s="141"/>
      <c r="E66" s="141"/>
      <c r="F66" s="141"/>
      <c r="G66" s="141"/>
      <c r="H66" s="141"/>
      <c r="I66" s="131"/>
      <c r="J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</row>
    <row r="67" spans="1:25">
      <c r="A67" s="141"/>
      <c r="B67" s="141"/>
      <c r="C67" s="141"/>
      <c r="D67" s="141"/>
      <c r="E67" s="141"/>
      <c r="F67" s="141"/>
      <c r="G67" s="141"/>
      <c r="H67" s="141"/>
      <c r="I67" s="131"/>
      <c r="J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</row>
    <row r="68" spans="1:25">
      <c r="A68" s="141"/>
      <c r="B68" s="141"/>
      <c r="C68" s="141"/>
      <c r="D68" s="141"/>
      <c r="E68" s="141"/>
      <c r="F68" s="141"/>
      <c r="G68" s="141"/>
      <c r="H68" s="141"/>
      <c r="I68" s="131"/>
      <c r="J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</row>
    <row r="69" spans="1:25">
      <c r="A69" s="141"/>
      <c r="B69" s="141"/>
      <c r="C69" s="141"/>
      <c r="D69" s="141"/>
      <c r="E69" s="141"/>
      <c r="F69" s="141"/>
      <c r="G69" s="141"/>
      <c r="H69" s="141"/>
      <c r="I69" s="131"/>
      <c r="J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</row>
    <row r="70" spans="1:25">
      <c r="A70" s="141"/>
      <c r="B70" s="141"/>
      <c r="C70" s="141"/>
      <c r="D70" s="141"/>
      <c r="E70" s="141"/>
      <c r="F70" s="141"/>
      <c r="G70" s="141"/>
      <c r="H70" s="141"/>
      <c r="I70" s="131"/>
      <c r="J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</row>
    <row r="71" spans="1:25">
      <c r="A71" s="141"/>
      <c r="B71" s="141"/>
      <c r="C71" s="141"/>
      <c r="D71" s="141"/>
      <c r="E71" s="141"/>
      <c r="F71" s="141"/>
      <c r="G71" s="141"/>
      <c r="H71" s="141"/>
      <c r="I71" s="131"/>
      <c r="J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</row>
    <row r="72" spans="1:25">
      <c r="A72" s="141"/>
      <c r="B72" s="141"/>
      <c r="C72" s="141"/>
      <c r="D72" s="141"/>
      <c r="E72" s="141"/>
      <c r="F72" s="141"/>
      <c r="G72" s="141"/>
      <c r="H72" s="141"/>
      <c r="I72" s="131"/>
      <c r="J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</row>
    <row r="73" spans="1:25">
      <c r="A73" s="141"/>
      <c r="B73" s="141"/>
      <c r="C73" s="141"/>
      <c r="D73" s="141"/>
      <c r="E73" s="141"/>
      <c r="F73" s="141"/>
      <c r="G73" s="141"/>
      <c r="H73" s="141"/>
      <c r="I73" s="131"/>
      <c r="J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</row>
    <row r="74" spans="1:25">
      <c r="A74" s="141"/>
      <c r="B74" s="141"/>
      <c r="C74" s="141"/>
      <c r="D74" s="141"/>
      <c r="E74" s="141"/>
      <c r="F74" s="141"/>
      <c r="G74" s="141"/>
      <c r="H74" s="141"/>
      <c r="I74" s="131"/>
      <c r="J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</row>
    <row r="75" spans="1:25">
      <c r="A75" s="141"/>
      <c r="B75" s="141"/>
      <c r="C75" s="141"/>
      <c r="D75" s="141"/>
      <c r="E75" s="141"/>
      <c r="F75" s="141"/>
      <c r="G75" s="141"/>
      <c r="H75" s="141"/>
      <c r="I75" s="131"/>
      <c r="J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</row>
    <row r="76" spans="1:25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</row>
    <row r="77" spans="1:25">
      <c r="A77" s="131"/>
      <c r="B77" s="131"/>
      <c r="C77" s="131"/>
      <c r="D77" s="131"/>
      <c r="E77" s="131"/>
      <c r="F77" s="131"/>
      <c r="G77" s="131"/>
      <c r="H77" s="131"/>
      <c r="I77" s="131"/>
      <c r="J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</row>
    <row r="78" spans="1:25">
      <c r="A78" s="131"/>
      <c r="B78" s="131"/>
      <c r="C78" s="131"/>
      <c r="D78" s="131"/>
      <c r="E78" s="131"/>
      <c r="F78" s="131"/>
      <c r="G78" s="131"/>
      <c r="H78" s="131"/>
      <c r="I78" s="131"/>
      <c r="J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</row>
    <row r="79" spans="1:25">
      <c r="A79" s="131"/>
      <c r="B79" s="131"/>
      <c r="C79" s="131"/>
      <c r="D79" s="131"/>
      <c r="E79" s="131"/>
      <c r="F79" s="131"/>
      <c r="G79" s="131"/>
      <c r="H79" s="131"/>
      <c r="I79" s="131"/>
      <c r="J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</row>
    <row r="80" spans="1:25">
      <c r="A80" s="131"/>
      <c r="B80" s="131"/>
      <c r="C80" s="131"/>
      <c r="D80" s="131"/>
      <c r="E80" s="131"/>
      <c r="F80" s="131"/>
      <c r="G80" s="131"/>
      <c r="H80" s="131"/>
      <c r="I80" s="131"/>
      <c r="J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</row>
    <row r="81" spans="1:25">
      <c r="A81" s="131"/>
      <c r="B81" s="131"/>
      <c r="C81" s="131"/>
      <c r="D81" s="131"/>
      <c r="E81" s="131"/>
      <c r="F81" s="131"/>
      <c r="G81" s="131"/>
      <c r="H81" s="131"/>
      <c r="I81" s="131"/>
      <c r="J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</row>
    <row r="82" spans="1:25">
      <c r="A82" s="131"/>
      <c r="B82" s="131"/>
      <c r="C82" s="131"/>
      <c r="D82" s="131"/>
      <c r="E82" s="131"/>
      <c r="F82" s="131"/>
      <c r="G82" s="131"/>
      <c r="H82" s="131"/>
      <c r="I82" s="131"/>
      <c r="J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</row>
    <row r="83" spans="1:25">
      <c r="A83" s="131"/>
      <c r="B83" s="131"/>
      <c r="C83" s="131"/>
      <c r="D83" s="131"/>
      <c r="E83" s="131"/>
      <c r="F83" s="131"/>
      <c r="G83" s="131"/>
      <c r="H83" s="131"/>
      <c r="I83" s="131"/>
      <c r="J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</row>
    <row r="84" spans="1:25">
      <c r="A84" s="131"/>
      <c r="B84" s="131"/>
      <c r="C84" s="131"/>
      <c r="D84" s="131"/>
      <c r="E84" s="131"/>
      <c r="F84" s="131"/>
      <c r="G84" s="131"/>
      <c r="H84" s="131"/>
      <c r="I84" s="131"/>
      <c r="J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</row>
    <row r="85" spans="1:25">
      <c r="A85" s="131"/>
      <c r="B85" s="131"/>
      <c r="C85" s="131"/>
      <c r="D85" s="131"/>
      <c r="E85" s="131"/>
      <c r="F85" s="131"/>
      <c r="G85" s="131"/>
      <c r="H85" s="131"/>
      <c r="I85" s="131"/>
      <c r="J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</row>
    <row r="86" spans="1:25">
      <c r="A86" s="131"/>
      <c r="B86" s="131"/>
      <c r="C86" s="131"/>
      <c r="D86" s="131"/>
      <c r="E86" s="131"/>
      <c r="F86" s="131"/>
      <c r="G86" s="131"/>
      <c r="H86" s="131"/>
      <c r="I86" s="131"/>
      <c r="J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</row>
    <row r="87" spans="1:25">
      <c r="A87" s="131"/>
      <c r="B87" s="131"/>
      <c r="C87" s="131"/>
      <c r="D87" s="131"/>
      <c r="E87" s="131"/>
      <c r="F87" s="131"/>
      <c r="G87" s="131"/>
      <c r="H87" s="131"/>
      <c r="I87" s="131"/>
      <c r="J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</row>
    <row r="88" spans="1:25">
      <c r="A88" s="131"/>
      <c r="B88" s="131"/>
      <c r="C88" s="131"/>
      <c r="D88" s="131"/>
      <c r="E88" s="131"/>
      <c r="F88" s="131"/>
      <c r="G88" s="131"/>
      <c r="H88" s="131"/>
      <c r="I88" s="131"/>
      <c r="J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</row>
    <row r="89" spans="1:25">
      <c r="A89" s="131"/>
      <c r="B89" s="131"/>
      <c r="C89" s="131"/>
      <c r="D89" s="131"/>
      <c r="E89" s="131"/>
      <c r="F89" s="131"/>
      <c r="G89" s="131"/>
      <c r="H89" s="131"/>
      <c r="I89" s="131"/>
      <c r="J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</row>
    <row r="90" spans="1:25">
      <c r="A90" s="131"/>
      <c r="B90" s="131"/>
      <c r="C90" s="131"/>
      <c r="D90" s="131"/>
      <c r="E90" s="131"/>
      <c r="F90" s="131"/>
      <c r="G90" s="131"/>
      <c r="H90" s="131"/>
      <c r="I90" s="131"/>
      <c r="J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</row>
    <row r="91" spans="1:25">
      <c r="A91" s="131"/>
      <c r="B91" s="131"/>
      <c r="C91" s="131"/>
      <c r="D91" s="131"/>
      <c r="E91" s="131"/>
      <c r="F91" s="131"/>
      <c r="G91" s="131"/>
      <c r="H91" s="131"/>
      <c r="I91" s="131"/>
      <c r="J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</row>
    <row r="92" spans="1:25">
      <c r="A92" s="131"/>
      <c r="B92" s="131"/>
      <c r="C92" s="131"/>
      <c r="D92" s="131"/>
      <c r="E92" s="131"/>
      <c r="F92" s="131"/>
      <c r="G92" s="131"/>
      <c r="H92" s="131"/>
      <c r="I92" s="131"/>
      <c r="J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</row>
    <row r="93" spans="1:25">
      <c r="A93" s="131"/>
      <c r="B93" s="131"/>
      <c r="C93" s="131"/>
      <c r="D93" s="131"/>
      <c r="E93" s="131"/>
      <c r="F93" s="131"/>
      <c r="G93" s="131"/>
      <c r="H93" s="131"/>
      <c r="I93" s="131"/>
      <c r="J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</row>
    <row r="94" spans="1:25">
      <c r="A94" s="131"/>
      <c r="B94" s="131"/>
      <c r="C94" s="131"/>
      <c r="D94" s="131"/>
      <c r="E94" s="131"/>
      <c r="F94" s="131"/>
      <c r="G94" s="131"/>
      <c r="H94" s="131"/>
      <c r="I94" s="131"/>
      <c r="J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</row>
    <row r="95" spans="1:25">
      <c r="A95" s="131"/>
      <c r="B95" s="131"/>
      <c r="C95" s="131"/>
      <c r="D95" s="131"/>
      <c r="E95" s="131"/>
      <c r="F95" s="131"/>
      <c r="G95" s="131"/>
      <c r="H95" s="131"/>
      <c r="I95" s="131"/>
      <c r="J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</row>
    <row r="96" spans="1:25">
      <c r="A96" s="131"/>
      <c r="B96" s="131"/>
      <c r="C96" s="131"/>
      <c r="D96" s="131"/>
      <c r="E96" s="131"/>
      <c r="F96" s="131"/>
      <c r="G96" s="131"/>
      <c r="H96" s="131"/>
      <c r="I96" s="131"/>
      <c r="J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</row>
    <row r="97" spans="1:25">
      <c r="A97" s="131"/>
      <c r="B97" s="131"/>
      <c r="C97" s="131"/>
      <c r="D97" s="131"/>
      <c r="E97" s="131"/>
      <c r="F97" s="131"/>
      <c r="G97" s="131"/>
      <c r="H97" s="131"/>
      <c r="I97" s="131"/>
      <c r="J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</row>
    <row r="98" spans="1:25">
      <c r="A98" s="131"/>
      <c r="B98" s="131"/>
      <c r="C98" s="131"/>
      <c r="D98" s="131"/>
      <c r="E98" s="131"/>
      <c r="F98" s="131"/>
      <c r="G98" s="131"/>
      <c r="H98" s="131"/>
      <c r="I98" s="131"/>
      <c r="J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</row>
    <row r="99" spans="1:25">
      <c r="A99" s="131"/>
      <c r="B99" s="131"/>
      <c r="C99" s="131"/>
      <c r="D99" s="131"/>
      <c r="E99" s="131"/>
      <c r="F99" s="131"/>
      <c r="G99" s="131"/>
      <c r="H99" s="131"/>
      <c r="I99" s="131"/>
      <c r="J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</row>
    <row r="100" spans="1:25">
      <c r="A100" s="131"/>
      <c r="B100" s="131"/>
      <c r="C100" s="131"/>
      <c r="D100" s="131"/>
      <c r="E100" s="131"/>
      <c r="F100" s="131"/>
      <c r="G100" s="131"/>
      <c r="H100" s="131"/>
      <c r="I100" s="131"/>
      <c r="J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</row>
    <row r="101" spans="1:25">
      <c r="A101" s="131"/>
      <c r="B101" s="131"/>
      <c r="C101" s="131"/>
      <c r="D101" s="131"/>
      <c r="E101" s="131"/>
      <c r="F101" s="131"/>
      <c r="G101" s="131"/>
      <c r="H101" s="131"/>
      <c r="I101" s="131"/>
      <c r="J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</row>
    <row r="102" spans="1:25">
      <c r="A102" s="131"/>
      <c r="B102" s="131"/>
      <c r="C102" s="131"/>
      <c r="D102" s="131"/>
      <c r="E102" s="131"/>
      <c r="F102" s="131"/>
      <c r="G102" s="131"/>
      <c r="H102" s="131"/>
      <c r="I102" s="131"/>
      <c r="J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</row>
    <row r="103" spans="1:25">
      <c r="A103" s="131"/>
      <c r="B103" s="131"/>
      <c r="C103" s="131"/>
      <c r="D103" s="131"/>
      <c r="E103" s="131"/>
      <c r="F103" s="131"/>
      <c r="G103" s="131"/>
      <c r="H103" s="131"/>
      <c r="I103" s="131"/>
      <c r="J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</row>
    <row r="104" spans="1:25">
      <c r="A104" s="131"/>
      <c r="B104" s="131"/>
      <c r="C104" s="131"/>
      <c r="D104" s="131"/>
      <c r="E104" s="131"/>
      <c r="F104" s="131"/>
      <c r="G104" s="131"/>
      <c r="H104" s="131"/>
      <c r="I104" s="131"/>
      <c r="J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</row>
    <row r="105" spans="1:25">
      <c r="A105" s="131"/>
      <c r="B105" s="131"/>
      <c r="C105" s="131"/>
      <c r="D105" s="131"/>
      <c r="E105" s="131"/>
      <c r="F105" s="131"/>
      <c r="G105" s="131"/>
      <c r="H105" s="131"/>
      <c r="I105" s="131"/>
      <c r="J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</row>
    <row r="106" spans="1:25">
      <c r="A106" s="131"/>
      <c r="B106" s="131"/>
      <c r="C106" s="131"/>
      <c r="D106" s="131"/>
      <c r="E106" s="131"/>
      <c r="F106" s="131"/>
      <c r="G106" s="131"/>
      <c r="H106" s="131"/>
      <c r="I106" s="131"/>
      <c r="J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</row>
    <row r="107" spans="1:25">
      <c r="A107" s="131"/>
      <c r="B107" s="131"/>
      <c r="C107" s="131"/>
      <c r="D107" s="131"/>
      <c r="E107" s="131"/>
      <c r="F107" s="131"/>
      <c r="G107" s="131"/>
      <c r="H107" s="131"/>
      <c r="I107" s="131"/>
      <c r="J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</row>
    <row r="108" spans="1:25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</row>
    <row r="109" spans="1:25">
      <c r="A109" s="131"/>
      <c r="B109" s="131"/>
      <c r="C109" s="131"/>
      <c r="D109" s="131"/>
      <c r="E109" s="131"/>
      <c r="F109" s="131"/>
      <c r="G109" s="131"/>
      <c r="H109" s="131"/>
      <c r="I109" s="131"/>
      <c r="J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</row>
    <row r="110" spans="1:25">
      <c r="A110" s="131"/>
      <c r="B110" s="131"/>
      <c r="C110" s="131"/>
      <c r="D110" s="131"/>
      <c r="E110" s="131"/>
      <c r="F110" s="131"/>
      <c r="G110" s="131"/>
      <c r="H110" s="131"/>
      <c r="I110" s="131"/>
      <c r="J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</row>
    <row r="111" spans="1:25">
      <c r="A111" s="131"/>
      <c r="B111" s="131"/>
      <c r="C111" s="131"/>
      <c r="D111" s="131"/>
      <c r="E111" s="131"/>
      <c r="F111" s="131"/>
      <c r="G111" s="131"/>
      <c r="H111" s="131"/>
      <c r="I111" s="131"/>
      <c r="J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</row>
    <row r="112" spans="1:25">
      <c r="A112" s="131"/>
      <c r="B112" s="131"/>
      <c r="C112" s="131"/>
      <c r="D112" s="131"/>
      <c r="E112" s="131"/>
      <c r="F112" s="131"/>
      <c r="G112" s="131"/>
      <c r="H112" s="131"/>
      <c r="I112" s="131"/>
      <c r="J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</row>
    <row r="113" spans="1:25">
      <c r="A113" s="131"/>
      <c r="B113" s="131"/>
      <c r="C113" s="131"/>
      <c r="D113" s="131"/>
      <c r="E113" s="131"/>
      <c r="F113" s="131"/>
      <c r="G113" s="131"/>
      <c r="H113" s="131"/>
      <c r="I113" s="131"/>
      <c r="J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</row>
    <row r="114" spans="1:25">
      <c r="A114" s="131"/>
      <c r="B114" s="131"/>
      <c r="C114" s="131"/>
      <c r="D114" s="131"/>
      <c r="E114" s="131"/>
      <c r="F114" s="131"/>
      <c r="G114" s="131"/>
      <c r="H114" s="131"/>
      <c r="I114" s="131"/>
      <c r="J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</row>
    <row r="115" spans="1:25">
      <c r="A115" s="131"/>
      <c r="B115" s="131"/>
      <c r="C115" s="131"/>
      <c r="D115" s="131"/>
      <c r="E115" s="131"/>
      <c r="F115" s="131"/>
      <c r="G115" s="131"/>
      <c r="H115" s="131"/>
      <c r="I115" s="131"/>
      <c r="J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</row>
    <row r="116" spans="1:25">
      <c r="A116" s="131"/>
      <c r="B116" s="131"/>
      <c r="C116" s="131"/>
      <c r="D116" s="131"/>
      <c r="E116" s="131"/>
      <c r="F116" s="131"/>
      <c r="G116" s="131"/>
      <c r="H116" s="131"/>
      <c r="I116" s="131"/>
      <c r="J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</row>
    <row r="117" spans="1:25">
      <c r="A117" s="131"/>
      <c r="B117" s="131"/>
      <c r="C117" s="131"/>
      <c r="D117" s="131"/>
      <c r="E117" s="131"/>
      <c r="F117" s="131"/>
      <c r="G117" s="131"/>
      <c r="H117" s="131"/>
      <c r="I117" s="131"/>
      <c r="J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</row>
    <row r="118" spans="1:25">
      <c r="A118" s="131"/>
      <c r="B118" s="131"/>
      <c r="C118" s="131"/>
      <c r="D118" s="131"/>
      <c r="E118" s="131"/>
      <c r="F118" s="131"/>
      <c r="G118" s="131"/>
      <c r="H118" s="131"/>
      <c r="I118" s="131"/>
      <c r="J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</row>
    <row r="119" spans="1:25">
      <c r="A119" s="131"/>
      <c r="B119" s="131"/>
      <c r="C119" s="131"/>
      <c r="D119" s="131"/>
      <c r="E119" s="131"/>
      <c r="F119" s="131"/>
      <c r="G119" s="131"/>
      <c r="H119" s="131"/>
      <c r="I119" s="131"/>
      <c r="J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</row>
    <row r="120" spans="1:25">
      <c r="A120" s="131"/>
      <c r="B120" s="131"/>
      <c r="C120" s="131"/>
      <c r="D120" s="131"/>
      <c r="E120" s="131"/>
      <c r="F120" s="131"/>
      <c r="G120" s="131"/>
      <c r="H120" s="131"/>
      <c r="I120" s="131"/>
      <c r="J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</row>
    <row r="121" spans="1:25">
      <c r="A121" s="131"/>
      <c r="B121" s="131"/>
      <c r="C121" s="131"/>
      <c r="D121" s="131"/>
      <c r="E121" s="131"/>
      <c r="F121" s="131"/>
      <c r="G121" s="131"/>
      <c r="H121" s="131"/>
      <c r="I121" s="131"/>
      <c r="J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</row>
    <row r="122" spans="1:25">
      <c r="A122" s="131"/>
      <c r="B122" s="131"/>
      <c r="C122" s="131"/>
      <c r="D122" s="131"/>
      <c r="E122" s="131"/>
      <c r="F122" s="131"/>
      <c r="G122" s="131"/>
      <c r="H122" s="131"/>
      <c r="I122" s="131"/>
      <c r="J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</row>
    <row r="123" spans="1:25">
      <c r="A123" s="131"/>
      <c r="B123" s="131"/>
      <c r="C123" s="131"/>
      <c r="D123" s="131"/>
      <c r="E123" s="131"/>
      <c r="F123" s="131"/>
      <c r="G123" s="131"/>
      <c r="H123" s="131"/>
      <c r="I123" s="131"/>
      <c r="J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</row>
    <row r="124" spans="1:25">
      <c r="A124" s="131"/>
      <c r="B124" s="131"/>
      <c r="C124" s="131"/>
      <c r="D124" s="131"/>
      <c r="E124" s="131"/>
      <c r="F124" s="131"/>
      <c r="G124" s="131"/>
      <c r="H124" s="131"/>
      <c r="I124" s="131"/>
      <c r="J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</row>
    <row r="125" spans="1:25">
      <c r="A125" s="131"/>
      <c r="B125" s="131"/>
      <c r="C125" s="131"/>
      <c r="D125" s="131"/>
      <c r="E125" s="131"/>
      <c r="F125" s="131"/>
      <c r="G125" s="131"/>
      <c r="H125" s="131"/>
      <c r="I125" s="131"/>
      <c r="J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</row>
    <row r="126" spans="1:25">
      <c r="A126" s="131"/>
      <c r="B126" s="131"/>
      <c r="C126" s="131"/>
      <c r="D126" s="131"/>
      <c r="E126" s="131"/>
      <c r="F126" s="131"/>
      <c r="G126" s="131"/>
      <c r="H126" s="131"/>
      <c r="I126" s="131"/>
      <c r="J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</row>
    <row r="127" spans="1:25">
      <c r="A127" s="131"/>
      <c r="B127" s="131"/>
      <c r="C127" s="131"/>
      <c r="D127" s="131"/>
      <c r="E127" s="131"/>
      <c r="F127" s="131"/>
      <c r="G127" s="131"/>
      <c r="H127" s="131"/>
      <c r="I127" s="131"/>
      <c r="J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</row>
    <row r="128" spans="1:25">
      <c r="A128" s="131"/>
      <c r="B128" s="131"/>
      <c r="C128" s="131"/>
      <c r="D128" s="131"/>
      <c r="E128" s="131"/>
      <c r="F128" s="131"/>
      <c r="G128" s="131"/>
      <c r="H128" s="131"/>
      <c r="I128" s="131"/>
      <c r="J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</row>
    <row r="129" spans="1:25">
      <c r="A129" s="131"/>
      <c r="B129" s="131"/>
      <c r="C129" s="131"/>
      <c r="D129" s="131"/>
      <c r="E129" s="131"/>
      <c r="F129" s="131"/>
      <c r="G129" s="131"/>
      <c r="H129" s="131"/>
      <c r="I129" s="131"/>
      <c r="J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</row>
    <row r="130" spans="1:25">
      <c r="A130" s="131"/>
      <c r="B130" s="131"/>
      <c r="C130" s="131"/>
      <c r="D130" s="131"/>
      <c r="E130" s="131"/>
      <c r="F130" s="131"/>
      <c r="G130" s="131"/>
      <c r="H130" s="131"/>
      <c r="I130" s="131"/>
      <c r="J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</row>
    <row r="131" spans="1:25">
      <c r="A131" s="131"/>
      <c r="B131" s="131"/>
      <c r="C131" s="131"/>
      <c r="D131" s="131"/>
      <c r="E131" s="131"/>
      <c r="F131" s="131"/>
      <c r="G131" s="131"/>
      <c r="H131" s="131"/>
      <c r="I131" s="131"/>
      <c r="J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</row>
    <row r="132" spans="1:25">
      <c r="A132" s="131"/>
      <c r="B132" s="131"/>
      <c r="C132" s="131"/>
      <c r="D132" s="131"/>
      <c r="E132" s="131"/>
      <c r="F132" s="131"/>
      <c r="G132" s="131"/>
      <c r="H132" s="131"/>
      <c r="I132" s="131"/>
      <c r="J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</row>
    <row r="133" spans="1:25">
      <c r="A133" s="131"/>
      <c r="B133" s="131"/>
      <c r="C133" s="131"/>
      <c r="D133" s="131"/>
      <c r="E133" s="131"/>
      <c r="F133" s="131"/>
      <c r="G133" s="131"/>
      <c r="H133" s="131"/>
      <c r="I133" s="131"/>
      <c r="J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</row>
    <row r="134" spans="1:25">
      <c r="A134" s="131"/>
      <c r="B134" s="131"/>
      <c r="C134" s="131"/>
      <c r="D134" s="131"/>
      <c r="E134" s="131"/>
      <c r="F134" s="131"/>
      <c r="G134" s="131"/>
      <c r="H134" s="131"/>
      <c r="I134" s="131"/>
      <c r="J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</row>
    <row r="135" spans="1:25">
      <c r="A135" s="131"/>
      <c r="B135" s="131"/>
      <c r="C135" s="131"/>
      <c r="D135" s="131"/>
      <c r="E135" s="131"/>
      <c r="F135" s="131"/>
      <c r="G135" s="131"/>
      <c r="H135" s="131"/>
      <c r="I135" s="131"/>
      <c r="J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</row>
    <row r="136" spans="1:25">
      <c r="A136" s="131"/>
      <c r="B136" s="131"/>
      <c r="C136" s="131"/>
      <c r="D136" s="131"/>
      <c r="E136" s="131"/>
      <c r="F136" s="131"/>
      <c r="G136" s="131"/>
      <c r="H136" s="131"/>
      <c r="I136" s="131"/>
      <c r="J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</row>
    <row r="137" spans="1:25">
      <c r="A137" s="131"/>
      <c r="B137" s="131"/>
      <c r="C137" s="131"/>
      <c r="D137" s="131"/>
      <c r="E137" s="131"/>
      <c r="F137" s="131"/>
      <c r="G137" s="131"/>
      <c r="H137" s="131"/>
      <c r="I137" s="131"/>
      <c r="J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</row>
    <row r="138" spans="1:25">
      <c r="A138" s="131"/>
      <c r="B138" s="131"/>
      <c r="C138" s="131"/>
      <c r="D138" s="131"/>
      <c r="E138" s="131"/>
      <c r="F138" s="131"/>
      <c r="G138" s="131"/>
      <c r="H138" s="131"/>
      <c r="I138" s="131"/>
      <c r="J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</row>
    <row r="139" spans="1:25">
      <c r="A139" s="131"/>
      <c r="B139" s="131"/>
      <c r="C139" s="131"/>
      <c r="D139" s="131"/>
      <c r="E139" s="131"/>
      <c r="F139" s="131"/>
      <c r="G139" s="131"/>
      <c r="H139" s="131"/>
      <c r="I139" s="131"/>
      <c r="J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</row>
    <row r="140" spans="1:25">
      <c r="A140" s="131"/>
      <c r="B140" s="131"/>
      <c r="C140" s="131"/>
      <c r="D140" s="131"/>
      <c r="E140" s="131"/>
      <c r="F140" s="131"/>
      <c r="G140" s="131"/>
      <c r="H140" s="131"/>
      <c r="I140" s="131"/>
      <c r="J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</row>
    <row r="141" spans="1:25">
      <c r="A141" s="131"/>
      <c r="B141" s="131"/>
      <c r="C141" s="131"/>
      <c r="D141" s="131"/>
      <c r="E141" s="131"/>
      <c r="F141" s="131"/>
      <c r="G141" s="131"/>
      <c r="H141" s="131"/>
      <c r="I141" s="131"/>
      <c r="J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</row>
    <row r="142" spans="1:25">
      <c r="A142" s="131"/>
      <c r="B142" s="131"/>
      <c r="C142" s="131"/>
      <c r="D142" s="131"/>
      <c r="E142" s="131"/>
      <c r="F142" s="131"/>
      <c r="G142" s="131"/>
      <c r="H142" s="131"/>
      <c r="I142" s="131"/>
      <c r="J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</row>
    <row r="143" spans="1:25">
      <c r="A143" s="131"/>
      <c r="B143" s="131"/>
      <c r="C143" s="131"/>
      <c r="D143" s="131"/>
      <c r="E143" s="131"/>
      <c r="F143" s="131"/>
      <c r="G143" s="131"/>
      <c r="H143" s="131"/>
      <c r="I143" s="131"/>
      <c r="J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</row>
    <row r="144" spans="1:25">
      <c r="A144" s="131"/>
      <c r="B144" s="131"/>
      <c r="C144" s="131"/>
      <c r="D144" s="131"/>
      <c r="E144" s="131"/>
      <c r="F144" s="131"/>
      <c r="G144" s="131"/>
      <c r="H144" s="131"/>
      <c r="I144" s="131"/>
      <c r="J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</row>
    <row r="145" spans="1:25">
      <c r="A145" s="131"/>
      <c r="B145" s="131"/>
      <c r="C145" s="131"/>
      <c r="D145" s="131"/>
      <c r="E145" s="131"/>
      <c r="F145" s="131"/>
      <c r="G145" s="131"/>
      <c r="H145" s="131"/>
      <c r="I145" s="131"/>
      <c r="J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</row>
    <row r="146" spans="1:25">
      <c r="A146" s="131"/>
      <c r="B146" s="131"/>
      <c r="C146" s="131"/>
      <c r="D146" s="131"/>
      <c r="E146" s="131"/>
      <c r="F146" s="131"/>
      <c r="G146" s="131"/>
      <c r="H146" s="131"/>
      <c r="I146" s="131"/>
      <c r="J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</row>
    <row r="147" spans="1:25">
      <c r="A147" s="131"/>
      <c r="B147" s="131"/>
      <c r="C147" s="131"/>
      <c r="D147" s="131"/>
      <c r="E147" s="131"/>
      <c r="F147" s="131"/>
      <c r="G147" s="131"/>
      <c r="H147" s="131"/>
      <c r="I147" s="131"/>
      <c r="J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</row>
    <row r="148" spans="1:25">
      <c r="A148" s="131"/>
      <c r="B148" s="131"/>
      <c r="C148" s="131"/>
      <c r="D148" s="131"/>
      <c r="E148" s="131"/>
      <c r="F148" s="131"/>
      <c r="G148" s="131"/>
      <c r="H148" s="131"/>
      <c r="I148" s="131"/>
      <c r="J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</row>
    <row r="149" spans="1:25">
      <c r="A149" s="131"/>
      <c r="B149" s="131"/>
      <c r="C149" s="131"/>
      <c r="D149" s="131"/>
      <c r="E149" s="131"/>
      <c r="F149" s="131"/>
      <c r="G149" s="131"/>
      <c r="H149" s="131"/>
      <c r="I149" s="131"/>
      <c r="J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</row>
    <row r="150" spans="1:25">
      <c r="A150" s="131"/>
      <c r="B150" s="131"/>
      <c r="C150" s="131"/>
      <c r="D150" s="131"/>
      <c r="E150" s="131"/>
      <c r="F150" s="131"/>
      <c r="G150" s="131"/>
      <c r="H150" s="131"/>
      <c r="I150" s="131"/>
      <c r="J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</row>
    <row r="151" spans="1:25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</row>
    <row r="152" spans="1:25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</row>
    <row r="153" spans="1:25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</row>
    <row r="154" spans="1:25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</row>
    <row r="155" spans="1:25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</row>
    <row r="156" spans="1:25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</row>
  </sheetData>
  <sheetProtection formatCells="0" formatColumns="0" formatRows="0" insertRows="0" insertColumns="0" insertHyperlinks="0" deleteColumns="0" deleteRows="0" sort="0" autoFilter="0" pivotTables="0"/>
  <mergeCells count="8">
    <mergeCell ref="A1:H1"/>
    <mergeCell ref="A2:H2"/>
    <mergeCell ref="D3:E3"/>
    <mergeCell ref="F3:G3"/>
    <mergeCell ref="A3:A4"/>
    <mergeCell ref="B3:B4"/>
    <mergeCell ref="C3:C4"/>
    <mergeCell ref="I24:I25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3"/>
  <sheetViews>
    <sheetView workbookViewId="0">
      <selection activeCell="B59" sqref="B59"/>
    </sheetView>
  </sheetViews>
  <sheetFormatPr defaultColWidth="8" defaultRowHeight="14.25"/>
  <cols>
    <col min="1" max="1" width="5.5" style="86" customWidth="1"/>
    <col min="2" max="2" width="13.6333333333333" style="86" customWidth="1"/>
    <col min="3" max="3" width="7.88333333333333" style="86" customWidth="1"/>
    <col min="4" max="18" width="6.13333333333333" style="86" hidden="1" customWidth="1"/>
    <col min="19" max="19" width="6" style="86" hidden="1" customWidth="1"/>
    <col min="20" max="21" width="7" style="86" hidden="1" customWidth="1"/>
    <col min="22" max="23" width="6.13333333333333" style="86" customWidth="1"/>
    <col min="24" max="24" width="5.88333333333333" style="66" customWidth="1"/>
    <col min="25" max="25" width="6.38333333333333" style="86" customWidth="1"/>
    <col min="26" max="28" width="5.13333333333333" style="86" customWidth="1"/>
    <col min="29" max="29" width="8" style="86"/>
    <col min="30" max="30" width="8" style="87"/>
  </cols>
  <sheetData>
    <row r="1" s="79" customFormat="1" ht="31" customHeight="1" spans="1:30">
      <c r="A1" s="88" t="s">
        <v>87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52"/>
      <c r="Y1" s="88"/>
      <c r="Z1" s="88"/>
      <c r="AA1" s="88"/>
      <c r="AB1" s="88"/>
      <c r="AC1" s="88"/>
      <c r="AD1" s="89"/>
    </row>
    <row r="2" s="80" customFormat="1" ht="29" customHeight="1" spans="1:30">
      <c r="A2" s="90" t="s">
        <v>2</v>
      </c>
      <c r="B2" s="90" t="s">
        <v>88</v>
      </c>
      <c r="C2" s="91" t="s">
        <v>89</v>
      </c>
      <c r="D2" s="92">
        <v>45910</v>
      </c>
      <c r="E2" s="92">
        <v>45915</v>
      </c>
      <c r="F2" s="92">
        <v>45922</v>
      </c>
      <c r="G2" s="93">
        <v>45928</v>
      </c>
      <c r="H2" s="93">
        <v>45939</v>
      </c>
      <c r="I2" s="93">
        <v>45943</v>
      </c>
      <c r="J2" s="93">
        <v>45950</v>
      </c>
      <c r="K2" s="93">
        <v>45957</v>
      </c>
      <c r="L2" s="93">
        <v>45964</v>
      </c>
      <c r="M2" s="93">
        <v>45971</v>
      </c>
      <c r="N2" s="93">
        <v>45978</v>
      </c>
      <c r="O2" s="93">
        <v>45985</v>
      </c>
      <c r="P2" s="93">
        <v>45992</v>
      </c>
      <c r="Q2" s="93">
        <v>45999</v>
      </c>
      <c r="R2" s="93">
        <v>46006</v>
      </c>
      <c r="S2" s="93">
        <v>46013</v>
      </c>
      <c r="T2" s="93">
        <v>46020</v>
      </c>
      <c r="U2" s="93">
        <v>45661</v>
      </c>
      <c r="V2" s="93">
        <v>46034</v>
      </c>
      <c r="W2" s="93">
        <v>46041</v>
      </c>
      <c r="X2" s="94">
        <v>46048</v>
      </c>
      <c r="Y2" s="93">
        <v>46048</v>
      </c>
      <c r="Z2" s="93"/>
      <c r="AA2" s="93"/>
      <c r="AB2" s="93"/>
      <c r="AC2" s="95" t="s">
        <v>90</v>
      </c>
      <c r="AD2" s="96" t="s">
        <v>91</v>
      </c>
    </row>
    <row r="3" s="81" customFormat="1" ht="18" customHeight="1" spans="1:30">
      <c r="A3" s="97">
        <v>1</v>
      </c>
      <c r="B3" s="98" t="s">
        <v>92</v>
      </c>
      <c r="C3" s="97" t="s">
        <v>93</v>
      </c>
      <c r="D3" s="97">
        <v>5</v>
      </c>
      <c r="E3" s="97">
        <v>5</v>
      </c>
      <c r="F3" s="97">
        <v>5</v>
      </c>
      <c r="G3" s="97">
        <v>5</v>
      </c>
      <c r="H3" s="97">
        <v>5</v>
      </c>
      <c r="I3" s="97">
        <v>5</v>
      </c>
      <c r="J3" s="97">
        <v>5</v>
      </c>
      <c r="K3" s="97">
        <v>5</v>
      </c>
      <c r="L3" s="97">
        <v>5</v>
      </c>
      <c r="M3" s="97">
        <v>5</v>
      </c>
      <c r="N3" s="99" t="s">
        <v>94</v>
      </c>
      <c r="O3" s="99" t="s">
        <v>94</v>
      </c>
      <c r="P3" s="99" t="s">
        <v>94</v>
      </c>
      <c r="Q3" s="99" t="s">
        <v>94</v>
      </c>
      <c r="R3" s="99" t="s">
        <v>94</v>
      </c>
      <c r="S3" s="99" t="s">
        <v>94</v>
      </c>
      <c r="T3" s="99" t="s">
        <v>94</v>
      </c>
      <c r="U3" s="99" t="s">
        <v>94</v>
      </c>
      <c r="V3" s="99" t="s">
        <v>94</v>
      </c>
      <c r="W3" s="99" t="s">
        <v>94</v>
      </c>
      <c r="X3" s="100" t="s">
        <v>94</v>
      </c>
      <c r="Y3" s="97">
        <v>10</v>
      </c>
      <c r="Z3" s="97"/>
      <c r="AA3" s="97"/>
      <c r="AB3" s="97"/>
      <c r="AC3" s="97">
        <f t="shared" ref="AC3:AC66" si="0">SUM(D3:AB3)</f>
        <v>60</v>
      </c>
      <c r="AD3" s="101">
        <v>50</v>
      </c>
    </row>
    <row r="4" s="82" customFormat="1" ht="18" hidden="1" customHeight="1" spans="1:30">
      <c r="A4" s="102">
        <v>2</v>
      </c>
      <c r="B4" s="103" t="s">
        <v>95</v>
      </c>
      <c r="C4" s="102" t="s">
        <v>93</v>
      </c>
      <c r="D4" s="104">
        <v>5</v>
      </c>
      <c r="E4" s="104">
        <v>5</v>
      </c>
      <c r="F4" s="104">
        <v>5</v>
      </c>
      <c r="G4" s="104">
        <v>5</v>
      </c>
      <c r="H4" s="104">
        <v>5</v>
      </c>
      <c r="I4" s="104">
        <v>5</v>
      </c>
      <c r="J4" s="104">
        <v>5</v>
      </c>
      <c r="K4" s="104">
        <v>5</v>
      </c>
      <c r="L4" s="104">
        <v>5</v>
      </c>
      <c r="M4" s="104">
        <v>5</v>
      </c>
      <c r="N4" s="104">
        <v>5</v>
      </c>
      <c r="O4" s="104">
        <v>5</v>
      </c>
      <c r="P4" s="104">
        <v>5</v>
      </c>
      <c r="Q4" s="104">
        <v>5</v>
      </c>
      <c r="R4" s="104">
        <v>5</v>
      </c>
      <c r="S4" s="104">
        <v>5</v>
      </c>
      <c r="T4" s="104">
        <v>5</v>
      </c>
      <c r="U4" s="104">
        <v>5</v>
      </c>
      <c r="V4" s="104">
        <v>5</v>
      </c>
      <c r="W4" s="104">
        <v>5</v>
      </c>
      <c r="X4" s="105" t="s">
        <v>96</v>
      </c>
      <c r="Y4" s="104"/>
      <c r="Z4" s="104"/>
      <c r="AA4" s="104"/>
      <c r="AB4" s="102"/>
      <c r="AC4" s="102">
        <f t="shared" si="0"/>
        <v>100</v>
      </c>
      <c r="AD4" s="106">
        <f t="shared" ref="AD4:AD12" si="1">100-AC4</f>
        <v>0</v>
      </c>
    </row>
    <row r="5" s="82" customFormat="1" ht="18" hidden="1" customHeight="1" spans="1:30">
      <c r="A5" s="102">
        <v>3</v>
      </c>
      <c r="B5" s="107" t="s">
        <v>29</v>
      </c>
      <c r="C5" s="102" t="s">
        <v>93</v>
      </c>
      <c r="D5" s="104">
        <v>5</v>
      </c>
      <c r="E5" s="104">
        <v>5</v>
      </c>
      <c r="F5" s="104">
        <v>5</v>
      </c>
      <c r="G5" s="104">
        <v>5</v>
      </c>
      <c r="H5" s="104">
        <v>5</v>
      </c>
      <c r="I5" s="104">
        <v>5</v>
      </c>
      <c r="J5" s="104">
        <v>5</v>
      </c>
      <c r="K5" s="104">
        <v>5</v>
      </c>
      <c r="L5" s="104">
        <v>5</v>
      </c>
      <c r="M5" s="104">
        <v>5</v>
      </c>
      <c r="N5" s="104">
        <v>5</v>
      </c>
      <c r="O5" s="104">
        <v>5</v>
      </c>
      <c r="P5" s="104">
        <v>5</v>
      </c>
      <c r="Q5" s="104">
        <v>5</v>
      </c>
      <c r="R5" s="104">
        <v>5</v>
      </c>
      <c r="S5" s="104">
        <v>5</v>
      </c>
      <c r="T5" s="104">
        <v>5</v>
      </c>
      <c r="U5" s="104">
        <v>5</v>
      </c>
      <c r="V5" s="104">
        <v>5</v>
      </c>
      <c r="W5" s="104">
        <v>5</v>
      </c>
      <c r="X5" s="105" t="s">
        <v>96</v>
      </c>
      <c r="Y5" s="104"/>
      <c r="Z5" s="104"/>
      <c r="AA5" s="104"/>
      <c r="AB5" s="102"/>
      <c r="AC5" s="102">
        <f t="shared" si="0"/>
        <v>100</v>
      </c>
      <c r="AD5" s="106">
        <f t="shared" si="1"/>
        <v>0</v>
      </c>
    </row>
    <row r="6" s="82" customFormat="1" ht="18" hidden="1" customHeight="1" spans="1:30">
      <c r="A6" s="102">
        <v>4</v>
      </c>
      <c r="B6" s="107" t="s">
        <v>97</v>
      </c>
      <c r="C6" s="102" t="s">
        <v>93</v>
      </c>
      <c r="D6" s="104">
        <v>5</v>
      </c>
      <c r="E6" s="104">
        <v>5</v>
      </c>
      <c r="F6" s="104">
        <v>5</v>
      </c>
      <c r="G6" s="104">
        <v>5</v>
      </c>
      <c r="H6" s="104">
        <v>5</v>
      </c>
      <c r="I6" s="104">
        <v>5</v>
      </c>
      <c r="J6" s="104">
        <v>5</v>
      </c>
      <c r="K6" s="104">
        <v>5</v>
      </c>
      <c r="L6" s="104">
        <v>5</v>
      </c>
      <c r="M6" s="104">
        <v>5</v>
      </c>
      <c r="N6" s="104">
        <v>5</v>
      </c>
      <c r="O6" s="104">
        <v>5</v>
      </c>
      <c r="P6" s="104">
        <v>5</v>
      </c>
      <c r="Q6" s="104">
        <v>5</v>
      </c>
      <c r="R6" s="104">
        <v>5</v>
      </c>
      <c r="S6" s="104">
        <v>5</v>
      </c>
      <c r="T6" s="104">
        <v>5</v>
      </c>
      <c r="U6" s="104">
        <v>5</v>
      </c>
      <c r="V6" s="104">
        <v>5</v>
      </c>
      <c r="W6" s="104">
        <v>5</v>
      </c>
      <c r="X6" s="105" t="s">
        <v>96</v>
      </c>
      <c r="Y6" s="104"/>
      <c r="Z6" s="104"/>
      <c r="AA6" s="104"/>
      <c r="AB6" s="102"/>
      <c r="AC6" s="102">
        <f t="shared" si="0"/>
        <v>100</v>
      </c>
      <c r="AD6" s="106">
        <f t="shared" si="1"/>
        <v>0</v>
      </c>
    </row>
    <row r="7" s="82" customFormat="1" ht="18" hidden="1" customHeight="1" spans="1:30">
      <c r="A7" s="102">
        <v>5</v>
      </c>
      <c r="B7" s="107" t="s">
        <v>30</v>
      </c>
      <c r="C7" s="102" t="s">
        <v>93</v>
      </c>
      <c r="D7" s="104">
        <v>5</v>
      </c>
      <c r="E7" s="104">
        <v>5</v>
      </c>
      <c r="F7" s="104">
        <v>5</v>
      </c>
      <c r="G7" s="104">
        <v>5</v>
      </c>
      <c r="H7" s="104">
        <v>5</v>
      </c>
      <c r="I7" s="104">
        <v>5</v>
      </c>
      <c r="J7" s="104">
        <v>5</v>
      </c>
      <c r="K7" s="104">
        <v>5</v>
      </c>
      <c r="L7" s="104">
        <v>5</v>
      </c>
      <c r="M7" s="104">
        <v>5</v>
      </c>
      <c r="N7" s="104">
        <v>5</v>
      </c>
      <c r="O7" s="104">
        <v>5</v>
      </c>
      <c r="P7" s="104">
        <v>5</v>
      </c>
      <c r="Q7" s="104">
        <v>5</v>
      </c>
      <c r="R7" s="104">
        <v>5</v>
      </c>
      <c r="S7" s="104">
        <v>5</v>
      </c>
      <c r="T7" s="104">
        <v>5</v>
      </c>
      <c r="U7" s="104">
        <v>5</v>
      </c>
      <c r="V7" s="104">
        <v>5</v>
      </c>
      <c r="W7" s="104">
        <v>5</v>
      </c>
      <c r="X7" s="105" t="s">
        <v>96</v>
      </c>
      <c r="Y7" s="104"/>
      <c r="Z7" s="104"/>
      <c r="AA7" s="104"/>
      <c r="AB7" s="102"/>
      <c r="AC7" s="102">
        <f t="shared" si="0"/>
        <v>100</v>
      </c>
      <c r="AD7" s="106">
        <f t="shared" si="1"/>
        <v>0</v>
      </c>
    </row>
    <row r="8" customFormat="1" ht="18.75" hidden="1" spans="1:30">
      <c r="A8" s="102">
        <v>8</v>
      </c>
      <c r="B8" s="108" t="s">
        <v>98</v>
      </c>
      <c r="C8" s="102" t="s">
        <v>93</v>
      </c>
      <c r="D8" s="104">
        <v>5</v>
      </c>
      <c r="E8" s="104">
        <v>5</v>
      </c>
      <c r="F8" s="104">
        <v>5</v>
      </c>
      <c r="G8" s="104">
        <v>5</v>
      </c>
      <c r="H8" s="104">
        <v>5</v>
      </c>
      <c r="I8" s="104">
        <v>5</v>
      </c>
      <c r="J8" s="104">
        <v>5</v>
      </c>
      <c r="K8" s="104">
        <v>5</v>
      </c>
      <c r="L8" s="104">
        <v>5</v>
      </c>
      <c r="M8" s="104">
        <v>5</v>
      </c>
      <c r="N8" s="104">
        <v>5</v>
      </c>
      <c r="O8" s="104">
        <v>5</v>
      </c>
      <c r="P8" s="104">
        <v>5</v>
      </c>
      <c r="Q8" s="104">
        <v>5</v>
      </c>
      <c r="R8" s="104">
        <v>5</v>
      </c>
      <c r="S8" s="104">
        <v>5</v>
      </c>
      <c r="T8" s="104">
        <v>5</v>
      </c>
      <c r="U8" s="104">
        <v>5</v>
      </c>
      <c r="V8" s="104">
        <v>5</v>
      </c>
      <c r="W8" s="104">
        <v>5</v>
      </c>
      <c r="X8" s="105" t="s">
        <v>96</v>
      </c>
      <c r="Y8" s="86"/>
      <c r="Z8" s="86"/>
      <c r="AA8" s="86"/>
      <c r="AB8" s="86"/>
      <c r="AC8" s="102">
        <f t="shared" si="0"/>
        <v>100</v>
      </c>
      <c r="AD8" s="106">
        <f t="shared" si="1"/>
        <v>0</v>
      </c>
    </row>
    <row r="9" customFormat="1" ht="18.75" hidden="1" spans="1:30">
      <c r="A9" s="102">
        <v>9</v>
      </c>
      <c r="B9" s="108" t="s">
        <v>54</v>
      </c>
      <c r="C9" s="102" t="s">
        <v>93</v>
      </c>
      <c r="D9" s="104">
        <v>5</v>
      </c>
      <c r="E9" s="104">
        <v>5</v>
      </c>
      <c r="F9" s="104">
        <v>5</v>
      </c>
      <c r="G9" s="104">
        <v>5</v>
      </c>
      <c r="H9" s="104">
        <v>5</v>
      </c>
      <c r="I9" s="104">
        <v>5</v>
      </c>
      <c r="J9" s="104">
        <v>5</v>
      </c>
      <c r="K9" s="104">
        <v>5</v>
      </c>
      <c r="L9" s="104">
        <v>5</v>
      </c>
      <c r="M9" s="104">
        <v>5</v>
      </c>
      <c r="N9" s="104">
        <v>5</v>
      </c>
      <c r="O9" s="104">
        <v>5</v>
      </c>
      <c r="P9" s="104">
        <v>5</v>
      </c>
      <c r="Q9" s="104">
        <v>5</v>
      </c>
      <c r="R9" s="104">
        <v>5</v>
      </c>
      <c r="S9" s="104">
        <v>5</v>
      </c>
      <c r="T9" s="104">
        <v>5</v>
      </c>
      <c r="U9" s="104">
        <v>5</v>
      </c>
      <c r="V9" s="104">
        <v>5</v>
      </c>
      <c r="W9" s="104">
        <v>5</v>
      </c>
      <c r="X9" s="105" t="s">
        <v>96</v>
      </c>
      <c r="Y9" s="86"/>
      <c r="Z9" s="86"/>
      <c r="AA9" s="86"/>
      <c r="AB9" s="86"/>
      <c r="AC9" s="102">
        <f t="shared" si="0"/>
        <v>100</v>
      </c>
      <c r="AD9" s="106">
        <f t="shared" si="1"/>
        <v>0</v>
      </c>
    </row>
    <row r="10" customFormat="1" hidden="1" spans="1:30">
      <c r="A10" s="102">
        <v>10</v>
      </c>
      <c r="B10" s="109" t="s">
        <v>99</v>
      </c>
      <c r="C10" s="102" t="s">
        <v>93</v>
      </c>
      <c r="D10" s="104">
        <v>5</v>
      </c>
      <c r="E10" s="104">
        <v>5</v>
      </c>
      <c r="F10" s="104">
        <v>5</v>
      </c>
      <c r="G10" s="104">
        <v>5</v>
      </c>
      <c r="H10" s="104">
        <v>5</v>
      </c>
      <c r="I10" s="104">
        <v>5</v>
      </c>
      <c r="J10" s="104">
        <v>5</v>
      </c>
      <c r="K10" s="104">
        <v>5</v>
      </c>
      <c r="L10" s="104">
        <v>5</v>
      </c>
      <c r="M10" s="104">
        <v>5</v>
      </c>
      <c r="N10" s="104">
        <v>5</v>
      </c>
      <c r="O10" s="104">
        <v>5</v>
      </c>
      <c r="P10" s="104">
        <v>5</v>
      </c>
      <c r="Q10" s="104">
        <v>5</v>
      </c>
      <c r="R10" s="104">
        <v>5</v>
      </c>
      <c r="S10" s="104">
        <v>5</v>
      </c>
      <c r="T10" s="104">
        <v>5</v>
      </c>
      <c r="U10" s="104">
        <v>5</v>
      </c>
      <c r="V10" s="104">
        <v>5</v>
      </c>
      <c r="W10" s="104">
        <v>5</v>
      </c>
      <c r="X10" s="105" t="s">
        <v>96</v>
      </c>
      <c r="Y10" s="86"/>
      <c r="Z10" s="86"/>
      <c r="AA10" s="86"/>
      <c r="AB10" s="86"/>
      <c r="AC10" s="102">
        <f t="shared" si="0"/>
        <v>100</v>
      </c>
      <c r="AD10" s="106">
        <f t="shared" si="1"/>
        <v>0</v>
      </c>
    </row>
    <row r="11" customFormat="1" ht="18.75" hidden="1" spans="1:30">
      <c r="A11" s="102">
        <v>11</v>
      </c>
      <c r="B11" s="108" t="s">
        <v>49</v>
      </c>
      <c r="C11" s="102" t="s">
        <v>93</v>
      </c>
      <c r="D11" s="104">
        <v>5</v>
      </c>
      <c r="E11" s="104">
        <v>5</v>
      </c>
      <c r="F11" s="104">
        <v>5</v>
      </c>
      <c r="G11" s="104">
        <v>5</v>
      </c>
      <c r="H11" s="104">
        <v>5</v>
      </c>
      <c r="I11" s="104">
        <v>5</v>
      </c>
      <c r="J11" s="104">
        <v>5</v>
      </c>
      <c r="K11" s="104">
        <v>5</v>
      </c>
      <c r="L11" s="104">
        <v>5</v>
      </c>
      <c r="M11" s="104">
        <v>5</v>
      </c>
      <c r="N11" s="104">
        <v>5</v>
      </c>
      <c r="O11" s="104">
        <v>5</v>
      </c>
      <c r="P11" s="104">
        <v>5</v>
      </c>
      <c r="Q11" s="104">
        <v>5</v>
      </c>
      <c r="R11" s="104">
        <v>5</v>
      </c>
      <c r="S11" s="104">
        <v>5</v>
      </c>
      <c r="T11" s="104">
        <v>5</v>
      </c>
      <c r="U11" s="104">
        <v>5</v>
      </c>
      <c r="V11" s="104">
        <v>5</v>
      </c>
      <c r="W11" s="104">
        <v>5</v>
      </c>
      <c r="X11" s="105" t="s">
        <v>96</v>
      </c>
      <c r="Y11" s="86"/>
      <c r="Z11" s="86"/>
      <c r="AA11" s="86"/>
      <c r="AB11" s="86"/>
      <c r="AC11" s="102">
        <f t="shared" si="0"/>
        <v>100</v>
      </c>
      <c r="AD11" s="106">
        <f t="shared" si="1"/>
        <v>0</v>
      </c>
    </row>
    <row r="12" customFormat="1" ht="18.75" hidden="1" spans="1:30">
      <c r="A12" s="102">
        <v>12</v>
      </c>
      <c r="B12" s="108" t="s">
        <v>100</v>
      </c>
      <c r="C12" s="102" t="s">
        <v>93</v>
      </c>
      <c r="D12" s="104">
        <v>5</v>
      </c>
      <c r="E12" s="104">
        <v>5</v>
      </c>
      <c r="F12" s="104">
        <v>5</v>
      </c>
      <c r="G12" s="104">
        <v>5</v>
      </c>
      <c r="H12" s="104">
        <v>5</v>
      </c>
      <c r="I12" s="104">
        <v>5</v>
      </c>
      <c r="J12" s="104">
        <v>5</v>
      </c>
      <c r="K12" s="104">
        <v>5</v>
      </c>
      <c r="L12" s="104">
        <v>5</v>
      </c>
      <c r="M12" s="104">
        <v>5</v>
      </c>
      <c r="N12" s="104">
        <v>5</v>
      </c>
      <c r="O12" s="104">
        <v>5</v>
      </c>
      <c r="P12" s="104">
        <v>5</v>
      </c>
      <c r="Q12" s="104">
        <v>5</v>
      </c>
      <c r="R12" s="104">
        <v>5</v>
      </c>
      <c r="S12" s="104">
        <v>5</v>
      </c>
      <c r="T12" s="104">
        <v>5</v>
      </c>
      <c r="U12" s="104">
        <v>5</v>
      </c>
      <c r="V12" s="104">
        <v>5</v>
      </c>
      <c r="W12" s="104">
        <v>5</v>
      </c>
      <c r="X12" s="105" t="s">
        <v>96</v>
      </c>
      <c r="Y12" s="86"/>
      <c r="Z12" s="86"/>
      <c r="AA12" s="86"/>
      <c r="AB12" s="86"/>
      <c r="AC12" s="102">
        <f t="shared" si="0"/>
        <v>100</v>
      </c>
      <c r="AD12" s="106">
        <f t="shared" si="1"/>
        <v>0</v>
      </c>
    </row>
    <row r="13" s="83" customFormat="1" ht="18.75" spans="1:30">
      <c r="A13" s="97">
        <v>13</v>
      </c>
      <c r="B13" s="98" t="s">
        <v>50</v>
      </c>
      <c r="C13" s="97" t="s">
        <v>93</v>
      </c>
      <c r="D13" s="97">
        <v>5</v>
      </c>
      <c r="E13" s="97">
        <v>5</v>
      </c>
      <c r="F13" s="97">
        <v>5</v>
      </c>
      <c r="G13" s="99" t="s">
        <v>101</v>
      </c>
      <c r="H13" s="97">
        <v>5</v>
      </c>
      <c r="I13" s="97">
        <v>5</v>
      </c>
      <c r="J13" s="97">
        <v>5</v>
      </c>
      <c r="K13" s="97">
        <v>5</v>
      </c>
      <c r="L13" s="97">
        <v>5</v>
      </c>
      <c r="M13" s="97">
        <v>5</v>
      </c>
      <c r="N13" s="97">
        <v>5</v>
      </c>
      <c r="O13" s="97">
        <v>5</v>
      </c>
      <c r="P13" s="97">
        <v>5</v>
      </c>
      <c r="Q13" s="97">
        <v>5</v>
      </c>
      <c r="R13" s="97">
        <v>5</v>
      </c>
      <c r="S13" s="97">
        <v>5</v>
      </c>
      <c r="T13" s="97">
        <v>5</v>
      </c>
      <c r="U13" s="97">
        <v>5</v>
      </c>
      <c r="V13" s="97">
        <v>5</v>
      </c>
      <c r="W13" s="97">
        <v>5</v>
      </c>
      <c r="X13" s="110">
        <v>0</v>
      </c>
      <c r="Y13" s="111">
        <v>5</v>
      </c>
      <c r="Z13" s="111"/>
      <c r="AA13" s="111"/>
      <c r="AB13" s="111"/>
      <c r="AC13" s="97">
        <f t="shared" si="0"/>
        <v>100</v>
      </c>
      <c r="AD13" s="101">
        <v>5</v>
      </c>
    </row>
    <row r="14" customFormat="1" ht="18.75" hidden="1" spans="1:30">
      <c r="A14" s="102">
        <v>14</v>
      </c>
      <c r="B14" s="108" t="s">
        <v>19</v>
      </c>
      <c r="C14" s="102" t="s">
        <v>93</v>
      </c>
      <c r="D14" s="104">
        <v>5</v>
      </c>
      <c r="E14" s="104">
        <v>5</v>
      </c>
      <c r="F14" s="104">
        <v>5</v>
      </c>
      <c r="G14" s="104">
        <v>5</v>
      </c>
      <c r="H14" s="104">
        <v>5</v>
      </c>
      <c r="I14" s="104">
        <v>5</v>
      </c>
      <c r="J14" s="104">
        <v>5</v>
      </c>
      <c r="K14" s="104">
        <v>5</v>
      </c>
      <c r="L14" s="104">
        <v>5</v>
      </c>
      <c r="M14" s="104">
        <v>5</v>
      </c>
      <c r="N14" s="104">
        <v>5</v>
      </c>
      <c r="O14" s="104">
        <v>5</v>
      </c>
      <c r="P14" s="104">
        <v>5</v>
      </c>
      <c r="Q14" s="104">
        <v>5</v>
      </c>
      <c r="R14" s="104">
        <v>5</v>
      </c>
      <c r="S14" s="104">
        <v>5</v>
      </c>
      <c r="T14" s="104">
        <v>5</v>
      </c>
      <c r="U14" s="104">
        <v>5</v>
      </c>
      <c r="V14" s="104">
        <v>5</v>
      </c>
      <c r="W14" s="104">
        <v>5</v>
      </c>
      <c r="X14" s="105" t="s">
        <v>96</v>
      </c>
      <c r="Y14" s="86"/>
      <c r="Z14" s="86"/>
      <c r="AA14" s="86"/>
      <c r="AB14" s="86"/>
      <c r="AC14" s="102">
        <f t="shared" si="0"/>
        <v>100</v>
      </c>
      <c r="AD14" s="106">
        <f t="shared" ref="AD14:AD19" si="2">100-AC14</f>
        <v>0</v>
      </c>
    </row>
    <row r="15" customFormat="1" ht="18.75" hidden="1" spans="1:30">
      <c r="A15" s="102">
        <v>15</v>
      </c>
      <c r="B15" s="108" t="s">
        <v>17</v>
      </c>
      <c r="C15" s="102" t="s">
        <v>93</v>
      </c>
      <c r="D15" s="104">
        <v>5</v>
      </c>
      <c r="E15" s="104">
        <v>5</v>
      </c>
      <c r="F15" s="104">
        <v>5</v>
      </c>
      <c r="G15" s="104">
        <v>5</v>
      </c>
      <c r="H15" s="104">
        <v>5</v>
      </c>
      <c r="I15" s="104">
        <v>5</v>
      </c>
      <c r="J15" s="104">
        <v>5</v>
      </c>
      <c r="K15" s="104">
        <v>5</v>
      </c>
      <c r="L15" s="104">
        <v>5</v>
      </c>
      <c r="M15" s="104">
        <v>5</v>
      </c>
      <c r="N15" s="104">
        <v>5</v>
      </c>
      <c r="O15" s="104">
        <v>5</v>
      </c>
      <c r="P15" s="104">
        <v>5</v>
      </c>
      <c r="Q15" s="104">
        <v>5</v>
      </c>
      <c r="R15" s="104">
        <v>5</v>
      </c>
      <c r="S15" s="104">
        <v>5</v>
      </c>
      <c r="T15" s="104">
        <v>5</v>
      </c>
      <c r="U15" s="104">
        <v>5</v>
      </c>
      <c r="V15" s="104">
        <v>5</v>
      </c>
      <c r="W15" s="104">
        <v>5</v>
      </c>
      <c r="X15" s="105" t="s">
        <v>96</v>
      </c>
      <c r="Y15" s="86"/>
      <c r="Z15" s="86"/>
      <c r="AA15" s="86"/>
      <c r="AB15" s="86"/>
      <c r="AC15" s="102">
        <f t="shared" si="0"/>
        <v>100</v>
      </c>
      <c r="AD15" s="106">
        <f t="shared" si="2"/>
        <v>0</v>
      </c>
    </row>
    <row r="16" customFormat="1" ht="18.75" hidden="1" spans="1:30">
      <c r="A16" s="102">
        <v>16</v>
      </c>
      <c r="B16" s="108" t="s">
        <v>34</v>
      </c>
      <c r="C16" s="102" t="s">
        <v>93</v>
      </c>
      <c r="D16" s="104">
        <v>5</v>
      </c>
      <c r="E16" s="104">
        <v>5</v>
      </c>
      <c r="F16" s="104">
        <v>5</v>
      </c>
      <c r="G16" s="104">
        <v>5</v>
      </c>
      <c r="H16" s="104">
        <v>5</v>
      </c>
      <c r="I16" s="104">
        <v>5</v>
      </c>
      <c r="J16" s="104">
        <v>5</v>
      </c>
      <c r="K16" s="104">
        <v>5</v>
      </c>
      <c r="L16" s="104">
        <v>5</v>
      </c>
      <c r="M16" s="104">
        <v>5</v>
      </c>
      <c r="N16" s="104">
        <v>5</v>
      </c>
      <c r="O16" s="104">
        <v>5</v>
      </c>
      <c r="P16" s="104">
        <v>5</v>
      </c>
      <c r="Q16" s="104">
        <v>5</v>
      </c>
      <c r="R16" s="104">
        <v>5</v>
      </c>
      <c r="S16" s="104">
        <v>5</v>
      </c>
      <c r="T16" s="104">
        <v>5</v>
      </c>
      <c r="U16" s="104">
        <v>5</v>
      </c>
      <c r="V16" s="104">
        <v>5</v>
      </c>
      <c r="W16" s="104">
        <v>5</v>
      </c>
      <c r="X16" s="105" t="s">
        <v>96</v>
      </c>
      <c r="Y16" s="86"/>
      <c r="Z16" s="86"/>
      <c r="AA16" s="86"/>
      <c r="AB16" s="86"/>
      <c r="AC16" s="102">
        <f t="shared" si="0"/>
        <v>100</v>
      </c>
      <c r="AD16" s="106">
        <f t="shared" si="2"/>
        <v>0</v>
      </c>
    </row>
    <row r="17" customFormat="1" ht="18.75" hidden="1" spans="1:30">
      <c r="A17" s="102">
        <v>17</v>
      </c>
      <c r="B17" s="108" t="s">
        <v>42</v>
      </c>
      <c r="C17" s="102" t="s">
        <v>93</v>
      </c>
      <c r="D17" s="104">
        <v>5</v>
      </c>
      <c r="E17" s="104">
        <v>5</v>
      </c>
      <c r="F17" s="104">
        <v>5</v>
      </c>
      <c r="G17" s="104">
        <v>5</v>
      </c>
      <c r="H17" s="104">
        <v>5</v>
      </c>
      <c r="I17" s="104">
        <v>5</v>
      </c>
      <c r="J17" s="104">
        <v>5</v>
      </c>
      <c r="K17" s="104">
        <v>5</v>
      </c>
      <c r="L17" s="104">
        <v>5</v>
      </c>
      <c r="M17" s="104">
        <v>5</v>
      </c>
      <c r="N17" s="104">
        <v>5</v>
      </c>
      <c r="O17" s="104">
        <v>5</v>
      </c>
      <c r="P17" s="104">
        <v>5</v>
      </c>
      <c r="Q17" s="104">
        <v>5</v>
      </c>
      <c r="R17" s="104">
        <v>5</v>
      </c>
      <c r="S17" s="104">
        <v>5</v>
      </c>
      <c r="T17" s="104">
        <v>5</v>
      </c>
      <c r="U17" s="104">
        <v>5</v>
      </c>
      <c r="V17" s="104">
        <v>5</v>
      </c>
      <c r="W17" s="104">
        <v>5</v>
      </c>
      <c r="X17" s="105" t="s">
        <v>96</v>
      </c>
      <c r="Y17" s="86"/>
      <c r="Z17" s="86"/>
      <c r="AA17" s="86"/>
      <c r="AB17" s="86"/>
      <c r="AC17" s="102">
        <f t="shared" si="0"/>
        <v>100</v>
      </c>
      <c r="AD17" s="106">
        <f t="shared" si="2"/>
        <v>0</v>
      </c>
    </row>
    <row r="18" customFormat="1" ht="18.75" hidden="1" spans="1:30">
      <c r="A18" s="102">
        <v>18</v>
      </c>
      <c r="B18" s="108" t="s">
        <v>43</v>
      </c>
      <c r="C18" s="102" t="s">
        <v>93</v>
      </c>
      <c r="D18" s="104">
        <v>5</v>
      </c>
      <c r="E18" s="104">
        <v>5</v>
      </c>
      <c r="F18" s="104">
        <v>5</v>
      </c>
      <c r="G18" s="104">
        <v>5</v>
      </c>
      <c r="H18" s="104">
        <v>5</v>
      </c>
      <c r="I18" s="104">
        <v>5</v>
      </c>
      <c r="J18" s="104">
        <v>5</v>
      </c>
      <c r="K18" s="104">
        <v>5</v>
      </c>
      <c r="L18" s="104">
        <v>5</v>
      </c>
      <c r="M18" s="104">
        <v>5</v>
      </c>
      <c r="N18" s="104">
        <v>5</v>
      </c>
      <c r="O18" s="104">
        <v>5</v>
      </c>
      <c r="P18" s="104">
        <v>5</v>
      </c>
      <c r="Q18" s="104">
        <v>5</v>
      </c>
      <c r="R18" s="104">
        <v>5</v>
      </c>
      <c r="S18" s="104">
        <v>5</v>
      </c>
      <c r="T18" s="104">
        <v>5</v>
      </c>
      <c r="U18" s="104">
        <v>5</v>
      </c>
      <c r="V18" s="104">
        <v>5</v>
      </c>
      <c r="W18" s="104">
        <v>5</v>
      </c>
      <c r="X18" s="105" t="s">
        <v>96</v>
      </c>
      <c r="Y18" s="86"/>
      <c r="Z18" s="86"/>
      <c r="AA18" s="86"/>
      <c r="AB18" s="86"/>
      <c r="AC18" s="102">
        <f t="shared" si="0"/>
        <v>100</v>
      </c>
      <c r="AD18" s="106">
        <f t="shared" si="2"/>
        <v>0</v>
      </c>
    </row>
    <row r="19" customFormat="1" ht="18.75" hidden="1" spans="1:30">
      <c r="A19" s="102">
        <v>19</v>
      </c>
      <c r="B19" s="108" t="s">
        <v>102</v>
      </c>
      <c r="C19" s="102" t="s">
        <v>93</v>
      </c>
      <c r="D19" s="104">
        <v>5</v>
      </c>
      <c r="E19" s="104">
        <v>5</v>
      </c>
      <c r="F19" s="104">
        <v>5</v>
      </c>
      <c r="G19" s="104">
        <v>5</v>
      </c>
      <c r="H19" s="104">
        <v>5</v>
      </c>
      <c r="I19" s="104">
        <v>5</v>
      </c>
      <c r="J19" s="104">
        <v>5</v>
      </c>
      <c r="K19" s="104">
        <v>5</v>
      </c>
      <c r="L19" s="104">
        <v>5</v>
      </c>
      <c r="M19" s="104">
        <v>5</v>
      </c>
      <c r="N19" s="104">
        <v>5</v>
      </c>
      <c r="O19" s="104">
        <v>5</v>
      </c>
      <c r="P19" s="104">
        <v>5</v>
      </c>
      <c r="Q19" s="104">
        <v>5</v>
      </c>
      <c r="R19" s="104">
        <v>5</v>
      </c>
      <c r="S19" s="104">
        <v>5</v>
      </c>
      <c r="T19" s="104">
        <v>5</v>
      </c>
      <c r="U19" s="104">
        <v>5</v>
      </c>
      <c r="V19" s="104">
        <v>5</v>
      </c>
      <c r="W19" s="104">
        <v>5</v>
      </c>
      <c r="X19" s="105" t="s">
        <v>96</v>
      </c>
      <c r="Y19" s="86"/>
      <c r="Z19" s="86"/>
      <c r="AA19" s="86"/>
      <c r="AB19" s="86"/>
      <c r="AC19" s="102">
        <f t="shared" si="0"/>
        <v>100</v>
      </c>
      <c r="AD19" s="106">
        <f t="shared" si="2"/>
        <v>0</v>
      </c>
    </row>
    <row r="20" s="83" customFormat="1" ht="18.75" spans="1:30">
      <c r="A20" s="97">
        <v>20</v>
      </c>
      <c r="B20" s="98" t="s">
        <v>38</v>
      </c>
      <c r="C20" s="112" t="s">
        <v>103</v>
      </c>
      <c r="D20" s="97">
        <v>10</v>
      </c>
      <c r="E20" s="97">
        <v>5</v>
      </c>
      <c r="F20" s="97">
        <v>5</v>
      </c>
      <c r="G20" s="97">
        <v>5</v>
      </c>
      <c r="H20" s="97">
        <v>5</v>
      </c>
      <c r="I20" s="97">
        <v>5</v>
      </c>
      <c r="J20" s="97">
        <v>5</v>
      </c>
      <c r="K20" s="97">
        <v>5</v>
      </c>
      <c r="L20" s="97">
        <v>5</v>
      </c>
      <c r="M20" s="97">
        <v>5</v>
      </c>
      <c r="N20" s="97">
        <v>5</v>
      </c>
      <c r="O20" s="97">
        <v>5</v>
      </c>
      <c r="P20" s="97">
        <v>5</v>
      </c>
      <c r="Q20" s="97">
        <v>5</v>
      </c>
      <c r="R20" s="97">
        <v>5</v>
      </c>
      <c r="S20" s="97">
        <v>5</v>
      </c>
      <c r="T20" s="97">
        <v>5</v>
      </c>
      <c r="U20" s="97">
        <v>5</v>
      </c>
      <c r="V20" s="97">
        <v>5</v>
      </c>
      <c r="W20" s="97">
        <v>5</v>
      </c>
      <c r="X20" s="110">
        <v>0</v>
      </c>
      <c r="Y20" s="111">
        <v>9</v>
      </c>
      <c r="Z20" s="111"/>
      <c r="AA20" s="111"/>
      <c r="AB20" s="111"/>
      <c r="AC20" s="97">
        <f t="shared" si="0"/>
        <v>114</v>
      </c>
      <c r="AD20" s="101">
        <v>9</v>
      </c>
    </row>
    <row r="21" customFormat="1" ht="18.75" hidden="1" spans="1:30">
      <c r="A21" s="102">
        <v>21</v>
      </c>
      <c r="B21" s="108" t="s">
        <v>104</v>
      </c>
      <c r="C21" s="102" t="s">
        <v>93</v>
      </c>
      <c r="D21" s="104">
        <v>5</v>
      </c>
      <c r="E21" s="104">
        <v>5</v>
      </c>
      <c r="F21" s="104">
        <v>5</v>
      </c>
      <c r="G21" s="104">
        <v>5</v>
      </c>
      <c r="H21" s="104">
        <v>5</v>
      </c>
      <c r="I21" s="104">
        <v>5</v>
      </c>
      <c r="J21" s="104">
        <v>5</v>
      </c>
      <c r="K21" s="104">
        <v>5</v>
      </c>
      <c r="L21" s="104">
        <v>5</v>
      </c>
      <c r="M21" s="104">
        <v>5</v>
      </c>
      <c r="N21" s="104">
        <v>5</v>
      </c>
      <c r="O21" s="104">
        <v>5</v>
      </c>
      <c r="P21" s="104">
        <v>5</v>
      </c>
      <c r="Q21" s="104">
        <v>5</v>
      </c>
      <c r="R21" s="104">
        <v>5</v>
      </c>
      <c r="S21" s="104">
        <v>5</v>
      </c>
      <c r="T21" s="104">
        <v>5</v>
      </c>
      <c r="U21" s="104">
        <v>5</v>
      </c>
      <c r="V21" s="104">
        <v>5</v>
      </c>
      <c r="W21" s="104">
        <v>5</v>
      </c>
      <c r="X21" s="105" t="s">
        <v>96</v>
      </c>
      <c r="Y21" s="86"/>
      <c r="Z21" s="86"/>
      <c r="AA21" s="86"/>
      <c r="AB21" s="86"/>
      <c r="AC21" s="102">
        <f t="shared" si="0"/>
        <v>100</v>
      </c>
      <c r="AD21" s="106">
        <f t="shared" ref="AD21:AD30" si="3">100-AC21</f>
        <v>0</v>
      </c>
    </row>
    <row r="22" customFormat="1" ht="18.75" hidden="1" spans="1:30">
      <c r="A22" s="102">
        <v>22</v>
      </c>
      <c r="B22" s="108" t="s">
        <v>72</v>
      </c>
      <c r="C22" s="102" t="s">
        <v>93</v>
      </c>
      <c r="D22" s="104">
        <v>5</v>
      </c>
      <c r="E22" s="104">
        <v>5</v>
      </c>
      <c r="F22" s="104">
        <v>5</v>
      </c>
      <c r="G22" s="104">
        <v>5</v>
      </c>
      <c r="H22" s="104">
        <v>5</v>
      </c>
      <c r="I22" s="104">
        <v>5</v>
      </c>
      <c r="J22" s="104">
        <v>5</v>
      </c>
      <c r="K22" s="104">
        <v>5</v>
      </c>
      <c r="L22" s="104">
        <v>5</v>
      </c>
      <c r="M22" s="104">
        <v>5</v>
      </c>
      <c r="N22" s="104">
        <v>5</v>
      </c>
      <c r="O22" s="104">
        <v>5</v>
      </c>
      <c r="P22" s="104">
        <v>5</v>
      </c>
      <c r="Q22" s="104">
        <v>5</v>
      </c>
      <c r="R22" s="104">
        <v>5</v>
      </c>
      <c r="S22" s="104">
        <v>5</v>
      </c>
      <c r="T22" s="104">
        <v>5</v>
      </c>
      <c r="U22" s="104">
        <v>5</v>
      </c>
      <c r="V22" s="104">
        <v>5</v>
      </c>
      <c r="W22" s="104">
        <v>5</v>
      </c>
      <c r="X22" s="105" t="s">
        <v>96</v>
      </c>
      <c r="Y22" s="86"/>
      <c r="Z22" s="86"/>
      <c r="AA22" s="86"/>
      <c r="AB22" s="86"/>
      <c r="AC22" s="102">
        <f t="shared" si="0"/>
        <v>100</v>
      </c>
      <c r="AD22" s="106">
        <f t="shared" si="3"/>
        <v>0</v>
      </c>
    </row>
    <row r="23" customFormat="1" ht="18.75" hidden="1" spans="1:30">
      <c r="A23" s="102">
        <v>23</v>
      </c>
      <c r="B23" s="108" t="s">
        <v>73</v>
      </c>
      <c r="C23" s="102" t="s">
        <v>93</v>
      </c>
      <c r="D23" s="104">
        <v>5</v>
      </c>
      <c r="E23" s="104">
        <v>5</v>
      </c>
      <c r="F23" s="104">
        <v>5</v>
      </c>
      <c r="G23" s="104">
        <v>5</v>
      </c>
      <c r="H23" s="104">
        <v>5</v>
      </c>
      <c r="I23" s="104">
        <v>5</v>
      </c>
      <c r="J23" s="104">
        <v>5</v>
      </c>
      <c r="K23" s="104">
        <v>5</v>
      </c>
      <c r="L23" s="104">
        <v>5</v>
      </c>
      <c r="M23" s="104">
        <v>5</v>
      </c>
      <c r="N23" s="104">
        <v>5</v>
      </c>
      <c r="O23" s="104">
        <v>5</v>
      </c>
      <c r="P23" s="104">
        <v>5</v>
      </c>
      <c r="Q23" s="104">
        <v>5</v>
      </c>
      <c r="R23" s="104">
        <v>5</v>
      </c>
      <c r="S23" s="104">
        <v>5</v>
      </c>
      <c r="T23" s="104">
        <v>5</v>
      </c>
      <c r="U23" s="104">
        <v>5</v>
      </c>
      <c r="V23" s="104">
        <v>5</v>
      </c>
      <c r="W23" s="104">
        <v>5</v>
      </c>
      <c r="X23" s="105" t="s">
        <v>96</v>
      </c>
      <c r="Y23" s="86"/>
      <c r="Z23" s="86"/>
      <c r="AA23" s="86"/>
      <c r="AB23" s="86"/>
      <c r="AC23" s="102">
        <f t="shared" si="0"/>
        <v>100</v>
      </c>
      <c r="AD23" s="106">
        <f t="shared" si="3"/>
        <v>0</v>
      </c>
    </row>
    <row r="24" customFormat="1" ht="18.75" hidden="1" spans="1:30">
      <c r="A24" s="102">
        <v>24</v>
      </c>
      <c r="B24" s="108" t="s">
        <v>105</v>
      </c>
      <c r="C24" s="102" t="s">
        <v>93</v>
      </c>
      <c r="D24" s="104">
        <v>5</v>
      </c>
      <c r="E24" s="104">
        <v>5</v>
      </c>
      <c r="F24" s="104">
        <v>5</v>
      </c>
      <c r="G24" s="104">
        <v>5</v>
      </c>
      <c r="H24" s="104">
        <v>5</v>
      </c>
      <c r="I24" s="104">
        <v>5</v>
      </c>
      <c r="J24" s="104">
        <v>5</v>
      </c>
      <c r="K24" s="104">
        <v>5</v>
      </c>
      <c r="L24" s="104">
        <v>5</v>
      </c>
      <c r="M24" s="104">
        <v>5</v>
      </c>
      <c r="N24" s="104">
        <v>5</v>
      </c>
      <c r="O24" s="104">
        <v>5</v>
      </c>
      <c r="P24" s="104">
        <v>5</v>
      </c>
      <c r="Q24" s="104">
        <v>5</v>
      </c>
      <c r="R24" s="104">
        <v>5</v>
      </c>
      <c r="S24" s="104">
        <v>5</v>
      </c>
      <c r="T24" s="104">
        <v>5</v>
      </c>
      <c r="U24" s="104">
        <v>5</v>
      </c>
      <c r="V24" s="104">
        <v>5</v>
      </c>
      <c r="W24" s="104">
        <v>5</v>
      </c>
      <c r="X24" s="105" t="s">
        <v>96</v>
      </c>
      <c r="Y24" s="86"/>
      <c r="Z24" s="86"/>
      <c r="AA24" s="86"/>
      <c r="AB24" s="86"/>
      <c r="AC24" s="102">
        <f t="shared" si="0"/>
        <v>100</v>
      </c>
      <c r="AD24" s="106">
        <f t="shared" si="3"/>
        <v>0</v>
      </c>
    </row>
    <row r="25" customFormat="1" ht="18.75" hidden="1" spans="1:30">
      <c r="A25" s="102">
        <v>25</v>
      </c>
      <c r="B25" s="108" t="s">
        <v>106</v>
      </c>
      <c r="C25" s="102" t="s">
        <v>93</v>
      </c>
      <c r="D25" s="104">
        <v>5</v>
      </c>
      <c r="E25" s="104">
        <v>5</v>
      </c>
      <c r="F25" s="104">
        <v>5</v>
      </c>
      <c r="G25" s="104">
        <v>5</v>
      </c>
      <c r="H25" s="104">
        <v>5</v>
      </c>
      <c r="I25" s="104">
        <v>5</v>
      </c>
      <c r="J25" s="104">
        <v>5</v>
      </c>
      <c r="K25" s="104">
        <v>5</v>
      </c>
      <c r="L25" s="104">
        <v>5</v>
      </c>
      <c r="M25" s="104">
        <v>5</v>
      </c>
      <c r="N25" s="104">
        <v>5</v>
      </c>
      <c r="O25" s="104">
        <v>5</v>
      </c>
      <c r="P25" s="104">
        <v>5</v>
      </c>
      <c r="Q25" s="104">
        <v>5</v>
      </c>
      <c r="R25" s="104">
        <v>5</v>
      </c>
      <c r="S25" s="104">
        <v>5</v>
      </c>
      <c r="T25" s="104">
        <v>5</v>
      </c>
      <c r="U25" s="104">
        <v>5</v>
      </c>
      <c r="V25" s="104">
        <v>5</v>
      </c>
      <c r="W25" s="104">
        <v>5</v>
      </c>
      <c r="X25" s="105" t="s">
        <v>96</v>
      </c>
      <c r="Y25" s="86"/>
      <c r="Z25" s="86"/>
      <c r="AA25" s="86"/>
      <c r="AB25" s="86"/>
      <c r="AC25" s="102">
        <f t="shared" si="0"/>
        <v>100</v>
      </c>
      <c r="AD25" s="106">
        <f t="shared" si="3"/>
        <v>0</v>
      </c>
    </row>
    <row r="26" customFormat="1" ht="21" hidden="1" customHeight="1" spans="1:30">
      <c r="A26" s="102">
        <v>26</v>
      </c>
      <c r="B26" s="109" t="s">
        <v>107</v>
      </c>
      <c r="C26" s="102" t="s">
        <v>93</v>
      </c>
      <c r="D26" s="104">
        <v>5</v>
      </c>
      <c r="E26" s="104">
        <v>5</v>
      </c>
      <c r="F26" s="104">
        <v>5</v>
      </c>
      <c r="G26" s="104">
        <v>5</v>
      </c>
      <c r="H26" s="104">
        <v>5</v>
      </c>
      <c r="I26" s="104">
        <v>5</v>
      </c>
      <c r="J26" s="104">
        <v>5</v>
      </c>
      <c r="K26" s="104">
        <v>5</v>
      </c>
      <c r="L26" s="104">
        <v>5</v>
      </c>
      <c r="M26" s="104">
        <v>5</v>
      </c>
      <c r="N26" s="104">
        <v>5</v>
      </c>
      <c r="O26" s="104">
        <v>5</v>
      </c>
      <c r="P26" s="104">
        <v>5</v>
      </c>
      <c r="Q26" s="104">
        <v>5</v>
      </c>
      <c r="R26" s="104">
        <v>5</v>
      </c>
      <c r="S26" s="104">
        <v>5</v>
      </c>
      <c r="T26" s="104">
        <v>5</v>
      </c>
      <c r="U26" s="104">
        <v>5</v>
      </c>
      <c r="V26" s="104">
        <v>5</v>
      </c>
      <c r="W26" s="104">
        <v>5</v>
      </c>
      <c r="X26" s="105" t="s">
        <v>96</v>
      </c>
      <c r="Y26" s="86"/>
      <c r="Z26" s="86"/>
      <c r="AA26" s="86"/>
      <c r="AB26" s="86"/>
      <c r="AC26" s="102">
        <f t="shared" si="0"/>
        <v>100</v>
      </c>
      <c r="AD26" s="106">
        <f t="shared" si="3"/>
        <v>0</v>
      </c>
    </row>
    <row r="27" customFormat="1" ht="18.75" hidden="1" spans="1:30">
      <c r="A27" s="102">
        <v>27</v>
      </c>
      <c r="B27" s="108" t="s">
        <v>108</v>
      </c>
      <c r="C27" s="102" t="s">
        <v>93</v>
      </c>
      <c r="D27" s="104">
        <v>5</v>
      </c>
      <c r="E27" s="104">
        <v>5</v>
      </c>
      <c r="F27" s="104">
        <v>5</v>
      </c>
      <c r="G27" s="104">
        <v>5</v>
      </c>
      <c r="H27" s="104">
        <v>5</v>
      </c>
      <c r="I27" s="104">
        <v>5</v>
      </c>
      <c r="J27" s="104">
        <v>5</v>
      </c>
      <c r="K27" s="104">
        <v>5</v>
      </c>
      <c r="L27" s="104">
        <v>5</v>
      </c>
      <c r="M27" s="104">
        <v>5</v>
      </c>
      <c r="N27" s="104">
        <v>5</v>
      </c>
      <c r="O27" s="104">
        <v>5</v>
      </c>
      <c r="P27" s="104">
        <v>5</v>
      </c>
      <c r="Q27" s="104">
        <v>5</v>
      </c>
      <c r="R27" s="104">
        <v>5</v>
      </c>
      <c r="S27" s="104">
        <v>5</v>
      </c>
      <c r="T27" s="104">
        <v>5</v>
      </c>
      <c r="U27" s="104">
        <v>5</v>
      </c>
      <c r="V27" s="104">
        <v>5</v>
      </c>
      <c r="W27" s="104">
        <v>5</v>
      </c>
      <c r="X27" s="105" t="s">
        <v>96</v>
      </c>
      <c r="Y27" s="86"/>
      <c r="Z27" s="86"/>
      <c r="AA27" s="86"/>
      <c r="AB27" s="86"/>
      <c r="AC27" s="102">
        <f t="shared" si="0"/>
        <v>100</v>
      </c>
      <c r="AD27" s="106">
        <f t="shared" si="3"/>
        <v>0</v>
      </c>
    </row>
    <row r="28" customFormat="1" ht="18.75" hidden="1" spans="1:30">
      <c r="A28" s="102">
        <v>28</v>
      </c>
      <c r="B28" s="113" t="s">
        <v>109</v>
      </c>
      <c r="C28" s="102" t="s">
        <v>93</v>
      </c>
      <c r="D28" s="104">
        <v>5</v>
      </c>
      <c r="E28" s="104">
        <v>5</v>
      </c>
      <c r="F28" s="104">
        <v>5</v>
      </c>
      <c r="G28" s="104">
        <v>5</v>
      </c>
      <c r="H28" s="104">
        <v>5</v>
      </c>
      <c r="I28" s="104">
        <v>5</v>
      </c>
      <c r="J28" s="104">
        <v>5</v>
      </c>
      <c r="K28" s="104">
        <v>5</v>
      </c>
      <c r="L28" s="104">
        <v>5</v>
      </c>
      <c r="M28" s="104">
        <v>5</v>
      </c>
      <c r="N28" s="104">
        <v>5</v>
      </c>
      <c r="O28" s="104">
        <v>5</v>
      </c>
      <c r="P28" s="104">
        <v>5</v>
      </c>
      <c r="Q28" s="104">
        <v>5</v>
      </c>
      <c r="R28" s="104">
        <v>5</v>
      </c>
      <c r="S28" s="104">
        <v>5</v>
      </c>
      <c r="T28" s="104">
        <v>5</v>
      </c>
      <c r="U28" s="104">
        <v>5</v>
      </c>
      <c r="V28" s="104">
        <v>5</v>
      </c>
      <c r="W28" s="104">
        <v>5</v>
      </c>
      <c r="X28" s="105" t="s">
        <v>96</v>
      </c>
      <c r="Y28" s="86"/>
      <c r="Z28" s="86"/>
      <c r="AA28" s="86"/>
      <c r="AB28" s="86"/>
      <c r="AC28" s="102">
        <f t="shared" si="0"/>
        <v>100</v>
      </c>
      <c r="AD28" s="106">
        <f t="shared" si="3"/>
        <v>0</v>
      </c>
    </row>
    <row r="29" customFormat="1" ht="18.75" hidden="1" spans="1:30">
      <c r="A29" s="102">
        <v>29</v>
      </c>
      <c r="B29" s="113" t="s">
        <v>110</v>
      </c>
      <c r="C29" s="102" t="s">
        <v>93</v>
      </c>
      <c r="D29" s="104">
        <v>5</v>
      </c>
      <c r="E29" s="104">
        <v>5</v>
      </c>
      <c r="F29" s="104">
        <v>5</v>
      </c>
      <c r="G29" s="104">
        <v>5</v>
      </c>
      <c r="H29" s="104">
        <v>5</v>
      </c>
      <c r="I29" s="104">
        <v>5</v>
      </c>
      <c r="J29" s="104">
        <v>5</v>
      </c>
      <c r="K29" s="104">
        <v>5</v>
      </c>
      <c r="L29" s="104">
        <v>5</v>
      </c>
      <c r="M29" s="104">
        <v>5</v>
      </c>
      <c r="N29" s="104">
        <v>5</v>
      </c>
      <c r="O29" s="104">
        <v>5</v>
      </c>
      <c r="P29" s="104">
        <v>5</v>
      </c>
      <c r="Q29" s="104">
        <v>5</v>
      </c>
      <c r="R29" s="104">
        <v>5</v>
      </c>
      <c r="S29" s="104">
        <v>5</v>
      </c>
      <c r="T29" s="104">
        <v>5</v>
      </c>
      <c r="U29" s="104">
        <v>5</v>
      </c>
      <c r="V29" s="104">
        <v>5</v>
      </c>
      <c r="W29" s="104">
        <v>5</v>
      </c>
      <c r="X29" s="105" t="s">
        <v>96</v>
      </c>
      <c r="Y29" s="86"/>
      <c r="Z29" s="86"/>
      <c r="AA29" s="86"/>
      <c r="AB29" s="86"/>
      <c r="AC29" s="102">
        <f t="shared" si="0"/>
        <v>100</v>
      </c>
      <c r="AD29" s="106">
        <f t="shared" si="3"/>
        <v>0</v>
      </c>
    </row>
    <row r="30" customFormat="1" ht="18.75" hidden="1" spans="1:30">
      <c r="A30" s="102">
        <v>30</v>
      </c>
      <c r="B30" s="113" t="s">
        <v>111</v>
      </c>
      <c r="C30" s="102" t="s">
        <v>93</v>
      </c>
      <c r="D30" s="104">
        <v>5</v>
      </c>
      <c r="E30" s="104">
        <v>5</v>
      </c>
      <c r="F30" s="104">
        <v>5</v>
      </c>
      <c r="G30" s="104">
        <v>5</v>
      </c>
      <c r="H30" s="104">
        <v>5</v>
      </c>
      <c r="I30" s="104">
        <v>5</v>
      </c>
      <c r="J30" s="104">
        <v>5</v>
      </c>
      <c r="K30" s="104">
        <v>5</v>
      </c>
      <c r="L30" s="104">
        <v>5</v>
      </c>
      <c r="M30" s="104">
        <v>5</v>
      </c>
      <c r="N30" s="104">
        <v>5</v>
      </c>
      <c r="O30" s="104">
        <v>5</v>
      </c>
      <c r="P30" s="104">
        <v>5</v>
      </c>
      <c r="Q30" s="104">
        <v>5</v>
      </c>
      <c r="R30" s="104">
        <v>5</v>
      </c>
      <c r="S30" s="104">
        <v>5</v>
      </c>
      <c r="T30" s="104">
        <v>5</v>
      </c>
      <c r="U30" s="104">
        <v>5</v>
      </c>
      <c r="V30" s="104">
        <v>5</v>
      </c>
      <c r="W30" s="104">
        <v>5</v>
      </c>
      <c r="X30" s="105" t="s">
        <v>96</v>
      </c>
      <c r="Y30" s="86"/>
      <c r="Z30" s="86"/>
      <c r="AA30" s="86"/>
      <c r="AB30" s="86"/>
      <c r="AC30" s="102">
        <f t="shared" si="0"/>
        <v>100</v>
      </c>
      <c r="AD30" s="106">
        <f t="shared" si="3"/>
        <v>0</v>
      </c>
    </row>
    <row r="31" s="83" customFormat="1" ht="18.75" spans="1:30">
      <c r="A31" s="97">
        <v>31</v>
      </c>
      <c r="B31" s="114" t="s">
        <v>112</v>
      </c>
      <c r="C31" s="112" t="s">
        <v>113</v>
      </c>
      <c r="D31" s="97">
        <v>10</v>
      </c>
      <c r="E31" s="97">
        <v>5</v>
      </c>
      <c r="F31" s="97">
        <v>5</v>
      </c>
      <c r="G31" s="97">
        <v>5</v>
      </c>
      <c r="H31" s="97">
        <v>5</v>
      </c>
      <c r="I31" s="97">
        <v>5</v>
      </c>
      <c r="J31" s="97">
        <v>5</v>
      </c>
      <c r="K31" s="97">
        <v>5</v>
      </c>
      <c r="L31" s="97">
        <v>5</v>
      </c>
      <c r="M31" s="97">
        <v>5</v>
      </c>
      <c r="N31" s="97">
        <v>5</v>
      </c>
      <c r="O31" s="97">
        <v>5</v>
      </c>
      <c r="P31" s="97">
        <v>5</v>
      </c>
      <c r="Q31" s="97">
        <v>5</v>
      </c>
      <c r="R31" s="97">
        <v>5</v>
      </c>
      <c r="S31" s="97">
        <v>5</v>
      </c>
      <c r="T31" s="97">
        <v>5</v>
      </c>
      <c r="U31" s="97">
        <v>5</v>
      </c>
      <c r="V31" s="97">
        <v>5</v>
      </c>
      <c r="W31" s="97">
        <v>5</v>
      </c>
      <c r="X31" s="110">
        <v>0</v>
      </c>
      <c r="Y31" s="111">
        <v>5</v>
      </c>
      <c r="Z31" s="111"/>
      <c r="AA31" s="111"/>
      <c r="AB31" s="111"/>
      <c r="AC31" s="97">
        <f t="shared" si="0"/>
        <v>110</v>
      </c>
      <c r="AD31" s="101">
        <f>121-AC31</f>
        <v>11</v>
      </c>
    </row>
    <row r="32" s="83" customFormat="1" ht="18" customHeight="1" spans="1:30">
      <c r="A32" s="97">
        <v>32</v>
      </c>
      <c r="B32" s="114" t="s">
        <v>114</v>
      </c>
      <c r="C32" s="97" t="s">
        <v>93</v>
      </c>
      <c r="D32" s="97">
        <v>5</v>
      </c>
      <c r="E32" s="97">
        <v>5</v>
      </c>
      <c r="F32" s="97">
        <v>5</v>
      </c>
      <c r="G32" s="99" t="s">
        <v>101</v>
      </c>
      <c r="H32" s="99" t="s">
        <v>101</v>
      </c>
      <c r="I32" s="97">
        <v>5</v>
      </c>
      <c r="J32" s="97">
        <v>5</v>
      </c>
      <c r="K32" s="97">
        <v>5</v>
      </c>
      <c r="L32" s="97">
        <v>5</v>
      </c>
      <c r="M32" s="97">
        <v>5</v>
      </c>
      <c r="N32" s="99" t="s">
        <v>101</v>
      </c>
      <c r="O32" s="99" t="s">
        <v>101</v>
      </c>
      <c r="P32" s="99" t="s">
        <v>101</v>
      </c>
      <c r="Q32" s="99">
        <v>5</v>
      </c>
      <c r="R32" s="99">
        <v>5</v>
      </c>
      <c r="S32" s="99">
        <v>5</v>
      </c>
      <c r="T32" s="99">
        <v>5</v>
      </c>
      <c r="U32" s="99">
        <v>5</v>
      </c>
      <c r="V32" s="99">
        <v>5</v>
      </c>
      <c r="W32" s="99">
        <v>5</v>
      </c>
      <c r="X32" s="110">
        <v>0</v>
      </c>
      <c r="Y32" s="111">
        <v>5</v>
      </c>
      <c r="Z32" s="111"/>
      <c r="AA32" s="111"/>
      <c r="AB32" s="111"/>
      <c r="AC32" s="97">
        <f t="shared" si="0"/>
        <v>80</v>
      </c>
      <c r="AD32" s="101">
        <v>25</v>
      </c>
    </row>
    <row r="33" customFormat="1" ht="18.75" hidden="1" spans="1:30">
      <c r="A33" s="102">
        <v>33</v>
      </c>
      <c r="B33" s="9" t="s">
        <v>115</v>
      </c>
      <c r="C33" s="102" t="s">
        <v>93</v>
      </c>
      <c r="D33" s="104">
        <v>5</v>
      </c>
      <c r="E33" s="104">
        <v>5</v>
      </c>
      <c r="F33" s="104">
        <v>5</v>
      </c>
      <c r="G33" s="104">
        <v>5</v>
      </c>
      <c r="H33" s="104">
        <v>5</v>
      </c>
      <c r="I33" s="104">
        <v>5</v>
      </c>
      <c r="J33" s="104">
        <v>5</v>
      </c>
      <c r="K33" s="104">
        <v>5</v>
      </c>
      <c r="L33" s="104">
        <v>5</v>
      </c>
      <c r="M33" s="104">
        <v>5</v>
      </c>
      <c r="N33" s="104">
        <v>5</v>
      </c>
      <c r="O33" s="104">
        <v>5</v>
      </c>
      <c r="P33" s="104">
        <v>5</v>
      </c>
      <c r="Q33" s="104">
        <v>5</v>
      </c>
      <c r="R33" s="104">
        <v>5</v>
      </c>
      <c r="S33" s="104">
        <v>5</v>
      </c>
      <c r="T33" s="104">
        <v>5</v>
      </c>
      <c r="U33" s="104">
        <v>5</v>
      </c>
      <c r="V33" s="104">
        <v>5</v>
      </c>
      <c r="W33" s="104">
        <v>5</v>
      </c>
      <c r="X33" s="105" t="s">
        <v>96</v>
      </c>
      <c r="Y33" s="86"/>
      <c r="Z33" s="86"/>
      <c r="AA33" s="86"/>
      <c r="AB33" s="86"/>
      <c r="AC33" s="102">
        <f t="shared" si="0"/>
        <v>100</v>
      </c>
      <c r="AD33" s="106">
        <f t="shared" ref="AD33:AD49" si="4">100-AC33</f>
        <v>0</v>
      </c>
    </row>
    <row r="34" customFormat="1" ht="18.75" hidden="1" spans="1:30">
      <c r="A34" s="102">
        <v>34</v>
      </c>
      <c r="B34" s="9" t="s">
        <v>57</v>
      </c>
      <c r="C34" s="102" t="s">
        <v>93</v>
      </c>
      <c r="D34" s="104">
        <v>5</v>
      </c>
      <c r="E34" s="104">
        <v>5</v>
      </c>
      <c r="F34" s="104">
        <v>5</v>
      </c>
      <c r="G34" s="104">
        <v>5</v>
      </c>
      <c r="H34" s="104">
        <v>5</v>
      </c>
      <c r="I34" s="104">
        <v>5</v>
      </c>
      <c r="J34" s="104">
        <v>5</v>
      </c>
      <c r="K34" s="104">
        <v>5</v>
      </c>
      <c r="L34" s="104">
        <v>5</v>
      </c>
      <c r="M34" s="104">
        <v>5</v>
      </c>
      <c r="N34" s="104">
        <v>5</v>
      </c>
      <c r="O34" s="104">
        <v>5</v>
      </c>
      <c r="P34" s="104">
        <v>5</v>
      </c>
      <c r="Q34" s="104">
        <v>5</v>
      </c>
      <c r="R34" s="104">
        <v>5</v>
      </c>
      <c r="S34" s="104">
        <v>5</v>
      </c>
      <c r="T34" s="104">
        <v>5</v>
      </c>
      <c r="U34" s="104">
        <v>5</v>
      </c>
      <c r="V34" s="104">
        <v>5</v>
      </c>
      <c r="W34" s="104">
        <v>5</v>
      </c>
      <c r="X34" s="105" t="s">
        <v>96</v>
      </c>
      <c r="Y34" s="86"/>
      <c r="Z34" s="86"/>
      <c r="AA34" s="86"/>
      <c r="AB34" s="86"/>
      <c r="AC34" s="102">
        <f t="shared" si="0"/>
        <v>100</v>
      </c>
      <c r="AD34" s="106">
        <f t="shared" si="4"/>
        <v>0</v>
      </c>
    </row>
    <row r="35" customFormat="1" ht="18.75" hidden="1" spans="1:30">
      <c r="A35" s="102">
        <v>35</v>
      </c>
      <c r="B35" s="9" t="s">
        <v>116</v>
      </c>
      <c r="C35" s="102" t="s">
        <v>93</v>
      </c>
      <c r="D35" s="104">
        <v>5</v>
      </c>
      <c r="E35" s="104">
        <v>5</v>
      </c>
      <c r="F35" s="104">
        <v>5</v>
      </c>
      <c r="G35" s="104">
        <v>5</v>
      </c>
      <c r="H35" s="104">
        <v>5</v>
      </c>
      <c r="I35" s="104">
        <v>5</v>
      </c>
      <c r="J35" s="104">
        <v>5</v>
      </c>
      <c r="K35" s="104">
        <v>5</v>
      </c>
      <c r="L35" s="104">
        <v>5</v>
      </c>
      <c r="M35" s="104">
        <v>5</v>
      </c>
      <c r="N35" s="104">
        <v>5</v>
      </c>
      <c r="O35" s="104">
        <v>5</v>
      </c>
      <c r="P35" s="104">
        <v>5</v>
      </c>
      <c r="Q35" s="104">
        <v>5</v>
      </c>
      <c r="R35" s="104">
        <v>5</v>
      </c>
      <c r="S35" s="104">
        <v>5</v>
      </c>
      <c r="T35" s="104">
        <v>5</v>
      </c>
      <c r="U35" s="104">
        <v>5</v>
      </c>
      <c r="V35" s="104">
        <v>5</v>
      </c>
      <c r="W35" s="104">
        <v>5</v>
      </c>
      <c r="X35" s="105" t="s">
        <v>96</v>
      </c>
      <c r="Y35" s="86"/>
      <c r="Z35" s="86"/>
      <c r="AA35" s="86"/>
      <c r="AB35" s="86"/>
      <c r="AC35" s="102">
        <f t="shared" si="0"/>
        <v>100</v>
      </c>
      <c r="AD35" s="106">
        <f t="shared" si="4"/>
        <v>0</v>
      </c>
    </row>
    <row r="36" customFormat="1" ht="18.75" hidden="1" spans="1:30">
      <c r="A36" s="102">
        <v>36</v>
      </c>
      <c r="B36" s="9" t="s">
        <v>75</v>
      </c>
      <c r="C36" s="102" t="s">
        <v>93</v>
      </c>
      <c r="D36" s="104">
        <v>5</v>
      </c>
      <c r="E36" s="104">
        <v>5</v>
      </c>
      <c r="F36" s="104">
        <v>5</v>
      </c>
      <c r="G36" s="104">
        <v>5</v>
      </c>
      <c r="H36" s="104">
        <v>5</v>
      </c>
      <c r="I36" s="104">
        <v>5</v>
      </c>
      <c r="J36" s="104">
        <v>5</v>
      </c>
      <c r="K36" s="104">
        <v>5</v>
      </c>
      <c r="L36" s="104">
        <v>5</v>
      </c>
      <c r="M36" s="104">
        <v>5</v>
      </c>
      <c r="N36" s="104">
        <v>5</v>
      </c>
      <c r="O36" s="104">
        <v>5</v>
      </c>
      <c r="P36" s="104">
        <v>5</v>
      </c>
      <c r="Q36" s="104">
        <v>5</v>
      </c>
      <c r="R36" s="104">
        <v>5</v>
      </c>
      <c r="S36" s="104">
        <v>5</v>
      </c>
      <c r="T36" s="104">
        <v>5</v>
      </c>
      <c r="U36" s="104">
        <v>5</v>
      </c>
      <c r="V36" s="104">
        <v>5</v>
      </c>
      <c r="W36" s="104">
        <v>5</v>
      </c>
      <c r="X36" s="105" t="s">
        <v>96</v>
      </c>
      <c r="Y36" s="86"/>
      <c r="Z36" s="86"/>
      <c r="AA36" s="86"/>
      <c r="AB36" s="86"/>
      <c r="AC36" s="102">
        <f t="shared" si="0"/>
        <v>100</v>
      </c>
      <c r="AD36" s="106">
        <f t="shared" si="4"/>
        <v>0</v>
      </c>
    </row>
    <row r="37" customFormat="1" ht="18.75" hidden="1" spans="1:30">
      <c r="A37" s="102">
        <v>37</v>
      </c>
      <c r="B37" s="9" t="s">
        <v>78</v>
      </c>
      <c r="C37" s="102" t="s">
        <v>93</v>
      </c>
      <c r="D37" s="104">
        <v>5</v>
      </c>
      <c r="E37" s="104">
        <v>5</v>
      </c>
      <c r="F37" s="104">
        <v>5</v>
      </c>
      <c r="G37" s="104">
        <v>5</v>
      </c>
      <c r="H37" s="104">
        <v>5</v>
      </c>
      <c r="I37" s="104">
        <v>5</v>
      </c>
      <c r="J37" s="104">
        <v>5</v>
      </c>
      <c r="K37" s="104">
        <v>5</v>
      </c>
      <c r="L37" s="104">
        <v>5</v>
      </c>
      <c r="M37" s="104">
        <v>5</v>
      </c>
      <c r="N37" s="104">
        <v>5</v>
      </c>
      <c r="O37" s="104">
        <v>5</v>
      </c>
      <c r="P37" s="104">
        <v>5</v>
      </c>
      <c r="Q37" s="104">
        <v>5</v>
      </c>
      <c r="R37" s="104">
        <v>5</v>
      </c>
      <c r="S37" s="104">
        <v>5</v>
      </c>
      <c r="T37" s="104">
        <v>5</v>
      </c>
      <c r="U37" s="104">
        <v>5</v>
      </c>
      <c r="V37" s="104">
        <v>5</v>
      </c>
      <c r="W37" s="104">
        <v>5</v>
      </c>
      <c r="X37" s="105" t="s">
        <v>96</v>
      </c>
      <c r="Y37" s="86"/>
      <c r="Z37" s="86"/>
      <c r="AA37" s="86"/>
      <c r="AB37" s="86"/>
      <c r="AC37" s="102">
        <f t="shared" si="0"/>
        <v>100</v>
      </c>
      <c r="AD37" s="106">
        <f t="shared" si="4"/>
        <v>0</v>
      </c>
    </row>
    <row r="38" customFormat="1" ht="18.75" hidden="1" spans="1:30">
      <c r="A38" s="102">
        <v>38</v>
      </c>
      <c r="B38" s="9" t="s">
        <v>24</v>
      </c>
      <c r="C38" s="102" t="s">
        <v>93</v>
      </c>
      <c r="D38" s="104">
        <v>5</v>
      </c>
      <c r="E38" s="104">
        <v>5</v>
      </c>
      <c r="F38" s="104">
        <v>5</v>
      </c>
      <c r="G38" s="104">
        <v>5</v>
      </c>
      <c r="H38" s="104">
        <v>5</v>
      </c>
      <c r="I38" s="104">
        <v>5</v>
      </c>
      <c r="J38" s="104">
        <v>5</v>
      </c>
      <c r="K38" s="104">
        <v>5</v>
      </c>
      <c r="L38" s="104">
        <v>5</v>
      </c>
      <c r="M38" s="104">
        <v>5</v>
      </c>
      <c r="N38" s="104">
        <v>5</v>
      </c>
      <c r="O38" s="104">
        <v>5</v>
      </c>
      <c r="P38" s="104">
        <v>5</v>
      </c>
      <c r="Q38" s="104">
        <v>5</v>
      </c>
      <c r="R38" s="104">
        <v>5</v>
      </c>
      <c r="S38" s="104">
        <v>5</v>
      </c>
      <c r="T38" s="104">
        <v>5</v>
      </c>
      <c r="U38" s="104">
        <v>5</v>
      </c>
      <c r="V38" s="104">
        <v>5</v>
      </c>
      <c r="W38" s="104">
        <v>5</v>
      </c>
      <c r="X38" s="105" t="s">
        <v>96</v>
      </c>
      <c r="Y38" s="86"/>
      <c r="Z38" s="86"/>
      <c r="AA38" s="86"/>
      <c r="AB38" s="86"/>
      <c r="AC38" s="102">
        <f t="shared" si="0"/>
        <v>100</v>
      </c>
      <c r="AD38" s="106">
        <f t="shared" si="4"/>
        <v>0</v>
      </c>
    </row>
    <row r="39" customFormat="1" ht="18.75" hidden="1" spans="1:30">
      <c r="A39" s="102">
        <v>39</v>
      </c>
      <c r="B39" s="9" t="s">
        <v>117</v>
      </c>
      <c r="C39" s="102" t="s">
        <v>93</v>
      </c>
      <c r="D39" s="104">
        <v>5</v>
      </c>
      <c r="E39" s="104">
        <v>5</v>
      </c>
      <c r="F39" s="104">
        <v>5</v>
      </c>
      <c r="G39" s="104">
        <v>5</v>
      </c>
      <c r="H39" s="104">
        <v>5</v>
      </c>
      <c r="I39" s="104">
        <v>5</v>
      </c>
      <c r="J39" s="104">
        <v>5</v>
      </c>
      <c r="K39" s="104">
        <v>5</v>
      </c>
      <c r="L39" s="104">
        <v>5</v>
      </c>
      <c r="M39" s="104">
        <v>5</v>
      </c>
      <c r="N39" s="104">
        <v>5</v>
      </c>
      <c r="O39" s="104">
        <v>5</v>
      </c>
      <c r="P39" s="104">
        <v>5</v>
      </c>
      <c r="Q39" s="104">
        <v>5</v>
      </c>
      <c r="R39" s="104">
        <v>5</v>
      </c>
      <c r="S39" s="104">
        <v>5</v>
      </c>
      <c r="T39" s="104">
        <v>5</v>
      </c>
      <c r="U39" s="104">
        <v>5</v>
      </c>
      <c r="V39" s="104">
        <v>5</v>
      </c>
      <c r="W39" s="104">
        <v>5</v>
      </c>
      <c r="X39" s="105" t="s">
        <v>96</v>
      </c>
      <c r="Y39" s="86"/>
      <c r="Z39" s="86"/>
      <c r="AA39" s="86"/>
      <c r="AB39" s="86"/>
      <c r="AC39" s="102">
        <f t="shared" si="0"/>
        <v>100</v>
      </c>
      <c r="AD39" s="106">
        <f t="shared" si="4"/>
        <v>0</v>
      </c>
    </row>
    <row r="40" customFormat="1" ht="18.75" hidden="1" spans="1:30">
      <c r="A40" s="102">
        <v>40</v>
      </c>
      <c r="B40" s="9" t="s">
        <v>118</v>
      </c>
      <c r="C40" s="102" t="s">
        <v>93</v>
      </c>
      <c r="D40" s="104">
        <v>5</v>
      </c>
      <c r="E40" s="104">
        <v>5</v>
      </c>
      <c r="F40" s="104">
        <v>5</v>
      </c>
      <c r="G40" s="104">
        <v>5</v>
      </c>
      <c r="H40" s="104">
        <v>5</v>
      </c>
      <c r="I40" s="104">
        <v>5</v>
      </c>
      <c r="J40" s="104">
        <v>5</v>
      </c>
      <c r="K40" s="104">
        <v>5</v>
      </c>
      <c r="L40" s="104">
        <v>5</v>
      </c>
      <c r="M40" s="104">
        <v>5</v>
      </c>
      <c r="N40" s="104">
        <v>5</v>
      </c>
      <c r="O40" s="104">
        <v>5</v>
      </c>
      <c r="P40" s="104">
        <v>5</v>
      </c>
      <c r="Q40" s="104">
        <v>5</v>
      </c>
      <c r="R40" s="104">
        <v>5</v>
      </c>
      <c r="S40" s="104">
        <v>5</v>
      </c>
      <c r="T40" s="104">
        <v>5</v>
      </c>
      <c r="U40" s="104">
        <v>5</v>
      </c>
      <c r="V40" s="104">
        <v>5</v>
      </c>
      <c r="W40" s="104">
        <v>5</v>
      </c>
      <c r="X40" s="105" t="s">
        <v>96</v>
      </c>
      <c r="Y40" s="86"/>
      <c r="Z40" s="86"/>
      <c r="AA40" s="86"/>
      <c r="AB40" s="86"/>
      <c r="AC40" s="102">
        <f t="shared" si="0"/>
        <v>100</v>
      </c>
      <c r="AD40" s="106">
        <f t="shared" si="4"/>
        <v>0</v>
      </c>
    </row>
    <row r="41" customFormat="1" ht="18.75" hidden="1" spans="1:30">
      <c r="A41" s="102">
        <v>41</v>
      </c>
      <c r="B41" s="9" t="s">
        <v>37</v>
      </c>
      <c r="C41" s="102" t="s">
        <v>93</v>
      </c>
      <c r="D41" s="104">
        <v>5</v>
      </c>
      <c r="E41" s="104">
        <v>5</v>
      </c>
      <c r="F41" s="104">
        <v>5</v>
      </c>
      <c r="G41" s="104">
        <v>5</v>
      </c>
      <c r="H41" s="104">
        <v>5</v>
      </c>
      <c r="I41" s="104">
        <v>5</v>
      </c>
      <c r="J41" s="104">
        <v>5</v>
      </c>
      <c r="K41" s="104">
        <v>5</v>
      </c>
      <c r="L41" s="104">
        <v>5</v>
      </c>
      <c r="M41" s="104">
        <v>5</v>
      </c>
      <c r="N41" s="104">
        <v>5</v>
      </c>
      <c r="O41" s="104">
        <v>5</v>
      </c>
      <c r="P41" s="104">
        <v>5</v>
      </c>
      <c r="Q41" s="104">
        <v>5</v>
      </c>
      <c r="R41" s="104">
        <v>5</v>
      </c>
      <c r="S41" s="104">
        <v>5</v>
      </c>
      <c r="T41" s="104">
        <v>5</v>
      </c>
      <c r="U41" s="104">
        <v>5</v>
      </c>
      <c r="V41" s="104">
        <v>5</v>
      </c>
      <c r="W41" s="104">
        <v>5</v>
      </c>
      <c r="X41" s="105" t="s">
        <v>96</v>
      </c>
      <c r="Y41" s="86"/>
      <c r="Z41" s="86"/>
      <c r="AA41" s="86"/>
      <c r="AB41" s="86"/>
      <c r="AC41" s="102">
        <f t="shared" si="0"/>
        <v>100</v>
      </c>
      <c r="AD41" s="106">
        <f t="shared" si="4"/>
        <v>0</v>
      </c>
    </row>
    <row r="42" customFormat="1" ht="18.75" hidden="1" spans="1:30">
      <c r="A42" s="102">
        <v>42</v>
      </c>
      <c r="B42" s="9" t="s">
        <v>36</v>
      </c>
      <c r="C42" s="102" t="s">
        <v>93</v>
      </c>
      <c r="D42" s="104">
        <v>5</v>
      </c>
      <c r="E42" s="104">
        <v>5</v>
      </c>
      <c r="F42" s="104">
        <v>5</v>
      </c>
      <c r="G42" s="104">
        <v>5</v>
      </c>
      <c r="H42" s="104">
        <v>5</v>
      </c>
      <c r="I42" s="104">
        <v>5</v>
      </c>
      <c r="J42" s="104">
        <v>5</v>
      </c>
      <c r="K42" s="104">
        <v>5</v>
      </c>
      <c r="L42" s="104">
        <v>5</v>
      </c>
      <c r="M42" s="104">
        <v>5</v>
      </c>
      <c r="N42" s="104">
        <v>5</v>
      </c>
      <c r="O42" s="104">
        <v>5</v>
      </c>
      <c r="P42" s="104">
        <v>5</v>
      </c>
      <c r="Q42" s="104">
        <v>5</v>
      </c>
      <c r="R42" s="104">
        <v>5</v>
      </c>
      <c r="S42" s="104">
        <v>5</v>
      </c>
      <c r="T42" s="104">
        <v>5</v>
      </c>
      <c r="U42" s="104">
        <v>5</v>
      </c>
      <c r="V42" s="104">
        <v>5</v>
      </c>
      <c r="W42" s="104">
        <v>5</v>
      </c>
      <c r="X42" s="105" t="s">
        <v>96</v>
      </c>
      <c r="Y42" s="86"/>
      <c r="Z42" s="86"/>
      <c r="AA42" s="86"/>
      <c r="AB42" s="86"/>
      <c r="AC42" s="102">
        <f t="shared" si="0"/>
        <v>100</v>
      </c>
      <c r="AD42" s="106">
        <f t="shared" si="4"/>
        <v>0</v>
      </c>
    </row>
    <row r="43" customFormat="1" ht="18.75" hidden="1" spans="1:30">
      <c r="A43" s="102">
        <v>43</v>
      </c>
      <c r="B43" s="9" t="s">
        <v>41</v>
      </c>
      <c r="C43" s="102" t="s">
        <v>93</v>
      </c>
      <c r="D43" s="104">
        <v>5</v>
      </c>
      <c r="E43" s="104">
        <v>5</v>
      </c>
      <c r="F43" s="104">
        <v>5</v>
      </c>
      <c r="G43" s="104">
        <v>5</v>
      </c>
      <c r="H43" s="104">
        <v>5</v>
      </c>
      <c r="I43" s="104">
        <v>5</v>
      </c>
      <c r="J43" s="104">
        <v>5</v>
      </c>
      <c r="K43" s="104">
        <v>5</v>
      </c>
      <c r="L43" s="104">
        <v>5</v>
      </c>
      <c r="M43" s="104">
        <v>5</v>
      </c>
      <c r="N43" s="104">
        <v>5</v>
      </c>
      <c r="O43" s="104">
        <v>5</v>
      </c>
      <c r="P43" s="104">
        <v>5</v>
      </c>
      <c r="Q43" s="104">
        <v>5</v>
      </c>
      <c r="R43" s="104">
        <v>5</v>
      </c>
      <c r="S43" s="104">
        <v>5</v>
      </c>
      <c r="T43" s="104">
        <v>5</v>
      </c>
      <c r="U43" s="104">
        <v>5</v>
      </c>
      <c r="V43" s="104">
        <v>5</v>
      </c>
      <c r="W43" s="104">
        <v>5</v>
      </c>
      <c r="X43" s="105" t="s">
        <v>96</v>
      </c>
      <c r="Y43" s="86"/>
      <c r="Z43" s="86"/>
      <c r="AA43" s="86"/>
      <c r="AB43" s="86"/>
      <c r="AC43" s="102">
        <f t="shared" si="0"/>
        <v>100</v>
      </c>
      <c r="AD43" s="106">
        <f t="shared" si="4"/>
        <v>0</v>
      </c>
    </row>
    <row r="44" customFormat="1" ht="18.75" hidden="1" spans="1:30">
      <c r="A44" s="102">
        <v>44</v>
      </c>
      <c r="B44" s="9" t="s">
        <v>41</v>
      </c>
      <c r="C44" s="102" t="s">
        <v>93</v>
      </c>
      <c r="D44" s="104">
        <v>5</v>
      </c>
      <c r="E44" s="104">
        <v>5</v>
      </c>
      <c r="F44" s="104">
        <v>5</v>
      </c>
      <c r="G44" s="104">
        <v>5</v>
      </c>
      <c r="H44" s="104">
        <v>5</v>
      </c>
      <c r="I44" s="104">
        <v>5</v>
      </c>
      <c r="J44" s="104">
        <v>5</v>
      </c>
      <c r="K44" s="104">
        <v>5</v>
      </c>
      <c r="L44" s="104">
        <v>5</v>
      </c>
      <c r="M44" s="104">
        <v>5</v>
      </c>
      <c r="N44" s="104">
        <v>5</v>
      </c>
      <c r="O44" s="104">
        <v>5</v>
      </c>
      <c r="P44" s="104">
        <v>5</v>
      </c>
      <c r="Q44" s="104">
        <v>5</v>
      </c>
      <c r="R44" s="104">
        <v>5</v>
      </c>
      <c r="S44" s="104">
        <v>5</v>
      </c>
      <c r="T44" s="104">
        <v>5</v>
      </c>
      <c r="U44" s="104">
        <v>5</v>
      </c>
      <c r="V44" s="104">
        <v>5</v>
      </c>
      <c r="W44" s="104">
        <v>5</v>
      </c>
      <c r="X44" s="105" t="s">
        <v>96</v>
      </c>
      <c r="Y44" s="86"/>
      <c r="Z44" s="86"/>
      <c r="AA44" s="86"/>
      <c r="AB44" s="86"/>
      <c r="AC44" s="102">
        <f t="shared" si="0"/>
        <v>100</v>
      </c>
      <c r="AD44" s="106">
        <f t="shared" si="4"/>
        <v>0</v>
      </c>
    </row>
    <row r="45" customFormat="1" ht="18.75" hidden="1" spans="1:30">
      <c r="A45" s="102">
        <v>45</v>
      </c>
      <c r="B45" s="9" t="s">
        <v>21</v>
      </c>
      <c r="C45" s="102" t="s">
        <v>93</v>
      </c>
      <c r="D45" s="104">
        <v>5</v>
      </c>
      <c r="E45" s="104">
        <v>5</v>
      </c>
      <c r="F45" s="104">
        <v>5</v>
      </c>
      <c r="G45" s="104">
        <v>5</v>
      </c>
      <c r="H45" s="104">
        <v>5</v>
      </c>
      <c r="I45" s="104">
        <v>5</v>
      </c>
      <c r="J45" s="104">
        <v>5</v>
      </c>
      <c r="K45" s="104">
        <v>5</v>
      </c>
      <c r="L45" s="104">
        <v>5</v>
      </c>
      <c r="M45" s="104">
        <v>5</v>
      </c>
      <c r="N45" s="104">
        <v>5</v>
      </c>
      <c r="O45" s="104">
        <v>5</v>
      </c>
      <c r="P45" s="104">
        <v>5</v>
      </c>
      <c r="Q45" s="104">
        <v>5</v>
      </c>
      <c r="R45" s="104">
        <v>5</v>
      </c>
      <c r="S45" s="104">
        <v>5</v>
      </c>
      <c r="T45" s="104">
        <v>5</v>
      </c>
      <c r="U45" s="104">
        <v>5</v>
      </c>
      <c r="V45" s="104">
        <v>5</v>
      </c>
      <c r="W45" s="104">
        <v>5</v>
      </c>
      <c r="X45" s="105" t="s">
        <v>96</v>
      </c>
      <c r="Y45" s="86"/>
      <c r="Z45" s="86"/>
      <c r="AA45" s="86"/>
      <c r="AB45" s="86"/>
      <c r="AC45" s="102">
        <f t="shared" si="0"/>
        <v>100</v>
      </c>
      <c r="AD45" s="106">
        <f t="shared" si="4"/>
        <v>0</v>
      </c>
    </row>
    <row r="46" customFormat="1" ht="18.75" hidden="1" spans="1:30">
      <c r="A46" s="102">
        <v>46</v>
      </c>
      <c r="B46" s="9" t="s">
        <v>119</v>
      </c>
      <c r="C46" s="102" t="s">
        <v>93</v>
      </c>
      <c r="D46" s="104">
        <v>5</v>
      </c>
      <c r="E46" s="104">
        <v>5</v>
      </c>
      <c r="F46" s="104">
        <v>5</v>
      </c>
      <c r="G46" s="104">
        <v>5</v>
      </c>
      <c r="H46" s="104">
        <v>5</v>
      </c>
      <c r="I46" s="104">
        <v>5</v>
      </c>
      <c r="J46" s="104">
        <v>5</v>
      </c>
      <c r="K46" s="104">
        <v>5</v>
      </c>
      <c r="L46" s="104">
        <v>5</v>
      </c>
      <c r="M46" s="104">
        <v>5</v>
      </c>
      <c r="N46" s="104">
        <v>5</v>
      </c>
      <c r="O46" s="104">
        <v>5</v>
      </c>
      <c r="P46" s="104">
        <v>5</v>
      </c>
      <c r="Q46" s="104">
        <v>5</v>
      </c>
      <c r="R46" s="104">
        <v>5</v>
      </c>
      <c r="S46" s="104">
        <v>5</v>
      </c>
      <c r="T46" s="104">
        <v>5</v>
      </c>
      <c r="U46" s="104">
        <v>5</v>
      </c>
      <c r="V46" s="104">
        <v>5</v>
      </c>
      <c r="W46" s="104">
        <v>5</v>
      </c>
      <c r="X46" s="105" t="s">
        <v>96</v>
      </c>
      <c r="Y46" s="86"/>
      <c r="Z46" s="86"/>
      <c r="AA46" s="86"/>
      <c r="AB46" s="86"/>
      <c r="AC46" s="102">
        <f t="shared" si="0"/>
        <v>100</v>
      </c>
      <c r="AD46" s="106">
        <f t="shared" si="4"/>
        <v>0</v>
      </c>
    </row>
    <row r="47" s="83" customFormat="1" ht="18.75" spans="1:30">
      <c r="A47" s="97">
        <v>47</v>
      </c>
      <c r="B47" s="114" t="s">
        <v>120</v>
      </c>
      <c r="C47" s="97" t="s">
        <v>93</v>
      </c>
      <c r="D47" s="97">
        <v>5</v>
      </c>
      <c r="E47" s="97">
        <v>5</v>
      </c>
      <c r="F47" s="97">
        <v>5</v>
      </c>
      <c r="G47" s="97">
        <v>5</v>
      </c>
      <c r="H47" s="97">
        <v>5</v>
      </c>
      <c r="I47" s="97">
        <v>5</v>
      </c>
      <c r="J47" s="97">
        <v>5</v>
      </c>
      <c r="K47" s="97">
        <v>5</v>
      </c>
      <c r="L47" s="97">
        <v>5</v>
      </c>
      <c r="M47" s="97">
        <v>5</v>
      </c>
      <c r="N47" s="97">
        <v>5</v>
      </c>
      <c r="O47" s="99" t="s">
        <v>94</v>
      </c>
      <c r="P47" s="99" t="s">
        <v>94</v>
      </c>
      <c r="Q47" s="99" t="s">
        <v>94</v>
      </c>
      <c r="R47" s="99" t="s">
        <v>94</v>
      </c>
      <c r="S47" s="99" t="s">
        <v>94</v>
      </c>
      <c r="T47" s="97">
        <v>5</v>
      </c>
      <c r="U47" s="97">
        <v>5</v>
      </c>
      <c r="V47" s="97">
        <v>5</v>
      </c>
      <c r="W47" s="97">
        <v>5</v>
      </c>
      <c r="X47" s="110">
        <v>0</v>
      </c>
      <c r="Y47" s="111">
        <v>5</v>
      </c>
      <c r="Z47" s="111"/>
      <c r="AA47" s="111"/>
      <c r="AB47" s="111"/>
      <c r="AC47" s="97">
        <f t="shared" si="0"/>
        <v>80</v>
      </c>
      <c r="AD47" s="101">
        <f t="shared" si="4"/>
        <v>20</v>
      </c>
    </row>
    <row r="48" s="83" customFormat="1" ht="18.75" hidden="1" spans="1:30">
      <c r="A48" s="97">
        <v>48</v>
      </c>
      <c r="B48" s="114" t="s">
        <v>121</v>
      </c>
      <c r="C48" s="97" t="s">
        <v>93</v>
      </c>
      <c r="D48" s="97">
        <v>5</v>
      </c>
      <c r="E48" s="97">
        <v>5</v>
      </c>
      <c r="F48" s="97">
        <v>5</v>
      </c>
      <c r="G48" s="97">
        <v>5</v>
      </c>
      <c r="H48" s="97">
        <v>5</v>
      </c>
      <c r="I48" s="97">
        <v>5</v>
      </c>
      <c r="J48" s="97">
        <v>5</v>
      </c>
      <c r="K48" s="97">
        <v>5</v>
      </c>
      <c r="L48" s="99" t="s">
        <v>101</v>
      </c>
      <c r="M48" s="99">
        <v>5</v>
      </c>
      <c r="N48" s="99">
        <v>5</v>
      </c>
      <c r="O48" s="99">
        <v>5</v>
      </c>
      <c r="P48" s="99">
        <v>5</v>
      </c>
      <c r="Q48" s="99">
        <v>5</v>
      </c>
      <c r="R48" s="99">
        <v>5</v>
      </c>
      <c r="S48" s="99">
        <v>5</v>
      </c>
      <c r="T48" s="99">
        <v>5</v>
      </c>
      <c r="U48" s="99">
        <v>5</v>
      </c>
      <c r="V48" s="99">
        <v>5</v>
      </c>
      <c r="W48" s="99">
        <v>5</v>
      </c>
      <c r="X48" s="110">
        <v>0</v>
      </c>
      <c r="Y48" s="111">
        <v>5</v>
      </c>
      <c r="Z48" s="111"/>
      <c r="AA48" s="111"/>
      <c r="AB48" s="111"/>
      <c r="AC48" s="97">
        <f t="shared" si="0"/>
        <v>100</v>
      </c>
      <c r="AD48" s="101">
        <f t="shared" si="4"/>
        <v>0</v>
      </c>
    </row>
    <row r="49" customFormat="1" ht="18.75" hidden="1" spans="1:31">
      <c r="A49" s="102">
        <v>49</v>
      </c>
      <c r="B49" s="9" t="s">
        <v>33</v>
      </c>
      <c r="C49" s="102" t="s">
        <v>93</v>
      </c>
      <c r="D49" s="104">
        <v>5</v>
      </c>
      <c r="E49" s="104">
        <v>5</v>
      </c>
      <c r="F49" s="104">
        <v>5</v>
      </c>
      <c r="G49" s="104">
        <v>5</v>
      </c>
      <c r="H49" s="104">
        <v>5</v>
      </c>
      <c r="I49" s="104">
        <v>5</v>
      </c>
      <c r="J49" s="104">
        <v>5</v>
      </c>
      <c r="K49" s="104">
        <v>5</v>
      </c>
      <c r="L49" s="104">
        <v>5</v>
      </c>
      <c r="M49" s="104">
        <v>5</v>
      </c>
      <c r="N49" s="104">
        <v>5</v>
      </c>
      <c r="O49" s="104">
        <v>5</v>
      </c>
      <c r="P49" s="104">
        <v>5</v>
      </c>
      <c r="Q49" s="104">
        <v>5</v>
      </c>
      <c r="R49" s="104">
        <v>5</v>
      </c>
      <c r="S49" s="104">
        <v>5</v>
      </c>
      <c r="T49" s="104">
        <v>5</v>
      </c>
      <c r="U49" s="104">
        <v>5</v>
      </c>
      <c r="V49" s="104">
        <v>5</v>
      </c>
      <c r="W49" s="104">
        <v>5</v>
      </c>
      <c r="X49" s="105" t="s">
        <v>96</v>
      </c>
      <c r="Y49" s="86"/>
      <c r="Z49" s="86"/>
      <c r="AA49" s="86"/>
      <c r="AB49" s="86"/>
      <c r="AC49" s="102">
        <f t="shared" si="0"/>
        <v>100</v>
      </c>
      <c r="AD49" s="106">
        <f t="shared" si="4"/>
        <v>0</v>
      </c>
    </row>
    <row r="50" s="83" customFormat="1" ht="18.75" spans="1:31">
      <c r="A50" s="97">
        <v>50</v>
      </c>
      <c r="B50" s="114" t="s">
        <v>46</v>
      </c>
      <c r="C50" s="97" t="s">
        <v>113</v>
      </c>
      <c r="D50" s="97"/>
      <c r="E50" s="97">
        <v>5</v>
      </c>
      <c r="F50" s="97">
        <v>5</v>
      </c>
      <c r="G50" s="97">
        <v>5</v>
      </c>
      <c r="H50" s="97">
        <v>5</v>
      </c>
      <c r="I50" s="97">
        <v>5</v>
      </c>
      <c r="J50" s="97">
        <v>5</v>
      </c>
      <c r="K50" s="97">
        <v>5</v>
      </c>
      <c r="L50" s="97">
        <v>5</v>
      </c>
      <c r="M50" s="97">
        <v>5</v>
      </c>
      <c r="N50" s="97">
        <v>5</v>
      </c>
      <c r="O50" s="97">
        <v>5</v>
      </c>
      <c r="P50" s="97">
        <v>5</v>
      </c>
      <c r="Q50" s="97">
        <v>5</v>
      </c>
      <c r="R50" s="97">
        <v>5</v>
      </c>
      <c r="S50" s="97">
        <v>5</v>
      </c>
      <c r="T50" s="97">
        <v>5</v>
      </c>
      <c r="U50" s="97">
        <v>5</v>
      </c>
      <c r="V50" s="97">
        <v>5</v>
      </c>
      <c r="W50" s="97">
        <v>5</v>
      </c>
      <c r="X50" s="110">
        <v>0</v>
      </c>
      <c r="Y50" s="111">
        <v>5</v>
      </c>
      <c r="Z50" s="111"/>
      <c r="AA50" s="111"/>
      <c r="AB50" s="111"/>
      <c r="AC50" s="97">
        <f t="shared" si="0"/>
        <v>100</v>
      </c>
      <c r="AD50" s="101">
        <f>121-AC50</f>
        <v>21</v>
      </c>
    </row>
    <row r="51" customFormat="1" ht="18.75" hidden="1" spans="1:31">
      <c r="A51" s="102">
        <v>51</v>
      </c>
      <c r="B51" s="9" t="s">
        <v>122</v>
      </c>
      <c r="C51" s="102" t="s">
        <v>93</v>
      </c>
      <c r="D51" s="104">
        <v>5</v>
      </c>
      <c r="E51" s="104">
        <v>5</v>
      </c>
      <c r="F51" s="104">
        <v>5</v>
      </c>
      <c r="G51" s="104">
        <v>5</v>
      </c>
      <c r="H51" s="104">
        <v>5</v>
      </c>
      <c r="I51" s="104">
        <v>5</v>
      </c>
      <c r="J51" s="104">
        <v>5</v>
      </c>
      <c r="K51" s="104">
        <v>5</v>
      </c>
      <c r="L51" s="104">
        <v>5</v>
      </c>
      <c r="M51" s="104">
        <v>5</v>
      </c>
      <c r="N51" s="104">
        <v>5</v>
      </c>
      <c r="O51" s="104">
        <v>5</v>
      </c>
      <c r="P51" s="104">
        <v>5</v>
      </c>
      <c r="Q51" s="104">
        <v>5</v>
      </c>
      <c r="R51" s="104">
        <v>5</v>
      </c>
      <c r="S51" s="104">
        <v>5</v>
      </c>
      <c r="T51" s="104">
        <v>5</v>
      </c>
      <c r="U51" s="104">
        <v>5</v>
      </c>
      <c r="V51" s="104">
        <v>5</v>
      </c>
      <c r="W51" s="104">
        <v>5</v>
      </c>
      <c r="X51" s="105" t="s">
        <v>96</v>
      </c>
      <c r="Y51" s="86"/>
      <c r="Z51" s="86"/>
      <c r="AA51" s="86"/>
      <c r="AB51" s="86"/>
      <c r="AC51" s="102">
        <f t="shared" si="0"/>
        <v>100</v>
      </c>
      <c r="AD51" s="106">
        <f t="shared" ref="AD51:AD58" si="5">100-AC51</f>
        <v>0</v>
      </c>
    </row>
    <row r="52" customFormat="1" ht="18.75" hidden="1" spans="1:31">
      <c r="A52" s="102">
        <v>52</v>
      </c>
      <c r="B52" s="9" t="s">
        <v>123</v>
      </c>
      <c r="C52" s="102" t="s">
        <v>93</v>
      </c>
      <c r="D52" s="104">
        <v>5</v>
      </c>
      <c r="E52" s="104">
        <v>5</v>
      </c>
      <c r="F52" s="104">
        <v>5</v>
      </c>
      <c r="G52" s="104">
        <v>5</v>
      </c>
      <c r="H52" s="104">
        <v>5</v>
      </c>
      <c r="I52" s="104">
        <v>5</v>
      </c>
      <c r="J52" s="104">
        <v>5</v>
      </c>
      <c r="K52" s="104">
        <v>5</v>
      </c>
      <c r="L52" s="104">
        <v>5</v>
      </c>
      <c r="M52" s="104">
        <v>5</v>
      </c>
      <c r="N52" s="104">
        <v>5</v>
      </c>
      <c r="O52" s="104">
        <v>5</v>
      </c>
      <c r="P52" s="104">
        <v>5</v>
      </c>
      <c r="Q52" s="104">
        <v>5</v>
      </c>
      <c r="R52" s="104">
        <v>5</v>
      </c>
      <c r="S52" s="104">
        <v>5</v>
      </c>
      <c r="T52" s="104">
        <v>5</v>
      </c>
      <c r="U52" s="104">
        <v>5</v>
      </c>
      <c r="V52" s="104">
        <v>5</v>
      </c>
      <c r="W52" s="104">
        <v>5</v>
      </c>
      <c r="X52" s="105" t="s">
        <v>96</v>
      </c>
      <c r="Y52" s="86"/>
      <c r="Z52" s="86"/>
      <c r="AA52" s="86"/>
      <c r="AB52" s="86"/>
      <c r="AC52" s="102">
        <f t="shared" si="0"/>
        <v>100</v>
      </c>
      <c r="AD52" s="106">
        <f t="shared" si="5"/>
        <v>0</v>
      </c>
    </row>
    <row r="53" customFormat="1" ht="18.75" hidden="1" spans="1:31">
      <c r="A53" s="102">
        <v>53</v>
      </c>
      <c r="B53" s="9" t="s">
        <v>28</v>
      </c>
      <c r="C53" s="102" t="s">
        <v>93</v>
      </c>
      <c r="D53" s="104">
        <v>5</v>
      </c>
      <c r="E53" s="104">
        <v>5</v>
      </c>
      <c r="F53" s="104">
        <v>5</v>
      </c>
      <c r="G53" s="104">
        <v>5</v>
      </c>
      <c r="H53" s="104">
        <v>5</v>
      </c>
      <c r="I53" s="104">
        <v>5</v>
      </c>
      <c r="J53" s="104">
        <v>5</v>
      </c>
      <c r="K53" s="104">
        <v>5</v>
      </c>
      <c r="L53" s="104">
        <v>5</v>
      </c>
      <c r="M53" s="104">
        <v>5</v>
      </c>
      <c r="N53" s="104">
        <v>5</v>
      </c>
      <c r="O53" s="104">
        <v>5</v>
      </c>
      <c r="P53" s="104">
        <v>5</v>
      </c>
      <c r="Q53" s="104">
        <v>5</v>
      </c>
      <c r="R53" s="104">
        <v>5</v>
      </c>
      <c r="S53" s="104">
        <v>5</v>
      </c>
      <c r="T53" s="104">
        <v>5</v>
      </c>
      <c r="U53" s="104">
        <v>5</v>
      </c>
      <c r="V53" s="104">
        <v>5</v>
      </c>
      <c r="W53" s="104">
        <v>5</v>
      </c>
      <c r="X53" s="105" t="s">
        <v>96</v>
      </c>
      <c r="Y53" s="86"/>
      <c r="Z53" s="86"/>
      <c r="AA53" s="86"/>
      <c r="AB53" s="86"/>
      <c r="AC53" s="102">
        <f t="shared" si="0"/>
        <v>100</v>
      </c>
      <c r="AD53" s="106">
        <f t="shared" si="5"/>
        <v>0</v>
      </c>
    </row>
    <row r="54" customFormat="1" ht="18.75" hidden="1" spans="1:31">
      <c r="A54" s="102">
        <v>54</v>
      </c>
      <c r="B54" s="9" t="s">
        <v>28</v>
      </c>
      <c r="C54" s="102" t="s">
        <v>93</v>
      </c>
      <c r="D54" s="104">
        <v>5</v>
      </c>
      <c r="E54" s="104">
        <v>5</v>
      </c>
      <c r="F54" s="104">
        <v>5</v>
      </c>
      <c r="G54" s="104">
        <v>5</v>
      </c>
      <c r="H54" s="104">
        <v>5</v>
      </c>
      <c r="I54" s="104">
        <v>5</v>
      </c>
      <c r="J54" s="104">
        <v>5</v>
      </c>
      <c r="K54" s="104">
        <v>5</v>
      </c>
      <c r="L54" s="104">
        <v>5</v>
      </c>
      <c r="M54" s="104">
        <v>5</v>
      </c>
      <c r="N54" s="104">
        <v>5</v>
      </c>
      <c r="O54" s="104">
        <v>5</v>
      </c>
      <c r="P54" s="104">
        <v>5</v>
      </c>
      <c r="Q54" s="104">
        <v>5</v>
      </c>
      <c r="R54" s="104">
        <v>5</v>
      </c>
      <c r="S54" s="104">
        <v>5</v>
      </c>
      <c r="T54" s="104">
        <v>5</v>
      </c>
      <c r="U54" s="104">
        <v>5</v>
      </c>
      <c r="V54" s="104">
        <v>5</v>
      </c>
      <c r="W54" s="104">
        <v>5</v>
      </c>
      <c r="X54" s="105" t="s">
        <v>96</v>
      </c>
      <c r="Y54" s="86"/>
      <c r="Z54" s="86"/>
      <c r="AA54" s="86"/>
      <c r="AB54" s="86"/>
      <c r="AC54" s="102">
        <f t="shared" si="0"/>
        <v>100</v>
      </c>
      <c r="AD54" s="106">
        <f t="shared" si="5"/>
        <v>0</v>
      </c>
    </row>
    <row r="55" customFormat="1" ht="18.75" hidden="1" spans="1:31">
      <c r="A55" s="102">
        <v>55</v>
      </c>
      <c r="B55" s="9" t="s">
        <v>45</v>
      </c>
      <c r="C55" s="102" t="s">
        <v>93</v>
      </c>
      <c r="D55" s="104">
        <v>5</v>
      </c>
      <c r="E55" s="104">
        <v>5</v>
      </c>
      <c r="F55" s="104">
        <v>5</v>
      </c>
      <c r="G55" s="104">
        <v>5</v>
      </c>
      <c r="H55" s="104">
        <v>5</v>
      </c>
      <c r="I55" s="104">
        <v>5</v>
      </c>
      <c r="J55" s="104">
        <v>5</v>
      </c>
      <c r="K55" s="104">
        <v>5</v>
      </c>
      <c r="L55" s="104">
        <v>5</v>
      </c>
      <c r="M55" s="104">
        <v>5</v>
      </c>
      <c r="N55" s="104">
        <v>5</v>
      </c>
      <c r="O55" s="104">
        <v>5</v>
      </c>
      <c r="P55" s="104">
        <v>5</v>
      </c>
      <c r="Q55" s="104">
        <v>5</v>
      </c>
      <c r="R55" s="104">
        <v>5</v>
      </c>
      <c r="S55" s="104">
        <v>5</v>
      </c>
      <c r="T55" s="104">
        <v>5</v>
      </c>
      <c r="U55" s="104">
        <v>5</v>
      </c>
      <c r="V55" s="104">
        <v>5</v>
      </c>
      <c r="W55" s="104">
        <v>5</v>
      </c>
      <c r="X55" s="105" t="s">
        <v>96</v>
      </c>
      <c r="Y55" s="86"/>
      <c r="Z55" s="86"/>
      <c r="AA55" s="86"/>
      <c r="AB55" s="86"/>
      <c r="AC55" s="102">
        <f t="shared" si="0"/>
        <v>100</v>
      </c>
      <c r="AD55" s="106">
        <f t="shared" si="5"/>
        <v>0</v>
      </c>
    </row>
    <row r="56" customFormat="1" ht="18.75" hidden="1" spans="1:31">
      <c r="A56" s="102">
        <v>56</v>
      </c>
      <c r="B56" s="9" t="s">
        <v>45</v>
      </c>
      <c r="C56" s="102" t="s">
        <v>93</v>
      </c>
      <c r="D56" s="104">
        <v>5</v>
      </c>
      <c r="E56" s="104">
        <v>5</v>
      </c>
      <c r="F56" s="104">
        <v>5</v>
      </c>
      <c r="G56" s="104">
        <v>5</v>
      </c>
      <c r="H56" s="104">
        <v>5</v>
      </c>
      <c r="I56" s="104">
        <v>5</v>
      </c>
      <c r="J56" s="104">
        <v>5</v>
      </c>
      <c r="K56" s="104">
        <v>5</v>
      </c>
      <c r="L56" s="104">
        <v>5</v>
      </c>
      <c r="M56" s="104">
        <v>5</v>
      </c>
      <c r="N56" s="104">
        <v>5</v>
      </c>
      <c r="O56" s="104">
        <v>5</v>
      </c>
      <c r="P56" s="104">
        <v>5</v>
      </c>
      <c r="Q56" s="104">
        <v>5</v>
      </c>
      <c r="R56" s="104">
        <v>5</v>
      </c>
      <c r="S56" s="104">
        <v>5</v>
      </c>
      <c r="T56" s="104">
        <v>5</v>
      </c>
      <c r="U56" s="104">
        <v>5</v>
      </c>
      <c r="V56" s="104">
        <v>5</v>
      </c>
      <c r="W56" s="104">
        <v>5</v>
      </c>
      <c r="X56" s="105" t="s">
        <v>96</v>
      </c>
      <c r="Y56" s="86"/>
      <c r="Z56" s="86"/>
      <c r="AA56" s="86"/>
      <c r="AB56" s="86"/>
      <c r="AC56" s="102">
        <f t="shared" si="0"/>
        <v>100</v>
      </c>
      <c r="AD56" s="106">
        <f t="shared" si="5"/>
        <v>0</v>
      </c>
    </row>
    <row r="57" s="83" customFormat="1" ht="18.75" spans="1:31">
      <c r="A57" s="97">
        <v>57</v>
      </c>
      <c r="B57" s="114" t="s">
        <v>124</v>
      </c>
      <c r="C57" s="97" t="s">
        <v>93</v>
      </c>
      <c r="D57" s="97">
        <v>5</v>
      </c>
      <c r="E57" s="97">
        <v>5</v>
      </c>
      <c r="F57" s="97">
        <v>5</v>
      </c>
      <c r="G57" s="99" t="s">
        <v>101</v>
      </c>
      <c r="H57" s="99" t="s">
        <v>101</v>
      </c>
      <c r="I57" s="97">
        <v>5</v>
      </c>
      <c r="J57" s="97">
        <v>5</v>
      </c>
      <c r="K57" s="97">
        <v>5</v>
      </c>
      <c r="L57" s="97">
        <v>5</v>
      </c>
      <c r="M57" s="97">
        <v>5</v>
      </c>
      <c r="N57" s="97">
        <v>5</v>
      </c>
      <c r="O57" s="97">
        <v>5</v>
      </c>
      <c r="P57" s="97">
        <v>5</v>
      </c>
      <c r="Q57" s="99" t="s">
        <v>101</v>
      </c>
      <c r="R57" s="97">
        <v>5</v>
      </c>
      <c r="S57" s="97">
        <v>5</v>
      </c>
      <c r="T57" s="97">
        <v>5</v>
      </c>
      <c r="U57" s="99" t="s">
        <v>125</v>
      </c>
      <c r="V57" s="99" t="s">
        <v>125</v>
      </c>
      <c r="W57" s="99" t="s">
        <v>125</v>
      </c>
      <c r="X57" s="100"/>
      <c r="Y57" s="111"/>
      <c r="Z57" s="111"/>
      <c r="AA57" s="111"/>
      <c r="AB57" s="111"/>
      <c r="AC57" s="97">
        <f t="shared" si="0"/>
        <v>70</v>
      </c>
      <c r="AD57" s="101">
        <f t="shared" si="5"/>
        <v>30</v>
      </c>
    </row>
    <row r="58" customFormat="1" ht="18.75" hidden="1" spans="1:31">
      <c r="A58" s="102">
        <v>58</v>
      </c>
      <c r="B58" s="9" t="s">
        <v>51</v>
      </c>
      <c r="C58" s="102" t="s">
        <v>93</v>
      </c>
      <c r="D58" s="104">
        <v>5</v>
      </c>
      <c r="E58" s="104">
        <v>5</v>
      </c>
      <c r="F58" s="104">
        <v>5</v>
      </c>
      <c r="G58" s="104">
        <v>5</v>
      </c>
      <c r="H58" s="104">
        <v>5</v>
      </c>
      <c r="I58" s="104">
        <v>5</v>
      </c>
      <c r="J58" s="104">
        <v>5</v>
      </c>
      <c r="K58" s="104">
        <v>5</v>
      </c>
      <c r="L58" s="104">
        <v>5</v>
      </c>
      <c r="M58" s="104">
        <v>5</v>
      </c>
      <c r="N58" s="104">
        <v>5</v>
      </c>
      <c r="O58" s="104">
        <v>5</v>
      </c>
      <c r="P58" s="104">
        <v>5</v>
      </c>
      <c r="Q58" s="104">
        <v>5</v>
      </c>
      <c r="R58" s="104">
        <v>5</v>
      </c>
      <c r="S58" s="104">
        <v>5</v>
      </c>
      <c r="T58" s="104">
        <v>5</v>
      </c>
      <c r="U58" s="104">
        <v>5</v>
      </c>
      <c r="V58" s="104">
        <v>5</v>
      </c>
      <c r="W58" s="104">
        <v>5</v>
      </c>
      <c r="X58" s="105" t="s">
        <v>96</v>
      </c>
      <c r="Y58" s="86"/>
      <c r="Z58" s="86"/>
      <c r="AA58" s="86"/>
      <c r="AB58" s="86"/>
      <c r="AC58" s="102">
        <f t="shared" si="0"/>
        <v>100</v>
      </c>
      <c r="AD58" s="106">
        <f t="shared" si="5"/>
        <v>0</v>
      </c>
    </row>
    <row r="59" customFormat="1" ht="18.75" hidden="1" spans="1:31">
      <c r="A59" s="102">
        <v>60</v>
      </c>
      <c r="B59" s="9" t="s">
        <v>126</v>
      </c>
      <c r="C59" s="104" t="s">
        <v>127</v>
      </c>
      <c r="D59" s="104">
        <v>10</v>
      </c>
      <c r="E59" s="104">
        <v>10</v>
      </c>
      <c r="F59" s="104">
        <v>10</v>
      </c>
      <c r="G59" s="104">
        <v>10</v>
      </c>
      <c r="H59" s="104">
        <v>10</v>
      </c>
      <c r="I59" s="104">
        <v>10</v>
      </c>
      <c r="J59" s="104">
        <v>10</v>
      </c>
      <c r="K59" s="104">
        <v>10</v>
      </c>
      <c r="L59" s="104">
        <v>10</v>
      </c>
      <c r="M59" s="104">
        <v>10</v>
      </c>
      <c r="N59" s="104">
        <v>10</v>
      </c>
      <c r="O59" s="104">
        <v>10</v>
      </c>
      <c r="P59" s="104">
        <v>10</v>
      </c>
      <c r="Q59" s="104">
        <v>10</v>
      </c>
      <c r="R59" s="104">
        <v>5</v>
      </c>
      <c r="S59" s="115" t="s">
        <v>96</v>
      </c>
      <c r="T59" s="115" t="s">
        <v>96</v>
      </c>
      <c r="U59" s="115" t="s">
        <v>96</v>
      </c>
      <c r="V59" s="115" t="s">
        <v>96</v>
      </c>
      <c r="W59" s="115" t="s">
        <v>96</v>
      </c>
      <c r="X59" s="105" t="s">
        <v>96</v>
      </c>
      <c r="Y59" s="86"/>
      <c r="Z59" s="86"/>
      <c r="AA59" s="86"/>
      <c r="AB59" s="86"/>
      <c r="AC59" s="102">
        <f t="shared" si="0"/>
        <v>145</v>
      </c>
      <c r="AD59" s="106">
        <f>145-AC59</f>
        <v>0</v>
      </c>
      <c r="AE59" t="s">
        <v>96</v>
      </c>
    </row>
    <row r="60" customFormat="1" ht="18.75" hidden="1" spans="1:31">
      <c r="A60" s="102">
        <v>61</v>
      </c>
      <c r="B60" s="9" t="s">
        <v>23</v>
      </c>
      <c r="C60" s="102" t="s">
        <v>93</v>
      </c>
      <c r="D60" s="104">
        <v>5</v>
      </c>
      <c r="E60" s="104">
        <v>5</v>
      </c>
      <c r="F60" s="104">
        <v>5</v>
      </c>
      <c r="G60" s="104">
        <v>5</v>
      </c>
      <c r="H60" s="104">
        <v>5</v>
      </c>
      <c r="I60" s="104">
        <v>5</v>
      </c>
      <c r="J60" s="104">
        <v>5</v>
      </c>
      <c r="K60" s="104">
        <v>5</v>
      </c>
      <c r="L60" s="104">
        <v>5</v>
      </c>
      <c r="M60" s="104">
        <v>5</v>
      </c>
      <c r="N60" s="104">
        <v>5</v>
      </c>
      <c r="O60" s="104">
        <v>5</v>
      </c>
      <c r="P60" s="104">
        <v>5</v>
      </c>
      <c r="Q60" s="104">
        <v>5</v>
      </c>
      <c r="R60" s="104">
        <v>5</v>
      </c>
      <c r="S60" s="104">
        <v>5</v>
      </c>
      <c r="T60" s="104">
        <v>5</v>
      </c>
      <c r="U60" s="104">
        <v>5</v>
      </c>
      <c r="V60" s="104">
        <v>5</v>
      </c>
      <c r="W60" s="104">
        <v>5</v>
      </c>
      <c r="X60" s="105" t="s">
        <v>96</v>
      </c>
      <c r="Y60" s="86"/>
      <c r="Z60" s="86"/>
      <c r="AA60" s="86"/>
      <c r="AB60" s="86"/>
      <c r="AC60" s="102">
        <f t="shared" si="0"/>
        <v>100</v>
      </c>
      <c r="AD60" s="106">
        <f t="shared" ref="AD60:AD73" si="6">100-AC60</f>
        <v>0</v>
      </c>
    </row>
    <row r="61" customFormat="1" ht="18.75" hidden="1" spans="1:31">
      <c r="A61" s="102">
        <v>62</v>
      </c>
      <c r="B61" s="9" t="s">
        <v>13</v>
      </c>
      <c r="C61" s="102" t="s">
        <v>93</v>
      </c>
      <c r="D61" s="104">
        <v>5</v>
      </c>
      <c r="E61" s="104">
        <v>5</v>
      </c>
      <c r="F61" s="104">
        <v>5</v>
      </c>
      <c r="G61" s="104">
        <v>5</v>
      </c>
      <c r="H61" s="104">
        <v>5</v>
      </c>
      <c r="I61" s="104">
        <v>5</v>
      </c>
      <c r="J61" s="104">
        <v>5</v>
      </c>
      <c r="K61" s="104">
        <v>5</v>
      </c>
      <c r="L61" s="104">
        <v>5</v>
      </c>
      <c r="M61" s="104">
        <v>5</v>
      </c>
      <c r="N61" s="104">
        <v>5</v>
      </c>
      <c r="O61" s="104">
        <v>5</v>
      </c>
      <c r="P61" s="104">
        <v>5</v>
      </c>
      <c r="Q61" s="104">
        <v>5</v>
      </c>
      <c r="R61" s="104">
        <v>5</v>
      </c>
      <c r="S61" s="104">
        <v>5</v>
      </c>
      <c r="T61" s="104">
        <v>5</v>
      </c>
      <c r="U61" s="104">
        <v>5</v>
      </c>
      <c r="V61" s="104">
        <v>5</v>
      </c>
      <c r="W61" s="104">
        <v>5</v>
      </c>
      <c r="X61" s="105" t="s">
        <v>96</v>
      </c>
      <c r="Y61" s="86"/>
      <c r="Z61" s="86"/>
      <c r="AA61" s="86"/>
      <c r="AB61" s="86"/>
      <c r="AC61" s="102">
        <f t="shared" si="0"/>
        <v>100</v>
      </c>
      <c r="AD61" s="106">
        <f t="shared" si="6"/>
        <v>0</v>
      </c>
    </row>
    <row r="62" s="83" customFormat="1" ht="18.75" spans="1:31">
      <c r="A62" s="97">
        <v>63</v>
      </c>
      <c r="B62" s="114" t="s">
        <v>128</v>
      </c>
      <c r="C62" s="97" t="s">
        <v>93</v>
      </c>
      <c r="D62" s="97">
        <v>5</v>
      </c>
      <c r="E62" s="97">
        <v>5</v>
      </c>
      <c r="F62" s="97">
        <v>5</v>
      </c>
      <c r="G62" s="97">
        <v>5</v>
      </c>
      <c r="H62" s="97">
        <v>5</v>
      </c>
      <c r="I62" s="97">
        <v>5</v>
      </c>
      <c r="J62" s="97">
        <v>5</v>
      </c>
      <c r="K62" s="99">
        <v>5</v>
      </c>
      <c r="L62" s="99">
        <v>5</v>
      </c>
      <c r="M62" s="97">
        <v>5</v>
      </c>
      <c r="N62" s="97">
        <v>5</v>
      </c>
      <c r="O62" s="97">
        <v>5</v>
      </c>
      <c r="P62" s="97">
        <v>5</v>
      </c>
      <c r="Q62" s="97">
        <v>5</v>
      </c>
      <c r="R62" s="97">
        <v>5</v>
      </c>
      <c r="S62" s="97">
        <v>5</v>
      </c>
      <c r="T62" s="97">
        <v>5</v>
      </c>
      <c r="U62" s="97">
        <v>5</v>
      </c>
      <c r="V62" s="97">
        <v>5</v>
      </c>
      <c r="W62" s="97">
        <v>5</v>
      </c>
      <c r="X62" s="100" t="s">
        <v>96</v>
      </c>
      <c r="Y62" s="111"/>
      <c r="Z62" s="111"/>
      <c r="AA62" s="111"/>
      <c r="AB62" s="111"/>
      <c r="AC62" s="97">
        <f t="shared" si="0"/>
        <v>100</v>
      </c>
      <c r="AD62" s="101">
        <v>5</v>
      </c>
      <c r="AE62" s="83" t="s">
        <v>129</v>
      </c>
    </row>
    <row r="63" customFormat="1" ht="18.75" hidden="1" spans="1:31">
      <c r="A63" s="102">
        <v>64</v>
      </c>
      <c r="B63" s="9" t="s">
        <v>130</v>
      </c>
      <c r="C63" s="102" t="s">
        <v>93</v>
      </c>
      <c r="D63" s="104">
        <v>5</v>
      </c>
      <c r="E63" s="104">
        <v>5</v>
      </c>
      <c r="F63" s="104">
        <v>5</v>
      </c>
      <c r="G63" s="104">
        <v>5</v>
      </c>
      <c r="H63" s="104">
        <v>5</v>
      </c>
      <c r="I63" s="104">
        <v>5</v>
      </c>
      <c r="J63" s="104">
        <v>5</v>
      </c>
      <c r="K63" s="104">
        <v>5</v>
      </c>
      <c r="L63" s="104">
        <v>5</v>
      </c>
      <c r="M63" s="104">
        <v>5</v>
      </c>
      <c r="N63" s="104">
        <v>5</v>
      </c>
      <c r="O63" s="104">
        <v>5</v>
      </c>
      <c r="P63" s="104">
        <v>5</v>
      </c>
      <c r="Q63" s="104">
        <v>5</v>
      </c>
      <c r="R63" s="104">
        <v>5</v>
      </c>
      <c r="S63" s="104">
        <v>5</v>
      </c>
      <c r="T63" s="104">
        <v>5</v>
      </c>
      <c r="U63" s="104">
        <v>5</v>
      </c>
      <c r="V63" s="104">
        <v>5</v>
      </c>
      <c r="W63" s="104">
        <v>5</v>
      </c>
      <c r="X63" s="105" t="s">
        <v>96</v>
      </c>
      <c r="Y63" s="86"/>
      <c r="Z63" s="86"/>
      <c r="AA63" s="86"/>
      <c r="AB63" s="86"/>
      <c r="AC63" s="102">
        <f t="shared" si="0"/>
        <v>100</v>
      </c>
      <c r="AD63" s="106">
        <f t="shared" si="6"/>
        <v>0</v>
      </c>
    </row>
    <row r="64" customFormat="1" ht="18.75" hidden="1" spans="1:31">
      <c r="A64" s="102">
        <v>65</v>
      </c>
      <c r="B64" s="9" t="s">
        <v>131</v>
      </c>
      <c r="C64" s="102" t="s">
        <v>93</v>
      </c>
      <c r="D64" s="104">
        <v>5</v>
      </c>
      <c r="E64" s="104">
        <v>5</v>
      </c>
      <c r="F64" s="104">
        <v>5</v>
      </c>
      <c r="G64" s="104">
        <v>5</v>
      </c>
      <c r="H64" s="104">
        <v>5</v>
      </c>
      <c r="I64" s="104">
        <v>5</v>
      </c>
      <c r="J64" s="104">
        <v>5</v>
      </c>
      <c r="K64" s="104">
        <v>5</v>
      </c>
      <c r="L64" s="104">
        <v>5</v>
      </c>
      <c r="M64" s="104">
        <v>5</v>
      </c>
      <c r="N64" s="104">
        <v>5</v>
      </c>
      <c r="O64" s="104">
        <v>5</v>
      </c>
      <c r="P64" s="104">
        <v>5</v>
      </c>
      <c r="Q64" s="104">
        <v>5</v>
      </c>
      <c r="R64" s="104">
        <v>5</v>
      </c>
      <c r="S64" s="104">
        <v>5</v>
      </c>
      <c r="T64" s="104">
        <v>5</v>
      </c>
      <c r="U64" s="104">
        <v>5</v>
      </c>
      <c r="V64" s="104">
        <v>5</v>
      </c>
      <c r="W64" s="104">
        <v>5</v>
      </c>
      <c r="X64" s="105" t="s">
        <v>96</v>
      </c>
      <c r="Y64" s="86"/>
      <c r="Z64" s="86"/>
      <c r="AA64" s="86"/>
      <c r="AB64" s="86"/>
      <c r="AC64" s="102">
        <f t="shared" si="0"/>
        <v>100</v>
      </c>
      <c r="AD64" s="106">
        <f t="shared" si="6"/>
        <v>0</v>
      </c>
    </row>
    <row r="65" s="83" customFormat="1" ht="18.75" hidden="1" spans="1:30">
      <c r="A65" s="97">
        <v>66</v>
      </c>
      <c r="B65" s="114" t="s">
        <v>132</v>
      </c>
      <c r="C65" s="97" t="s">
        <v>93</v>
      </c>
      <c r="D65" s="97">
        <v>5</v>
      </c>
      <c r="E65" s="97">
        <v>5</v>
      </c>
      <c r="F65" s="97">
        <v>5</v>
      </c>
      <c r="G65" s="97">
        <v>5</v>
      </c>
      <c r="H65" s="97">
        <v>5</v>
      </c>
      <c r="I65" s="97">
        <v>5</v>
      </c>
      <c r="J65" s="97">
        <v>5</v>
      </c>
      <c r="K65" s="97">
        <v>5</v>
      </c>
      <c r="L65" s="99" t="s">
        <v>101</v>
      </c>
      <c r="M65" s="99">
        <v>5</v>
      </c>
      <c r="N65" s="99">
        <v>5</v>
      </c>
      <c r="O65" s="99">
        <v>5</v>
      </c>
      <c r="P65" s="99">
        <v>5</v>
      </c>
      <c r="Q65" s="99">
        <v>5</v>
      </c>
      <c r="R65" s="99">
        <v>5</v>
      </c>
      <c r="S65" s="99">
        <v>5</v>
      </c>
      <c r="T65" s="99">
        <v>5</v>
      </c>
      <c r="U65" s="99">
        <v>5</v>
      </c>
      <c r="V65" s="99">
        <v>5</v>
      </c>
      <c r="W65" s="99">
        <v>5</v>
      </c>
      <c r="X65" s="110">
        <v>0</v>
      </c>
      <c r="Y65" s="111">
        <v>5</v>
      </c>
      <c r="Z65" s="111"/>
      <c r="AA65" s="111"/>
      <c r="AB65" s="111"/>
      <c r="AC65" s="97">
        <f t="shared" si="0"/>
        <v>100</v>
      </c>
      <c r="AD65" s="101">
        <f t="shared" si="6"/>
        <v>0</v>
      </c>
    </row>
    <row r="66" s="83" customFormat="1" ht="18.75" hidden="1" spans="1:30">
      <c r="A66" s="97">
        <v>67</v>
      </c>
      <c r="B66" s="114" t="s">
        <v>133</v>
      </c>
      <c r="C66" s="97" t="s">
        <v>93</v>
      </c>
      <c r="D66" s="97">
        <v>5</v>
      </c>
      <c r="E66" s="97">
        <v>5</v>
      </c>
      <c r="F66" s="97">
        <v>5</v>
      </c>
      <c r="G66" s="97">
        <v>5</v>
      </c>
      <c r="H66" s="97">
        <v>5</v>
      </c>
      <c r="I66" s="97">
        <v>5</v>
      </c>
      <c r="J66" s="97">
        <v>5</v>
      </c>
      <c r="K66" s="97">
        <v>5</v>
      </c>
      <c r="L66" s="99" t="s">
        <v>101</v>
      </c>
      <c r="M66" s="99">
        <v>5</v>
      </c>
      <c r="N66" s="99">
        <v>5</v>
      </c>
      <c r="O66" s="99">
        <v>5</v>
      </c>
      <c r="P66" s="99">
        <v>5</v>
      </c>
      <c r="Q66" s="99">
        <v>5</v>
      </c>
      <c r="R66" s="99">
        <v>5</v>
      </c>
      <c r="S66" s="99">
        <v>5</v>
      </c>
      <c r="T66" s="99">
        <v>5</v>
      </c>
      <c r="U66" s="99">
        <v>5</v>
      </c>
      <c r="V66" s="99">
        <v>5</v>
      </c>
      <c r="W66" s="99">
        <v>5</v>
      </c>
      <c r="X66" s="110">
        <v>0</v>
      </c>
      <c r="Y66" s="111">
        <v>5</v>
      </c>
      <c r="Z66" s="111"/>
      <c r="AA66" s="111"/>
      <c r="AB66" s="111"/>
      <c r="AC66" s="97">
        <f t="shared" si="0"/>
        <v>100</v>
      </c>
      <c r="AD66" s="101">
        <f t="shared" si="6"/>
        <v>0</v>
      </c>
    </row>
    <row r="67" customFormat="1" ht="18.75" hidden="1" spans="1:30">
      <c r="A67" s="102">
        <v>68</v>
      </c>
      <c r="B67" s="9" t="s">
        <v>70</v>
      </c>
      <c r="C67" s="102" t="s">
        <v>93</v>
      </c>
      <c r="D67" s="104">
        <v>5</v>
      </c>
      <c r="E67" s="104">
        <v>5</v>
      </c>
      <c r="F67" s="104">
        <v>5</v>
      </c>
      <c r="G67" s="104">
        <v>5</v>
      </c>
      <c r="H67" s="104">
        <v>5</v>
      </c>
      <c r="I67" s="104">
        <v>5</v>
      </c>
      <c r="J67" s="104">
        <v>5</v>
      </c>
      <c r="K67" s="104">
        <v>5</v>
      </c>
      <c r="L67" s="104">
        <v>5</v>
      </c>
      <c r="M67" s="104">
        <v>5</v>
      </c>
      <c r="N67" s="104">
        <v>5</v>
      </c>
      <c r="O67" s="104">
        <v>5</v>
      </c>
      <c r="P67" s="104">
        <v>5</v>
      </c>
      <c r="Q67" s="104">
        <v>5</v>
      </c>
      <c r="R67" s="104">
        <v>5</v>
      </c>
      <c r="S67" s="104">
        <v>5</v>
      </c>
      <c r="T67" s="104">
        <v>5</v>
      </c>
      <c r="U67" s="104">
        <v>5</v>
      </c>
      <c r="V67" s="104">
        <v>5</v>
      </c>
      <c r="W67" s="104">
        <v>5</v>
      </c>
      <c r="X67" s="105" t="s">
        <v>96</v>
      </c>
      <c r="Y67" s="86"/>
      <c r="Z67" s="86"/>
      <c r="AA67" s="86"/>
      <c r="AB67" s="86"/>
      <c r="AC67" s="102">
        <f t="shared" ref="AC67:AC83" si="7">SUM(D67:AB67)</f>
        <v>100</v>
      </c>
      <c r="AD67" s="106">
        <f t="shared" si="6"/>
        <v>0</v>
      </c>
    </row>
    <row r="68" customFormat="1" ht="18.75" hidden="1" spans="1:30">
      <c r="A68" s="102">
        <v>69</v>
      </c>
      <c r="B68" s="9" t="s">
        <v>134</v>
      </c>
      <c r="C68" s="102" t="s">
        <v>93</v>
      </c>
      <c r="D68" s="104">
        <v>5</v>
      </c>
      <c r="E68" s="104">
        <v>5</v>
      </c>
      <c r="F68" s="104">
        <v>5</v>
      </c>
      <c r="G68" s="104">
        <v>5</v>
      </c>
      <c r="H68" s="104">
        <v>5</v>
      </c>
      <c r="I68" s="104">
        <v>5</v>
      </c>
      <c r="J68" s="104">
        <v>5</v>
      </c>
      <c r="K68" s="104">
        <v>5</v>
      </c>
      <c r="L68" s="104">
        <v>5</v>
      </c>
      <c r="M68" s="104">
        <v>5</v>
      </c>
      <c r="N68" s="104">
        <v>5</v>
      </c>
      <c r="O68" s="104">
        <v>5</v>
      </c>
      <c r="P68" s="104">
        <v>5</v>
      </c>
      <c r="Q68" s="104">
        <v>5</v>
      </c>
      <c r="R68" s="104">
        <v>5</v>
      </c>
      <c r="S68" s="104">
        <v>5</v>
      </c>
      <c r="T68" s="104">
        <v>5</v>
      </c>
      <c r="U68" s="104">
        <v>5</v>
      </c>
      <c r="V68" s="104">
        <v>5</v>
      </c>
      <c r="W68" s="104">
        <v>5</v>
      </c>
      <c r="X68" s="105" t="s">
        <v>96</v>
      </c>
      <c r="Y68" s="86"/>
      <c r="Z68" s="86"/>
      <c r="AA68" s="86"/>
      <c r="AB68" s="86"/>
      <c r="AC68" s="102">
        <f t="shared" si="7"/>
        <v>100</v>
      </c>
      <c r="AD68" s="106">
        <f t="shared" si="6"/>
        <v>0</v>
      </c>
    </row>
    <row r="69" customFormat="1" ht="18.75" hidden="1" spans="1:30">
      <c r="A69" s="102">
        <v>70</v>
      </c>
      <c r="B69" s="9" t="s">
        <v>135</v>
      </c>
      <c r="C69" s="102" t="s">
        <v>93</v>
      </c>
      <c r="D69" s="104">
        <v>5</v>
      </c>
      <c r="E69" s="104">
        <v>5</v>
      </c>
      <c r="F69" s="104">
        <v>5</v>
      </c>
      <c r="G69" s="104">
        <v>5</v>
      </c>
      <c r="H69" s="104">
        <v>5</v>
      </c>
      <c r="I69" s="104">
        <v>5</v>
      </c>
      <c r="J69" s="104">
        <v>5</v>
      </c>
      <c r="K69" s="104">
        <v>5</v>
      </c>
      <c r="L69" s="104">
        <v>5</v>
      </c>
      <c r="M69" s="104">
        <v>5</v>
      </c>
      <c r="N69" s="104">
        <v>5</v>
      </c>
      <c r="O69" s="104">
        <v>5</v>
      </c>
      <c r="P69" s="104">
        <v>5</v>
      </c>
      <c r="Q69" s="104">
        <v>5</v>
      </c>
      <c r="R69" s="104">
        <v>5</v>
      </c>
      <c r="S69" s="104">
        <v>5</v>
      </c>
      <c r="T69" s="104">
        <v>5</v>
      </c>
      <c r="U69" s="104">
        <v>5</v>
      </c>
      <c r="V69" s="104">
        <v>5</v>
      </c>
      <c r="W69" s="104">
        <v>5</v>
      </c>
      <c r="X69" s="105" t="s">
        <v>96</v>
      </c>
      <c r="Y69" s="86"/>
      <c r="Z69" s="86"/>
      <c r="AA69" s="86"/>
      <c r="AB69" s="86"/>
      <c r="AC69" s="102">
        <f t="shared" si="7"/>
        <v>100</v>
      </c>
      <c r="AD69" s="106">
        <f t="shared" si="6"/>
        <v>0</v>
      </c>
    </row>
    <row r="70" customFormat="1" ht="18.75" hidden="1" spans="1:30">
      <c r="A70" s="102">
        <v>71</v>
      </c>
      <c r="B70" s="9" t="s">
        <v>74</v>
      </c>
      <c r="C70" s="102" t="s">
        <v>93</v>
      </c>
      <c r="D70" s="104">
        <v>5</v>
      </c>
      <c r="E70" s="104">
        <v>5</v>
      </c>
      <c r="F70" s="104">
        <v>5</v>
      </c>
      <c r="G70" s="104">
        <v>5</v>
      </c>
      <c r="H70" s="104">
        <v>5</v>
      </c>
      <c r="I70" s="104">
        <v>5</v>
      </c>
      <c r="J70" s="104">
        <v>5</v>
      </c>
      <c r="K70" s="104">
        <v>5</v>
      </c>
      <c r="L70" s="104">
        <v>5</v>
      </c>
      <c r="M70" s="104">
        <v>5</v>
      </c>
      <c r="N70" s="104">
        <v>5</v>
      </c>
      <c r="O70" s="104">
        <v>5</v>
      </c>
      <c r="P70" s="104">
        <v>5</v>
      </c>
      <c r="Q70" s="104">
        <v>5</v>
      </c>
      <c r="R70" s="104">
        <v>5</v>
      </c>
      <c r="S70" s="104">
        <v>5</v>
      </c>
      <c r="T70" s="104">
        <v>5</v>
      </c>
      <c r="U70" s="104">
        <v>5</v>
      </c>
      <c r="V70" s="104">
        <v>5</v>
      </c>
      <c r="W70" s="104">
        <v>5</v>
      </c>
      <c r="X70" s="105" t="s">
        <v>96</v>
      </c>
      <c r="Y70" s="86"/>
      <c r="Z70" s="86"/>
      <c r="AA70" s="86"/>
      <c r="AB70" s="86"/>
      <c r="AC70" s="102">
        <f t="shared" si="7"/>
        <v>100</v>
      </c>
      <c r="AD70" s="106">
        <f t="shared" si="6"/>
        <v>0</v>
      </c>
    </row>
    <row r="71" s="83" customFormat="1" ht="18.75" hidden="1" spans="1:30">
      <c r="A71" s="97">
        <v>72</v>
      </c>
      <c r="B71" s="116" t="s">
        <v>71</v>
      </c>
      <c r="C71" s="97" t="s">
        <v>93</v>
      </c>
      <c r="D71" s="97"/>
      <c r="E71" s="97">
        <v>5</v>
      </c>
      <c r="F71" s="97">
        <v>5</v>
      </c>
      <c r="G71" s="97">
        <v>5</v>
      </c>
      <c r="H71" s="97">
        <v>5</v>
      </c>
      <c r="I71" s="97">
        <v>5</v>
      </c>
      <c r="J71" s="97">
        <v>5</v>
      </c>
      <c r="K71" s="97">
        <v>5</v>
      </c>
      <c r="L71" s="97">
        <v>5</v>
      </c>
      <c r="M71" s="97">
        <v>5</v>
      </c>
      <c r="N71" s="97">
        <v>5</v>
      </c>
      <c r="O71" s="97">
        <v>5</v>
      </c>
      <c r="P71" s="97">
        <v>5</v>
      </c>
      <c r="Q71" s="97">
        <v>5</v>
      </c>
      <c r="R71" s="97">
        <v>5</v>
      </c>
      <c r="S71" s="97">
        <v>5</v>
      </c>
      <c r="T71" s="97">
        <v>5</v>
      </c>
      <c r="U71" s="97">
        <v>5</v>
      </c>
      <c r="V71" s="97">
        <v>5</v>
      </c>
      <c r="W71" s="97">
        <v>5</v>
      </c>
      <c r="X71" s="110">
        <v>0</v>
      </c>
      <c r="Y71" s="111">
        <v>5</v>
      </c>
      <c r="Z71" s="111"/>
      <c r="AA71" s="111"/>
      <c r="AB71" s="111"/>
      <c r="AC71" s="97">
        <f t="shared" si="7"/>
        <v>100</v>
      </c>
      <c r="AD71" s="101">
        <f t="shared" si="6"/>
        <v>0</v>
      </c>
    </row>
    <row r="72" s="83" customFormat="1" spans="1:30">
      <c r="A72" s="97">
        <v>73</v>
      </c>
      <c r="B72" s="117" t="s">
        <v>136</v>
      </c>
      <c r="C72" s="97" t="s">
        <v>93</v>
      </c>
      <c r="D72" s="97"/>
      <c r="E72" s="97">
        <v>5</v>
      </c>
      <c r="F72" s="97">
        <v>5</v>
      </c>
      <c r="G72" s="99" t="s">
        <v>101</v>
      </c>
      <c r="H72" s="99" t="s">
        <v>101</v>
      </c>
      <c r="I72" s="97">
        <v>5</v>
      </c>
      <c r="J72" s="97">
        <v>5</v>
      </c>
      <c r="K72" s="97">
        <v>5</v>
      </c>
      <c r="L72" s="97">
        <v>5</v>
      </c>
      <c r="M72" s="97">
        <v>5</v>
      </c>
      <c r="N72" s="97">
        <v>5</v>
      </c>
      <c r="O72" s="97">
        <v>5</v>
      </c>
      <c r="P72" s="97">
        <v>5</v>
      </c>
      <c r="Q72" s="97">
        <v>5</v>
      </c>
      <c r="R72" s="97">
        <v>5</v>
      </c>
      <c r="S72" s="97">
        <v>5</v>
      </c>
      <c r="T72" s="97">
        <v>5</v>
      </c>
      <c r="U72" s="97">
        <v>5</v>
      </c>
      <c r="V72" s="97">
        <v>5</v>
      </c>
      <c r="W72" s="97">
        <v>5</v>
      </c>
      <c r="X72" s="110">
        <v>0</v>
      </c>
      <c r="Y72" s="111">
        <v>5</v>
      </c>
      <c r="Z72" s="111"/>
      <c r="AA72" s="111"/>
      <c r="AB72" s="111"/>
      <c r="AC72" s="97">
        <f t="shared" si="7"/>
        <v>90</v>
      </c>
      <c r="AD72" s="101">
        <f t="shared" si="6"/>
        <v>10</v>
      </c>
    </row>
    <row r="73" s="83" customFormat="1" ht="18.75" spans="1:30">
      <c r="A73" s="97">
        <v>74</v>
      </c>
      <c r="B73" s="116" t="s">
        <v>137</v>
      </c>
      <c r="C73" s="97" t="s">
        <v>93</v>
      </c>
      <c r="D73" s="97"/>
      <c r="E73" s="97"/>
      <c r="F73" s="97">
        <v>5</v>
      </c>
      <c r="G73" s="97">
        <v>5</v>
      </c>
      <c r="H73" s="97">
        <v>5</v>
      </c>
      <c r="I73" s="97">
        <v>5</v>
      </c>
      <c r="J73" s="97">
        <v>5</v>
      </c>
      <c r="K73" s="97">
        <v>5</v>
      </c>
      <c r="L73" s="97">
        <v>5</v>
      </c>
      <c r="M73" s="97">
        <v>5</v>
      </c>
      <c r="N73" s="97">
        <v>5</v>
      </c>
      <c r="O73" s="97">
        <v>5</v>
      </c>
      <c r="P73" s="97">
        <v>5</v>
      </c>
      <c r="Q73" s="97">
        <v>5</v>
      </c>
      <c r="R73" s="97">
        <v>5</v>
      </c>
      <c r="S73" s="97">
        <v>5</v>
      </c>
      <c r="T73" s="97">
        <v>5</v>
      </c>
      <c r="U73" s="97">
        <v>5</v>
      </c>
      <c r="V73" s="97">
        <v>5</v>
      </c>
      <c r="W73" s="97">
        <v>5</v>
      </c>
      <c r="X73" s="110">
        <v>0</v>
      </c>
      <c r="Y73" s="111">
        <v>5</v>
      </c>
      <c r="Z73" s="111"/>
      <c r="AA73" s="111"/>
      <c r="AB73" s="111"/>
      <c r="AC73" s="97">
        <f t="shared" si="7"/>
        <v>95</v>
      </c>
      <c r="AD73" s="101">
        <f t="shared" si="6"/>
        <v>5</v>
      </c>
    </row>
    <row r="74" s="83" customFormat="1" ht="18" customHeight="1" spans="1:30">
      <c r="A74" s="97">
        <v>75</v>
      </c>
      <c r="B74" s="118" t="s">
        <v>27</v>
      </c>
      <c r="C74" s="119" t="s">
        <v>113</v>
      </c>
      <c r="D74" s="118">
        <v>5</v>
      </c>
      <c r="E74" s="118">
        <v>5</v>
      </c>
      <c r="F74" s="97">
        <v>5</v>
      </c>
      <c r="G74" s="97">
        <v>6</v>
      </c>
      <c r="H74" s="97">
        <v>5</v>
      </c>
      <c r="I74" s="97">
        <v>5</v>
      </c>
      <c r="J74" s="97">
        <v>5</v>
      </c>
      <c r="K74" s="97">
        <v>5</v>
      </c>
      <c r="L74" s="97">
        <v>5</v>
      </c>
      <c r="M74" s="97">
        <v>5</v>
      </c>
      <c r="N74" s="97">
        <v>5</v>
      </c>
      <c r="O74" s="97">
        <v>5</v>
      </c>
      <c r="P74" s="97">
        <v>5</v>
      </c>
      <c r="Q74" s="97">
        <v>5</v>
      </c>
      <c r="R74" s="97">
        <v>5</v>
      </c>
      <c r="S74" s="97">
        <v>5</v>
      </c>
      <c r="T74" s="97">
        <v>5</v>
      </c>
      <c r="U74" s="97">
        <v>5</v>
      </c>
      <c r="V74" s="97">
        <v>5</v>
      </c>
      <c r="W74" s="97">
        <v>5</v>
      </c>
      <c r="X74" s="110">
        <v>0</v>
      </c>
      <c r="Y74" s="111">
        <v>5</v>
      </c>
      <c r="Z74" s="111"/>
      <c r="AA74" s="111"/>
      <c r="AB74" s="111"/>
      <c r="AC74" s="97">
        <f t="shared" si="7"/>
        <v>106</v>
      </c>
      <c r="AD74" s="101">
        <f>121-AC74</f>
        <v>15</v>
      </c>
    </row>
    <row r="75" s="83" customFormat="1" ht="18" customHeight="1" spans="1:30">
      <c r="A75" s="97">
        <v>76</v>
      </c>
      <c r="B75" s="118" t="s">
        <v>47</v>
      </c>
      <c r="C75" s="118" t="s">
        <v>93</v>
      </c>
      <c r="D75" s="118"/>
      <c r="E75" s="118"/>
      <c r="F75" s="97"/>
      <c r="G75" s="97"/>
      <c r="H75" s="97"/>
      <c r="I75" s="97">
        <v>5</v>
      </c>
      <c r="J75" s="97">
        <v>5</v>
      </c>
      <c r="K75" s="97">
        <v>5</v>
      </c>
      <c r="L75" s="97">
        <v>5</v>
      </c>
      <c r="M75" s="97">
        <v>5</v>
      </c>
      <c r="N75" s="97">
        <v>5</v>
      </c>
      <c r="O75" s="97">
        <v>5</v>
      </c>
      <c r="P75" s="97">
        <v>5</v>
      </c>
      <c r="Q75" s="97">
        <v>5</v>
      </c>
      <c r="R75" s="97">
        <v>5</v>
      </c>
      <c r="S75" s="97">
        <v>5</v>
      </c>
      <c r="T75" s="97">
        <v>5</v>
      </c>
      <c r="U75" s="97">
        <v>5</v>
      </c>
      <c r="V75" s="97">
        <v>5</v>
      </c>
      <c r="W75" s="97">
        <v>5</v>
      </c>
      <c r="X75" s="110">
        <v>0</v>
      </c>
      <c r="Y75" s="111">
        <v>5</v>
      </c>
      <c r="Z75" s="111"/>
      <c r="AA75" s="111"/>
      <c r="AB75" s="111"/>
      <c r="AC75" s="97">
        <f t="shared" si="7"/>
        <v>80</v>
      </c>
      <c r="AD75" s="101">
        <f>100-AC75</f>
        <v>20</v>
      </c>
    </row>
    <row r="76" s="83" customFormat="1" ht="18" customHeight="1" spans="1:30">
      <c r="A76" s="97">
        <v>77</v>
      </c>
      <c r="B76" s="118" t="s">
        <v>48</v>
      </c>
      <c r="C76" s="118" t="s">
        <v>93</v>
      </c>
      <c r="D76" s="118"/>
      <c r="E76" s="118"/>
      <c r="F76" s="97"/>
      <c r="G76" s="97"/>
      <c r="H76" s="97"/>
      <c r="I76" s="97">
        <v>5</v>
      </c>
      <c r="J76" s="97">
        <v>5</v>
      </c>
      <c r="K76" s="97">
        <v>5</v>
      </c>
      <c r="L76" s="97">
        <v>5</v>
      </c>
      <c r="M76" s="97">
        <v>5</v>
      </c>
      <c r="N76" s="97">
        <v>5</v>
      </c>
      <c r="O76" s="97">
        <v>5</v>
      </c>
      <c r="P76" s="97">
        <v>5</v>
      </c>
      <c r="Q76" s="97">
        <v>5</v>
      </c>
      <c r="R76" s="97">
        <v>5</v>
      </c>
      <c r="S76" s="97">
        <v>5</v>
      </c>
      <c r="T76" s="97">
        <v>5</v>
      </c>
      <c r="U76" s="97">
        <v>5</v>
      </c>
      <c r="V76" s="97">
        <v>5</v>
      </c>
      <c r="W76" s="97">
        <v>5</v>
      </c>
      <c r="X76" s="110">
        <v>0</v>
      </c>
      <c r="Y76" s="111">
        <v>5</v>
      </c>
      <c r="Z76" s="111"/>
      <c r="AA76" s="111"/>
      <c r="AB76" s="111"/>
      <c r="AC76" s="97">
        <f t="shared" si="7"/>
        <v>80</v>
      </c>
      <c r="AD76" s="101">
        <f>100-AC76</f>
        <v>20</v>
      </c>
    </row>
    <row r="77" s="84" customFormat="1" ht="18" customHeight="1" spans="1:30">
      <c r="A77" s="120"/>
      <c r="B77" s="121" t="s">
        <v>138</v>
      </c>
      <c r="C77" s="121">
        <v>25</v>
      </c>
      <c r="D77" s="121">
        <v>5</v>
      </c>
      <c r="E77" s="121">
        <v>5</v>
      </c>
      <c r="F77" s="104">
        <v>5</v>
      </c>
      <c r="G77" s="104">
        <v>5</v>
      </c>
      <c r="H77" s="104">
        <v>5</v>
      </c>
      <c r="I77" s="104">
        <v>5</v>
      </c>
      <c r="J77" s="104">
        <v>5</v>
      </c>
      <c r="K77" s="104">
        <v>5</v>
      </c>
      <c r="L77" s="104">
        <v>5</v>
      </c>
      <c r="M77" s="104">
        <v>5</v>
      </c>
      <c r="N77" s="104">
        <v>5</v>
      </c>
      <c r="O77" s="104">
        <v>5</v>
      </c>
      <c r="P77" s="104">
        <v>5</v>
      </c>
      <c r="Q77" s="104">
        <v>5</v>
      </c>
      <c r="R77" s="104">
        <v>5</v>
      </c>
      <c r="S77" s="104">
        <v>5</v>
      </c>
      <c r="T77" s="104">
        <v>5</v>
      </c>
      <c r="U77" s="104">
        <v>5</v>
      </c>
      <c r="V77" s="104">
        <v>5</v>
      </c>
      <c r="W77" s="104">
        <v>5</v>
      </c>
      <c r="X77" s="122">
        <v>0</v>
      </c>
      <c r="Y77" s="120"/>
      <c r="Z77" s="120"/>
      <c r="AA77" s="120"/>
      <c r="AB77" s="120"/>
      <c r="AC77" s="102">
        <f t="shared" si="7"/>
        <v>100</v>
      </c>
      <c r="AD77" s="123"/>
    </row>
    <row r="78" s="85" customFormat="1" ht="18" customHeight="1" spans="1:30">
      <c r="A78" s="124"/>
      <c r="B78" s="125" t="s">
        <v>139</v>
      </c>
      <c r="C78" s="125">
        <v>16</v>
      </c>
      <c r="D78" s="125">
        <v>5</v>
      </c>
      <c r="E78" s="125">
        <v>5</v>
      </c>
      <c r="F78" s="126">
        <v>6</v>
      </c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4"/>
      <c r="U78" s="124"/>
      <c r="V78" s="124"/>
      <c r="W78" s="124"/>
      <c r="X78" s="127"/>
      <c r="Y78" s="124"/>
      <c r="Z78" s="124"/>
      <c r="AA78" s="124"/>
      <c r="AB78" s="124"/>
      <c r="AC78" s="102">
        <f t="shared" si="7"/>
        <v>16</v>
      </c>
      <c r="AD78" s="128"/>
    </row>
    <row r="79" s="85" customFormat="1" ht="18" customHeight="1" spans="1:30">
      <c r="A79" s="124"/>
      <c r="B79" s="125" t="s">
        <v>140</v>
      </c>
      <c r="C79" s="125">
        <v>21</v>
      </c>
      <c r="D79" s="125">
        <v>5</v>
      </c>
      <c r="E79" s="125">
        <v>5</v>
      </c>
      <c r="F79" s="126">
        <v>5</v>
      </c>
      <c r="G79" s="126">
        <v>6</v>
      </c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4"/>
      <c r="U79" s="124"/>
      <c r="V79" s="124"/>
      <c r="W79" s="124"/>
      <c r="X79" s="127"/>
      <c r="Y79" s="124"/>
      <c r="Z79" s="124"/>
      <c r="AA79" s="124"/>
      <c r="AB79" s="124"/>
      <c r="AC79" s="102">
        <f t="shared" si="7"/>
        <v>21</v>
      </c>
      <c r="AD79" s="128"/>
    </row>
    <row r="80" s="84" customFormat="1" ht="18" customHeight="1" spans="1:30">
      <c r="A80" s="120"/>
      <c r="B80" s="121" t="s">
        <v>47</v>
      </c>
      <c r="C80" s="121">
        <v>20</v>
      </c>
      <c r="D80" s="121">
        <v>5</v>
      </c>
      <c r="E80" s="121">
        <v>5</v>
      </c>
      <c r="F80" s="104">
        <v>5</v>
      </c>
      <c r="G80" s="104">
        <v>5</v>
      </c>
      <c r="H80" s="115"/>
      <c r="I80" s="104"/>
      <c r="J80" s="104"/>
      <c r="K80" s="104"/>
      <c r="L80" s="104"/>
      <c r="M80" s="104"/>
      <c r="N80" s="104"/>
      <c r="O80" s="104"/>
      <c r="P80" s="104"/>
      <c r="Q80" s="120"/>
      <c r="R80" s="120"/>
      <c r="S80" s="120"/>
      <c r="T80" s="120"/>
      <c r="U80" s="120"/>
      <c r="V80" s="120"/>
      <c r="W80" s="120"/>
      <c r="X80" s="122"/>
      <c r="Y80" s="120"/>
      <c r="Z80" s="120"/>
      <c r="AA80" s="120"/>
      <c r="AB80" s="120"/>
      <c r="AC80" s="104">
        <f t="shared" si="7"/>
        <v>20</v>
      </c>
      <c r="AD80" s="123"/>
    </row>
    <row r="81" s="84" customFormat="1" ht="18" customHeight="1" spans="1:30">
      <c r="A81" s="120"/>
      <c r="B81" s="121" t="s">
        <v>48</v>
      </c>
      <c r="C81" s="121">
        <v>20</v>
      </c>
      <c r="D81" s="121">
        <v>5</v>
      </c>
      <c r="E81" s="121">
        <v>5</v>
      </c>
      <c r="F81" s="104">
        <v>5</v>
      </c>
      <c r="G81" s="104">
        <v>5</v>
      </c>
      <c r="H81" s="115"/>
      <c r="I81" s="104"/>
      <c r="J81" s="104"/>
      <c r="K81" s="104"/>
      <c r="L81" s="104"/>
      <c r="M81" s="104"/>
      <c r="N81" s="104"/>
      <c r="O81" s="104"/>
      <c r="P81" s="120"/>
      <c r="Q81" s="120"/>
      <c r="R81" s="120"/>
      <c r="S81" s="120"/>
      <c r="T81" s="120"/>
      <c r="U81" s="120"/>
      <c r="V81" s="120"/>
      <c r="W81" s="120"/>
      <c r="X81" s="122"/>
      <c r="Y81" s="120"/>
      <c r="Z81" s="120"/>
      <c r="AA81" s="120"/>
      <c r="AB81" s="120"/>
      <c r="AC81" s="104">
        <f t="shared" si="7"/>
        <v>20</v>
      </c>
      <c r="AD81" s="123"/>
    </row>
    <row r="82" customFormat="1" spans="1:30">
      <c r="A82" s="86"/>
      <c r="B82" s="86" t="s">
        <v>141</v>
      </c>
      <c r="C82" s="86">
        <v>37</v>
      </c>
      <c r="D82" s="86"/>
      <c r="E82" s="86"/>
      <c r="F82" s="129">
        <v>5</v>
      </c>
      <c r="G82" s="129">
        <v>5</v>
      </c>
      <c r="H82" s="129">
        <v>5</v>
      </c>
      <c r="I82" s="129">
        <v>5</v>
      </c>
      <c r="J82" s="129">
        <v>5</v>
      </c>
      <c r="K82" s="129">
        <v>5</v>
      </c>
      <c r="L82" s="129">
        <v>5</v>
      </c>
      <c r="M82" s="129">
        <v>2</v>
      </c>
      <c r="N82" s="129"/>
      <c r="O82" s="129"/>
      <c r="P82" s="86"/>
      <c r="Q82" s="86"/>
      <c r="R82" s="86"/>
      <c r="S82" s="86"/>
      <c r="T82" s="86"/>
      <c r="U82" s="86"/>
      <c r="V82" s="86"/>
      <c r="W82" s="86"/>
      <c r="X82" s="66"/>
      <c r="Y82" s="86"/>
      <c r="Z82" s="86"/>
      <c r="AA82" s="86"/>
      <c r="AB82" s="86"/>
      <c r="AC82" s="102">
        <f t="shared" si="7"/>
        <v>37</v>
      </c>
      <c r="AD82" s="87"/>
    </row>
    <row r="83" customFormat="1" spans="1:30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66"/>
      <c r="Y83" s="86"/>
      <c r="Z83" s="86"/>
      <c r="AA83" s="86"/>
      <c r="AB83" s="86"/>
      <c r="AC83" s="102">
        <f t="shared" si="7"/>
        <v>0</v>
      </c>
      <c r="AD83" s="87"/>
    </row>
  </sheetData>
  <sheetProtection formatCells="0" formatColumns="0" formatRows="0" insertRows="0" insertColumns="0" insertHyperlinks="0" deleteColumns="0" deleteRows="0" sort="0" autoFilter="0" pivotTables="0"/>
  <mergeCells count="1">
    <mergeCell ref="A1:AC1"/>
  </mergeCells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7"/>
  <sheetViews>
    <sheetView workbookViewId="0">
      <pane xSplit="3" ySplit="2" topLeftCell="D3" activePane="bottomRight" state="frozen"/>
      <selection/>
      <selection pane="topRight"/>
      <selection pane="bottomLeft"/>
      <selection pane="bottomRight" activeCell="M8" sqref="M8"/>
    </sheetView>
  </sheetViews>
  <sheetFormatPr defaultColWidth="9" defaultRowHeight="13.5"/>
  <cols>
    <col min="1" max="1" width="9" style="49"/>
    <col min="2" max="2" width="9" style="50"/>
    <col min="3" max="16384" width="9" style="49"/>
  </cols>
  <sheetData>
    <row r="1" s="48" customFormat="1" ht="31" customHeight="1" spans="1:25">
      <c r="A1" s="51" t="s">
        <v>87</v>
      </c>
      <c r="B1" s="52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3"/>
      <c r="O1" s="53"/>
    </row>
    <row r="2" s="48" customFormat="1" ht="29" customHeight="1" spans="1:25">
      <c r="A2" s="54" t="s">
        <v>2</v>
      </c>
      <c r="B2" s="54" t="s">
        <v>88</v>
      </c>
      <c r="C2" s="55" t="s">
        <v>89</v>
      </c>
      <c r="D2" s="56">
        <v>46090</v>
      </c>
      <c r="E2" s="56">
        <v>46096</v>
      </c>
      <c r="F2" s="56">
        <v>46103</v>
      </c>
      <c r="G2" s="57">
        <v>46110</v>
      </c>
      <c r="H2" s="57">
        <v>46113</v>
      </c>
      <c r="I2" s="57"/>
      <c r="J2" s="57"/>
      <c r="K2" s="57"/>
      <c r="L2" s="58" t="s">
        <v>90</v>
      </c>
      <c r="M2" s="59" t="s">
        <v>91</v>
      </c>
      <c r="N2" s="53"/>
      <c r="O2" s="53"/>
      <c r="P2" s="48" t="s">
        <v>142</v>
      </c>
    </row>
    <row r="3" ht="18.75" spans="1:25">
      <c r="A3" s="60">
        <v>1</v>
      </c>
      <c r="B3" s="61" t="s">
        <v>13</v>
      </c>
      <c r="C3" s="60">
        <v>100</v>
      </c>
      <c r="D3" s="60">
        <v>5</v>
      </c>
      <c r="E3" s="60">
        <v>5</v>
      </c>
      <c r="F3" s="60">
        <v>5</v>
      </c>
      <c r="G3" s="60">
        <v>5</v>
      </c>
      <c r="H3" s="60"/>
      <c r="I3" s="8" t="s">
        <v>13</v>
      </c>
      <c r="J3" s="62"/>
      <c r="K3" s="62"/>
      <c r="L3" s="62">
        <f t="shared" ref="L3:L13" si="0">SUM(D3:K3)</f>
        <v>20</v>
      </c>
      <c r="M3" s="62">
        <f t="shared" ref="M3:M13" si="1">C3-L3</f>
        <v>80</v>
      </c>
      <c r="N3" s="62"/>
      <c r="O3" s="62"/>
      <c r="P3" s="63"/>
      <c r="Q3" s="64"/>
      <c r="R3" s="64"/>
      <c r="S3" s="64"/>
      <c r="T3" s="64"/>
      <c r="U3" s="64"/>
      <c r="V3" s="64"/>
      <c r="W3" s="64"/>
      <c r="X3" s="63"/>
      <c r="Y3" s="63"/>
    </row>
    <row r="4" ht="18.75" spans="1:25">
      <c r="A4" s="60">
        <v>2</v>
      </c>
      <c r="B4" s="61" t="s">
        <v>17</v>
      </c>
      <c r="C4" s="60">
        <v>100</v>
      </c>
      <c r="D4" s="60">
        <v>5</v>
      </c>
      <c r="E4" s="60">
        <v>5</v>
      </c>
      <c r="F4" s="60">
        <v>5</v>
      </c>
      <c r="G4" s="60">
        <v>5</v>
      </c>
      <c r="H4" s="60"/>
      <c r="I4" s="8" t="s">
        <v>17</v>
      </c>
      <c r="J4" s="62"/>
      <c r="K4" s="62"/>
      <c r="L4" s="62">
        <f t="shared" si="0"/>
        <v>20</v>
      </c>
      <c r="M4" s="62">
        <f t="shared" si="1"/>
        <v>80</v>
      </c>
      <c r="N4" s="62"/>
      <c r="O4" s="62"/>
      <c r="P4" s="63"/>
      <c r="Q4" s="64"/>
      <c r="R4" s="64"/>
      <c r="S4" s="64"/>
      <c r="T4" s="64"/>
      <c r="U4" s="64"/>
      <c r="V4" s="64"/>
      <c r="W4" s="64"/>
      <c r="X4" s="63"/>
      <c r="Y4" s="63"/>
    </row>
    <row r="5" ht="18.75" spans="1:25">
      <c r="A5" s="60">
        <v>3</v>
      </c>
      <c r="B5" s="61" t="s">
        <v>19</v>
      </c>
      <c r="C5" s="60">
        <v>100</v>
      </c>
      <c r="D5" s="60">
        <v>5</v>
      </c>
      <c r="E5" s="60">
        <v>5</v>
      </c>
      <c r="F5" s="60">
        <v>5</v>
      </c>
      <c r="G5" s="60">
        <v>5</v>
      </c>
      <c r="H5" s="60"/>
      <c r="I5" s="8" t="s">
        <v>19</v>
      </c>
      <c r="J5" s="65"/>
      <c r="K5" s="61"/>
      <c r="L5" s="62">
        <f t="shared" si="0"/>
        <v>20</v>
      </c>
      <c r="M5" s="62">
        <f t="shared" si="1"/>
        <v>80</v>
      </c>
      <c r="N5" s="61"/>
      <c r="O5" s="66"/>
      <c r="P5" s="67"/>
      <c r="Q5" s="67"/>
      <c r="R5" s="68"/>
      <c r="S5" s="69"/>
      <c r="T5" s="67"/>
      <c r="U5" s="69"/>
      <c r="V5" s="69"/>
      <c r="W5" s="67"/>
      <c r="X5" s="67"/>
      <c r="Y5" s="67"/>
    </row>
    <row r="6" ht="18.75" spans="1:25">
      <c r="A6" s="60">
        <v>4</v>
      </c>
      <c r="B6" s="61" t="s">
        <v>21</v>
      </c>
      <c r="C6" s="60">
        <v>100</v>
      </c>
      <c r="D6" s="60">
        <v>5</v>
      </c>
      <c r="E6" s="60">
        <v>5</v>
      </c>
      <c r="F6" s="60">
        <v>5</v>
      </c>
      <c r="G6" s="60">
        <v>5</v>
      </c>
      <c r="H6" s="60"/>
      <c r="I6" s="8" t="s">
        <v>21</v>
      </c>
      <c r="J6" s="65"/>
      <c r="K6" s="61"/>
      <c r="L6" s="62">
        <f t="shared" si="0"/>
        <v>20</v>
      </c>
      <c r="M6" s="62">
        <f t="shared" si="1"/>
        <v>80</v>
      </c>
      <c r="N6" s="61"/>
      <c r="O6" s="66"/>
      <c r="P6" s="67"/>
      <c r="Q6" s="67"/>
      <c r="R6" s="68"/>
      <c r="S6" s="69"/>
      <c r="T6" s="67"/>
      <c r="U6" s="69"/>
      <c r="V6" s="69"/>
      <c r="W6" s="67"/>
      <c r="X6" s="67"/>
      <c r="Y6" s="67"/>
    </row>
    <row r="7" ht="18.75" spans="1:25">
      <c r="A7" s="60">
        <v>5</v>
      </c>
      <c r="B7" s="61" t="s">
        <v>23</v>
      </c>
      <c r="C7" s="60">
        <v>100</v>
      </c>
      <c r="D7" s="60">
        <v>5</v>
      </c>
      <c r="E7" s="60">
        <v>5</v>
      </c>
      <c r="F7" s="60">
        <v>5</v>
      </c>
      <c r="G7" s="60">
        <v>5</v>
      </c>
      <c r="H7" s="60"/>
      <c r="I7" s="8" t="s">
        <v>23</v>
      </c>
      <c r="J7" s="65"/>
      <c r="K7" s="61"/>
      <c r="L7" s="62">
        <f t="shared" si="0"/>
        <v>20</v>
      </c>
      <c r="M7" s="62">
        <f t="shared" si="1"/>
        <v>80</v>
      </c>
      <c r="N7" s="61"/>
      <c r="O7" s="66"/>
      <c r="P7" s="67"/>
      <c r="Q7" s="67"/>
      <c r="R7" s="68"/>
      <c r="S7" s="69"/>
      <c r="T7" s="67"/>
      <c r="U7" s="69"/>
      <c r="V7" s="69"/>
      <c r="W7" s="67"/>
      <c r="X7" s="67"/>
      <c r="Y7" s="67"/>
    </row>
    <row r="8" ht="18.75" spans="1:25">
      <c r="A8" s="60">
        <v>6</v>
      </c>
      <c r="B8" s="61" t="s">
        <v>24</v>
      </c>
      <c r="C8" s="60">
        <v>100</v>
      </c>
      <c r="D8" s="60">
        <v>5</v>
      </c>
      <c r="E8" s="60">
        <v>5</v>
      </c>
      <c r="F8" s="60">
        <v>5</v>
      </c>
      <c r="G8" s="60">
        <v>5</v>
      </c>
      <c r="H8" s="60"/>
      <c r="I8" s="8" t="s">
        <v>24</v>
      </c>
      <c r="J8" s="65"/>
      <c r="K8" s="61"/>
      <c r="L8" s="62">
        <f t="shared" si="0"/>
        <v>20</v>
      </c>
      <c r="M8" s="62">
        <f t="shared" si="1"/>
        <v>80</v>
      </c>
      <c r="N8" s="61"/>
      <c r="O8" s="66"/>
      <c r="P8" s="67"/>
      <c r="Q8" s="67"/>
      <c r="R8" s="68"/>
      <c r="S8" s="69"/>
      <c r="T8" s="67"/>
      <c r="U8" s="69"/>
      <c r="V8" s="69"/>
      <c r="W8" s="67"/>
      <c r="X8" s="67"/>
      <c r="Y8" s="67"/>
    </row>
    <row r="9" ht="18.75" spans="1:25">
      <c r="A9" s="60">
        <v>7</v>
      </c>
      <c r="B9" s="61" t="s">
        <v>27</v>
      </c>
      <c r="C9" s="70">
        <v>115</v>
      </c>
      <c r="D9" s="60">
        <v>5</v>
      </c>
      <c r="E9" s="60">
        <v>5</v>
      </c>
      <c r="F9" s="60">
        <v>5</v>
      </c>
      <c r="G9" s="60">
        <v>5</v>
      </c>
      <c r="H9" s="60"/>
      <c r="I9" s="8" t="s">
        <v>27</v>
      </c>
      <c r="J9" s="65"/>
      <c r="K9" s="61"/>
      <c r="L9" s="62">
        <f t="shared" si="0"/>
        <v>20</v>
      </c>
      <c r="M9" s="62">
        <f t="shared" si="1"/>
        <v>95</v>
      </c>
      <c r="N9" s="61"/>
      <c r="O9" s="66"/>
      <c r="P9" s="67">
        <v>15</v>
      </c>
      <c r="Q9" s="67"/>
      <c r="R9" s="68"/>
      <c r="S9" s="69"/>
      <c r="T9" s="67"/>
      <c r="U9" s="69"/>
      <c r="V9" s="69"/>
      <c r="W9" s="67"/>
      <c r="X9" s="67"/>
      <c r="Y9" s="67"/>
    </row>
    <row r="10" ht="18.75" spans="1:25">
      <c r="A10" s="60">
        <v>8</v>
      </c>
      <c r="B10" s="61" t="s">
        <v>28</v>
      </c>
      <c r="C10" s="60">
        <v>100</v>
      </c>
      <c r="D10" s="60">
        <v>5</v>
      </c>
      <c r="E10" s="60">
        <v>5</v>
      </c>
      <c r="F10" s="60">
        <v>5</v>
      </c>
      <c r="G10" s="60">
        <v>5</v>
      </c>
      <c r="H10" s="60"/>
      <c r="I10" s="8" t="s">
        <v>28</v>
      </c>
      <c r="J10" s="65"/>
      <c r="K10" s="61"/>
      <c r="L10" s="62">
        <f t="shared" si="0"/>
        <v>20</v>
      </c>
      <c r="M10" s="62">
        <f t="shared" si="1"/>
        <v>80</v>
      </c>
      <c r="N10" s="61"/>
      <c r="O10" s="66"/>
      <c r="P10" s="67"/>
      <c r="Q10" s="67"/>
      <c r="R10" s="68"/>
      <c r="S10" s="69"/>
      <c r="T10" s="67"/>
      <c r="U10" s="69"/>
      <c r="V10" s="69"/>
      <c r="W10" s="67"/>
      <c r="X10" s="67"/>
      <c r="Y10" s="67"/>
    </row>
    <row r="11" ht="18.75" spans="1:25">
      <c r="A11" s="60">
        <v>9</v>
      </c>
      <c r="B11" s="61" t="s">
        <v>28</v>
      </c>
      <c r="C11" s="60">
        <v>100</v>
      </c>
      <c r="D11" s="60">
        <v>5</v>
      </c>
      <c r="E11" s="60">
        <v>5</v>
      </c>
      <c r="F11" s="60">
        <v>5</v>
      </c>
      <c r="G11" s="60">
        <v>5</v>
      </c>
      <c r="H11" s="60"/>
      <c r="I11" s="8" t="s">
        <v>28</v>
      </c>
      <c r="J11" s="65"/>
      <c r="K11" s="61"/>
      <c r="L11" s="62">
        <f t="shared" si="0"/>
        <v>20</v>
      </c>
      <c r="M11" s="62">
        <f t="shared" si="1"/>
        <v>80</v>
      </c>
      <c r="N11" s="61"/>
      <c r="O11" s="66"/>
      <c r="P11" s="67"/>
      <c r="Q11" s="67"/>
      <c r="R11" s="68"/>
      <c r="S11" s="69"/>
      <c r="T11" s="67"/>
      <c r="U11" s="69"/>
      <c r="V11" s="69"/>
      <c r="W11" s="67"/>
      <c r="X11" s="67"/>
      <c r="Y11" s="67"/>
    </row>
    <row r="12" ht="18.75" spans="1:25">
      <c r="A12" s="60">
        <v>10</v>
      </c>
      <c r="B12" s="61" t="s">
        <v>29</v>
      </c>
      <c r="C12" s="60">
        <v>100</v>
      </c>
      <c r="D12" s="60">
        <v>5</v>
      </c>
      <c r="E12" s="60">
        <v>5</v>
      </c>
      <c r="F12" s="60">
        <v>5</v>
      </c>
      <c r="G12" s="60">
        <v>5</v>
      </c>
      <c r="H12" s="60"/>
      <c r="I12" s="8" t="s">
        <v>29</v>
      </c>
      <c r="J12" s="65"/>
      <c r="K12" s="61"/>
      <c r="L12" s="62">
        <f t="shared" si="0"/>
        <v>20</v>
      </c>
      <c r="M12" s="62">
        <f t="shared" si="1"/>
        <v>80</v>
      </c>
      <c r="N12" s="61"/>
      <c r="O12" s="66"/>
      <c r="P12" s="67"/>
      <c r="Q12" s="67"/>
      <c r="R12" s="68"/>
      <c r="S12" s="69"/>
      <c r="T12" s="67"/>
      <c r="U12" s="69"/>
      <c r="V12" s="69"/>
      <c r="W12" s="67"/>
      <c r="X12" s="67"/>
      <c r="Y12" s="67"/>
    </row>
    <row r="13" ht="18.75" spans="1:25">
      <c r="A13" s="60">
        <v>11</v>
      </c>
      <c r="B13" s="61" t="s">
        <v>143</v>
      </c>
      <c r="C13" s="60">
        <v>100</v>
      </c>
      <c r="D13" s="60">
        <v>5</v>
      </c>
      <c r="E13" s="60">
        <v>5</v>
      </c>
      <c r="F13" s="60">
        <v>5</v>
      </c>
      <c r="G13" s="60">
        <v>5</v>
      </c>
      <c r="H13" s="60"/>
      <c r="I13" s="8" t="s">
        <v>30</v>
      </c>
      <c r="J13" s="65"/>
      <c r="K13" s="61"/>
      <c r="L13" s="62">
        <f t="shared" si="0"/>
        <v>20</v>
      </c>
      <c r="M13" s="62">
        <f t="shared" si="1"/>
        <v>80</v>
      </c>
      <c r="N13" s="61"/>
      <c r="O13" s="66"/>
      <c r="P13" s="67"/>
      <c r="Q13" s="67"/>
      <c r="R13" s="68"/>
      <c r="S13" s="69"/>
      <c r="T13" s="67"/>
      <c r="U13" s="69"/>
      <c r="V13" s="69"/>
      <c r="W13" s="67"/>
      <c r="X13" s="67"/>
      <c r="Y13" s="67"/>
    </row>
    <row r="14" ht="18.75" spans="1:25">
      <c r="A14" s="60"/>
      <c r="B14" s="61" t="s">
        <v>144</v>
      </c>
      <c r="C14" s="60">
        <v>100</v>
      </c>
      <c r="D14" s="60"/>
      <c r="E14" s="60"/>
      <c r="F14" s="60"/>
      <c r="G14" s="60"/>
      <c r="H14" s="60"/>
      <c r="I14" s="8"/>
      <c r="J14" s="65"/>
      <c r="K14" s="61"/>
      <c r="L14" s="62"/>
      <c r="M14" s="62"/>
      <c r="N14" s="61"/>
      <c r="O14" s="66"/>
      <c r="P14" s="67"/>
      <c r="Q14" s="67"/>
      <c r="R14" s="68"/>
      <c r="S14" s="69"/>
      <c r="T14" s="67"/>
      <c r="U14" s="69"/>
      <c r="V14" s="69"/>
      <c r="W14" s="67"/>
      <c r="X14" s="67"/>
      <c r="Y14" s="67"/>
    </row>
    <row r="15" ht="18.75" spans="1:25">
      <c r="A15" s="60">
        <v>12</v>
      </c>
      <c r="B15" s="61" t="s">
        <v>33</v>
      </c>
      <c r="C15" s="60">
        <v>100</v>
      </c>
      <c r="D15" s="60">
        <v>5</v>
      </c>
      <c r="E15" s="60">
        <v>5</v>
      </c>
      <c r="F15" s="60">
        <v>5</v>
      </c>
      <c r="G15" s="60">
        <v>5</v>
      </c>
      <c r="H15" s="60"/>
      <c r="I15" s="8" t="s">
        <v>33</v>
      </c>
      <c r="J15" s="65"/>
      <c r="K15" s="61"/>
      <c r="L15" s="62">
        <f t="shared" ref="L15:L68" si="2">SUM(D15:K15)</f>
        <v>20</v>
      </c>
      <c r="M15" s="62">
        <f t="shared" ref="M15:M68" si="3">C15-L15</f>
        <v>80</v>
      </c>
      <c r="N15" s="61"/>
      <c r="O15" s="66"/>
      <c r="P15" s="67"/>
      <c r="Q15" s="67"/>
      <c r="R15" s="68"/>
      <c r="S15" s="69"/>
      <c r="T15" s="67"/>
      <c r="U15" s="69"/>
      <c r="V15" s="69"/>
      <c r="W15" s="67"/>
      <c r="X15" s="67"/>
      <c r="Y15" s="67"/>
    </row>
    <row r="16" ht="18.75" spans="1:25">
      <c r="A16" s="60">
        <v>13</v>
      </c>
      <c r="B16" s="61" t="s">
        <v>34</v>
      </c>
      <c r="C16" s="60">
        <v>100</v>
      </c>
      <c r="D16" s="60">
        <v>5</v>
      </c>
      <c r="E16" s="60">
        <v>5</v>
      </c>
      <c r="F16" s="60">
        <v>5</v>
      </c>
      <c r="G16" s="60">
        <v>5</v>
      </c>
      <c r="H16" s="60"/>
      <c r="I16" s="8" t="s">
        <v>34</v>
      </c>
      <c r="J16" s="65"/>
      <c r="K16" s="61"/>
      <c r="L16" s="62">
        <f t="shared" si="2"/>
        <v>20</v>
      </c>
      <c r="M16" s="62">
        <f t="shared" si="3"/>
        <v>80</v>
      </c>
      <c r="N16" s="61"/>
      <c r="O16" s="66"/>
      <c r="P16" s="67"/>
      <c r="Q16" s="67"/>
      <c r="R16" s="68"/>
      <c r="S16" s="69"/>
      <c r="T16" s="67"/>
      <c r="U16" s="69"/>
      <c r="V16" s="69"/>
      <c r="W16" s="67"/>
      <c r="X16" s="67"/>
      <c r="Y16" s="67"/>
    </row>
    <row r="17" ht="18.75" spans="1:25">
      <c r="A17" s="60">
        <v>14</v>
      </c>
      <c r="B17" s="61" t="s">
        <v>36</v>
      </c>
      <c r="C17" s="60">
        <v>100</v>
      </c>
      <c r="D17" s="60">
        <v>5</v>
      </c>
      <c r="E17" s="60">
        <v>5</v>
      </c>
      <c r="F17" s="60">
        <v>5</v>
      </c>
      <c r="G17" s="60">
        <v>5</v>
      </c>
      <c r="H17" s="60"/>
      <c r="I17" s="8" t="s">
        <v>36</v>
      </c>
      <c r="J17" s="65"/>
      <c r="K17" s="61"/>
      <c r="L17" s="62">
        <f t="shared" si="2"/>
        <v>20</v>
      </c>
      <c r="M17" s="62">
        <f t="shared" si="3"/>
        <v>80</v>
      </c>
      <c r="N17" s="61"/>
      <c r="O17" s="66"/>
      <c r="P17" s="67"/>
      <c r="Q17" s="67"/>
      <c r="R17" s="68"/>
      <c r="S17" s="69"/>
      <c r="T17" s="67"/>
      <c r="U17" s="69"/>
      <c r="V17" s="69"/>
      <c r="W17" s="67"/>
      <c r="X17" s="67"/>
      <c r="Y17" s="67"/>
    </row>
    <row r="18" ht="18.75" spans="1:25">
      <c r="A18" s="60">
        <v>15</v>
      </c>
      <c r="B18" s="61" t="s">
        <v>37</v>
      </c>
      <c r="C18" s="60">
        <v>100</v>
      </c>
      <c r="D18" s="60">
        <v>5</v>
      </c>
      <c r="E18" s="60">
        <v>5</v>
      </c>
      <c r="F18" s="60">
        <v>5</v>
      </c>
      <c r="G18" s="60">
        <v>5</v>
      </c>
      <c r="H18" s="60"/>
      <c r="I18" s="8" t="s">
        <v>37</v>
      </c>
      <c r="J18" s="65"/>
      <c r="K18" s="61"/>
      <c r="L18" s="62">
        <f t="shared" si="2"/>
        <v>20</v>
      </c>
      <c r="M18" s="62">
        <f t="shared" si="3"/>
        <v>80</v>
      </c>
      <c r="N18" s="61"/>
      <c r="O18" s="66"/>
      <c r="P18" s="67"/>
      <c r="Q18" s="67"/>
      <c r="R18" s="68"/>
      <c r="S18" s="69"/>
      <c r="T18" s="67"/>
      <c r="U18" s="69"/>
      <c r="V18" s="69"/>
      <c r="W18" s="67"/>
      <c r="X18" s="67"/>
      <c r="Y18" s="67"/>
    </row>
    <row r="19" ht="18.75" spans="1:25">
      <c r="A19" s="60">
        <v>16</v>
      </c>
      <c r="B19" s="61" t="s">
        <v>38</v>
      </c>
      <c r="C19" s="70">
        <v>109</v>
      </c>
      <c r="D19" s="60">
        <v>5</v>
      </c>
      <c r="E19" s="60">
        <v>5</v>
      </c>
      <c r="F19" s="60">
        <v>5</v>
      </c>
      <c r="G19" s="60">
        <v>5</v>
      </c>
      <c r="H19" s="60"/>
      <c r="I19" s="8" t="s">
        <v>38</v>
      </c>
      <c r="J19" s="65"/>
      <c r="K19" s="61"/>
      <c r="L19" s="62">
        <f t="shared" si="2"/>
        <v>20</v>
      </c>
      <c r="M19" s="62">
        <f t="shared" si="3"/>
        <v>89</v>
      </c>
      <c r="N19" s="61"/>
      <c r="O19" s="66"/>
      <c r="P19" s="67">
        <v>9</v>
      </c>
      <c r="Q19" s="67"/>
      <c r="R19" s="68"/>
      <c r="S19" s="69"/>
      <c r="T19" s="67"/>
      <c r="U19" s="69"/>
      <c r="V19" s="69"/>
      <c r="W19" s="67"/>
      <c r="X19" s="67"/>
      <c r="Y19" s="67"/>
    </row>
    <row r="20" ht="18.75" spans="1:25">
      <c r="A20" s="60">
        <v>17</v>
      </c>
      <c r="B20" s="61" t="s">
        <v>40</v>
      </c>
      <c r="C20" s="60">
        <v>100</v>
      </c>
      <c r="D20" s="60">
        <v>5</v>
      </c>
      <c r="E20" s="60">
        <v>5</v>
      </c>
      <c r="F20" s="60">
        <v>5</v>
      </c>
      <c r="G20" s="60">
        <v>5</v>
      </c>
      <c r="H20" s="60"/>
      <c r="I20" s="8" t="s">
        <v>40</v>
      </c>
      <c r="J20" s="65"/>
      <c r="K20" s="61"/>
      <c r="L20" s="62">
        <f t="shared" si="2"/>
        <v>20</v>
      </c>
      <c r="M20" s="62">
        <f t="shared" si="3"/>
        <v>80</v>
      </c>
      <c r="N20" s="61"/>
      <c r="O20" s="66"/>
      <c r="P20" s="67"/>
      <c r="Q20" s="67"/>
      <c r="R20" s="68"/>
      <c r="S20" s="69"/>
      <c r="T20" s="67"/>
      <c r="U20" s="69"/>
      <c r="V20" s="69"/>
      <c r="W20" s="67"/>
      <c r="X20" s="67"/>
      <c r="Y20" s="67"/>
    </row>
    <row r="21" ht="18.75" spans="1:25">
      <c r="A21" s="60">
        <v>18</v>
      </c>
      <c r="B21" s="61" t="s">
        <v>40</v>
      </c>
      <c r="C21" s="60">
        <v>100</v>
      </c>
      <c r="D21" s="60">
        <v>5</v>
      </c>
      <c r="E21" s="60">
        <v>5</v>
      </c>
      <c r="F21" s="60">
        <v>5</v>
      </c>
      <c r="G21" s="60">
        <v>5</v>
      </c>
      <c r="H21" s="60"/>
      <c r="I21" s="8" t="s">
        <v>40</v>
      </c>
      <c r="J21" s="65"/>
      <c r="K21" s="61"/>
      <c r="L21" s="62">
        <f t="shared" si="2"/>
        <v>20</v>
      </c>
      <c r="M21" s="62">
        <f t="shared" si="3"/>
        <v>80</v>
      </c>
      <c r="N21" s="61"/>
      <c r="O21" s="66"/>
      <c r="P21" s="67"/>
      <c r="Q21" s="67"/>
      <c r="R21" s="68"/>
      <c r="S21" s="69"/>
      <c r="T21" s="67"/>
      <c r="U21" s="69"/>
      <c r="V21" s="69"/>
      <c r="W21" s="67"/>
      <c r="X21" s="67"/>
      <c r="Y21" s="67"/>
    </row>
    <row r="22" ht="18.75" spans="1:25">
      <c r="A22" s="60">
        <v>19</v>
      </c>
      <c r="B22" s="61" t="s">
        <v>41</v>
      </c>
      <c r="C22" s="60">
        <v>100</v>
      </c>
      <c r="D22" s="60">
        <v>5</v>
      </c>
      <c r="E22" s="60">
        <v>5</v>
      </c>
      <c r="F22" s="60">
        <v>5</v>
      </c>
      <c r="G22" s="60">
        <v>5</v>
      </c>
      <c r="H22" s="60"/>
      <c r="I22" s="8" t="s">
        <v>41</v>
      </c>
      <c r="J22" s="65"/>
      <c r="K22" s="61"/>
      <c r="L22" s="62">
        <f t="shared" si="2"/>
        <v>20</v>
      </c>
      <c r="M22" s="62">
        <f t="shared" si="3"/>
        <v>80</v>
      </c>
      <c r="N22" s="61"/>
      <c r="O22" s="66"/>
      <c r="P22" s="67"/>
      <c r="Q22" s="67"/>
      <c r="R22" s="68"/>
      <c r="S22" s="69"/>
      <c r="T22" s="67"/>
      <c r="U22" s="69"/>
      <c r="V22" s="69"/>
      <c r="W22" s="67"/>
      <c r="X22" s="67"/>
      <c r="Y22" s="67"/>
    </row>
    <row r="23" ht="18.75" spans="1:25">
      <c r="A23" s="60">
        <v>20</v>
      </c>
      <c r="B23" s="61" t="s">
        <v>41</v>
      </c>
      <c r="C23" s="60">
        <v>100</v>
      </c>
      <c r="D23" s="60">
        <v>5</v>
      </c>
      <c r="E23" s="60">
        <v>5</v>
      </c>
      <c r="F23" s="60">
        <v>5</v>
      </c>
      <c r="G23" s="60">
        <v>5</v>
      </c>
      <c r="H23" s="60"/>
      <c r="I23" s="8" t="s">
        <v>41</v>
      </c>
      <c r="J23" s="65"/>
      <c r="K23" s="61"/>
      <c r="L23" s="62">
        <f t="shared" si="2"/>
        <v>20</v>
      </c>
      <c r="M23" s="62">
        <f t="shared" si="3"/>
        <v>80</v>
      </c>
      <c r="N23" s="61"/>
      <c r="O23" s="66"/>
      <c r="P23" s="67"/>
      <c r="Q23" s="67"/>
      <c r="R23" s="68"/>
      <c r="S23" s="69"/>
      <c r="T23" s="67"/>
      <c r="U23" s="69"/>
      <c r="V23" s="69"/>
      <c r="W23" s="67"/>
      <c r="X23" s="67"/>
      <c r="Y23" s="67"/>
    </row>
    <row r="24" ht="18.75" spans="1:25">
      <c r="A24" s="60">
        <v>21</v>
      </c>
      <c r="B24" s="61" t="s">
        <v>42</v>
      </c>
      <c r="C24" s="60">
        <v>100</v>
      </c>
      <c r="D24" s="60">
        <v>5</v>
      </c>
      <c r="E24" s="60">
        <v>5</v>
      </c>
      <c r="F24" s="60">
        <v>5</v>
      </c>
      <c r="G24" s="60">
        <v>2</v>
      </c>
      <c r="H24" s="60"/>
      <c r="I24" s="8" t="s">
        <v>42</v>
      </c>
      <c r="J24" s="65"/>
      <c r="K24" s="61"/>
      <c r="L24" s="62">
        <f t="shared" si="2"/>
        <v>17</v>
      </c>
      <c r="M24" s="62">
        <f t="shared" si="3"/>
        <v>83</v>
      </c>
      <c r="N24" s="61"/>
      <c r="O24" s="66"/>
      <c r="P24" s="67"/>
      <c r="Q24" s="67"/>
      <c r="R24" s="68"/>
      <c r="S24" s="67"/>
      <c r="T24" s="67"/>
      <c r="U24" s="67"/>
      <c r="V24" s="67"/>
      <c r="W24" s="67"/>
      <c r="X24" s="67"/>
      <c r="Y24" s="67"/>
    </row>
    <row r="25" ht="18.75" spans="1:25">
      <c r="A25" s="60">
        <v>22</v>
      </c>
      <c r="B25" s="61" t="s">
        <v>43</v>
      </c>
      <c r="C25" s="60">
        <v>100</v>
      </c>
      <c r="D25" s="60">
        <v>5</v>
      </c>
      <c r="E25" s="60">
        <v>5</v>
      </c>
      <c r="F25" s="60">
        <v>5</v>
      </c>
      <c r="G25" s="60">
        <v>8</v>
      </c>
      <c r="H25" s="60"/>
      <c r="I25" s="8" t="s">
        <v>43</v>
      </c>
      <c r="J25" s="65"/>
      <c r="K25" s="61"/>
      <c r="L25" s="62">
        <f t="shared" si="2"/>
        <v>23</v>
      </c>
      <c r="M25" s="62">
        <f t="shared" si="3"/>
        <v>77</v>
      </c>
      <c r="N25" s="61"/>
      <c r="O25" s="66"/>
      <c r="P25" s="67"/>
      <c r="Q25" s="67"/>
      <c r="R25" s="68"/>
      <c r="S25" s="67"/>
      <c r="T25" s="67"/>
      <c r="U25" s="67"/>
      <c r="V25" s="67"/>
      <c r="W25" s="71"/>
      <c r="X25" s="67"/>
      <c r="Y25" s="67"/>
    </row>
    <row r="26" ht="18.75" spans="1:25">
      <c r="A26" s="60">
        <v>23</v>
      </c>
      <c r="B26" s="61" t="s">
        <v>45</v>
      </c>
      <c r="C26" s="60">
        <v>100</v>
      </c>
      <c r="D26" s="60">
        <v>5</v>
      </c>
      <c r="E26" s="60">
        <v>5</v>
      </c>
      <c r="F26" s="60">
        <v>5</v>
      </c>
      <c r="G26" s="60">
        <v>5</v>
      </c>
      <c r="H26" s="60"/>
      <c r="I26" s="8" t="s">
        <v>45</v>
      </c>
      <c r="J26" s="65"/>
      <c r="K26" s="61"/>
      <c r="L26" s="62">
        <f t="shared" si="2"/>
        <v>20</v>
      </c>
      <c r="M26" s="62">
        <f t="shared" si="3"/>
        <v>80</v>
      </c>
      <c r="N26" s="61"/>
      <c r="O26" s="66"/>
      <c r="P26" s="67"/>
      <c r="Q26" s="67"/>
      <c r="R26" s="68"/>
      <c r="S26" s="67"/>
      <c r="T26" s="67"/>
      <c r="U26" s="72"/>
      <c r="V26" s="67"/>
      <c r="W26" s="67"/>
      <c r="X26" s="67"/>
      <c r="Y26" s="67"/>
    </row>
    <row r="27" ht="18.75" spans="1:25">
      <c r="A27" s="60">
        <v>24</v>
      </c>
      <c r="B27" s="61" t="s">
        <v>45</v>
      </c>
      <c r="C27" s="60">
        <v>100</v>
      </c>
      <c r="D27" s="60">
        <v>5</v>
      </c>
      <c r="E27" s="60">
        <v>5</v>
      </c>
      <c r="F27" s="60">
        <v>5</v>
      </c>
      <c r="G27" s="60">
        <v>5</v>
      </c>
      <c r="H27" s="60"/>
      <c r="I27" s="8" t="s">
        <v>45</v>
      </c>
      <c r="J27" s="65"/>
      <c r="K27" s="61"/>
      <c r="L27" s="62">
        <f t="shared" si="2"/>
        <v>20</v>
      </c>
      <c r="M27" s="62">
        <f t="shared" si="3"/>
        <v>80</v>
      </c>
      <c r="N27" s="61"/>
      <c r="O27" s="66"/>
      <c r="P27" s="67"/>
      <c r="Q27" s="67"/>
      <c r="R27" s="68"/>
      <c r="S27" s="67"/>
      <c r="T27" s="67"/>
      <c r="U27" s="67"/>
      <c r="V27" s="67"/>
      <c r="W27" s="67"/>
      <c r="X27" s="67"/>
      <c r="Y27" s="67"/>
    </row>
    <row r="28" ht="18.75" spans="1:25">
      <c r="A28" s="60">
        <v>25</v>
      </c>
      <c r="B28" s="61" t="s">
        <v>46</v>
      </c>
      <c r="C28" s="70">
        <v>121</v>
      </c>
      <c r="D28" s="60">
        <v>5</v>
      </c>
      <c r="E28" s="60">
        <v>5</v>
      </c>
      <c r="F28" s="60">
        <v>5</v>
      </c>
      <c r="G28" s="60">
        <v>6</v>
      </c>
      <c r="H28" s="60"/>
      <c r="I28" s="8" t="s">
        <v>46</v>
      </c>
      <c r="J28" s="65"/>
      <c r="K28" s="61"/>
      <c r="L28" s="62">
        <f t="shared" si="2"/>
        <v>21</v>
      </c>
      <c r="M28" s="62">
        <f t="shared" si="3"/>
        <v>100</v>
      </c>
      <c r="N28" s="61"/>
      <c r="O28" s="66"/>
      <c r="P28" s="67">
        <v>21</v>
      </c>
      <c r="Q28" s="67"/>
      <c r="R28" s="68"/>
      <c r="S28" s="67"/>
      <c r="T28" s="67"/>
      <c r="U28" s="72"/>
      <c r="V28" s="67"/>
      <c r="W28" s="71"/>
      <c r="X28" s="67"/>
      <c r="Y28" s="67"/>
    </row>
    <row r="29" ht="18.75" spans="1:25">
      <c r="A29" s="60">
        <v>26</v>
      </c>
      <c r="B29" s="61" t="s">
        <v>47</v>
      </c>
      <c r="C29" s="70">
        <v>120</v>
      </c>
      <c r="D29" s="60">
        <v>5</v>
      </c>
      <c r="E29" s="60">
        <v>5</v>
      </c>
      <c r="F29" s="60">
        <v>5</v>
      </c>
      <c r="G29" s="60">
        <v>7</v>
      </c>
      <c r="H29" s="60"/>
      <c r="I29" s="8" t="s">
        <v>47</v>
      </c>
      <c r="J29" s="65"/>
      <c r="K29" s="61"/>
      <c r="L29" s="62">
        <f t="shared" si="2"/>
        <v>22</v>
      </c>
      <c r="M29" s="62">
        <f t="shared" si="3"/>
        <v>98</v>
      </c>
      <c r="N29" s="61"/>
      <c r="O29" s="66"/>
      <c r="P29" s="67">
        <v>20</v>
      </c>
      <c r="Q29" s="67"/>
      <c r="R29" s="68"/>
      <c r="S29" s="67"/>
      <c r="T29" s="67"/>
      <c r="U29" s="67"/>
      <c r="V29" s="67"/>
      <c r="W29" s="67"/>
      <c r="X29" s="72"/>
      <c r="Y29" s="67"/>
    </row>
    <row r="30" ht="18.75" spans="1:25">
      <c r="A30" s="60">
        <v>27</v>
      </c>
      <c r="B30" s="61" t="s">
        <v>48</v>
      </c>
      <c r="C30" s="70">
        <v>120</v>
      </c>
      <c r="D30" s="60">
        <v>5</v>
      </c>
      <c r="E30" s="60">
        <v>5</v>
      </c>
      <c r="F30" s="60">
        <v>5</v>
      </c>
      <c r="G30" s="60">
        <v>8</v>
      </c>
      <c r="H30" s="60"/>
      <c r="I30" s="8" t="s">
        <v>48</v>
      </c>
      <c r="J30" s="65"/>
      <c r="K30" s="61"/>
      <c r="L30" s="62">
        <f t="shared" si="2"/>
        <v>23</v>
      </c>
      <c r="M30" s="62">
        <f t="shared" si="3"/>
        <v>97</v>
      </c>
      <c r="N30" s="61"/>
      <c r="O30" s="66"/>
      <c r="P30" s="67">
        <v>20</v>
      </c>
      <c r="Q30" s="67"/>
      <c r="R30" s="68"/>
      <c r="S30" s="67"/>
      <c r="T30" s="67"/>
      <c r="U30" s="67"/>
      <c r="V30" s="67"/>
      <c r="W30" s="67"/>
      <c r="X30" s="67"/>
      <c r="Y30" s="67"/>
    </row>
    <row r="31" ht="18.75" spans="1:25">
      <c r="A31" s="60">
        <v>28</v>
      </c>
      <c r="B31" s="61" t="s">
        <v>49</v>
      </c>
      <c r="C31" s="60">
        <v>100</v>
      </c>
      <c r="D31" s="60">
        <v>5</v>
      </c>
      <c r="E31" s="60">
        <v>5</v>
      </c>
      <c r="F31" s="60">
        <v>5</v>
      </c>
      <c r="G31" s="60">
        <v>9</v>
      </c>
      <c r="H31" s="60"/>
      <c r="I31" s="8" t="s">
        <v>49</v>
      </c>
      <c r="J31" s="65"/>
      <c r="K31" s="61"/>
      <c r="L31" s="62">
        <f t="shared" si="2"/>
        <v>24</v>
      </c>
      <c r="M31" s="62">
        <f t="shared" si="3"/>
        <v>76</v>
      </c>
      <c r="N31" s="61"/>
      <c r="O31" s="66"/>
      <c r="P31" s="67"/>
      <c r="Q31" s="67"/>
      <c r="R31" s="67"/>
      <c r="S31" s="67"/>
      <c r="T31" s="67"/>
      <c r="U31" s="67"/>
      <c r="V31" s="67"/>
      <c r="W31" s="67"/>
      <c r="X31" s="67"/>
      <c r="Y31" s="67"/>
    </row>
    <row r="32" ht="18.75" spans="1:25">
      <c r="A32" s="60">
        <v>29</v>
      </c>
      <c r="B32" s="61" t="s">
        <v>50</v>
      </c>
      <c r="C32" s="73">
        <v>100</v>
      </c>
      <c r="D32" s="60">
        <v>5</v>
      </c>
      <c r="E32" s="60">
        <v>5</v>
      </c>
      <c r="F32" s="60">
        <v>5</v>
      </c>
      <c r="G32" s="60">
        <v>10</v>
      </c>
      <c r="H32" s="60"/>
      <c r="I32" s="8" t="s">
        <v>145</v>
      </c>
      <c r="J32" s="65"/>
      <c r="K32" s="61"/>
      <c r="L32" s="62">
        <f t="shared" si="2"/>
        <v>25</v>
      </c>
      <c r="M32" s="62">
        <f t="shared" si="3"/>
        <v>75</v>
      </c>
      <c r="N32" s="61"/>
      <c r="O32" s="66"/>
      <c r="P32" s="67"/>
      <c r="Q32" s="67"/>
      <c r="R32" s="67"/>
      <c r="S32" s="67"/>
      <c r="T32" s="67"/>
      <c r="U32" s="67"/>
      <c r="V32" s="67"/>
      <c r="W32" s="67"/>
      <c r="X32" s="67"/>
      <c r="Y32" s="67"/>
    </row>
    <row r="33" ht="18.75" spans="1:25">
      <c r="A33" s="60">
        <v>30</v>
      </c>
      <c r="B33" s="61" t="s">
        <v>50</v>
      </c>
      <c r="C33" s="60">
        <v>100</v>
      </c>
      <c r="D33" s="60">
        <v>5</v>
      </c>
      <c r="E33" s="60">
        <v>5</v>
      </c>
      <c r="F33" s="60">
        <v>5</v>
      </c>
      <c r="G33" s="60">
        <v>4</v>
      </c>
      <c r="H33" s="60"/>
      <c r="I33" s="8" t="s">
        <v>146</v>
      </c>
      <c r="J33" s="65"/>
      <c r="K33" s="61"/>
      <c r="L33" s="62">
        <f t="shared" si="2"/>
        <v>19</v>
      </c>
      <c r="M33" s="62">
        <f t="shared" si="3"/>
        <v>81</v>
      </c>
      <c r="N33" s="61"/>
      <c r="O33" s="66"/>
      <c r="P33" s="67"/>
      <c r="Q33" s="67"/>
      <c r="R33" s="67"/>
      <c r="S33" s="67"/>
      <c r="T33" s="67"/>
      <c r="U33" s="67"/>
      <c r="V33" s="67"/>
      <c r="W33" s="67"/>
      <c r="X33" s="67"/>
      <c r="Y33" s="67"/>
    </row>
    <row r="34" ht="18.75" spans="1:25">
      <c r="A34" s="60">
        <v>31</v>
      </c>
      <c r="B34" s="61" t="s">
        <v>52</v>
      </c>
      <c r="C34" s="60">
        <v>100</v>
      </c>
      <c r="D34" s="60">
        <v>5</v>
      </c>
      <c r="E34" s="60">
        <v>5</v>
      </c>
      <c r="F34" s="60">
        <v>5</v>
      </c>
      <c r="G34" s="60">
        <v>5</v>
      </c>
      <c r="H34" s="60"/>
      <c r="I34" s="8" t="s">
        <v>52</v>
      </c>
      <c r="J34" s="65"/>
      <c r="K34" s="61"/>
      <c r="L34" s="62">
        <f t="shared" si="2"/>
        <v>20</v>
      </c>
      <c r="M34" s="62">
        <f t="shared" si="3"/>
        <v>80</v>
      </c>
      <c r="N34" s="61"/>
      <c r="O34" s="66"/>
      <c r="P34" s="67"/>
      <c r="Q34" s="67"/>
      <c r="R34" s="67"/>
      <c r="S34" s="67"/>
      <c r="T34" s="67"/>
      <c r="U34" s="67"/>
      <c r="V34" s="67"/>
      <c r="W34" s="67"/>
      <c r="X34" s="67"/>
      <c r="Y34" s="67"/>
    </row>
    <row r="35" ht="18.75" spans="1:25">
      <c r="A35" s="60">
        <v>32</v>
      </c>
      <c r="B35" s="61" t="s">
        <v>54</v>
      </c>
      <c r="C35" s="60">
        <v>100</v>
      </c>
      <c r="D35" s="60">
        <v>5</v>
      </c>
      <c r="E35" s="60">
        <v>5</v>
      </c>
      <c r="F35" s="60">
        <v>5</v>
      </c>
      <c r="G35" s="60">
        <v>5</v>
      </c>
      <c r="H35" s="60"/>
      <c r="I35" s="8" t="s">
        <v>54</v>
      </c>
      <c r="J35" s="65"/>
      <c r="K35" s="61"/>
      <c r="L35" s="62">
        <f t="shared" si="2"/>
        <v>20</v>
      </c>
      <c r="M35" s="62">
        <f t="shared" si="3"/>
        <v>80</v>
      </c>
      <c r="N35" s="61"/>
      <c r="O35" s="66"/>
      <c r="P35" s="67"/>
      <c r="Q35" s="67"/>
      <c r="R35" s="67"/>
      <c r="S35" s="67"/>
      <c r="T35" s="67"/>
      <c r="U35" s="67"/>
      <c r="V35" s="67"/>
      <c r="W35" s="67"/>
      <c r="X35" s="67"/>
      <c r="Y35" s="67"/>
    </row>
    <row r="36" ht="18.75" spans="1:25">
      <c r="A36" s="60">
        <v>33</v>
      </c>
      <c r="B36" s="61" t="s">
        <v>55</v>
      </c>
      <c r="C36" s="60">
        <v>100</v>
      </c>
      <c r="D36" s="60">
        <v>5</v>
      </c>
      <c r="E36" s="60">
        <v>5</v>
      </c>
      <c r="F36" s="60">
        <v>5</v>
      </c>
      <c r="G36" s="60">
        <v>5</v>
      </c>
      <c r="H36" s="60"/>
      <c r="I36" s="8" t="s">
        <v>55</v>
      </c>
      <c r="J36" s="65"/>
      <c r="K36" s="61"/>
      <c r="L36" s="62">
        <f t="shared" si="2"/>
        <v>20</v>
      </c>
      <c r="M36" s="62">
        <f t="shared" si="3"/>
        <v>80</v>
      </c>
      <c r="N36" s="61"/>
      <c r="O36" s="66"/>
      <c r="P36" s="67"/>
      <c r="Q36" s="67"/>
      <c r="R36" s="67"/>
      <c r="S36" s="67"/>
      <c r="T36" s="67"/>
      <c r="U36" s="67"/>
      <c r="V36" s="67"/>
      <c r="W36" s="67"/>
      <c r="X36" s="67"/>
      <c r="Y36" s="67"/>
    </row>
    <row r="37" ht="18.75" spans="1:25">
      <c r="A37" s="60">
        <v>34</v>
      </c>
      <c r="B37" s="61" t="s">
        <v>56</v>
      </c>
      <c r="C37" s="60">
        <v>100</v>
      </c>
      <c r="D37" s="60">
        <v>5</v>
      </c>
      <c r="E37" s="60">
        <v>5</v>
      </c>
      <c r="F37" s="60">
        <v>5</v>
      </c>
      <c r="G37" s="60">
        <v>8</v>
      </c>
      <c r="H37" s="60"/>
      <c r="I37" s="8" t="s">
        <v>56</v>
      </c>
      <c r="J37" s="65"/>
      <c r="K37" s="61"/>
      <c r="L37" s="62">
        <f t="shared" si="2"/>
        <v>23</v>
      </c>
      <c r="M37" s="62">
        <f t="shared" si="3"/>
        <v>77</v>
      </c>
      <c r="N37" s="61"/>
      <c r="O37" s="66"/>
      <c r="P37" s="67"/>
      <c r="Q37" s="67"/>
      <c r="R37" s="67"/>
      <c r="S37" s="67"/>
      <c r="T37" s="67"/>
      <c r="U37" s="67"/>
      <c r="V37" s="67"/>
      <c r="W37" s="67"/>
      <c r="X37" s="67"/>
      <c r="Y37" s="67"/>
    </row>
    <row r="38" ht="18.75" spans="1:25">
      <c r="A38" s="60">
        <v>35</v>
      </c>
      <c r="B38" s="61" t="s">
        <v>57</v>
      </c>
      <c r="C38" s="60">
        <v>100</v>
      </c>
      <c r="D38" s="60">
        <v>5</v>
      </c>
      <c r="E38" s="60">
        <v>5</v>
      </c>
      <c r="F38" s="60">
        <v>5</v>
      </c>
      <c r="G38" s="60">
        <v>5</v>
      </c>
      <c r="H38" s="60"/>
      <c r="I38" s="8" t="s">
        <v>57</v>
      </c>
      <c r="J38" s="65"/>
      <c r="K38" s="61"/>
      <c r="L38" s="62">
        <f t="shared" si="2"/>
        <v>20</v>
      </c>
      <c r="M38" s="62">
        <f t="shared" si="3"/>
        <v>80</v>
      </c>
      <c r="N38" s="61"/>
      <c r="O38" s="66"/>
      <c r="P38" s="67"/>
      <c r="Q38" s="67"/>
      <c r="R38" s="67"/>
      <c r="S38" s="67"/>
      <c r="T38" s="67"/>
      <c r="U38" s="67"/>
      <c r="V38" s="67"/>
      <c r="W38" s="67"/>
      <c r="X38" s="67"/>
      <c r="Y38" s="67"/>
    </row>
    <row r="39" ht="18.75" spans="1:25">
      <c r="A39" s="60">
        <v>36</v>
      </c>
      <c r="B39" s="61" t="s">
        <v>147</v>
      </c>
      <c r="C39" s="60">
        <v>100</v>
      </c>
      <c r="D39" s="60">
        <v>5</v>
      </c>
      <c r="E39" s="60">
        <v>5</v>
      </c>
      <c r="F39" s="60">
        <v>5</v>
      </c>
      <c r="G39" s="60">
        <v>5</v>
      </c>
      <c r="H39" s="60"/>
      <c r="I39" s="8" t="s">
        <v>147</v>
      </c>
      <c r="J39" s="65"/>
      <c r="K39" s="61"/>
      <c r="L39" s="62">
        <f t="shared" si="2"/>
        <v>20</v>
      </c>
      <c r="M39" s="62">
        <f t="shared" si="3"/>
        <v>80</v>
      </c>
      <c r="N39" s="61"/>
      <c r="O39" s="66"/>
      <c r="P39" s="67"/>
      <c r="Q39" s="67"/>
      <c r="R39" s="67"/>
      <c r="S39" s="67"/>
      <c r="T39" s="67"/>
      <c r="U39" s="67"/>
      <c r="V39" s="67"/>
      <c r="W39" s="67"/>
      <c r="X39" s="67"/>
      <c r="Y39" s="67"/>
    </row>
    <row r="40" ht="18.75" spans="1:25">
      <c r="A40" s="60">
        <v>37</v>
      </c>
      <c r="B40" s="61" t="s">
        <v>148</v>
      </c>
      <c r="C40" s="60">
        <v>100</v>
      </c>
      <c r="D40" s="60">
        <v>0</v>
      </c>
      <c r="E40" s="60">
        <v>5</v>
      </c>
      <c r="F40" s="60">
        <v>5</v>
      </c>
      <c r="G40" s="60">
        <v>5</v>
      </c>
      <c r="H40" s="60"/>
      <c r="I40" s="8" t="s">
        <v>148</v>
      </c>
      <c r="J40" s="65"/>
      <c r="K40" s="61"/>
      <c r="L40" s="62">
        <f t="shared" si="2"/>
        <v>15</v>
      </c>
      <c r="M40" s="62">
        <f t="shared" si="3"/>
        <v>85</v>
      </c>
      <c r="N40" s="61"/>
      <c r="O40" s="66"/>
      <c r="P40" s="67"/>
      <c r="Q40" s="67"/>
      <c r="R40" s="67"/>
      <c r="S40" s="67"/>
      <c r="T40" s="67"/>
      <c r="U40" s="67"/>
      <c r="V40" s="67"/>
      <c r="W40" s="67"/>
      <c r="X40" s="67"/>
      <c r="Y40" s="67"/>
    </row>
    <row r="41" ht="18.75" spans="1:25">
      <c r="A41" s="60">
        <v>38</v>
      </c>
      <c r="B41" s="61" t="s">
        <v>60</v>
      </c>
      <c r="C41" s="60">
        <v>100</v>
      </c>
      <c r="D41" s="60">
        <v>5</v>
      </c>
      <c r="E41" s="60">
        <v>5</v>
      </c>
      <c r="F41" s="60">
        <v>5</v>
      </c>
      <c r="G41" s="60">
        <v>5</v>
      </c>
      <c r="H41" s="60"/>
      <c r="I41" s="8" t="s">
        <v>60</v>
      </c>
      <c r="J41" s="65"/>
      <c r="K41" s="61"/>
      <c r="L41" s="62">
        <f t="shared" si="2"/>
        <v>20</v>
      </c>
      <c r="M41" s="62">
        <f t="shared" si="3"/>
        <v>80</v>
      </c>
      <c r="N41" s="61"/>
      <c r="O41" s="66"/>
      <c r="P41" s="67"/>
      <c r="Q41" s="67"/>
      <c r="R41" s="67"/>
      <c r="S41" s="67"/>
      <c r="T41" s="67"/>
      <c r="U41" s="67"/>
      <c r="V41" s="67"/>
      <c r="W41" s="67"/>
      <c r="X41" s="67"/>
      <c r="Y41" s="67"/>
    </row>
    <row r="42" ht="18.75" spans="1:25">
      <c r="A42" s="60">
        <v>39</v>
      </c>
      <c r="B42" s="61" t="s">
        <v>61</v>
      </c>
      <c r="C42" s="60">
        <v>100</v>
      </c>
      <c r="D42" s="60">
        <v>5</v>
      </c>
      <c r="E42" s="60">
        <v>5</v>
      </c>
      <c r="F42" s="60">
        <v>5</v>
      </c>
      <c r="G42" s="60">
        <v>5</v>
      </c>
      <c r="H42" s="60"/>
      <c r="I42" s="8" t="s">
        <v>61</v>
      </c>
      <c r="J42" s="65"/>
      <c r="K42" s="61"/>
      <c r="L42" s="62">
        <f t="shared" si="2"/>
        <v>20</v>
      </c>
      <c r="M42" s="62">
        <f t="shared" si="3"/>
        <v>80</v>
      </c>
      <c r="N42" s="61"/>
      <c r="O42" s="66"/>
      <c r="P42" s="67"/>
      <c r="Q42" s="67"/>
      <c r="R42" s="67"/>
      <c r="S42" s="67"/>
      <c r="T42" s="67"/>
      <c r="U42" s="67"/>
      <c r="V42" s="67"/>
      <c r="W42" s="67"/>
      <c r="X42" s="67"/>
      <c r="Y42" s="67"/>
    </row>
    <row r="43" ht="18.75" spans="1:25">
      <c r="A43" s="60">
        <v>40</v>
      </c>
      <c r="B43" s="61" t="s">
        <v>62</v>
      </c>
      <c r="C43" s="60">
        <v>100</v>
      </c>
      <c r="D43" s="60">
        <v>5</v>
      </c>
      <c r="E43" s="60">
        <v>5</v>
      </c>
      <c r="F43" s="60">
        <v>6</v>
      </c>
      <c r="G43" s="60">
        <v>4</v>
      </c>
      <c r="H43" s="60"/>
      <c r="I43" s="8" t="s">
        <v>149</v>
      </c>
      <c r="J43" s="65"/>
      <c r="K43" s="61"/>
      <c r="L43" s="62">
        <f t="shared" si="2"/>
        <v>20</v>
      </c>
      <c r="M43" s="62">
        <f t="shared" si="3"/>
        <v>80</v>
      </c>
      <c r="N43" s="61"/>
      <c r="O43" s="66"/>
      <c r="P43" s="67"/>
      <c r="Q43" s="67"/>
      <c r="R43" s="67"/>
      <c r="S43" s="67"/>
      <c r="T43" s="67"/>
      <c r="U43" s="67"/>
      <c r="V43" s="67"/>
      <c r="W43" s="67"/>
      <c r="X43" s="67"/>
      <c r="Y43" s="67"/>
    </row>
    <row r="44" ht="18.75" spans="1:25">
      <c r="A44" s="60">
        <v>41</v>
      </c>
      <c r="B44" s="61" t="s">
        <v>63</v>
      </c>
      <c r="C44" s="60">
        <v>100</v>
      </c>
      <c r="D44" s="60">
        <v>5</v>
      </c>
      <c r="E44" s="60">
        <v>5</v>
      </c>
      <c r="F44" s="60">
        <v>6</v>
      </c>
      <c r="G44" s="60">
        <v>8</v>
      </c>
      <c r="H44" s="60"/>
      <c r="I44" s="8" t="s">
        <v>149</v>
      </c>
      <c r="J44" s="62"/>
      <c r="K44" s="62"/>
      <c r="L44" s="62">
        <f t="shared" si="2"/>
        <v>24</v>
      </c>
      <c r="M44" s="62">
        <f t="shared" si="3"/>
        <v>76</v>
      </c>
      <c r="N44" s="62"/>
      <c r="O44" s="62"/>
      <c r="P44" s="63"/>
      <c r="Q44" s="67"/>
      <c r="R44" s="67"/>
      <c r="S44" s="67"/>
      <c r="T44" s="67"/>
      <c r="U44" s="67"/>
      <c r="V44" s="67"/>
      <c r="W44" s="67"/>
      <c r="X44" s="67"/>
      <c r="Y44" s="67"/>
    </row>
    <row r="45" ht="18.75" spans="1:25">
      <c r="A45" s="60">
        <v>42</v>
      </c>
      <c r="B45" s="61" t="s">
        <v>64</v>
      </c>
      <c r="C45" s="60">
        <v>100</v>
      </c>
      <c r="D45" s="60">
        <v>5</v>
      </c>
      <c r="E45" s="60">
        <v>5</v>
      </c>
      <c r="F45" s="60" t="s">
        <v>150</v>
      </c>
      <c r="G45" s="60"/>
      <c r="H45" s="60"/>
      <c r="I45" s="8" t="s">
        <v>149</v>
      </c>
      <c r="J45" s="62"/>
      <c r="K45" s="62"/>
      <c r="L45" s="62">
        <f t="shared" si="2"/>
        <v>10</v>
      </c>
      <c r="M45" s="62">
        <f t="shared" si="3"/>
        <v>90</v>
      </c>
      <c r="N45" s="62"/>
      <c r="O45" s="62"/>
      <c r="P45" s="63"/>
      <c r="Q45" s="67"/>
      <c r="R45" s="67"/>
      <c r="S45" s="67"/>
      <c r="T45" s="67"/>
      <c r="U45" s="67"/>
      <c r="V45" s="67"/>
      <c r="W45" s="67"/>
      <c r="X45" s="67"/>
      <c r="Y45" s="67"/>
    </row>
    <row r="46" ht="18.75" spans="1:25">
      <c r="A46" s="60">
        <v>43</v>
      </c>
      <c r="B46" s="61" t="s">
        <v>65</v>
      </c>
      <c r="C46" s="60">
        <v>100</v>
      </c>
      <c r="D46" s="60">
        <v>5</v>
      </c>
      <c r="E46" s="60">
        <v>5</v>
      </c>
      <c r="F46" s="60">
        <v>5</v>
      </c>
      <c r="G46" s="60"/>
      <c r="H46" s="60"/>
      <c r="I46" s="8" t="s">
        <v>151</v>
      </c>
      <c r="J46" s="65"/>
      <c r="K46" s="61"/>
      <c r="L46" s="62">
        <f t="shared" si="2"/>
        <v>15</v>
      </c>
      <c r="M46" s="62">
        <f t="shared" si="3"/>
        <v>85</v>
      </c>
      <c r="N46" s="61"/>
      <c r="O46" s="66"/>
      <c r="P46" s="67"/>
      <c r="Q46" s="67"/>
      <c r="R46" s="67"/>
      <c r="S46" s="67"/>
      <c r="T46" s="67"/>
      <c r="U46" s="67"/>
      <c r="V46" s="67"/>
      <c r="W46" s="67"/>
      <c r="X46" s="67"/>
      <c r="Y46" s="67"/>
    </row>
    <row r="47" ht="18.75" spans="1:25">
      <c r="A47" s="60">
        <v>44</v>
      </c>
      <c r="B47" s="61" t="s">
        <v>66</v>
      </c>
      <c r="C47" s="60">
        <v>100</v>
      </c>
      <c r="D47" s="60">
        <v>5</v>
      </c>
      <c r="E47" s="60">
        <v>5</v>
      </c>
      <c r="F47" s="60">
        <v>5</v>
      </c>
      <c r="G47" s="60"/>
      <c r="H47" s="60"/>
      <c r="I47" s="8" t="s">
        <v>152</v>
      </c>
      <c r="J47" s="65"/>
      <c r="K47" s="61"/>
      <c r="L47" s="62">
        <f t="shared" si="2"/>
        <v>15</v>
      </c>
      <c r="M47" s="62">
        <f t="shared" si="3"/>
        <v>85</v>
      </c>
      <c r="N47" s="61"/>
      <c r="O47" s="66"/>
      <c r="P47" s="67"/>
      <c r="Q47" s="67"/>
      <c r="R47" s="67"/>
      <c r="S47" s="67"/>
      <c r="T47" s="67"/>
      <c r="U47" s="67"/>
      <c r="V47" s="67"/>
      <c r="W47" s="67"/>
      <c r="X47" s="67"/>
      <c r="Y47" s="67"/>
    </row>
    <row r="48" ht="18.75" spans="1:25">
      <c r="A48" s="60">
        <v>45</v>
      </c>
      <c r="B48" s="61" t="s">
        <v>70</v>
      </c>
      <c r="C48" s="60">
        <v>100</v>
      </c>
      <c r="D48" s="60">
        <v>5</v>
      </c>
      <c r="E48" s="60">
        <v>5</v>
      </c>
      <c r="F48" s="60">
        <v>5</v>
      </c>
      <c r="G48" s="60"/>
      <c r="H48" s="60"/>
      <c r="I48" s="8" t="s">
        <v>153</v>
      </c>
      <c r="J48" s="65"/>
      <c r="K48" s="61"/>
      <c r="L48" s="62">
        <f t="shared" si="2"/>
        <v>15</v>
      </c>
      <c r="M48" s="62">
        <f t="shared" si="3"/>
        <v>85</v>
      </c>
      <c r="N48" s="61"/>
      <c r="O48" s="66"/>
      <c r="P48" s="67"/>
      <c r="Q48" s="67"/>
      <c r="R48" s="67"/>
      <c r="S48" s="67"/>
      <c r="T48" s="67"/>
      <c r="U48" s="67"/>
      <c r="V48" s="67"/>
      <c r="W48" s="67"/>
      <c r="X48" s="63"/>
      <c r="Y48" s="63"/>
    </row>
    <row r="49" ht="18.75" spans="1:25">
      <c r="A49" s="60">
        <v>46</v>
      </c>
      <c r="B49" s="61" t="s">
        <v>71</v>
      </c>
      <c r="C49" s="60">
        <v>100</v>
      </c>
      <c r="D49" s="60">
        <v>5</v>
      </c>
      <c r="E49" s="60">
        <v>5</v>
      </c>
      <c r="F49" s="60">
        <v>5</v>
      </c>
      <c r="G49" s="60"/>
      <c r="H49" s="60"/>
      <c r="I49" s="8" t="s">
        <v>70</v>
      </c>
      <c r="J49" s="65"/>
      <c r="K49" s="61"/>
      <c r="L49" s="62">
        <f t="shared" si="2"/>
        <v>15</v>
      </c>
      <c r="M49" s="62">
        <f t="shared" si="3"/>
        <v>85</v>
      </c>
      <c r="N49" s="61"/>
      <c r="O49" s="66"/>
      <c r="P49" s="67"/>
      <c r="Q49" s="63"/>
      <c r="R49" s="63"/>
      <c r="S49" s="63"/>
      <c r="T49" s="63"/>
      <c r="U49" s="63"/>
      <c r="V49" s="63"/>
      <c r="W49" s="63"/>
      <c r="X49" s="63"/>
      <c r="Y49" s="63"/>
    </row>
    <row r="50" ht="18.75" spans="1:25">
      <c r="A50" s="60">
        <v>47</v>
      </c>
      <c r="B50" s="61" t="s">
        <v>72</v>
      </c>
      <c r="C50" s="60">
        <v>100</v>
      </c>
      <c r="D50" s="60">
        <v>5</v>
      </c>
      <c r="E50" s="60">
        <v>5</v>
      </c>
      <c r="F50" s="60">
        <v>5</v>
      </c>
      <c r="G50" s="60"/>
      <c r="H50" s="60"/>
      <c r="I50" s="8" t="s">
        <v>71</v>
      </c>
      <c r="J50" s="65"/>
      <c r="K50" s="61"/>
      <c r="L50" s="62">
        <f t="shared" si="2"/>
        <v>15</v>
      </c>
      <c r="M50" s="62">
        <f t="shared" si="3"/>
        <v>85</v>
      </c>
      <c r="N50" s="61"/>
      <c r="O50" s="66"/>
      <c r="P50" s="67"/>
      <c r="Q50" s="63"/>
      <c r="R50" s="63"/>
      <c r="S50" s="63"/>
      <c r="T50" s="63"/>
      <c r="U50" s="63"/>
      <c r="V50" s="63"/>
      <c r="W50" s="63"/>
      <c r="X50" s="63"/>
      <c r="Y50" s="63"/>
    </row>
    <row r="51" ht="18.75" spans="1:25">
      <c r="A51" s="60">
        <v>48</v>
      </c>
      <c r="B51" s="61" t="s">
        <v>73</v>
      </c>
      <c r="C51" s="60">
        <v>100</v>
      </c>
      <c r="D51" s="60">
        <v>5</v>
      </c>
      <c r="E51" s="60">
        <v>5</v>
      </c>
      <c r="F51" s="60">
        <v>5</v>
      </c>
      <c r="G51" s="60"/>
      <c r="H51" s="60"/>
      <c r="I51" s="8" t="s">
        <v>72</v>
      </c>
      <c r="J51" s="65"/>
      <c r="K51" s="61"/>
      <c r="L51" s="62">
        <f t="shared" si="2"/>
        <v>15</v>
      </c>
      <c r="M51" s="62">
        <f t="shared" si="3"/>
        <v>85</v>
      </c>
      <c r="N51" s="61"/>
      <c r="O51" s="66"/>
      <c r="P51" s="67"/>
      <c r="Q51" s="63"/>
      <c r="R51" s="63"/>
      <c r="S51" s="63"/>
      <c r="T51" s="63"/>
      <c r="U51" s="63"/>
      <c r="V51" s="63"/>
      <c r="W51" s="63"/>
      <c r="X51" s="63"/>
      <c r="Y51" s="63"/>
    </row>
    <row r="52" ht="18.75" spans="1:25">
      <c r="A52" s="60">
        <v>49</v>
      </c>
      <c r="B52" s="61" t="s">
        <v>74</v>
      </c>
      <c r="C52" s="60">
        <v>100</v>
      </c>
      <c r="D52" s="60">
        <v>5</v>
      </c>
      <c r="E52" s="60">
        <v>5</v>
      </c>
      <c r="F52" s="60">
        <v>5</v>
      </c>
      <c r="G52" s="60"/>
      <c r="H52" s="60"/>
      <c r="I52" s="8" t="s">
        <v>73</v>
      </c>
      <c r="J52" s="65"/>
      <c r="K52" s="61"/>
      <c r="L52" s="62">
        <f t="shared" si="2"/>
        <v>15</v>
      </c>
      <c r="M52" s="62">
        <f t="shared" si="3"/>
        <v>85</v>
      </c>
      <c r="N52" s="61"/>
      <c r="O52" s="66"/>
      <c r="P52" s="67"/>
      <c r="Q52" s="63"/>
      <c r="R52" s="63"/>
      <c r="S52" s="63"/>
      <c r="T52" s="63"/>
      <c r="U52" s="63"/>
      <c r="V52" s="63"/>
      <c r="W52" s="63"/>
      <c r="X52" s="63"/>
      <c r="Y52" s="63"/>
    </row>
    <row r="53" ht="18.75" spans="1:25">
      <c r="A53" s="60">
        <v>50</v>
      </c>
      <c r="B53" s="61" t="s">
        <v>75</v>
      </c>
      <c r="C53" s="60">
        <v>100</v>
      </c>
      <c r="D53" s="60">
        <v>5</v>
      </c>
      <c r="E53" s="60">
        <v>5</v>
      </c>
      <c r="F53" s="60">
        <v>5</v>
      </c>
      <c r="G53" s="60"/>
      <c r="H53" s="60"/>
      <c r="I53" s="8" t="s">
        <v>74</v>
      </c>
      <c r="J53" s="65"/>
      <c r="K53" s="61"/>
      <c r="L53" s="62">
        <f t="shared" si="2"/>
        <v>15</v>
      </c>
      <c r="M53" s="62">
        <f t="shared" si="3"/>
        <v>85</v>
      </c>
      <c r="N53" s="61"/>
      <c r="O53" s="66"/>
      <c r="P53" s="67"/>
      <c r="Q53" s="63"/>
      <c r="R53" s="63"/>
      <c r="S53" s="63"/>
      <c r="T53" s="63"/>
      <c r="U53" s="63"/>
      <c r="V53" s="63"/>
      <c r="W53" s="63"/>
      <c r="X53" s="63"/>
      <c r="Y53" s="63"/>
    </row>
    <row r="54" ht="18.75" spans="1:25">
      <c r="A54" s="60">
        <v>51</v>
      </c>
      <c r="B54" s="61" t="s">
        <v>76</v>
      </c>
      <c r="C54" s="60">
        <v>100</v>
      </c>
      <c r="D54" s="60">
        <v>5</v>
      </c>
      <c r="E54" s="60">
        <v>5</v>
      </c>
      <c r="F54" s="60">
        <v>5</v>
      </c>
      <c r="G54" s="60"/>
      <c r="H54" s="60"/>
      <c r="I54" s="8" t="s">
        <v>75</v>
      </c>
      <c r="J54" s="65"/>
      <c r="K54" s="61"/>
      <c r="L54" s="62">
        <f t="shared" si="2"/>
        <v>15</v>
      </c>
      <c r="M54" s="62">
        <f t="shared" si="3"/>
        <v>85</v>
      </c>
      <c r="N54" s="61"/>
      <c r="O54" s="66"/>
      <c r="P54" s="67"/>
      <c r="Q54" s="63"/>
      <c r="R54" s="63"/>
      <c r="S54" s="63"/>
      <c r="T54" s="63"/>
      <c r="U54" s="63"/>
      <c r="V54" s="63"/>
      <c r="W54" s="63"/>
      <c r="X54" s="63"/>
      <c r="Y54" s="63"/>
    </row>
    <row r="55" ht="18.75" spans="1:25">
      <c r="A55" s="60">
        <v>52</v>
      </c>
      <c r="B55" s="61" t="s">
        <v>77</v>
      </c>
      <c r="C55" s="60">
        <v>100</v>
      </c>
      <c r="D55" s="60">
        <v>5</v>
      </c>
      <c r="E55" s="60">
        <v>5</v>
      </c>
      <c r="F55" s="60">
        <v>5</v>
      </c>
      <c r="G55" s="60"/>
      <c r="H55" s="60"/>
      <c r="I55" s="8" t="s">
        <v>76</v>
      </c>
      <c r="J55" s="65"/>
      <c r="K55" s="61"/>
      <c r="L55" s="62">
        <f t="shared" si="2"/>
        <v>15</v>
      </c>
      <c r="M55" s="62">
        <f t="shared" si="3"/>
        <v>85</v>
      </c>
      <c r="N55" s="61"/>
      <c r="O55" s="66"/>
      <c r="P55" s="67"/>
      <c r="Q55" s="63"/>
      <c r="R55" s="63"/>
      <c r="S55" s="63"/>
      <c r="T55" s="63"/>
      <c r="U55" s="63"/>
      <c r="V55" s="63"/>
      <c r="W55" s="63"/>
      <c r="X55" s="63"/>
      <c r="Y55" s="63"/>
    </row>
    <row r="56" ht="18.75" spans="1:25">
      <c r="A56" s="60">
        <v>53</v>
      </c>
      <c r="B56" s="61" t="s">
        <v>78</v>
      </c>
      <c r="C56" s="60">
        <v>100</v>
      </c>
      <c r="D56" s="60">
        <v>5</v>
      </c>
      <c r="E56" s="60">
        <v>5</v>
      </c>
      <c r="F56" s="60">
        <v>5</v>
      </c>
      <c r="G56" s="60"/>
      <c r="H56" s="60"/>
      <c r="I56" s="8" t="s">
        <v>77</v>
      </c>
      <c r="J56" s="65"/>
      <c r="K56" s="61"/>
      <c r="L56" s="62">
        <f t="shared" si="2"/>
        <v>15</v>
      </c>
      <c r="M56" s="62">
        <f t="shared" si="3"/>
        <v>85</v>
      </c>
      <c r="N56" s="61"/>
      <c r="O56" s="66"/>
      <c r="P56" s="67"/>
      <c r="Q56" s="63"/>
      <c r="R56" s="63"/>
      <c r="S56" s="63"/>
      <c r="T56" s="63"/>
      <c r="U56" s="63"/>
      <c r="V56" s="63"/>
      <c r="W56" s="63"/>
      <c r="X56" s="63"/>
      <c r="Y56" s="63"/>
    </row>
    <row r="57" ht="18.75" spans="1:25">
      <c r="A57" s="60">
        <v>54</v>
      </c>
      <c r="B57" s="61" t="s">
        <v>79</v>
      </c>
      <c r="C57" s="60">
        <v>100</v>
      </c>
      <c r="D57" s="60">
        <v>5</v>
      </c>
      <c r="E57" s="60">
        <v>5</v>
      </c>
      <c r="F57" s="60">
        <v>5</v>
      </c>
      <c r="G57" s="60"/>
      <c r="H57" s="60"/>
      <c r="I57" s="8" t="s">
        <v>78</v>
      </c>
      <c r="J57" s="65"/>
      <c r="K57" s="61"/>
      <c r="L57" s="62">
        <f t="shared" si="2"/>
        <v>15</v>
      </c>
      <c r="M57" s="62">
        <f t="shared" si="3"/>
        <v>85</v>
      </c>
      <c r="N57" s="61"/>
      <c r="O57" s="66"/>
      <c r="P57" s="67"/>
      <c r="Q57" s="63"/>
      <c r="R57" s="63"/>
      <c r="S57" s="63"/>
      <c r="T57" s="63"/>
      <c r="U57" s="63"/>
      <c r="V57" s="63"/>
      <c r="W57" s="63"/>
      <c r="X57" s="63"/>
      <c r="Y57" s="63"/>
    </row>
    <row r="58" ht="18.75" spans="1:25">
      <c r="A58" s="60">
        <v>55</v>
      </c>
      <c r="B58" s="61" t="s">
        <v>80</v>
      </c>
      <c r="C58" s="60">
        <v>100</v>
      </c>
      <c r="D58" s="60">
        <v>5</v>
      </c>
      <c r="E58" s="60">
        <v>5</v>
      </c>
      <c r="F58" s="60">
        <v>5</v>
      </c>
      <c r="G58" s="60"/>
      <c r="H58" s="60"/>
      <c r="I58" s="8" t="s">
        <v>79</v>
      </c>
      <c r="J58" s="65"/>
      <c r="K58" s="61"/>
      <c r="L58" s="62">
        <f t="shared" si="2"/>
        <v>15</v>
      </c>
      <c r="M58" s="62">
        <f t="shared" si="3"/>
        <v>85</v>
      </c>
      <c r="N58" s="61"/>
      <c r="O58" s="66"/>
      <c r="P58" s="67"/>
      <c r="Q58" s="63"/>
      <c r="R58" s="63"/>
      <c r="S58" s="63"/>
      <c r="T58" s="63"/>
      <c r="U58" s="63"/>
      <c r="V58" s="63"/>
      <c r="W58" s="63"/>
      <c r="X58" s="63"/>
      <c r="Y58" s="63"/>
    </row>
    <row r="59" ht="18.75" spans="1:25">
      <c r="A59" s="60">
        <v>56</v>
      </c>
      <c r="B59" s="61" t="s">
        <v>81</v>
      </c>
      <c r="C59" s="60">
        <v>100</v>
      </c>
      <c r="D59" s="60">
        <v>5</v>
      </c>
      <c r="E59" s="60">
        <v>5</v>
      </c>
      <c r="F59" s="60">
        <v>5</v>
      </c>
      <c r="G59" s="60"/>
      <c r="H59" s="60"/>
      <c r="I59" s="8" t="s">
        <v>80</v>
      </c>
      <c r="J59" s="65"/>
      <c r="K59" s="61"/>
      <c r="L59" s="62">
        <f t="shared" si="2"/>
        <v>15</v>
      </c>
      <c r="M59" s="62">
        <f t="shared" si="3"/>
        <v>85</v>
      </c>
      <c r="N59" s="61"/>
      <c r="O59" s="66"/>
      <c r="P59" s="67"/>
      <c r="Q59" s="63"/>
      <c r="R59" s="63"/>
      <c r="S59" s="63"/>
      <c r="T59" s="63"/>
      <c r="U59" s="63"/>
      <c r="V59" s="63"/>
      <c r="W59" s="63"/>
      <c r="X59" s="63"/>
      <c r="Y59" s="63"/>
    </row>
    <row r="60" ht="18.75" spans="1:25">
      <c r="A60" s="60">
        <v>57</v>
      </c>
      <c r="B60" s="61" t="s">
        <v>154</v>
      </c>
      <c r="C60" s="60">
        <v>100</v>
      </c>
      <c r="D60" s="60">
        <v>5</v>
      </c>
      <c r="E60" s="60">
        <v>5</v>
      </c>
      <c r="F60" s="60">
        <v>5</v>
      </c>
      <c r="G60" s="60"/>
      <c r="H60" s="60"/>
      <c r="I60" s="8" t="s">
        <v>81</v>
      </c>
      <c r="J60" s="65"/>
      <c r="K60" s="61"/>
      <c r="L60" s="62">
        <f t="shared" si="2"/>
        <v>15</v>
      </c>
      <c r="M60" s="62">
        <f t="shared" si="3"/>
        <v>85</v>
      </c>
      <c r="N60" s="61"/>
      <c r="O60" s="66"/>
      <c r="P60" s="67"/>
      <c r="Q60" s="63"/>
      <c r="R60" s="63"/>
      <c r="S60" s="63"/>
      <c r="T60" s="63"/>
      <c r="U60" s="63"/>
      <c r="V60" s="63"/>
      <c r="W60" s="63"/>
      <c r="X60" s="63"/>
      <c r="Y60" s="63"/>
    </row>
    <row r="61" ht="18.75" spans="1:25">
      <c r="A61" s="60">
        <v>58</v>
      </c>
      <c r="B61" s="61" t="s">
        <v>85</v>
      </c>
      <c r="C61" s="60">
        <v>100</v>
      </c>
      <c r="D61" s="60">
        <v>5</v>
      </c>
      <c r="E61" s="60">
        <v>5</v>
      </c>
      <c r="F61" s="60">
        <v>5</v>
      </c>
      <c r="G61" s="60"/>
      <c r="H61" s="60"/>
      <c r="I61" s="8" t="s">
        <v>154</v>
      </c>
      <c r="J61" s="65"/>
      <c r="K61" s="61"/>
      <c r="L61" s="62">
        <f t="shared" si="2"/>
        <v>15</v>
      </c>
      <c r="M61" s="62">
        <f t="shared" si="3"/>
        <v>85</v>
      </c>
      <c r="N61" s="61"/>
      <c r="O61" s="66"/>
      <c r="P61" s="67"/>
      <c r="Q61" s="63"/>
      <c r="R61" s="63"/>
      <c r="S61" s="63"/>
      <c r="T61" s="63"/>
      <c r="U61" s="63"/>
      <c r="V61" s="63"/>
      <c r="W61" s="63"/>
      <c r="X61" s="63"/>
      <c r="Y61" s="63"/>
    </row>
    <row r="62" ht="18.75" spans="1:25">
      <c r="A62" s="60">
        <v>59</v>
      </c>
      <c r="B62" s="66" t="s">
        <v>138</v>
      </c>
      <c r="C62" s="60">
        <v>100</v>
      </c>
      <c r="D62" s="60">
        <v>5</v>
      </c>
      <c r="E62" s="60">
        <v>5</v>
      </c>
      <c r="F62" s="60">
        <v>5</v>
      </c>
      <c r="G62" s="60"/>
      <c r="H62" s="60"/>
      <c r="I62" s="8" t="s">
        <v>85</v>
      </c>
      <c r="J62" s="65"/>
      <c r="K62" s="61"/>
      <c r="L62" s="62">
        <f t="shared" si="2"/>
        <v>15</v>
      </c>
      <c r="M62" s="62">
        <f t="shared" si="3"/>
        <v>85</v>
      </c>
      <c r="N62" s="61"/>
      <c r="O62" s="66"/>
      <c r="P62" s="67"/>
      <c r="Q62" s="63"/>
      <c r="R62" s="63"/>
      <c r="S62" s="63"/>
      <c r="T62" s="63"/>
      <c r="U62" s="63"/>
      <c r="V62" s="63"/>
      <c r="W62" s="63"/>
      <c r="X62" s="63"/>
      <c r="Y62" s="63"/>
    </row>
    <row r="63" ht="18.75" spans="1:25">
      <c r="A63" s="60">
        <v>60</v>
      </c>
      <c r="B63" s="66" t="s">
        <v>155</v>
      </c>
      <c r="C63" s="70">
        <v>40</v>
      </c>
      <c r="D63" s="60">
        <v>10</v>
      </c>
      <c r="E63" s="60">
        <v>5</v>
      </c>
      <c r="F63" s="60">
        <v>5</v>
      </c>
      <c r="G63" s="60">
        <v>5</v>
      </c>
      <c r="H63" s="60"/>
      <c r="I63" s="6" t="s">
        <v>138</v>
      </c>
      <c r="J63" s="65"/>
      <c r="K63" s="61"/>
      <c r="L63" s="62">
        <f t="shared" si="2"/>
        <v>25</v>
      </c>
      <c r="M63" s="62">
        <f t="shared" si="3"/>
        <v>15</v>
      </c>
      <c r="N63" s="61"/>
      <c r="O63" s="66"/>
      <c r="P63" s="70">
        <v>40</v>
      </c>
      <c r="Q63" s="63"/>
      <c r="R63" s="74" t="s">
        <v>156</v>
      </c>
      <c r="S63" s="63"/>
      <c r="T63" s="63"/>
      <c r="U63" s="63"/>
      <c r="V63" s="63"/>
      <c r="W63" s="63"/>
      <c r="X63" s="63"/>
      <c r="Y63" s="63"/>
    </row>
    <row r="64" ht="18.75" spans="1:25">
      <c r="A64" s="60">
        <v>61</v>
      </c>
      <c r="B64" s="66" t="s">
        <v>112</v>
      </c>
      <c r="C64" s="70">
        <v>11</v>
      </c>
      <c r="D64" s="75" t="s">
        <v>150</v>
      </c>
      <c r="E64" s="60">
        <v>0</v>
      </c>
      <c r="F64" s="60">
        <v>0</v>
      </c>
      <c r="G64" s="60">
        <v>0</v>
      </c>
      <c r="H64" s="60"/>
      <c r="I64" s="6" t="s">
        <v>155</v>
      </c>
      <c r="J64" s="65"/>
      <c r="K64" s="66"/>
      <c r="L64" s="62">
        <f t="shared" si="2"/>
        <v>0</v>
      </c>
      <c r="M64" s="62">
        <f t="shared" si="3"/>
        <v>11</v>
      </c>
      <c r="N64" s="66"/>
      <c r="O64" s="66"/>
      <c r="P64" s="70">
        <v>11</v>
      </c>
      <c r="Q64" s="63"/>
      <c r="R64" s="74" t="s">
        <v>156</v>
      </c>
      <c r="S64" s="63"/>
      <c r="T64" s="63"/>
      <c r="U64" s="63"/>
      <c r="V64" s="63"/>
      <c r="W64" s="63"/>
      <c r="X64" s="63"/>
      <c r="Y64" s="63"/>
    </row>
    <row r="65" ht="18.75" spans="1:25">
      <c r="A65" s="60">
        <v>62</v>
      </c>
      <c r="B65" s="66" t="s">
        <v>120</v>
      </c>
      <c r="C65" s="70">
        <v>20</v>
      </c>
      <c r="D65" s="60">
        <v>5</v>
      </c>
      <c r="E65" s="60">
        <v>5</v>
      </c>
      <c r="F65" s="60">
        <v>5</v>
      </c>
      <c r="G65" s="60">
        <v>5</v>
      </c>
      <c r="H65" s="60"/>
      <c r="I65" s="6" t="s">
        <v>112</v>
      </c>
      <c r="J65" s="65"/>
      <c r="K65" s="66"/>
      <c r="L65" s="62">
        <f t="shared" si="2"/>
        <v>20</v>
      </c>
      <c r="M65" s="62">
        <f t="shared" si="3"/>
        <v>0</v>
      </c>
      <c r="N65" s="66"/>
      <c r="O65" s="76"/>
      <c r="P65" s="70">
        <v>20</v>
      </c>
      <c r="Q65" s="63"/>
      <c r="R65" s="74" t="s">
        <v>156</v>
      </c>
      <c r="S65" s="63"/>
      <c r="T65" s="63"/>
      <c r="U65" s="63"/>
      <c r="V65" s="63"/>
      <c r="W65" s="63"/>
      <c r="X65" s="63"/>
      <c r="Y65" s="63"/>
    </row>
    <row r="66" ht="18.75" spans="1:25">
      <c r="A66" s="60">
        <v>63</v>
      </c>
      <c r="B66" s="66" t="s">
        <v>124</v>
      </c>
      <c r="C66" s="70">
        <v>30</v>
      </c>
      <c r="D66" s="60">
        <v>0</v>
      </c>
      <c r="E66" s="60">
        <v>0</v>
      </c>
      <c r="F66" s="60">
        <v>0</v>
      </c>
      <c r="G66" s="60">
        <v>0</v>
      </c>
      <c r="H66" s="60"/>
      <c r="I66" s="6" t="s">
        <v>120</v>
      </c>
      <c r="J66" s="65"/>
      <c r="K66" s="66"/>
      <c r="L66" s="62">
        <f t="shared" si="2"/>
        <v>0</v>
      </c>
      <c r="M66" s="62">
        <f t="shared" si="3"/>
        <v>30</v>
      </c>
      <c r="N66" s="66"/>
      <c r="O66" s="66"/>
      <c r="P66" s="70">
        <v>30</v>
      </c>
      <c r="Q66" s="63"/>
      <c r="R66" s="74" t="s">
        <v>156</v>
      </c>
      <c r="S66" s="63"/>
      <c r="T66" s="63"/>
      <c r="U66" s="63"/>
      <c r="V66" s="63"/>
      <c r="W66" s="63"/>
      <c r="X66" s="63"/>
      <c r="Y66" s="63"/>
    </row>
    <row r="67" ht="18.75" spans="1:25">
      <c r="A67" s="60">
        <v>64</v>
      </c>
      <c r="B67" s="66" t="s">
        <v>136</v>
      </c>
      <c r="C67" s="70">
        <v>110</v>
      </c>
      <c r="D67" s="38" t="s">
        <v>157</v>
      </c>
      <c r="E67" s="60"/>
      <c r="F67" s="60"/>
      <c r="G67" s="60"/>
      <c r="H67" s="60"/>
      <c r="I67" s="6" t="s">
        <v>124</v>
      </c>
      <c r="J67" s="65"/>
      <c r="K67" s="66"/>
      <c r="L67" s="62">
        <f t="shared" si="2"/>
        <v>0</v>
      </c>
      <c r="M67" s="62">
        <f t="shared" si="3"/>
        <v>110</v>
      </c>
      <c r="N67" s="66"/>
      <c r="O67" s="66"/>
      <c r="P67" s="49">
        <v>10</v>
      </c>
      <c r="Q67" s="63" t="s">
        <v>158</v>
      </c>
      <c r="R67" s="77" t="s">
        <v>159</v>
      </c>
      <c r="S67" s="63"/>
      <c r="T67" s="63"/>
      <c r="U67" s="63"/>
      <c r="V67" s="63"/>
      <c r="W67" s="63"/>
      <c r="X67" s="63"/>
      <c r="Y67" s="63"/>
    </row>
    <row r="68" ht="18.75" spans="1:25">
      <c r="A68" s="60">
        <v>65</v>
      </c>
      <c r="B68" s="66" t="s">
        <v>137</v>
      </c>
      <c r="C68" s="70">
        <v>5</v>
      </c>
      <c r="D68" s="60">
        <v>5</v>
      </c>
      <c r="E68" s="75" t="s">
        <v>96</v>
      </c>
      <c r="F68" s="75" t="s">
        <v>96</v>
      </c>
      <c r="G68" s="60"/>
      <c r="H68" s="60"/>
      <c r="I68" s="6" t="s">
        <v>136</v>
      </c>
      <c r="J68" s="65"/>
      <c r="K68" s="66"/>
      <c r="L68" s="62">
        <f t="shared" si="2"/>
        <v>5</v>
      </c>
      <c r="M68" s="62">
        <f t="shared" si="3"/>
        <v>0</v>
      </c>
      <c r="N68" s="66"/>
      <c r="O68" s="76"/>
      <c r="P68" s="49">
        <v>5</v>
      </c>
      <c r="Q68" s="63"/>
      <c r="R68" s="74" t="s">
        <v>156</v>
      </c>
      <c r="S68" s="63"/>
      <c r="T68" s="63"/>
      <c r="U68" s="63"/>
      <c r="V68" s="63"/>
      <c r="W68" s="63"/>
      <c r="X68" s="63"/>
      <c r="Y68" s="63"/>
    </row>
    <row r="69" ht="18.75" spans="1:25">
      <c r="A69" s="60">
        <v>66</v>
      </c>
      <c r="B69" s="66" t="s">
        <v>160</v>
      </c>
      <c r="C69" s="60">
        <v>100</v>
      </c>
      <c r="D69" s="60"/>
      <c r="E69" s="60"/>
      <c r="F69" s="60"/>
      <c r="G69" s="60"/>
      <c r="H69" s="60"/>
      <c r="I69" s="6" t="s">
        <v>160</v>
      </c>
      <c r="J69" s="65"/>
      <c r="K69" s="66"/>
      <c r="L69" s="66"/>
      <c r="M69" s="66"/>
      <c r="N69" s="66"/>
      <c r="O69" s="66"/>
      <c r="Q69" s="63"/>
      <c r="R69" s="74" t="s">
        <v>156</v>
      </c>
      <c r="S69" s="63"/>
      <c r="T69" s="63"/>
      <c r="U69" s="63"/>
      <c r="V69" s="63"/>
      <c r="W69" s="63"/>
      <c r="X69" s="63"/>
      <c r="Y69" s="63"/>
    </row>
    <row r="70" ht="18.75" spans="1:25">
      <c r="A70" s="60">
        <v>67</v>
      </c>
      <c r="B70" s="66" t="s">
        <v>161</v>
      </c>
      <c r="C70" s="60">
        <v>100</v>
      </c>
      <c r="D70" s="60"/>
      <c r="E70" s="60"/>
      <c r="F70" s="60"/>
      <c r="G70" s="60"/>
      <c r="H70" s="60"/>
      <c r="I70" s="6" t="s">
        <v>161</v>
      </c>
      <c r="J70" s="65"/>
      <c r="K70" s="66"/>
      <c r="L70" s="66"/>
      <c r="M70" s="66"/>
      <c r="N70" s="66"/>
      <c r="O70" s="66"/>
      <c r="P70" s="67"/>
      <c r="Q70" s="63"/>
      <c r="R70" s="63"/>
      <c r="S70" s="63"/>
      <c r="T70" s="63"/>
      <c r="U70" s="63"/>
      <c r="V70" s="63"/>
      <c r="W70" s="63"/>
      <c r="X70" s="63"/>
      <c r="Y70" s="63"/>
    </row>
    <row r="71" spans="1:25">
      <c r="A71" s="60">
        <v>68</v>
      </c>
      <c r="B71" s="66" t="s">
        <v>86</v>
      </c>
      <c r="C71" s="60">
        <v>100</v>
      </c>
      <c r="D71" s="60"/>
      <c r="E71" s="60"/>
      <c r="F71" s="60"/>
      <c r="G71" s="60"/>
      <c r="H71" s="60"/>
      <c r="I71" s="66"/>
      <c r="J71" s="66"/>
      <c r="K71" s="66"/>
      <c r="L71" s="66"/>
      <c r="M71" s="66"/>
      <c r="N71" s="66"/>
      <c r="O71" s="66"/>
      <c r="P71" s="67"/>
      <c r="Q71" s="63"/>
      <c r="R71" s="63"/>
      <c r="S71" s="63"/>
      <c r="T71" s="63"/>
      <c r="U71" s="63"/>
      <c r="V71" s="63"/>
      <c r="W71" s="63"/>
      <c r="X71" s="63"/>
      <c r="Y71" s="63"/>
    </row>
    <row r="72" spans="1:25">
      <c r="I72" s="67"/>
      <c r="J72" s="67"/>
      <c r="K72" s="67"/>
      <c r="L72" s="67"/>
      <c r="M72" s="67"/>
      <c r="N72" s="67"/>
      <c r="O72" s="67"/>
      <c r="P72" s="67"/>
      <c r="Q72" s="63"/>
      <c r="R72" s="63"/>
      <c r="S72" s="63"/>
      <c r="T72" s="63"/>
      <c r="U72" s="63"/>
      <c r="V72" s="63"/>
      <c r="W72" s="63"/>
      <c r="X72" s="63"/>
      <c r="Y72" s="63"/>
    </row>
    <row r="73" spans="1:25">
      <c r="I73" s="67"/>
      <c r="J73" s="67"/>
      <c r="K73" s="67"/>
      <c r="L73" s="67"/>
      <c r="M73" s="67"/>
      <c r="N73" s="67"/>
      <c r="O73" s="67"/>
      <c r="P73" s="67"/>
      <c r="Q73" s="63"/>
      <c r="R73" s="63"/>
      <c r="S73" s="63"/>
      <c r="T73" s="63"/>
      <c r="U73" s="63"/>
      <c r="V73" s="63"/>
      <c r="W73" s="63"/>
      <c r="X73" s="63"/>
      <c r="Y73" s="63"/>
    </row>
    <row r="74" spans="1:25">
      <c r="I74" s="67"/>
      <c r="J74" s="67"/>
      <c r="K74" s="67"/>
      <c r="L74" s="67"/>
      <c r="M74" s="67"/>
      <c r="N74" s="67"/>
      <c r="O74" s="67"/>
      <c r="P74" s="67"/>
      <c r="Q74" s="63"/>
      <c r="R74" s="63"/>
      <c r="S74" s="63"/>
      <c r="T74" s="63"/>
      <c r="U74" s="63"/>
      <c r="V74" s="63"/>
      <c r="W74" s="63"/>
      <c r="X74" s="63"/>
      <c r="Y74" s="63"/>
    </row>
    <row r="75" spans="1:25">
      <c r="I75" s="67"/>
      <c r="J75" s="67"/>
      <c r="K75" s="67"/>
      <c r="L75" s="67"/>
      <c r="M75" s="67"/>
      <c r="N75" s="67"/>
      <c r="O75" s="67"/>
      <c r="P75" s="67"/>
      <c r="Q75" s="63"/>
      <c r="R75" s="63"/>
      <c r="S75" s="63"/>
      <c r="T75" s="63"/>
      <c r="U75" s="63"/>
      <c r="V75" s="63"/>
      <c r="W75" s="63"/>
      <c r="X75" s="63"/>
      <c r="Y75" s="63"/>
    </row>
    <row r="76" spans="1:25">
      <c r="I76" s="67"/>
      <c r="J76" s="67"/>
      <c r="K76" s="67"/>
      <c r="L76" s="67"/>
      <c r="M76" s="67"/>
      <c r="N76" s="67"/>
      <c r="O76" s="67"/>
      <c r="P76" s="67"/>
      <c r="Q76" s="63"/>
      <c r="R76" s="63"/>
      <c r="S76" s="63"/>
      <c r="T76" s="63"/>
      <c r="U76" s="63"/>
      <c r="V76" s="63"/>
      <c r="W76" s="63"/>
      <c r="X76" s="63"/>
      <c r="Y76" s="63"/>
    </row>
    <row r="77" spans="1:25">
      <c r="I77" s="78"/>
      <c r="J77" s="78"/>
      <c r="K77" s="78"/>
      <c r="L77" s="78"/>
      <c r="M77" s="78"/>
      <c r="N77" s="78"/>
      <c r="O77" s="78"/>
      <c r="P77" s="50"/>
    </row>
  </sheetData>
  <sheetProtection formatCells="0" formatColumns="0" formatRows="0" insertRows="0" insertColumns="0" insertHyperlinks="0" deleteColumns="0" deleteRows="0" sort="0" autoFilter="0" pivotTables="0"/>
  <mergeCells count="2">
    <mergeCell ref="A1:M1"/>
    <mergeCell ref="Q3:W3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5"/>
  <sheetViews>
    <sheetView workbookViewId="0">
      <selection activeCell="D23" sqref="D23"/>
    </sheetView>
  </sheetViews>
  <sheetFormatPr defaultColWidth="13" defaultRowHeight="13.5" outlineLevelCol="5"/>
  <cols>
    <col min="1" max="3" width="13" customWidth="1"/>
    <col min="4" max="4" width="25.25" customWidth="1"/>
    <col min="5" max="5" width="22" customWidth="1"/>
    <col min="6" max="6" width="16.625" customWidth="1"/>
    <col min="7" max="16384" width="13" customWidth="1"/>
  </cols>
  <sheetData>
    <row r="1" ht="23" customHeight="1" spans="1:6">
      <c r="A1" s="43" t="s">
        <v>162</v>
      </c>
      <c r="B1" s="43"/>
      <c r="C1" s="43"/>
      <c r="D1" s="43"/>
      <c r="E1" s="43"/>
      <c r="F1" s="43"/>
    </row>
    <row r="2" s="42" customFormat="1" ht="23" customHeight="1" spans="1:6">
      <c r="A2" s="44" t="s">
        <v>2</v>
      </c>
      <c r="B2" s="44" t="s">
        <v>163</v>
      </c>
      <c r="C2" s="44" t="s">
        <v>3</v>
      </c>
      <c r="D2" s="44" t="s">
        <v>164</v>
      </c>
      <c r="E2" s="44" t="s">
        <v>165</v>
      </c>
      <c r="F2" s="44" t="s">
        <v>7</v>
      </c>
    </row>
    <row r="3" ht="20.25" spans="1:6">
      <c r="A3" s="45">
        <v>1</v>
      </c>
      <c r="B3" s="46">
        <v>46100</v>
      </c>
      <c r="C3" s="47" t="s">
        <v>13</v>
      </c>
      <c r="D3" s="45">
        <v>1</v>
      </c>
      <c r="E3" s="45"/>
      <c r="F3" s="45"/>
    </row>
    <row r="4" ht="20.25" spans="1:6">
      <c r="A4" s="45">
        <v>2</v>
      </c>
      <c r="B4" s="46">
        <v>46100</v>
      </c>
      <c r="C4" s="47" t="s">
        <v>17</v>
      </c>
      <c r="D4" s="45">
        <v>1</v>
      </c>
      <c r="E4" s="45"/>
      <c r="F4" s="45"/>
    </row>
    <row r="5" ht="20.25" spans="1:6">
      <c r="A5" s="45">
        <v>3</v>
      </c>
      <c r="B5" s="46">
        <v>46100</v>
      </c>
      <c r="C5" s="47" t="s">
        <v>19</v>
      </c>
      <c r="D5" s="45">
        <v>1</v>
      </c>
      <c r="E5" s="45"/>
      <c r="F5" s="45"/>
    </row>
    <row r="6" ht="20.25" spans="1:6">
      <c r="A6" s="45">
        <v>4</v>
      </c>
      <c r="B6" s="46">
        <v>46100</v>
      </c>
      <c r="C6" s="47" t="s">
        <v>21</v>
      </c>
      <c r="D6" s="45">
        <v>1</v>
      </c>
      <c r="E6" s="45"/>
      <c r="F6" s="45"/>
    </row>
    <row r="7" ht="20.25" spans="1:6">
      <c r="A7" s="45">
        <v>5</v>
      </c>
      <c r="B7" s="46">
        <v>46100</v>
      </c>
      <c r="C7" s="47" t="s">
        <v>23</v>
      </c>
      <c r="D7" s="45">
        <v>1</v>
      </c>
      <c r="E7" s="45"/>
      <c r="F7" s="45"/>
    </row>
    <row r="8" ht="20.25" spans="1:6">
      <c r="A8" s="45">
        <v>6</v>
      </c>
      <c r="B8" s="46">
        <v>46100</v>
      </c>
      <c r="C8" s="47" t="s">
        <v>24</v>
      </c>
      <c r="D8" s="45">
        <v>1</v>
      </c>
      <c r="E8" s="45"/>
      <c r="F8" s="45"/>
    </row>
    <row r="9" ht="20.25" spans="1:6">
      <c r="A9" s="45">
        <v>7</v>
      </c>
      <c r="B9" s="46">
        <v>46100</v>
      </c>
      <c r="C9" s="47" t="s">
        <v>27</v>
      </c>
      <c r="D9" s="45">
        <v>1</v>
      </c>
      <c r="E9" s="45"/>
      <c r="F9" s="45"/>
    </row>
    <row r="10" ht="20.25" spans="1:6">
      <c r="A10" s="45">
        <v>8</v>
      </c>
      <c r="B10" s="46">
        <v>46100</v>
      </c>
      <c r="C10" s="47" t="s">
        <v>28</v>
      </c>
      <c r="D10" s="45">
        <v>1</v>
      </c>
      <c r="E10" s="45"/>
      <c r="F10" s="45"/>
    </row>
    <row r="11" ht="20.25" spans="1:6">
      <c r="A11" s="45">
        <v>9</v>
      </c>
      <c r="B11" s="46">
        <v>46100</v>
      </c>
      <c r="C11" s="47" t="s">
        <v>28</v>
      </c>
      <c r="D11" s="45">
        <v>1</v>
      </c>
      <c r="E11" s="45"/>
      <c r="F11" s="45"/>
    </row>
    <row r="12" ht="20.25" spans="1:6">
      <c r="A12" s="45">
        <v>10</v>
      </c>
      <c r="B12" s="46">
        <v>46100</v>
      </c>
      <c r="C12" s="47" t="s">
        <v>29</v>
      </c>
      <c r="D12" s="45">
        <v>1</v>
      </c>
      <c r="E12" s="45"/>
      <c r="F12" s="45"/>
    </row>
    <row r="13" ht="20.25" spans="1:6">
      <c r="A13" s="45">
        <v>11</v>
      </c>
      <c r="B13" s="46">
        <v>46100</v>
      </c>
      <c r="C13" s="47" t="s">
        <v>30</v>
      </c>
      <c r="D13" s="45">
        <v>1</v>
      </c>
      <c r="E13" s="45"/>
      <c r="F13" s="45"/>
    </row>
    <row r="14" ht="20.25" spans="1:6">
      <c r="A14" s="45">
        <v>12</v>
      </c>
      <c r="B14" s="46">
        <v>46100</v>
      </c>
      <c r="C14" s="47" t="s">
        <v>33</v>
      </c>
      <c r="D14" s="45">
        <v>1</v>
      </c>
      <c r="E14" s="45"/>
      <c r="F14" s="45"/>
    </row>
    <row r="15" ht="20.25" spans="1:6">
      <c r="A15" s="45">
        <v>13</v>
      </c>
      <c r="B15" s="46">
        <v>46100</v>
      </c>
      <c r="C15" s="47" t="s">
        <v>34</v>
      </c>
      <c r="D15" s="45">
        <v>1</v>
      </c>
      <c r="E15" s="45"/>
      <c r="F15" s="45"/>
    </row>
    <row r="16" ht="20.25" spans="1:6">
      <c r="A16" s="45">
        <v>14</v>
      </c>
      <c r="B16" s="46">
        <v>46100</v>
      </c>
      <c r="C16" s="47" t="s">
        <v>36</v>
      </c>
      <c r="D16" s="45">
        <v>1</v>
      </c>
      <c r="E16" s="45"/>
      <c r="F16" s="45"/>
    </row>
    <row r="17" ht="20.25" spans="1:6">
      <c r="A17" s="45">
        <v>15</v>
      </c>
      <c r="B17" s="46">
        <v>46100</v>
      </c>
      <c r="C17" s="47" t="s">
        <v>37</v>
      </c>
      <c r="D17" s="45">
        <v>1</v>
      </c>
      <c r="E17" s="45"/>
      <c r="F17" s="45"/>
    </row>
    <row r="18" ht="20.25" spans="1:6">
      <c r="A18" s="45">
        <v>16</v>
      </c>
      <c r="B18" s="46">
        <v>46100</v>
      </c>
      <c r="C18" s="47" t="s">
        <v>38</v>
      </c>
      <c r="D18" s="45">
        <v>1</v>
      </c>
      <c r="E18" s="45"/>
      <c r="F18" s="45"/>
    </row>
    <row r="19" ht="20.25" spans="1:6">
      <c r="A19" s="45">
        <v>17</v>
      </c>
      <c r="B19" s="46">
        <v>46100</v>
      </c>
      <c r="C19" s="47" t="s">
        <v>40</v>
      </c>
      <c r="D19" s="45">
        <v>1</v>
      </c>
      <c r="E19" s="45"/>
      <c r="F19" s="45"/>
    </row>
    <row r="20" ht="20.25" spans="1:6">
      <c r="A20" s="45">
        <v>18</v>
      </c>
      <c r="B20" s="46">
        <v>46100</v>
      </c>
      <c r="C20" s="47" t="s">
        <v>40</v>
      </c>
      <c r="D20" s="45">
        <v>1</v>
      </c>
      <c r="E20" s="45"/>
      <c r="F20" s="45"/>
    </row>
    <row r="21" ht="20.25" spans="1:6">
      <c r="A21" s="45">
        <v>19</v>
      </c>
      <c r="B21" s="46">
        <v>46100</v>
      </c>
      <c r="C21" s="47" t="s">
        <v>41</v>
      </c>
      <c r="D21" s="45">
        <v>1</v>
      </c>
      <c r="E21" s="45"/>
      <c r="F21" s="45"/>
    </row>
    <row r="22" ht="20.25" spans="1:6">
      <c r="A22" s="45">
        <v>20</v>
      </c>
      <c r="B22" s="46">
        <v>46100</v>
      </c>
      <c r="C22" s="47" t="s">
        <v>41</v>
      </c>
      <c r="D22" s="45">
        <v>1</v>
      </c>
      <c r="E22" s="45"/>
      <c r="F22" s="45"/>
    </row>
    <row r="23" ht="20.25" spans="1:6">
      <c r="A23" s="45">
        <v>21</v>
      </c>
      <c r="B23" s="46">
        <v>46100</v>
      </c>
      <c r="C23" s="47" t="s">
        <v>42</v>
      </c>
      <c r="D23" s="45">
        <v>1</v>
      </c>
      <c r="E23" s="45"/>
      <c r="F23" s="45"/>
    </row>
    <row r="24" ht="20.25" spans="1:6">
      <c r="A24" s="45">
        <v>22</v>
      </c>
      <c r="B24" s="46">
        <v>46100</v>
      </c>
      <c r="C24" s="47" t="s">
        <v>43</v>
      </c>
      <c r="D24" s="45">
        <v>1</v>
      </c>
      <c r="E24" s="45"/>
      <c r="F24" s="45"/>
    </row>
    <row r="25" ht="20.25" spans="1:6">
      <c r="A25" s="45">
        <v>23</v>
      </c>
      <c r="B25" s="46">
        <v>46100</v>
      </c>
      <c r="C25" s="47" t="s">
        <v>45</v>
      </c>
      <c r="D25" s="45">
        <v>1</v>
      </c>
      <c r="E25" s="45"/>
      <c r="F25" s="45"/>
    </row>
    <row r="26" ht="20.25" spans="1:6">
      <c r="A26" s="45">
        <v>24</v>
      </c>
      <c r="B26" s="46">
        <v>46100</v>
      </c>
      <c r="C26" s="47" t="s">
        <v>45</v>
      </c>
      <c r="D26" s="45">
        <v>1</v>
      </c>
      <c r="E26" s="45"/>
      <c r="F26" s="45"/>
    </row>
    <row r="27" ht="20.25" spans="1:6">
      <c r="A27" s="45">
        <v>25</v>
      </c>
      <c r="B27" s="46">
        <v>46100</v>
      </c>
      <c r="C27" s="47" t="s">
        <v>46</v>
      </c>
      <c r="D27" s="45">
        <v>1</v>
      </c>
      <c r="E27" s="45"/>
      <c r="F27" s="45"/>
    </row>
    <row r="28" ht="20.25" spans="1:6">
      <c r="A28" s="45">
        <v>26</v>
      </c>
      <c r="B28" s="46">
        <v>46100</v>
      </c>
      <c r="C28" s="47" t="s">
        <v>47</v>
      </c>
      <c r="D28" s="45">
        <v>1</v>
      </c>
      <c r="E28" s="45"/>
      <c r="F28" s="45"/>
    </row>
    <row r="29" ht="20.25" spans="1:6">
      <c r="A29" s="45">
        <v>27</v>
      </c>
      <c r="B29" s="46">
        <v>46100</v>
      </c>
      <c r="C29" s="47" t="s">
        <v>48</v>
      </c>
      <c r="D29" s="45">
        <v>1</v>
      </c>
      <c r="E29" s="45"/>
      <c r="F29" s="45"/>
    </row>
    <row r="30" ht="20.25" spans="1:6">
      <c r="A30" s="45">
        <v>28</v>
      </c>
      <c r="B30" s="46">
        <v>46100</v>
      </c>
      <c r="C30" s="47" t="s">
        <v>49</v>
      </c>
      <c r="D30" s="45">
        <v>1</v>
      </c>
      <c r="E30" s="45"/>
      <c r="F30" s="45"/>
    </row>
    <row r="31" ht="20.25" spans="1:6">
      <c r="A31" s="45">
        <v>29</v>
      </c>
      <c r="B31" s="46">
        <v>46100</v>
      </c>
      <c r="C31" s="47" t="s">
        <v>145</v>
      </c>
      <c r="D31" s="45">
        <v>1</v>
      </c>
      <c r="E31" s="45"/>
      <c r="F31" s="45"/>
    </row>
    <row r="32" ht="20.25" spans="1:6">
      <c r="A32" s="45">
        <v>30</v>
      </c>
      <c r="B32" s="46">
        <v>46100</v>
      </c>
      <c r="C32" s="47" t="s">
        <v>146</v>
      </c>
      <c r="D32" s="45">
        <v>1</v>
      </c>
      <c r="E32" s="45"/>
      <c r="F32" s="45"/>
    </row>
    <row r="33" ht="20.25" spans="1:6">
      <c r="A33" s="45">
        <v>31</v>
      </c>
      <c r="B33" s="46">
        <v>46100</v>
      </c>
      <c r="C33" s="47" t="s">
        <v>52</v>
      </c>
      <c r="D33" s="45">
        <v>1</v>
      </c>
      <c r="E33" s="45"/>
      <c r="F33" s="45"/>
    </row>
    <row r="34" ht="20.25" spans="1:6">
      <c r="A34" s="45">
        <v>32</v>
      </c>
      <c r="B34" s="46">
        <v>46100</v>
      </c>
      <c r="C34" s="47" t="s">
        <v>54</v>
      </c>
      <c r="D34" s="45">
        <v>1</v>
      </c>
      <c r="E34" s="45"/>
      <c r="F34" s="45"/>
    </row>
    <row r="35" ht="20.25" spans="1:6">
      <c r="A35" s="45">
        <v>33</v>
      </c>
      <c r="B35" s="46">
        <v>46100</v>
      </c>
      <c r="C35" s="47" t="s">
        <v>55</v>
      </c>
      <c r="D35" s="45">
        <v>1</v>
      </c>
      <c r="E35" s="45"/>
      <c r="F35" s="45"/>
    </row>
    <row r="36" ht="20.25" spans="1:6">
      <c r="A36" s="45">
        <v>34</v>
      </c>
      <c r="B36" s="46">
        <v>46100</v>
      </c>
      <c r="C36" s="47" t="s">
        <v>56</v>
      </c>
      <c r="D36" s="45">
        <v>1</v>
      </c>
      <c r="E36" s="45"/>
      <c r="F36" s="45"/>
    </row>
    <row r="37" ht="20.25" spans="1:6">
      <c r="A37" s="45">
        <v>35</v>
      </c>
      <c r="B37" s="46">
        <v>46100</v>
      </c>
      <c r="C37" s="47" t="s">
        <v>57</v>
      </c>
      <c r="D37" s="45">
        <v>1</v>
      </c>
      <c r="E37" s="45"/>
      <c r="F37" s="45"/>
    </row>
    <row r="38" ht="20.25" spans="1:6">
      <c r="A38" s="45">
        <v>36</v>
      </c>
      <c r="B38" s="46">
        <v>46100</v>
      </c>
      <c r="C38" s="47" t="s">
        <v>147</v>
      </c>
      <c r="D38" s="45">
        <v>1</v>
      </c>
      <c r="E38" s="45"/>
      <c r="F38" s="45"/>
    </row>
    <row r="39" ht="20.25" spans="1:6">
      <c r="A39" s="45">
        <v>37</v>
      </c>
      <c r="B39" s="46">
        <v>46100</v>
      </c>
      <c r="C39" s="47" t="s">
        <v>148</v>
      </c>
      <c r="D39" s="45">
        <v>1</v>
      </c>
      <c r="E39" s="45"/>
      <c r="F39" s="45"/>
    </row>
    <row r="40" ht="20.25" spans="1:6">
      <c r="A40" s="45">
        <v>38</v>
      </c>
      <c r="B40" s="46">
        <v>46100</v>
      </c>
      <c r="C40" s="47" t="s">
        <v>60</v>
      </c>
      <c r="D40" s="45">
        <v>1</v>
      </c>
      <c r="E40" s="45"/>
      <c r="F40" s="45"/>
    </row>
    <row r="41" ht="20.25" spans="1:6">
      <c r="A41" s="45">
        <v>39</v>
      </c>
      <c r="B41" s="46">
        <v>46100</v>
      </c>
      <c r="C41" s="47" t="s">
        <v>61</v>
      </c>
      <c r="D41" s="45">
        <v>1</v>
      </c>
      <c r="E41" s="45"/>
      <c r="F41" s="45"/>
    </row>
    <row r="42" ht="20.25" spans="1:6">
      <c r="A42" s="45">
        <v>40</v>
      </c>
      <c r="B42" s="46">
        <v>46100</v>
      </c>
      <c r="C42" s="47" t="s">
        <v>149</v>
      </c>
      <c r="D42" s="45">
        <v>1</v>
      </c>
      <c r="E42" s="45"/>
      <c r="F42" s="45"/>
    </row>
    <row r="43" ht="20.25" spans="1:6">
      <c r="A43" s="45">
        <v>41</v>
      </c>
      <c r="B43" s="46">
        <v>46100</v>
      </c>
      <c r="C43" s="47" t="s">
        <v>149</v>
      </c>
      <c r="D43" s="45">
        <v>1</v>
      </c>
      <c r="E43" s="45"/>
      <c r="F43" s="45"/>
    </row>
    <row r="44" ht="20.25" spans="1:6">
      <c r="A44" s="45">
        <v>42</v>
      </c>
      <c r="B44" s="46">
        <v>46100</v>
      </c>
      <c r="C44" s="47" t="s">
        <v>149</v>
      </c>
      <c r="D44" s="45">
        <v>1</v>
      </c>
      <c r="E44" s="45"/>
      <c r="F44" s="45"/>
    </row>
    <row r="45" ht="20.25" spans="1:6">
      <c r="A45" s="45">
        <v>43</v>
      </c>
      <c r="B45" s="46">
        <v>46100</v>
      </c>
      <c r="C45" s="47" t="s">
        <v>151</v>
      </c>
      <c r="D45" s="45">
        <v>1</v>
      </c>
      <c r="E45" s="45"/>
      <c r="F45" s="45"/>
    </row>
    <row r="46" ht="20.25" spans="1:6">
      <c r="A46" s="45">
        <v>44</v>
      </c>
      <c r="B46" s="46">
        <v>46100</v>
      </c>
      <c r="C46" s="47" t="s">
        <v>152</v>
      </c>
      <c r="D46" s="45">
        <v>1</v>
      </c>
      <c r="E46" s="45"/>
      <c r="F46" s="45"/>
    </row>
    <row r="47" ht="20.25" spans="1:6">
      <c r="A47" s="45">
        <v>45</v>
      </c>
      <c r="B47" s="46">
        <v>46100</v>
      </c>
      <c r="C47" s="47" t="s">
        <v>66</v>
      </c>
      <c r="D47" s="45">
        <v>1</v>
      </c>
      <c r="E47" s="45"/>
      <c r="F47" s="45"/>
    </row>
    <row r="48" ht="20.25" spans="1:6">
      <c r="A48" s="45">
        <v>46</v>
      </c>
      <c r="B48" s="46">
        <v>46100</v>
      </c>
      <c r="C48" s="47" t="s">
        <v>70</v>
      </c>
      <c r="D48" s="45">
        <v>1</v>
      </c>
      <c r="E48" s="45"/>
      <c r="F48" s="45"/>
    </row>
    <row r="49" ht="20.25" spans="1:6">
      <c r="A49" s="45">
        <v>47</v>
      </c>
      <c r="B49" s="46">
        <v>46100</v>
      </c>
      <c r="C49" s="47" t="s">
        <v>71</v>
      </c>
      <c r="D49" s="45">
        <v>1</v>
      </c>
      <c r="E49" s="45"/>
      <c r="F49" s="45"/>
    </row>
    <row r="50" ht="20.25" spans="1:6">
      <c r="A50" s="45">
        <v>48</v>
      </c>
      <c r="B50" s="46">
        <v>46100</v>
      </c>
      <c r="C50" s="47" t="s">
        <v>72</v>
      </c>
      <c r="D50" s="45">
        <v>1</v>
      </c>
      <c r="E50" s="45"/>
      <c r="F50" s="45"/>
    </row>
    <row r="51" ht="20.25" spans="1:6">
      <c r="A51" s="45">
        <v>49</v>
      </c>
      <c r="B51" s="46">
        <v>46100</v>
      </c>
      <c r="C51" s="47" t="s">
        <v>73</v>
      </c>
      <c r="D51" s="45">
        <v>1</v>
      </c>
      <c r="E51" s="45"/>
      <c r="F51" s="45"/>
    </row>
    <row r="52" ht="20.25" spans="1:6">
      <c r="A52" s="45">
        <v>50</v>
      </c>
      <c r="B52" s="46">
        <v>46100</v>
      </c>
      <c r="C52" s="47" t="s">
        <v>74</v>
      </c>
      <c r="D52" s="45">
        <v>1</v>
      </c>
      <c r="E52" s="45"/>
      <c r="F52" s="45"/>
    </row>
    <row r="53" ht="20.25" spans="1:6">
      <c r="A53" s="45">
        <v>51</v>
      </c>
      <c r="B53" s="46">
        <v>46100</v>
      </c>
      <c r="C53" s="47" t="s">
        <v>75</v>
      </c>
      <c r="D53" s="45">
        <v>1</v>
      </c>
      <c r="E53" s="45"/>
      <c r="F53" s="45"/>
    </row>
    <row r="54" ht="20.25" spans="1:6">
      <c r="A54" s="45">
        <v>52</v>
      </c>
      <c r="B54" s="46">
        <v>46100</v>
      </c>
      <c r="C54" s="47" t="s">
        <v>76</v>
      </c>
      <c r="D54" s="45">
        <v>1</v>
      </c>
      <c r="E54" s="45"/>
      <c r="F54" s="45"/>
    </row>
    <row r="55" ht="20.25" spans="1:6">
      <c r="A55" s="45">
        <v>53</v>
      </c>
      <c r="B55" s="46">
        <v>46100</v>
      </c>
      <c r="C55" s="47" t="s">
        <v>77</v>
      </c>
      <c r="D55" s="45">
        <v>1</v>
      </c>
      <c r="E55" s="45"/>
      <c r="F55" s="45"/>
    </row>
    <row r="56" ht="20.25" spans="1:6">
      <c r="A56" s="45">
        <v>54</v>
      </c>
      <c r="B56" s="46">
        <v>46100</v>
      </c>
      <c r="C56" s="47" t="s">
        <v>78</v>
      </c>
      <c r="D56" s="45">
        <v>1</v>
      </c>
      <c r="E56" s="45"/>
      <c r="F56" s="45"/>
    </row>
    <row r="57" ht="20.25" spans="1:6">
      <c r="A57" s="45">
        <v>55</v>
      </c>
      <c r="B57" s="46">
        <v>46100</v>
      </c>
      <c r="C57" s="47" t="s">
        <v>79</v>
      </c>
      <c r="D57" s="45">
        <v>1</v>
      </c>
      <c r="E57" s="45"/>
      <c r="F57" s="45"/>
    </row>
    <row r="58" ht="20.25" spans="1:6">
      <c r="A58" s="45">
        <v>56</v>
      </c>
      <c r="B58" s="46">
        <v>46100</v>
      </c>
      <c r="C58" s="47" t="s">
        <v>80</v>
      </c>
      <c r="D58" s="45">
        <v>1</v>
      </c>
      <c r="E58" s="45"/>
      <c r="F58" s="45"/>
    </row>
    <row r="59" ht="20.25" spans="1:6">
      <c r="A59" s="45">
        <v>57</v>
      </c>
      <c r="B59" s="46">
        <v>46100</v>
      </c>
      <c r="C59" s="47" t="s">
        <v>81</v>
      </c>
      <c r="D59" s="45">
        <v>1</v>
      </c>
      <c r="E59" s="45"/>
      <c r="F59" s="45"/>
    </row>
    <row r="60" ht="20.25" spans="1:6">
      <c r="A60" s="45">
        <v>58</v>
      </c>
      <c r="B60" s="46">
        <v>46100</v>
      </c>
      <c r="C60" s="47" t="s">
        <v>154</v>
      </c>
      <c r="D60" s="45">
        <v>1</v>
      </c>
      <c r="E60" s="45"/>
      <c r="F60" s="45"/>
    </row>
    <row r="61" ht="20.25" spans="1:6">
      <c r="A61" s="45">
        <v>59</v>
      </c>
      <c r="B61" s="46">
        <v>46100</v>
      </c>
      <c r="C61" s="47" t="s">
        <v>85</v>
      </c>
      <c r="D61" s="45">
        <v>1</v>
      </c>
      <c r="E61" s="45"/>
      <c r="F61" s="45"/>
    </row>
    <row r="62" ht="20.25" spans="1:6">
      <c r="A62" s="45">
        <v>60</v>
      </c>
      <c r="B62" s="46">
        <v>46100</v>
      </c>
      <c r="C62" s="45" t="s">
        <v>138</v>
      </c>
      <c r="D62" s="45">
        <v>1</v>
      </c>
      <c r="E62" s="45"/>
      <c r="F62" s="45"/>
    </row>
    <row r="63" ht="20.25" spans="1:6">
      <c r="A63" s="45"/>
      <c r="B63" s="45"/>
      <c r="C63" s="45"/>
      <c r="D63" s="45"/>
      <c r="E63" s="45"/>
      <c r="F63" s="45"/>
    </row>
    <row r="64" ht="20.25" spans="1:6">
      <c r="A64" s="45"/>
      <c r="B64" s="45"/>
      <c r="C64" s="45"/>
      <c r="D64" s="45"/>
      <c r="E64" s="45"/>
      <c r="F64" s="45"/>
    </row>
    <row r="65" ht="20.25" spans="1:6">
      <c r="A65" s="45"/>
      <c r="B65" s="45"/>
      <c r="C65" s="45"/>
      <c r="D65" s="45" t="s">
        <v>166</v>
      </c>
      <c r="E65" s="45"/>
      <c r="F65" s="45"/>
    </row>
  </sheetData>
  <sheetProtection formatCells="0" formatColumns="0" formatRows="0" insertRows="0" insertColumns="0" insertHyperlinks="0" deleteColumns="0" deleteRows="0" sort="0" autoFilter="0" pivotTables="0"/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"/>
  <sheetViews>
    <sheetView topLeftCell="H15" workbookViewId="0">
      <selection activeCell="K23" sqref="K23"/>
    </sheetView>
  </sheetViews>
  <sheetFormatPr defaultColWidth="9" defaultRowHeight="13.5"/>
  <cols>
    <col min="1" max="1" width="7.225" customWidth="1"/>
    <col min="2" max="2" width="10.225" customWidth="1"/>
    <col min="3" max="3" width="11.5583333333333" customWidth="1"/>
    <col min="4" max="4" width="10.5583333333333" customWidth="1"/>
    <col min="5" max="6" width="8.44166666666667" customWidth="1"/>
    <col min="7" max="7" width="13.75" customWidth="1"/>
    <col min="8" max="8" width="2.225" customWidth="1"/>
    <col min="10" max="10" width="11.3333333333333" customWidth="1"/>
    <col min="11" max="11" width="11.225" customWidth="1"/>
    <col min="12" max="12" width="10.775" customWidth="1"/>
  </cols>
  <sheetData>
    <row r="1" ht="22.5" spans="1:15">
      <c r="A1" s="1" t="s">
        <v>167</v>
      </c>
      <c r="B1" s="1"/>
      <c r="C1" s="1"/>
      <c r="D1" s="1"/>
      <c r="E1" s="1"/>
      <c r="F1" s="2"/>
      <c r="G1" s="3"/>
      <c r="I1" s="1" t="s">
        <v>167</v>
      </c>
      <c r="J1" s="1"/>
      <c r="K1" s="1"/>
      <c r="L1" s="1"/>
      <c r="M1" s="1"/>
      <c r="N1" s="2"/>
      <c r="O1" s="3"/>
    </row>
    <row r="2" s="5" customFormat="1" ht="24" customHeight="1" spans="1:15">
      <c r="A2" s="4" t="s">
        <v>2</v>
      </c>
      <c r="B2" s="4" t="s">
        <v>163</v>
      </c>
      <c r="C2" s="4" t="s">
        <v>3</v>
      </c>
      <c r="D2" s="4" t="s">
        <v>168</v>
      </c>
      <c r="E2" s="4" t="s">
        <v>169</v>
      </c>
      <c r="F2" s="4" t="s">
        <v>170</v>
      </c>
      <c r="G2" s="4" t="s">
        <v>7</v>
      </c>
      <c r="I2" s="4" t="s">
        <v>2</v>
      </c>
      <c r="J2" s="4" t="s">
        <v>163</v>
      </c>
      <c r="K2" s="4" t="s">
        <v>3</v>
      </c>
      <c r="L2" s="4" t="s">
        <v>168</v>
      </c>
      <c r="M2" s="4" t="s">
        <v>169</v>
      </c>
      <c r="N2" s="4" t="s">
        <v>170</v>
      </c>
      <c r="O2" s="4" t="s">
        <v>7</v>
      </c>
    </row>
    <row r="3" s="23" customFormat="1" ht="21" customHeight="1" spans="1:15">
      <c r="A3" s="6">
        <v>1</v>
      </c>
      <c r="B3" s="7">
        <v>46090</v>
      </c>
      <c r="C3" s="8" t="s">
        <v>13</v>
      </c>
      <c r="D3" s="6" t="s">
        <v>171</v>
      </c>
      <c r="E3" s="8"/>
      <c r="F3" s="8">
        <v>5</v>
      </c>
      <c r="G3" s="6"/>
      <c r="H3" s="6"/>
      <c r="I3" s="6">
        <v>41</v>
      </c>
      <c r="J3" s="7">
        <v>46090</v>
      </c>
      <c r="K3" s="8" t="s">
        <v>149</v>
      </c>
      <c r="L3" s="6" t="s">
        <v>171</v>
      </c>
      <c r="M3" s="8">
        <v>3</v>
      </c>
      <c r="N3" s="8">
        <v>2</v>
      </c>
      <c r="O3" s="6"/>
    </row>
    <row r="4" s="23" customFormat="1" ht="21" customHeight="1" spans="1:15">
      <c r="A4" s="6">
        <v>2</v>
      </c>
      <c r="B4" s="7">
        <v>46090</v>
      </c>
      <c r="C4" s="8" t="s">
        <v>17</v>
      </c>
      <c r="D4" s="6" t="s">
        <v>171</v>
      </c>
      <c r="E4" s="8">
        <v>5</v>
      </c>
      <c r="F4" s="8"/>
      <c r="G4" s="6"/>
      <c r="H4" s="6"/>
      <c r="I4" s="6">
        <v>42</v>
      </c>
      <c r="J4" s="7">
        <v>46090</v>
      </c>
      <c r="K4" s="8" t="s">
        <v>65</v>
      </c>
      <c r="L4" s="6" t="s">
        <v>171</v>
      </c>
      <c r="M4" s="8">
        <v>3</v>
      </c>
      <c r="N4" s="8">
        <v>2</v>
      </c>
      <c r="O4" s="6"/>
    </row>
    <row r="5" s="23" customFormat="1" ht="21" customHeight="1" spans="1:15">
      <c r="A5" s="6">
        <v>3</v>
      </c>
      <c r="B5" s="7">
        <v>46090</v>
      </c>
      <c r="C5" s="8" t="s">
        <v>19</v>
      </c>
      <c r="D5" s="6" t="s">
        <v>171</v>
      </c>
      <c r="E5" s="8">
        <v>5</v>
      </c>
      <c r="F5" s="8"/>
      <c r="G5" s="6"/>
      <c r="H5" s="6"/>
      <c r="I5" s="6">
        <v>43</v>
      </c>
      <c r="J5" s="7">
        <v>46090</v>
      </c>
      <c r="K5" s="8" t="s">
        <v>66</v>
      </c>
      <c r="L5" s="6" t="s">
        <v>171</v>
      </c>
      <c r="M5" s="8">
        <v>3</v>
      </c>
      <c r="N5" s="8">
        <v>2</v>
      </c>
      <c r="O5" s="6"/>
    </row>
    <row r="6" s="23" customFormat="1" ht="21" customHeight="1" spans="1:15">
      <c r="A6" s="6">
        <v>4</v>
      </c>
      <c r="B6" s="7">
        <v>46090</v>
      </c>
      <c r="C6" s="8" t="s">
        <v>21</v>
      </c>
      <c r="D6" s="6" t="s">
        <v>171</v>
      </c>
      <c r="E6" s="8"/>
      <c r="F6" s="8">
        <v>5</v>
      </c>
      <c r="G6" s="6"/>
      <c r="H6" s="6"/>
      <c r="I6" s="6">
        <v>44</v>
      </c>
      <c r="J6" s="7">
        <v>46090</v>
      </c>
      <c r="K6" s="8" t="s">
        <v>70</v>
      </c>
      <c r="L6" s="6" t="s">
        <v>171</v>
      </c>
      <c r="M6" s="8">
        <v>2</v>
      </c>
      <c r="N6" s="8">
        <v>3</v>
      </c>
      <c r="O6" s="6"/>
    </row>
    <row r="7" s="23" customFormat="1" ht="21" customHeight="1" spans="1:15">
      <c r="A7" s="6">
        <v>5</v>
      </c>
      <c r="B7" s="7">
        <v>46090</v>
      </c>
      <c r="C7" s="8" t="s">
        <v>23</v>
      </c>
      <c r="D7" s="6" t="s">
        <v>171</v>
      </c>
      <c r="E7" s="8">
        <v>5</v>
      </c>
      <c r="F7" s="8"/>
      <c r="G7" s="6"/>
      <c r="H7" s="6"/>
      <c r="I7" s="6">
        <v>45</v>
      </c>
      <c r="J7" s="7">
        <v>46090</v>
      </c>
      <c r="K7" s="8" t="s">
        <v>71</v>
      </c>
      <c r="L7" s="6" t="s">
        <v>171</v>
      </c>
      <c r="M7" s="8">
        <v>3</v>
      </c>
      <c r="N7" s="8">
        <v>2</v>
      </c>
      <c r="O7" s="6"/>
    </row>
    <row r="8" s="23" customFormat="1" ht="21" customHeight="1" spans="1:15">
      <c r="A8" s="6">
        <v>6</v>
      </c>
      <c r="B8" s="7">
        <v>46090</v>
      </c>
      <c r="C8" s="8" t="s">
        <v>24</v>
      </c>
      <c r="D8" s="6" t="s">
        <v>171</v>
      </c>
      <c r="E8" s="8">
        <v>3</v>
      </c>
      <c r="F8" s="8">
        <v>2</v>
      </c>
      <c r="G8" s="6"/>
      <c r="H8" s="6"/>
      <c r="I8" s="6">
        <v>46</v>
      </c>
      <c r="J8" s="7">
        <v>46090</v>
      </c>
      <c r="K8" s="8" t="s">
        <v>72</v>
      </c>
      <c r="L8" s="6" t="s">
        <v>171</v>
      </c>
      <c r="M8" s="8">
        <v>3</v>
      </c>
      <c r="N8" s="8">
        <v>2</v>
      </c>
      <c r="O8" s="6"/>
    </row>
    <row r="9" s="23" customFormat="1" ht="21" customHeight="1" spans="1:15">
      <c r="A9" s="6">
        <v>7</v>
      </c>
      <c r="B9" s="7">
        <v>46090</v>
      </c>
      <c r="C9" s="8" t="s">
        <v>27</v>
      </c>
      <c r="D9" s="6" t="s">
        <v>171</v>
      </c>
      <c r="E9" s="8">
        <v>5</v>
      </c>
      <c r="F9" s="8"/>
      <c r="G9" s="6"/>
      <c r="H9" s="6"/>
      <c r="I9" s="6">
        <v>47</v>
      </c>
      <c r="J9" s="7">
        <v>46090</v>
      </c>
      <c r="K9" s="8" t="s">
        <v>73</v>
      </c>
      <c r="L9" s="6" t="s">
        <v>171</v>
      </c>
      <c r="M9" s="8"/>
      <c r="N9" s="8">
        <v>5</v>
      </c>
      <c r="O9" s="6"/>
    </row>
    <row r="10" s="23" customFormat="1" ht="21" customHeight="1" spans="1:15">
      <c r="A10" s="6">
        <v>8</v>
      </c>
      <c r="B10" s="7">
        <v>46090</v>
      </c>
      <c r="C10" s="8" t="s">
        <v>28</v>
      </c>
      <c r="D10" s="6" t="s">
        <v>171</v>
      </c>
      <c r="E10" s="8">
        <v>5</v>
      </c>
      <c r="F10" s="8"/>
      <c r="G10" s="6"/>
      <c r="H10" s="6"/>
      <c r="I10" s="6">
        <v>48</v>
      </c>
      <c r="J10" s="7">
        <v>46090</v>
      </c>
      <c r="K10" s="8" t="s">
        <v>74</v>
      </c>
      <c r="L10" s="6" t="s">
        <v>171</v>
      </c>
      <c r="M10" s="8">
        <v>5</v>
      </c>
      <c r="N10" s="8"/>
      <c r="O10" s="6"/>
    </row>
    <row r="11" s="23" customFormat="1" ht="21" customHeight="1" spans="1:15">
      <c r="A11" s="6">
        <v>9</v>
      </c>
      <c r="B11" s="7">
        <v>46090</v>
      </c>
      <c r="C11" s="8" t="s">
        <v>28</v>
      </c>
      <c r="D11" s="6" t="s">
        <v>171</v>
      </c>
      <c r="E11" s="8"/>
      <c r="F11" s="8">
        <v>5</v>
      </c>
      <c r="G11" s="6"/>
      <c r="H11" s="6"/>
      <c r="I11" s="6">
        <v>49</v>
      </c>
      <c r="J11" s="7">
        <v>46090</v>
      </c>
      <c r="K11" s="8" t="s">
        <v>75</v>
      </c>
      <c r="L11" s="6" t="s">
        <v>171</v>
      </c>
      <c r="M11" s="8">
        <v>3</v>
      </c>
      <c r="N11" s="8">
        <v>2</v>
      </c>
      <c r="O11" s="6"/>
    </row>
    <row r="12" s="23" customFormat="1" ht="21" customHeight="1" spans="1:15">
      <c r="A12" s="6">
        <v>10</v>
      </c>
      <c r="B12" s="7">
        <v>46090</v>
      </c>
      <c r="C12" s="8" t="s">
        <v>29</v>
      </c>
      <c r="D12" s="6" t="s">
        <v>171</v>
      </c>
      <c r="E12" s="8"/>
      <c r="F12" s="8">
        <v>5</v>
      </c>
      <c r="G12" s="6"/>
      <c r="H12" s="6"/>
      <c r="I12" s="6">
        <v>50</v>
      </c>
      <c r="J12" s="7">
        <v>46090</v>
      </c>
      <c r="K12" s="8" t="s">
        <v>76</v>
      </c>
      <c r="L12" s="6" t="s">
        <v>171</v>
      </c>
      <c r="M12" s="8">
        <v>5</v>
      </c>
      <c r="N12" s="8"/>
      <c r="O12" s="6"/>
    </row>
    <row r="13" s="23" customFormat="1" ht="21" customHeight="1" spans="1:15">
      <c r="A13" s="6">
        <v>11</v>
      </c>
      <c r="B13" s="7">
        <v>46090</v>
      </c>
      <c r="C13" s="8" t="s">
        <v>30</v>
      </c>
      <c r="D13" s="6" t="s">
        <v>171</v>
      </c>
      <c r="E13" s="10">
        <v>3</v>
      </c>
      <c r="F13" s="8">
        <v>2</v>
      </c>
      <c r="G13" s="6"/>
      <c r="H13" s="6"/>
      <c r="I13" s="6">
        <v>51</v>
      </c>
      <c r="J13" s="7">
        <v>46090</v>
      </c>
      <c r="K13" s="8" t="s">
        <v>77</v>
      </c>
      <c r="L13" s="6" t="s">
        <v>171</v>
      </c>
      <c r="M13" s="8">
        <v>5</v>
      </c>
      <c r="N13" s="8"/>
      <c r="O13" s="6"/>
    </row>
    <row r="14" s="23" customFormat="1" ht="21" customHeight="1" spans="1:15">
      <c r="A14" s="6">
        <v>12</v>
      </c>
      <c r="B14" s="7">
        <v>46090</v>
      </c>
      <c r="C14" s="8" t="s">
        <v>33</v>
      </c>
      <c r="D14" s="6" t="s">
        <v>171</v>
      </c>
      <c r="E14" s="8">
        <v>3</v>
      </c>
      <c r="F14" s="8">
        <v>2</v>
      </c>
      <c r="G14" s="6"/>
      <c r="H14" s="6"/>
      <c r="I14" s="6">
        <v>52</v>
      </c>
      <c r="J14" s="7">
        <v>46090</v>
      </c>
      <c r="K14" s="8" t="s">
        <v>78</v>
      </c>
      <c r="L14" s="6" t="s">
        <v>171</v>
      </c>
      <c r="M14" s="8">
        <v>5</v>
      </c>
      <c r="N14" s="8"/>
      <c r="O14" s="6"/>
    </row>
    <row r="15" s="23" customFormat="1" ht="21" customHeight="1" spans="1:15">
      <c r="A15" s="6">
        <v>13</v>
      </c>
      <c r="B15" s="7">
        <v>46090</v>
      </c>
      <c r="C15" s="8" t="s">
        <v>34</v>
      </c>
      <c r="D15" s="6" t="s">
        <v>171</v>
      </c>
      <c r="E15" s="8"/>
      <c r="F15" s="8">
        <v>5</v>
      </c>
      <c r="G15" s="6"/>
      <c r="H15" s="6"/>
      <c r="I15" s="6">
        <v>53</v>
      </c>
      <c r="J15" s="7">
        <v>46090</v>
      </c>
      <c r="K15" s="8" t="s">
        <v>79</v>
      </c>
      <c r="L15" s="6" t="s">
        <v>171</v>
      </c>
      <c r="M15" s="8">
        <v>5</v>
      </c>
      <c r="N15" s="8"/>
      <c r="O15" s="6"/>
    </row>
    <row r="16" s="23" customFormat="1" ht="21" customHeight="1" spans="1:15">
      <c r="A16" s="6">
        <v>14</v>
      </c>
      <c r="B16" s="7">
        <v>46090</v>
      </c>
      <c r="C16" s="8" t="s">
        <v>36</v>
      </c>
      <c r="D16" s="6" t="s">
        <v>171</v>
      </c>
      <c r="E16" s="8"/>
      <c r="F16" s="8">
        <v>5</v>
      </c>
      <c r="G16" s="6"/>
      <c r="H16" s="6"/>
      <c r="I16" s="6">
        <v>54</v>
      </c>
      <c r="J16" s="7">
        <v>46090</v>
      </c>
      <c r="K16" s="8" t="s">
        <v>80</v>
      </c>
      <c r="L16" s="6" t="s">
        <v>171</v>
      </c>
      <c r="M16" s="8">
        <v>3</v>
      </c>
      <c r="N16" s="8">
        <v>2</v>
      </c>
      <c r="O16" s="6"/>
    </row>
    <row r="17" s="23" customFormat="1" ht="21" customHeight="1" spans="1:16">
      <c r="A17" s="6">
        <v>15</v>
      </c>
      <c r="B17" s="7">
        <v>46090</v>
      </c>
      <c r="C17" s="8" t="s">
        <v>37</v>
      </c>
      <c r="D17" s="6" t="s">
        <v>171</v>
      </c>
      <c r="E17" s="8"/>
      <c r="F17" s="8">
        <v>5</v>
      </c>
      <c r="G17" s="6"/>
      <c r="H17" s="6"/>
      <c r="I17" s="6">
        <v>55</v>
      </c>
      <c r="J17" s="7">
        <v>46090</v>
      </c>
      <c r="K17" s="8" t="s">
        <v>81</v>
      </c>
      <c r="L17" s="6" t="s">
        <v>171</v>
      </c>
      <c r="M17" s="8">
        <v>3</v>
      </c>
      <c r="N17" s="8">
        <v>2</v>
      </c>
      <c r="O17" s="6"/>
    </row>
    <row r="18" s="23" customFormat="1" ht="21" customHeight="1" spans="1:16">
      <c r="A18" s="6">
        <v>16</v>
      </c>
      <c r="B18" s="7">
        <v>46090</v>
      </c>
      <c r="C18" s="8" t="s">
        <v>38</v>
      </c>
      <c r="D18" s="6" t="s">
        <v>171</v>
      </c>
      <c r="E18" s="8">
        <v>5</v>
      </c>
      <c r="F18" s="8"/>
      <c r="G18" s="6"/>
      <c r="H18" s="6"/>
      <c r="I18" s="6">
        <v>56</v>
      </c>
      <c r="J18" s="7">
        <v>46090</v>
      </c>
      <c r="K18" s="8" t="s">
        <v>154</v>
      </c>
      <c r="L18" s="6" t="s">
        <v>171</v>
      </c>
      <c r="M18" s="8">
        <v>3</v>
      </c>
      <c r="N18" s="8">
        <v>2</v>
      </c>
      <c r="O18" s="6"/>
    </row>
    <row r="19" s="23" customFormat="1" ht="21" customHeight="1" spans="1:16">
      <c r="A19" s="6">
        <v>17</v>
      </c>
      <c r="B19" s="7">
        <v>46090</v>
      </c>
      <c r="C19" s="8" t="s">
        <v>40</v>
      </c>
      <c r="D19" s="6" t="s">
        <v>171</v>
      </c>
      <c r="E19" s="8">
        <v>3</v>
      </c>
      <c r="F19" s="8">
        <v>2</v>
      </c>
      <c r="G19" s="6"/>
      <c r="H19" s="6"/>
      <c r="I19" s="6">
        <v>57</v>
      </c>
      <c r="J19" s="7">
        <v>46090</v>
      </c>
      <c r="K19" s="8" t="s">
        <v>85</v>
      </c>
      <c r="L19" s="6" t="s">
        <v>171</v>
      </c>
      <c r="M19" s="8">
        <v>3</v>
      </c>
      <c r="N19" s="8">
        <v>2</v>
      </c>
      <c r="O19" s="6"/>
    </row>
    <row r="20" s="23" customFormat="1" ht="21" customHeight="1" spans="1:16">
      <c r="A20" s="6">
        <v>18</v>
      </c>
      <c r="B20" s="7">
        <v>46090</v>
      </c>
      <c r="C20" s="8" t="s">
        <v>40</v>
      </c>
      <c r="D20" s="6" t="s">
        <v>171</v>
      </c>
      <c r="E20" s="8"/>
      <c r="F20" s="8">
        <v>5</v>
      </c>
      <c r="G20" s="6"/>
      <c r="H20" s="6"/>
      <c r="I20" s="6">
        <v>58</v>
      </c>
      <c r="J20" s="7">
        <v>46090</v>
      </c>
      <c r="K20" s="6" t="s">
        <v>138</v>
      </c>
      <c r="L20" s="6" t="s">
        <v>171</v>
      </c>
      <c r="M20" s="6">
        <v>5</v>
      </c>
      <c r="N20" s="6"/>
      <c r="O20" s="6"/>
    </row>
    <row r="21" s="23" customFormat="1" ht="21" customHeight="1" spans="1:16">
      <c r="A21" s="6">
        <v>19</v>
      </c>
      <c r="B21" s="7">
        <v>46090</v>
      </c>
      <c r="C21" s="8" t="s">
        <v>41</v>
      </c>
      <c r="D21" s="6" t="s">
        <v>171</v>
      </c>
      <c r="E21" s="8">
        <v>5</v>
      </c>
      <c r="F21" s="8"/>
      <c r="G21" s="6"/>
      <c r="H21" s="6"/>
      <c r="I21" s="6">
        <v>59</v>
      </c>
      <c r="J21" s="7">
        <v>46090</v>
      </c>
      <c r="K21" s="6" t="s">
        <v>155</v>
      </c>
      <c r="L21" s="6" t="s">
        <v>171</v>
      </c>
      <c r="M21" s="6"/>
      <c r="N21" s="6">
        <v>10</v>
      </c>
      <c r="O21" s="13">
        <v>50</v>
      </c>
      <c r="P21" s="23" t="s">
        <v>142</v>
      </c>
    </row>
    <row r="22" s="23" customFormat="1" ht="21" customHeight="1" spans="1:16">
      <c r="A22" s="6">
        <v>20</v>
      </c>
      <c r="B22" s="7">
        <v>46090</v>
      </c>
      <c r="C22" s="8" t="s">
        <v>41</v>
      </c>
      <c r="D22" s="6" t="s">
        <v>171</v>
      </c>
      <c r="E22" s="8"/>
      <c r="F22" s="8">
        <v>5</v>
      </c>
      <c r="G22" s="6"/>
      <c r="H22" s="6"/>
      <c r="I22" s="6">
        <v>60</v>
      </c>
      <c r="J22" s="7">
        <v>46090</v>
      </c>
      <c r="K22" s="6" t="s">
        <v>112</v>
      </c>
      <c r="L22" s="6" t="s">
        <v>171</v>
      </c>
      <c r="M22" s="38" t="s">
        <v>150</v>
      </c>
      <c r="N22" s="6"/>
      <c r="O22" s="6">
        <v>11</v>
      </c>
      <c r="P22" s="23" t="s">
        <v>142</v>
      </c>
    </row>
    <row r="23" s="23" customFormat="1" ht="21" customHeight="1" spans="1:16">
      <c r="A23" s="6">
        <v>21</v>
      </c>
      <c r="B23" s="7">
        <v>46090</v>
      </c>
      <c r="C23" s="8" t="s">
        <v>42</v>
      </c>
      <c r="D23" s="6" t="s">
        <v>171</v>
      </c>
      <c r="E23" s="8">
        <v>2</v>
      </c>
      <c r="F23" s="8"/>
      <c r="G23" s="6"/>
      <c r="H23" s="6"/>
      <c r="I23" s="6">
        <v>61</v>
      </c>
      <c r="J23" s="7">
        <v>46090</v>
      </c>
      <c r="K23" s="6" t="s">
        <v>120</v>
      </c>
      <c r="L23" s="6" t="s">
        <v>171</v>
      </c>
      <c r="M23" s="6"/>
      <c r="N23" s="6">
        <v>5</v>
      </c>
      <c r="O23" s="6">
        <v>20</v>
      </c>
      <c r="P23" s="23" t="s">
        <v>142</v>
      </c>
    </row>
    <row r="24" s="23" customFormat="1" ht="21" customHeight="1" spans="1:16">
      <c r="A24" s="6">
        <v>22</v>
      </c>
      <c r="B24" s="7">
        <v>46090</v>
      </c>
      <c r="C24" s="8" t="s">
        <v>43</v>
      </c>
      <c r="D24" s="6" t="s">
        <v>171</v>
      </c>
      <c r="E24" s="8"/>
      <c r="F24" s="8">
        <v>8</v>
      </c>
      <c r="G24" s="6"/>
      <c r="H24" s="6"/>
      <c r="I24" s="6">
        <v>62</v>
      </c>
      <c r="J24" s="7">
        <v>46090</v>
      </c>
      <c r="K24" s="6" t="s">
        <v>124</v>
      </c>
      <c r="L24" s="6" t="s">
        <v>171</v>
      </c>
      <c r="M24" s="38" t="s">
        <v>157</v>
      </c>
      <c r="N24" s="6"/>
      <c r="O24" s="13">
        <v>30</v>
      </c>
      <c r="P24" s="23" t="s">
        <v>142</v>
      </c>
    </row>
    <row r="25" s="23" customFormat="1" ht="21" customHeight="1" spans="1:16">
      <c r="A25" s="6">
        <v>23</v>
      </c>
      <c r="B25" s="7">
        <v>46090</v>
      </c>
      <c r="C25" s="8" t="s">
        <v>45</v>
      </c>
      <c r="D25" s="6" t="s">
        <v>171</v>
      </c>
      <c r="E25" s="8">
        <v>5</v>
      </c>
      <c r="F25" s="8"/>
      <c r="G25" s="6"/>
      <c r="H25" s="6"/>
      <c r="I25" s="6">
        <v>63</v>
      </c>
      <c r="J25" s="7">
        <v>46090</v>
      </c>
      <c r="K25" s="6" t="s">
        <v>136</v>
      </c>
      <c r="L25" s="6" t="s">
        <v>171</v>
      </c>
      <c r="M25" s="6">
        <v>5</v>
      </c>
      <c r="N25" s="6"/>
      <c r="O25" s="6">
        <v>10</v>
      </c>
      <c r="P25" s="23" t="s">
        <v>142</v>
      </c>
    </row>
    <row r="26" s="23" customFormat="1" ht="21" customHeight="1" spans="1:16">
      <c r="A26" s="6">
        <v>24</v>
      </c>
      <c r="B26" s="7">
        <v>46090</v>
      </c>
      <c r="C26" s="8" t="s">
        <v>45</v>
      </c>
      <c r="D26" s="6" t="s">
        <v>171</v>
      </c>
      <c r="E26" s="8">
        <v>5</v>
      </c>
      <c r="F26" s="8"/>
      <c r="G26" s="6"/>
      <c r="H26" s="6"/>
      <c r="I26" s="6">
        <v>64</v>
      </c>
      <c r="J26" s="7">
        <v>46090</v>
      </c>
      <c r="K26" s="6" t="s">
        <v>137</v>
      </c>
      <c r="L26" s="6" t="s">
        <v>171</v>
      </c>
      <c r="M26" s="6">
        <v>3</v>
      </c>
      <c r="N26" s="6">
        <v>2</v>
      </c>
      <c r="O26" s="6">
        <v>5</v>
      </c>
      <c r="P26" s="31" t="s">
        <v>172</v>
      </c>
    </row>
    <row r="27" s="23" customFormat="1" ht="21" customHeight="1" spans="1:16">
      <c r="A27" s="6">
        <v>25</v>
      </c>
      <c r="B27" s="7">
        <v>46090</v>
      </c>
      <c r="C27" s="8" t="s">
        <v>46</v>
      </c>
      <c r="D27" s="6" t="s">
        <v>171</v>
      </c>
      <c r="E27" s="8">
        <v>5</v>
      </c>
      <c r="F27" s="8"/>
      <c r="G27" s="6"/>
      <c r="H27" s="6"/>
      <c r="I27" s="6"/>
      <c r="J27" s="6"/>
      <c r="K27" s="6"/>
      <c r="L27" s="6"/>
      <c r="M27" s="6"/>
      <c r="N27" s="6"/>
      <c r="O27" s="6"/>
    </row>
    <row r="28" s="23" customFormat="1" ht="21" customHeight="1" spans="1:16">
      <c r="A28" s="6">
        <v>26</v>
      </c>
      <c r="B28" s="7">
        <v>46090</v>
      </c>
      <c r="C28" s="8" t="s">
        <v>47</v>
      </c>
      <c r="D28" s="6" t="s">
        <v>171</v>
      </c>
      <c r="E28" s="8">
        <v>5</v>
      </c>
      <c r="F28" s="8"/>
      <c r="G28" s="6"/>
      <c r="H28" s="6"/>
      <c r="I28" s="6"/>
      <c r="J28" s="6"/>
      <c r="K28" s="6"/>
      <c r="L28" s="6"/>
      <c r="M28" s="6"/>
      <c r="N28" s="6"/>
      <c r="O28" s="6"/>
    </row>
    <row r="29" s="23" customFormat="1" ht="21" customHeight="1" spans="1:16">
      <c r="A29" s="6">
        <v>27</v>
      </c>
      <c r="B29" s="7">
        <v>46090</v>
      </c>
      <c r="C29" s="8" t="s">
        <v>48</v>
      </c>
      <c r="D29" s="6" t="s">
        <v>171</v>
      </c>
      <c r="E29" s="8">
        <v>5</v>
      </c>
      <c r="F29" s="8"/>
      <c r="G29" s="6"/>
      <c r="H29" s="6"/>
      <c r="I29" s="6"/>
      <c r="J29" s="6"/>
      <c r="K29" s="6"/>
      <c r="L29" s="6"/>
      <c r="M29" s="6"/>
      <c r="N29" s="6"/>
      <c r="O29" s="6"/>
    </row>
    <row r="30" s="23" customFormat="1" ht="21" customHeight="1" spans="1:16">
      <c r="A30" s="6">
        <v>28</v>
      </c>
      <c r="B30" s="7">
        <v>46090</v>
      </c>
      <c r="C30" s="8" t="s">
        <v>49</v>
      </c>
      <c r="D30" s="6" t="s">
        <v>171</v>
      </c>
      <c r="E30" s="8">
        <v>5</v>
      </c>
      <c r="F30" s="8"/>
      <c r="G30" s="6"/>
      <c r="H30" s="6"/>
      <c r="I30" s="6"/>
      <c r="J30" s="6"/>
      <c r="K30" s="6"/>
      <c r="L30" s="6"/>
      <c r="M30" s="6"/>
      <c r="N30" s="6"/>
      <c r="O30" s="6"/>
    </row>
    <row r="31" s="23" customFormat="1" ht="21" customHeight="1" spans="1:16">
      <c r="A31" s="6">
        <v>29</v>
      </c>
      <c r="B31" s="7">
        <v>46090</v>
      </c>
      <c r="C31" s="8" t="s">
        <v>50</v>
      </c>
      <c r="D31" s="6" t="s">
        <v>171</v>
      </c>
      <c r="E31" s="8">
        <v>5</v>
      </c>
      <c r="F31" s="8"/>
      <c r="G31" s="6"/>
      <c r="H31" s="6"/>
      <c r="I31" s="6"/>
      <c r="J31" s="6"/>
      <c r="K31" s="6"/>
      <c r="L31" s="6"/>
      <c r="M31" s="6"/>
      <c r="N31" s="6"/>
      <c r="O31" s="6"/>
    </row>
    <row r="32" s="23" customFormat="1" ht="21" customHeight="1" spans="1:16">
      <c r="A32" s="6">
        <v>30</v>
      </c>
      <c r="B32" s="7">
        <v>46090</v>
      </c>
      <c r="C32" s="8" t="s">
        <v>51</v>
      </c>
      <c r="D32" s="6" t="s">
        <v>171</v>
      </c>
      <c r="E32" s="8">
        <v>5</v>
      </c>
      <c r="F32" s="8"/>
      <c r="G32" s="6"/>
      <c r="H32" s="6"/>
      <c r="I32" s="6"/>
      <c r="J32" s="6"/>
      <c r="K32" s="6"/>
      <c r="L32" s="6"/>
      <c r="M32" s="6"/>
      <c r="N32" s="6"/>
      <c r="O32" s="6"/>
    </row>
    <row r="33" s="23" customFormat="1" ht="21" customHeight="1" spans="1:15">
      <c r="A33" s="6">
        <v>31</v>
      </c>
      <c r="B33" s="7">
        <v>46090</v>
      </c>
      <c r="C33" s="8" t="s">
        <v>52</v>
      </c>
      <c r="D33" s="6" t="s">
        <v>171</v>
      </c>
      <c r="E33" s="8">
        <v>3</v>
      </c>
      <c r="F33" s="8">
        <v>2</v>
      </c>
      <c r="G33" s="6"/>
      <c r="H33" s="6"/>
      <c r="I33" s="6"/>
      <c r="J33" s="6"/>
      <c r="K33" s="6"/>
      <c r="L33" s="6"/>
      <c r="M33" s="6"/>
      <c r="N33" s="6"/>
      <c r="O33" s="6"/>
    </row>
    <row r="34" s="23" customFormat="1" ht="21" customHeight="1" spans="1:15">
      <c r="A34" s="6">
        <v>32</v>
      </c>
      <c r="B34" s="7">
        <v>46090</v>
      </c>
      <c r="C34" s="8" t="s">
        <v>54</v>
      </c>
      <c r="D34" s="6" t="s">
        <v>171</v>
      </c>
      <c r="E34" s="8"/>
      <c r="F34" s="8">
        <v>5</v>
      </c>
      <c r="G34" s="6"/>
      <c r="H34" s="6"/>
      <c r="I34" s="6"/>
      <c r="J34" s="6"/>
      <c r="K34" s="6"/>
      <c r="L34" s="6"/>
      <c r="M34" s="6"/>
      <c r="N34" s="6"/>
      <c r="O34" s="6"/>
    </row>
    <row r="35" s="23" customFormat="1" ht="21" customHeight="1" spans="1:15">
      <c r="A35" s="6">
        <v>33</v>
      </c>
      <c r="B35" s="7">
        <v>46090</v>
      </c>
      <c r="C35" s="8" t="s">
        <v>55</v>
      </c>
      <c r="D35" s="6" t="s">
        <v>171</v>
      </c>
      <c r="E35" s="8">
        <v>3</v>
      </c>
      <c r="F35" s="8">
        <v>2</v>
      </c>
      <c r="G35" s="6"/>
      <c r="H35" s="6"/>
      <c r="I35" s="6"/>
      <c r="J35" s="6"/>
      <c r="K35" s="6"/>
      <c r="L35" s="6"/>
      <c r="M35" s="6"/>
      <c r="N35" s="6"/>
      <c r="O35" s="6"/>
    </row>
    <row r="36" s="23" customFormat="1" ht="21" customHeight="1" spans="1:15">
      <c r="A36" s="6">
        <v>34</v>
      </c>
      <c r="B36" s="7">
        <v>46090</v>
      </c>
      <c r="C36" s="8" t="s">
        <v>56</v>
      </c>
      <c r="D36" s="6" t="s">
        <v>171</v>
      </c>
      <c r="E36" s="8">
        <v>3</v>
      </c>
      <c r="F36" s="8">
        <v>2</v>
      </c>
      <c r="G36" s="6"/>
      <c r="H36" s="6"/>
      <c r="I36" s="6"/>
      <c r="J36" s="6"/>
      <c r="K36" s="6"/>
      <c r="L36" s="6"/>
      <c r="M36" s="6"/>
      <c r="N36" s="6"/>
      <c r="O36" s="6"/>
    </row>
    <row r="37" s="23" customFormat="1" ht="21" customHeight="1" spans="1:15">
      <c r="A37" s="6">
        <v>35</v>
      </c>
      <c r="B37" s="7">
        <v>46090</v>
      </c>
      <c r="C37" s="8" t="s">
        <v>57</v>
      </c>
      <c r="D37" s="6" t="s">
        <v>171</v>
      </c>
      <c r="E37" s="8">
        <v>3</v>
      </c>
      <c r="F37" s="8">
        <v>2</v>
      </c>
      <c r="G37" s="6"/>
      <c r="H37" s="6"/>
      <c r="I37" s="6"/>
      <c r="J37" s="6"/>
      <c r="K37" s="6"/>
      <c r="L37" s="6"/>
      <c r="M37" s="6"/>
      <c r="N37" s="6"/>
      <c r="O37" s="6"/>
    </row>
    <row r="38" s="23" customFormat="1" ht="21" customHeight="1" spans="1:15">
      <c r="A38" s="6">
        <v>36</v>
      </c>
      <c r="B38" s="7">
        <v>46090</v>
      </c>
      <c r="C38" s="8" t="s">
        <v>58</v>
      </c>
      <c r="D38" s="6" t="s">
        <v>171</v>
      </c>
      <c r="E38" s="8">
        <v>3</v>
      </c>
      <c r="F38" s="8">
        <v>2</v>
      </c>
      <c r="G38" s="6"/>
      <c r="H38" s="6"/>
      <c r="I38" s="6"/>
      <c r="J38" s="6"/>
      <c r="K38" s="6"/>
      <c r="L38" s="6"/>
      <c r="M38" s="6"/>
      <c r="N38" s="6"/>
      <c r="O38" s="6"/>
    </row>
    <row r="39" s="23" customFormat="1" ht="21" customHeight="1" spans="1:15">
      <c r="A39" s="6">
        <v>37</v>
      </c>
      <c r="B39" s="7">
        <v>46090</v>
      </c>
      <c r="C39" s="8" t="s">
        <v>60</v>
      </c>
      <c r="D39" s="6" t="s">
        <v>171</v>
      </c>
      <c r="E39" s="8">
        <v>2</v>
      </c>
      <c r="F39" s="8">
        <v>3</v>
      </c>
      <c r="G39" s="6"/>
      <c r="H39" s="6"/>
      <c r="I39" s="6"/>
      <c r="J39" s="6"/>
      <c r="K39" s="6"/>
      <c r="L39" s="6"/>
      <c r="M39" s="6"/>
      <c r="N39" s="6"/>
      <c r="O39" s="6"/>
    </row>
    <row r="40" s="23" customFormat="1" ht="21" customHeight="1" spans="1:15">
      <c r="A40" s="6">
        <v>38</v>
      </c>
      <c r="B40" s="7">
        <v>46090</v>
      </c>
      <c r="C40" s="8" t="s">
        <v>61</v>
      </c>
      <c r="D40" s="6" t="s">
        <v>171</v>
      </c>
      <c r="E40" s="8">
        <v>3</v>
      </c>
      <c r="F40" s="8">
        <v>2</v>
      </c>
      <c r="G40" s="6"/>
      <c r="H40" s="6"/>
      <c r="I40" s="6"/>
      <c r="J40" s="6"/>
      <c r="K40" s="6"/>
      <c r="L40" s="6"/>
      <c r="M40" s="6"/>
      <c r="N40" s="6"/>
      <c r="O40" s="6"/>
    </row>
    <row r="41" s="23" customFormat="1" ht="21" customHeight="1" spans="1:15">
      <c r="A41" s="6">
        <v>39</v>
      </c>
      <c r="B41" s="7">
        <v>46090</v>
      </c>
      <c r="C41" s="8" t="s">
        <v>149</v>
      </c>
      <c r="D41" s="6" t="s">
        <v>171</v>
      </c>
      <c r="E41" s="8">
        <v>5</v>
      </c>
      <c r="F41" s="8"/>
      <c r="G41" s="6"/>
      <c r="H41" s="6"/>
      <c r="I41" s="6"/>
      <c r="J41" s="6"/>
      <c r="K41" s="6"/>
      <c r="L41" s="6"/>
      <c r="M41" s="6"/>
      <c r="N41" s="6"/>
      <c r="O41" s="6"/>
    </row>
    <row r="42" s="23" customFormat="1" ht="21" customHeight="1" spans="1:15">
      <c r="A42" s="6">
        <v>40</v>
      </c>
      <c r="B42" s="7">
        <v>46090</v>
      </c>
      <c r="C42" s="8" t="s">
        <v>149</v>
      </c>
      <c r="D42" s="6" t="s">
        <v>171</v>
      </c>
      <c r="E42" s="8"/>
      <c r="F42" s="8">
        <v>5</v>
      </c>
      <c r="G42" s="6"/>
      <c r="H42" s="6"/>
      <c r="I42" s="6"/>
      <c r="J42" s="6"/>
      <c r="K42" s="6"/>
      <c r="L42" s="6"/>
      <c r="M42" s="6"/>
      <c r="N42" s="6"/>
      <c r="O42" s="6"/>
    </row>
    <row r="43" s="23" customFormat="1" ht="21" customHeight="1" spans="1:15">
      <c r="A43" s="6"/>
      <c r="B43" s="6"/>
      <c r="C43" s="6"/>
      <c r="D43" s="6"/>
      <c r="E43" s="6">
        <f>SUM(E3:E42)</f>
        <v>114</v>
      </c>
      <c r="F43" s="6">
        <f>SUM(F3:F42)</f>
        <v>86</v>
      </c>
      <c r="G43" s="6"/>
      <c r="H43" s="6"/>
      <c r="I43" s="6"/>
      <c r="J43" s="6"/>
      <c r="K43" s="6"/>
      <c r="L43" s="6"/>
      <c r="M43" s="6">
        <f>SUM(M3:M42)</f>
        <v>70</v>
      </c>
      <c r="N43" s="6">
        <f>SUM(N3:N42)</f>
        <v>45</v>
      </c>
      <c r="O43" s="6"/>
    </row>
    <row r="45" spans="1:15">
      <c r="I45" t="s">
        <v>169</v>
      </c>
      <c r="J45" t="s">
        <v>170</v>
      </c>
    </row>
    <row r="46" spans="1:15">
      <c r="I46">
        <f>E43+M43</f>
        <v>184</v>
      </c>
      <c r="J46">
        <f>F43+N43</f>
        <v>131</v>
      </c>
    </row>
  </sheetData>
  <sheetProtection formatCells="0" formatColumns="0" formatRows="0" insertRows="0" insertColumns="0" insertHyperlinks="0" deleteColumns="0" deleteRows="0" sort="0" autoFilter="0" pivotTables="0"/>
  <mergeCells count="2">
    <mergeCell ref="A1:G1"/>
    <mergeCell ref="I1:O1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5"/>
  <sheetViews>
    <sheetView zoomScale="80" zoomScaleNormal="80" topLeftCell="A13" workbookViewId="0">
      <selection activeCell="K24" sqref="K24"/>
    </sheetView>
  </sheetViews>
  <sheetFormatPr defaultColWidth="9" defaultRowHeight="13.5"/>
  <cols>
    <col min="1" max="1" width="7.225" customWidth="1"/>
    <col min="2" max="2" width="10.225" customWidth="1"/>
    <col min="3" max="3" width="11.5583333333333" customWidth="1"/>
    <col min="4" max="4" width="10.5583333333333" customWidth="1"/>
    <col min="5" max="6" width="8.44166666666667" customWidth="1"/>
    <col min="7" max="7" width="13.75" customWidth="1"/>
    <col min="8" max="8" width="2.225" customWidth="1"/>
    <col min="10" max="10" width="11.3333333333333" customWidth="1"/>
    <col min="11" max="11" width="11.225" customWidth="1"/>
    <col min="12" max="12" width="10.775" customWidth="1"/>
  </cols>
  <sheetData>
    <row r="1" customFormat="1" ht="22.5" spans="1:15">
      <c r="A1" s="1" t="s">
        <v>167</v>
      </c>
      <c r="B1" s="1"/>
      <c r="C1" s="1"/>
      <c r="D1" s="1"/>
      <c r="E1" s="1"/>
      <c r="F1" s="2"/>
      <c r="G1" s="3"/>
      <c r="I1" s="1" t="s">
        <v>167</v>
      </c>
      <c r="J1" s="1"/>
      <c r="K1" s="1"/>
      <c r="L1" s="1"/>
      <c r="M1" s="1"/>
      <c r="N1" s="2"/>
      <c r="O1" s="3"/>
    </row>
    <row r="2" s="5" customFormat="1" ht="24" customHeight="1" spans="1:15">
      <c r="A2" s="4" t="s">
        <v>2</v>
      </c>
      <c r="B2" s="4" t="s">
        <v>163</v>
      </c>
      <c r="C2" s="4" t="s">
        <v>3</v>
      </c>
      <c r="D2" s="4" t="s">
        <v>168</v>
      </c>
      <c r="E2" s="4" t="s">
        <v>169</v>
      </c>
      <c r="F2" s="4" t="s">
        <v>170</v>
      </c>
      <c r="G2" s="4" t="s">
        <v>7</v>
      </c>
      <c r="I2" s="4" t="s">
        <v>2</v>
      </c>
      <c r="J2" s="4" t="s">
        <v>163</v>
      </c>
      <c r="K2" s="4" t="s">
        <v>3</v>
      </c>
      <c r="L2" s="4" t="s">
        <v>168</v>
      </c>
      <c r="M2" s="4" t="s">
        <v>169</v>
      </c>
      <c r="N2" s="4" t="s">
        <v>170</v>
      </c>
      <c r="O2" s="4" t="s">
        <v>7</v>
      </c>
    </row>
    <row r="3" s="23" customFormat="1" ht="21" customHeight="1" spans="1:15">
      <c r="A3" s="6">
        <v>1</v>
      </c>
      <c r="B3" s="7">
        <v>46096</v>
      </c>
      <c r="C3" s="8" t="s">
        <v>13</v>
      </c>
      <c r="D3" s="6" t="s">
        <v>171</v>
      </c>
      <c r="E3" s="8"/>
      <c r="F3" s="8">
        <v>5</v>
      </c>
      <c r="G3" s="6"/>
      <c r="H3" s="6"/>
      <c r="I3" s="6">
        <v>42</v>
      </c>
      <c r="J3" s="7">
        <v>46096</v>
      </c>
      <c r="K3" s="8" t="s">
        <v>149</v>
      </c>
      <c r="L3" s="6" t="s">
        <v>171</v>
      </c>
      <c r="M3" s="8">
        <v>3</v>
      </c>
      <c r="N3" s="8">
        <v>2</v>
      </c>
      <c r="O3" s="6"/>
    </row>
    <row r="4" s="23" customFormat="1" ht="21" customHeight="1" spans="1:15">
      <c r="A4" s="6">
        <v>2</v>
      </c>
      <c r="B4" s="7">
        <v>46096</v>
      </c>
      <c r="C4" s="8" t="s">
        <v>17</v>
      </c>
      <c r="D4" s="6" t="s">
        <v>171</v>
      </c>
      <c r="E4" s="8">
        <v>5</v>
      </c>
      <c r="F4" s="8"/>
      <c r="G4" s="6"/>
      <c r="H4" s="6"/>
      <c r="I4" s="6">
        <v>43</v>
      </c>
      <c r="J4" s="7">
        <v>46096</v>
      </c>
      <c r="K4" s="8" t="s">
        <v>151</v>
      </c>
      <c r="L4" s="6" t="s">
        <v>171</v>
      </c>
      <c r="M4" s="8">
        <v>5</v>
      </c>
      <c r="N4" s="8"/>
      <c r="O4" s="6"/>
    </row>
    <row r="5" s="23" customFormat="1" ht="21" customHeight="1" spans="1:15">
      <c r="A5" s="6">
        <v>3</v>
      </c>
      <c r="B5" s="7">
        <v>46096</v>
      </c>
      <c r="C5" s="8" t="s">
        <v>19</v>
      </c>
      <c r="D5" s="6" t="s">
        <v>171</v>
      </c>
      <c r="E5" s="8">
        <v>5</v>
      </c>
      <c r="F5" s="8"/>
      <c r="G5" s="6"/>
      <c r="H5" s="6"/>
      <c r="I5" s="6">
        <v>44</v>
      </c>
      <c r="J5" s="7">
        <v>46096</v>
      </c>
      <c r="K5" s="8" t="s">
        <v>152</v>
      </c>
      <c r="L5" s="6" t="s">
        <v>171</v>
      </c>
      <c r="M5" s="8">
        <v>5</v>
      </c>
      <c r="N5" s="8"/>
      <c r="O5" s="6"/>
    </row>
    <row r="6" s="23" customFormat="1" ht="21" customHeight="1" spans="1:15">
      <c r="A6" s="6">
        <v>4</v>
      </c>
      <c r="B6" s="7">
        <v>46096</v>
      </c>
      <c r="C6" s="8" t="s">
        <v>21</v>
      </c>
      <c r="D6" s="6" t="s">
        <v>171</v>
      </c>
      <c r="E6" s="8"/>
      <c r="F6" s="8">
        <v>5</v>
      </c>
      <c r="G6" s="6"/>
      <c r="H6" s="6"/>
      <c r="I6" s="6">
        <v>45</v>
      </c>
      <c r="J6" s="7">
        <v>46096</v>
      </c>
      <c r="K6" s="8" t="s">
        <v>66</v>
      </c>
      <c r="L6" s="6" t="s">
        <v>171</v>
      </c>
      <c r="M6" s="8">
        <v>4</v>
      </c>
      <c r="N6" s="8">
        <v>1</v>
      </c>
      <c r="O6" s="6"/>
    </row>
    <row r="7" s="23" customFormat="1" ht="21" customHeight="1" spans="1:15">
      <c r="A7" s="6">
        <v>5</v>
      </c>
      <c r="B7" s="7">
        <v>46096</v>
      </c>
      <c r="C7" s="8" t="s">
        <v>23</v>
      </c>
      <c r="D7" s="6" t="s">
        <v>171</v>
      </c>
      <c r="E7" s="8">
        <v>5</v>
      </c>
      <c r="F7" s="8"/>
      <c r="G7" s="6"/>
      <c r="H7" s="6"/>
      <c r="I7" s="6">
        <v>46</v>
      </c>
      <c r="J7" s="7">
        <v>46096</v>
      </c>
      <c r="K7" s="8" t="s">
        <v>70</v>
      </c>
      <c r="L7" s="6" t="s">
        <v>171</v>
      </c>
      <c r="M7" s="8">
        <v>2</v>
      </c>
      <c r="N7" s="8">
        <v>3</v>
      </c>
      <c r="O7" s="6"/>
    </row>
    <row r="8" s="23" customFormat="1" ht="21" customHeight="1" spans="1:15">
      <c r="A8" s="6">
        <v>6</v>
      </c>
      <c r="B8" s="7">
        <v>46096</v>
      </c>
      <c r="C8" s="8" t="s">
        <v>24</v>
      </c>
      <c r="D8" s="6" t="s">
        <v>171</v>
      </c>
      <c r="E8" s="8">
        <v>3</v>
      </c>
      <c r="F8" s="8">
        <v>2</v>
      </c>
      <c r="G8" s="6"/>
      <c r="H8" s="6"/>
      <c r="I8" s="6">
        <v>47</v>
      </c>
      <c r="J8" s="7">
        <v>46096</v>
      </c>
      <c r="K8" s="8" t="s">
        <v>71</v>
      </c>
      <c r="L8" s="6" t="s">
        <v>171</v>
      </c>
      <c r="M8" s="8">
        <v>3</v>
      </c>
      <c r="N8" s="8">
        <v>2</v>
      </c>
      <c r="O8" s="6"/>
    </row>
    <row r="9" s="23" customFormat="1" ht="21" customHeight="1" spans="1:15">
      <c r="A9" s="6">
        <v>7</v>
      </c>
      <c r="B9" s="7">
        <v>46096</v>
      </c>
      <c r="C9" s="8" t="s">
        <v>27</v>
      </c>
      <c r="D9" s="6" t="s">
        <v>171</v>
      </c>
      <c r="E9" s="8">
        <v>5</v>
      </c>
      <c r="F9" s="8"/>
      <c r="G9" s="6"/>
      <c r="H9" s="6"/>
      <c r="I9" s="6">
        <v>48</v>
      </c>
      <c r="J9" s="7">
        <v>46096</v>
      </c>
      <c r="K9" s="8" t="s">
        <v>72</v>
      </c>
      <c r="L9" s="6" t="s">
        <v>171</v>
      </c>
      <c r="M9" s="8">
        <v>3</v>
      </c>
      <c r="N9" s="8">
        <v>2</v>
      </c>
      <c r="O9" s="6"/>
    </row>
    <row r="10" s="23" customFormat="1" ht="21" customHeight="1" spans="1:15">
      <c r="A10" s="6">
        <v>8</v>
      </c>
      <c r="B10" s="7">
        <v>46096</v>
      </c>
      <c r="C10" s="8" t="s">
        <v>28</v>
      </c>
      <c r="D10" s="6" t="s">
        <v>171</v>
      </c>
      <c r="E10" s="8">
        <v>5</v>
      </c>
      <c r="F10" s="8"/>
      <c r="G10" s="6"/>
      <c r="H10" s="6"/>
      <c r="I10" s="6">
        <v>49</v>
      </c>
      <c r="J10" s="7">
        <v>46096</v>
      </c>
      <c r="K10" s="8" t="s">
        <v>73</v>
      </c>
      <c r="L10" s="6" t="s">
        <v>171</v>
      </c>
      <c r="M10" s="8"/>
      <c r="N10" s="8">
        <v>5</v>
      </c>
      <c r="O10" s="6"/>
    </row>
    <row r="11" s="23" customFormat="1" ht="21" customHeight="1" spans="1:15">
      <c r="A11" s="6">
        <v>9</v>
      </c>
      <c r="B11" s="7">
        <v>46096</v>
      </c>
      <c r="C11" s="8" t="s">
        <v>28</v>
      </c>
      <c r="D11" s="6" t="s">
        <v>171</v>
      </c>
      <c r="E11" s="8"/>
      <c r="F11" s="8">
        <v>5</v>
      </c>
      <c r="G11" s="6"/>
      <c r="H11" s="6"/>
      <c r="I11" s="6">
        <v>50</v>
      </c>
      <c r="J11" s="7">
        <v>46096</v>
      </c>
      <c r="K11" s="8" t="s">
        <v>74</v>
      </c>
      <c r="L11" s="6" t="s">
        <v>171</v>
      </c>
      <c r="M11" s="8">
        <v>5</v>
      </c>
      <c r="N11" s="8"/>
      <c r="O11" s="6"/>
    </row>
    <row r="12" s="23" customFormat="1" ht="21" customHeight="1" spans="1:15">
      <c r="A12" s="6">
        <v>10</v>
      </c>
      <c r="B12" s="7">
        <v>46096</v>
      </c>
      <c r="C12" s="8" t="s">
        <v>29</v>
      </c>
      <c r="D12" s="6" t="s">
        <v>171</v>
      </c>
      <c r="E12" s="8"/>
      <c r="F12" s="8">
        <v>5</v>
      </c>
      <c r="G12" s="6"/>
      <c r="H12" s="6"/>
      <c r="I12" s="6">
        <v>51</v>
      </c>
      <c r="J12" s="7">
        <v>46096</v>
      </c>
      <c r="K12" s="8" t="s">
        <v>75</v>
      </c>
      <c r="L12" s="6" t="s">
        <v>171</v>
      </c>
      <c r="M12" s="8">
        <v>3</v>
      </c>
      <c r="N12" s="8">
        <v>2</v>
      </c>
      <c r="O12" s="6"/>
    </row>
    <row r="13" s="23" customFormat="1" ht="21" customHeight="1" spans="1:15">
      <c r="A13" s="6">
        <v>11</v>
      </c>
      <c r="B13" s="7">
        <v>46096</v>
      </c>
      <c r="C13" s="8" t="s">
        <v>30</v>
      </c>
      <c r="D13" s="6" t="s">
        <v>171</v>
      </c>
      <c r="E13" s="10">
        <v>3</v>
      </c>
      <c r="F13" s="8">
        <v>2</v>
      </c>
      <c r="G13" s="6"/>
      <c r="H13" s="6"/>
      <c r="I13" s="6">
        <v>52</v>
      </c>
      <c r="J13" s="7">
        <v>46096</v>
      </c>
      <c r="K13" s="8" t="s">
        <v>76</v>
      </c>
      <c r="L13" s="6" t="s">
        <v>171</v>
      </c>
      <c r="M13" s="8">
        <v>5</v>
      </c>
      <c r="N13" s="8"/>
      <c r="O13" s="6"/>
    </row>
    <row r="14" s="23" customFormat="1" ht="21" customHeight="1" spans="1:15">
      <c r="A14" s="6">
        <v>12</v>
      </c>
      <c r="B14" s="7">
        <v>46096</v>
      </c>
      <c r="C14" s="8" t="s">
        <v>33</v>
      </c>
      <c r="D14" s="6" t="s">
        <v>171</v>
      </c>
      <c r="E14" s="8">
        <v>3</v>
      </c>
      <c r="F14" s="8">
        <v>2</v>
      </c>
      <c r="G14" s="6"/>
      <c r="H14" s="6"/>
      <c r="I14" s="6">
        <v>53</v>
      </c>
      <c r="J14" s="7">
        <v>46096</v>
      </c>
      <c r="K14" s="8" t="s">
        <v>77</v>
      </c>
      <c r="L14" s="6" t="s">
        <v>171</v>
      </c>
      <c r="M14" s="8">
        <v>5</v>
      </c>
      <c r="N14" s="8"/>
      <c r="O14" s="6"/>
    </row>
    <row r="15" s="23" customFormat="1" ht="21" customHeight="1" spans="1:15">
      <c r="A15" s="6">
        <v>13</v>
      </c>
      <c r="B15" s="7">
        <v>46096</v>
      </c>
      <c r="C15" s="8" t="s">
        <v>34</v>
      </c>
      <c r="D15" s="6" t="s">
        <v>171</v>
      </c>
      <c r="E15" s="8"/>
      <c r="F15" s="8">
        <v>5</v>
      </c>
      <c r="G15" s="6"/>
      <c r="H15" s="6"/>
      <c r="I15" s="6">
        <v>54</v>
      </c>
      <c r="J15" s="7">
        <v>46096</v>
      </c>
      <c r="K15" s="8" t="s">
        <v>78</v>
      </c>
      <c r="L15" s="6" t="s">
        <v>171</v>
      </c>
      <c r="M15" s="8">
        <v>5</v>
      </c>
      <c r="N15" s="8"/>
      <c r="O15" s="6"/>
    </row>
    <row r="16" s="23" customFormat="1" ht="21" customHeight="1" spans="1:15">
      <c r="A16" s="6">
        <v>14</v>
      </c>
      <c r="B16" s="7">
        <v>46096</v>
      </c>
      <c r="C16" s="8" t="s">
        <v>36</v>
      </c>
      <c r="D16" s="6" t="s">
        <v>171</v>
      </c>
      <c r="E16" s="8"/>
      <c r="F16" s="8">
        <v>5</v>
      </c>
      <c r="G16" s="6"/>
      <c r="H16" s="6"/>
      <c r="I16" s="6">
        <v>55</v>
      </c>
      <c r="J16" s="7">
        <v>46096</v>
      </c>
      <c r="K16" s="8" t="s">
        <v>79</v>
      </c>
      <c r="L16" s="6" t="s">
        <v>171</v>
      </c>
      <c r="M16" s="8">
        <v>5</v>
      </c>
      <c r="N16" s="8"/>
      <c r="O16" s="6"/>
    </row>
    <row r="17" s="23" customFormat="1" ht="21" customHeight="1" spans="1:16">
      <c r="A17" s="6">
        <v>15</v>
      </c>
      <c r="B17" s="7">
        <v>46096</v>
      </c>
      <c r="C17" s="8" t="s">
        <v>37</v>
      </c>
      <c r="D17" s="6" t="s">
        <v>171</v>
      </c>
      <c r="E17" s="8"/>
      <c r="F17" s="8">
        <v>5</v>
      </c>
      <c r="G17" s="6"/>
      <c r="H17" s="6"/>
      <c r="I17" s="6">
        <v>56</v>
      </c>
      <c r="J17" s="7">
        <v>46096</v>
      </c>
      <c r="K17" s="8" t="s">
        <v>80</v>
      </c>
      <c r="L17" s="6" t="s">
        <v>171</v>
      </c>
      <c r="M17" s="8">
        <v>3</v>
      </c>
      <c r="N17" s="8">
        <v>2</v>
      </c>
      <c r="O17" s="6"/>
    </row>
    <row r="18" s="23" customFormat="1" ht="21" customHeight="1" spans="1:16">
      <c r="A18" s="6">
        <v>16</v>
      </c>
      <c r="B18" s="7">
        <v>46096</v>
      </c>
      <c r="C18" s="8" t="s">
        <v>38</v>
      </c>
      <c r="D18" s="6" t="s">
        <v>171</v>
      </c>
      <c r="E18" s="8">
        <v>5</v>
      </c>
      <c r="F18" s="8"/>
      <c r="G18" s="6"/>
      <c r="H18" s="6"/>
      <c r="I18" s="6">
        <v>57</v>
      </c>
      <c r="J18" s="7">
        <v>46096</v>
      </c>
      <c r="K18" s="8" t="s">
        <v>81</v>
      </c>
      <c r="L18" s="6" t="s">
        <v>171</v>
      </c>
      <c r="M18" s="8">
        <v>3</v>
      </c>
      <c r="N18" s="8">
        <v>2</v>
      </c>
      <c r="O18" s="6"/>
    </row>
    <row r="19" s="23" customFormat="1" ht="21" customHeight="1" spans="1:16">
      <c r="A19" s="6">
        <v>17</v>
      </c>
      <c r="B19" s="7">
        <v>46096</v>
      </c>
      <c r="C19" s="8" t="s">
        <v>40</v>
      </c>
      <c r="D19" s="6" t="s">
        <v>171</v>
      </c>
      <c r="E19" s="8">
        <v>3</v>
      </c>
      <c r="F19" s="8">
        <v>2</v>
      </c>
      <c r="G19" s="6"/>
      <c r="H19" s="6"/>
      <c r="I19" s="6">
        <v>58</v>
      </c>
      <c r="J19" s="7">
        <v>46096</v>
      </c>
      <c r="K19" s="8" t="s">
        <v>154</v>
      </c>
      <c r="L19" s="6" t="s">
        <v>171</v>
      </c>
      <c r="M19" s="8">
        <v>3</v>
      </c>
      <c r="N19" s="8">
        <v>2</v>
      </c>
      <c r="O19" s="6"/>
    </row>
    <row r="20" s="23" customFormat="1" ht="21" customHeight="1" spans="1:16">
      <c r="A20" s="6">
        <v>18</v>
      </c>
      <c r="B20" s="7">
        <v>46096</v>
      </c>
      <c r="C20" s="8" t="s">
        <v>40</v>
      </c>
      <c r="D20" s="6" t="s">
        <v>171</v>
      </c>
      <c r="E20" s="8"/>
      <c r="F20" s="8">
        <v>5</v>
      </c>
      <c r="G20" s="6"/>
      <c r="H20" s="6"/>
      <c r="I20" s="6">
        <v>59</v>
      </c>
      <c r="J20" s="7">
        <v>46096</v>
      </c>
      <c r="K20" s="8" t="s">
        <v>85</v>
      </c>
      <c r="L20" s="6" t="s">
        <v>171</v>
      </c>
      <c r="M20" s="8">
        <v>5</v>
      </c>
      <c r="N20" s="8"/>
      <c r="O20" s="6"/>
    </row>
    <row r="21" s="23" customFormat="1" ht="21" customHeight="1" spans="1:16">
      <c r="A21" s="6">
        <v>19</v>
      </c>
      <c r="B21" s="7">
        <v>46096</v>
      </c>
      <c r="C21" s="8" t="s">
        <v>41</v>
      </c>
      <c r="D21" s="6" t="s">
        <v>171</v>
      </c>
      <c r="E21" s="8">
        <v>5</v>
      </c>
      <c r="F21" s="8"/>
      <c r="G21" s="6"/>
      <c r="H21" s="6"/>
      <c r="I21" s="6">
        <v>60</v>
      </c>
      <c r="J21" s="7">
        <v>46096</v>
      </c>
      <c r="K21" s="6" t="s">
        <v>138</v>
      </c>
      <c r="L21" s="6" t="s">
        <v>171</v>
      </c>
      <c r="M21" s="6">
        <v>5</v>
      </c>
      <c r="N21" s="6"/>
      <c r="O21" s="6"/>
      <c r="P21" s="23" t="s">
        <v>142</v>
      </c>
    </row>
    <row r="22" s="23" customFormat="1" ht="21" customHeight="1" spans="1:16">
      <c r="A22" s="6">
        <v>20</v>
      </c>
      <c r="B22" s="7">
        <v>46096</v>
      </c>
      <c r="C22" s="8" t="s">
        <v>41</v>
      </c>
      <c r="D22" s="6" t="s">
        <v>171</v>
      </c>
      <c r="E22" s="8"/>
      <c r="F22" s="8">
        <v>5</v>
      </c>
      <c r="G22" s="6"/>
      <c r="H22" s="6"/>
      <c r="I22" s="6">
        <v>61</v>
      </c>
      <c r="J22" s="7">
        <v>46096</v>
      </c>
      <c r="K22" s="6" t="s">
        <v>155</v>
      </c>
      <c r="L22" s="6" t="s">
        <v>171</v>
      </c>
      <c r="M22" s="6"/>
      <c r="N22" s="6">
        <v>5</v>
      </c>
      <c r="O22" s="13">
        <v>50</v>
      </c>
      <c r="P22" s="23" t="s">
        <v>142</v>
      </c>
    </row>
    <row r="23" s="23" customFormat="1" ht="21" customHeight="1" spans="1:16">
      <c r="A23" s="6">
        <v>21</v>
      </c>
      <c r="B23" s="7">
        <v>46096</v>
      </c>
      <c r="C23" s="8" t="s">
        <v>42</v>
      </c>
      <c r="D23" s="6" t="s">
        <v>171</v>
      </c>
      <c r="E23" s="8">
        <v>2</v>
      </c>
      <c r="F23" s="8"/>
      <c r="G23" s="6"/>
      <c r="H23" s="6"/>
      <c r="I23" s="6">
        <v>62</v>
      </c>
      <c r="J23" s="7">
        <v>46096</v>
      </c>
      <c r="K23" s="6" t="s">
        <v>112</v>
      </c>
      <c r="L23" s="6" t="s">
        <v>171</v>
      </c>
      <c r="M23" s="38" t="s">
        <v>150</v>
      </c>
      <c r="N23" s="6"/>
      <c r="O23" s="6">
        <v>11</v>
      </c>
      <c r="P23" s="23" t="s">
        <v>142</v>
      </c>
    </row>
    <row r="24" s="23" customFormat="1" ht="21" customHeight="1" spans="1:16">
      <c r="A24" s="6">
        <v>22</v>
      </c>
      <c r="B24" s="7">
        <v>46096</v>
      </c>
      <c r="C24" s="8" t="s">
        <v>43</v>
      </c>
      <c r="D24" s="6" t="s">
        <v>171</v>
      </c>
      <c r="E24" s="8"/>
      <c r="F24" s="8">
        <v>8</v>
      </c>
      <c r="G24" s="6"/>
      <c r="H24" s="6"/>
      <c r="I24" s="6">
        <v>63</v>
      </c>
      <c r="J24" s="7">
        <v>46096</v>
      </c>
      <c r="K24" s="6" t="s">
        <v>120</v>
      </c>
      <c r="L24" s="6" t="s">
        <v>171</v>
      </c>
      <c r="M24" s="6"/>
      <c r="N24" s="6">
        <v>5</v>
      </c>
      <c r="O24" s="6">
        <v>20</v>
      </c>
      <c r="P24" s="23" t="s">
        <v>142</v>
      </c>
    </row>
    <row r="25" s="23" customFormat="1" ht="21" customHeight="1" spans="1:16">
      <c r="A25" s="6">
        <v>23</v>
      </c>
      <c r="B25" s="7">
        <v>46096</v>
      </c>
      <c r="C25" s="8" t="s">
        <v>45</v>
      </c>
      <c r="D25" s="6" t="s">
        <v>171</v>
      </c>
      <c r="E25" s="8">
        <v>5</v>
      </c>
      <c r="F25" s="8"/>
      <c r="G25" s="6"/>
      <c r="H25" s="6"/>
      <c r="I25" s="6">
        <v>64</v>
      </c>
      <c r="J25" s="7">
        <v>46096</v>
      </c>
      <c r="K25" s="6" t="s">
        <v>124</v>
      </c>
      <c r="L25" s="6" t="s">
        <v>171</v>
      </c>
      <c r="M25" s="38" t="s">
        <v>157</v>
      </c>
      <c r="N25" s="6"/>
      <c r="O25" s="13">
        <v>30</v>
      </c>
      <c r="P25" s="23" t="s">
        <v>142</v>
      </c>
    </row>
    <row r="26" s="23" customFormat="1" ht="21" customHeight="1" spans="1:16">
      <c r="A26" s="6">
        <v>24</v>
      </c>
      <c r="B26" s="7">
        <v>46096</v>
      </c>
      <c r="C26" s="8" t="s">
        <v>45</v>
      </c>
      <c r="D26" s="6" t="s">
        <v>171</v>
      </c>
      <c r="E26" s="8">
        <v>5</v>
      </c>
      <c r="F26" s="8"/>
      <c r="G26" s="6"/>
      <c r="H26" s="6"/>
      <c r="I26" s="6">
        <v>65</v>
      </c>
      <c r="J26" s="7">
        <v>46096</v>
      </c>
      <c r="K26" s="6" t="s">
        <v>136</v>
      </c>
      <c r="L26" s="6" t="s">
        <v>171</v>
      </c>
      <c r="M26" s="6">
        <v>5</v>
      </c>
      <c r="N26" s="6"/>
      <c r="O26" s="6">
        <v>10</v>
      </c>
      <c r="P26" s="31"/>
    </row>
    <row r="27" s="23" customFormat="1" ht="21" customHeight="1" spans="1:16">
      <c r="A27" s="6">
        <v>25</v>
      </c>
      <c r="B27" s="7">
        <v>46096</v>
      </c>
      <c r="C27" s="8" t="s">
        <v>46</v>
      </c>
      <c r="D27" s="6" t="s">
        <v>171</v>
      </c>
      <c r="E27" s="8">
        <v>5</v>
      </c>
      <c r="F27" s="8"/>
      <c r="G27" s="6"/>
      <c r="H27" s="6"/>
      <c r="I27" s="6"/>
      <c r="J27" s="7"/>
      <c r="K27" s="6"/>
      <c r="L27" s="6"/>
      <c r="M27" s="6"/>
      <c r="N27" s="6"/>
      <c r="O27" s="6"/>
    </row>
    <row r="28" s="23" customFormat="1" ht="21" customHeight="1" spans="1:16">
      <c r="A28" s="6">
        <v>26</v>
      </c>
      <c r="B28" s="7">
        <v>46096</v>
      </c>
      <c r="C28" s="8" t="s">
        <v>47</v>
      </c>
      <c r="D28" s="6" t="s">
        <v>171</v>
      </c>
      <c r="E28" s="8">
        <v>5</v>
      </c>
      <c r="F28" s="8"/>
      <c r="G28" s="6"/>
      <c r="H28" s="6"/>
      <c r="I28" s="6"/>
      <c r="J28" s="6"/>
      <c r="K28" s="6"/>
      <c r="L28" s="6"/>
      <c r="M28" s="6">
        <f>SUM(M3:M27)</f>
        <v>77</v>
      </c>
      <c r="N28" s="6">
        <f>SUM(N3:N27)</f>
        <v>33</v>
      </c>
      <c r="O28" s="6"/>
    </row>
    <row r="29" s="23" customFormat="1" ht="21" customHeight="1" spans="1:16">
      <c r="A29" s="6">
        <v>27</v>
      </c>
      <c r="B29" s="7">
        <v>46096</v>
      </c>
      <c r="C29" s="8" t="s">
        <v>48</v>
      </c>
      <c r="D29" s="6" t="s">
        <v>171</v>
      </c>
      <c r="E29" s="8">
        <v>5</v>
      </c>
      <c r="F29" s="8"/>
      <c r="G29" s="6"/>
      <c r="H29" s="6"/>
      <c r="I29" s="6"/>
      <c r="J29" s="6"/>
      <c r="K29" s="6"/>
      <c r="L29" s="6"/>
      <c r="M29" s="6"/>
      <c r="N29" s="6"/>
      <c r="O29" s="6"/>
    </row>
    <row r="30" s="23" customFormat="1" ht="21" customHeight="1" spans="1:16">
      <c r="A30" s="6">
        <v>28</v>
      </c>
      <c r="B30" s="7">
        <v>46096</v>
      </c>
      <c r="C30" s="8" t="s">
        <v>49</v>
      </c>
      <c r="D30" s="6" t="s">
        <v>171</v>
      </c>
      <c r="E30" s="8">
        <v>5</v>
      </c>
      <c r="F30" s="8"/>
      <c r="G30" s="6"/>
      <c r="H30" s="6"/>
      <c r="I30" s="6"/>
      <c r="J30" s="6"/>
      <c r="K30" s="6"/>
      <c r="L30" s="6"/>
      <c r="M30" s="6"/>
      <c r="N30" s="6"/>
      <c r="O30" s="6"/>
    </row>
    <row r="31" s="23" customFormat="1" ht="21" customHeight="1" spans="1:16">
      <c r="A31" s="6">
        <v>29</v>
      </c>
      <c r="B31" s="7">
        <v>46096</v>
      </c>
      <c r="C31" s="8" t="s">
        <v>145</v>
      </c>
      <c r="D31" s="6" t="s">
        <v>171</v>
      </c>
      <c r="E31" s="8">
        <v>5</v>
      </c>
      <c r="F31" s="8"/>
      <c r="G31" s="6"/>
      <c r="H31" s="6"/>
      <c r="I31" s="6"/>
      <c r="J31" s="6"/>
      <c r="K31" t="s">
        <v>169</v>
      </c>
      <c r="L31" t="s">
        <v>170</v>
      </c>
      <c r="M31" s="6"/>
      <c r="N31" s="6"/>
      <c r="O31" s="6"/>
    </row>
    <row r="32" s="23" customFormat="1" ht="21" customHeight="1" spans="1:16">
      <c r="A32" s="6">
        <v>30</v>
      </c>
      <c r="B32" s="7">
        <v>46096</v>
      </c>
      <c r="C32" s="8" t="s">
        <v>146</v>
      </c>
      <c r="D32" s="6" t="s">
        <v>171</v>
      </c>
      <c r="E32" s="8">
        <v>5</v>
      </c>
      <c r="F32" s="8"/>
      <c r="G32" s="6"/>
      <c r="H32" s="6"/>
      <c r="I32" s="6"/>
      <c r="J32" s="6"/>
      <c r="K32">
        <f>E44+M28</f>
        <v>195</v>
      </c>
      <c r="L32">
        <f>F44+N28</f>
        <v>120</v>
      </c>
      <c r="M32" s="6"/>
      <c r="N32" s="6"/>
      <c r="O32" s="6"/>
    </row>
    <row r="33" s="23" customFormat="1" ht="21" customHeight="1" spans="1:15">
      <c r="A33" s="6">
        <v>31</v>
      </c>
      <c r="B33" s="7">
        <v>46096</v>
      </c>
      <c r="C33" s="8" t="s">
        <v>52</v>
      </c>
      <c r="D33" s="6" t="s">
        <v>171</v>
      </c>
      <c r="E33" s="8">
        <v>3</v>
      </c>
      <c r="F33" s="8">
        <v>2</v>
      </c>
      <c r="G33" s="6"/>
      <c r="H33" s="6"/>
      <c r="I33" s="6"/>
      <c r="J33" s="6"/>
      <c r="K33" s="6"/>
      <c r="L33" s="6"/>
      <c r="M33" s="6"/>
      <c r="N33" s="6"/>
      <c r="O33" s="6"/>
    </row>
    <row r="34" s="23" customFormat="1" ht="21" customHeight="1" spans="1:15">
      <c r="A34" s="6">
        <v>32</v>
      </c>
      <c r="B34" s="7">
        <v>46096</v>
      </c>
      <c r="C34" s="8" t="s">
        <v>54</v>
      </c>
      <c r="D34" s="6" t="s">
        <v>171</v>
      </c>
      <c r="E34" s="8"/>
      <c r="F34" s="8">
        <v>5</v>
      </c>
      <c r="G34" s="6"/>
      <c r="H34" s="6"/>
      <c r="I34" s="6"/>
      <c r="J34" s="6"/>
      <c r="K34" s="6"/>
      <c r="L34" s="6"/>
      <c r="M34" s="6"/>
      <c r="N34" s="6"/>
      <c r="O34" s="6"/>
    </row>
    <row r="35" s="23" customFormat="1" ht="21" customHeight="1" spans="1:15">
      <c r="A35" s="6">
        <v>33</v>
      </c>
      <c r="B35" s="7">
        <v>46096</v>
      </c>
      <c r="C35" s="8" t="s">
        <v>55</v>
      </c>
      <c r="D35" s="6" t="s">
        <v>171</v>
      </c>
      <c r="E35" s="8">
        <v>3</v>
      </c>
      <c r="F35" s="8">
        <v>2</v>
      </c>
      <c r="G35" s="6"/>
      <c r="H35" s="6"/>
      <c r="I35" s="6"/>
      <c r="J35" s="6"/>
      <c r="K35" s="6"/>
      <c r="L35" s="6"/>
      <c r="M35" s="6"/>
      <c r="N35" s="6"/>
      <c r="O35" s="6"/>
    </row>
    <row r="36" s="23" customFormat="1" ht="21" customHeight="1" spans="1:15">
      <c r="A36" s="6">
        <v>34</v>
      </c>
      <c r="B36" s="7">
        <v>46096</v>
      </c>
      <c r="C36" s="8" t="s">
        <v>56</v>
      </c>
      <c r="D36" s="6" t="s">
        <v>171</v>
      </c>
      <c r="E36" s="8">
        <v>3</v>
      </c>
      <c r="F36" s="8">
        <v>2</v>
      </c>
      <c r="G36" s="6"/>
      <c r="H36" s="6"/>
      <c r="I36" s="6"/>
      <c r="J36" s="6"/>
      <c r="K36" s="6"/>
      <c r="L36" s="6"/>
      <c r="M36" s="6"/>
      <c r="N36" s="6"/>
      <c r="O36" s="6"/>
    </row>
    <row r="37" s="23" customFormat="1" ht="21" customHeight="1" spans="1:15">
      <c r="A37" s="6">
        <v>35</v>
      </c>
      <c r="B37" s="7">
        <v>46096</v>
      </c>
      <c r="C37" s="8" t="s">
        <v>57</v>
      </c>
      <c r="D37" s="6" t="s">
        <v>171</v>
      </c>
      <c r="E37" s="8">
        <v>3</v>
      </c>
      <c r="F37" s="8">
        <v>2</v>
      </c>
      <c r="G37" s="6"/>
      <c r="H37" s="6"/>
      <c r="I37" s="6"/>
      <c r="J37" s="6"/>
      <c r="K37" s="6"/>
      <c r="L37" s="6"/>
      <c r="M37" s="6"/>
      <c r="N37" s="6"/>
      <c r="O37" s="6"/>
    </row>
    <row r="38" s="23" customFormat="1" ht="21" customHeight="1" spans="1:15">
      <c r="A38" s="6">
        <v>36</v>
      </c>
      <c r="B38" s="7">
        <v>46096</v>
      </c>
      <c r="C38" s="8" t="s">
        <v>147</v>
      </c>
      <c r="D38" s="6" t="s">
        <v>171</v>
      </c>
      <c r="E38" s="8">
        <v>5</v>
      </c>
      <c r="F38" s="8"/>
      <c r="G38" s="6"/>
      <c r="H38" s="6"/>
      <c r="I38" s="6"/>
      <c r="J38" s="6"/>
      <c r="K38" s="6"/>
      <c r="L38" s="6"/>
      <c r="M38" s="6"/>
      <c r="N38" s="6"/>
      <c r="O38" s="6"/>
    </row>
    <row r="39" s="23" customFormat="1" ht="21" customHeight="1" spans="1:15">
      <c r="A39" s="6">
        <v>37</v>
      </c>
      <c r="B39" s="7">
        <v>46096</v>
      </c>
      <c r="C39" s="8" t="s">
        <v>148</v>
      </c>
      <c r="D39" s="6" t="s">
        <v>171</v>
      </c>
      <c r="E39" s="8"/>
      <c r="F39" s="8">
        <v>5</v>
      </c>
      <c r="G39" s="6"/>
      <c r="H39" s="6"/>
      <c r="I39" s="6"/>
      <c r="J39" s="6"/>
      <c r="K39" s="6"/>
      <c r="L39" s="6"/>
      <c r="M39" s="6"/>
      <c r="N39" s="6"/>
      <c r="O39" s="6"/>
    </row>
    <row r="40" s="23" customFormat="1" ht="21" customHeight="1" spans="1:15">
      <c r="A40" s="6">
        <v>38</v>
      </c>
      <c r="B40" s="7">
        <v>46096</v>
      </c>
      <c r="C40" s="8" t="s">
        <v>60</v>
      </c>
      <c r="D40" s="6" t="s">
        <v>171</v>
      </c>
      <c r="E40" s="8">
        <v>4</v>
      </c>
      <c r="F40" s="8">
        <v>1</v>
      </c>
      <c r="G40" s="6"/>
      <c r="H40" s="6"/>
      <c r="I40" s="6"/>
      <c r="J40" s="6"/>
      <c r="K40" s="6"/>
      <c r="L40" s="6"/>
      <c r="M40" s="6"/>
      <c r="N40" s="6"/>
      <c r="O40" s="6"/>
    </row>
    <row r="41" s="23" customFormat="1" ht="21" customHeight="1" spans="1:15">
      <c r="A41" s="6">
        <v>39</v>
      </c>
      <c r="B41" s="7">
        <v>46096</v>
      </c>
      <c r="C41" s="8" t="s">
        <v>61</v>
      </c>
      <c r="D41" s="6" t="s">
        <v>171</v>
      </c>
      <c r="E41" s="8">
        <v>3</v>
      </c>
      <c r="F41" s="8">
        <v>2</v>
      </c>
      <c r="G41" s="6"/>
      <c r="H41" s="6"/>
      <c r="I41" s="6"/>
      <c r="J41" s="6"/>
      <c r="K41" s="6"/>
      <c r="L41" s="6"/>
      <c r="M41" s="6"/>
      <c r="N41" s="6"/>
      <c r="O41" s="6"/>
    </row>
    <row r="42" s="23" customFormat="1" ht="21" customHeight="1" spans="1:15">
      <c r="A42" s="6">
        <v>40</v>
      </c>
      <c r="B42" s="7">
        <v>46096</v>
      </c>
      <c r="C42" s="8" t="s">
        <v>149</v>
      </c>
      <c r="D42" s="6" t="s">
        <v>171</v>
      </c>
      <c r="E42" s="8">
        <v>5</v>
      </c>
      <c r="F42" s="8"/>
      <c r="G42" s="6"/>
      <c r="H42" s="6"/>
      <c r="I42" s="6"/>
      <c r="J42" s="6"/>
      <c r="K42" s="6"/>
      <c r="L42" s="6"/>
      <c r="M42" s="6"/>
      <c r="N42" s="6"/>
      <c r="O42" s="6"/>
    </row>
    <row r="43" s="23" customFormat="1" ht="21" customHeight="1" spans="1:15">
      <c r="A43" s="6">
        <v>41</v>
      </c>
      <c r="B43" s="7">
        <v>46096</v>
      </c>
      <c r="C43" s="8" t="s">
        <v>149</v>
      </c>
      <c r="D43" s="6" t="s">
        <v>171</v>
      </c>
      <c r="E43" s="8"/>
      <c r="F43" s="8">
        <v>5</v>
      </c>
      <c r="G43" s="6"/>
      <c r="H43" s="6"/>
      <c r="I43" s="6"/>
      <c r="J43" s="6"/>
      <c r="K43" s="6"/>
      <c r="L43" s="6"/>
      <c r="M43" s="6"/>
      <c r="N43" s="6"/>
      <c r="O43" s="6"/>
    </row>
    <row r="44" s="23" customFormat="1" ht="21" customHeight="1" spans="1:15">
      <c r="A44" s="6"/>
      <c r="B44" s="6"/>
      <c r="C44" s="6"/>
      <c r="D44" s="6"/>
      <c r="E44" s="6">
        <f>SUM(E3:E43)</f>
        <v>118</v>
      </c>
      <c r="F44" s="6">
        <f>SUM(F3:F43)</f>
        <v>87</v>
      </c>
      <c r="G44" s="6"/>
      <c r="H44" s="6"/>
      <c r="I44" s="6"/>
      <c r="J44" s="6"/>
      <c r="K44" s="6"/>
      <c r="L44" s="6"/>
      <c r="M44" s="6"/>
      <c r="N44" s="6"/>
      <c r="O44" s="6"/>
    </row>
    <row r="45" ht="18.75" spans="1:15">
      <c r="I45" s="6"/>
      <c r="J45" s="6"/>
      <c r="K45" s="6"/>
      <c r="L45" s="6"/>
      <c r="O45" s="6"/>
    </row>
  </sheetData>
  <sheetProtection formatCells="0" formatColumns="0" formatRows="0" insertRows="0" insertColumns="0" insertHyperlinks="0" deleteColumns="0" deleteRows="0" sort="0" autoFilter="0" pivotTables="0"/>
  <mergeCells count="2">
    <mergeCell ref="A1:G1"/>
    <mergeCell ref="I1:O1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"/>
  <sheetViews>
    <sheetView zoomScale="85" zoomScaleNormal="85" topLeftCell="E2" workbookViewId="0">
      <selection activeCell="K24" sqref="K24"/>
    </sheetView>
  </sheetViews>
  <sheetFormatPr defaultColWidth="9" defaultRowHeight="13.5"/>
  <cols>
    <col min="1" max="1" width="7.225" customWidth="1"/>
    <col min="2" max="2" width="10.225" customWidth="1"/>
    <col min="3" max="3" width="11.5583333333333" customWidth="1"/>
    <col min="4" max="4" width="10.5583333333333" customWidth="1"/>
    <col min="5" max="6" width="8.44166666666667" customWidth="1"/>
    <col min="7" max="7" width="13.75" customWidth="1"/>
    <col min="8" max="8" width="4.125" customWidth="1"/>
    <col min="10" max="10" width="11.3333333333333" customWidth="1"/>
    <col min="11" max="11" width="11.225" customWidth="1"/>
    <col min="12" max="12" width="10.775" customWidth="1"/>
    <col min="15" max="15" width="13.525" customWidth="1"/>
    <col min="16" max="16" width="14.375" customWidth="1"/>
  </cols>
  <sheetData>
    <row r="1" customFormat="1" ht="41" customHeight="1" spans="1:15">
      <c r="A1" s="1" t="s">
        <v>167</v>
      </c>
      <c r="B1" s="1"/>
      <c r="C1" s="1"/>
      <c r="D1" s="1"/>
      <c r="E1" s="1"/>
      <c r="F1" s="2"/>
      <c r="G1" s="3"/>
      <c r="I1" s="1" t="s">
        <v>167</v>
      </c>
      <c r="J1" s="1"/>
      <c r="K1" s="1"/>
      <c r="L1" s="1"/>
      <c r="M1" s="1"/>
      <c r="N1" s="2"/>
      <c r="O1" s="3"/>
    </row>
    <row r="2" s="5" customFormat="1" ht="24" customHeight="1" spans="1:15">
      <c r="A2" s="4" t="s">
        <v>2</v>
      </c>
      <c r="B2" s="4" t="s">
        <v>163</v>
      </c>
      <c r="C2" s="4" t="s">
        <v>3</v>
      </c>
      <c r="D2" s="4" t="s">
        <v>168</v>
      </c>
      <c r="E2" s="4" t="s">
        <v>169</v>
      </c>
      <c r="F2" s="4" t="s">
        <v>170</v>
      </c>
      <c r="G2" s="4" t="s">
        <v>7</v>
      </c>
      <c r="I2" s="4" t="s">
        <v>2</v>
      </c>
      <c r="J2" s="4" t="s">
        <v>163</v>
      </c>
      <c r="K2" s="4" t="s">
        <v>3</v>
      </c>
      <c r="L2" s="4" t="s">
        <v>168</v>
      </c>
      <c r="M2" s="4" t="s">
        <v>169</v>
      </c>
      <c r="N2" s="4" t="s">
        <v>170</v>
      </c>
      <c r="O2" s="4" t="s">
        <v>7</v>
      </c>
    </row>
    <row r="3" s="23" customFormat="1" ht="21" customHeight="1" spans="1:15">
      <c r="A3" s="6">
        <v>1</v>
      </c>
      <c r="B3" s="7">
        <v>46103</v>
      </c>
      <c r="C3" s="8" t="s">
        <v>13</v>
      </c>
      <c r="D3" s="6" t="s">
        <v>171</v>
      </c>
      <c r="E3" s="8"/>
      <c r="F3" s="8">
        <v>5</v>
      </c>
      <c r="G3" s="6"/>
      <c r="H3" s="6"/>
      <c r="I3" s="6">
        <v>42</v>
      </c>
      <c r="J3" s="7">
        <v>46103</v>
      </c>
      <c r="K3" s="8" t="s">
        <v>149</v>
      </c>
      <c r="L3" s="6" t="s">
        <v>171</v>
      </c>
      <c r="M3" s="8" t="s">
        <v>94</v>
      </c>
      <c r="N3" s="8"/>
      <c r="O3" s="6"/>
    </row>
    <row r="4" s="23" customFormat="1" ht="21" customHeight="1" spans="1:15">
      <c r="A4" s="6">
        <v>2</v>
      </c>
      <c r="B4" s="7">
        <v>46103</v>
      </c>
      <c r="C4" s="8" t="s">
        <v>17</v>
      </c>
      <c r="D4" s="6" t="s">
        <v>171</v>
      </c>
      <c r="E4" s="8">
        <v>5</v>
      </c>
      <c r="F4" s="8"/>
      <c r="G4" s="6"/>
      <c r="H4" s="6"/>
      <c r="I4" s="6">
        <v>43</v>
      </c>
      <c r="J4" s="7">
        <v>46103</v>
      </c>
      <c r="K4" s="8" t="s">
        <v>151</v>
      </c>
      <c r="L4" s="6" t="s">
        <v>171</v>
      </c>
      <c r="M4" s="8">
        <v>5</v>
      </c>
      <c r="N4" s="8"/>
      <c r="O4" s="6"/>
    </row>
    <row r="5" s="23" customFormat="1" ht="21" customHeight="1" spans="1:15">
      <c r="A5" s="6">
        <v>3</v>
      </c>
      <c r="B5" s="7">
        <v>46103</v>
      </c>
      <c r="C5" s="8" t="s">
        <v>19</v>
      </c>
      <c r="D5" s="6" t="s">
        <v>171</v>
      </c>
      <c r="E5" s="8">
        <v>5</v>
      </c>
      <c r="F5" s="8"/>
      <c r="G5" s="6"/>
      <c r="H5" s="6"/>
      <c r="I5" s="6">
        <v>44</v>
      </c>
      <c r="J5" s="7">
        <v>46103</v>
      </c>
      <c r="K5" s="8" t="s">
        <v>152</v>
      </c>
      <c r="L5" s="6" t="s">
        <v>171</v>
      </c>
      <c r="M5" s="8">
        <v>5</v>
      </c>
      <c r="N5" s="8"/>
      <c r="O5" s="6"/>
    </row>
    <row r="6" s="23" customFormat="1" ht="21" customHeight="1" spans="1:15">
      <c r="A6" s="6">
        <v>4</v>
      </c>
      <c r="B6" s="7">
        <v>46103</v>
      </c>
      <c r="C6" s="8" t="s">
        <v>21</v>
      </c>
      <c r="D6" s="6" t="s">
        <v>171</v>
      </c>
      <c r="E6" s="8"/>
      <c r="F6" s="8">
        <v>5</v>
      </c>
      <c r="G6" s="6"/>
      <c r="H6" s="6"/>
      <c r="I6" s="6">
        <v>45</v>
      </c>
      <c r="J6" s="7">
        <v>46103</v>
      </c>
      <c r="K6" s="8" t="s">
        <v>66</v>
      </c>
      <c r="L6" s="6" t="s">
        <v>171</v>
      </c>
      <c r="M6" s="8">
        <v>4</v>
      </c>
      <c r="N6" s="8">
        <v>1</v>
      </c>
      <c r="O6" s="6"/>
    </row>
    <row r="7" s="23" customFormat="1" ht="21" customHeight="1" spans="1:15">
      <c r="A7" s="6">
        <v>5</v>
      </c>
      <c r="B7" s="7">
        <v>46103</v>
      </c>
      <c r="C7" s="8" t="s">
        <v>23</v>
      </c>
      <c r="D7" s="6" t="s">
        <v>171</v>
      </c>
      <c r="E7" s="8">
        <v>5</v>
      </c>
      <c r="F7" s="8"/>
      <c r="G7" s="6"/>
      <c r="H7" s="6"/>
      <c r="I7" s="6">
        <v>46</v>
      </c>
      <c r="J7" s="7">
        <v>46103</v>
      </c>
      <c r="K7" s="8" t="s">
        <v>70</v>
      </c>
      <c r="L7" s="6" t="s">
        <v>171</v>
      </c>
      <c r="M7" s="8">
        <v>2</v>
      </c>
      <c r="N7" s="8">
        <v>3</v>
      </c>
      <c r="O7" s="6"/>
    </row>
    <row r="8" s="23" customFormat="1" ht="21" customHeight="1" spans="1:15">
      <c r="A8" s="6">
        <v>6</v>
      </c>
      <c r="B8" s="7">
        <v>46103</v>
      </c>
      <c r="C8" s="8" t="s">
        <v>24</v>
      </c>
      <c r="D8" s="6" t="s">
        <v>171</v>
      </c>
      <c r="E8" s="8">
        <v>3</v>
      </c>
      <c r="F8" s="8">
        <v>2</v>
      </c>
      <c r="G8" s="6"/>
      <c r="H8" s="6"/>
      <c r="I8" s="6">
        <v>47</v>
      </c>
      <c r="J8" s="7">
        <v>46103</v>
      </c>
      <c r="K8" s="8" t="s">
        <v>71</v>
      </c>
      <c r="L8" s="6" t="s">
        <v>171</v>
      </c>
      <c r="M8" s="8">
        <v>3</v>
      </c>
      <c r="N8" s="8">
        <v>2</v>
      </c>
      <c r="O8" s="6"/>
    </row>
    <row r="9" s="23" customFormat="1" ht="21" customHeight="1" spans="1:15">
      <c r="A9" s="6">
        <v>7</v>
      </c>
      <c r="B9" s="7">
        <v>46103</v>
      </c>
      <c r="C9" s="8" t="s">
        <v>27</v>
      </c>
      <c r="D9" s="6" t="s">
        <v>171</v>
      </c>
      <c r="E9" s="8">
        <v>5</v>
      </c>
      <c r="F9" s="8"/>
      <c r="G9" s="6"/>
      <c r="H9" s="6"/>
      <c r="I9" s="6">
        <v>48</v>
      </c>
      <c r="J9" s="7">
        <v>46103</v>
      </c>
      <c r="K9" s="8" t="s">
        <v>72</v>
      </c>
      <c r="L9" s="6" t="s">
        <v>171</v>
      </c>
      <c r="M9" s="8">
        <v>3</v>
      </c>
      <c r="N9" s="8">
        <v>2</v>
      </c>
      <c r="O9" s="6"/>
    </row>
    <row r="10" s="23" customFormat="1" ht="21" customHeight="1" spans="1:15">
      <c r="A10" s="6">
        <v>8</v>
      </c>
      <c r="B10" s="7">
        <v>46103</v>
      </c>
      <c r="C10" s="8" t="s">
        <v>28</v>
      </c>
      <c r="D10" s="6" t="s">
        <v>171</v>
      </c>
      <c r="E10" s="8">
        <v>5</v>
      </c>
      <c r="F10" s="8"/>
      <c r="G10" s="6"/>
      <c r="H10" s="6"/>
      <c r="I10" s="6">
        <v>49</v>
      </c>
      <c r="J10" s="7">
        <v>46103</v>
      </c>
      <c r="K10" s="8" t="s">
        <v>73</v>
      </c>
      <c r="L10" s="6" t="s">
        <v>171</v>
      </c>
      <c r="M10" s="8"/>
      <c r="N10" s="8">
        <v>5</v>
      </c>
      <c r="O10" s="6"/>
    </row>
    <row r="11" s="23" customFormat="1" ht="21" customHeight="1" spans="1:15">
      <c r="A11" s="6">
        <v>9</v>
      </c>
      <c r="B11" s="7">
        <v>46103</v>
      </c>
      <c r="C11" s="8" t="s">
        <v>28</v>
      </c>
      <c r="D11" s="6" t="s">
        <v>171</v>
      </c>
      <c r="E11" s="8"/>
      <c r="F11" s="8">
        <v>5</v>
      </c>
      <c r="G11" s="6"/>
      <c r="H11" s="6"/>
      <c r="I11" s="6">
        <v>50</v>
      </c>
      <c r="J11" s="7">
        <v>46103</v>
      </c>
      <c r="K11" s="8" t="s">
        <v>74</v>
      </c>
      <c r="L11" s="6" t="s">
        <v>171</v>
      </c>
      <c r="M11" s="8">
        <v>5</v>
      </c>
      <c r="N11" s="8"/>
      <c r="O11" s="6"/>
    </row>
    <row r="12" s="23" customFormat="1" ht="21" customHeight="1" spans="1:15">
      <c r="A12" s="6">
        <v>10</v>
      </c>
      <c r="B12" s="7">
        <v>46103</v>
      </c>
      <c r="C12" s="8" t="s">
        <v>29</v>
      </c>
      <c r="D12" s="6" t="s">
        <v>171</v>
      </c>
      <c r="E12" s="8"/>
      <c r="F12" s="8">
        <v>5</v>
      </c>
      <c r="G12" s="6"/>
      <c r="H12" s="6"/>
      <c r="I12" s="6">
        <v>51</v>
      </c>
      <c r="J12" s="7">
        <v>46103</v>
      </c>
      <c r="K12" s="8" t="s">
        <v>75</v>
      </c>
      <c r="L12" s="6" t="s">
        <v>171</v>
      </c>
      <c r="M12" s="8">
        <v>3</v>
      </c>
      <c r="N12" s="8">
        <v>2</v>
      </c>
      <c r="O12" s="6"/>
    </row>
    <row r="13" s="23" customFormat="1" ht="21" customHeight="1" spans="1:15">
      <c r="A13" s="6">
        <v>11</v>
      </c>
      <c r="B13" s="7">
        <v>46103</v>
      </c>
      <c r="C13" s="8" t="s">
        <v>30</v>
      </c>
      <c r="D13" s="6" t="s">
        <v>171</v>
      </c>
      <c r="E13" s="10">
        <v>3</v>
      </c>
      <c r="F13" s="8">
        <v>2</v>
      </c>
      <c r="G13" s="6"/>
      <c r="H13" s="6"/>
      <c r="I13" s="6">
        <v>52</v>
      </c>
      <c r="J13" s="7">
        <v>46103</v>
      </c>
      <c r="K13" s="8" t="s">
        <v>76</v>
      </c>
      <c r="L13" s="6" t="s">
        <v>171</v>
      </c>
      <c r="M13" s="8">
        <v>5</v>
      </c>
      <c r="N13" s="8"/>
      <c r="O13" s="6"/>
    </row>
    <row r="14" s="23" customFormat="1" ht="21" customHeight="1" spans="1:15">
      <c r="A14" s="6">
        <v>12</v>
      </c>
      <c r="B14" s="7">
        <v>46103</v>
      </c>
      <c r="C14" s="8" t="s">
        <v>33</v>
      </c>
      <c r="D14" s="6" t="s">
        <v>171</v>
      </c>
      <c r="E14" s="8">
        <v>3</v>
      </c>
      <c r="F14" s="8">
        <v>2</v>
      </c>
      <c r="G14" s="6"/>
      <c r="H14" s="6"/>
      <c r="I14" s="6">
        <v>53</v>
      </c>
      <c r="J14" s="7">
        <v>46103</v>
      </c>
      <c r="K14" s="8" t="s">
        <v>77</v>
      </c>
      <c r="L14" s="6" t="s">
        <v>171</v>
      </c>
      <c r="M14" s="8">
        <v>5</v>
      </c>
      <c r="N14" s="8"/>
      <c r="O14" s="6"/>
    </row>
    <row r="15" s="23" customFormat="1" ht="21" customHeight="1" spans="1:15">
      <c r="A15" s="6">
        <v>13</v>
      </c>
      <c r="B15" s="7">
        <v>46103</v>
      </c>
      <c r="C15" s="8" t="s">
        <v>34</v>
      </c>
      <c r="D15" s="6" t="s">
        <v>171</v>
      </c>
      <c r="E15" s="8"/>
      <c r="F15" s="8">
        <v>5</v>
      </c>
      <c r="G15" s="6"/>
      <c r="H15" s="6"/>
      <c r="I15" s="6">
        <v>54</v>
      </c>
      <c r="J15" s="7">
        <v>46103</v>
      </c>
      <c r="K15" s="8" t="s">
        <v>78</v>
      </c>
      <c r="L15" s="6" t="s">
        <v>171</v>
      </c>
      <c r="M15" s="8">
        <v>5</v>
      </c>
      <c r="N15" s="8"/>
      <c r="O15" s="6"/>
    </row>
    <row r="16" s="23" customFormat="1" ht="21" customHeight="1" spans="1:15">
      <c r="A16" s="6">
        <v>14</v>
      </c>
      <c r="B16" s="7">
        <v>46103</v>
      </c>
      <c r="C16" s="8" t="s">
        <v>36</v>
      </c>
      <c r="D16" s="6" t="s">
        <v>171</v>
      </c>
      <c r="E16" s="8"/>
      <c r="F16" s="8">
        <v>5</v>
      </c>
      <c r="G16" s="6"/>
      <c r="H16" s="6"/>
      <c r="I16" s="6">
        <v>55</v>
      </c>
      <c r="J16" s="7">
        <v>46103</v>
      </c>
      <c r="K16" s="8" t="s">
        <v>79</v>
      </c>
      <c r="L16" s="6" t="s">
        <v>171</v>
      </c>
      <c r="M16" s="8">
        <v>5</v>
      </c>
      <c r="N16" s="8"/>
      <c r="O16" s="6"/>
    </row>
    <row r="17" s="23" customFormat="1" ht="21" customHeight="1" spans="1:16">
      <c r="A17" s="6">
        <v>15</v>
      </c>
      <c r="B17" s="7">
        <v>46103</v>
      </c>
      <c r="C17" s="8" t="s">
        <v>37</v>
      </c>
      <c r="D17" s="6" t="s">
        <v>171</v>
      </c>
      <c r="E17" s="8"/>
      <c r="F17" s="8">
        <v>5</v>
      </c>
      <c r="G17" s="6"/>
      <c r="H17" s="6"/>
      <c r="I17" s="6">
        <v>56</v>
      </c>
      <c r="J17" s="7">
        <v>46103</v>
      </c>
      <c r="K17" s="8" t="s">
        <v>80</v>
      </c>
      <c r="L17" s="6" t="s">
        <v>171</v>
      </c>
      <c r="M17" s="8">
        <v>2</v>
      </c>
      <c r="N17" s="8">
        <v>5</v>
      </c>
      <c r="O17" s="6"/>
      <c r="P17" s="23" t="s">
        <v>173</v>
      </c>
    </row>
    <row r="18" s="23" customFormat="1" ht="21" customHeight="1" spans="1:16">
      <c r="A18" s="6">
        <v>16</v>
      </c>
      <c r="B18" s="7">
        <v>46103</v>
      </c>
      <c r="C18" s="8" t="s">
        <v>38</v>
      </c>
      <c r="D18" s="6" t="s">
        <v>171</v>
      </c>
      <c r="E18" s="8">
        <v>5</v>
      </c>
      <c r="F18" s="8"/>
      <c r="G18" s="6"/>
      <c r="H18" s="6"/>
      <c r="I18" s="6">
        <v>57</v>
      </c>
      <c r="J18" s="7">
        <v>46103</v>
      </c>
      <c r="K18" s="8" t="s">
        <v>81</v>
      </c>
      <c r="L18" s="6" t="s">
        <v>171</v>
      </c>
      <c r="M18" s="8">
        <v>2</v>
      </c>
      <c r="N18" s="8">
        <v>5</v>
      </c>
      <c r="O18" s="6"/>
    </row>
    <row r="19" s="23" customFormat="1" ht="21" customHeight="1" spans="1:16">
      <c r="A19" s="6">
        <v>17</v>
      </c>
      <c r="B19" s="7">
        <v>46103</v>
      </c>
      <c r="C19" s="8" t="s">
        <v>40</v>
      </c>
      <c r="D19" s="6" t="s">
        <v>171</v>
      </c>
      <c r="E19" s="8">
        <v>3</v>
      </c>
      <c r="F19" s="8">
        <v>2</v>
      </c>
      <c r="G19" s="6"/>
      <c r="H19" s="6"/>
      <c r="I19" s="6">
        <v>58</v>
      </c>
      <c r="J19" s="7">
        <v>46103</v>
      </c>
      <c r="K19" s="8" t="s">
        <v>154</v>
      </c>
      <c r="L19" s="6" t="s">
        <v>171</v>
      </c>
      <c r="M19" s="8">
        <v>3</v>
      </c>
      <c r="N19" s="8">
        <v>2</v>
      </c>
      <c r="O19" s="6"/>
    </row>
    <row r="20" s="23" customFormat="1" ht="21" customHeight="1" spans="1:16">
      <c r="A20" s="6">
        <v>18</v>
      </c>
      <c r="B20" s="7">
        <v>46103</v>
      </c>
      <c r="C20" s="8" t="s">
        <v>40</v>
      </c>
      <c r="D20" s="6" t="s">
        <v>171</v>
      </c>
      <c r="E20" s="8"/>
      <c r="F20" s="8">
        <v>5</v>
      </c>
      <c r="G20" s="6"/>
      <c r="H20" s="6"/>
      <c r="I20" s="6">
        <v>59</v>
      </c>
      <c r="J20" s="7">
        <v>46103</v>
      </c>
      <c r="K20" s="8" t="s">
        <v>85</v>
      </c>
      <c r="L20" s="6" t="s">
        <v>171</v>
      </c>
      <c r="M20" s="8">
        <v>5</v>
      </c>
      <c r="N20" s="8"/>
      <c r="O20" s="6"/>
    </row>
    <row r="21" s="23" customFormat="1" ht="21" customHeight="1" spans="1:16">
      <c r="A21" s="6">
        <v>19</v>
      </c>
      <c r="B21" s="7">
        <v>46103</v>
      </c>
      <c r="C21" s="8" t="s">
        <v>41</v>
      </c>
      <c r="D21" s="6" t="s">
        <v>171</v>
      </c>
      <c r="E21" s="8">
        <v>5</v>
      </c>
      <c r="F21" s="8"/>
      <c r="G21" s="6"/>
      <c r="H21" s="6"/>
      <c r="I21" s="6">
        <v>60</v>
      </c>
      <c r="J21" s="7">
        <v>46103</v>
      </c>
      <c r="K21" s="6" t="s">
        <v>138</v>
      </c>
      <c r="L21" s="6" t="s">
        <v>171</v>
      </c>
      <c r="M21" s="6">
        <v>5</v>
      </c>
      <c r="N21" s="6"/>
      <c r="O21" s="6"/>
    </row>
    <row r="22" s="23" customFormat="1" ht="21" customHeight="1" spans="1:16">
      <c r="A22" s="6">
        <v>20</v>
      </c>
      <c r="B22" s="7">
        <v>46103</v>
      </c>
      <c r="C22" s="8" t="s">
        <v>41</v>
      </c>
      <c r="D22" s="6" t="s">
        <v>171</v>
      </c>
      <c r="E22" s="8"/>
      <c r="F22" s="8">
        <v>5</v>
      </c>
      <c r="G22" s="6"/>
      <c r="H22" s="6"/>
      <c r="I22" s="6">
        <v>61</v>
      </c>
      <c r="J22" s="7">
        <v>46103</v>
      </c>
      <c r="K22" s="6" t="s">
        <v>155</v>
      </c>
      <c r="L22" s="6" t="s">
        <v>171</v>
      </c>
      <c r="M22" s="6"/>
      <c r="N22" s="6">
        <v>5</v>
      </c>
      <c r="O22" s="13"/>
      <c r="P22" s="23" t="s">
        <v>142</v>
      </c>
    </row>
    <row r="23" s="23" customFormat="1" ht="21" customHeight="1" spans="1:16">
      <c r="A23" s="6">
        <v>21</v>
      </c>
      <c r="B23" s="7">
        <v>46103</v>
      </c>
      <c r="C23" s="8" t="s">
        <v>42</v>
      </c>
      <c r="D23" s="6" t="s">
        <v>171</v>
      </c>
      <c r="E23" s="8">
        <v>2</v>
      </c>
      <c r="F23" s="8"/>
      <c r="G23" s="6"/>
      <c r="H23" s="6"/>
      <c r="I23" s="6">
        <v>62</v>
      </c>
      <c r="J23" s="7">
        <v>46103</v>
      </c>
      <c r="K23" s="6" t="s">
        <v>112</v>
      </c>
      <c r="L23" s="6" t="s">
        <v>171</v>
      </c>
      <c r="M23" s="14" t="s">
        <v>94</v>
      </c>
      <c r="N23" s="6"/>
      <c r="O23" s="6"/>
      <c r="P23" s="23" t="s">
        <v>142</v>
      </c>
    </row>
    <row r="24" s="23" customFormat="1" ht="21" customHeight="1" spans="1:16">
      <c r="A24" s="6">
        <v>22</v>
      </c>
      <c r="B24" s="7">
        <v>46103</v>
      </c>
      <c r="C24" s="8" t="s">
        <v>43</v>
      </c>
      <c r="D24" s="6" t="s">
        <v>171</v>
      </c>
      <c r="E24" s="8"/>
      <c r="F24" s="8">
        <v>8</v>
      </c>
      <c r="G24" s="6"/>
      <c r="H24" s="6"/>
      <c r="I24" s="6">
        <v>63</v>
      </c>
      <c r="J24" s="7">
        <v>46103</v>
      </c>
      <c r="K24" s="6" t="s">
        <v>120</v>
      </c>
      <c r="L24" s="6" t="s">
        <v>171</v>
      </c>
      <c r="M24" s="6"/>
      <c r="N24" s="6">
        <v>5</v>
      </c>
      <c r="O24" s="6"/>
      <c r="P24" s="23" t="s">
        <v>142</v>
      </c>
    </row>
    <row r="25" s="23" customFormat="1" ht="21" customHeight="1" spans="1:16">
      <c r="A25" s="6">
        <v>23</v>
      </c>
      <c r="B25" s="7">
        <v>46103</v>
      </c>
      <c r="C25" s="8" t="s">
        <v>45</v>
      </c>
      <c r="D25" s="6" t="s">
        <v>171</v>
      </c>
      <c r="E25" s="8">
        <v>5</v>
      </c>
      <c r="F25" s="8"/>
      <c r="G25" s="6"/>
      <c r="H25" s="6"/>
      <c r="I25" s="6">
        <v>64</v>
      </c>
      <c r="J25" s="7">
        <v>46103</v>
      </c>
      <c r="K25" s="6" t="s">
        <v>124</v>
      </c>
      <c r="L25" s="6" t="s">
        <v>171</v>
      </c>
      <c r="M25" s="38" t="s">
        <v>157</v>
      </c>
      <c r="N25" s="6"/>
      <c r="O25" s="13"/>
      <c r="P25" s="23" t="s">
        <v>142</v>
      </c>
    </row>
    <row r="26" s="23" customFormat="1" ht="21" customHeight="1" spans="1:16">
      <c r="A26" s="6">
        <v>24</v>
      </c>
      <c r="B26" s="7">
        <v>46103</v>
      </c>
      <c r="C26" s="8" t="s">
        <v>45</v>
      </c>
      <c r="D26" s="6" t="s">
        <v>171</v>
      </c>
      <c r="E26" s="8">
        <v>5</v>
      </c>
      <c r="F26" s="8"/>
      <c r="G26" s="6"/>
      <c r="H26" s="6"/>
      <c r="I26" s="6">
        <v>65</v>
      </c>
      <c r="J26" s="7">
        <v>46103</v>
      </c>
      <c r="K26" s="6" t="s">
        <v>136</v>
      </c>
      <c r="L26" s="6" t="s">
        <v>171</v>
      </c>
      <c r="M26" s="6">
        <v>5</v>
      </c>
      <c r="N26" s="6"/>
      <c r="O26" s="6"/>
      <c r="P26" s="31"/>
    </row>
    <row r="27" s="23" customFormat="1" ht="21" customHeight="1" spans="1:16">
      <c r="A27" s="6">
        <v>25</v>
      </c>
      <c r="B27" s="7">
        <v>46103</v>
      </c>
      <c r="C27" s="8" t="s">
        <v>46</v>
      </c>
      <c r="D27" s="6" t="s">
        <v>171</v>
      </c>
      <c r="E27" s="8">
        <v>5</v>
      </c>
      <c r="F27" s="8"/>
      <c r="G27" s="6"/>
      <c r="H27" s="6"/>
      <c r="I27" s="6"/>
      <c r="J27" s="7">
        <v>46103</v>
      </c>
      <c r="K27" s="6" t="s">
        <v>70</v>
      </c>
      <c r="L27" s="6" t="s">
        <v>174</v>
      </c>
      <c r="M27" s="6"/>
      <c r="N27" s="6">
        <v>1</v>
      </c>
      <c r="O27" s="6"/>
    </row>
    <row r="28" s="23" customFormat="1" ht="21" customHeight="1" spans="1:16">
      <c r="A28" s="6">
        <v>26</v>
      </c>
      <c r="B28" s="7">
        <v>46103</v>
      </c>
      <c r="C28" s="8" t="s">
        <v>47</v>
      </c>
      <c r="D28" s="6" t="s">
        <v>171</v>
      </c>
      <c r="E28" s="8">
        <v>5</v>
      </c>
      <c r="F28" s="8"/>
      <c r="G28" s="6"/>
      <c r="H28" s="6"/>
      <c r="I28" s="6"/>
      <c r="J28" s="6"/>
      <c r="K28" s="6"/>
      <c r="L28" s="6"/>
      <c r="M28" s="6"/>
      <c r="N28" s="6"/>
      <c r="O28" s="6"/>
    </row>
    <row r="29" s="23" customFormat="1" ht="21" customHeight="1" spans="1:16">
      <c r="A29" s="6">
        <v>27</v>
      </c>
      <c r="B29" s="7">
        <v>46103</v>
      </c>
      <c r="C29" s="8" t="s">
        <v>48</v>
      </c>
      <c r="D29" s="6" t="s">
        <v>171</v>
      </c>
      <c r="E29" s="8">
        <v>5</v>
      </c>
      <c r="F29" s="8"/>
      <c r="G29" s="6"/>
      <c r="H29" s="6"/>
      <c r="I29" s="6"/>
      <c r="J29" s="6"/>
      <c r="K29" s="6" t="s">
        <v>161</v>
      </c>
      <c r="L29" s="6" t="s">
        <v>174</v>
      </c>
      <c r="M29" s="6">
        <v>5</v>
      </c>
      <c r="N29" s="6"/>
      <c r="O29" s="6">
        <v>3.25</v>
      </c>
    </row>
    <row r="30" s="23" customFormat="1" ht="21" customHeight="1" spans="1:16">
      <c r="A30" s="6">
        <v>28</v>
      </c>
      <c r="B30" s="7">
        <v>46103</v>
      </c>
      <c r="C30" s="8" t="s">
        <v>49</v>
      </c>
      <c r="D30" s="6" t="s">
        <v>171</v>
      </c>
      <c r="E30" s="8">
        <v>5</v>
      </c>
      <c r="F30" s="8"/>
      <c r="G30" s="6"/>
      <c r="H30" s="6"/>
      <c r="I30" s="6"/>
      <c r="J30" s="6"/>
      <c r="K30" s="6"/>
      <c r="L30" s="6"/>
      <c r="M30" s="6"/>
      <c r="N30" s="6"/>
      <c r="O30" s="6"/>
    </row>
    <row r="31" s="23" customFormat="1" ht="21" customHeight="1" spans="1:16">
      <c r="A31" s="6">
        <v>29</v>
      </c>
      <c r="B31" s="7">
        <v>46103</v>
      </c>
      <c r="C31" s="8" t="s">
        <v>145</v>
      </c>
      <c r="D31" s="6" t="s">
        <v>171</v>
      </c>
      <c r="E31" s="8">
        <v>5</v>
      </c>
      <c r="F31" s="8"/>
      <c r="G31" s="6"/>
      <c r="H31" s="6"/>
      <c r="I31" s="6"/>
      <c r="J31" s="6"/>
      <c r="K31" s="6"/>
      <c r="L31" s="6"/>
      <c r="M31" s="6"/>
      <c r="N31" s="6"/>
      <c r="O31" s="6"/>
    </row>
    <row r="32" s="23" customFormat="1" ht="21" customHeight="1" spans="1:16">
      <c r="A32" s="6">
        <v>30</v>
      </c>
      <c r="B32" s="7">
        <v>46103</v>
      </c>
      <c r="C32" s="8" t="s">
        <v>146</v>
      </c>
      <c r="D32" s="6" t="s">
        <v>171</v>
      </c>
      <c r="E32" s="8">
        <v>5</v>
      </c>
      <c r="F32" s="8"/>
      <c r="G32" s="6"/>
      <c r="H32" s="6"/>
      <c r="I32" s="6"/>
      <c r="J32" s="6"/>
      <c r="K32" s="6"/>
      <c r="L32" s="6"/>
      <c r="M32" s="6"/>
      <c r="N32" s="6"/>
      <c r="O32" s="6"/>
    </row>
    <row r="33" s="23" customFormat="1" ht="21" customHeight="1" spans="1:15">
      <c r="A33" s="6">
        <v>31</v>
      </c>
      <c r="B33" s="7">
        <v>46103</v>
      </c>
      <c r="C33" s="8" t="s">
        <v>52</v>
      </c>
      <c r="D33" s="6" t="s">
        <v>171</v>
      </c>
      <c r="E33" s="8">
        <v>3</v>
      </c>
      <c r="F33" s="8">
        <v>2</v>
      </c>
      <c r="G33" s="6"/>
      <c r="H33" s="6"/>
      <c r="I33" s="6"/>
      <c r="J33" s="6"/>
      <c r="K33" s="6"/>
      <c r="L33" s="6"/>
      <c r="M33" s="6"/>
      <c r="N33" s="6"/>
      <c r="O33" s="6"/>
    </row>
    <row r="34" s="23" customFormat="1" ht="21" customHeight="1" spans="1:15">
      <c r="A34" s="6">
        <v>32</v>
      </c>
      <c r="B34" s="7">
        <v>46103</v>
      </c>
      <c r="C34" s="8" t="s">
        <v>54</v>
      </c>
      <c r="D34" s="6" t="s">
        <v>171</v>
      </c>
      <c r="E34" s="8"/>
      <c r="F34" s="8">
        <v>5</v>
      </c>
      <c r="G34" s="6"/>
      <c r="H34" s="6"/>
      <c r="I34" s="6"/>
      <c r="J34" s="6"/>
      <c r="K34" s="6"/>
      <c r="L34" s="6"/>
      <c r="M34" s="6"/>
      <c r="N34" s="6"/>
      <c r="O34" s="6"/>
    </row>
    <row r="35" s="23" customFormat="1" ht="21" customHeight="1" spans="1:15">
      <c r="A35" s="6">
        <v>33</v>
      </c>
      <c r="B35" s="7">
        <v>46103</v>
      </c>
      <c r="C35" s="8" t="s">
        <v>55</v>
      </c>
      <c r="D35" s="6" t="s">
        <v>171</v>
      </c>
      <c r="E35" s="8">
        <v>3</v>
      </c>
      <c r="F35" s="8">
        <v>2</v>
      </c>
      <c r="G35" s="6"/>
      <c r="H35" s="6"/>
      <c r="I35" s="6"/>
      <c r="J35" s="6"/>
      <c r="K35" s="6"/>
      <c r="L35" s="6"/>
      <c r="M35" s="6"/>
      <c r="N35" s="6"/>
      <c r="O35" s="6"/>
    </row>
    <row r="36" s="23" customFormat="1" ht="21" customHeight="1" spans="1:15">
      <c r="A36" s="6">
        <v>34</v>
      </c>
      <c r="B36" s="7">
        <v>46103</v>
      </c>
      <c r="C36" s="8" t="s">
        <v>56</v>
      </c>
      <c r="D36" s="6" t="s">
        <v>171</v>
      </c>
      <c r="E36" s="8">
        <v>3</v>
      </c>
      <c r="F36" s="8">
        <v>2</v>
      </c>
      <c r="G36" s="6"/>
      <c r="H36" s="6"/>
      <c r="I36" s="6"/>
      <c r="J36" s="6"/>
      <c r="K36" s="6"/>
      <c r="L36" s="6"/>
      <c r="M36" s="6"/>
      <c r="N36" s="6"/>
      <c r="O36" s="6"/>
    </row>
    <row r="37" s="23" customFormat="1" ht="21" customHeight="1" spans="1:15">
      <c r="A37" s="6">
        <v>35</v>
      </c>
      <c r="B37" s="7">
        <v>46103</v>
      </c>
      <c r="C37" s="8" t="s">
        <v>57</v>
      </c>
      <c r="D37" s="6" t="s">
        <v>171</v>
      </c>
      <c r="E37" s="8">
        <v>3</v>
      </c>
      <c r="F37" s="8">
        <v>2</v>
      </c>
      <c r="G37" s="6"/>
      <c r="H37" s="6"/>
      <c r="I37" s="6"/>
      <c r="J37" s="6"/>
      <c r="K37" s="6"/>
      <c r="L37" s="6"/>
      <c r="M37" s="6"/>
      <c r="N37" s="6"/>
      <c r="O37" s="6"/>
    </row>
    <row r="38" s="23" customFormat="1" ht="21" customHeight="1" spans="1:15">
      <c r="A38" s="6">
        <v>36</v>
      </c>
      <c r="B38" s="7">
        <v>46103</v>
      </c>
      <c r="C38" s="8" t="s">
        <v>147</v>
      </c>
      <c r="D38" s="6" t="s">
        <v>171</v>
      </c>
      <c r="E38" s="8">
        <v>5</v>
      </c>
      <c r="F38" s="8"/>
      <c r="G38" s="6"/>
      <c r="H38" s="6"/>
      <c r="I38" s="6"/>
      <c r="J38" s="6"/>
      <c r="K38" s="6"/>
      <c r="L38" s="6"/>
      <c r="M38" s="6"/>
      <c r="N38" s="6"/>
      <c r="O38" s="6"/>
    </row>
    <row r="39" s="23" customFormat="1" ht="21" customHeight="1" spans="1:15">
      <c r="A39" s="6">
        <v>37</v>
      </c>
      <c r="B39" s="7">
        <v>46103</v>
      </c>
      <c r="C39" s="8" t="s">
        <v>148</v>
      </c>
      <c r="D39" s="6" t="s">
        <v>171</v>
      </c>
      <c r="E39" s="8"/>
      <c r="F39" s="8">
        <v>5</v>
      </c>
      <c r="G39" s="6"/>
      <c r="H39" s="6"/>
      <c r="I39" s="6"/>
      <c r="J39" s="6"/>
      <c r="K39" s="6"/>
      <c r="L39" s="6"/>
      <c r="M39" s="6"/>
      <c r="N39" s="6"/>
      <c r="O39" s="6"/>
    </row>
    <row r="40" s="23" customFormat="1" ht="21" customHeight="1" spans="1:15">
      <c r="A40" s="6">
        <v>38</v>
      </c>
      <c r="B40" s="7">
        <v>46103</v>
      </c>
      <c r="C40" s="8" t="s">
        <v>60</v>
      </c>
      <c r="D40" s="6" t="s">
        <v>171</v>
      </c>
      <c r="E40" s="8">
        <v>4</v>
      </c>
      <c r="F40" s="8">
        <v>1</v>
      </c>
      <c r="G40" s="6"/>
      <c r="H40" s="6"/>
      <c r="I40" s="6"/>
      <c r="J40" s="6"/>
      <c r="K40" s="6"/>
      <c r="L40" s="6"/>
      <c r="M40" s="6"/>
      <c r="N40" s="6"/>
      <c r="O40" s="6"/>
    </row>
    <row r="41" s="23" customFormat="1" ht="21" customHeight="1" spans="1:15">
      <c r="A41" s="6">
        <v>39</v>
      </c>
      <c r="B41" s="7">
        <v>46103</v>
      </c>
      <c r="C41" s="8" t="s">
        <v>61</v>
      </c>
      <c r="D41" s="6" t="s">
        <v>171</v>
      </c>
      <c r="E41" s="8">
        <v>3</v>
      </c>
      <c r="F41" s="8">
        <v>2</v>
      </c>
      <c r="G41" s="6"/>
      <c r="H41" s="6"/>
      <c r="I41" s="6"/>
      <c r="J41" s="6"/>
      <c r="K41" s="6"/>
      <c r="L41" s="6"/>
      <c r="M41" s="6"/>
      <c r="N41" s="6"/>
      <c r="O41" s="6"/>
    </row>
    <row r="42" s="23" customFormat="1" ht="21" customHeight="1" spans="1:15">
      <c r="A42" s="6">
        <v>40</v>
      </c>
      <c r="B42" s="7">
        <v>46103</v>
      </c>
      <c r="C42" s="8" t="s">
        <v>149</v>
      </c>
      <c r="D42" s="6" t="s">
        <v>171</v>
      </c>
      <c r="E42" s="8">
        <v>4</v>
      </c>
      <c r="F42" s="8"/>
      <c r="G42" s="6"/>
      <c r="H42" s="6"/>
      <c r="I42" s="6"/>
      <c r="J42" s="6"/>
      <c r="K42" s="6"/>
      <c r="L42" s="6"/>
      <c r="M42" s="6"/>
      <c r="N42" s="6"/>
      <c r="O42" s="6"/>
    </row>
    <row r="43" s="23" customFormat="1" ht="21" customHeight="1" spans="1:15">
      <c r="A43" s="6">
        <v>41</v>
      </c>
      <c r="B43" s="7">
        <v>46103</v>
      </c>
      <c r="C43" s="8" t="s">
        <v>149</v>
      </c>
      <c r="D43" s="6" t="s">
        <v>171</v>
      </c>
      <c r="E43" s="8"/>
      <c r="F43" s="8">
        <v>8</v>
      </c>
      <c r="G43" s="6"/>
      <c r="H43" s="6"/>
      <c r="I43" s="6"/>
      <c r="J43" s="6"/>
      <c r="K43" s="6"/>
      <c r="L43" s="6"/>
      <c r="M43" s="6"/>
      <c r="N43" s="6"/>
      <c r="O43" s="6"/>
    </row>
    <row r="44" s="23" customFormat="1" ht="21" customHeight="1" spans="1:15">
      <c r="A44" s="6"/>
      <c r="B44" s="6"/>
      <c r="C44" s="6"/>
      <c r="D44" s="6"/>
      <c r="E44" s="6">
        <f>SUM(E3:E43)</f>
        <v>117</v>
      </c>
      <c r="F44" s="6">
        <f>SUM(F3:F43)</f>
        <v>90</v>
      </c>
      <c r="G44" s="6"/>
      <c r="H44" s="6"/>
      <c r="I44" s="6"/>
      <c r="J44" s="6"/>
      <c r="K44" s="6"/>
      <c r="L44" s="6"/>
      <c r="M44" s="6"/>
      <c r="N44" s="6"/>
      <c r="O44" s="6"/>
    </row>
    <row r="45" customFormat="1" ht="18.75" spans="1:15">
      <c r="I45" s="6"/>
      <c r="J45" s="6"/>
      <c r="K45" s="6"/>
      <c r="L45" s="6"/>
      <c r="M45" s="6">
        <f>SUM(M3:M44)</f>
        <v>77</v>
      </c>
      <c r="N45" s="6">
        <f>SUM(N3:N44)</f>
        <v>38</v>
      </c>
      <c r="O45" s="6"/>
    </row>
    <row r="47" customFormat="1" spans="1:15">
      <c r="I47" t="s">
        <v>169</v>
      </c>
      <c r="J47" t="s">
        <v>170</v>
      </c>
    </row>
    <row r="48" customFormat="1" spans="1:15">
      <c r="I48">
        <f>E44+M45</f>
        <v>194</v>
      </c>
      <c r="J48">
        <f>F44+N45</f>
        <v>128</v>
      </c>
    </row>
  </sheetData>
  <sheetProtection formatCells="0" formatColumns="0" formatRows="0" insertRows="0" insertColumns="0" insertHyperlinks="0" deleteColumns="0" deleteRows="0" sort="0" autoFilter="0" pivotTables="0"/>
  <mergeCells count="2">
    <mergeCell ref="A1:G1"/>
    <mergeCell ref="I1:O1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0"/>
  <sheetViews>
    <sheetView zoomScale="70" zoomScaleNormal="70" topLeftCell="I1" workbookViewId="0">
      <selection activeCell="R22" sqref="R22"/>
    </sheetView>
  </sheetViews>
  <sheetFormatPr defaultColWidth="9" defaultRowHeight="13.5"/>
  <cols>
    <col min="1" max="6" width="13.75" customWidth="1"/>
    <col min="7" max="7" width="21.9666666666667" customWidth="1"/>
    <col min="8" max="9" width="13.75" customWidth="1"/>
    <col min="10" max="11" width="15.3583333333333" customWidth="1"/>
    <col min="12" max="16" width="13.75" customWidth="1"/>
    <col min="17" max="17" width="17" customWidth="1"/>
  </cols>
  <sheetData>
    <row r="1" customFormat="1" ht="41" customHeight="1" spans="1:18">
      <c r="A1" s="36" t="s">
        <v>167</v>
      </c>
      <c r="B1" s="36"/>
      <c r="C1" s="36"/>
      <c r="D1" s="36"/>
      <c r="E1" s="36"/>
      <c r="F1" s="36"/>
      <c r="J1" s="36" t="s">
        <v>167</v>
      </c>
      <c r="K1" s="36"/>
      <c r="L1" s="36"/>
      <c r="M1" s="36"/>
      <c r="N1" s="36"/>
      <c r="O1" s="36"/>
    </row>
    <row r="2" s="5" customFormat="1" ht="24" customHeight="1" spans="1:18">
      <c r="A2" s="37" t="s">
        <v>2</v>
      </c>
      <c r="B2" s="37" t="s">
        <v>163</v>
      </c>
      <c r="C2" s="37" t="s">
        <v>3</v>
      </c>
      <c r="D2" s="37" t="s">
        <v>168</v>
      </c>
      <c r="E2" s="37" t="s">
        <v>169</v>
      </c>
      <c r="F2" s="37" t="s">
        <v>170</v>
      </c>
      <c r="G2" s="37" t="s">
        <v>7</v>
      </c>
      <c r="H2"/>
      <c r="I2"/>
      <c r="J2" s="37" t="s">
        <v>2</v>
      </c>
      <c r="K2" s="37" t="s">
        <v>163</v>
      </c>
      <c r="L2" s="37" t="s">
        <v>3</v>
      </c>
      <c r="M2" s="37" t="s">
        <v>168</v>
      </c>
      <c r="N2" s="37" t="s">
        <v>169</v>
      </c>
      <c r="O2" s="37" t="s">
        <v>170</v>
      </c>
      <c r="P2" s="37" t="s">
        <v>7</v>
      </c>
    </row>
    <row r="3" s="23" customFormat="1" ht="21" customHeight="1" spans="1:18">
      <c r="A3" s="6">
        <v>1</v>
      </c>
      <c r="B3" s="7">
        <v>46110</v>
      </c>
      <c r="C3" s="8" t="s">
        <v>13</v>
      </c>
      <c r="D3" s="6" t="s">
        <v>171</v>
      </c>
      <c r="E3" s="8"/>
      <c r="F3" s="8">
        <v>5</v>
      </c>
      <c r="G3" s="6"/>
      <c r="H3">
        <f t="shared" ref="H3:H43" si="0">SUM(E3:F3)</f>
        <v>5</v>
      </c>
      <c r="I3"/>
      <c r="J3" s="6">
        <v>42</v>
      </c>
      <c r="K3" s="7">
        <v>46110</v>
      </c>
      <c r="L3" s="8" t="s">
        <v>149</v>
      </c>
      <c r="M3" s="6" t="s">
        <v>171</v>
      </c>
      <c r="N3" s="8" t="s">
        <v>94</v>
      </c>
      <c r="O3" s="8"/>
      <c r="P3" s="6"/>
      <c r="R3"/>
    </row>
    <row r="4" s="23" customFormat="1" ht="21" customHeight="1" spans="1:18">
      <c r="A4" s="6">
        <v>2</v>
      </c>
      <c r="B4" s="7">
        <v>46110</v>
      </c>
      <c r="C4" s="8" t="s">
        <v>17</v>
      </c>
      <c r="D4" s="6" t="s">
        <v>171</v>
      </c>
      <c r="E4" s="8">
        <v>5</v>
      </c>
      <c r="F4" s="8"/>
      <c r="G4" s="6"/>
      <c r="H4">
        <f t="shared" si="0"/>
        <v>5</v>
      </c>
      <c r="I4"/>
      <c r="J4" s="6">
        <v>43</v>
      </c>
      <c r="K4" s="7">
        <v>46110</v>
      </c>
      <c r="L4" s="8" t="s">
        <v>151</v>
      </c>
      <c r="M4" s="6" t="s">
        <v>171</v>
      </c>
      <c r="N4" s="8">
        <v>5</v>
      </c>
      <c r="O4" s="8"/>
      <c r="P4" s="6"/>
      <c r="R4" s="23">
        <f t="shared" ref="R4:R30" si="1">SUM(N4:O4)</f>
        <v>5</v>
      </c>
    </row>
    <row r="5" s="23" customFormat="1" ht="21" customHeight="1" spans="1:18">
      <c r="A5" s="6">
        <v>3</v>
      </c>
      <c r="B5" s="7">
        <v>46110</v>
      </c>
      <c r="C5" s="8" t="s">
        <v>19</v>
      </c>
      <c r="D5" s="6" t="s">
        <v>171</v>
      </c>
      <c r="E5" s="8">
        <v>5</v>
      </c>
      <c r="F5" s="8"/>
      <c r="G5" s="6"/>
      <c r="H5">
        <f t="shared" si="0"/>
        <v>5</v>
      </c>
      <c r="I5"/>
      <c r="J5" s="6">
        <v>44</v>
      </c>
      <c r="K5" s="7">
        <v>46110</v>
      </c>
      <c r="L5" s="8" t="s">
        <v>152</v>
      </c>
      <c r="M5" s="6" t="s">
        <v>171</v>
      </c>
      <c r="N5" s="8">
        <v>5</v>
      </c>
      <c r="O5" s="8"/>
      <c r="P5" s="6"/>
      <c r="R5" s="23">
        <f t="shared" si="1"/>
        <v>5</v>
      </c>
    </row>
    <row r="6" s="23" customFormat="1" ht="21" customHeight="1" spans="1:18">
      <c r="A6" s="6">
        <v>4</v>
      </c>
      <c r="B6" s="7">
        <v>46110</v>
      </c>
      <c r="C6" s="8" t="s">
        <v>21</v>
      </c>
      <c r="D6" s="6" t="s">
        <v>171</v>
      </c>
      <c r="E6" s="8"/>
      <c r="F6" s="8">
        <v>5</v>
      </c>
      <c r="G6" s="6"/>
      <c r="H6">
        <f t="shared" si="0"/>
        <v>5</v>
      </c>
      <c r="I6"/>
      <c r="J6" s="6">
        <v>45</v>
      </c>
      <c r="K6" s="7">
        <v>46110</v>
      </c>
      <c r="L6" s="8" t="s">
        <v>153</v>
      </c>
      <c r="M6" s="6" t="s">
        <v>171</v>
      </c>
      <c r="N6" s="8">
        <v>4</v>
      </c>
      <c r="O6" s="8">
        <v>1</v>
      </c>
      <c r="P6" s="6"/>
      <c r="R6" s="23">
        <f t="shared" si="1"/>
        <v>5</v>
      </c>
    </row>
    <row r="7" s="23" customFormat="1" ht="21" customHeight="1" spans="1:18">
      <c r="A7" s="6">
        <v>5</v>
      </c>
      <c r="B7" s="7">
        <v>46110</v>
      </c>
      <c r="C7" s="8" t="s">
        <v>23</v>
      </c>
      <c r="D7" s="6" t="s">
        <v>171</v>
      </c>
      <c r="E7" s="8">
        <v>5</v>
      </c>
      <c r="F7" s="8"/>
      <c r="G7" s="6"/>
      <c r="H7">
        <f t="shared" si="0"/>
        <v>5</v>
      </c>
      <c r="I7"/>
      <c r="J7" s="6">
        <v>46</v>
      </c>
      <c r="K7" s="7">
        <v>46110</v>
      </c>
      <c r="L7" s="8" t="s">
        <v>70</v>
      </c>
      <c r="M7" s="6" t="s">
        <v>171</v>
      </c>
      <c r="N7" s="8">
        <v>2</v>
      </c>
      <c r="O7" s="8">
        <v>3</v>
      </c>
      <c r="P7" s="6"/>
      <c r="R7" s="23">
        <f t="shared" si="1"/>
        <v>5</v>
      </c>
    </row>
    <row r="8" s="23" customFormat="1" ht="21" customHeight="1" spans="1:18">
      <c r="A8" s="6">
        <v>6</v>
      </c>
      <c r="B8" s="7">
        <v>46110</v>
      </c>
      <c r="C8" s="8" t="s">
        <v>24</v>
      </c>
      <c r="D8" s="6" t="s">
        <v>171</v>
      </c>
      <c r="E8" s="8">
        <v>3</v>
      </c>
      <c r="F8" s="8">
        <v>2</v>
      </c>
      <c r="G8" s="6"/>
      <c r="H8">
        <f t="shared" si="0"/>
        <v>5</v>
      </c>
      <c r="I8"/>
      <c r="J8" s="6">
        <v>47</v>
      </c>
      <c r="K8" s="7">
        <v>46110</v>
      </c>
      <c r="L8" s="8" t="s">
        <v>71</v>
      </c>
      <c r="M8" s="6" t="s">
        <v>171</v>
      </c>
      <c r="N8" s="8">
        <v>3</v>
      </c>
      <c r="O8" s="8">
        <v>2</v>
      </c>
      <c r="P8" s="6"/>
      <c r="R8" s="23">
        <f t="shared" si="1"/>
        <v>5</v>
      </c>
    </row>
    <row r="9" s="23" customFormat="1" ht="21" customHeight="1" spans="1:18">
      <c r="A9" s="6">
        <v>7</v>
      </c>
      <c r="B9" s="7">
        <v>46110</v>
      </c>
      <c r="C9" s="8" t="s">
        <v>27</v>
      </c>
      <c r="D9" s="6" t="s">
        <v>171</v>
      </c>
      <c r="E9" s="8">
        <v>5</v>
      </c>
      <c r="F9" s="8"/>
      <c r="G9" s="6"/>
      <c r="H9">
        <f t="shared" si="0"/>
        <v>5</v>
      </c>
      <c r="I9"/>
      <c r="J9" s="6">
        <v>48</v>
      </c>
      <c r="K9" s="7">
        <v>46110</v>
      </c>
      <c r="L9" s="8" t="s">
        <v>72</v>
      </c>
      <c r="M9" s="6" t="s">
        <v>171</v>
      </c>
      <c r="N9" s="8">
        <v>3</v>
      </c>
      <c r="O9" s="8">
        <v>2</v>
      </c>
      <c r="P9" s="6"/>
      <c r="R9" s="23">
        <f t="shared" si="1"/>
        <v>5</v>
      </c>
    </row>
    <row r="10" s="23" customFormat="1" ht="21" customHeight="1" spans="1:18">
      <c r="A10" s="6">
        <v>8</v>
      </c>
      <c r="B10" s="7">
        <v>46110</v>
      </c>
      <c r="C10" s="8" t="s">
        <v>28</v>
      </c>
      <c r="D10" s="6" t="s">
        <v>171</v>
      </c>
      <c r="E10" s="8">
        <v>5</v>
      </c>
      <c r="F10" s="8"/>
      <c r="G10" s="6"/>
      <c r="H10">
        <f t="shared" si="0"/>
        <v>5</v>
      </c>
      <c r="I10"/>
      <c r="J10" s="6">
        <v>49</v>
      </c>
      <c r="K10" s="7">
        <v>46110</v>
      </c>
      <c r="L10" s="8" t="s">
        <v>73</v>
      </c>
      <c r="M10" s="6" t="s">
        <v>171</v>
      </c>
      <c r="N10" s="8"/>
      <c r="O10" s="8">
        <v>5</v>
      </c>
      <c r="P10" s="6"/>
      <c r="R10" s="23">
        <f t="shared" si="1"/>
        <v>5</v>
      </c>
    </row>
    <row r="11" s="23" customFormat="1" ht="21" customHeight="1" spans="1:18">
      <c r="A11" s="6">
        <v>9</v>
      </c>
      <c r="B11" s="7">
        <v>46110</v>
      </c>
      <c r="C11" s="8" t="s">
        <v>28</v>
      </c>
      <c r="D11" s="6" t="s">
        <v>171</v>
      </c>
      <c r="E11" s="8"/>
      <c r="F11" s="8">
        <v>5</v>
      </c>
      <c r="G11" s="6"/>
      <c r="H11">
        <f t="shared" si="0"/>
        <v>5</v>
      </c>
      <c r="I11"/>
      <c r="J11" s="6">
        <v>50</v>
      </c>
      <c r="K11" s="7">
        <v>46110</v>
      </c>
      <c r="L11" s="8" t="s">
        <v>74</v>
      </c>
      <c r="M11" s="6" t="s">
        <v>171</v>
      </c>
      <c r="N11" s="8">
        <v>5</v>
      </c>
      <c r="O11" s="8"/>
      <c r="P11" s="6"/>
      <c r="R11" s="23">
        <f t="shared" si="1"/>
        <v>5</v>
      </c>
    </row>
    <row r="12" s="23" customFormat="1" ht="21" customHeight="1" spans="1:18">
      <c r="A12" s="6">
        <v>10</v>
      </c>
      <c r="B12" s="7">
        <v>46110</v>
      </c>
      <c r="C12" s="8" t="s">
        <v>29</v>
      </c>
      <c r="D12" s="6" t="s">
        <v>171</v>
      </c>
      <c r="E12" s="8"/>
      <c r="F12" s="8">
        <v>5</v>
      </c>
      <c r="G12" s="6"/>
      <c r="H12">
        <f t="shared" si="0"/>
        <v>5</v>
      </c>
      <c r="I12"/>
      <c r="J12" s="6">
        <v>51</v>
      </c>
      <c r="K12" s="7">
        <v>46110</v>
      </c>
      <c r="L12" s="8" t="s">
        <v>75</v>
      </c>
      <c r="M12" s="6" t="s">
        <v>171</v>
      </c>
      <c r="N12" s="8">
        <v>3</v>
      </c>
      <c r="O12" s="8">
        <v>2</v>
      </c>
      <c r="P12" s="6"/>
      <c r="R12" s="23">
        <f t="shared" si="1"/>
        <v>5</v>
      </c>
    </row>
    <row r="13" s="23" customFormat="1" ht="21" customHeight="1" spans="1:18">
      <c r="A13" s="6">
        <v>11</v>
      </c>
      <c r="B13" s="7">
        <v>46110</v>
      </c>
      <c r="C13" s="8" t="s">
        <v>30</v>
      </c>
      <c r="D13" s="6" t="s">
        <v>171</v>
      </c>
      <c r="E13" s="10">
        <v>3</v>
      </c>
      <c r="F13" s="8">
        <v>2</v>
      </c>
      <c r="G13" s="6"/>
      <c r="H13">
        <f t="shared" si="0"/>
        <v>5</v>
      </c>
      <c r="I13"/>
      <c r="J13" s="6">
        <v>52</v>
      </c>
      <c r="K13" s="7">
        <v>46110</v>
      </c>
      <c r="L13" s="8" t="s">
        <v>76</v>
      </c>
      <c r="M13" s="6" t="s">
        <v>171</v>
      </c>
      <c r="N13" s="8">
        <v>5</v>
      </c>
      <c r="O13" s="8"/>
      <c r="P13" s="6"/>
      <c r="R13" s="23">
        <f t="shared" si="1"/>
        <v>5</v>
      </c>
    </row>
    <row r="14" s="23" customFormat="1" ht="21" customHeight="1" spans="1:18">
      <c r="A14" s="6">
        <v>12</v>
      </c>
      <c r="B14" s="7">
        <v>46110</v>
      </c>
      <c r="C14" s="8" t="s">
        <v>33</v>
      </c>
      <c r="D14" s="6" t="s">
        <v>171</v>
      </c>
      <c r="E14" s="8">
        <v>3</v>
      </c>
      <c r="F14" s="8">
        <v>2</v>
      </c>
      <c r="G14" s="6"/>
      <c r="H14">
        <f t="shared" si="0"/>
        <v>5</v>
      </c>
      <c r="I14"/>
      <c r="J14" s="6">
        <v>53</v>
      </c>
      <c r="K14" s="7">
        <v>46110</v>
      </c>
      <c r="L14" s="8" t="s">
        <v>77</v>
      </c>
      <c r="M14" s="6" t="s">
        <v>171</v>
      </c>
      <c r="N14" s="8">
        <v>5</v>
      </c>
      <c r="O14" s="8"/>
      <c r="P14" s="6"/>
      <c r="R14" s="23">
        <f t="shared" si="1"/>
        <v>5</v>
      </c>
    </row>
    <row r="15" s="23" customFormat="1" ht="21" customHeight="1" spans="1:18">
      <c r="A15" s="6">
        <v>13</v>
      </c>
      <c r="B15" s="7">
        <v>46110</v>
      </c>
      <c r="C15" s="8" t="s">
        <v>34</v>
      </c>
      <c r="D15" s="6" t="s">
        <v>171</v>
      </c>
      <c r="E15" s="8"/>
      <c r="F15" s="8">
        <v>5</v>
      </c>
      <c r="G15" s="6"/>
      <c r="H15">
        <f t="shared" si="0"/>
        <v>5</v>
      </c>
      <c r="I15"/>
      <c r="J15" s="6">
        <v>54</v>
      </c>
      <c r="K15" s="7">
        <v>46110</v>
      </c>
      <c r="L15" s="8" t="s">
        <v>78</v>
      </c>
      <c r="M15" s="6" t="s">
        <v>171</v>
      </c>
      <c r="N15" s="8">
        <v>5</v>
      </c>
      <c r="O15" s="8"/>
      <c r="P15" s="6"/>
      <c r="R15" s="23">
        <f t="shared" si="1"/>
        <v>5</v>
      </c>
    </row>
    <row r="16" s="23" customFormat="1" ht="21" customHeight="1" spans="1:18">
      <c r="A16" s="6">
        <v>14</v>
      </c>
      <c r="B16" s="7">
        <v>46110</v>
      </c>
      <c r="C16" s="8" t="s">
        <v>36</v>
      </c>
      <c r="D16" s="6" t="s">
        <v>171</v>
      </c>
      <c r="E16" s="8"/>
      <c r="F16" s="8">
        <v>5</v>
      </c>
      <c r="G16" s="6"/>
      <c r="H16">
        <f t="shared" si="0"/>
        <v>5</v>
      </c>
      <c r="I16"/>
      <c r="J16" s="6">
        <v>55</v>
      </c>
      <c r="K16" s="7">
        <v>46110</v>
      </c>
      <c r="L16" s="8" t="s">
        <v>79</v>
      </c>
      <c r="M16" s="6" t="s">
        <v>171</v>
      </c>
      <c r="N16" s="8">
        <v>5</v>
      </c>
      <c r="O16" s="8"/>
      <c r="P16" s="6"/>
      <c r="R16" s="23">
        <f t="shared" si="1"/>
        <v>5</v>
      </c>
    </row>
    <row r="17" s="23" customFormat="1" ht="21" customHeight="1" spans="1:18">
      <c r="A17" s="6">
        <v>15</v>
      </c>
      <c r="B17" s="7">
        <v>46110</v>
      </c>
      <c r="C17" s="8" t="s">
        <v>37</v>
      </c>
      <c r="D17" s="6" t="s">
        <v>171</v>
      </c>
      <c r="E17" s="8"/>
      <c r="F17" s="8">
        <v>5</v>
      </c>
      <c r="G17" s="6"/>
      <c r="H17">
        <f t="shared" si="0"/>
        <v>5</v>
      </c>
      <c r="I17"/>
      <c r="J17" s="6">
        <v>56</v>
      </c>
      <c r="K17" s="7">
        <v>46110</v>
      </c>
      <c r="L17" s="8" t="s">
        <v>80</v>
      </c>
      <c r="M17" s="6" t="s">
        <v>171</v>
      </c>
      <c r="N17" s="8">
        <v>2</v>
      </c>
      <c r="O17" s="8">
        <v>3</v>
      </c>
      <c r="P17" s="6"/>
      <c r="Q17" s="23" t="s">
        <v>173</v>
      </c>
      <c r="R17" s="23">
        <f t="shared" si="1"/>
        <v>5</v>
      </c>
    </row>
    <row r="18" s="23" customFormat="1" ht="21" customHeight="1" spans="1:18">
      <c r="A18" s="6">
        <v>16</v>
      </c>
      <c r="B18" s="7">
        <v>46110</v>
      </c>
      <c r="C18" s="8" t="s">
        <v>38</v>
      </c>
      <c r="D18" s="6" t="s">
        <v>171</v>
      </c>
      <c r="E18" s="8">
        <v>5</v>
      </c>
      <c r="F18" s="8"/>
      <c r="G18" s="6"/>
      <c r="H18">
        <f t="shared" si="0"/>
        <v>5</v>
      </c>
      <c r="I18"/>
      <c r="J18" s="6">
        <v>57</v>
      </c>
      <c r="K18" s="7">
        <v>46110</v>
      </c>
      <c r="L18" s="8" t="s">
        <v>81</v>
      </c>
      <c r="M18" s="6" t="s">
        <v>171</v>
      </c>
      <c r="N18" s="8">
        <v>2</v>
      </c>
      <c r="O18" s="8">
        <v>3</v>
      </c>
      <c r="P18" s="6"/>
      <c r="R18" s="23">
        <f t="shared" si="1"/>
        <v>5</v>
      </c>
    </row>
    <row r="19" s="23" customFormat="1" ht="21" customHeight="1" spans="1:18">
      <c r="A19" s="6">
        <v>17</v>
      </c>
      <c r="B19" s="7">
        <v>46110</v>
      </c>
      <c r="C19" s="8" t="s">
        <v>40</v>
      </c>
      <c r="D19" s="6" t="s">
        <v>171</v>
      </c>
      <c r="E19" s="8">
        <v>3</v>
      </c>
      <c r="F19" s="8">
        <v>2</v>
      </c>
      <c r="G19" s="6"/>
      <c r="H19">
        <f t="shared" si="0"/>
        <v>5</v>
      </c>
      <c r="I19"/>
      <c r="J19" s="6">
        <v>58</v>
      </c>
      <c r="K19" s="7">
        <v>46110</v>
      </c>
      <c r="L19" s="8" t="s">
        <v>154</v>
      </c>
      <c r="M19" s="6" t="s">
        <v>171</v>
      </c>
      <c r="N19" s="8">
        <v>3</v>
      </c>
      <c r="O19" s="8">
        <v>2</v>
      </c>
      <c r="P19" s="6"/>
      <c r="R19" s="23">
        <f t="shared" si="1"/>
        <v>5</v>
      </c>
    </row>
    <row r="20" s="23" customFormat="1" ht="21" customHeight="1" spans="1:18">
      <c r="A20" s="6">
        <v>18</v>
      </c>
      <c r="B20" s="7">
        <v>46110</v>
      </c>
      <c r="C20" s="8" t="s">
        <v>40</v>
      </c>
      <c r="D20" s="6" t="s">
        <v>171</v>
      </c>
      <c r="E20" s="8"/>
      <c r="F20" s="8">
        <v>5</v>
      </c>
      <c r="G20" s="6"/>
      <c r="H20">
        <f t="shared" si="0"/>
        <v>5</v>
      </c>
      <c r="I20"/>
      <c r="J20" s="6">
        <v>59</v>
      </c>
      <c r="K20" s="7">
        <v>46110</v>
      </c>
      <c r="L20" s="8" t="s">
        <v>85</v>
      </c>
      <c r="M20" s="6" t="s">
        <v>171</v>
      </c>
      <c r="N20" s="8">
        <v>5</v>
      </c>
      <c r="O20" s="8"/>
      <c r="P20" s="6"/>
      <c r="R20" s="23">
        <f t="shared" si="1"/>
        <v>5</v>
      </c>
    </row>
    <row r="21" s="23" customFormat="1" ht="21" customHeight="1" spans="1:18">
      <c r="A21" s="6">
        <v>19</v>
      </c>
      <c r="B21" s="7">
        <v>46110</v>
      </c>
      <c r="C21" s="8" t="s">
        <v>41</v>
      </c>
      <c r="D21" s="6" t="s">
        <v>171</v>
      </c>
      <c r="E21" s="8">
        <v>5</v>
      </c>
      <c r="F21" s="8"/>
      <c r="G21" s="6"/>
      <c r="H21">
        <f t="shared" si="0"/>
        <v>5</v>
      </c>
      <c r="I21"/>
      <c r="J21" s="6">
        <v>60</v>
      </c>
      <c r="K21" s="7">
        <v>46110</v>
      </c>
      <c r="L21" s="6" t="s">
        <v>138</v>
      </c>
      <c r="M21" s="6" t="s">
        <v>171</v>
      </c>
      <c r="N21" s="6">
        <v>5</v>
      </c>
      <c r="O21" s="6"/>
      <c r="P21" s="6"/>
      <c r="R21" s="23">
        <f t="shared" si="1"/>
        <v>5</v>
      </c>
    </row>
    <row r="22" s="23" customFormat="1" ht="21" customHeight="1" spans="1:18">
      <c r="A22" s="6">
        <v>20</v>
      </c>
      <c r="B22" s="7">
        <v>46110</v>
      </c>
      <c r="C22" s="8" t="s">
        <v>41</v>
      </c>
      <c r="D22" s="6" t="s">
        <v>171</v>
      </c>
      <c r="E22" s="8"/>
      <c r="F22" s="8">
        <v>5</v>
      </c>
      <c r="G22" s="6"/>
      <c r="H22">
        <f t="shared" si="0"/>
        <v>5</v>
      </c>
      <c r="I22"/>
      <c r="J22" s="6">
        <v>61</v>
      </c>
      <c r="K22" s="7">
        <v>46110</v>
      </c>
      <c r="L22" s="6" t="s">
        <v>155</v>
      </c>
      <c r="M22" s="6" t="s">
        <v>171</v>
      </c>
      <c r="N22" s="6"/>
      <c r="O22" s="6">
        <v>5</v>
      </c>
      <c r="P22" s="13"/>
      <c r="Q22" s="23" t="s">
        <v>142</v>
      </c>
      <c r="R22" s="23">
        <f t="shared" si="1"/>
        <v>5</v>
      </c>
    </row>
    <row r="23" s="23" customFormat="1" ht="21" customHeight="1" spans="1:18">
      <c r="A23" s="6">
        <v>21</v>
      </c>
      <c r="B23" s="7">
        <v>46110</v>
      </c>
      <c r="C23" s="8" t="s">
        <v>42</v>
      </c>
      <c r="D23" s="6" t="s">
        <v>171</v>
      </c>
      <c r="E23" s="8">
        <v>2</v>
      </c>
      <c r="F23" s="8"/>
      <c r="G23" s="6"/>
      <c r="H23">
        <f t="shared" si="0"/>
        <v>2</v>
      </c>
      <c r="I23"/>
      <c r="J23" s="6">
        <v>62</v>
      </c>
      <c r="K23" s="7">
        <v>46110</v>
      </c>
      <c r="L23" s="6" t="s">
        <v>112</v>
      </c>
      <c r="M23" s="6" t="s">
        <v>171</v>
      </c>
      <c r="N23" s="14" t="s">
        <v>94</v>
      </c>
      <c r="O23" s="6"/>
      <c r="P23" s="6"/>
      <c r="Q23" s="23" t="s">
        <v>142</v>
      </c>
      <c r="R23" s="23">
        <f t="shared" si="1"/>
        <v>0</v>
      </c>
    </row>
    <row r="24" s="23" customFormat="1" ht="21" customHeight="1" spans="1:18">
      <c r="A24" s="6">
        <v>22</v>
      </c>
      <c r="B24" s="7">
        <v>46110</v>
      </c>
      <c r="C24" s="8" t="s">
        <v>43</v>
      </c>
      <c r="D24" s="6" t="s">
        <v>171</v>
      </c>
      <c r="E24" s="8"/>
      <c r="F24" s="8">
        <v>8</v>
      </c>
      <c r="G24" s="6"/>
      <c r="H24">
        <f t="shared" si="0"/>
        <v>8</v>
      </c>
      <c r="I24"/>
      <c r="J24" s="6">
        <v>63</v>
      </c>
      <c r="K24" s="7">
        <v>46110</v>
      </c>
      <c r="L24" s="6" t="s">
        <v>120</v>
      </c>
      <c r="M24" s="6" t="s">
        <v>171</v>
      </c>
      <c r="N24" s="6"/>
      <c r="O24" s="6">
        <v>5</v>
      </c>
      <c r="P24" s="6"/>
      <c r="Q24" s="23" t="s">
        <v>142</v>
      </c>
      <c r="R24" s="23">
        <f t="shared" si="1"/>
        <v>5</v>
      </c>
    </row>
    <row r="25" s="23" customFormat="1" ht="21" customHeight="1" spans="1:18">
      <c r="A25" s="6">
        <v>23</v>
      </c>
      <c r="B25" s="7">
        <v>46110</v>
      </c>
      <c r="C25" s="8" t="s">
        <v>45</v>
      </c>
      <c r="D25" s="6" t="s">
        <v>171</v>
      </c>
      <c r="E25" s="8">
        <v>5</v>
      </c>
      <c r="F25" s="8"/>
      <c r="G25" s="6"/>
      <c r="H25">
        <f t="shared" si="0"/>
        <v>5</v>
      </c>
      <c r="I25"/>
      <c r="J25" s="6">
        <v>64</v>
      </c>
      <c r="K25" s="7">
        <v>46110</v>
      </c>
      <c r="L25" s="6" t="s">
        <v>124</v>
      </c>
      <c r="M25" s="6" t="s">
        <v>171</v>
      </c>
      <c r="N25" s="38" t="s">
        <v>157</v>
      </c>
      <c r="O25" s="6"/>
      <c r="P25" s="13"/>
      <c r="Q25" s="23" t="s">
        <v>142</v>
      </c>
      <c r="R25" s="23">
        <f t="shared" si="1"/>
        <v>0</v>
      </c>
    </row>
    <row r="26" s="23" customFormat="1" ht="21" customHeight="1" spans="1:18">
      <c r="A26" s="6">
        <v>24</v>
      </c>
      <c r="B26" s="7">
        <v>46110</v>
      </c>
      <c r="C26" s="8" t="s">
        <v>45</v>
      </c>
      <c r="D26" s="6" t="s">
        <v>171</v>
      </c>
      <c r="E26" s="8">
        <v>5</v>
      </c>
      <c r="F26" s="8"/>
      <c r="G26" s="6"/>
      <c r="H26">
        <f t="shared" si="0"/>
        <v>5</v>
      </c>
      <c r="I26"/>
      <c r="J26" s="6">
        <v>65</v>
      </c>
      <c r="K26" s="7">
        <v>46110</v>
      </c>
      <c r="L26" s="6" t="s">
        <v>136</v>
      </c>
      <c r="M26" s="6" t="s">
        <v>171</v>
      </c>
      <c r="N26" s="6">
        <v>5</v>
      </c>
      <c r="O26" s="6"/>
      <c r="P26" s="6"/>
      <c r="Q26" s="31"/>
      <c r="R26" s="23">
        <f t="shared" si="1"/>
        <v>5</v>
      </c>
    </row>
    <row r="27" s="23" customFormat="1" ht="21" customHeight="1" spans="1:18">
      <c r="A27" s="6">
        <v>25</v>
      </c>
      <c r="B27" s="7">
        <v>46110</v>
      </c>
      <c r="C27" s="8" t="s">
        <v>46</v>
      </c>
      <c r="D27" s="6" t="s">
        <v>171</v>
      </c>
      <c r="E27" s="8">
        <v>6</v>
      </c>
      <c r="F27" s="8"/>
      <c r="G27" s="6"/>
      <c r="H27">
        <f t="shared" si="0"/>
        <v>6</v>
      </c>
      <c r="I27"/>
      <c r="J27" s="6">
        <v>66</v>
      </c>
      <c r="K27" s="7">
        <v>46110</v>
      </c>
      <c r="L27" s="6" t="s">
        <v>160</v>
      </c>
      <c r="M27" s="6" t="s">
        <v>171</v>
      </c>
      <c r="N27" s="6">
        <v>2</v>
      </c>
      <c r="O27" s="6">
        <v>3</v>
      </c>
      <c r="P27" s="6"/>
      <c r="R27" s="23">
        <f t="shared" si="1"/>
        <v>5</v>
      </c>
    </row>
    <row r="28" s="23" customFormat="1" ht="21" customHeight="1" spans="1:18">
      <c r="A28" s="6">
        <v>26</v>
      </c>
      <c r="B28" s="7">
        <v>46110</v>
      </c>
      <c r="C28" s="8" t="s">
        <v>47</v>
      </c>
      <c r="D28" s="6" t="s">
        <v>171</v>
      </c>
      <c r="E28" s="8">
        <v>7</v>
      </c>
      <c r="F28" s="8"/>
      <c r="G28" s="6"/>
      <c r="H28">
        <f t="shared" si="0"/>
        <v>7</v>
      </c>
      <c r="I28"/>
      <c r="J28" s="6">
        <v>67</v>
      </c>
      <c r="K28" s="7">
        <v>46110</v>
      </c>
      <c r="L28" s="6" t="s">
        <v>161</v>
      </c>
      <c r="M28" s="6" t="s">
        <v>171</v>
      </c>
      <c r="N28" s="6">
        <v>6</v>
      </c>
      <c r="O28" s="6"/>
      <c r="P28" s="6"/>
      <c r="Q28" s="31" t="s">
        <v>175</v>
      </c>
      <c r="R28" s="23">
        <f t="shared" si="1"/>
        <v>6</v>
      </c>
    </row>
    <row r="29" s="23" customFormat="1" ht="21" customHeight="1" spans="1:18">
      <c r="A29" s="6">
        <v>27</v>
      </c>
      <c r="B29" s="7">
        <v>46110</v>
      </c>
      <c r="C29" s="8" t="s">
        <v>48</v>
      </c>
      <c r="D29" s="6" t="s">
        <v>171</v>
      </c>
      <c r="E29" s="8">
        <v>8</v>
      </c>
      <c r="F29" s="8"/>
      <c r="G29" s="6"/>
      <c r="H29">
        <f t="shared" si="0"/>
        <v>8</v>
      </c>
      <c r="I29"/>
      <c r="J29" s="6">
        <v>68</v>
      </c>
      <c r="K29" s="7">
        <v>46110</v>
      </c>
      <c r="L29" s="6" t="s">
        <v>161</v>
      </c>
      <c r="M29" s="6"/>
      <c r="N29" s="6">
        <v>5</v>
      </c>
      <c r="O29" s="6"/>
      <c r="P29" s="6" t="s">
        <v>174</v>
      </c>
      <c r="Q29" s="39" t="s">
        <v>176</v>
      </c>
      <c r="R29" s="23">
        <f t="shared" si="1"/>
        <v>5</v>
      </c>
    </row>
    <row r="30" s="23" customFormat="1" ht="21" customHeight="1" spans="1:18">
      <c r="A30" s="6">
        <v>28</v>
      </c>
      <c r="B30" s="7">
        <v>46110</v>
      </c>
      <c r="C30" s="8" t="s">
        <v>49</v>
      </c>
      <c r="D30" s="6" t="s">
        <v>171</v>
      </c>
      <c r="E30" s="8">
        <v>9</v>
      </c>
      <c r="F30" s="8"/>
      <c r="G30" s="6"/>
      <c r="H30">
        <f t="shared" si="0"/>
        <v>9</v>
      </c>
      <c r="I30"/>
      <c r="J30" s="6">
        <v>69</v>
      </c>
      <c r="K30" s="7">
        <v>46110</v>
      </c>
      <c r="L30" s="6" t="s">
        <v>65</v>
      </c>
      <c r="M30" s="6"/>
      <c r="N30" s="6">
        <v>11</v>
      </c>
      <c r="O30" s="6"/>
      <c r="P30" s="6" t="s">
        <v>174</v>
      </c>
      <c r="Q30" s="39" t="s">
        <v>176</v>
      </c>
      <c r="R30" s="23">
        <f t="shared" si="1"/>
        <v>11</v>
      </c>
    </row>
    <row r="31" s="23" customFormat="1" ht="21" customHeight="1" spans="1:18">
      <c r="A31" s="6">
        <v>29</v>
      </c>
      <c r="B31" s="7">
        <v>46110</v>
      </c>
      <c r="C31" s="8" t="s">
        <v>145</v>
      </c>
      <c r="D31" s="6" t="s">
        <v>171</v>
      </c>
      <c r="E31" s="8">
        <v>10</v>
      </c>
      <c r="F31" s="8"/>
      <c r="G31" s="11" t="s">
        <v>177</v>
      </c>
      <c r="H31">
        <f t="shared" si="0"/>
        <v>10</v>
      </c>
      <c r="I31"/>
      <c r="J31" s="6"/>
      <c r="K31" s="6"/>
      <c r="L31" s="6"/>
      <c r="M31" s="6"/>
      <c r="N31" s="6"/>
      <c r="O31" s="6"/>
      <c r="P31" s="6"/>
    </row>
    <row r="32" s="23" customFormat="1" ht="21" customHeight="1" spans="1:18">
      <c r="A32" s="6">
        <v>30</v>
      </c>
      <c r="B32" s="7">
        <v>46110</v>
      </c>
      <c r="C32" s="8" t="s">
        <v>146</v>
      </c>
      <c r="D32" s="6" t="s">
        <v>171</v>
      </c>
      <c r="E32" s="8"/>
      <c r="F32" s="8">
        <v>4</v>
      </c>
      <c r="G32" s="12"/>
      <c r="H32">
        <f t="shared" si="0"/>
        <v>4</v>
      </c>
      <c r="I32"/>
      <c r="J32" s="6"/>
      <c r="K32" s="6"/>
      <c r="L32" s="6"/>
      <c r="M32" s="6"/>
      <c r="N32" s="6"/>
      <c r="O32" s="6"/>
      <c r="P32" s="6"/>
    </row>
    <row r="33" s="23" customFormat="1" ht="21" customHeight="1" spans="1:16">
      <c r="A33" s="6">
        <v>31</v>
      </c>
      <c r="B33" s="7">
        <v>46110</v>
      </c>
      <c r="C33" s="8" t="s">
        <v>52</v>
      </c>
      <c r="D33" s="6" t="s">
        <v>171</v>
      </c>
      <c r="E33" s="8">
        <v>3</v>
      </c>
      <c r="F33" s="8">
        <v>2</v>
      </c>
      <c r="G33" s="6"/>
      <c r="H33">
        <f t="shared" si="0"/>
        <v>5</v>
      </c>
      <c r="I33"/>
      <c r="J33" s="6"/>
      <c r="K33" s="6"/>
      <c r="L33" s="6"/>
      <c r="M33" s="6"/>
      <c r="N33" s="6"/>
      <c r="O33" s="6"/>
      <c r="P33" s="6"/>
    </row>
    <row r="34" s="23" customFormat="1" ht="21" customHeight="1" spans="1:16">
      <c r="A34" s="6">
        <v>32</v>
      </c>
      <c r="B34" s="7">
        <v>46110</v>
      </c>
      <c r="C34" s="8" t="s">
        <v>54</v>
      </c>
      <c r="D34" s="6" t="s">
        <v>171</v>
      </c>
      <c r="E34" s="8"/>
      <c r="F34" s="8">
        <v>5</v>
      </c>
      <c r="G34" s="6"/>
      <c r="H34">
        <f t="shared" si="0"/>
        <v>5</v>
      </c>
      <c r="I34"/>
      <c r="J34" s="6"/>
      <c r="K34" s="6"/>
      <c r="L34" s="6"/>
      <c r="M34" s="6"/>
      <c r="N34" s="6"/>
      <c r="O34" s="6"/>
      <c r="P34" s="6"/>
    </row>
    <row r="35" s="23" customFormat="1" ht="21" customHeight="1" spans="1:16">
      <c r="A35" s="6">
        <v>33</v>
      </c>
      <c r="B35" s="7">
        <v>46110</v>
      </c>
      <c r="C35" s="8" t="s">
        <v>55</v>
      </c>
      <c r="D35" s="6" t="s">
        <v>171</v>
      </c>
      <c r="E35" s="8">
        <v>3</v>
      </c>
      <c r="F35" s="8">
        <v>2</v>
      </c>
      <c r="G35" s="6"/>
      <c r="H35">
        <f t="shared" si="0"/>
        <v>5</v>
      </c>
      <c r="I35"/>
      <c r="J35" s="6"/>
      <c r="K35" s="6"/>
      <c r="L35" s="6"/>
      <c r="M35" s="6"/>
      <c r="N35" s="6"/>
      <c r="O35" s="6"/>
      <c r="P35" s="6"/>
    </row>
    <row r="36" s="23" customFormat="1" ht="21" customHeight="1" spans="1:16">
      <c r="A36" s="6">
        <v>34</v>
      </c>
      <c r="B36" s="7">
        <v>46110</v>
      </c>
      <c r="C36" s="8" t="s">
        <v>56</v>
      </c>
      <c r="D36" s="6" t="s">
        <v>171</v>
      </c>
      <c r="E36" s="8">
        <v>4</v>
      </c>
      <c r="F36" s="8">
        <v>4</v>
      </c>
      <c r="G36" s="6" t="s">
        <v>178</v>
      </c>
      <c r="H36">
        <f t="shared" si="0"/>
        <v>8</v>
      </c>
      <c r="I36"/>
      <c r="J36" s="6"/>
      <c r="K36" s="6"/>
      <c r="L36" s="6"/>
      <c r="M36" s="6"/>
      <c r="N36" s="6"/>
      <c r="O36" s="6"/>
      <c r="P36" s="6"/>
    </row>
    <row r="37" s="23" customFormat="1" ht="21" customHeight="1" spans="1:16">
      <c r="A37" s="6">
        <v>35</v>
      </c>
      <c r="B37" s="7">
        <v>46110</v>
      </c>
      <c r="C37" s="8" t="s">
        <v>57</v>
      </c>
      <c r="D37" s="6" t="s">
        <v>171</v>
      </c>
      <c r="E37" s="8">
        <v>3</v>
      </c>
      <c r="F37" s="8">
        <v>2</v>
      </c>
      <c r="G37" s="6"/>
      <c r="H37">
        <f t="shared" si="0"/>
        <v>5</v>
      </c>
      <c r="I37"/>
      <c r="J37" s="6"/>
      <c r="K37" s="6"/>
      <c r="L37" s="6"/>
      <c r="M37" s="6"/>
      <c r="N37" s="6"/>
      <c r="O37" s="6"/>
      <c r="P37" s="6"/>
    </row>
    <row r="38" s="23" customFormat="1" ht="21" customHeight="1" spans="1:16">
      <c r="A38" s="6">
        <v>36</v>
      </c>
      <c r="B38" s="7">
        <v>46110</v>
      </c>
      <c r="C38" s="8" t="s">
        <v>147</v>
      </c>
      <c r="D38" s="6" t="s">
        <v>171</v>
      </c>
      <c r="E38" s="8">
        <v>5</v>
      </c>
      <c r="F38" s="8"/>
      <c r="G38" s="6"/>
      <c r="H38">
        <f t="shared" si="0"/>
        <v>5</v>
      </c>
      <c r="I38"/>
      <c r="J38" s="6"/>
      <c r="K38" s="6"/>
      <c r="L38" s="6"/>
      <c r="M38" s="6"/>
      <c r="N38" s="6"/>
      <c r="O38" s="6"/>
      <c r="P38" s="6"/>
    </row>
    <row r="39" s="23" customFormat="1" ht="21" customHeight="1" spans="1:16">
      <c r="A39" s="6">
        <v>37</v>
      </c>
      <c r="B39" s="7">
        <v>46110</v>
      </c>
      <c r="C39" s="8" t="s">
        <v>148</v>
      </c>
      <c r="D39" s="6" t="s">
        <v>171</v>
      </c>
      <c r="E39" s="8"/>
      <c r="F39" s="8">
        <v>5</v>
      </c>
      <c r="G39" s="6"/>
      <c r="H39">
        <f t="shared" si="0"/>
        <v>5</v>
      </c>
      <c r="I39"/>
      <c r="J39" s="6"/>
      <c r="K39" s="6"/>
      <c r="L39" s="6"/>
      <c r="M39" s="6"/>
      <c r="N39" s="6"/>
      <c r="O39" s="6"/>
      <c r="P39" s="6"/>
    </row>
    <row r="40" s="23" customFormat="1" ht="21" customHeight="1" spans="1:16">
      <c r="A40" s="6">
        <v>38</v>
      </c>
      <c r="B40" s="7">
        <v>46110</v>
      </c>
      <c r="C40" s="8" t="s">
        <v>60</v>
      </c>
      <c r="D40" s="6" t="s">
        <v>171</v>
      </c>
      <c r="E40" s="8">
        <v>4</v>
      </c>
      <c r="F40" s="8">
        <v>1</v>
      </c>
      <c r="G40" s="6"/>
      <c r="H40">
        <f t="shared" si="0"/>
        <v>5</v>
      </c>
      <c r="I40"/>
      <c r="J40" s="6"/>
      <c r="K40" s="6"/>
      <c r="L40" s="6"/>
      <c r="M40" s="6"/>
      <c r="N40" s="6"/>
      <c r="O40" s="6"/>
      <c r="P40" s="6"/>
    </row>
    <row r="41" s="23" customFormat="1" ht="21" customHeight="1" spans="1:16">
      <c r="A41" s="6">
        <v>39</v>
      </c>
      <c r="B41" s="7">
        <v>46110</v>
      </c>
      <c r="C41" s="8" t="s">
        <v>61</v>
      </c>
      <c r="D41" s="6" t="s">
        <v>171</v>
      </c>
      <c r="E41" s="8">
        <v>3</v>
      </c>
      <c r="F41" s="8">
        <v>2</v>
      </c>
      <c r="G41" s="6"/>
      <c r="H41">
        <f t="shared" si="0"/>
        <v>5</v>
      </c>
      <c r="I41"/>
      <c r="J41" s="6"/>
      <c r="K41" s="6"/>
      <c r="L41" s="6"/>
      <c r="M41" s="6"/>
      <c r="N41" s="6"/>
      <c r="O41" s="6"/>
      <c r="P41" s="6"/>
    </row>
    <row r="42" s="23" customFormat="1" ht="21" customHeight="1" spans="1:16">
      <c r="A42" s="6">
        <v>40</v>
      </c>
      <c r="B42" s="7">
        <v>46110</v>
      </c>
      <c r="C42" s="8" t="s">
        <v>149</v>
      </c>
      <c r="D42" s="6" t="s">
        <v>171</v>
      </c>
      <c r="E42" s="8">
        <v>4</v>
      </c>
      <c r="F42" s="8"/>
      <c r="G42" s="6"/>
      <c r="H42">
        <f t="shared" si="0"/>
        <v>4</v>
      </c>
      <c r="I42"/>
      <c r="J42" s="6"/>
      <c r="K42" s="6"/>
      <c r="L42" s="6"/>
      <c r="M42" s="6"/>
      <c r="N42" s="6"/>
      <c r="O42" s="6"/>
      <c r="P42" s="6"/>
    </row>
    <row r="43" s="23" customFormat="1" ht="21" customHeight="1" spans="1:16">
      <c r="A43" s="6">
        <v>41</v>
      </c>
      <c r="B43" s="7">
        <v>46110</v>
      </c>
      <c r="C43" s="8" t="s">
        <v>149</v>
      </c>
      <c r="D43" s="6" t="s">
        <v>171</v>
      </c>
      <c r="E43" s="8"/>
      <c r="F43" s="8">
        <v>8</v>
      </c>
      <c r="G43" s="6"/>
      <c r="H43">
        <f t="shared" si="0"/>
        <v>8</v>
      </c>
      <c r="I43"/>
      <c r="J43" s="6"/>
      <c r="K43" s="6"/>
      <c r="L43" s="6"/>
      <c r="M43" s="6"/>
      <c r="N43" s="6"/>
      <c r="O43" s="6"/>
      <c r="P43" s="6"/>
    </row>
    <row r="44" s="23" customFormat="1" ht="21" customHeight="1" spans="1:16">
      <c r="A44" s="6"/>
      <c r="B44" s="6"/>
      <c r="C44" s="6"/>
      <c r="D44" s="6"/>
      <c r="E44" s="6">
        <f>SUM(E3:E43)</f>
        <v>128</v>
      </c>
      <c r="F44" s="6">
        <f>SUM(F3:F43)</f>
        <v>96</v>
      </c>
      <c r="G44" s="6"/>
      <c r="H44"/>
      <c r="I44"/>
      <c r="J44" s="6"/>
      <c r="K44" s="6"/>
      <c r="L44" s="6"/>
      <c r="M44" s="6"/>
      <c r="N44" s="6"/>
      <c r="O44" s="6"/>
      <c r="P44" s="6"/>
    </row>
    <row r="45" customFormat="1" ht="18.75" spans="1:16">
      <c r="J45" s="6"/>
      <c r="K45" s="6"/>
      <c r="L45" s="6"/>
      <c r="M45" s="6"/>
      <c r="N45" s="6">
        <f>SUM(N3:N44)</f>
        <v>96</v>
      </c>
      <c r="O45" s="6">
        <f>SUM(O3:O44)</f>
        <v>36</v>
      </c>
      <c r="P45" s="6"/>
    </row>
    <row r="47" customFormat="1" ht="20.25" spans="1:16">
      <c r="J47" s="40" t="s">
        <v>169</v>
      </c>
      <c r="K47" s="40" t="s">
        <v>170</v>
      </c>
      <c r="L47" s="41"/>
    </row>
    <row r="48" customFormat="1" ht="20.25" spans="1:16">
      <c r="J48" s="40">
        <f>E44+N45</f>
        <v>224</v>
      </c>
      <c r="K48" s="40">
        <f>F44+O45</f>
        <v>132</v>
      </c>
      <c r="L48" s="41"/>
    </row>
    <row r="49" ht="20.25" spans="10:12">
      <c r="J49" s="41"/>
      <c r="K49" s="41"/>
      <c r="L49" s="41"/>
    </row>
    <row r="50" ht="20.25" spans="10:12">
      <c r="J50" s="41"/>
      <c r="K50" s="41"/>
      <c r="L50" s="41"/>
    </row>
  </sheetData>
  <sheetProtection formatCells="0" formatColumns="0" formatRows="0" insertRows="0" insertColumns="0" insertHyperlinks="0" deleteColumns="0" deleteRows="0" sort="0" autoFilter="0" pivotTables="0"/>
  <mergeCells count="3">
    <mergeCell ref="A1:F1"/>
    <mergeCell ref="J1:O1"/>
    <mergeCell ref="G31:G32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7"/>
  <sheetViews>
    <sheetView zoomScale="90" zoomScaleNormal="90" topLeftCell="I1" workbookViewId="0">
      <selection activeCell="N16" sqref="N16"/>
    </sheetView>
  </sheetViews>
  <sheetFormatPr defaultColWidth="9" defaultRowHeight="13.5"/>
  <cols>
    <col min="1" max="1" width="7.225" customWidth="1"/>
    <col min="2" max="2" width="10.225" customWidth="1"/>
    <col min="3" max="3" width="11.5583333333333" customWidth="1"/>
    <col min="4" max="4" width="10.5583333333333" customWidth="1"/>
    <col min="5" max="6" width="8.44166666666667" customWidth="1"/>
    <col min="7" max="7" width="23.475" customWidth="1"/>
    <col min="8" max="8" width="4.125" customWidth="1"/>
    <col min="10" max="10" width="11.3333333333333" customWidth="1"/>
    <col min="11" max="11" width="11.225" customWidth="1"/>
    <col min="12" max="12" width="10.775" customWidth="1"/>
    <col min="15" max="15" width="15.2666666666667" customWidth="1"/>
    <col min="16" max="16" width="28.4666666666667" customWidth="1"/>
  </cols>
  <sheetData>
    <row r="1" customFormat="1" ht="41" customHeight="1" spans="1:16">
      <c r="A1" s="1" t="s">
        <v>167</v>
      </c>
      <c r="B1" s="1"/>
      <c r="C1" s="1"/>
      <c r="D1" s="1"/>
      <c r="E1" s="1"/>
      <c r="F1" s="2"/>
      <c r="G1" s="3"/>
      <c r="I1" s="1" t="s">
        <v>167</v>
      </c>
      <c r="J1" s="1"/>
      <c r="K1" s="1"/>
      <c r="L1" s="1"/>
      <c r="M1" s="1"/>
      <c r="N1" s="2"/>
      <c r="O1" s="3"/>
    </row>
    <row r="2" s="5" customFormat="1" ht="24" customHeight="1" spans="1:16">
      <c r="A2" s="4" t="s">
        <v>2</v>
      </c>
      <c r="B2" s="4" t="s">
        <v>163</v>
      </c>
      <c r="C2" s="4" t="s">
        <v>3</v>
      </c>
      <c r="D2" s="4" t="s">
        <v>168</v>
      </c>
      <c r="E2" s="4" t="s">
        <v>169</v>
      </c>
      <c r="F2" s="4" t="s">
        <v>170</v>
      </c>
      <c r="G2" s="4" t="s">
        <v>7</v>
      </c>
      <c r="I2" s="4" t="s">
        <v>2</v>
      </c>
      <c r="J2" s="4" t="s">
        <v>163</v>
      </c>
      <c r="K2" s="4" t="s">
        <v>3</v>
      </c>
      <c r="L2" s="4" t="s">
        <v>168</v>
      </c>
      <c r="M2" s="4" t="s">
        <v>169</v>
      </c>
      <c r="N2" s="4" t="s">
        <v>170</v>
      </c>
      <c r="O2" s="4" t="s">
        <v>7</v>
      </c>
    </row>
    <row r="3" s="23" customFormat="1" ht="21" customHeight="1" spans="1:16">
      <c r="A3" s="6">
        <v>1</v>
      </c>
      <c r="B3" s="7">
        <v>46119</v>
      </c>
      <c r="C3" s="8" t="s">
        <v>13</v>
      </c>
      <c r="D3" s="6" t="s">
        <v>171</v>
      </c>
      <c r="E3" s="8"/>
      <c r="F3" s="8">
        <v>5</v>
      </c>
      <c r="G3" s="6"/>
      <c r="H3" s="6"/>
      <c r="I3" s="6">
        <v>43</v>
      </c>
      <c r="J3" s="7">
        <v>46119</v>
      </c>
      <c r="K3" s="8" t="s">
        <v>151</v>
      </c>
      <c r="L3" s="6" t="s">
        <v>171</v>
      </c>
      <c r="M3" s="8">
        <v>5</v>
      </c>
      <c r="N3" s="8"/>
      <c r="O3" s="6"/>
    </row>
    <row r="4" s="23" customFormat="1" ht="21" customHeight="1" spans="1:16">
      <c r="A4" s="6">
        <v>2</v>
      </c>
      <c r="B4" s="7">
        <v>46119</v>
      </c>
      <c r="C4" s="8" t="s">
        <v>17</v>
      </c>
      <c r="D4" s="6" t="s">
        <v>171</v>
      </c>
      <c r="E4" s="8">
        <v>5</v>
      </c>
      <c r="F4" s="8"/>
      <c r="G4" s="6"/>
      <c r="H4" s="6"/>
      <c r="I4" s="6">
        <v>44</v>
      </c>
      <c r="J4" s="7">
        <v>46119</v>
      </c>
      <c r="K4" s="8" t="s">
        <v>152</v>
      </c>
      <c r="L4" s="6" t="s">
        <v>171</v>
      </c>
      <c r="M4" s="8">
        <v>5</v>
      </c>
      <c r="N4" s="8"/>
      <c r="O4" s="6"/>
    </row>
    <row r="5" s="23" customFormat="1" ht="21" customHeight="1" spans="1:16">
      <c r="A5" s="6">
        <v>3</v>
      </c>
      <c r="B5" s="7">
        <v>46119</v>
      </c>
      <c r="C5" s="8" t="s">
        <v>19</v>
      </c>
      <c r="D5" s="6" t="s">
        <v>171</v>
      </c>
      <c r="E5" s="8">
        <v>5</v>
      </c>
      <c r="F5" s="8"/>
      <c r="G5" s="6"/>
      <c r="H5" s="6"/>
      <c r="I5" s="6">
        <v>45</v>
      </c>
      <c r="J5" s="7">
        <v>46119</v>
      </c>
      <c r="K5" s="9" t="s">
        <v>153</v>
      </c>
      <c r="L5" s="6" t="s">
        <v>171</v>
      </c>
      <c r="M5" s="8">
        <v>4</v>
      </c>
      <c r="N5" s="8">
        <v>1</v>
      </c>
      <c r="O5" s="6"/>
    </row>
    <row r="6" s="23" customFormat="1" ht="21" customHeight="1" spans="1:16">
      <c r="A6" s="6">
        <v>4</v>
      </c>
      <c r="B6" s="7">
        <v>46119</v>
      </c>
      <c r="C6" s="8" t="s">
        <v>21</v>
      </c>
      <c r="D6" s="6" t="s">
        <v>171</v>
      </c>
      <c r="E6" s="8"/>
      <c r="F6" s="8">
        <v>5</v>
      </c>
      <c r="G6" s="6"/>
      <c r="H6" s="6"/>
      <c r="I6" s="6">
        <v>46</v>
      </c>
      <c r="J6" s="7">
        <v>46119</v>
      </c>
      <c r="K6" s="8" t="s">
        <v>70</v>
      </c>
      <c r="L6" s="6" t="s">
        <v>171</v>
      </c>
      <c r="M6" s="8">
        <v>2</v>
      </c>
      <c r="N6" s="8">
        <v>3</v>
      </c>
      <c r="O6" s="6"/>
    </row>
    <row r="7" s="23" customFormat="1" ht="21" customHeight="1" spans="1:16">
      <c r="A7" s="6">
        <v>5</v>
      </c>
      <c r="B7" s="7">
        <v>46119</v>
      </c>
      <c r="C7" s="8" t="s">
        <v>23</v>
      </c>
      <c r="D7" s="6" t="s">
        <v>171</v>
      </c>
      <c r="E7" s="8">
        <v>5</v>
      </c>
      <c r="F7" s="8"/>
      <c r="G7" s="6"/>
      <c r="H7" s="6"/>
      <c r="I7" s="6">
        <v>47</v>
      </c>
      <c r="J7" s="7">
        <v>46119</v>
      </c>
      <c r="K7" s="8" t="s">
        <v>71</v>
      </c>
      <c r="L7" s="6" t="s">
        <v>171</v>
      </c>
      <c r="M7" s="8">
        <v>3</v>
      </c>
      <c r="N7" s="8">
        <v>2</v>
      </c>
      <c r="O7" s="6"/>
    </row>
    <row r="8" s="23" customFormat="1" ht="21" customHeight="1" spans="1:16">
      <c r="A8" s="6">
        <v>6</v>
      </c>
      <c r="B8" s="7">
        <v>46119</v>
      </c>
      <c r="C8" s="8" t="s">
        <v>24</v>
      </c>
      <c r="D8" s="6" t="s">
        <v>171</v>
      </c>
      <c r="E8" s="8">
        <v>3</v>
      </c>
      <c r="F8" s="8">
        <v>2</v>
      </c>
      <c r="G8" s="6"/>
      <c r="H8" s="6"/>
      <c r="I8" s="6">
        <v>48</v>
      </c>
      <c r="J8" s="7">
        <v>46119</v>
      </c>
      <c r="K8" s="8" t="s">
        <v>72</v>
      </c>
      <c r="L8" s="6" t="s">
        <v>171</v>
      </c>
      <c r="M8" s="8">
        <v>3</v>
      </c>
      <c r="N8" s="8">
        <v>2</v>
      </c>
      <c r="O8" s="6"/>
    </row>
    <row r="9" s="23" customFormat="1" ht="21" customHeight="1" spans="1:16">
      <c r="A9" s="6">
        <v>7</v>
      </c>
      <c r="B9" s="7">
        <v>46119</v>
      </c>
      <c r="C9" s="8" t="s">
        <v>27</v>
      </c>
      <c r="D9" s="6" t="s">
        <v>171</v>
      </c>
      <c r="E9" s="8">
        <v>5</v>
      </c>
      <c r="F9" s="8"/>
      <c r="G9" s="6"/>
      <c r="H9" s="6"/>
      <c r="I9" s="6">
        <v>49</v>
      </c>
      <c r="J9" s="7">
        <v>46119</v>
      </c>
      <c r="K9" s="8" t="s">
        <v>73</v>
      </c>
      <c r="L9" s="6" t="s">
        <v>171</v>
      </c>
      <c r="M9" s="8"/>
      <c r="N9" s="8">
        <v>5</v>
      </c>
      <c r="O9" s="6"/>
    </row>
    <row r="10" s="23" customFormat="1" ht="21" customHeight="1" spans="1:16">
      <c r="A10" s="6">
        <v>8</v>
      </c>
      <c r="B10" s="7">
        <v>46119</v>
      </c>
      <c r="C10" s="9" t="s">
        <v>179</v>
      </c>
      <c r="D10" s="6" t="s">
        <v>171</v>
      </c>
      <c r="E10" s="8">
        <v>5</v>
      </c>
      <c r="F10" s="8"/>
      <c r="G10" s="6"/>
      <c r="H10" s="6"/>
      <c r="I10" s="6">
        <v>50</v>
      </c>
      <c r="J10" s="7">
        <v>46119</v>
      </c>
      <c r="K10" s="8" t="s">
        <v>74</v>
      </c>
      <c r="L10" s="6" t="s">
        <v>171</v>
      </c>
      <c r="M10" s="8">
        <v>5</v>
      </c>
      <c r="N10" s="8"/>
      <c r="O10" s="6"/>
    </row>
    <row r="11" s="23" customFormat="1" ht="21" customHeight="1" spans="1:16">
      <c r="A11" s="6">
        <v>9</v>
      </c>
      <c r="B11" s="7">
        <v>46119</v>
      </c>
      <c r="C11" s="9" t="s">
        <v>180</v>
      </c>
      <c r="D11" s="6" t="s">
        <v>171</v>
      </c>
      <c r="E11" s="8"/>
      <c r="F11" s="8">
        <v>5</v>
      </c>
      <c r="G11" s="6"/>
      <c r="H11" s="6"/>
      <c r="I11" s="6">
        <v>51</v>
      </c>
      <c r="J11" s="7">
        <v>46119</v>
      </c>
      <c r="K11" s="8" t="s">
        <v>75</v>
      </c>
      <c r="L11" s="6" t="s">
        <v>171</v>
      </c>
      <c r="M11" s="8">
        <v>3</v>
      </c>
      <c r="N11" s="8">
        <v>2</v>
      </c>
      <c r="O11" s="6"/>
    </row>
    <row r="12" s="23" customFormat="1" ht="21" customHeight="1" spans="1:16">
      <c r="A12" s="6">
        <v>10</v>
      </c>
      <c r="B12" s="7">
        <v>46119</v>
      </c>
      <c r="C12" s="8" t="s">
        <v>29</v>
      </c>
      <c r="D12" s="6" t="s">
        <v>171</v>
      </c>
      <c r="E12" s="8"/>
      <c r="F12" s="8">
        <v>5</v>
      </c>
      <c r="G12" s="6"/>
      <c r="H12" s="6"/>
      <c r="I12" s="6">
        <v>52</v>
      </c>
      <c r="J12" s="7">
        <v>46119</v>
      </c>
      <c r="K12" s="8" t="s">
        <v>76</v>
      </c>
      <c r="L12" s="6" t="s">
        <v>171</v>
      </c>
      <c r="M12" s="8">
        <v>5</v>
      </c>
      <c r="N12" s="8"/>
      <c r="O12" s="6"/>
    </row>
    <row r="13" s="23" customFormat="1" ht="21" customHeight="1" spans="1:16">
      <c r="A13" s="6">
        <v>11</v>
      </c>
      <c r="B13" s="7">
        <v>46119</v>
      </c>
      <c r="C13" s="8" t="s">
        <v>30</v>
      </c>
      <c r="D13" s="6" t="s">
        <v>171</v>
      </c>
      <c r="E13" s="10">
        <v>3</v>
      </c>
      <c r="F13" s="8">
        <v>2</v>
      </c>
      <c r="G13" s="6"/>
      <c r="H13" s="6"/>
      <c r="I13" s="6">
        <v>53</v>
      </c>
      <c r="J13" s="7">
        <v>46119</v>
      </c>
      <c r="K13" s="8" t="s">
        <v>77</v>
      </c>
      <c r="L13" s="6" t="s">
        <v>171</v>
      </c>
      <c r="M13" s="8">
        <v>5</v>
      </c>
      <c r="N13" s="8"/>
      <c r="O13" s="6"/>
    </row>
    <row r="14" s="23" customFormat="1" ht="21" customHeight="1" spans="1:16">
      <c r="A14" s="6">
        <v>12</v>
      </c>
      <c r="B14" s="7">
        <v>46119</v>
      </c>
      <c r="C14" s="8" t="s">
        <v>33</v>
      </c>
      <c r="D14" s="6" t="s">
        <v>171</v>
      </c>
      <c r="E14" s="8">
        <v>3</v>
      </c>
      <c r="F14" s="8">
        <v>2</v>
      </c>
      <c r="G14" s="6"/>
      <c r="H14" s="6"/>
      <c r="I14" s="6">
        <v>54</v>
      </c>
      <c r="J14" s="7">
        <v>46119</v>
      </c>
      <c r="K14" s="8" t="s">
        <v>78</v>
      </c>
      <c r="L14" s="6" t="s">
        <v>171</v>
      </c>
      <c r="M14" s="8">
        <v>5</v>
      </c>
      <c r="N14" s="8"/>
      <c r="O14" s="6"/>
    </row>
    <row r="15" s="23" customFormat="1" ht="21" customHeight="1" spans="1:16">
      <c r="A15" s="6">
        <v>13</v>
      </c>
      <c r="B15" s="7">
        <v>46119</v>
      </c>
      <c r="C15" s="8" t="s">
        <v>34</v>
      </c>
      <c r="D15" s="6" t="s">
        <v>171</v>
      </c>
      <c r="E15" s="8"/>
      <c r="F15" s="8">
        <v>5</v>
      </c>
      <c r="G15" s="6"/>
      <c r="H15" s="6"/>
      <c r="I15" s="6">
        <v>55</v>
      </c>
      <c r="J15" s="7">
        <v>46119</v>
      </c>
      <c r="K15" s="8" t="s">
        <v>79</v>
      </c>
      <c r="L15" s="6" t="s">
        <v>171</v>
      </c>
      <c r="M15" s="8">
        <v>5</v>
      </c>
      <c r="N15" s="8"/>
      <c r="O15" s="6"/>
    </row>
    <row r="16" s="23" customFormat="1" ht="21" customHeight="1" spans="1:16">
      <c r="A16" s="6">
        <v>14</v>
      </c>
      <c r="B16" s="7">
        <v>46119</v>
      </c>
      <c r="C16" s="8" t="s">
        <v>36</v>
      </c>
      <c r="D16" s="6" t="s">
        <v>171</v>
      </c>
      <c r="E16" s="8"/>
      <c r="F16" s="8">
        <v>5</v>
      </c>
      <c r="G16" s="6"/>
      <c r="H16" s="6"/>
      <c r="I16" s="6">
        <v>56</v>
      </c>
      <c r="J16" s="7">
        <v>46119</v>
      </c>
      <c r="K16" s="8" t="s">
        <v>80</v>
      </c>
      <c r="L16" s="6" t="s">
        <v>171</v>
      </c>
      <c r="M16" s="8">
        <v>2</v>
      </c>
      <c r="N16" s="8">
        <v>5</v>
      </c>
      <c r="O16" s="6"/>
      <c r="P16" s="23" t="s">
        <v>173</v>
      </c>
    </row>
    <row r="17" s="23" customFormat="1" ht="21" customHeight="1" spans="1:19">
      <c r="A17" s="6">
        <v>15</v>
      </c>
      <c r="B17" s="7">
        <v>46119</v>
      </c>
      <c r="C17" s="8" t="s">
        <v>37</v>
      </c>
      <c r="D17" s="6" t="s">
        <v>171</v>
      </c>
      <c r="E17" s="8"/>
      <c r="F17" s="8">
        <v>5</v>
      </c>
      <c r="G17" s="6"/>
      <c r="H17" s="6"/>
      <c r="I17" s="6">
        <v>57</v>
      </c>
      <c r="J17" s="7">
        <v>46119</v>
      </c>
      <c r="K17" s="8" t="s">
        <v>81</v>
      </c>
      <c r="L17" s="6" t="s">
        <v>171</v>
      </c>
      <c r="M17" s="8">
        <v>2</v>
      </c>
      <c r="N17" s="8">
        <v>5</v>
      </c>
      <c r="O17" s="6"/>
    </row>
    <row r="18" s="23" customFormat="1" ht="21" customHeight="1" spans="1:19">
      <c r="A18" s="6">
        <v>16</v>
      </c>
      <c r="B18" s="7">
        <v>46119</v>
      </c>
      <c r="C18" s="8" t="s">
        <v>38</v>
      </c>
      <c r="D18" s="6" t="s">
        <v>171</v>
      </c>
      <c r="E18" s="8">
        <v>5</v>
      </c>
      <c r="F18" s="8"/>
      <c r="G18" s="6"/>
      <c r="H18" s="6"/>
      <c r="I18" s="6">
        <v>58</v>
      </c>
      <c r="J18" s="7">
        <v>46119</v>
      </c>
      <c r="K18" s="8" t="s">
        <v>82</v>
      </c>
      <c r="L18" s="6" t="s">
        <v>171</v>
      </c>
      <c r="M18" s="8">
        <v>3</v>
      </c>
      <c r="N18" s="8">
        <v>2</v>
      </c>
      <c r="O18" s="6"/>
    </row>
    <row r="19" s="23" customFormat="1" ht="21" customHeight="1" spans="1:19">
      <c r="A19" s="6">
        <v>17</v>
      </c>
      <c r="B19" s="7">
        <v>46119</v>
      </c>
      <c r="C19" s="9" t="s">
        <v>105</v>
      </c>
      <c r="D19" s="6" t="s">
        <v>171</v>
      </c>
      <c r="E19" s="8">
        <v>3</v>
      </c>
      <c r="F19" s="8">
        <v>2</v>
      </c>
      <c r="G19" s="6"/>
      <c r="H19" s="6"/>
      <c r="I19" s="6">
        <v>59</v>
      </c>
      <c r="J19" s="7">
        <v>46119</v>
      </c>
      <c r="K19" s="8" t="s">
        <v>85</v>
      </c>
      <c r="L19" s="6" t="s">
        <v>171</v>
      </c>
      <c r="M19" s="8">
        <v>5</v>
      </c>
      <c r="N19" s="8"/>
      <c r="O19" s="6"/>
    </row>
    <row r="20" s="23" customFormat="1" ht="21" customHeight="1" spans="1:19">
      <c r="A20" s="6">
        <v>18</v>
      </c>
      <c r="B20" s="7">
        <v>46119</v>
      </c>
      <c r="C20" s="9" t="s">
        <v>106</v>
      </c>
      <c r="D20" s="6" t="s">
        <v>171</v>
      </c>
      <c r="E20" s="8"/>
      <c r="F20" s="8">
        <v>5</v>
      </c>
      <c r="G20" s="6"/>
      <c r="H20" s="6"/>
      <c r="I20" s="6">
        <v>60</v>
      </c>
      <c r="J20" s="7">
        <v>46119</v>
      </c>
      <c r="K20" s="6" t="s">
        <v>138</v>
      </c>
      <c r="L20" s="6" t="s">
        <v>171</v>
      </c>
      <c r="M20" s="6">
        <v>5</v>
      </c>
      <c r="N20" s="6"/>
      <c r="O20" s="6"/>
    </row>
    <row r="21" s="23" customFormat="1" ht="21" customHeight="1" spans="1:19">
      <c r="A21" s="6">
        <v>19</v>
      </c>
      <c r="B21" s="7">
        <v>46119</v>
      </c>
      <c r="C21" s="9" t="s">
        <v>181</v>
      </c>
      <c r="D21" s="6" t="s">
        <v>171</v>
      </c>
      <c r="E21" s="8">
        <v>5</v>
      </c>
      <c r="F21" s="8"/>
      <c r="G21" s="6"/>
      <c r="H21" s="6"/>
      <c r="I21" s="6">
        <v>61</v>
      </c>
      <c r="J21" s="7">
        <v>46119</v>
      </c>
      <c r="K21" s="6" t="s">
        <v>155</v>
      </c>
      <c r="L21" s="6" t="s">
        <v>171</v>
      </c>
      <c r="M21" s="6"/>
      <c r="N21" s="6">
        <v>5</v>
      </c>
      <c r="O21" s="13"/>
      <c r="P21" s="23" t="s">
        <v>142</v>
      </c>
    </row>
    <row r="22" s="23" customFormat="1" ht="21" customHeight="1" spans="1:19">
      <c r="A22" s="6">
        <v>20</v>
      </c>
      <c r="B22" s="7">
        <v>46119</v>
      </c>
      <c r="C22" s="9" t="s">
        <v>182</v>
      </c>
      <c r="D22" s="6" t="s">
        <v>171</v>
      </c>
      <c r="E22" s="8"/>
      <c r="F22" s="8">
        <v>5</v>
      </c>
      <c r="G22" s="6"/>
      <c r="H22" s="6"/>
      <c r="I22" s="6">
        <v>62</v>
      </c>
      <c r="J22" s="7">
        <v>46119</v>
      </c>
      <c r="K22" s="6" t="s">
        <v>112</v>
      </c>
      <c r="L22" s="6" t="s">
        <v>171</v>
      </c>
      <c r="M22" s="14" t="s">
        <v>94</v>
      </c>
      <c r="N22" s="6"/>
      <c r="O22" s="6"/>
      <c r="P22" s="23" t="s">
        <v>142</v>
      </c>
    </row>
    <row r="23" s="23" customFormat="1" ht="21" customHeight="1" spans="1:19">
      <c r="A23" s="6">
        <v>21</v>
      </c>
      <c r="B23" s="7">
        <v>46119</v>
      </c>
      <c r="C23" s="8" t="s">
        <v>42</v>
      </c>
      <c r="D23" s="6" t="s">
        <v>171</v>
      </c>
      <c r="E23" s="8">
        <v>2</v>
      </c>
      <c r="F23" s="8"/>
      <c r="G23" s="6"/>
      <c r="H23" s="6"/>
      <c r="I23" s="6">
        <v>63</v>
      </c>
      <c r="J23" s="7">
        <v>46119</v>
      </c>
      <c r="K23" s="6" t="s">
        <v>124</v>
      </c>
      <c r="L23" s="6" t="s">
        <v>171</v>
      </c>
      <c r="M23" s="6">
        <v>0</v>
      </c>
      <c r="N23" s="6"/>
      <c r="O23" s="29" t="s">
        <v>183</v>
      </c>
      <c r="P23" s="23" t="s">
        <v>142</v>
      </c>
    </row>
    <row r="24" s="23" customFormat="1" ht="21" customHeight="1" spans="1:19">
      <c r="A24" s="6">
        <v>22</v>
      </c>
      <c r="B24" s="7">
        <v>46119</v>
      </c>
      <c r="C24" s="8" t="s">
        <v>43</v>
      </c>
      <c r="D24" s="6" t="s">
        <v>171</v>
      </c>
      <c r="E24" s="8"/>
      <c r="F24" s="8">
        <v>8</v>
      </c>
      <c r="G24" s="6"/>
      <c r="H24" s="6"/>
      <c r="I24" s="6">
        <v>64</v>
      </c>
      <c r="J24" s="7">
        <v>46119</v>
      </c>
      <c r="K24" s="6" t="s">
        <v>86</v>
      </c>
      <c r="L24" s="6" t="s">
        <v>171</v>
      </c>
      <c r="M24" s="30">
        <v>0</v>
      </c>
      <c r="N24" s="30">
        <v>0</v>
      </c>
      <c r="O24" s="6" t="s">
        <v>184</v>
      </c>
      <c r="P24" s="31" t="s">
        <v>185</v>
      </c>
    </row>
    <row r="25" s="23" customFormat="1" ht="21" customHeight="1" spans="1:19">
      <c r="A25" s="6">
        <v>23</v>
      </c>
      <c r="B25" s="7">
        <v>46119</v>
      </c>
      <c r="C25" s="9" t="s">
        <v>186</v>
      </c>
      <c r="D25" s="6" t="s">
        <v>171</v>
      </c>
      <c r="E25" s="8">
        <v>5</v>
      </c>
      <c r="F25" s="8"/>
      <c r="G25" s="6"/>
      <c r="H25" s="6"/>
      <c r="I25" s="6">
        <v>65</v>
      </c>
      <c r="J25" s="6"/>
      <c r="K25" s="32" t="s">
        <v>160</v>
      </c>
      <c r="L25" s="14" t="s">
        <v>171</v>
      </c>
      <c r="M25" s="14"/>
      <c r="N25" s="14"/>
      <c r="O25" s="6"/>
      <c r="P25" s="28" t="s">
        <v>185</v>
      </c>
    </row>
    <row r="26" s="23" customFormat="1" ht="21" customHeight="1" spans="1:19">
      <c r="A26" s="6">
        <v>24</v>
      </c>
      <c r="B26" s="7">
        <v>46119</v>
      </c>
      <c r="C26" s="9" t="s">
        <v>187</v>
      </c>
      <c r="D26" s="6" t="s">
        <v>171</v>
      </c>
      <c r="E26" s="8">
        <v>5</v>
      </c>
      <c r="F26" s="8"/>
      <c r="G26" s="6"/>
      <c r="H26" s="6"/>
      <c r="I26" s="6"/>
      <c r="J26" s="6"/>
      <c r="K26" s="19" t="s">
        <v>161</v>
      </c>
      <c r="L26" s="17" t="s">
        <v>171</v>
      </c>
      <c r="M26" s="17">
        <v>6</v>
      </c>
      <c r="N26" s="14"/>
      <c r="O26" s="18" t="s">
        <v>188</v>
      </c>
      <c r="P26" s="28"/>
      <c r="S26" s="23" t="s">
        <v>189</v>
      </c>
    </row>
    <row r="27" s="23" customFormat="1" ht="21" customHeight="1" spans="1:19">
      <c r="A27" s="6">
        <v>25</v>
      </c>
      <c r="B27" s="7">
        <v>46119</v>
      </c>
      <c r="C27" s="8" t="s">
        <v>46</v>
      </c>
      <c r="D27" s="6" t="s">
        <v>171</v>
      </c>
      <c r="E27" s="8">
        <v>5</v>
      </c>
      <c r="F27" s="8"/>
      <c r="G27" s="6"/>
      <c r="H27" s="6"/>
      <c r="I27" s="6"/>
      <c r="J27" s="33"/>
      <c r="K27" s="34" t="s">
        <v>136</v>
      </c>
      <c r="L27" s="14" t="s">
        <v>171</v>
      </c>
      <c r="M27" s="6"/>
      <c r="N27" s="6"/>
      <c r="O27" s="6"/>
      <c r="P27" s="23" t="s">
        <v>190</v>
      </c>
    </row>
    <row r="28" s="23" customFormat="1" ht="21" customHeight="1" spans="1:19">
      <c r="A28" s="6">
        <v>26</v>
      </c>
      <c r="B28" s="7">
        <v>46119</v>
      </c>
      <c r="C28" s="8" t="s">
        <v>47</v>
      </c>
      <c r="D28" s="6" t="s">
        <v>171</v>
      </c>
      <c r="E28" s="8">
        <v>5</v>
      </c>
      <c r="F28" s="8"/>
      <c r="G28" s="6"/>
      <c r="H28" s="6"/>
      <c r="I28" s="6"/>
      <c r="J28" s="6"/>
      <c r="K28" s="12"/>
      <c r="L28" s="6"/>
      <c r="M28" s="6"/>
      <c r="N28" s="6"/>
      <c r="O28" s="6"/>
      <c r="S28" s="23" t="s">
        <v>189</v>
      </c>
    </row>
    <row r="29" s="23" customFormat="1" ht="21" customHeight="1" spans="1:19">
      <c r="A29" s="6">
        <v>27</v>
      </c>
      <c r="B29" s="7">
        <v>46119</v>
      </c>
      <c r="C29" s="8" t="s">
        <v>48</v>
      </c>
      <c r="D29" s="6" t="s">
        <v>171</v>
      </c>
      <c r="E29" s="8">
        <v>5</v>
      </c>
      <c r="F29" s="8"/>
      <c r="G29" s="6"/>
      <c r="H29" s="6"/>
      <c r="I29" s="6"/>
      <c r="J29" s="6"/>
      <c r="K29" s="6"/>
      <c r="L29" s="6"/>
      <c r="M29" s="6"/>
      <c r="N29" s="6"/>
      <c r="O29" s="6"/>
    </row>
    <row r="30" s="23" customFormat="1" ht="21" customHeight="1" spans="1:19">
      <c r="A30" s="6">
        <v>28</v>
      </c>
      <c r="B30" s="7">
        <v>46119</v>
      </c>
      <c r="C30" s="8" t="s">
        <v>49</v>
      </c>
      <c r="D30" s="6" t="s">
        <v>171</v>
      </c>
      <c r="E30" s="8">
        <v>5</v>
      </c>
      <c r="F30" s="8"/>
      <c r="G30" s="6"/>
      <c r="H30" s="6"/>
      <c r="I30" s="6"/>
      <c r="J30" s="6"/>
      <c r="K30" s="6"/>
      <c r="L30" s="6"/>
      <c r="M30" s="6"/>
      <c r="N30" s="6"/>
      <c r="O30" s="6"/>
    </row>
    <row r="31" s="23" customFormat="1" ht="21" customHeight="1" spans="1:19">
      <c r="A31" s="6">
        <v>29</v>
      </c>
      <c r="B31" s="7">
        <v>46119</v>
      </c>
      <c r="C31" s="8" t="s">
        <v>145</v>
      </c>
      <c r="D31" s="6" t="s">
        <v>171</v>
      </c>
      <c r="E31" s="35">
        <v>5</v>
      </c>
      <c r="F31" s="35"/>
      <c r="G31" s="22" t="s">
        <v>191</v>
      </c>
      <c r="H31" s="6"/>
      <c r="I31" s="6"/>
      <c r="J31" s="6"/>
      <c r="K31" s="6"/>
      <c r="L31" s="6"/>
      <c r="M31" s="6"/>
      <c r="N31" s="6"/>
      <c r="O31" s="6"/>
    </row>
    <row r="32" s="23" customFormat="1" ht="21" customHeight="1" spans="1:19">
      <c r="A32" s="6">
        <v>30</v>
      </c>
      <c r="B32" s="7">
        <v>46119</v>
      </c>
      <c r="C32" s="8" t="s">
        <v>146</v>
      </c>
      <c r="D32" s="6" t="s">
        <v>171</v>
      </c>
      <c r="E32" s="35">
        <v>5</v>
      </c>
      <c r="F32" s="35"/>
      <c r="G32" s="22"/>
      <c r="H32" s="6"/>
      <c r="I32" s="6"/>
      <c r="J32" s="6"/>
      <c r="K32" s="6"/>
      <c r="L32" s="6"/>
      <c r="M32" s="6"/>
      <c r="N32" s="6"/>
      <c r="O32" s="6"/>
    </row>
    <row r="33" s="23" customFormat="1" ht="21" customHeight="1" spans="1:18">
      <c r="A33" s="6">
        <v>31</v>
      </c>
      <c r="B33" s="7">
        <v>46119</v>
      </c>
      <c r="C33" s="8" t="s">
        <v>52</v>
      </c>
      <c r="D33" s="6" t="s">
        <v>171</v>
      </c>
      <c r="E33" s="8">
        <v>3</v>
      </c>
      <c r="F33" s="8">
        <v>2</v>
      </c>
      <c r="G33" s="6"/>
      <c r="H33" s="6"/>
      <c r="I33" s="6"/>
      <c r="J33" s="6"/>
      <c r="K33" s="6"/>
      <c r="L33" s="6"/>
      <c r="M33" s="6"/>
      <c r="N33" s="6"/>
      <c r="O33" s="6"/>
    </row>
    <row r="34" s="23" customFormat="1" ht="21" customHeight="1" spans="1:18">
      <c r="A34" s="6">
        <v>32</v>
      </c>
      <c r="B34" s="7">
        <v>46119</v>
      </c>
      <c r="C34" s="8" t="s">
        <v>54</v>
      </c>
      <c r="D34" s="6" t="s">
        <v>171</v>
      </c>
      <c r="E34" s="8"/>
      <c r="F34" s="8">
        <v>5</v>
      </c>
      <c r="G34" s="6"/>
      <c r="H34" s="6"/>
      <c r="I34" s="6"/>
      <c r="J34" s="6"/>
      <c r="K34" s="6"/>
      <c r="L34" s="6"/>
      <c r="M34" s="6"/>
      <c r="N34" s="6"/>
      <c r="O34" s="6"/>
    </row>
    <row r="35" s="23" customFormat="1" ht="21" customHeight="1" spans="1:18">
      <c r="A35" s="6">
        <v>33</v>
      </c>
      <c r="B35" s="7">
        <v>46119</v>
      </c>
      <c r="C35" s="8" t="s">
        <v>55</v>
      </c>
      <c r="D35" s="6" t="s">
        <v>171</v>
      </c>
      <c r="E35" s="8">
        <v>3</v>
      </c>
      <c r="F35" s="8">
        <v>2</v>
      </c>
      <c r="G35" s="6"/>
      <c r="H35" s="6"/>
      <c r="I35" s="6"/>
      <c r="J35" s="6"/>
      <c r="K35" s="6"/>
      <c r="L35" s="6"/>
      <c r="M35" s="6"/>
      <c r="N35" s="6"/>
      <c r="O35" s="6"/>
    </row>
    <row r="36" s="23" customFormat="1" ht="21" customHeight="1" spans="1:18">
      <c r="A36" s="6">
        <v>34</v>
      </c>
      <c r="B36" s="7">
        <v>46119</v>
      </c>
      <c r="C36" s="8" t="s">
        <v>56</v>
      </c>
      <c r="D36" s="6" t="s">
        <v>171</v>
      </c>
      <c r="E36" s="35">
        <v>4</v>
      </c>
      <c r="F36" s="35">
        <v>4</v>
      </c>
      <c r="G36" s="14" t="s">
        <v>178</v>
      </c>
      <c r="H36" s="6"/>
      <c r="I36" s="6"/>
      <c r="J36" s="6"/>
      <c r="K36" s="6"/>
      <c r="L36" s="6"/>
      <c r="M36" s="6"/>
      <c r="N36" s="6"/>
      <c r="O36" s="6"/>
    </row>
    <row r="37" s="23" customFormat="1" ht="21" customHeight="1" spans="1:18">
      <c r="A37" s="6">
        <v>35</v>
      </c>
      <c r="B37" s="7">
        <v>46119</v>
      </c>
      <c r="C37" s="8" t="s">
        <v>57</v>
      </c>
      <c r="D37" s="6" t="s">
        <v>171</v>
      </c>
      <c r="E37" s="8">
        <v>3</v>
      </c>
      <c r="F37" s="8">
        <v>2</v>
      </c>
      <c r="G37" s="6"/>
      <c r="H37" s="6"/>
      <c r="I37" s="6"/>
      <c r="J37" s="6"/>
      <c r="K37" s="6"/>
      <c r="L37" s="6"/>
      <c r="M37" s="6"/>
      <c r="N37" s="6"/>
      <c r="O37" s="6"/>
    </row>
    <row r="38" s="23" customFormat="1" ht="21" customHeight="1" spans="1:18">
      <c r="A38" s="6">
        <v>36</v>
      </c>
      <c r="B38" s="7">
        <v>46119</v>
      </c>
      <c r="C38" s="8" t="s">
        <v>147</v>
      </c>
      <c r="D38" s="6" t="s">
        <v>171</v>
      </c>
      <c r="E38" s="8">
        <v>5</v>
      </c>
      <c r="F38" s="8"/>
      <c r="G38" s="6"/>
      <c r="H38" s="6"/>
      <c r="I38" s="6"/>
      <c r="J38" s="6"/>
      <c r="K38" s="6"/>
      <c r="L38" s="6"/>
      <c r="M38" s="6"/>
      <c r="N38" s="6"/>
      <c r="O38" s="6"/>
    </row>
    <row r="39" s="23" customFormat="1" ht="21" customHeight="1" spans="1:18">
      <c r="A39" s="6">
        <v>37</v>
      </c>
      <c r="B39" s="7">
        <v>46119</v>
      </c>
      <c r="C39" s="8" t="s">
        <v>148</v>
      </c>
      <c r="D39" s="6" t="s">
        <v>171</v>
      </c>
      <c r="E39" s="8"/>
      <c r="F39" s="8">
        <v>5</v>
      </c>
      <c r="G39" s="6"/>
      <c r="H39" s="6"/>
      <c r="I39" s="6"/>
      <c r="J39" s="6"/>
      <c r="K39" s="6"/>
      <c r="L39" s="6"/>
      <c r="M39" s="6"/>
      <c r="N39" s="6"/>
      <c r="O39" s="6"/>
    </row>
    <row r="40" s="23" customFormat="1" ht="21" customHeight="1" spans="1:18">
      <c r="A40" s="6">
        <v>38</v>
      </c>
      <c r="B40" s="7">
        <v>46119</v>
      </c>
      <c r="C40" s="8" t="s">
        <v>60</v>
      </c>
      <c r="D40" s="6" t="s">
        <v>171</v>
      </c>
      <c r="E40" s="8">
        <v>4</v>
      </c>
      <c r="F40" s="8">
        <v>1</v>
      </c>
      <c r="G40" s="6"/>
      <c r="H40" s="6"/>
      <c r="I40" s="6"/>
      <c r="J40" s="6"/>
      <c r="K40" s="6"/>
      <c r="L40" s="6"/>
      <c r="M40" s="6"/>
      <c r="N40" s="6"/>
      <c r="O40" s="6"/>
    </row>
    <row r="41" s="23" customFormat="1" ht="21" customHeight="1" spans="1:18">
      <c r="A41" s="6">
        <v>39</v>
      </c>
      <c r="B41" s="7">
        <v>46119</v>
      </c>
      <c r="C41" s="8" t="s">
        <v>61</v>
      </c>
      <c r="D41" s="6" t="s">
        <v>171</v>
      </c>
      <c r="E41" s="8">
        <v>3</v>
      </c>
      <c r="F41" s="8">
        <v>2</v>
      </c>
      <c r="G41" s="6"/>
      <c r="H41" s="6"/>
      <c r="I41" s="6"/>
      <c r="J41" s="6"/>
      <c r="K41" s="6"/>
      <c r="L41" s="6"/>
      <c r="M41" s="6"/>
      <c r="N41" s="6"/>
      <c r="O41" s="6"/>
    </row>
    <row r="42" s="23" customFormat="1" ht="21" customHeight="1" spans="1:18">
      <c r="A42" s="6">
        <v>40</v>
      </c>
      <c r="B42" s="7">
        <v>46119</v>
      </c>
      <c r="C42" s="9" t="s">
        <v>62</v>
      </c>
      <c r="D42" s="6" t="s">
        <v>171</v>
      </c>
      <c r="E42" s="8">
        <v>4</v>
      </c>
      <c r="F42" s="8"/>
      <c r="G42" s="6"/>
      <c r="H42" s="6"/>
      <c r="I42" s="6"/>
      <c r="J42" s="6"/>
      <c r="K42" s="6"/>
      <c r="L42" s="6"/>
      <c r="M42" s="6"/>
      <c r="N42" s="6"/>
      <c r="O42" s="6"/>
    </row>
    <row r="43" s="23" customFormat="1" ht="21" customHeight="1" spans="1:18">
      <c r="A43" s="6">
        <v>41</v>
      </c>
      <c r="B43" s="7">
        <v>46119</v>
      </c>
      <c r="C43" s="9" t="s">
        <v>63</v>
      </c>
      <c r="D43" s="6" t="s">
        <v>171</v>
      </c>
      <c r="E43" s="8"/>
      <c r="F43" s="8">
        <v>8</v>
      </c>
      <c r="G43" s="6"/>
      <c r="H43" s="6"/>
      <c r="I43" s="6"/>
      <c r="J43" s="6"/>
      <c r="K43" s="6"/>
      <c r="L43" s="6"/>
      <c r="M43" s="6"/>
      <c r="N43" s="6"/>
      <c r="O43" s="6"/>
    </row>
    <row r="44" s="23" customFormat="1" ht="21" customHeight="1" spans="1:18">
      <c r="A44" s="6">
        <v>41</v>
      </c>
      <c r="B44" s="7">
        <v>46119</v>
      </c>
      <c r="C44" s="9" t="s">
        <v>149</v>
      </c>
      <c r="D44" s="6" t="s">
        <v>171</v>
      </c>
      <c r="E44" s="8"/>
      <c r="F44" s="35">
        <v>0</v>
      </c>
      <c r="G44" s="6" t="s">
        <v>192</v>
      </c>
      <c r="H44" s="6"/>
      <c r="I44" s="6"/>
      <c r="J44" s="6"/>
      <c r="K44" s="6"/>
      <c r="L44" s="6"/>
      <c r="M44" s="6">
        <f>SUM(M3:M43)</f>
        <v>73</v>
      </c>
      <c r="N44" s="6">
        <f>SUM(N3:N43)</f>
        <v>32</v>
      </c>
      <c r="O44" s="6"/>
    </row>
    <row r="45" s="23" customFormat="1" ht="21" customHeight="1" spans="1:18">
      <c r="A45" s="6"/>
      <c r="B45" s="6"/>
      <c r="C45" s="6"/>
      <c r="D45" s="6"/>
      <c r="E45" s="6">
        <f>SUM(E3:E44)</f>
        <v>118</v>
      </c>
      <c r="F45" s="6">
        <f>SUM(F3:F44)</f>
        <v>92</v>
      </c>
      <c r="G45" s="6"/>
      <c r="H45" s="6"/>
      <c r="I45"/>
      <c r="J45"/>
      <c r="K45"/>
      <c r="L45"/>
      <c r="M45"/>
      <c r="N45"/>
      <c r="O45"/>
      <c r="P45"/>
      <c r="Q45"/>
      <c r="R45"/>
    </row>
    <row r="46" spans="1:18">
      <c r="I46" t="s">
        <v>169</v>
      </c>
      <c r="J46" t="s">
        <v>170</v>
      </c>
    </row>
    <row r="47" spans="1:18">
      <c r="I47">
        <f>E45+M44</f>
        <v>191</v>
      </c>
      <c r="J47">
        <f>F45+N44</f>
        <v>124</v>
      </c>
    </row>
  </sheetData>
  <sheetProtection formatCells="0" formatColumns="0" formatRows="0" insertRows="0" insertColumns="0" insertHyperlinks="0" deleteColumns="0" deleteRows="0" sort="0" autoFilter="0" pivotTables="0"/>
  <mergeCells count="2">
    <mergeCell ref="A1:G1"/>
    <mergeCell ref="I1:O1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7"/>
  <sheetViews>
    <sheetView zoomScale="90" zoomScaleNormal="90" workbookViewId="0">
      <selection activeCell="A19" sqref="$A19:$XFD19"/>
    </sheetView>
  </sheetViews>
  <sheetFormatPr defaultColWidth="9" defaultRowHeight="13.5"/>
  <cols>
    <col min="1" max="1" width="7.225" customWidth="1"/>
    <col min="2" max="2" width="10.225" customWidth="1"/>
    <col min="3" max="3" width="11.5583333333333" customWidth="1"/>
    <col min="4" max="4" width="10.5583333333333" customWidth="1"/>
    <col min="5" max="6" width="8.44166666666667" customWidth="1"/>
    <col min="7" max="7" width="23.475" customWidth="1"/>
    <col min="8" max="8" width="4.125" customWidth="1"/>
    <col min="10" max="10" width="11.3333333333333" customWidth="1"/>
    <col min="11" max="11" width="11.225" customWidth="1"/>
    <col min="12" max="12" width="10.775" customWidth="1"/>
    <col min="15" max="15" width="17.875" customWidth="1"/>
    <col min="16" max="16" width="14.375" customWidth="1"/>
  </cols>
  <sheetData>
    <row r="1" customFormat="1" ht="41" customHeight="1" spans="1:16">
      <c r="A1" s="1" t="s">
        <v>167</v>
      </c>
      <c r="B1" s="1"/>
      <c r="C1" s="1"/>
      <c r="D1" s="1"/>
      <c r="E1" s="1"/>
      <c r="F1" s="2"/>
      <c r="G1" s="3"/>
      <c r="I1" s="1" t="s">
        <v>167</v>
      </c>
      <c r="J1" s="1"/>
      <c r="K1" s="1"/>
      <c r="L1" s="1"/>
      <c r="M1" s="1"/>
      <c r="N1" s="2"/>
      <c r="O1" s="3"/>
    </row>
    <row r="2" s="5" customFormat="1" ht="24" customHeight="1" spans="1:16">
      <c r="A2" s="4" t="s">
        <v>2</v>
      </c>
      <c r="B2" s="4" t="s">
        <v>163</v>
      </c>
      <c r="C2" s="4" t="s">
        <v>3</v>
      </c>
      <c r="D2" s="4" t="s">
        <v>168</v>
      </c>
      <c r="E2" s="4" t="s">
        <v>169</v>
      </c>
      <c r="F2" s="4" t="s">
        <v>170</v>
      </c>
      <c r="G2" s="4" t="s">
        <v>7</v>
      </c>
      <c r="I2" s="4" t="s">
        <v>2</v>
      </c>
      <c r="J2" s="4" t="s">
        <v>163</v>
      </c>
      <c r="K2" s="4" t="s">
        <v>3</v>
      </c>
      <c r="L2" s="4" t="s">
        <v>168</v>
      </c>
      <c r="M2" s="4" t="s">
        <v>169</v>
      </c>
      <c r="N2" s="4" t="s">
        <v>170</v>
      </c>
      <c r="O2" s="4" t="s">
        <v>7</v>
      </c>
    </row>
    <row r="3" s="23" customFormat="1" ht="21" customHeight="1" spans="1:16">
      <c r="A3" s="6">
        <v>1</v>
      </c>
      <c r="B3" s="7">
        <v>46124</v>
      </c>
      <c r="C3" s="8" t="s">
        <v>13</v>
      </c>
      <c r="D3" s="6" t="s">
        <v>171</v>
      </c>
      <c r="E3" s="8"/>
      <c r="F3" s="8">
        <v>5</v>
      </c>
      <c r="G3" s="6"/>
      <c r="H3" s="6"/>
      <c r="I3" s="6">
        <v>43</v>
      </c>
      <c r="J3" s="7">
        <v>46124</v>
      </c>
      <c r="K3" s="8" t="s">
        <v>151</v>
      </c>
      <c r="L3" s="6" t="s">
        <v>171</v>
      </c>
      <c r="M3" s="8">
        <v>5</v>
      </c>
      <c r="N3" s="8"/>
      <c r="O3" s="6"/>
    </row>
    <row r="4" s="23" customFormat="1" ht="21" customHeight="1" spans="1:16">
      <c r="A4" s="6">
        <v>2</v>
      </c>
      <c r="B4" s="7">
        <v>46124</v>
      </c>
      <c r="C4" s="8" t="s">
        <v>17</v>
      </c>
      <c r="D4" s="6" t="s">
        <v>171</v>
      </c>
      <c r="E4" s="8">
        <v>5</v>
      </c>
      <c r="F4" s="8"/>
      <c r="G4" s="6"/>
      <c r="H4" s="6"/>
      <c r="I4" s="6">
        <v>44</v>
      </c>
      <c r="J4" s="7">
        <v>46124</v>
      </c>
      <c r="K4" s="8" t="s">
        <v>152</v>
      </c>
      <c r="L4" s="6" t="s">
        <v>171</v>
      </c>
      <c r="M4" s="8">
        <v>5</v>
      </c>
      <c r="N4" s="8"/>
      <c r="O4" s="6"/>
    </row>
    <row r="5" s="23" customFormat="1" ht="21" customHeight="1" spans="1:16">
      <c r="A5" s="6">
        <v>3</v>
      </c>
      <c r="B5" s="7">
        <v>46124</v>
      </c>
      <c r="C5" s="8" t="s">
        <v>19</v>
      </c>
      <c r="D5" s="6" t="s">
        <v>171</v>
      </c>
      <c r="E5" s="8">
        <v>5</v>
      </c>
      <c r="F5" s="8"/>
      <c r="G5" s="6"/>
      <c r="H5" s="6"/>
      <c r="I5" s="6">
        <v>45</v>
      </c>
      <c r="J5" s="7">
        <v>46124</v>
      </c>
      <c r="K5" s="9" t="s">
        <v>153</v>
      </c>
      <c r="L5" s="6" t="s">
        <v>171</v>
      </c>
      <c r="M5" s="8">
        <v>4</v>
      </c>
      <c r="N5" s="8">
        <v>1</v>
      </c>
      <c r="O5" s="6"/>
    </row>
    <row r="6" s="23" customFormat="1" ht="21" customHeight="1" spans="1:16">
      <c r="A6" s="6">
        <v>4</v>
      </c>
      <c r="B6" s="7">
        <v>46124</v>
      </c>
      <c r="C6" s="8" t="s">
        <v>21</v>
      </c>
      <c r="D6" s="6" t="s">
        <v>171</v>
      </c>
      <c r="E6" s="8"/>
      <c r="F6" s="8">
        <v>5</v>
      </c>
      <c r="G6" s="6"/>
      <c r="H6" s="6"/>
      <c r="I6" s="6">
        <v>46</v>
      </c>
      <c r="J6" s="7">
        <v>46124</v>
      </c>
      <c r="K6" s="8" t="s">
        <v>70</v>
      </c>
      <c r="L6" s="6" t="s">
        <v>171</v>
      </c>
      <c r="M6" s="8">
        <v>2</v>
      </c>
      <c r="N6" s="8">
        <v>3</v>
      </c>
      <c r="O6" s="6"/>
    </row>
    <row r="7" s="23" customFormat="1" ht="21" customHeight="1" spans="1:16">
      <c r="A7" s="6">
        <v>5</v>
      </c>
      <c r="B7" s="7">
        <v>46124</v>
      </c>
      <c r="C7" s="8" t="s">
        <v>23</v>
      </c>
      <c r="D7" s="6" t="s">
        <v>171</v>
      </c>
      <c r="E7" s="8">
        <v>5</v>
      </c>
      <c r="F7" s="8"/>
      <c r="G7" s="6"/>
      <c r="H7" s="6"/>
      <c r="I7" s="6">
        <v>47</v>
      </c>
      <c r="J7" s="7">
        <v>46124</v>
      </c>
      <c r="K7" s="8" t="s">
        <v>71</v>
      </c>
      <c r="L7" s="6" t="s">
        <v>171</v>
      </c>
      <c r="M7" s="8">
        <v>3</v>
      </c>
      <c r="N7" s="8">
        <v>2</v>
      </c>
      <c r="O7" s="6"/>
    </row>
    <row r="8" s="23" customFormat="1" ht="21" customHeight="1" spans="1:16">
      <c r="A8" s="6">
        <v>6</v>
      </c>
      <c r="B8" s="7">
        <v>46124</v>
      </c>
      <c r="C8" s="8" t="s">
        <v>24</v>
      </c>
      <c r="D8" s="6" t="s">
        <v>171</v>
      </c>
      <c r="E8" s="8">
        <v>3</v>
      </c>
      <c r="F8" s="8">
        <v>2</v>
      </c>
      <c r="G8" s="6"/>
      <c r="H8" s="6"/>
      <c r="I8" s="6">
        <v>48</v>
      </c>
      <c r="J8" s="7">
        <v>46124</v>
      </c>
      <c r="K8" s="8" t="s">
        <v>72</v>
      </c>
      <c r="L8" s="6" t="s">
        <v>171</v>
      </c>
      <c r="M8" s="8">
        <v>3</v>
      </c>
      <c r="N8" s="8">
        <v>2</v>
      </c>
      <c r="O8" s="6"/>
    </row>
    <row r="9" s="23" customFormat="1" ht="21" customHeight="1" spans="1:16">
      <c r="A9" s="6">
        <v>7</v>
      </c>
      <c r="B9" s="7">
        <v>46124</v>
      </c>
      <c r="C9" s="8" t="s">
        <v>27</v>
      </c>
      <c r="D9" s="6" t="s">
        <v>171</v>
      </c>
      <c r="E9" s="8">
        <v>5</v>
      </c>
      <c r="F9" s="8"/>
      <c r="G9" s="6"/>
      <c r="H9" s="6"/>
      <c r="I9" s="6">
        <v>49</v>
      </c>
      <c r="J9" s="7">
        <v>46124</v>
      </c>
      <c r="K9" s="8" t="s">
        <v>73</v>
      </c>
      <c r="L9" s="6" t="s">
        <v>171</v>
      </c>
      <c r="M9" s="8"/>
      <c r="N9" s="8">
        <v>5</v>
      </c>
      <c r="O9" s="6"/>
    </row>
    <row r="10" s="23" customFormat="1" ht="21" customHeight="1" spans="1:16">
      <c r="A10" s="6">
        <v>8</v>
      </c>
      <c r="B10" s="7">
        <v>46124</v>
      </c>
      <c r="C10" s="9" t="s">
        <v>179</v>
      </c>
      <c r="D10" s="6" t="s">
        <v>171</v>
      </c>
      <c r="E10" s="8">
        <v>5</v>
      </c>
      <c r="F10" s="8"/>
      <c r="G10" s="6"/>
      <c r="H10" s="6"/>
      <c r="I10" s="6">
        <v>50</v>
      </c>
      <c r="J10" s="7">
        <v>46124</v>
      </c>
      <c r="K10" s="8" t="s">
        <v>74</v>
      </c>
      <c r="L10" s="6" t="s">
        <v>171</v>
      </c>
      <c r="M10" s="8">
        <v>5</v>
      </c>
      <c r="N10" s="8"/>
      <c r="O10" s="6"/>
    </row>
    <row r="11" s="23" customFormat="1" ht="21" customHeight="1" spans="1:16">
      <c r="A11" s="6">
        <v>9</v>
      </c>
      <c r="B11" s="7">
        <v>46124</v>
      </c>
      <c r="C11" s="9" t="s">
        <v>180</v>
      </c>
      <c r="D11" s="6" t="s">
        <v>171</v>
      </c>
      <c r="E11" s="8"/>
      <c r="F11" s="8">
        <v>5</v>
      </c>
      <c r="G11" s="6"/>
      <c r="H11" s="6"/>
      <c r="I11" s="6">
        <v>51</v>
      </c>
      <c r="J11" s="7">
        <v>46124</v>
      </c>
      <c r="K11" s="8" t="s">
        <v>75</v>
      </c>
      <c r="L11" s="6" t="s">
        <v>171</v>
      </c>
      <c r="M11" s="8">
        <v>3</v>
      </c>
      <c r="N11" s="8">
        <v>2</v>
      </c>
      <c r="O11" s="6"/>
    </row>
    <row r="12" s="23" customFormat="1" ht="21" customHeight="1" spans="1:16">
      <c r="A12" s="6">
        <v>10</v>
      </c>
      <c r="B12" s="7">
        <v>46124</v>
      </c>
      <c r="C12" s="8" t="s">
        <v>29</v>
      </c>
      <c r="D12" s="6" t="s">
        <v>171</v>
      </c>
      <c r="E12" s="8"/>
      <c r="F12" s="8">
        <v>5</v>
      </c>
      <c r="G12" s="6"/>
      <c r="H12" s="6"/>
      <c r="I12" s="6">
        <v>52</v>
      </c>
      <c r="J12" s="7">
        <v>46124</v>
      </c>
      <c r="K12" s="8" t="s">
        <v>76</v>
      </c>
      <c r="L12" s="6" t="s">
        <v>171</v>
      </c>
      <c r="M12" s="8">
        <v>5</v>
      </c>
      <c r="N12" s="8"/>
      <c r="O12" s="6"/>
    </row>
    <row r="13" s="23" customFormat="1" ht="21" customHeight="1" spans="1:16">
      <c r="A13" s="6">
        <v>11</v>
      </c>
      <c r="B13" s="7">
        <v>46124</v>
      </c>
      <c r="C13" s="8" t="s">
        <v>30</v>
      </c>
      <c r="D13" s="6" t="s">
        <v>171</v>
      </c>
      <c r="E13" s="10">
        <v>3</v>
      </c>
      <c r="F13" s="8">
        <v>2</v>
      </c>
      <c r="G13" s="6"/>
      <c r="H13" s="6"/>
      <c r="I13" s="6">
        <v>53</v>
      </c>
      <c r="J13" s="7">
        <v>46124</v>
      </c>
      <c r="K13" s="8" t="s">
        <v>77</v>
      </c>
      <c r="L13" s="6" t="s">
        <v>171</v>
      </c>
      <c r="M13" s="8">
        <v>5</v>
      </c>
      <c r="N13" s="8"/>
      <c r="O13" s="6"/>
    </row>
    <row r="14" s="23" customFormat="1" ht="21" customHeight="1" spans="1:16">
      <c r="A14" s="6">
        <v>12</v>
      </c>
      <c r="B14" s="7">
        <v>46124</v>
      </c>
      <c r="C14" s="8" t="s">
        <v>33</v>
      </c>
      <c r="D14" s="6" t="s">
        <v>171</v>
      </c>
      <c r="E14" s="8">
        <v>3</v>
      </c>
      <c r="F14" s="8">
        <v>2</v>
      </c>
      <c r="G14" s="6"/>
      <c r="H14" s="6"/>
      <c r="I14" s="6">
        <v>54</v>
      </c>
      <c r="J14" s="7">
        <v>46124</v>
      </c>
      <c r="K14" s="8" t="s">
        <v>78</v>
      </c>
      <c r="L14" s="6" t="s">
        <v>171</v>
      </c>
      <c r="M14" s="8">
        <v>5</v>
      </c>
      <c r="N14" s="8"/>
      <c r="O14" s="6"/>
    </row>
    <row r="15" s="23" customFormat="1" ht="21" customHeight="1" spans="1:16">
      <c r="A15" s="6">
        <v>13</v>
      </c>
      <c r="B15" s="7">
        <v>46124</v>
      </c>
      <c r="C15" s="8" t="s">
        <v>34</v>
      </c>
      <c r="D15" s="6" t="s">
        <v>171</v>
      </c>
      <c r="E15" s="8"/>
      <c r="F15" s="8">
        <v>5</v>
      </c>
      <c r="G15" s="6"/>
      <c r="H15" s="6"/>
      <c r="I15" s="6">
        <v>55</v>
      </c>
      <c r="J15" s="7">
        <v>46124</v>
      </c>
      <c r="K15" s="8" t="s">
        <v>79</v>
      </c>
      <c r="L15" s="6" t="s">
        <v>171</v>
      </c>
      <c r="M15" s="8">
        <v>5</v>
      </c>
      <c r="N15" s="8"/>
      <c r="O15" s="6"/>
    </row>
    <row r="16" s="23" customFormat="1" ht="21" customHeight="1" spans="1:16">
      <c r="A16" s="6">
        <v>14</v>
      </c>
      <c r="B16" s="7">
        <v>46124</v>
      </c>
      <c r="C16" s="8" t="s">
        <v>36</v>
      </c>
      <c r="D16" s="6" t="s">
        <v>171</v>
      </c>
      <c r="E16" s="8"/>
      <c r="F16" s="8">
        <v>5</v>
      </c>
      <c r="G16" s="6"/>
      <c r="H16" s="6"/>
      <c r="I16" s="6">
        <v>56</v>
      </c>
      <c r="J16" s="7">
        <v>46124</v>
      </c>
      <c r="K16" s="8" t="s">
        <v>80</v>
      </c>
      <c r="L16" s="6" t="s">
        <v>171</v>
      </c>
      <c r="M16" s="8">
        <v>2</v>
      </c>
      <c r="N16" s="8">
        <v>3</v>
      </c>
      <c r="O16" s="6"/>
      <c r="P16" s="23" t="s">
        <v>173</v>
      </c>
    </row>
    <row r="17" s="23" customFormat="1" ht="21" customHeight="1" spans="1:16">
      <c r="A17" s="6">
        <v>15</v>
      </c>
      <c r="B17" s="7">
        <v>46124</v>
      </c>
      <c r="C17" s="8" t="s">
        <v>37</v>
      </c>
      <c r="D17" s="6" t="s">
        <v>171</v>
      </c>
      <c r="E17" s="8"/>
      <c r="F17" s="8">
        <v>5</v>
      </c>
      <c r="G17" s="6"/>
      <c r="H17" s="6"/>
      <c r="I17" s="6">
        <v>57</v>
      </c>
      <c r="J17" s="7">
        <v>46124</v>
      </c>
      <c r="K17" s="8" t="s">
        <v>81</v>
      </c>
      <c r="L17" s="6" t="s">
        <v>171</v>
      </c>
      <c r="M17" s="8">
        <v>2</v>
      </c>
      <c r="N17" s="8">
        <v>3</v>
      </c>
      <c r="O17" s="6"/>
    </row>
    <row r="18" s="23" customFormat="1" ht="21" customHeight="1" spans="1:16">
      <c r="A18" s="6">
        <v>16</v>
      </c>
      <c r="B18" s="7">
        <v>46124</v>
      </c>
      <c r="C18" s="8" t="s">
        <v>38</v>
      </c>
      <c r="D18" s="6" t="s">
        <v>171</v>
      </c>
      <c r="E18" s="8">
        <v>5</v>
      </c>
      <c r="F18" s="8"/>
      <c r="G18" s="6"/>
      <c r="H18" s="6"/>
      <c r="I18" s="6">
        <v>58</v>
      </c>
      <c r="J18" s="7">
        <v>46124</v>
      </c>
      <c r="K18" s="8" t="s">
        <v>82</v>
      </c>
      <c r="L18" s="6" t="s">
        <v>171</v>
      </c>
      <c r="M18" s="8">
        <v>3</v>
      </c>
      <c r="N18" s="8">
        <v>2</v>
      </c>
      <c r="O18" s="6"/>
    </row>
    <row r="19" s="23" customFormat="1" ht="21" customHeight="1" spans="1:16">
      <c r="A19" s="6">
        <v>17</v>
      </c>
      <c r="B19" s="7">
        <v>46124</v>
      </c>
      <c r="C19" s="9" t="s">
        <v>105</v>
      </c>
      <c r="D19" s="6" t="s">
        <v>171</v>
      </c>
      <c r="E19" s="8">
        <v>3</v>
      </c>
      <c r="F19" s="8">
        <v>2</v>
      </c>
      <c r="G19" s="6"/>
      <c r="H19" s="6"/>
      <c r="I19" s="6">
        <v>59</v>
      </c>
      <c r="J19" s="7">
        <v>46124</v>
      </c>
      <c r="K19" s="8" t="s">
        <v>85</v>
      </c>
      <c r="L19" s="6" t="s">
        <v>171</v>
      </c>
      <c r="M19" s="8">
        <v>5</v>
      </c>
      <c r="N19" s="8"/>
      <c r="O19" s="6"/>
    </row>
    <row r="20" s="23" customFormat="1" ht="21" customHeight="1" spans="1:16">
      <c r="A20" s="6">
        <v>18</v>
      </c>
      <c r="B20" s="7">
        <v>46124</v>
      </c>
      <c r="C20" s="9" t="s">
        <v>106</v>
      </c>
      <c r="D20" s="6" t="s">
        <v>171</v>
      </c>
      <c r="E20" s="8"/>
      <c r="F20" s="8">
        <v>5</v>
      </c>
      <c r="G20" s="6"/>
      <c r="H20" s="6"/>
      <c r="I20" s="6">
        <v>60</v>
      </c>
      <c r="J20" s="7">
        <v>46124</v>
      </c>
      <c r="K20" s="6" t="s">
        <v>138</v>
      </c>
      <c r="L20" s="6" t="s">
        <v>171</v>
      </c>
      <c r="M20" s="6">
        <v>5</v>
      </c>
      <c r="N20" s="6"/>
      <c r="O20" s="6"/>
    </row>
    <row r="21" s="23" customFormat="1" ht="21" customHeight="1" spans="1:16">
      <c r="A21" s="6">
        <v>19</v>
      </c>
      <c r="B21" s="7">
        <v>46124</v>
      </c>
      <c r="C21" s="9" t="s">
        <v>181</v>
      </c>
      <c r="D21" s="6" t="s">
        <v>171</v>
      </c>
      <c r="E21" s="8">
        <v>5</v>
      </c>
      <c r="F21" s="8"/>
      <c r="G21" s="6"/>
      <c r="H21" s="6"/>
      <c r="I21" s="6">
        <v>61</v>
      </c>
      <c r="J21" s="7">
        <v>46124</v>
      </c>
      <c r="K21" s="6" t="s">
        <v>155</v>
      </c>
      <c r="L21" s="6" t="s">
        <v>171</v>
      </c>
      <c r="M21" s="6"/>
      <c r="N21" s="6">
        <v>5</v>
      </c>
      <c r="O21" s="13"/>
      <c r="P21" s="24" t="s">
        <v>142</v>
      </c>
    </row>
    <row r="22" s="23" customFormat="1" ht="21" customHeight="1" spans="1:16">
      <c r="A22" s="6">
        <v>20</v>
      </c>
      <c r="B22" s="7">
        <v>46124</v>
      </c>
      <c r="C22" s="9" t="s">
        <v>182</v>
      </c>
      <c r="D22" s="6" t="s">
        <v>171</v>
      </c>
      <c r="E22" s="8"/>
      <c r="F22" s="8">
        <v>5</v>
      </c>
      <c r="G22" s="6"/>
      <c r="H22" s="6"/>
      <c r="I22" s="6">
        <v>62</v>
      </c>
      <c r="J22" s="7">
        <v>46124</v>
      </c>
      <c r="K22" s="6" t="s">
        <v>112</v>
      </c>
      <c r="L22" s="6" t="s">
        <v>171</v>
      </c>
      <c r="M22" s="14" t="s">
        <v>94</v>
      </c>
      <c r="N22" s="6"/>
      <c r="O22" s="6"/>
      <c r="P22" s="24" t="s">
        <v>142</v>
      </c>
    </row>
    <row r="23" s="23" customFormat="1" ht="21" customHeight="1" spans="1:16">
      <c r="A23" s="6">
        <v>21</v>
      </c>
      <c r="B23" s="7">
        <v>46124</v>
      </c>
      <c r="C23" s="8" t="s">
        <v>42</v>
      </c>
      <c r="D23" s="6" t="s">
        <v>171</v>
      </c>
      <c r="E23" s="8">
        <v>2</v>
      </c>
      <c r="F23" s="8"/>
      <c r="G23" s="6"/>
      <c r="H23" s="6"/>
      <c r="I23" s="6">
        <v>63</v>
      </c>
      <c r="J23" s="7">
        <v>46124</v>
      </c>
      <c r="K23" s="6" t="s">
        <v>124</v>
      </c>
      <c r="L23" s="6" t="s">
        <v>171</v>
      </c>
      <c r="M23" s="6">
        <v>5</v>
      </c>
      <c r="N23" s="6"/>
      <c r="O23" s="15" t="s">
        <v>193</v>
      </c>
      <c r="P23" s="24" t="s">
        <v>142</v>
      </c>
    </row>
    <row r="24" s="23" customFormat="1" ht="21" customHeight="1" spans="1:16">
      <c r="A24" s="6">
        <v>22</v>
      </c>
      <c r="B24" s="7">
        <v>46124</v>
      </c>
      <c r="C24" s="8" t="s">
        <v>43</v>
      </c>
      <c r="D24" s="6" t="s">
        <v>171</v>
      </c>
      <c r="E24" s="8"/>
      <c r="F24" s="8">
        <v>8</v>
      </c>
      <c r="G24" s="6"/>
      <c r="H24" s="6"/>
      <c r="I24" s="6">
        <v>64</v>
      </c>
      <c r="J24" s="25">
        <v>46124</v>
      </c>
      <c r="K24" s="26" t="s">
        <v>136</v>
      </c>
      <c r="L24" s="17" t="s">
        <v>171</v>
      </c>
      <c r="M24" s="17">
        <v>5</v>
      </c>
      <c r="N24" s="17"/>
      <c r="O24" s="18" t="s">
        <v>194</v>
      </c>
      <c r="P24" s="27" t="s">
        <v>195</v>
      </c>
    </row>
    <row r="25" s="23" customFormat="1" ht="21" customHeight="1" spans="1:16">
      <c r="A25" s="6">
        <v>23</v>
      </c>
      <c r="B25" s="7">
        <v>46124</v>
      </c>
      <c r="C25" s="9" t="s">
        <v>186</v>
      </c>
      <c r="D25" s="6" t="s">
        <v>171</v>
      </c>
      <c r="E25" s="8">
        <v>5</v>
      </c>
      <c r="F25" s="8"/>
      <c r="G25" s="6"/>
      <c r="H25" s="6"/>
      <c r="I25" s="6">
        <v>65</v>
      </c>
      <c r="J25" s="25">
        <v>46124</v>
      </c>
      <c r="K25" s="16" t="s">
        <v>160</v>
      </c>
      <c r="L25" s="17" t="s">
        <v>171</v>
      </c>
      <c r="M25" s="17">
        <v>2</v>
      </c>
      <c r="N25" s="17">
        <v>3</v>
      </c>
      <c r="O25" s="18"/>
      <c r="P25" s="28"/>
    </row>
    <row r="26" s="23" customFormat="1" ht="21" customHeight="1" spans="1:16">
      <c r="A26" s="6">
        <v>24</v>
      </c>
      <c r="B26" s="7">
        <v>46124</v>
      </c>
      <c r="C26" s="9" t="s">
        <v>187</v>
      </c>
      <c r="D26" s="6" t="s">
        <v>171</v>
      </c>
      <c r="E26" s="8">
        <v>5</v>
      </c>
      <c r="F26" s="8"/>
      <c r="G26" s="6"/>
      <c r="H26" s="6"/>
      <c r="I26" s="6">
        <v>66</v>
      </c>
      <c r="J26" s="25">
        <v>46124</v>
      </c>
      <c r="K26" s="19" t="s">
        <v>161</v>
      </c>
      <c r="L26" s="17" t="s">
        <v>171</v>
      </c>
      <c r="M26" s="17">
        <v>3</v>
      </c>
      <c r="N26" s="17">
        <v>3</v>
      </c>
      <c r="O26" s="18" t="s">
        <v>188</v>
      </c>
      <c r="P26" s="28"/>
    </row>
    <row r="27" s="23" customFormat="1" ht="21" customHeight="1" spans="1:16">
      <c r="A27" s="6">
        <v>25</v>
      </c>
      <c r="B27" s="7">
        <v>46124</v>
      </c>
      <c r="C27" s="8" t="s">
        <v>46</v>
      </c>
      <c r="D27" s="6" t="s">
        <v>171</v>
      </c>
      <c r="E27" s="8">
        <v>5</v>
      </c>
      <c r="F27" s="8"/>
      <c r="G27" s="6"/>
      <c r="H27" s="6"/>
      <c r="I27" s="6">
        <v>67</v>
      </c>
      <c r="J27" s="7">
        <v>46124</v>
      </c>
      <c r="K27" s="6" t="s">
        <v>86</v>
      </c>
      <c r="L27" s="6" t="s">
        <v>171</v>
      </c>
      <c r="M27" s="6">
        <v>3</v>
      </c>
      <c r="N27" s="6">
        <v>2</v>
      </c>
      <c r="O27" s="20" t="s">
        <v>184</v>
      </c>
    </row>
    <row r="28" s="23" customFormat="1" ht="21" customHeight="1" spans="1:16">
      <c r="A28" s="6">
        <v>26</v>
      </c>
      <c r="B28" s="7">
        <v>46124</v>
      </c>
      <c r="C28" s="8" t="s">
        <v>47</v>
      </c>
      <c r="D28" s="6" t="s">
        <v>171</v>
      </c>
      <c r="E28" s="8">
        <v>5</v>
      </c>
      <c r="F28" s="8"/>
      <c r="G28" s="6"/>
      <c r="H28" s="6"/>
      <c r="I28" s="6"/>
      <c r="J28" s="7"/>
      <c r="K28" s="6"/>
      <c r="L28" s="6"/>
      <c r="M28" s="6"/>
      <c r="N28" s="6"/>
      <c r="O28" s="6"/>
    </row>
    <row r="29" s="23" customFormat="1" ht="21" customHeight="1" spans="1:16">
      <c r="A29" s="6">
        <v>27</v>
      </c>
      <c r="B29" s="7">
        <v>46124</v>
      </c>
      <c r="C29" s="8" t="s">
        <v>48</v>
      </c>
      <c r="D29" s="6" t="s">
        <v>171</v>
      </c>
      <c r="E29" s="8">
        <v>5</v>
      </c>
      <c r="F29" s="8"/>
      <c r="G29" s="6"/>
      <c r="H29" s="6"/>
      <c r="I29" s="6"/>
      <c r="J29" s="6"/>
      <c r="K29" s="6"/>
      <c r="L29" s="6"/>
      <c r="M29" s="6"/>
      <c r="N29" s="6"/>
      <c r="O29" s="6"/>
    </row>
    <row r="30" s="23" customFormat="1" ht="21" customHeight="1" spans="1:16">
      <c r="A30" s="6">
        <v>28</v>
      </c>
      <c r="B30" s="7">
        <v>46124</v>
      </c>
      <c r="C30" s="8" t="s">
        <v>49</v>
      </c>
      <c r="D30" s="6" t="s">
        <v>171</v>
      </c>
      <c r="E30" s="8">
        <v>5</v>
      </c>
      <c r="F30" s="8"/>
      <c r="G30" s="6"/>
      <c r="H30" s="6"/>
      <c r="I30" s="6"/>
      <c r="J30" s="6"/>
      <c r="K30" s="6"/>
      <c r="L30" s="6"/>
      <c r="M30" s="6"/>
      <c r="N30" s="6"/>
      <c r="O30" s="6"/>
    </row>
    <row r="31" s="23" customFormat="1" ht="21" customHeight="1" spans="1:16">
      <c r="A31" s="6">
        <v>29</v>
      </c>
      <c r="B31" s="7">
        <v>46124</v>
      </c>
      <c r="C31" s="8" t="s">
        <v>145</v>
      </c>
      <c r="D31" s="6" t="s">
        <v>171</v>
      </c>
      <c r="E31" s="21">
        <v>6</v>
      </c>
      <c r="F31" s="21"/>
      <c r="G31" s="22" t="s">
        <v>191</v>
      </c>
      <c r="H31" s="6"/>
      <c r="I31" s="6"/>
      <c r="J31" s="6"/>
      <c r="K31" s="6"/>
      <c r="L31" s="6"/>
      <c r="M31" s="6"/>
      <c r="N31" s="6"/>
      <c r="O31" s="6"/>
    </row>
    <row r="32" s="23" customFormat="1" ht="21" customHeight="1" spans="1:16">
      <c r="A32" s="6">
        <v>30</v>
      </c>
      <c r="B32" s="7">
        <v>46124</v>
      </c>
      <c r="C32" s="8" t="s">
        <v>146</v>
      </c>
      <c r="D32" s="6" t="s">
        <v>171</v>
      </c>
      <c r="E32" s="21"/>
      <c r="F32" s="21">
        <v>4</v>
      </c>
      <c r="G32" s="22"/>
      <c r="H32" s="6"/>
      <c r="I32" s="6"/>
      <c r="J32" s="6"/>
      <c r="K32" s="6"/>
      <c r="L32" s="6"/>
      <c r="M32" s="6"/>
      <c r="N32" s="6"/>
      <c r="O32" s="6"/>
    </row>
    <row r="33" s="23" customFormat="1" ht="21" customHeight="1" spans="1:17">
      <c r="A33" s="6">
        <v>31</v>
      </c>
      <c r="B33" s="7">
        <v>46124</v>
      </c>
      <c r="C33" s="8" t="s">
        <v>52</v>
      </c>
      <c r="D33" s="6" t="s">
        <v>171</v>
      </c>
      <c r="E33" s="8">
        <v>3</v>
      </c>
      <c r="F33" s="8">
        <v>2</v>
      </c>
      <c r="G33" s="6"/>
      <c r="H33" s="6"/>
      <c r="I33" s="6"/>
      <c r="J33" s="6"/>
      <c r="K33" s="6"/>
      <c r="L33" s="6"/>
      <c r="M33" s="6"/>
      <c r="N33" s="6"/>
      <c r="O33" s="6"/>
    </row>
    <row r="34" s="23" customFormat="1" ht="21" customHeight="1" spans="1:17">
      <c r="A34" s="6">
        <v>32</v>
      </c>
      <c r="B34" s="7">
        <v>46124</v>
      </c>
      <c r="C34" s="8" t="s">
        <v>54</v>
      </c>
      <c r="D34" s="6" t="s">
        <v>171</v>
      </c>
      <c r="E34" s="8"/>
      <c r="F34" s="8">
        <v>5</v>
      </c>
      <c r="G34" s="6"/>
      <c r="H34" s="6"/>
      <c r="I34" s="6"/>
      <c r="J34" s="6"/>
      <c r="K34" s="6"/>
      <c r="L34" s="6"/>
      <c r="M34" s="6"/>
      <c r="N34" s="6"/>
      <c r="O34" s="6"/>
    </row>
    <row r="35" s="23" customFormat="1" ht="21" customHeight="1" spans="1:17">
      <c r="A35" s="6">
        <v>33</v>
      </c>
      <c r="B35" s="7">
        <v>46124</v>
      </c>
      <c r="C35" s="8" t="s">
        <v>55</v>
      </c>
      <c r="D35" s="6" t="s">
        <v>171</v>
      </c>
      <c r="E35" s="8">
        <v>3</v>
      </c>
      <c r="F35" s="8">
        <v>2</v>
      </c>
      <c r="G35" s="6"/>
      <c r="H35" s="6"/>
      <c r="I35" s="6"/>
      <c r="J35" s="6"/>
      <c r="K35" s="6"/>
      <c r="L35" s="6"/>
      <c r="M35" s="6"/>
      <c r="N35" s="6"/>
      <c r="O35" s="6"/>
    </row>
    <row r="36" s="23" customFormat="1" ht="21" customHeight="1" spans="1:17">
      <c r="A36" s="6">
        <v>34</v>
      </c>
      <c r="B36" s="7">
        <v>46124</v>
      </c>
      <c r="C36" s="8" t="s">
        <v>56</v>
      </c>
      <c r="D36" s="6" t="s">
        <v>171</v>
      </c>
      <c r="E36" s="21">
        <v>4</v>
      </c>
      <c r="F36" s="21">
        <v>4</v>
      </c>
      <c r="G36" s="14" t="s">
        <v>178</v>
      </c>
      <c r="H36" s="6"/>
      <c r="I36" s="6"/>
      <c r="J36" s="6"/>
      <c r="K36" s="6"/>
      <c r="L36" s="6"/>
      <c r="M36" s="6"/>
      <c r="N36" s="6"/>
      <c r="O36" s="6"/>
    </row>
    <row r="37" s="23" customFormat="1" ht="21" customHeight="1" spans="1:17">
      <c r="A37" s="6">
        <v>35</v>
      </c>
      <c r="B37" s="7">
        <v>46124</v>
      </c>
      <c r="C37" s="8" t="s">
        <v>57</v>
      </c>
      <c r="D37" s="6" t="s">
        <v>171</v>
      </c>
      <c r="E37" s="8">
        <v>3</v>
      </c>
      <c r="F37" s="8">
        <v>2</v>
      </c>
      <c r="G37" s="6"/>
      <c r="H37" s="6"/>
      <c r="I37" s="6"/>
      <c r="J37" s="6"/>
      <c r="K37" s="6"/>
      <c r="L37" s="6"/>
      <c r="M37" s="6"/>
      <c r="N37" s="6"/>
      <c r="O37" s="6"/>
    </row>
    <row r="38" s="23" customFormat="1" ht="21" customHeight="1" spans="1:17">
      <c r="A38" s="6">
        <v>36</v>
      </c>
      <c r="B38" s="7">
        <v>46124</v>
      </c>
      <c r="C38" s="8" t="s">
        <v>147</v>
      </c>
      <c r="D38" s="6" t="s">
        <v>171</v>
      </c>
      <c r="E38" s="8">
        <v>5</v>
      </c>
      <c r="F38" s="8"/>
      <c r="G38" s="6"/>
      <c r="H38" s="6"/>
      <c r="I38" s="6"/>
      <c r="J38" s="6"/>
      <c r="K38" s="6"/>
      <c r="L38" s="6"/>
      <c r="M38" s="6"/>
      <c r="N38" s="6"/>
      <c r="O38" s="6"/>
    </row>
    <row r="39" s="23" customFormat="1" ht="21" customHeight="1" spans="1:17">
      <c r="A39" s="6">
        <v>37</v>
      </c>
      <c r="B39" s="7">
        <v>46124</v>
      </c>
      <c r="C39" s="8" t="s">
        <v>148</v>
      </c>
      <c r="D39" s="6" t="s">
        <v>171</v>
      </c>
      <c r="E39" s="8"/>
      <c r="F39" s="8">
        <v>5</v>
      </c>
      <c r="G39" s="6"/>
      <c r="H39" s="6"/>
      <c r="I39" s="6"/>
      <c r="J39" s="6"/>
      <c r="K39" s="6"/>
      <c r="L39" s="6"/>
      <c r="M39" s="6"/>
      <c r="N39" s="6"/>
      <c r="O39" s="6"/>
    </row>
    <row r="40" s="23" customFormat="1" ht="21" customHeight="1" spans="1:17">
      <c r="A40" s="6">
        <v>38</v>
      </c>
      <c r="B40" s="7">
        <v>46124</v>
      </c>
      <c r="C40" s="8" t="s">
        <v>60</v>
      </c>
      <c r="D40" s="6" t="s">
        <v>171</v>
      </c>
      <c r="E40" s="8">
        <v>4</v>
      </c>
      <c r="F40" s="8">
        <v>1</v>
      </c>
      <c r="G40" s="6"/>
      <c r="H40" s="6"/>
      <c r="I40" s="6"/>
      <c r="J40" s="6"/>
      <c r="K40" s="6"/>
      <c r="L40" s="6"/>
      <c r="M40" s="6"/>
      <c r="N40" s="6"/>
      <c r="O40" s="6"/>
    </row>
    <row r="41" s="23" customFormat="1" ht="21" customHeight="1" spans="1:17">
      <c r="A41" s="6">
        <v>39</v>
      </c>
      <c r="B41" s="7">
        <v>46124</v>
      </c>
      <c r="C41" s="8" t="s">
        <v>61</v>
      </c>
      <c r="D41" s="6" t="s">
        <v>171</v>
      </c>
      <c r="E41" s="8">
        <v>3</v>
      </c>
      <c r="F41" s="8">
        <v>2</v>
      </c>
      <c r="G41" s="6"/>
      <c r="H41" s="6"/>
      <c r="I41" s="6"/>
      <c r="J41" s="6"/>
      <c r="K41" s="6"/>
      <c r="L41" s="6"/>
      <c r="M41" s="6"/>
      <c r="N41" s="6"/>
      <c r="O41" s="6"/>
    </row>
    <row r="42" s="23" customFormat="1" ht="21" customHeight="1" spans="1:17">
      <c r="A42" s="6">
        <v>40</v>
      </c>
      <c r="B42" s="7">
        <v>46124</v>
      </c>
      <c r="C42" s="9" t="s">
        <v>62</v>
      </c>
      <c r="D42" s="6" t="s">
        <v>171</v>
      </c>
      <c r="E42" s="8">
        <v>4</v>
      </c>
      <c r="F42" s="8"/>
      <c r="G42" s="6"/>
      <c r="H42" s="6"/>
      <c r="I42" s="6"/>
      <c r="J42" s="6"/>
      <c r="K42" s="6"/>
      <c r="L42" s="6"/>
      <c r="M42" s="6"/>
      <c r="N42" s="6"/>
      <c r="O42" s="6"/>
    </row>
    <row r="43" s="23" customFormat="1" ht="21" customHeight="1" spans="1:17">
      <c r="A43" s="6">
        <v>41</v>
      </c>
      <c r="B43" s="7">
        <v>46124</v>
      </c>
      <c r="C43" s="9" t="s">
        <v>63</v>
      </c>
      <c r="D43" s="6" t="s">
        <v>171</v>
      </c>
      <c r="E43" s="8"/>
      <c r="F43" s="8">
        <v>8</v>
      </c>
      <c r="G43" s="6"/>
      <c r="H43" s="6"/>
      <c r="I43" s="6"/>
      <c r="J43" s="6"/>
      <c r="K43" s="6"/>
      <c r="L43" s="6"/>
      <c r="M43" s="6"/>
      <c r="N43" s="6"/>
      <c r="O43" s="6"/>
    </row>
    <row r="44" s="23" customFormat="1" ht="21" customHeight="1" spans="1:17">
      <c r="A44" s="6">
        <v>42</v>
      </c>
      <c r="B44" s="7">
        <v>46124</v>
      </c>
      <c r="C44" s="9" t="s">
        <v>64</v>
      </c>
      <c r="D44" s="6" t="s">
        <v>171</v>
      </c>
      <c r="E44" s="8"/>
      <c r="F44" s="8">
        <v>5</v>
      </c>
      <c r="G44" s="6"/>
      <c r="H44" s="6"/>
      <c r="I44" s="6"/>
      <c r="J44" s="6"/>
      <c r="K44" s="6"/>
      <c r="L44" s="6"/>
      <c r="M44" s="6">
        <f>SUM(M3:M43)</f>
        <v>85</v>
      </c>
      <c r="N44" s="6">
        <f>SUM(N3:N43)</f>
        <v>36</v>
      </c>
      <c r="O44" s="6"/>
    </row>
    <row r="45" s="23" customFormat="1" ht="21" customHeight="1" spans="1:17">
      <c r="A45" s="6"/>
      <c r="B45" s="6"/>
      <c r="C45" s="6"/>
      <c r="D45" s="6"/>
      <c r="E45" s="6">
        <f>SUM(E3:E44)</f>
        <v>114</v>
      </c>
      <c r="F45" s="6">
        <f>SUM(F3:F44)</f>
        <v>101</v>
      </c>
      <c r="G45" s="6"/>
      <c r="H45" s="6"/>
      <c r="I45"/>
      <c r="J45"/>
      <c r="K45"/>
      <c r="L45"/>
      <c r="M45"/>
      <c r="N45"/>
      <c r="O45"/>
      <c r="P45"/>
      <c r="Q45"/>
    </row>
    <row r="46" spans="1:17">
      <c r="I46" t="s">
        <v>169</v>
      </c>
      <c r="J46" t="s">
        <v>170</v>
      </c>
    </row>
    <row r="47" spans="1:17">
      <c r="I47">
        <f>E45+M44</f>
        <v>199</v>
      </c>
      <c r="J47">
        <f>F45+N44</f>
        <v>137</v>
      </c>
    </row>
  </sheetData>
  <sheetProtection formatCells="0" formatColumns="0" formatRows="0" insertRows="0" insertColumns="0" insertHyperlinks="0" deleteColumns="0" deleteRows="0" sort="0" autoFilter="0" pivotTables="0"/>
  <mergeCells count="2">
    <mergeCell ref="A1:G1"/>
    <mergeCell ref="I1:O1"/>
  </mergeCell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"/>
  <sheetViews>
    <sheetView tabSelected="1" topLeftCell="C1" workbookViewId="0">
      <selection activeCell="G28" sqref="G28"/>
    </sheetView>
  </sheetViews>
  <sheetFormatPr defaultColWidth="9" defaultRowHeight="13.5"/>
  <cols>
    <col min="2" max="2" width="10.125"/>
    <col min="7" max="7" width="23.25" customWidth="1"/>
    <col min="10" max="10" width="10.125"/>
    <col min="15" max="15" width="17.875" customWidth="1"/>
  </cols>
  <sheetData>
    <row r="1" ht="22.5" spans="1:15">
      <c r="A1" s="1" t="s">
        <v>167</v>
      </c>
      <c r="B1" s="1"/>
      <c r="C1" s="1"/>
      <c r="D1" s="1"/>
      <c r="E1" s="1"/>
      <c r="F1" s="2"/>
      <c r="G1" s="3"/>
      <c r="I1" s="1" t="s">
        <v>167</v>
      </c>
      <c r="J1" s="1"/>
      <c r="K1" s="1"/>
      <c r="L1" s="1"/>
      <c r="M1" s="1"/>
      <c r="N1" s="2"/>
      <c r="O1" s="3"/>
    </row>
    <row r="2" ht="14.25" spans="1:15">
      <c r="A2" s="4" t="s">
        <v>2</v>
      </c>
      <c r="B2" s="4" t="s">
        <v>163</v>
      </c>
      <c r="C2" s="4" t="s">
        <v>3</v>
      </c>
      <c r="D2" s="4" t="s">
        <v>168</v>
      </c>
      <c r="E2" s="4" t="s">
        <v>169</v>
      </c>
      <c r="F2" s="4" t="s">
        <v>170</v>
      </c>
      <c r="G2" s="4" t="s">
        <v>7</v>
      </c>
      <c r="H2" s="5"/>
      <c r="I2" s="4" t="s">
        <v>2</v>
      </c>
      <c r="J2" s="4" t="s">
        <v>163</v>
      </c>
      <c r="K2" s="4" t="s">
        <v>3</v>
      </c>
      <c r="L2" s="4" t="s">
        <v>168</v>
      </c>
      <c r="M2" s="4" t="s">
        <v>169</v>
      </c>
      <c r="N2" s="4" t="s">
        <v>170</v>
      </c>
      <c r="O2" s="4" t="s">
        <v>7</v>
      </c>
    </row>
    <row r="3" ht="18.75" spans="1:15">
      <c r="A3" s="6">
        <v>1</v>
      </c>
      <c r="B3" s="7">
        <v>46131</v>
      </c>
      <c r="C3" s="8" t="s">
        <v>13</v>
      </c>
      <c r="D3" s="6" t="s">
        <v>171</v>
      </c>
      <c r="E3" s="8"/>
      <c r="F3" s="8">
        <v>5</v>
      </c>
      <c r="G3" s="6"/>
      <c r="H3" s="6"/>
      <c r="I3" s="6">
        <v>44</v>
      </c>
      <c r="J3" s="7">
        <v>46131</v>
      </c>
      <c r="K3" s="8" t="s">
        <v>151</v>
      </c>
      <c r="L3" s="6" t="s">
        <v>171</v>
      </c>
      <c r="M3" s="8">
        <v>5</v>
      </c>
      <c r="N3" s="8"/>
      <c r="O3" s="6"/>
    </row>
    <row r="4" ht="18.75" spans="1:15">
      <c r="A4" s="6">
        <v>2</v>
      </c>
      <c r="B4" s="7">
        <v>46131</v>
      </c>
      <c r="C4" s="8" t="s">
        <v>17</v>
      </c>
      <c r="D4" s="6" t="s">
        <v>171</v>
      </c>
      <c r="E4" s="8">
        <v>5</v>
      </c>
      <c r="F4" s="8"/>
      <c r="G4" s="6"/>
      <c r="H4" s="6"/>
      <c r="I4" s="6">
        <v>45</v>
      </c>
      <c r="J4" s="7">
        <v>46131</v>
      </c>
      <c r="K4" s="8" t="s">
        <v>152</v>
      </c>
      <c r="L4" s="6" t="s">
        <v>171</v>
      </c>
      <c r="M4" s="8">
        <v>5</v>
      </c>
      <c r="N4" s="8"/>
      <c r="O4" s="6"/>
    </row>
    <row r="5" ht="18.75" spans="1:15">
      <c r="A5" s="6">
        <v>3</v>
      </c>
      <c r="B5" s="7">
        <v>46131</v>
      </c>
      <c r="C5" s="8" t="s">
        <v>19</v>
      </c>
      <c r="D5" s="6" t="s">
        <v>171</v>
      </c>
      <c r="E5" s="8">
        <v>5</v>
      </c>
      <c r="F5" s="8"/>
      <c r="G5" s="6"/>
      <c r="H5" s="6"/>
      <c r="I5" s="6">
        <v>46</v>
      </c>
      <c r="J5" s="7">
        <v>46131</v>
      </c>
      <c r="K5" s="9" t="s">
        <v>153</v>
      </c>
      <c r="L5" s="6" t="s">
        <v>171</v>
      </c>
      <c r="M5" s="8">
        <v>4</v>
      </c>
      <c r="N5" s="8">
        <v>1</v>
      </c>
      <c r="O5" s="6"/>
    </row>
    <row r="6" ht="18.75" spans="1:15">
      <c r="A6" s="6">
        <v>4</v>
      </c>
      <c r="B6" s="7">
        <v>46131</v>
      </c>
      <c r="C6" s="8" t="s">
        <v>21</v>
      </c>
      <c r="D6" s="6" t="s">
        <v>171</v>
      </c>
      <c r="E6" s="8"/>
      <c r="F6" s="8">
        <v>5</v>
      </c>
      <c r="G6" s="6"/>
      <c r="H6" s="6"/>
      <c r="I6" s="6">
        <v>47</v>
      </c>
      <c r="J6" s="7">
        <v>46131</v>
      </c>
      <c r="K6" s="8" t="s">
        <v>70</v>
      </c>
      <c r="L6" s="6" t="s">
        <v>171</v>
      </c>
      <c r="M6" s="8">
        <v>2</v>
      </c>
      <c r="N6" s="8">
        <v>3</v>
      </c>
      <c r="O6" s="6"/>
    </row>
    <row r="7" ht="18.75" spans="1:15">
      <c r="A7" s="6">
        <v>5</v>
      </c>
      <c r="B7" s="7">
        <v>46131</v>
      </c>
      <c r="C7" s="8" t="s">
        <v>23</v>
      </c>
      <c r="D7" s="6" t="s">
        <v>171</v>
      </c>
      <c r="E7" s="8">
        <v>5</v>
      </c>
      <c r="F7" s="8"/>
      <c r="G7" s="6"/>
      <c r="H7" s="6"/>
      <c r="I7" s="6">
        <v>48</v>
      </c>
      <c r="J7" s="7">
        <v>46131</v>
      </c>
      <c r="K7" s="8" t="s">
        <v>71</v>
      </c>
      <c r="L7" s="6" t="s">
        <v>171</v>
      </c>
      <c r="M7" s="8">
        <v>3</v>
      </c>
      <c r="N7" s="8">
        <v>2</v>
      </c>
      <c r="O7" s="6"/>
    </row>
    <row r="8" ht="18.75" spans="1:15">
      <c r="A8" s="6">
        <v>6</v>
      </c>
      <c r="B8" s="7">
        <v>46131</v>
      </c>
      <c r="C8" s="8" t="s">
        <v>24</v>
      </c>
      <c r="D8" s="6" t="s">
        <v>171</v>
      </c>
      <c r="E8" s="8">
        <v>3</v>
      </c>
      <c r="F8" s="8">
        <v>2</v>
      </c>
      <c r="G8" s="6"/>
      <c r="H8" s="6"/>
      <c r="I8" s="6">
        <v>49</v>
      </c>
      <c r="J8" s="7">
        <v>46131</v>
      </c>
      <c r="K8" s="8" t="s">
        <v>72</v>
      </c>
      <c r="L8" s="6" t="s">
        <v>171</v>
      </c>
      <c r="M8" s="8">
        <v>3</v>
      </c>
      <c r="N8" s="8">
        <v>2</v>
      </c>
      <c r="O8" s="6"/>
    </row>
    <row r="9" ht="18.75" spans="1:15">
      <c r="A9" s="6">
        <v>7</v>
      </c>
      <c r="B9" s="7">
        <v>46131</v>
      </c>
      <c r="C9" s="8" t="s">
        <v>27</v>
      </c>
      <c r="D9" s="6" t="s">
        <v>171</v>
      </c>
      <c r="E9" s="8">
        <v>5</v>
      </c>
      <c r="F9" s="8"/>
      <c r="G9" s="6"/>
      <c r="H9" s="6"/>
      <c r="I9" s="6">
        <v>50</v>
      </c>
      <c r="J9" s="7">
        <v>46131</v>
      </c>
      <c r="K9" s="8" t="s">
        <v>73</v>
      </c>
      <c r="L9" s="6" t="s">
        <v>171</v>
      </c>
      <c r="M9" s="8"/>
      <c r="N9" s="8">
        <v>5</v>
      </c>
      <c r="O9" s="6"/>
    </row>
    <row r="10" ht="18.75" spans="1:15">
      <c r="A10" s="6">
        <v>8</v>
      </c>
      <c r="B10" s="7">
        <v>46131</v>
      </c>
      <c r="C10" s="9" t="s">
        <v>179</v>
      </c>
      <c r="D10" s="6" t="s">
        <v>171</v>
      </c>
      <c r="E10" s="8">
        <v>5</v>
      </c>
      <c r="F10" s="8"/>
      <c r="G10" s="6"/>
      <c r="H10" s="6"/>
      <c r="I10" s="6">
        <v>51</v>
      </c>
      <c r="J10" s="7">
        <v>46131</v>
      </c>
      <c r="K10" s="8" t="s">
        <v>74</v>
      </c>
      <c r="L10" s="6" t="s">
        <v>171</v>
      </c>
      <c r="M10" s="8">
        <v>5</v>
      </c>
      <c r="N10" s="8"/>
      <c r="O10" s="6"/>
    </row>
    <row r="11" ht="18.75" spans="1:15">
      <c r="A11" s="6">
        <v>9</v>
      </c>
      <c r="B11" s="7">
        <v>46131</v>
      </c>
      <c r="C11" s="9" t="s">
        <v>180</v>
      </c>
      <c r="D11" s="6" t="s">
        <v>171</v>
      </c>
      <c r="E11" s="8"/>
      <c r="F11" s="8">
        <v>5</v>
      </c>
      <c r="G11" s="6"/>
      <c r="H11" s="6"/>
      <c r="I11" s="6">
        <v>52</v>
      </c>
      <c r="J11" s="7">
        <v>46131</v>
      </c>
      <c r="K11" s="8" t="s">
        <v>75</v>
      </c>
      <c r="L11" s="6" t="s">
        <v>171</v>
      </c>
      <c r="M11" s="8">
        <v>3</v>
      </c>
      <c r="N11" s="8">
        <v>2</v>
      </c>
      <c r="O11" s="6"/>
    </row>
    <row r="12" ht="18.75" spans="1:15">
      <c r="A12" s="6">
        <v>10</v>
      </c>
      <c r="B12" s="7">
        <v>46131</v>
      </c>
      <c r="C12" s="8" t="s">
        <v>29</v>
      </c>
      <c r="D12" s="6" t="s">
        <v>171</v>
      </c>
      <c r="E12" s="8"/>
      <c r="F12" s="8">
        <v>5</v>
      </c>
      <c r="G12" s="6"/>
      <c r="H12" s="6"/>
      <c r="I12" s="6">
        <v>53</v>
      </c>
      <c r="J12" s="7">
        <v>46131</v>
      </c>
      <c r="K12" s="8" t="s">
        <v>76</v>
      </c>
      <c r="L12" s="6" t="s">
        <v>171</v>
      </c>
      <c r="M12" s="8">
        <v>5</v>
      </c>
      <c r="N12" s="8"/>
      <c r="O12" s="6"/>
    </row>
    <row r="13" ht="21" customHeight="1" spans="1:15">
      <c r="A13" s="6">
        <v>11</v>
      </c>
      <c r="B13" s="7">
        <v>46131</v>
      </c>
      <c r="C13" s="8" t="s">
        <v>143</v>
      </c>
      <c r="D13" s="6" t="s">
        <v>171</v>
      </c>
      <c r="E13" s="10">
        <v>5</v>
      </c>
      <c r="F13" s="8"/>
      <c r="G13" s="11" t="s">
        <v>196</v>
      </c>
      <c r="H13" s="6"/>
      <c r="I13" s="6">
        <v>54</v>
      </c>
      <c r="J13" s="7">
        <v>46131</v>
      </c>
      <c r="K13" s="8" t="s">
        <v>77</v>
      </c>
      <c r="L13" s="6" t="s">
        <v>171</v>
      </c>
      <c r="M13" s="8">
        <v>5</v>
      </c>
      <c r="N13" s="8"/>
      <c r="O13" s="6"/>
    </row>
    <row r="14" ht="18.75" spans="1:15">
      <c r="A14" s="6">
        <v>12</v>
      </c>
      <c r="B14" s="7">
        <v>46131</v>
      </c>
      <c r="C14" s="8" t="s">
        <v>144</v>
      </c>
      <c r="D14" s="6" t="s">
        <v>171</v>
      </c>
      <c r="E14" s="8"/>
      <c r="F14" s="8">
        <v>5</v>
      </c>
      <c r="G14" s="12"/>
      <c r="H14" s="6"/>
      <c r="I14" s="6">
        <v>55</v>
      </c>
      <c r="J14" s="7">
        <v>46131</v>
      </c>
      <c r="K14" s="8" t="s">
        <v>78</v>
      </c>
      <c r="L14" s="6" t="s">
        <v>171</v>
      </c>
      <c r="M14" s="8">
        <v>5</v>
      </c>
      <c r="N14" s="8"/>
      <c r="O14" s="6"/>
    </row>
    <row r="15" ht="18.75" spans="1:15">
      <c r="A15" s="6">
        <v>13</v>
      </c>
      <c r="B15" s="7">
        <v>46131</v>
      </c>
      <c r="C15" s="8" t="s">
        <v>33</v>
      </c>
      <c r="D15" s="6" t="s">
        <v>171</v>
      </c>
      <c r="E15" s="8">
        <v>3</v>
      </c>
      <c r="F15" s="8">
        <v>2</v>
      </c>
      <c r="G15" s="6" t="s">
        <v>197</v>
      </c>
      <c r="H15" s="6"/>
      <c r="I15" s="6">
        <v>56</v>
      </c>
      <c r="J15" s="7">
        <v>46131</v>
      </c>
      <c r="K15" s="8" t="s">
        <v>79</v>
      </c>
      <c r="L15" s="6" t="s">
        <v>171</v>
      </c>
      <c r="M15" s="8">
        <v>5</v>
      </c>
      <c r="N15" s="8"/>
      <c r="O15" s="6"/>
    </row>
    <row r="16" ht="18.75" spans="1:15">
      <c r="A16" s="6">
        <v>14</v>
      </c>
      <c r="B16" s="7">
        <v>46131</v>
      </c>
      <c r="C16" s="8" t="s">
        <v>34</v>
      </c>
      <c r="D16" s="6" t="s">
        <v>171</v>
      </c>
      <c r="E16" s="8"/>
      <c r="F16" s="8">
        <v>5</v>
      </c>
      <c r="G16" s="6"/>
      <c r="H16" s="6"/>
      <c r="I16" s="6">
        <v>57</v>
      </c>
      <c r="J16" s="7">
        <v>46131</v>
      </c>
      <c r="K16" s="8" t="s">
        <v>80</v>
      </c>
      <c r="L16" s="6" t="s">
        <v>171</v>
      </c>
      <c r="M16" s="8">
        <v>2</v>
      </c>
      <c r="N16" s="8">
        <v>3</v>
      </c>
      <c r="O16" s="6"/>
    </row>
    <row r="17" ht="18.75" spans="1:15">
      <c r="A17" s="6">
        <v>15</v>
      </c>
      <c r="B17" s="7">
        <v>46131</v>
      </c>
      <c r="C17" s="8" t="s">
        <v>36</v>
      </c>
      <c r="D17" s="6" t="s">
        <v>171</v>
      </c>
      <c r="E17" s="8"/>
      <c r="F17" s="8">
        <v>5</v>
      </c>
      <c r="G17" s="6"/>
      <c r="H17" s="6"/>
      <c r="I17" s="6">
        <v>58</v>
      </c>
      <c r="J17" s="7">
        <v>46131</v>
      </c>
      <c r="K17" s="8" t="s">
        <v>81</v>
      </c>
      <c r="L17" s="6" t="s">
        <v>171</v>
      </c>
      <c r="M17" s="8">
        <v>2</v>
      </c>
      <c r="N17" s="8">
        <v>3</v>
      </c>
      <c r="O17" s="6"/>
    </row>
    <row r="18" ht="18.75" spans="1:15">
      <c r="A18" s="6">
        <v>16</v>
      </c>
      <c r="B18" s="7">
        <v>46131</v>
      </c>
      <c r="C18" s="8" t="s">
        <v>37</v>
      </c>
      <c r="D18" s="6" t="s">
        <v>171</v>
      </c>
      <c r="E18" s="8"/>
      <c r="F18" s="8">
        <v>5</v>
      </c>
      <c r="G18" s="6"/>
      <c r="H18" s="6"/>
      <c r="I18" s="6">
        <v>59</v>
      </c>
      <c r="J18" s="7">
        <v>46131</v>
      </c>
      <c r="K18" s="8" t="s">
        <v>82</v>
      </c>
      <c r="L18" s="6" t="s">
        <v>171</v>
      </c>
      <c r="M18" s="8">
        <v>3</v>
      </c>
      <c r="N18" s="8">
        <v>2</v>
      </c>
      <c r="O18" s="6"/>
    </row>
    <row r="19" ht="18.75" spans="1:15">
      <c r="A19" s="6">
        <v>17</v>
      </c>
      <c r="B19" s="7">
        <v>46131</v>
      </c>
      <c r="C19" s="8" t="s">
        <v>38</v>
      </c>
      <c r="D19" s="6" t="s">
        <v>171</v>
      </c>
      <c r="E19" s="8">
        <v>5</v>
      </c>
      <c r="F19" s="8"/>
      <c r="G19" s="6"/>
      <c r="H19" s="6"/>
      <c r="I19" s="6">
        <v>60</v>
      </c>
      <c r="J19" s="7">
        <v>46131</v>
      </c>
      <c r="K19" s="8" t="s">
        <v>85</v>
      </c>
      <c r="L19" s="6" t="s">
        <v>171</v>
      </c>
      <c r="M19" s="8">
        <v>5</v>
      </c>
      <c r="N19" s="8"/>
      <c r="O19" s="6"/>
    </row>
    <row r="20" ht="18.75" spans="1:15">
      <c r="A20" s="6">
        <v>18</v>
      </c>
      <c r="B20" s="7">
        <v>46131</v>
      </c>
      <c r="C20" s="9" t="s">
        <v>105</v>
      </c>
      <c r="D20" s="6" t="s">
        <v>171</v>
      </c>
      <c r="E20" s="8">
        <v>3</v>
      </c>
      <c r="F20" s="8">
        <v>2</v>
      </c>
      <c r="G20" s="6"/>
      <c r="H20" s="6"/>
      <c r="I20" s="6">
        <v>61</v>
      </c>
      <c r="J20" s="7">
        <v>46131</v>
      </c>
      <c r="K20" s="6" t="s">
        <v>138</v>
      </c>
      <c r="L20" s="6" t="s">
        <v>171</v>
      </c>
      <c r="M20" s="6">
        <v>5</v>
      </c>
      <c r="N20" s="6"/>
      <c r="O20" s="6"/>
    </row>
    <row r="21" ht="18.75" spans="1:15">
      <c r="A21" s="6">
        <v>19</v>
      </c>
      <c r="B21" s="7">
        <v>46131</v>
      </c>
      <c r="C21" s="9" t="s">
        <v>106</v>
      </c>
      <c r="D21" s="6" t="s">
        <v>171</v>
      </c>
      <c r="E21" s="8"/>
      <c r="F21" s="8">
        <v>5</v>
      </c>
      <c r="G21" s="6"/>
      <c r="H21" s="6"/>
      <c r="I21" s="6">
        <v>62</v>
      </c>
      <c r="J21" s="7">
        <v>46131</v>
      </c>
      <c r="K21" s="6" t="s">
        <v>155</v>
      </c>
      <c r="L21" s="6" t="s">
        <v>171</v>
      </c>
      <c r="M21" s="6"/>
      <c r="N21" s="6">
        <v>5</v>
      </c>
      <c r="O21" s="13"/>
    </row>
    <row r="22" ht="18.75" spans="1:15">
      <c r="A22" s="6">
        <v>20</v>
      </c>
      <c r="B22" s="7">
        <v>46131</v>
      </c>
      <c r="C22" s="9" t="s">
        <v>181</v>
      </c>
      <c r="D22" s="6" t="s">
        <v>171</v>
      </c>
      <c r="E22" s="8">
        <v>5</v>
      </c>
      <c r="F22" s="8"/>
      <c r="G22" s="6"/>
      <c r="H22" s="6"/>
      <c r="I22" s="6">
        <v>63</v>
      </c>
      <c r="J22" s="7">
        <v>46131</v>
      </c>
      <c r="K22" s="6" t="s">
        <v>112</v>
      </c>
      <c r="L22" s="6" t="s">
        <v>171</v>
      </c>
      <c r="M22" s="14" t="s">
        <v>94</v>
      </c>
      <c r="N22" s="6"/>
      <c r="O22" s="6"/>
    </row>
    <row r="23" ht="18.75" spans="1:15">
      <c r="A23" s="6">
        <v>21</v>
      </c>
      <c r="B23" s="7">
        <v>46131</v>
      </c>
      <c r="C23" s="9" t="s">
        <v>182</v>
      </c>
      <c r="D23" s="6" t="s">
        <v>171</v>
      </c>
      <c r="E23" s="8"/>
      <c r="F23" s="8">
        <v>5</v>
      </c>
      <c r="G23" s="6"/>
      <c r="H23" s="6"/>
      <c r="I23" s="6">
        <v>64</v>
      </c>
      <c r="J23" s="7">
        <v>46131</v>
      </c>
      <c r="K23" s="6" t="s">
        <v>124</v>
      </c>
      <c r="L23" s="6" t="s">
        <v>171</v>
      </c>
      <c r="M23" s="6">
        <v>3</v>
      </c>
      <c r="N23" s="6">
        <v>2</v>
      </c>
      <c r="O23" s="15" t="s">
        <v>193</v>
      </c>
    </row>
    <row r="24" ht="18.75" spans="1:15">
      <c r="A24" s="6">
        <v>22</v>
      </c>
      <c r="B24" s="7">
        <v>46131</v>
      </c>
      <c r="C24" s="8" t="s">
        <v>42</v>
      </c>
      <c r="D24" s="6" t="s">
        <v>171</v>
      </c>
      <c r="E24" s="8">
        <v>2</v>
      </c>
      <c r="F24" s="8"/>
      <c r="G24" s="6"/>
      <c r="H24" s="6"/>
      <c r="I24" s="6">
        <v>65</v>
      </c>
      <c r="J24" s="7">
        <v>46131</v>
      </c>
      <c r="K24" s="16" t="s">
        <v>160</v>
      </c>
      <c r="L24" s="17" t="s">
        <v>171</v>
      </c>
      <c r="M24" s="17">
        <v>2</v>
      </c>
      <c r="N24" s="17">
        <v>3</v>
      </c>
      <c r="O24" s="18"/>
    </row>
    <row r="25" ht="18.75" spans="1:15">
      <c r="A25" s="6">
        <v>23</v>
      </c>
      <c r="B25" s="7">
        <v>46131</v>
      </c>
      <c r="C25" s="8" t="s">
        <v>43</v>
      </c>
      <c r="D25" s="6" t="s">
        <v>171</v>
      </c>
      <c r="E25" s="8"/>
      <c r="F25" s="8">
        <v>8</v>
      </c>
      <c r="G25" s="6"/>
      <c r="H25" s="6"/>
      <c r="I25" s="6">
        <v>66</v>
      </c>
      <c r="J25" s="7">
        <v>46131</v>
      </c>
      <c r="K25" s="19" t="s">
        <v>161</v>
      </c>
      <c r="L25" s="17" t="s">
        <v>171</v>
      </c>
      <c r="M25" s="17">
        <v>3</v>
      </c>
      <c r="N25" s="17">
        <v>3</v>
      </c>
      <c r="O25" s="18" t="s">
        <v>198</v>
      </c>
    </row>
    <row r="26" ht="18.75" spans="1:15">
      <c r="A26" s="6">
        <v>24</v>
      </c>
      <c r="B26" s="7">
        <v>46131</v>
      </c>
      <c r="C26" s="9" t="s">
        <v>186</v>
      </c>
      <c r="D26" s="6" t="s">
        <v>171</v>
      </c>
      <c r="E26" s="8">
        <v>5</v>
      </c>
      <c r="F26" s="8"/>
      <c r="G26" s="6"/>
      <c r="H26" s="6"/>
      <c r="I26" s="6">
        <v>67</v>
      </c>
      <c r="J26" s="7">
        <v>46131</v>
      </c>
      <c r="K26" s="6" t="s">
        <v>86</v>
      </c>
      <c r="L26" s="6" t="s">
        <v>171</v>
      </c>
      <c r="M26" s="6">
        <v>3</v>
      </c>
      <c r="N26" s="6">
        <v>2</v>
      </c>
      <c r="O26" s="20" t="s">
        <v>184</v>
      </c>
    </row>
    <row r="27" ht="18.75" spans="1:15">
      <c r="A27" s="6">
        <v>25</v>
      </c>
      <c r="B27" s="7">
        <v>46131</v>
      </c>
      <c r="C27" s="9" t="s">
        <v>187</v>
      </c>
      <c r="D27" s="6" t="s">
        <v>171</v>
      </c>
      <c r="E27" s="8">
        <v>5</v>
      </c>
      <c r="F27" s="8"/>
      <c r="G27" s="6"/>
      <c r="H27" s="6"/>
      <c r="I27" s="6"/>
      <c r="J27" s="7"/>
      <c r="K27" s="6"/>
      <c r="L27" s="6"/>
      <c r="M27" s="6"/>
      <c r="N27" s="6"/>
      <c r="O27" s="20"/>
    </row>
    <row r="28" ht="18.75" spans="1:15">
      <c r="A28" s="6">
        <v>26</v>
      </c>
      <c r="B28" s="7">
        <v>46131</v>
      </c>
      <c r="C28" s="8" t="s">
        <v>46</v>
      </c>
      <c r="D28" s="6" t="s">
        <v>171</v>
      </c>
      <c r="E28" s="8">
        <v>5</v>
      </c>
      <c r="F28" s="8"/>
      <c r="G28" s="6"/>
      <c r="H28" s="6"/>
      <c r="I28" s="6"/>
      <c r="J28" s="7"/>
      <c r="K28" s="6"/>
      <c r="L28" s="6"/>
      <c r="M28" s="6"/>
      <c r="N28" s="6"/>
      <c r="O28" s="6"/>
    </row>
    <row r="29" ht="18.75" spans="1:15">
      <c r="A29" s="6">
        <v>27</v>
      </c>
      <c r="B29" s="7">
        <v>46131</v>
      </c>
      <c r="C29" s="8" t="s">
        <v>47</v>
      </c>
      <c r="D29" s="6" t="s">
        <v>171</v>
      </c>
      <c r="E29" s="8">
        <v>5</v>
      </c>
      <c r="F29" s="8"/>
      <c r="G29" s="6"/>
      <c r="H29" s="6"/>
      <c r="I29" s="6"/>
      <c r="J29" s="7"/>
      <c r="K29" s="6"/>
      <c r="L29" s="6"/>
      <c r="M29" s="6"/>
      <c r="N29" s="6"/>
      <c r="O29" s="6"/>
    </row>
    <row r="30" ht="18.75" spans="1:15">
      <c r="A30" s="6">
        <v>28</v>
      </c>
      <c r="B30" s="7">
        <v>46131</v>
      </c>
      <c r="C30" s="8" t="s">
        <v>48</v>
      </c>
      <c r="D30" s="6" t="s">
        <v>171</v>
      </c>
      <c r="E30" s="8">
        <v>5</v>
      </c>
      <c r="F30" s="8"/>
      <c r="G30" s="6"/>
      <c r="H30" s="6"/>
      <c r="I30" s="6"/>
      <c r="J30" s="6"/>
      <c r="K30" s="6"/>
      <c r="L30" s="6"/>
      <c r="M30" s="6"/>
      <c r="N30" s="6"/>
      <c r="O30" s="6"/>
    </row>
    <row r="31" ht="18.75" spans="1:15">
      <c r="A31" s="6">
        <v>29</v>
      </c>
      <c r="B31" s="7">
        <v>46131</v>
      </c>
      <c r="C31" s="8" t="s">
        <v>49</v>
      </c>
      <c r="D31" s="6" t="s">
        <v>171</v>
      </c>
      <c r="E31" s="8">
        <v>5</v>
      </c>
      <c r="F31" s="8"/>
      <c r="G31" s="6"/>
      <c r="H31" s="6"/>
      <c r="I31" s="6"/>
      <c r="J31" s="6"/>
      <c r="K31" s="6"/>
      <c r="L31" s="6"/>
      <c r="M31" s="6"/>
      <c r="N31" s="6"/>
      <c r="O31" s="6"/>
    </row>
    <row r="32" ht="18.75" spans="1:15">
      <c r="A32" s="6">
        <v>30</v>
      </c>
      <c r="B32" s="7">
        <v>46131</v>
      </c>
      <c r="C32" s="8" t="s">
        <v>145</v>
      </c>
      <c r="D32" s="6" t="s">
        <v>171</v>
      </c>
      <c r="E32" s="21">
        <v>6</v>
      </c>
      <c r="F32" s="21"/>
      <c r="G32" s="22" t="s">
        <v>191</v>
      </c>
      <c r="H32" s="6"/>
      <c r="I32" s="6"/>
      <c r="J32" s="6"/>
      <c r="K32" s="6"/>
      <c r="L32" s="6"/>
      <c r="M32" s="6"/>
      <c r="N32" s="6"/>
      <c r="O32" s="6"/>
    </row>
    <row r="33" ht="18.75" spans="1:15">
      <c r="A33" s="6">
        <v>31</v>
      </c>
      <c r="B33" s="7">
        <v>46131</v>
      </c>
      <c r="C33" s="8" t="s">
        <v>146</v>
      </c>
      <c r="D33" s="6" t="s">
        <v>171</v>
      </c>
      <c r="E33" s="21"/>
      <c r="F33" s="21">
        <v>4</v>
      </c>
      <c r="G33" s="22"/>
      <c r="H33" s="6"/>
      <c r="I33" s="6"/>
      <c r="J33" s="6"/>
      <c r="K33" s="6"/>
      <c r="L33" s="6"/>
      <c r="M33" s="6"/>
      <c r="N33" s="6"/>
      <c r="O33" s="6"/>
    </row>
    <row r="34" ht="18.75" spans="1:15">
      <c r="A34" s="6">
        <v>32</v>
      </c>
      <c r="B34" s="7">
        <v>46131</v>
      </c>
      <c r="C34" s="8" t="s">
        <v>52</v>
      </c>
      <c r="D34" s="6" t="s">
        <v>171</v>
      </c>
      <c r="E34" s="8">
        <v>3</v>
      </c>
      <c r="F34" s="8">
        <v>2</v>
      </c>
      <c r="G34" s="6"/>
      <c r="H34" s="6"/>
      <c r="I34" s="6"/>
      <c r="J34" s="6"/>
      <c r="K34" s="6"/>
      <c r="L34" s="6"/>
      <c r="M34" s="6"/>
      <c r="N34" s="6"/>
      <c r="O34" s="6"/>
    </row>
    <row r="35" ht="18.75" spans="1:15">
      <c r="A35" s="6">
        <v>33</v>
      </c>
      <c r="B35" s="7">
        <v>46131</v>
      </c>
      <c r="C35" s="8" t="s">
        <v>54</v>
      </c>
      <c r="D35" s="6" t="s">
        <v>171</v>
      </c>
      <c r="E35" s="8"/>
      <c r="F35" s="8">
        <v>5</v>
      </c>
      <c r="G35" s="6"/>
      <c r="H35" s="6"/>
      <c r="I35" s="6"/>
      <c r="J35" s="6"/>
      <c r="K35" s="6"/>
      <c r="L35" s="6"/>
      <c r="M35" s="6"/>
      <c r="N35" s="6"/>
      <c r="O35" s="6"/>
    </row>
    <row r="36" ht="18.75" spans="1:15">
      <c r="A36" s="6">
        <v>34</v>
      </c>
      <c r="B36" s="7">
        <v>46131</v>
      </c>
      <c r="C36" s="8" t="s">
        <v>55</v>
      </c>
      <c r="D36" s="6" t="s">
        <v>171</v>
      </c>
      <c r="E36" s="8">
        <v>3</v>
      </c>
      <c r="F36" s="8">
        <v>2</v>
      </c>
      <c r="G36" s="6"/>
      <c r="H36" s="6"/>
      <c r="I36" s="6"/>
      <c r="J36" s="6"/>
      <c r="K36" s="6"/>
      <c r="L36" s="6"/>
      <c r="M36" s="6"/>
      <c r="N36" s="6"/>
      <c r="O36" s="6"/>
    </row>
    <row r="37" ht="18.75" spans="1:15">
      <c r="A37" s="6">
        <v>35</v>
      </c>
      <c r="B37" s="7">
        <v>46131</v>
      </c>
      <c r="C37" s="8" t="s">
        <v>56</v>
      </c>
      <c r="D37" s="6" t="s">
        <v>171</v>
      </c>
      <c r="E37" s="21">
        <v>4</v>
      </c>
      <c r="F37" s="21">
        <v>4</v>
      </c>
      <c r="G37" s="14" t="s">
        <v>178</v>
      </c>
      <c r="H37" s="6"/>
      <c r="I37" s="6"/>
      <c r="J37" s="6"/>
      <c r="K37" s="6"/>
      <c r="L37" s="6"/>
      <c r="M37" s="6"/>
      <c r="N37" s="6"/>
      <c r="O37" s="6"/>
    </row>
    <row r="38" ht="18.75" spans="1:15">
      <c r="A38" s="6">
        <v>36</v>
      </c>
      <c r="B38" s="7">
        <v>46131</v>
      </c>
      <c r="C38" s="8" t="s">
        <v>57</v>
      </c>
      <c r="D38" s="6" t="s">
        <v>171</v>
      </c>
      <c r="E38" s="8">
        <v>3</v>
      </c>
      <c r="F38" s="8">
        <v>2</v>
      </c>
      <c r="G38" s="6"/>
      <c r="H38" s="6"/>
      <c r="I38" s="6"/>
      <c r="J38" s="6"/>
      <c r="K38" s="6"/>
      <c r="L38" s="6"/>
      <c r="M38" s="6"/>
      <c r="N38" s="6"/>
      <c r="O38" s="6"/>
    </row>
    <row r="39" ht="18.75" spans="1:15">
      <c r="A39" s="6">
        <v>37</v>
      </c>
      <c r="B39" s="7">
        <v>46131</v>
      </c>
      <c r="C39" s="8" t="s">
        <v>147</v>
      </c>
      <c r="D39" s="6" t="s">
        <v>171</v>
      </c>
      <c r="E39" s="8">
        <v>5</v>
      </c>
      <c r="F39" s="8"/>
      <c r="G39" s="6"/>
      <c r="H39" s="6"/>
      <c r="I39" s="6"/>
      <c r="J39" s="6"/>
      <c r="K39" s="6"/>
      <c r="L39" s="6"/>
      <c r="M39" s="6"/>
      <c r="N39" s="6"/>
      <c r="O39" s="6"/>
    </row>
    <row r="40" ht="18.75" spans="1:15">
      <c r="A40" s="6">
        <v>38</v>
      </c>
      <c r="B40" s="7">
        <v>46131</v>
      </c>
      <c r="C40" s="8" t="s">
        <v>148</v>
      </c>
      <c r="D40" s="6" t="s">
        <v>171</v>
      </c>
      <c r="E40" s="8"/>
      <c r="F40" s="8">
        <v>5</v>
      </c>
      <c r="G40" s="6"/>
      <c r="H40" s="6"/>
      <c r="I40" s="6"/>
      <c r="J40" s="6"/>
      <c r="K40" s="6"/>
      <c r="L40" s="6"/>
      <c r="M40" s="6"/>
      <c r="N40" s="6"/>
      <c r="O40" s="6"/>
    </row>
    <row r="41" ht="18.75" spans="1:15">
      <c r="A41" s="6">
        <v>39</v>
      </c>
      <c r="B41" s="7">
        <v>46131</v>
      </c>
      <c r="C41" s="8" t="s">
        <v>60</v>
      </c>
      <c r="D41" s="6" t="s">
        <v>171</v>
      </c>
      <c r="E41" s="8">
        <v>4</v>
      </c>
      <c r="F41" s="8">
        <v>1</v>
      </c>
      <c r="G41" s="6"/>
      <c r="H41" s="6"/>
      <c r="I41" s="6"/>
      <c r="J41" s="6"/>
      <c r="K41" s="6"/>
      <c r="L41" s="6"/>
      <c r="M41" s="6"/>
      <c r="N41" s="6"/>
      <c r="O41" s="6"/>
    </row>
    <row r="42" ht="18.75" spans="1:15">
      <c r="A42" s="6">
        <v>40</v>
      </c>
      <c r="B42" s="7">
        <v>46131</v>
      </c>
      <c r="C42" s="8" t="s">
        <v>61</v>
      </c>
      <c r="D42" s="6" t="s">
        <v>171</v>
      </c>
      <c r="E42" s="8">
        <v>3</v>
      </c>
      <c r="F42" s="8">
        <v>2</v>
      </c>
      <c r="G42" s="6"/>
      <c r="H42" s="6"/>
      <c r="I42" s="6"/>
      <c r="J42" s="6"/>
      <c r="K42" s="6"/>
      <c r="L42" s="6"/>
      <c r="M42" s="6"/>
      <c r="N42" s="6"/>
      <c r="O42" s="6"/>
    </row>
    <row r="43" ht="18.75" spans="1:15">
      <c r="A43" s="6">
        <v>41</v>
      </c>
      <c r="B43" s="7">
        <v>46131</v>
      </c>
      <c r="C43" s="9" t="s">
        <v>62</v>
      </c>
      <c r="D43" s="6" t="s">
        <v>171</v>
      </c>
      <c r="E43" s="8">
        <v>4</v>
      </c>
      <c r="F43" s="8"/>
      <c r="G43" s="6"/>
      <c r="H43" s="6"/>
      <c r="I43" s="6"/>
      <c r="J43" s="6"/>
      <c r="K43" s="6"/>
      <c r="L43" s="6"/>
      <c r="M43" s="6"/>
      <c r="N43" s="6"/>
      <c r="O43" s="6"/>
    </row>
    <row r="44" ht="18.75" spans="1:15">
      <c r="A44" s="6">
        <v>42</v>
      </c>
      <c r="B44" s="7">
        <v>46131</v>
      </c>
      <c r="C44" s="9" t="s">
        <v>63</v>
      </c>
      <c r="D44" s="6" t="s">
        <v>171</v>
      </c>
      <c r="E44" s="8"/>
      <c r="F44" s="8">
        <v>8</v>
      </c>
      <c r="G44" s="6"/>
      <c r="H44" s="6"/>
      <c r="I44" s="6"/>
      <c r="J44" s="6"/>
      <c r="K44" s="6"/>
      <c r="L44" s="6"/>
      <c r="M44" s="6"/>
      <c r="N44" s="6"/>
      <c r="O44" s="6"/>
    </row>
    <row r="45" ht="18.75" spans="1:15">
      <c r="A45" s="6">
        <v>43</v>
      </c>
      <c r="B45" s="7">
        <v>46131</v>
      </c>
      <c r="C45" s="9" t="s">
        <v>149</v>
      </c>
      <c r="D45" s="6" t="s">
        <v>171</v>
      </c>
      <c r="E45" s="8"/>
      <c r="F45" s="8">
        <v>5</v>
      </c>
      <c r="G45" s="6"/>
      <c r="H45" s="6"/>
      <c r="I45" s="6"/>
      <c r="J45" s="6"/>
      <c r="K45" s="6"/>
      <c r="L45" s="6"/>
      <c r="M45" s="6">
        <f>SUM(M3:M44)</f>
        <v>78</v>
      </c>
      <c r="N45" s="6">
        <f>SUM(N3:N44)</f>
        <v>38</v>
      </c>
      <c r="O45" s="6"/>
    </row>
    <row r="46" ht="18.75" spans="1:15">
      <c r="A46" s="6"/>
      <c r="B46" s="6"/>
      <c r="C46" s="6"/>
      <c r="D46" s="6"/>
      <c r="E46" s="6">
        <f>SUM(E3:E45)</f>
        <v>116</v>
      </c>
      <c r="F46" s="6">
        <f>SUM(F3:F45)</f>
        <v>104</v>
      </c>
      <c r="G46" s="6"/>
      <c r="H46" s="6"/>
    </row>
    <row r="47" spans="1:15">
      <c r="I47" t="s">
        <v>169</v>
      </c>
      <c r="J47" t="s">
        <v>170</v>
      </c>
    </row>
    <row r="48" spans="1:15">
      <c r="I48">
        <f>E46+M45</f>
        <v>194</v>
      </c>
      <c r="J48">
        <f>F46+N45</f>
        <v>142</v>
      </c>
    </row>
  </sheetData>
  <mergeCells count="3">
    <mergeCell ref="A1:G1"/>
    <mergeCell ref="I1:O1"/>
    <mergeCell ref="G13:G14"/>
  </mergeCells>
  <pageMargins left="0.75" right="0.75" top="1" bottom="1" header="0.5" footer="0.5"/>
  <pageSetup paperSize="9" scale="110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"/>
  <sheetViews>
    <sheetView workbookViewId="0">
      <selection activeCell="G25" sqref="G25"/>
    </sheetView>
  </sheetViews>
  <sheetFormatPr defaultColWidth="9" defaultRowHeight="13.5"/>
  <cols>
    <col min="2" max="2" width="10.125"/>
    <col min="7" max="7" width="23.25" customWidth="1"/>
    <col min="10" max="10" width="10.125"/>
    <col min="15" max="15" width="17.875" customWidth="1"/>
  </cols>
  <sheetData>
    <row r="1" ht="22.5" spans="1:15">
      <c r="A1" s="1" t="s">
        <v>167</v>
      </c>
      <c r="B1" s="1"/>
      <c r="C1" s="1"/>
      <c r="D1" s="1"/>
      <c r="E1" s="1"/>
      <c r="F1" s="2"/>
      <c r="G1" s="3"/>
      <c r="I1" s="1" t="s">
        <v>167</v>
      </c>
      <c r="J1" s="1"/>
      <c r="K1" s="1"/>
      <c r="L1" s="1"/>
      <c r="M1" s="1"/>
      <c r="N1" s="2"/>
      <c r="O1" s="3"/>
    </row>
    <row r="2" ht="14.25" spans="1:15">
      <c r="A2" s="4" t="s">
        <v>2</v>
      </c>
      <c r="B2" s="4" t="s">
        <v>163</v>
      </c>
      <c r="C2" s="4" t="s">
        <v>3</v>
      </c>
      <c r="D2" s="4" t="s">
        <v>168</v>
      </c>
      <c r="E2" s="4" t="s">
        <v>169</v>
      </c>
      <c r="F2" s="4" t="s">
        <v>170</v>
      </c>
      <c r="G2" s="4" t="s">
        <v>7</v>
      </c>
      <c r="H2" s="5"/>
      <c r="I2" s="4" t="s">
        <v>2</v>
      </c>
      <c r="J2" s="4" t="s">
        <v>163</v>
      </c>
      <c r="K2" s="4" t="s">
        <v>3</v>
      </c>
      <c r="L2" s="4" t="s">
        <v>168</v>
      </c>
      <c r="M2" s="4" t="s">
        <v>169</v>
      </c>
      <c r="N2" s="4" t="s">
        <v>170</v>
      </c>
      <c r="O2" s="4" t="s">
        <v>7</v>
      </c>
    </row>
    <row r="3" ht="18.75" spans="1:15">
      <c r="A3" s="6">
        <v>1</v>
      </c>
      <c r="B3" s="7">
        <v>46138</v>
      </c>
      <c r="C3" s="8" t="s">
        <v>13</v>
      </c>
      <c r="D3" s="6" t="s">
        <v>171</v>
      </c>
      <c r="E3" s="8"/>
      <c r="F3" s="8">
        <v>5</v>
      </c>
      <c r="G3" s="6"/>
      <c r="H3" s="6"/>
      <c r="I3" s="6">
        <v>44</v>
      </c>
      <c r="J3" s="7">
        <v>46138</v>
      </c>
      <c r="K3" s="8" t="s">
        <v>151</v>
      </c>
      <c r="L3" s="6" t="s">
        <v>171</v>
      </c>
      <c r="M3" s="8">
        <v>5</v>
      </c>
      <c r="N3" s="8"/>
      <c r="O3" s="6"/>
    </row>
    <row r="4" ht="18.75" spans="1:15">
      <c r="A4" s="6">
        <v>2</v>
      </c>
      <c r="B4" s="7">
        <v>46138</v>
      </c>
      <c r="C4" s="8" t="s">
        <v>17</v>
      </c>
      <c r="D4" s="6" t="s">
        <v>171</v>
      </c>
      <c r="E4" s="8">
        <v>5</v>
      </c>
      <c r="F4" s="8"/>
      <c r="G4" s="6"/>
      <c r="H4" s="6"/>
      <c r="I4" s="6">
        <v>45</v>
      </c>
      <c r="J4" s="7">
        <v>46138</v>
      </c>
      <c r="K4" s="8" t="s">
        <v>152</v>
      </c>
      <c r="L4" s="6" t="s">
        <v>171</v>
      </c>
      <c r="M4" s="8">
        <v>5</v>
      </c>
      <c r="N4" s="8"/>
      <c r="O4" s="6"/>
    </row>
    <row r="5" ht="18.75" spans="1:15">
      <c r="A5" s="6">
        <v>3</v>
      </c>
      <c r="B5" s="7">
        <v>46138</v>
      </c>
      <c r="C5" s="8" t="s">
        <v>19</v>
      </c>
      <c r="D5" s="6" t="s">
        <v>171</v>
      </c>
      <c r="E5" s="8">
        <v>5</v>
      </c>
      <c r="F5" s="8"/>
      <c r="G5" s="6"/>
      <c r="H5" s="6"/>
      <c r="I5" s="6">
        <v>46</v>
      </c>
      <c r="J5" s="7">
        <v>46138</v>
      </c>
      <c r="K5" s="9" t="s">
        <v>153</v>
      </c>
      <c r="L5" s="6" t="s">
        <v>171</v>
      </c>
      <c r="M5" s="8">
        <v>4</v>
      </c>
      <c r="N5" s="8">
        <v>1</v>
      </c>
      <c r="O5" s="6"/>
    </row>
    <row r="6" ht="18.75" spans="1:15">
      <c r="A6" s="6">
        <v>4</v>
      </c>
      <c r="B6" s="7">
        <v>46138</v>
      </c>
      <c r="C6" s="8" t="s">
        <v>21</v>
      </c>
      <c r="D6" s="6" t="s">
        <v>171</v>
      </c>
      <c r="E6" s="8"/>
      <c r="F6" s="8">
        <v>5</v>
      </c>
      <c r="G6" s="6"/>
      <c r="H6" s="6"/>
      <c r="I6" s="6">
        <v>47</v>
      </c>
      <c r="J6" s="7">
        <v>46138</v>
      </c>
      <c r="K6" s="8" t="s">
        <v>70</v>
      </c>
      <c r="L6" s="6" t="s">
        <v>171</v>
      </c>
      <c r="M6" s="8">
        <v>2</v>
      </c>
      <c r="N6" s="8">
        <v>3</v>
      </c>
      <c r="O6" s="6"/>
    </row>
    <row r="7" ht="18.75" spans="1:15">
      <c r="A7" s="6">
        <v>5</v>
      </c>
      <c r="B7" s="7">
        <v>46138</v>
      </c>
      <c r="C7" s="8" t="s">
        <v>23</v>
      </c>
      <c r="D7" s="6" t="s">
        <v>171</v>
      </c>
      <c r="E7" s="8">
        <v>5</v>
      </c>
      <c r="F7" s="8"/>
      <c r="G7" s="6"/>
      <c r="H7" s="6"/>
      <c r="I7" s="6">
        <v>48</v>
      </c>
      <c r="J7" s="7">
        <v>46138</v>
      </c>
      <c r="K7" s="8" t="s">
        <v>71</v>
      </c>
      <c r="L7" s="6" t="s">
        <v>171</v>
      </c>
      <c r="M7" s="8">
        <v>3</v>
      </c>
      <c r="N7" s="8">
        <v>2</v>
      </c>
      <c r="O7" s="6"/>
    </row>
    <row r="8" ht="18.75" spans="1:15">
      <c r="A8" s="6">
        <v>6</v>
      </c>
      <c r="B8" s="7">
        <v>46138</v>
      </c>
      <c r="C8" s="8" t="s">
        <v>24</v>
      </c>
      <c r="D8" s="6" t="s">
        <v>171</v>
      </c>
      <c r="E8" s="8">
        <v>3</v>
      </c>
      <c r="F8" s="8">
        <v>2</v>
      </c>
      <c r="G8" s="6"/>
      <c r="H8" s="6"/>
      <c r="I8" s="6">
        <v>49</v>
      </c>
      <c r="J8" s="7">
        <v>46138</v>
      </c>
      <c r="K8" s="8" t="s">
        <v>72</v>
      </c>
      <c r="L8" s="6" t="s">
        <v>171</v>
      </c>
      <c r="M8" s="8">
        <v>3</v>
      </c>
      <c r="N8" s="8">
        <v>2</v>
      </c>
      <c r="O8" s="6"/>
    </row>
    <row r="9" ht="18.75" spans="1:15">
      <c r="A9" s="6">
        <v>7</v>
      </c>
      <c r="B9" s="7">
        <v>46138</v>
      </c>
      <c r="C9" s="8" t="s">
        <v>27</v>
      </c>
      <c r="D9" s="6" t="s">
        <v>171</v>
      </c>
      <c r="E9" s="8">
        <v>5</v>
      </c>
      <c r="F9" s="8"/>
      <c r="G9" s="6"/>
      <c r="H9" s="6"/>
      <c r="I9" s="6">
        <v>50</v>
      </c>
      <c r="J9" s="7">
        <v>46138</v>
      </c>
      <c r="K9" s="8" t="s">
        <v>73</v>
      </c>
      <c r="L9" s="6" t="s">
        <v>171</v>
      </c>
      <c r="M9" s="8"/>
      <c r="N9" s="8">
        <v>5</v>
      </c>
      <c r="O9" s="6"/>
    </row>
    <row r="10" ht="18.75" spans="1:15">
      <c r="A10" s="6">
        <v>8</v>
      </c>
      <c r="B10" s="7">
        <v>46138</v>
      </c>
      <c r="C10" s="9" t="s">
        <v>179</v>
      </c>
      <c r="D10" s="6" t="s">
        <v>171</v>
      </c>
      <c r="E10" s="8">
        <v>5</v>
      </c>
      <c r="F10" s="8"/>
      <c r="G10" s="6"/>
      <c r="H10" s="6"/>
      <c r="I10" s="6">
        <v>51</v>
      </c>
      <c r="J10" s="7">
        <v>46138</v>
      </c>
      <c r="K10" s="8" t="s">
        <v>74</v>
      </c>
      <c r="L10" s="6" t="s">
        <v>171</v>
      </c>
      <c r="M10" s="8">
        <v>5</v>
      </c>
      <c r="N10" s="8"/>
      <c r="O10" s="6"/>
    </row>
    <row r="11" ht="18.75" spans="1:15">
      <c r="A11" s="6">
        <v>9</v>
      </c>
      <c r="B11" s="7">
        <v>46138</v>
      </c>
      <c r="C11" s="9" t="s">
        <v>180</v>
      </c>
      <c r="D11" s="6" t="s">
        <v>171</v>
      </c>
      <c r="E11" s="8"/>
      <c r="F11" s="8">
        <v>5</v>
      </c>
      <c r="G11" s="6"/>
      <c r="H11" s="6"/>
      <c r="I11" s="6">
        <v>52</v>
      </c>
      <c r="J11" s="7">
        <v>46138</v>
      </c>
      <c r="K11" s="8" t="s">
        <v>75</v>
      </c>
      <c r="L11" s="6" t="s">
        <v>171</v>
      </c>
      <c r="M11" s="8">
        <v>3</v>
      </c>
      <c r="N11" s="8">
        <v>2</v>
      </c>
      <c r="O11" s="6"/>
    </row>
    <row r="12" ht="18.75" spans="1:15">
      <c r="A12" s="6">
        <v>10</v>
      </c>
      <c r="B12" s="7">
        <v>46138</v>
      </c>
      <c r="C12" s="8" t="s">
        <v>29</v>
      </c>
      <c r="D12" s="6" t="s">
        <v>171</v>
      </c>
      <c r="E12" s="8"/>
      <c r="F12" s="8">
        <v>5</v>
      </c>
      <c r="G12" s="6"/>
      <c r="H12" s="6"/>
      <c r="I12" s="6">
        <v>53</v>
      </c>
      <c r="J12" s="7">
        <v>46138</v>
      </c>
      <c r="K12" s="8" t="s">
        <v>76</v>
      </c>
      <c r="L12" s="6" t="s">
        <v>171</v>
      </c>
      <c r="M12" s="8">
        <v>5</v>
      </c>
      <c r="N12" s="8"/>
      <c r="O12" s="6"/>
    </row>
    <row r="13" ht="21" customHeight="1" spans="1:15">
      <c r="A13" s="6">
        <v>11</v>
      </c>
      <c r="B13" s="7">
        <v>46138</v>
      </c>
      <c r="C13" s="8" t="s">
        <v>143</v>
      </c>
      <c r="D13" s="6" t="s">
        <v>171</v>
      </c>
      <c r="E13" s="10">
        <v>5</v>
      </c>
      <c r="F13" s="8"/>
      <c r="G13" s="11" t="s">
        <v>196</v>
      </c>
      <c r="H13" s="6"/>
      <c r="I13" s="6">
        <v>54</v>
      </c>
      <c r="J13" s="7">
        <v>46138</v>
      </c>
      <c r="K13" s="8" t="s">
        <v>77</v>
      </c>
      <c r="L13" s="6" t="s">
        <v>171</v>
      </c>
      <c r="M13" s="8">
        <v>5</v>
      </c>
      <c r="N13" s="8"/>
      <c r="O13" s="6"/>
    </row>
    <row r="14" ht="18.75" spans="1:15">
      <c r="A14" s="6">
        <v>12</v>
      </c>
      <c r="B14" s="7">
        <v>46138</v>
      </c>
      <c r="C14" s="8" t="s">
        <v>144</v>
      </c>
      <c r="D14" s="6" t="s">
        <v>171</v>
      </c>
      <c r="E14" s="8"/>
      <c r="F14" s="8">
        <v>5</v>
      </c>
      <c r="G14" s="12"/>
      <c r="H14" s="6"/>
      <c r="I14" s="6">
        <v>55</v>
      </c>
      <c r="J14" s="7">
        <v>46138</v>
      </c>
      <c r="K14" s="8" t="s">
        <v>78</v>
      </c>
      <c r="L14" s="6" t="s">
        <v>171</v>
      </c>
      <c r="M14" s="8">
        <v>5</v>
      </c>
      <c r="N14" s="8"/>
      <c r="O14" s="6"/>
    </row>
    <row r="15" ht="18.75" spans="1:15">
      <c r="A15" s="6">
        <v>13</v>
      </c>
      <c r="B15" s="7">
        <v>46138</v>
      </c>
      <c r="C15" s="8" t="s">
        <v>33</v>
      </c>
      <c r="D15" s="6" t="s">
        <v>171</v>
      </c>
      <c r="E15" s="8"/>
      <c r="F15" s="8">
        <v>5</v>
      </c>
      <c r="G15" s="6" t="s">
        <v>197</v>
      </c>
      <c r="H15" s="6"/>
      <c r="I15" s="6">
        <v>56</v>
      </c>
      <c r="J15" s="7">
        <v>46138</v>
      </c>
      <c r="K15" s="8" t="s">
        <v>79</v>
      </c>
      <c r="L15" s="6" t="s">
        <v>171</v>
      </c>
      <c r="M15" s="8">
        <v>5</v>
      </c>
      <c r="N15" s="8"/>
      <c r="O15" s="6"/>
    </row>
    <row r="16" ht="18.75" spans="1:15">
      <c r="A16" s="6">
        <v>14</v>
      </c>
      <c r="B16" s="7">
        <v>46138</v>
      </c>
      <c r="C16" s="8" t="s">
        <v>34</v>
      </c>
      <c r="D16" s="6" t="s">
        <v>171</v>
      </c>
      <c r="E16" s="8"/>
      <c r="F16" s="8">
        <v>5</v>
      </c>
      <c r="G16" s="6"/>
      <c r="H16" s="6"/>
      <c r="I16" s="6">
        <v>57</v>
      </c>
      <c r="J16" s="7">
        <v>46138</v>
      </c>
      <c r="K16" s="8" t="s">
        <v>80</v>
      </c>
      <c r="L16" s="6" t="s">
        <v>171</v>
      </c>
      <c r="M16" s="8">
        <v>2</v>
      </c>
      <c r="N16" s="8">
        <v>3</v>
      </c>
      <c r="O16" s="6"/>
    </row>
    <row r="17" ht="18.75" spans="1:15">
      <c r="A17" s="6">
        <v>15</v>
      </c>
      <c r="B17" s="7">
        <v>46138</v>
      </c>
      <c r="C17" s="8" t="s">
        <v>36</v>
      </c>
      <c r="D17" s="6" t="s">
        <v>171</v>
      </c>
      <c r="E17" s="8"/>
      <c r="F17" s="8">
        <v>5</v>
      </c>
      <c r="G17" s="6"/>
      <c r="H17" s="6"/>
      <c r="I17" s="6">
        <v>58</v>
      </c>
      <c r="J17" s="7">
        <v>46138</v>
      </c>
      <c r="K17" s="8" t="s">
        <v>81</v>
      </c>
      <c r="L17" s="6" t="s">
        <v>171</v>
      </c>
      <c r="M17" s="8">
        <v>2</v>
      </c>
      <c r="N17" s="8">
        <v>3</v>
      </c>
      <c r="O17" s="6"/>
    </row>
    <row r="18" ht="18.75" spans="1:15">
      <c r="A18" s="6">
        <v>16</v>
      </c>
      <c r="B18" s="7">
        <v>46138</v>
      </c>
      <c r="C18" s="8" t="s">
        <v>37</v>
      </c>
      <c r="D18" s="6" t="s">
        <v>171</v>
      </c>
      <c r="E18" s="8"/>
      <c r="F18" s="8">
        <v>5</v>
      </c>
      <c r="G18" s="6"/>
      <c r="H18" s="6"/>
      <c r="I18" s="6">
        <v>59</v>
      </c>
      <c r="J18" s="7">
        <v>46138</v>
      </c>
      <c r="K18" s="8" t="s">
        <v>82</v>
      </c>
      <c r="L18" s="6" t="s">
        <v>171</v>
      </c>
      <c r="M18" s="8">
        <v>3</v>
      </c>
      <c r="N18" s="8">
        <v>2</v>
      </c>
      <c r="O18" s="6"/>
    </row>
    <row r="19" ht="18.75" spans="1:15">
      <c r="A19" s="6">
        <v>17</v>
      </c>
      <c r="B19" s="7">
        <v>46138</v>
      </c>
      <c r="C19" s="8" t="s">
        <v>38</v>
      </c>
      <c r="D19" s="6" t="s">
        <v>171</v>
      </c>
      <c r="E19" s="8">
        <v>5</v>
      </c>
      <c r="F19" s="8"/>
      <c r="G19" s="6"/>
      <c r="H19" s="6"/>
      <c r="I19" s="6">
        <v>60</v>
      </c>
      <c r="J19" s="7">
        <v>46138</v>
      </c>
      <c r="K19" s="8" t="s">
        <v>85</v>
      </c>
      <c r="L19" s="6" t="s">
        <v>171</v>
      </c>
      <c r="M19" s="8">
        <v>5</v>
      </c>
      <c r="N19" s="8"/>
      <c r="O19" s="6"/>
    </row>
    <row r="20" ht="18.75" spans="1:15">
      <c r="A20" s="6">
        <v>18</v>
      </c>
      <c r="B20" s="7">
        <v>46138</v>
      </c>
      <c r="C20" s="9" t="s">
        <v>105</v>
      </c>
      <c r="D20" s="6" t="s">
        <v>171</v>
      </c>
      <c r="E20" s="8">
        <v>3</v>
      </c>
      <c r="F20" s="8">
        <v>2</v>
      </c>
      <c r="G20" s="6"/>
      <c r="H20" s="6"/>
      <c r="I20" s="6">
        <v>61</v>
      </c>
      <c r="J20" s="7">
        <v>46138</v>
      </c>
      <c r="K20" s="6" t="s">
        <v>138</v>
      </c>
      <c r="L20" s="6" t="s">
        <v>171</v>
      </c>
      <c r="M20" s="6">
        <v>5</v>
      </c>
      <c r="N20" s="6"/>
      <c r="O20" s="6"/>
    </row>
    <row r="21" ht="18.75" spans="1:15">
      <c r="A21" s="6">
        <v>19</v>
      </c>
      <c r="B21" s="7">
        <v>46138</v>
      </c>
      <c r="C21" s="9" t="s">
        <v>106</v>
      </c>
      <c r="D21" s="6" t="s">
        <v>171</v>
      </c>
      <c r="E21" s="8"/>
      <c r="F21" s="8">
        <v>5</v>
      </c>
      <c r="G21" s="6"/>
      <c r="H21" s="6"/>
      <c r="I21" s="6">
        <v>62</v>
      </c>
      <c r="J21" s="7">
        <v>46138</v>
      </c>
      <c r="K21" s="6" t="s">
        <v>155</v>
      </c>
      <c r="L21" s="6" t="s">
        <v>171</v>
      </c>
      <c r="M21" s="6"/>
      <c r="N21" s="6">
        <v>5</v>
      </c>
      <c r="O21" s="13"/>
    </row>
    <row r="22" ht="18.75" spans="1:15">
      <c r="A22" s="6">
        <v>20</v>
      </c>
      <c r="B22" s="7">
        <v>46138</v>
      </c>
      <c r="C22" s="9" t="s">
        <v>181</v>
      </c>
      <c r="D22" s="6" t="s">
        <v>171</v>
      </c>
      <c r="E22" s="8">
        <v>5</v>
      </c>
      <c r="F22" s="8"/>
      <c r="G22" s="6"/>
      <c r="H22" s="6"/>
      <c r="I22" s="6">
        <v>63</v>
      </c>
      <c r="J22" s="7">
        <v>46138</v>
      </c>
      <c r="K22" s="6" t="s">
        <v>112</v>
      </c>
      <c r="L22" s="6" t="s">
        <v>171</v>
      </c>
      <c r="M22" s="14" t="s">
        <v>94</v>
      </c>
      <c r="N22" s="6"/>
      <c r="O22" s="6"/>
    </row>
    <row r="23" ht="18.75" spans="1:15">
      <c r="A23" s="6">
        <v>21</v>
      </c>
      <c r="B23" s="7">
        <v>46138</v>
      </c>
      <c r="C23" s="9" t="s">
        <v>182</v>
      </c>
      <c r="D23" s="6" t="s">
        <v>171</v>
      </c>
      <c r="E23" s="8"/>
      <c r="F23" s="8">
        <v>5</v>
      </c>
      <c r="G23" s="6"/>
      <c r="H23" s="6"/>
      <c r="I23" s="6">
        <v>64</v>
      </c>
      <c r="J23" s="7">
        <v>46138</v>
      </c>
      <c r="K23" s="6" t="s">
        <v>124</v>
      </c>
      <c r="L23" s="6" t="s">
        <v>171</v>
      </c>
      <c r="M23" s="6">
        <v>3</v>
      </c>
      <c r="N23" s="6">
        <v>2</v>
      </c>
      <c r="O23" s="15" t="s">
        <v>193</v>
      </c>
    </row>
    <row r="24" ht="18.75" spans="1:15">
      <c r="A24" s="6">
        <v>22</v>
      </c>
      <c r="B24" s="7">
        <v>46138</v>
      </c>
      <c r="C24" s="8" t="s">
        <v>42</v>
      </c>
      <c r="D24" s="6" t="s">
        <v>171</v>
      </c>
      <c r="E24" s="8">
        <v>2</v>
      </c>
      <c r="F24" s="8"/>
      <c r="G24" s="6"/>
      <c r="H24" s="6"/>
      <c r="I24" s="6">
        <v>65</v>
      </c>
      <c r="J24" s="7">
        <v>46138</v>
      </c>
      <c r="K24" s="16" t="s">
        <v>160</v>
      </c>
      <c r="L24" s="17" t="s">
        <v>171</v>
      </c>
      <c r="M24" s="17">
        <v>2</v>
      </c>
      <c r="N24" s="17">
        <v>3</v>
      </c>
      <c r="O24" s="18"/>
    </row>
    <row r="25" ht="18.75" spans="1:15">
      <c r="A25" s="6">
        <v>23</v>
      </c>
      <c r="B25" s="7">
        <v>46138</v>
      </c>
      <c r="C25" s="8" t="s">
        <v>43</v>
      </c>
      <c r="D25" s="6" t="s">
        <v>171</v>
      </c>
      <c r="E25" s="8"/>
      <c r="F25" s="8">
        <v>8</v>
      </c>
      <c r="G25" s="6"/>
      <c r="H25" s="6"/>
      <c r="I25" s="6">
        <v>66</v>
      </c>
      <c r="J25" s="7">
        <v>46138</v>
      </c>
      <c r="K25" s="19" t="s">
        <v>161</v>
      </c>
      <c r="L25" s="17" t="s">
        <v>171</v>
      </c>
      <c r="M25" s="17"/>
      <c r="N25" s="17">
        <v>6</v>
      </c>
      <c r="O25" s="18" t="s">
        <v>199</v>
      </c>
    </row>
    <row r="26" ht="18.75" spans="1:15">
      <c r="A26" s="6">
        <v>24</v>
      </c>
      <c r="B26" s="7">
        <v>46138</v>
      </c>
      <c r="C26" s="9" t="s">
        <v>186</v>
      </c>
      <c r="D26" s="6" t="s">
        <v>171</v>
      </c>
      <c r="E26" s="8">
        <v>5</v>
      </c>
      <c r="F26" s="8"/>
      <c r="G26" s="6"/>
      <c r="H26" s="6"/>
      <c r="I26" s="6">
        <v>67</v>
      </c>
      <c r="J26" s="7">
        <v>46138</v>
      </c>
      <c r="K26" s="6" t="s">
        <v>86</v>
      </c>
      <c r="L26" s="6" t="s">
        <v>171</v>
      </c>
      <c r="M26" s="6">
        <v>3</v>
      </c>
      <c r="N26" s="6">
        <v>2</v>
      </c>
      <c r="O26" s="20" t="s">
        <v>184</v>
      </c>
    </row>
    <row r="27" ht="18.75" spans="1:15">
      <c r="A27" s="6">
        <v>25</v>
      </c>
      <c r="B27" s="7">
        <v>46138</v>
      </c>
      <c r="C27" s="9" t="s">
        <v>187</v>
      </c>
      <c r="D27" s="6" t="s">
        <v>171</v>
      </c>
      <c r="E27" s="8">
        <v>5</v>
      </c>
      <c r="F27" s="8"/>
      <c r="G27" s="6"/>
      <c r="H27" s="6"/>
      <c r="I27" s="6"/>
      <c r="J27" s="7"/>
      <c r="K27" s="6"/>
      <c r="L27" s="6"/>
      <c r="M27" s="6"/>
      <c r="N27" s="6"/>
      <c r="O27" s="20"/>
    </row>
    <row r="28" ht="18.75" spans="1:15">
      <c r="A28" s="6">
        <v>26</v>
      </c>
      <c r="B28" s="7">
        <v>46138</v>
      </c>
      <c r="C28" s="8" t="s">
        <v>46</v>
      </c>
      <c r="D28" s="6" t="s">
        <v>171</v>
      </c>
      <c r="E28" s="8">
        <v>5</v>
      </c>
      <c r="F28" s="8"/>
      <c r="G28" s="6"/>
      <c r="H28" s="6"/>
      <c r="I28" s="6"/>
      <c r="J28" s="7"/>
      <c r="K28" s="6"/>
      <c r="L28" s="6"/>
      <c r="M28" s="6"/>
      <c r="N28" s="6"/>
      <c r="O28" s="6"/>
    </row>
    <row r="29" ht="18.75" spans="1:15">
      <c r="A29" s="6">
        <v>27</v>
      </c>
      <c r="B29" s="7">
        <v>46138</v>
      </c>
      <c r="C29" s="8" t="s">
        <v>47</v>
      </c>
      <c r="D29" s="6" t="s">
        <v>171</v>
      </c>
      <c r="E29" s="8">
        <v>5</v>
      </c>
      <c r="F29" s="8"/>
      <c r="G29" s="6"/>
      <c r="H29" s="6"/>
      <c r="I29" s="6"/>
      <c r="J29" s="7"/>
      <c r="K29" s="6"/>
      <c r="L29" s="6"/>
      <c r="M29" s="6"/>
      <c r="N29" s="6"/>
      <c r="O29" s="6"/>
    </row>
    <row r="30" ht="18.75" spans="1:15">
      <c r="A30" s="6">
        <v>28</v>
      </c>
      <c r="B30" s="7">
        <v>46138</v>
      </c>
      <c r="C30" s="8" t="s">
        <v>48</v>
      </c>
      <c r="D30" s="6" t="s">
        <v>171</v>
      </c>
      <c r="E30" s="8">
        <v>5</v>
      </c>
      <c r="F30" s="8"/>
      <c r="G30" s="6"/>
      <c r="H30" s="6"/>
      <c r="I30" s="6"/>
      <c r="J30" s="6"/>
      <c r="K30" s="6"/>
      <c r="L30" s="6"/>
      <c r="M30" s="6"/>
      <c r="N30" s="6"/>
      <c r="O30" s="6"/>
    </row>
    <row r="31" ht="18.75" spans="1:15">
      <c r="A31" s="6">
        <v>29</v>
      </c>
      <c r="B31" s="7">
        <v>46138</v>
      </c>
      <c r="C31" s="8" t="s">
        <v>49</v>
      </c>
      <c r="D31" s="6" t="s">
        <v>171</v>
      </c>
      <c r="E31" s="8">
        <v>5</v>
      </c>
      <c r="F31" s="8"/>
      <c r="G31" s="6"/>
      <c r="H31" s="6"/>
      <c r="I31" s="6"/>
      <c r="J31" s="6"/>
      <c r="K31" s="6"/>
      <c r="L31" s="6"/>
      <c r="M31" s="6"/>
      <c r="N31" s="6"/>
      <c r="O31" s="6"/>
    </row>
    <row r="32" ht="18.75" spans="1:15">
      <c r="A32" s="6">
        <v>30</v>
      </c>
      <c r="B32" s="7">
        <v>46138</v>
      </c>
      <c r="C32" s="8" t="s">
        <v>145</v>
      </c>
      <c r="D32" s="6" t="s">
        <v>171</v>
      </c>
      <c r="E32" s="21">
        <v>6</v>
      </c>
      <c r="F32" s="21"/>
      <c r="G32" s="22" t="s">
        <v>191</v>
      </c>
      <c r="H32" s="6"/>
      <c r="I32" s="6"/>
      <c r="J32" s="6"/>
      <c r="K32" s="6"/>
      <c r="L32" s="6"/>
      <c r="M32" s="6"/>
      <c r="N32" s="6"/>
      <c r="O32" s="6"/>
    </row>
    <row r="33" ht="18.75" spans="1:15">
      <c r="A33" s="6">
        <v>31</v>
      </c>
      <c r="B33" s="7">
        <v>46138</v>
      </c>
      <c r="C33" s="8" t="s">
        <v>146</v>
      </c>
      <c r="D33" s="6" t="s">
        <v>171</v>
      </c>
      <c r="E33" s="21"/>
      <c r="F33" s="21">
        <v>4</v>
      </c>
      <c r="G33" s="22"/>
      <c r="H33" s="6"/>
      <c r="I33" s="6"/>
      <c r="J33" s="6"/>
      <c r="K33" s="6"/>
      <c r="L33" s="6"/>
      <c r="M33" s="6"/>
      <c r="N33" s="6"/>
      <c r="O33" s="6"/>
    </row>
    <row r="34" ht="18.75" spans="1:15">
      <c r="A34" s="6">
        <v>32</v>
      </c>
      <c r="B34" s="7">
        <v>46138</v>
      </c>
      <c r="C34" s="8" t="s">
        <v>52</v>
      </c>
      <c r="D34" s="6" t="s">
        <v>171</v>
      </c>
      <c r="E34" s="8">
        <v>3</v>
      </c>
      <c r="F34" s="8">
        <v>2</v>
      </c>
      <c r="G34" s="6"/>
      <c r="H34" s="6"/>
      <c r="I34" s="6"/>
      <c r="J34" s="6"/>
      <c r="K34" s="6"/>
      <c r="L34" s="6"/>
      <c r="M34" s="6"/>
      <c r="N34" s="6"/>
      <c r="O34" s="6"/>
    </row>
    <row r="35" ht="18.75" spans="1:15">
      <c r="A35" s="6">
        <v>33</v>
      </c>
      <c r="B35" s="7">
        <v>46138</v>
      </c>
      <c r="C35" s="8" t="s">
        <v>54</v>
      </c>
      <c r="D35" s="6" t="s">
        <v>171</v>
      </c>
      <c r="E35" s="8"/>
      <c r="F35" s="8">
        <v>5</v>
      </c>
      <c r="G35" s="6"/>
      <c r="H35" s="6"/>
      <c r="I35" s="6"/>
      <c r="J35" s="6"/>
      <c r="K35" s="6"/>
      <c r="L35" s="6"/>
      <c r="M35" s="6"/>
      <c r="N35" s="6"/>
      <c r="O35" s="6"/>
    </row>
    <row r="36" ht="18.75" spans="1:15">
      <c r="A36" s="6">
        <v>34</v>
      </c>
      <c r="B36" s="7">
        <v>46138</v>
      </c>
      <c r="C36" s="8" t="s">
        <v>55</v>
      </c>
      <c r="D36" s="6" t="s">
        <v>171</v>
      </c>
      <c r="E36" s="8">
        <v>3</v>
      </c>
      <c r="F36" s="8">
        <v>2</v>
      </c>
      <c r="G36" s="6"/>
      <c r="H36" s="6"/>
      <c r="I36" s="6"/>
      <c r="J36" s="6"/>
      <c r="K36" s="6"/>
      <c r="L36" s="6"/>
      <c r="M36" s="6"/>
      <c r="N36" s="6"/>
      <c r="O36" s="6"/>
    </row>
    <row r="37" ht="18.75" spans="1:15">
      <c r="A37" s="6">
        <v>35</v>
      </c>
      <c r="B37" s="7">
        <v>46138</v>
      </c>
      <c r="C37" s="8" t="s">
        <v>56</v>
      </c>
      <c r="D37" s="6" t="s">
        <v>171</v>
      </c>
      <c r="E37" s="21">
        <v>4</v>
      </c>
      <c r="F37" s="21">
        <v>4</v>
      </c>
      <c r="G37" s="14" t="s">
        <v>178</v>
      </c>
      <c r="H37" s="6"/>
      <c r="I37" s="6"/>
      <c r="J37" s="6"/>
      <c r="K37" s="6"/>
      <c r="L37" s="6"/>
      <c r="M37" s="6"/>
      <c r="N37" s="6"/>
      <c r="O37" s="6"/>
    </row>
    <row r="38" ht="18.75" spans="1:15">
      <c r="A38" s="6">
        <v>36</v>
      </c>
      <c r="B38" s="7">
        <v>46138</v>
      </c>
      <c r="C38" s="8" t="s">
        <v>57</v>
      </c>
      <c r="D38" s="6" t="s">
        <v>171</v>
      </c>
      <c r="E38" s="8">
        <v>3</v>
      </c>
      <c r="F38" s="8">
        <v>2</v>
      </c>
      <c r="G38" s="6"/>
      <c r="H38" s="6"/>
      <c r="I38" s="6"/>
      <c r="J38" s="6"/>
      <c r="K38" s="6"/>
      <c r="L38" s="6"/>
      <c r="M38" s="6"/>
      <c r="N38" s="6"/>
      <c r="O38" s="6"/>
    </row>
    <row r="39" ht="18.75" spans="1:15">
      <c r="A39" s="6">
        <v>37</v>
      </c>
      <c r="B39" s="7">
        <v>46138</v>
      </c>
      <c r="C39" s="8" t="s">
        <v>147</v>
      </c>
      <c r="D39" s="6" t="s">
        <v>171</v>
      </c>
      <c r="E39" s="8">
        <v>5</v>
      </c>
      <c r="F39" s="8"/>
      <c r="G39" s="6"/>
      <c r="H39" s="6"/>
      <c r="I39" s="6"/>
      <c r="J39" s="6"/>
      <c r="K39" s="6"/>
      <c r="L39" s="6"/>
      <c r="M39" s="6"/>
      <c r="N39" s="6"/>
      <c r="O39" s="6"/>
    </row>
    <row r="40" ht="18.75" spans="1:15">
      <c r="A40" s="6">
        <v>38</v>
      </c>
      <c r="B40" s="7">
        <v>46138</v>
      </c>
      <c r="C40" s="8" t="s">
        <v>148</v>
      </c>
      <c r="D40" s="6" t="s">
        <v>171</v>
      </c>
      <c r="E40" s="8"/>
      <c r="F40" s="8">
        <v>5</v>
      </c>
      <c r="G40" s="6"/>
      <c r="H40" s="6"/>
      <c r="I40" s="6"/>
      <c r="J40" s="6"/>
      <c r="K40" s="6"/>
      <c r="L40" s="6"/>
      <c r="M40" s="6"/>
      <c r="N40" s="6"/>
      <c r="O40" s="6"/>
    </row>
    <row r="41" ht="18.75" spans="1:15">
      <c r="A41" s="6">
        <v>39</v>
      </c>
      <c r="B41" s="7">
        <v>46138</v>
      </c>
      <c r="C41" s="8" t="s">
        <v>60</v>
      </c>
      <c r="D41" s="6" t="s">
        <v>171</v>
      </c>
      <c r="E41" s="8">
        <v>4</v>
      </c>
      <c r="F41" s="8">
        <v>1</v>
      </c>
      <c r="G41" s="6"/>
      <c r="H41" s="6"/>
      <c r="I41" s="6"/>
      <c r="J41" s="6"/>
      <c r="K41" s="6"/>
      <c r="L41" s="6"/>
      <c r="M41" s="6"/>
      <c r="N41" s="6"/>
      <c r="O41" s="6"/>
    </row>
    <row r="42" ht="18.75" spans="1:15">
      <c r="A42" s="6">
        <v>40</v>
      </c>
      <c r="B42" s="7">
        <v>46138</v>
      </c>
      <c r="C42" s="8" t="s">
        <v>61</v>
      </c>
      <c r="D42" s="6" t="s">
        <v>171</v>
      </c>
      <c r="E42" s="8">
        <v>3</v>
      </c>
      <c r="F42" s="8">
        <v>2</v>
      </c>
      <c r="G42" s="6"/>
      <c r="H42" s="6"/>
      <c r="I42" s="6"/>
      <c r="J42" s="6"/>
      <c r="K42" s="6"/>
      <c r="L42" s="6"/>
      <c r="M42" s="6"/>
      <c r="N42" s="6"/>
      <c r="O42" s="6"/>
    </row>
    <row r="43" ht="18.75" spans="1:15">
      <c r="A43" s="6">
        <v>41</v>
      </c>
      <c r="B43" s="7">
        <v>46138</v>
      </c>
      <c r="C43" s="9" t="s">
        <v>62</v>
      </c>
      <c r="D43" s="6" t="s">
        <v>171</v>
      </c>
      <c r="E43" s="8">
        <v>4</v>
      </c>
      <c r="F43" s="8"/>
      <c r="G43" s="6"/>
      <c r="H43" s="6"/>
      <c r="I43" s="6"/>
      <c r="J43" s="6"/>
      <c r="K43" s="6"/>
      <c r="L43" s="6"/>
      <c r="M43" s="6"/>
      <c r="N43" s="6"/>
      <c r="O43" s="6"/>
    </row>
    <row r="44" ht="18.75" spans="1:15">
      <c r="A44" s="6">
        <v>42</v>
      </c>
      <c r="B44" s="7">
        <v>46138</v>
      </c>
      <c r="C44" s="9" t="s">
        <v>63</v>
      </c>
      <c r="D44" s="6" t="s">
        <v>171</v>
      </c>
      <c r="E44" s="8"/>
      <c r="F44" s="8">
        <v>8</v>
      </c>
      <c r="G44" s="6"/>
      <c r="H44" s="6"/>
      <c r="I44" s="6"/>
      <c r="J44" s="6"/>
      <c r="K44" s="6"/>
      <c r="L44" s="6"/>
      <c r="M44" s="6"/>
      <c r="N44" s="6"/>
      <c r="O44" s="6"/>
    </row>
    <row r="45" ht="18.75" spans="1:15">
      <c r="A45" s="6">
        <v>43</v>
      </c>
      <c r="B45" s="7">
        <v>46138</v>
      </c>
      <c r="C45" s="9" t="s">
        <v>149</v>
      </c>
      <c r="D45" s="6" t="s">
        <v>171</v>
      </c>
      <c r="E45" s="8"/>
      <c r="F45" s="8">
        <v>5</v>
      </c>
      <c r="G45" s="6"/>
      <c r="H45" s="6"/>
      <c r="I45" s="6"/>
      <c r="J45" s="6"/>
      <c r="K45" s="6"/>
      <c r="L45" s="6"/>
      <c r="M45" s="6">
        <f>SUM(M3:M44)</f>
        <v>75</v>
      </c>
      <c r="N45" s="6">
        <f>SUM(N3:N44)</f>
        <v>41</v>
      </c>
      <c r="O45" s="6"/>
    </row>
    <row r="46" ht="18.75" spans="1:15">
      <c r="A46" s="6"/>
      <c r="B46" s="6"/>
      <c r="C46" s="6"/>
      <c r="D46" s="6"/>
      <c r="E46" s="6">
        <f>SUM(E3:E45)</f>
        <v>113</v>
      </c>
      <c r="F46" s="6">
        <f>SUM(F3:F45)</f>
        <v>107</v>
      </c>
      <c r="G46" s="6"/>
      <c r="H46" s="6"/>
    </row>
    <row r="47" spans="1:15">
      <c r="I47" t="s">
        <v>169</v>
      </c>
      <c r="J47" t="s">
        <v>170</v>
      </c>
    </row>
    <row r="48" spans="1:15">
      <c r="I48">
        <f>E46+M45</f>
        <v>188</v>
      </c>
      <c r="J48">
        <f>F46+N45</f>
        <v>148</v>
      </c>
    </row>
  </sheetData>
  <mergeCells count="3">
    <mergeCell ref="A1:G1"/>
    <mergeCell ref="I1:O1"/>
    <mergeCell ref="G13:G1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WWO_wpscloud_20260320220154-fb57003c44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Sheet1</vt:lpstr>
      <vt:lpstr>Sheet2</vt:lpstr>
      <vt:lpstr>配送汇总</vt:lpstr>
      <vt:lpstr>礼品</vt:lpstr>
      <vt:lpstr>3.9</vt:lpstr>
      <vt:lpstr>3.15</vt:lpstr>
      <vt:lpstr>3.22</vt:lpstr>
      <vt:lpstr>3.29</vt:lpstr>
      <vt:lpstr>4.7</vt:lpstr>
      <vt:lpstr>4.12</vt:lpstr>
      <vt:lpstr>4.19</vt:lpstr>
      <vt:lpstr>4. 26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2026-03-07T18:40:00Z</dcterms:created>
  <dcterms:modified xsi:type="dcterms:W3CDTF">2026-04-19T10:47:38Z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65FC185BCC6F4EE79CEED068E5EE5641_13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