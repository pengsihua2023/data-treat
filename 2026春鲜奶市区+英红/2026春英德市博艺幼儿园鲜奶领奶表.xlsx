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<sst xmlns="http://schemas.openxmlformats.org/spreadsheetml/2006/main" count="30" uniqueCount="14">
  <si>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英德市博艺幼儿园学生鲜奶领奶表</t>
  </si>
  <si>
    <t>序号</t>
  </si>
  <si>
    <t>姓名</t>
  </si>
  <si>
    <t>订购份数</t>
  </si>
  <si>
    <t>总计</t>
  </si>
  <si>
    <t>剩余</t>
  </si>
  <si>
    <t>陈芯颖</t>
  </si>
  <si>
    <t>80支鲜</t>
  </si>
  <si>
    <t>谭宇煊</t>
  </si>
  <si>
    <t>60支鲜</t>
  </si>
  <si>
    <t>陈意萱</t>
  </si>
  <si>
    <t>暂停送</t>
  </si>
  <si>
    <t>吴菀</t>
  </si>
  <si>
    <t>潘允浩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</si>
</sst>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11"/>
      <name val="宋体"/>
      <charset val="134"/>
      <scheme val="minor"/>
    </font>
    <font>
      <sz val="9.75"/>
      <name val="宋体"/>
      <charset val="134"/>
    </font>
    <font>
      <sz val="14"/>
      <color rgb="FF626B7D"/>
      <name val="宋体"/>
      <charset val="134"/>
    </font>
    <font>
      <sz val="11"/>
      <color rgb="FFFF0000"/>
      <name val="宋体"/>
      <charset val="134"/>
      <scheme val="minor"/>
    </font>
    <font>
      <sz val="10"/>
      <color rgb="FF626B7D"/>
      <name val="宋体"/>
      <charset val="134"/>
    </font>
    <font>
      <sz val="9.75"/>
      <color rgb="FF626B7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58" fontId="4" fillId="0" borderId="2" xfId="0" applyNumberFormat="1" applyFont="1" applyFill="1" applyBorder="1" applyAlignment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tabSelected="1" workbookViewId="0">
      <selection activeCell="AW2" sqref="AW2"/>
    </sheetView>
  </sheetViews>
  <sheetFormatPr defaultColWidth="9" defaultRowHeight="13.5"/>
  <cols>
    <col min="1" max="1" width="9" style="3"/>
    <col min="2" max="2" width="10.75" style="3" customWidth="1"/>
    <col min="3" max="3" width="7.13333333333333" style="3" customWidth="1"/>
    <col min="4" max="27" width="0.133333333333333" style="3" customWidth="1"/>
    <col min="28" max="34" width="6.25" style="3" hidden="1" customWidth="1"/>
    <col min="35" max="37" width="6.25" style="3" customWidth="1"/>
    <col min="38" max="16384" width="9" style="3"/>
  </cols>
  <sheetData>
    <row r="1" s="1" customFormat="1" ht="31" customHeight="1" spans="1:48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="2" customFormat="1" ht="29" customHeight="1" spans="1:48">
      <c r="A2" s="6" t="s">
        <v>1</v>
      </c>
      <c r="B2" s="6" t="s">
        <v>2</v>
      </c>
      <c r="C2" s="7" t="s">
        <v>3</v>
      </c>
      <c r="D2" s="8">
        <v>45957</v>
      </c>
      <c r="E2" s="8">
        <v>45960</v>
      </c>
      <c r="F2" s="8">
        <v>45964</v>
      </c>
      <c r="G2" s="8">
        <v>45967</v>
      </c>
      <c r="H2" s="8">
        <v>45971</v>
      </c>
      <c r="I2" s="8">
        <v>45974</v>
      </c>
      <c r="J2" s="8">
        <v>45978</v>
      </c>
      <c r="K2" s="8">
        <v>45981</v>
      </c>
      <c r="L2" s="8">
        <v>45985</v>
      </c>
      <c r="M2" s="8">
        <v>45988</v>
      </c>
      <c r="N2" s="8">
        <v>45992</v>
      </c>
      <c r="O2" s="8">
        <v>45995</v>
      </c>
      <c r="P2" s="8">
        <v>45999</v>
      </c>
      <c r="Q2" s="8">
        <v>46002</v>
      </c>
      <c r="R2" s="8">
        <v>46006</v>
      </c>
      <c r="S2" s="8">
        <v>46009</v>
      </c>
      <c r="T2" s="8">
        <v>46013</v>
      </c>
      <c r="U2" s="8">
        <v>46016</v>
      </c>
      <c r="V2" s="8">
        <v>46020</v>
      </c>
      <c r="W2" s="8">
        <v>45661</v>
      </c>
      <c r="X2" s="8">
        <v>45665</v>
      </c>
      <c r="Y2" s="8">
        <v>46034</v>
      </c>
      <c r="Z2" s="8">
        <v>46037</v>
      </c>
      <c r="AA2" s="8">
        <v>46041</v>
      </c>
      <c r="AB2" s="8">
        <v>46044</v>
      </c>
      <c r="AC2" s="8">
        <v>46048</v>
      </c>
      <c r="AD2" s="8">
        <v>46050</v>
      </c>
      <c r="AE2" s="8">
        <v>46090</v>
      </c>
      <c r="AF2" s="8">
        <v>46093</v>
      </c>
      <c r="AG2" s="8">
        <v>46097</v>
      </c>
      <c r="AH2" s="8">
        <v>46100</v>
      </c>
      <c r="AI2" s="8">
        <v>46104</v>
      </c>
      <c r="AJ2" s="8">
        <v>46107</v>
      </c>
      <c r="AK2" s="8">
        <v>46111</v>
      </c>
      <c r="AL2" s="9">
        <v>46114</v>
      </c>
      <c r="AM2" s="9">
        <v>46119</v>
      </c>
      <c r="AN2" s="9">
        <v>46121</v>
      </c>
      <c r="AO2" s="10"/>
      <c r="AP2" s="10"/>
      <c r="AQ2" s="10"/>
      <c r="AR2" s="10"/>
      <c r="AS2" s="10"/>
      <c r="AT2" s="10"/>
      <c r="AU2" s="10" t="s">
        <v>4</v>
      </c>
      <c r="AV2" s="2" t="s">
        <v>5</v>
      </c>
    </row>
    <row r="3" s="3" customFormat="1" spans="1:48">
      <c r="A3" s="11">
        <v>1</v>
      </c>
      <c r="B3" s="12" t="s">
        <v>6</v>
      </c>
      <c r="C3" s="13" t="s">
        <v>7</v>
      </c>
      <c r="D3" s="13">
        <v>3</v>
      </c>
      <c r="E3" s="13">
        <v>2</v>
      </c>
      <c r="F3" s="13">
        <v>3</v>
      </c>
      <c r="G3" s="13">
        <v>2</v>
      </c>
      <c r="H3" s="13">
        <v>3</v>
      </c>
      <c r="I3" s="13">
        <v>2</v>
      </c>
      <c r="J3" s="13">
        <v>3</v>
      </c>
      <c r="K3" s="13">
        <v>2</v>
      </c>
      <c r="L3" s="13">
        <v>3</v>
      </c>
      <c r="M3" s="13">
        <v>2</v>
      </c>
      <c r="N3" s="13">
        <v>3</v>
      </c>
      <c r="O3" s="13">
        <v>2</v>
      </c>
      <c r="P3" s="13">
        <v>3</v>
      </c>
      <c r="Q3" s="13">
        <v>2</v>
      </c>
      <c r="R3" s="13">
        <v>3</v>
      </c>
      <c r="S3" s="13">
        <v>2</v>
      </c>
      <c r="T3" s="13">
        <v>3</v>
      </c>
      <c r="U3" s="13">
        <v>2</v>
      </c>
      <c r="V3" s="13">
        <v>3</v>
      </c>
      <c r="W3" s="13">
        <v>4</v>
      </c>
      <c r="X3" s="13">
        <v>2</v>
      </c>
      <c r="Y3" s="13">
        <v>3</v>
      </c>
      <c r="Z3" s="13">
        <v>2</v>
      </c>
      <c r="AA3" s="13">
        <v>3</v>
      </c>
      <c r="AB3" s="13">
        <v>2</v>
      </c>
      <c r="AC3" s="13">
        <v>3</v>
      </c>
      <c r="AD3" s="13">
        <v>2</v>
      </c>
      <c r="AE3" s="13">
        <v>3</v>
      </c>
      <c r="AF3" s="13">
        <v>2</v>
      </c>
      <c r="AG3" s="13">
        <v>3</v>
      </c>
      <c r="AH3" s="13">
        <v>2</v>
      </c>
      <c r="AI3" s="13">
        <v>1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>
        <f>SUM(D3:AK3)</f>
        <v>80</v>
      </c>
      <c r="AV3" s="3">
        <f>80-AU3</f>
        <v>0</v>
      </c>
    </row>
    <row r="4" s="3" customFormat="1" spans="1:48">
      <c r="A4" s="11">
        <v>2</v>
      </c>
      <c r="B4" s="12" t="s">
        <v>8</v>
      </c>
      <c r="C4" s="13" t="s">
        <v>9</v>
      </c>
      <c r="D4" s="13"/>
      <c r="E4" s="13">
        <v>2</v>
      </c>
      <c r="F4" s="13">
        <v>3</v>
      </c>
      <c r="G4" s="13">
        <v>2</v>
      </c>
      <c r="H4" s="13">
        <v>3</v>
      </c>
      <c r="I4" s="13">
        <v>2</v>
      </c>
      <c r="J4" s="13">
        <v>3</v>
      </c>
      <c r="K4" s="13">
        <v>2</v>
      </c>
      <c r="L4" s="13">
        <v>3</v>
      </c>
      <c r="M4" s="13">
        <v>2</v>
      </c>
      <c r="N4" s="13">
        <v>3</v>
      </c>
      <c r="O4" s="13">
        <v>2</v>
      </c>
      <c r="P4" s="13">
        <v>3</v>
      </c>
      <c r="Q4" s="13">
        <v>2</v>
      </c>
      <c r="R4" s="13">
        <v>3</v>
      </c>
      <c r="S4" s="13">
        <v>2</v>
      </c>
      <c r="T4" s="13">
        <v>3</v>
      </c>
      <c r="U4" s="13">
        <v>2</v>
      </c>
      <c r="V4" s="13">
        <v>3</v>
      </c>
      <c r="W4" s="13">
        <v>4</v>
      </c>
      <c r="X4" s="13">
        <v>2</v>
      </c>
      <c r="Y4" s="13">
        <v>3</v>
      </c>
      <c r="Z4" s="13">
        <v>2</v>
      </c>
      <c r="AA4" s="13">
        <v>3</v>
      </c>
      <c r="AB4" s="13">
        <v>1</v>
      </c>
      <c r="AC4" s="13">
        <v>0</v>
      </c>
      <c r="AD4" s="13">
        <v>0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>
        <f>SUM(D4:AK4)</f>
        <v>60</v>
      </c>
      <c r="AV4" s="3">
        <f t="shared" ref="AV4:AV7" si="0">60-AU4</f>
        <v>0</v>
      </c>
    </row>
    <row r="5" s="3" customFormat="1" ht="27" customHeight="1" spans="1:48">
      <c r="A5" s="11">
        <v>3</v>
      </c>
      <c r="B5" s="14" t="s">
        <v>10</v>
      </c>
      <c r="C5" s="13" t="s">
        <v>9</v>
      </c>
      <c r="D5" s="13"/>
      <c r="E5" s="13"/>
      <c r="F5" s="13">
        <v>3</v>
      </c>
      <c r="G5" s="13">
        <v>2</v>
      </c>
      <c r="H5" s="13">
        <v>3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  <c r="O5" s="15" t="s">
        <v>11</v>
      </c>
      <c r="P5" s="15">
        <v>3</v>
      </c>
      <c r="Q5" s="15">
        <v>2</v>
      </c>
      <c r="R5" s="15" t="s">
        <v>11</v>
      </c>
      <c r="S5" s="15" t="s">
        <v>11</v>
      </c>
      <c r="T5" s="15" t="s">
        <v>11</v>
      </c>
      <c r="U5" s="15" t="s">
        <v>11</v>
      </c>
      <c r="V5" s="15" t="s">
        <v>11</v>
      </c>
      <c r="W5" s="15" t="s">
        <v>11</v>
      </c>
      <c r="X5" s="15" t="s">
        <v>11</v>
      </c>
      <c r="Y5" s="15">
        <v>3</v>
      </c>
      <c r="Z5" s="15">
        <v>2</v>
      </c>
      <c r="AA5" s="15">
        <v>3</v>
      </c>
      <c r="AB5" s="15">
        <v>2</v>
      </c>
      <c r="AC5" s="13">
        <v>3</v>
      </c>
      <c r="AD5" s="13">
        <v>2</v>
      </c>
      <c r="AE5" s="13">
        <v>3</v>
      </c>
      <c r="AF5" s="13">
        <v>2</v>
      </c>
      <c r="AG5" s="13">
        <v>3</v>
      </c>
      <c r="AH5" s="13">
        <v>2</v>
      </c>
      <c r="AI5" s="13">
        <v>3</v>
      </c>
      <c r="AJ5" s="13">
        <v>2</v>
      </c>
      <c r="AK5" s="13">
        <v>3</v>
      </c>
      <c r="AL5" s="13">
        <v>2</v>
      </c>
      <c r="AM5" s="13">
        <v>4</v>
      </c>
      <c r="AN5" s="13"/>
      <c r="AO5" s="13"/>
      <c r="AP5" s="13"/>
      <c r="AQ5" s="13"/>
      <c r="AR5" s="13"/>
      <c r="AS5" s="13"/>
      <c r="AT5" s="13"/>
      <c r="AU5" s="13">
        <f>SUM(D5:AK5)</f>
        <v>46</v>
      </c>
      <c r="AV5" s="3">
        <v>0</v>
      </c>
    </row>
    <row r="6" s="3" customFormat="1" spans="1:48">
      <c r="A6" s="11">
        <v>4</v>
      </c>
      <c r="B6" s="16" t="s">
        <v>12</v>
      </c>
      <c r="C6" s="13" t="s">
        <v>9</v>
      </c>
      <c r="D6" s="13"/>
      <c r="E6" s="13"/>
      <c r="F6" s="13">
        <v>3</v>
      </c>
      <c r="G6" s="13">
        <v>2</v>
      </c>
      <c r="H6" s="13">
        <v>3</v>
      </c>
      <c r="I6" s="13">
        <v>2</v>
      </c>
      <c r="J6" s="13">
        <v>3</v>
      </c>
      <c r="K6" s="13">
        <v>2</v>
      </c>
      <c r="L6" s="13">
        <v>3</v>
      </c>
      <c r="M6" s="13">
        <v>2</v>
      </c>
      <c r="N6" s="13">
        <v>3</v>
      </c>
      <c r="O6" s="13">
        <v>2</v>
      </c>
      <c r="P6" s="13">
        <v>3</v>
      </c>
      <c r="Q6" s="13">
        <v>2</v>
      </c>
      <c r="R6" s="13">
        <v>3</v>
      </c>
      <c r="S6" s="13">
        <v>2</v>
      </c>
      <c r="T6" s="13">
        <v>3</v>
      </c>
      <c r="U6" s="13">
        <v>2</v>
      </c>
      <c r="V6" s="13">
        <v>3</v>
      </c>
      <c r="W6" s="13">
        <v>4</v>
      </c>
      <c r="X6" s="13">
        <v>2</v>
      </c>
      <c r="Y6" s="13">
        <v>3</v>
      </c>
      <c r="Z6" s="13">
        <v>2</v>
      </c>
      <c r="AA6" s="13">
        <v>3</v>
      </c>
      <c r="AB6" s="13">
        <v>2</v>
      </c>
      <c r="AC6" s="13">
        <v>1</v>
      </c>
      <c r="AD6" s="13">
        <v>0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>
        <f>SUM(D6:AK6)</f>
        <v>60</v>
      </c>
      <c r="AV6" s="3">
        <f t="shared" si="0"/>
        <v>0</v>
      </c>
    </row>
    <row r="7" s="3" customFormat="1" spans="1:48">
      <c r="A7" s="11">
        <v>5</v>
      </c>
      <c r="B7" s="17" t="s">
        <v>13</v>
      </c>
      <c r="C7" s="13" t="s">
        <v>9</v>
      </c>
      <c r="D7" s="13"/>
      <c r="E7" s="13"/>
      <c r="F7" s="13"/>
      <c r="G7" s="13"/>
      <c r="H7" s="13"/>
      <c r="I7" s="13"/>
      <c r="J7" s="13"/>
      <c r="K7" s="13"/>
      <c r="L7" s="13">
        <v>3</v>
      </c>
      <c r="M7" s="13">
        <v>2</v>
      </c>
      <c r="N7" s="13">
        <v>3</v>
      </c>
      <c r="O7" s="13">
        <v>2</v>
      </c>
      <c r="P7" s="13">
        <v>3</v>
      </c>
      <c r="Q7" s="13">
        <v>2</v>
      </c>
      <c r="R7" s="13">
        <v>3</v>
      </c>
      <c r="S7" s="13">
        <v>2</v>
      </c>
      <c r="T7" s="13">
        <v>3</v>
      </c>
      <c r="U7" s="13">
        <v>2</v>
      </c>
      <c r="V7" s="13">
        <v>3</v>
      </c>
      <c r="W7" s="13">
        <v>4</v>
      </c>
      <c r="X7" s="13">
        <v>2</v>
      </c>
      <c r="Y7" s="13">
        <v>3</v>
      </c>
      <c r="Z7" s="13">
        <v>2</v>
      </c>
      <c r="AA7" s="13">
        <v>3</v>
      </c>
      <c r="AB7" s="13">
        <v>2</v>
      </c>
      <c r="AC7" s="13">
        <v>3</v>
      </c>
      <c r="AD7" s="13">
        <v>2</v>
      </c>
      <c r="AE7" s="13">
        <v>3</v>
      </c>
      <c r="AF7" s="13">
        <v>2</v>
      </c>
      <c r="AG7" s="13">
        <v>3</v>
      </c>
      <c r="AH7" s="13">
        <v>2</v>
      </c>
      <c r="AI7" s="13">
        <v>1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>
        <f>SUM(D7:AK7)</f>
        <v>60</v>
      </c>
      <c r="AV7" s="3">
        <f t="shared" si="0"/>
        <v>0</v>
      </c>
    </row>
    <row r="8" s="3" customFormat="1" spans="1:48">
      <c r="A8" s="18"/>
      <c r="B8" s="18"/>
    </row>
    <row r="11" spans="1:48">
      <c r="AH11" s="3">
        <f>SUM(AH3:AH10)</f>
        <v>6</v>
      </c>
    </row>
  </sheetData>
  <mergeCells count="1">
    <mergeCell ref="A1:A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2026-03-06T09:04:00Z</dcterms:created>
  <dcterms:modified xsi:type="dcterms:W3CDTF">2026-04-06T07:19:39Z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989A06339CE44BF1A645DB680DA111CE_11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