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tabRatio="803" firstSheet="5" activeTab="17"/>
  </bookViews>
  <sheets>
    <sheet name="老师" sheetId="1" r:id="rId1"/>
    <sheet name="学生" sheetId="9" r:id="rId2"/>
    <sheet name="领奶表" sheetId="5" r:id="rId3"/>
    <sheet name="签收" sheetId="8" r:id="rId4"/>
    <sheet name="配送汇总" sheetId="6" r:id="rId5"/>
    <sheet name="3.9" sheetId="2" r:id="rId6"/>
    <sheet name="3.12" sheetId="7" r:id="rId7"/>
    <sheet name="3.16" sheetId="10" r:id="rId8"/>
    <sheet name="3.19" sheetId="11" r:id="rId9"/>
    <sheet name="3.23（星期一）" sheetId="12" r:id="rId10"/>
    <sheet name="3.26（星期四）" sheetId="13" r:id="rId11"/>
    <sheet name="3.30" sheetId="14" r:id="rId12"/>
    <sheet name="4.2" sheetId="15" r:id="rId13"/>
    <sheet name="4.7" sheetId="16" r:id="rId14"/>
    <sheet name="4.9" sheetId="17" r:id="rId15"/>
    <sheet name="4.13" sheetId="18" r:id="rId16"/>
    <sheet name="4.16" sheetId="19" r:id="rId17"/>
    <sheet name="4.20" sheetId="20" r:id="rId18"/>
    <sheet name="4.23" sheetId="21" r:id="rId19"/>
  </sheets>
  <definedNames>
    <definedName name="_xlnm._FilterDatabase" localSheetId="4" hidden="1">配送汇总!$A$1:$AR$35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<sst xmlns="http://schemas.openxmlformats.org/spreadsheetml/2006/main" count="1211" uniqueCount="97">
  <si>
    <t>2026春季九龙金种子幼儿园教职工巴氏鲜奶补贴订购申请表（20份起送，特殊申请除外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</si>
  <si>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</si>
  <si>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</si>
  <si>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</si>
  <si>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</si>
  <si>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</si>
  <si>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</si>
  <si>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</si>
  <si>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</si>
  <si>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</si>
  <si>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</si>
  <si>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</si>
  <si>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</si>
  <si>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成文秀</t>
  </si>
  <si>
    <t>✔</t>
  </si>
  <si>
    <t>周一送3支，周三送2支</t>
  </si>
  <si>
    <t>已付款</t>
  </si>
  <si>
    <t>莫丽宾</t>
  </si>
  <si>
    <t>陈秀梅</t>
  </si>
  <si>
    <t>周一送6支，周三送4支</t>
  </si>
  <si>
    <t>潘金所</t>
  </si>
  <si>
    <t>周一送5支鲜奶，周三送5支酸奶</t>
  </si>
  <si>
    <t>罗秋萍</t>
  </si>
  <si>
    <t>黄路娣</t>
  </si>
  <si>
    <t>黄宣</t>
  </si>
  <si>
    <t>成美娣</t>
  </si>
  <si>
    <t>周一送3支鲜奶，周三送2支酸奶</t>
  </si>
  <si>
    <t>李路妹</t>
  </si>
  <si>
    <t>黄娟</t>
  </si>
  <si>
    <t>✓</t>
  </si>
  <si>
    <t>李亚媚</t>
  </si>
  <si>
    <t>V</t>
  </si>
  <si>
    <t>罗惠群</t>
  </si>
  <si>
    <t>黎秋菊</t>
  </si>
  <si>
    <t>欧阳丽</t>
  </si>
  <si>
    <t>√</t>
  </si>
  <si>
    <t>陈秀云</t>
  </si>
  <si>
    <t>林爱群</t>
  </si>
  <si>
    <t>罗秀媚</t>
  </si>
  <si>
    <t>星期一:送3支鲜奶，星期三:送3支酸奶</t>
  </si>
  <si>
    <t>罗娇</t>
  </si>
  <si>
    <t>周一送6支，周四送4支</t>
  </si>
  <si>
    <t>线上订单汇总表</t>
  </si>
  <si>
    <t>导出时间2026-03-12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</si>
  <si>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</si>
  <si>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</si>
  <si>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</si>
  <si>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</si>
  <si>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</si>
  <si>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</si>
  <si>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</si>
  <si>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收款账户</t>
  </si>
  <si>
    <t>家长备注</t>
  </si>
  <si>
    <t>商户备注</t>
  </si>
  <si>
    <t>罗子彤</t>
  </si>
  <si>
    <t>英德市 | 九龙镇金种子幼儿园 | 大班 | 一班</t>
  </si>
  <si>
    <t>2026年春季幼儿园巴氏低温鲜奶套餐（100盒）</t>
  </si>
  <si>
    <t>0006010F8463511 | 张荣强</t>
  </si>
  <si>
    <t>刘欣苒</t>
  </si>
  <si>
    <t>英德市 | 九龙镇金种子幼儿园 | 小班 | 二班</t>
  </si>
  <si>
    <t>0006010F3900007 | 安鑫配送（清远市）有限公司</t>
  </si>
  <si>
    <t>英德市九龙金种子幼儿园教师鲜奶领奶表</t>
  </si>
  <si>
    <t>（ ）月份（填写领取数量/盒）</t>
  </si>
  <si>
    <t>姓名</t>
  </si>
  <si>
    <t>九龙金种子幼儿园教师鲜奶赠品领取表</t>
  </si>
  <si>
    <t>配送日期</t>
  </si>
  <si>
    <t>礼品份数
（笔记本+笔）</t>
  </si>
  <si>
    <t>签名</t>
  </si>
  <si>
    <t xml:space="preserve">                                                   英德市九龙金种子幼儿园教师鲜奶领奶表</t>
  </si>
  <si>
    <t>订购份数</t>
  </si>
  <si>
    <t>总计</t>
  </si>
  <si>
    <t>剩余</t>
  </si>
  <si>
    <t>续订已收款</t>
  </si>
  <si>
    <t>九龙金种子幼儿园教师鲜奶领奶表</t>
  </si>
  <si>
    <t>配送天数</t>
  </si>
  <si>
    <t>鲜</t>
  </si>
  <si>
    <t>酸</t>
  </si>
  <si>
    <t>3天</t>
  </si>
  <si>
    <t>6天</t>
  </si>
  <si>
    <t>5天</t>
  </si>
  <si>
    <t>10号新增</t>
  </si>
  <si>
    <t>2天</t>
  </si>
  <si>
    <t>4天</t>
  </si>
  <si>
    <t>补发</t>
  </si>
  <si>
    <t>九龙金种子幼儿园学生鲜奶领奶表</t>
  </si>
  <si>
    <t>暂停配送</t>
  </si>
  <si>
    <r>
      <rPr>
        <sz val="10"/>
        <color rgb="FFFF0000"/>
        <rFont val="宋体"/>
        <charset val="134"/>
      </rPr>
      <t>暂停配送，等通知；</t>
    </r>
    <r>
      <rPr>
        <sz val="10"/>
        <color rgb="FF000000"/>
        <rFont val="宋体"/>
        <charset val="134"/>
      </rPr>
      <t>周一送6支，周三送4支</t>
    </r>
  </si>
  <si>
    <t>周一送3支，周三送7支</t>
  </si>
  <si>
    <t>要酸奶</t>
  </si>
  <si>
    <t>4.7开始配送</t>
  </si>
  <si>
    <t>4.2新增，4.7开始配送</t>
  </si>
  <si>
    <t>周一3鲜，周三3酸</t>
  </si>
  <si>
    <t>周一6支，周四4支</t>
  </si>
  <si>
    <t>周一送3支，周四送2支</t>
  </si>
  <si>
    <t>周一送5支鲜奶，周四送5支酸奶</t>
  </si>
  <si>
    <t>周一送3支鲜奶，周四送2支酸奶</t>
  </si>
  <si>
    <t>周一送3支，周四送7支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</si>
</sst>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0"/>
      <color rgb="FFFF0000"/>
      <name val="宋体"/>
      <charset val="134"/>
    </font>
    <font>
      <sz val="10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rgb="FF000000"/>
      <name val="Calibri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3" borderId="1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" borderId="15" applyNumberFormat="0" applyAlignment="0" applyProtection="0">
      <alignment vertical="center"/>
    </xf>
    <xf numFmtId="0" fontId="38" fillId="5" borderId="16" applyNumberFormat="0" applyAlignment="0" applyProtection="0">
      <alignment vertical="center"/>
    </xf>
    <xf numFmtId="0" fontId="39" fillId="5" borderId="15" applyNumberFormat="0" applyAlignment="0" applyProtection="0">
      <alignment vertical="center"/>
    </xf>
    <xf numFmtId="0" fontId="40" fillId="6" borderId="17" applyNumberFormat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12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0" borderId="0" xfId="0" applyFont="1">
      <alignment vertical="center"/>
    </xf>
    <xf numFmtId="0" fontId="17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horizontal="center" vertical="center"/>
    </xf>
    <xf numFmtId="0" fontId="20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2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Fill="1" applyBorder="1" applyAlignment="1">
      <alignment horizontal="center" vertical="center" wrapText="1"/>
    </xf>
    <xf numFmtId="0" fontId="22" fillId="0" borderId="5" xfId="0" applyNumberFormat="1" applyFont="1" applyFill="1" applyBorder="1" applyAlignment="1">
      <alignment horizontal="center" vertical="center"/>
    </xf>
    <xf numFmtId="0" fontId="22" fillId="0" borderId="5" xfId="0" applyNumberFormat="1" applyFont="1" applyFill="1" applyBorder="1" applyAlignment="1">
      <alignment horizontal="center" vertical="center" wrapText="1"/>
    </xf>
    <xf numFmtId="58" fontId="22" fillId="0" borderId="5" xfId="0" applyNumberFormat="1" applyFont="1" applyFill="1" applyBorder="1" applyAlignment="1">
      <alignment horizontal="center" vertical="center" wrapText="1"/>
    </xf>
    <xf numFmtId="58" fontId="22" fillId="0" borderId="5" xfId="0" applyNumberFormat="1" applyFont="1" applyFill="1" applyBorder="1" applyAlignment="1">
      <alignment horizontal="center" vertical="center"/>
    </xf>
    <xf numFmtId="0" fontId="20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 wrapText="1"/>
    </xf>
    <xf numFmtId="0" fontId="23" fillId="0" borderId="0" xfId="0" applyNumberFormat="1" applyFont="1" applyFill="1" applyBorder="1" applyAlignment="1">
      <alignment vertical="center"/>
    </xf>
    <xf numFmtId="0" fontId="24" fillId="0" borderId="0" xfId="0" applyNumberFormat="1" applyFont="1" applyFill="1" applyBorder="1" applyAlignment="1">
      <alignment horizontal="center" vertical="center" wrapText="1"/>
    </xf>
    <xf numFmtId="0" fontId="23" fillId="0" borderId="0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24" fillId="0" borderId="5" xfId="0" applyNumberFormat="1" applyFont="1" applyFill="1" applyBorder="1" applyAlignment="1">
      <alignment horizontal="center" vertical="center" wrapText="1"/>
    </xf>
    <xf numFmtId="0" fontId="13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3" fillId="0" borderId="5" xfId="0" applyNumberFormat="1" applyFont="1" applyFill="1" applyBorder="1" applyAlignment="1">
      <alignment vertical="center"/>
    </xf>
    <xf numFmtId="0" fontId="12" fillId="0" borderId="5" xfId="0" applyNumberFormat="1" applyFont="1" applyFill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center" vertical="center"/>
    </xf>
    <xf numFmtId="22" fontId="18" fillId="0" borderId="8" xfId="0" applyNumberFormat="1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3" workbookViewId="0">
      <selection activeCell="H23" sqref="H23"/>
    </sheetView>
  </sheetViews>
  <sheetFormatPr defaultColWidth="14" defaultRowHeight="18" customHeight="1"/>
  <cols>
    <col min="4" max="5" width="6.42857142857143" customWidth="1"/>
    <col min="8" max="8" width="29.8571428571429" customWidth="1"/>
  </cols>
  <sheetData>
    <row r="1" ht="20.25" customHeight="1" spans="1:25">
      <c r="A1" s="82" t="s">
        <v>0</v>
      </c>
      <c r="B1" s="82"/>
      <c r="C1" s="82"/>
      <c r="D1" s="82"/>
      <c r="E1" s="82"/>
      <c r="F1" s="82"/>
      <c r="G1" s="82"/>
      <c r="H1" s="82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ht="20.25" customHeight="1" spans="1:25">
      <c r="A2" s="84" t="s">
        <v>1</v>
      </c>
      <c r="B2" s="84"/>
      <c r="C2" s="84"/>
      <c r="D2" s="84"/>
      <c r="E2" s="84"/>
      <c r="F2" s="84"/>
      <c r="G2" s="84"/>
      <c r="H2" s="84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customHeight="1" spans="1:25">
      <c r="A3" s="85" t="s">
        <v>2</v>
      </c>
      <c r="B3" s="85" t="s">
        <v>3</v>
      </c>
      <c r="C3" s="85" t="s">
        <v>4</v>
      </c>
      <c r="D3" s="86" t="s">
        <v>5</v>
      </c>
      <c r="E3" s="86"/>
      <c r="F3" s="86" t="s">
        <v>6</v>
      </c>
      <c r="G3" s="86"/>
      <c r="H3" s="85" t="s">
        <v>7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</row>
    <row r="4" ht="81" spans="1:25">
      <c r="A4" s="85"/>
      <c r="B4" s="85"/>
      <c r="C4" s="85"/>
      <c r="D4" s="87" t="s">
        <v>8</v>
      </c>
      <c r="E4" s="87" t="s">
        <v>9</v>
      </c>
      <c r="F4" s="87" t="s">
        <v>10</v>
      </c>
      <c r="G4" s="87" t="s">
        <v>11</v>
      </c>
      <c r="H4" s="88" t="s">
        <v>12</v>
      </c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</row>
    <row r="5" customHeight="1" spans="1:25">
      <c r="A5" s="12">
        <v>1</v>
      </c>
      <c r="B5" s="12" t="s">
        <v>13</v>
      </c>
      <c r="C5" s="28"/>
      <c r="D5" s="28"/>
      <c r="E5" s="12" t="s">
        <v>14</v>
      </c>
      <c r="F5" s="12">
        <v>350</v>
      </c>
      <c r="G5" s="12">
        <v>210</v>
      </c>
      <c r="H5" s="12" t="s">
        <v>15</v>
      </c>
      <c r="I5" s="83" t="s">
        <v>16</v>
      </c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</row>
    <row r="6" customHeight="1" spans="1:25">
      <c r="A6" s="12">
        <v>2</v>
      </c>
      <c r="B6" s="12" t="s">
        <v>17</v>
      </c>
      <c r="C6" s="12">
        <v>15089733788</v>
      </c>
      <c r="D6" s="12" t="s">
        <v>14</v>
      </c>
      <c r="E6" s="28"/>
      <c r="F6" s="12">
        <v>350</v>
      </c>
      <c r="G6" s="12">
        <v>210</v>
      </c>
      <c r="H6" s="12" t="s">
        <v>15</v>
      </c>
      <c r="I6" s="83" t="s">
        <v>16</v>
      </c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</row>
    <row r="7" customHeight="1" spans="1:25">
      <c r="A7" s="12">
        <v>3</v>
      </c>
      <c r="B7" s="12" t="s">
        <v>18</v>
      </c>
      <c r="C7" s="12">
        <v>13416554248</v>
      </c>
      <c r="D7" s="28"/>
      <c r="E7" s="12" t="s">
        <v>14</v>
      </c>
      <c r="F7" s="12">
        <v>350</v>
      </c>
      <c r="G7" s="12">
        <v>210</v>
      </c>
      <c r="H7" s="12" t="s">
        <v>19</v>
      </c>
      <c r="I7" s="83" t="s">
        <v>16</v>
      </c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</row>
    <row r="8" customHeight="1" spans="1:25">
      <c r="A8" s="12">
        <v>4</v>
      </c>
      <c r="B8" s="12" t="s">
        <v>20</v>
      </c>
      <c r="C8" s="12">
        <v>18825402035</v>
      </c>
      <c r="D8" s="12" t="s">
        <v>14</v>
      </c>
      <c r="E8" s="12" t="s">
        <v>14</v>
      </c>
      <c r="F8" s="12">
        <v>350</v>
      </c>
      <c r="G8" s="12">
        <v>210</v>
      </c>
      <c r="H8" s="12" t="s">
        <v>21</v>
      </c>
      <c r="I8" s="83" t="s">
        <v>16</v>
      </c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</row>
    <row r="9" customHeight="1" spans="1:25">
      <c r="A9" s="12">
        <v>5</v>
      </c>
      <c r="B9" s="12" t="s">
        <v>22</v>
      </c>
      <c r="C9" s="12">
        <v>13729645342</v>
      </c>
      <c r="D9" s="12" t="s">
        <v>14</v>
      </c>
      <c r="E9" s="12" t="s">
        <v>14</v>
      </c>
      <c r="F9" s="12">
        <v>350</v>
      </c>
      <c r="G9" s="12">
        <v>210</v>
      </c>
      <c r="H9" s="12" t="s">
        <v>21</v>
      </c>
      <c r="I9" s="83" t="s">
        <v>16</v>
      </c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</row>
    <row r="10" customHeight="1" spans="1:25">
      <c r="A10" s="12">
        <v>6</v>
      </c>
      <c r="B10" s="12" t="s">
        <v>23</v>
      </c>
      <c r="C10" s="12">
        <v>13620558410</v>
      </c>
      <c r="D10" s="12" t="s">
        <v>14</v>
      </c>
      <c r="E10" s="28"/>
      <c r="F10" s="12">
        <v>350</v>
      </c>
      <c r="G10" s="12">
        <v>210</v>
      </c>
      <c r="H10" s="12" t="s">
        <v>19</v>
      </c>
      <c r="I10" s="83" t="s">
        <v>16</v>
      </c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</row>
    <row r="11" customHeight="1" spans="1:25">
      <c r="A11" s="12">
        <v>7</v>
      </c>
      <c r="B11" s="12" t="s">
        <v>24</v>
      </c>
      <c r="C11" s="28"/>
      <c r="D11" s="12" t="s">
        <v>14</v>
      </c>
      <c r="E11" s="28"/>
      <c r="F11" s="12">
        <v>350</v>
      </c>
      <c r="G11" s="12">
        <v>210</v>
      </c>
      <c r="H11" s="12" t="s">
        <v>19</v>
      </c>
      <c r="I11" s="83" t="s">
        <v>16</v>
      </c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</row>
    <row r="12" customHeight="1" spans="1:25">
      <c r="A12" s="12">
        <v>8</v>
      </c>
      <c r="B12" s="12" t="s">
        <v>25</v>
      </c>
      <c r="C12" s="12">
        <v>15014194992</v>
      </c>
      <c r="D12" s="12" t="s">
        <v>14</v>
      </c>
      <c r="E12" s="12" t="s">
        <v>14</v>
      </c>
      <c r="F12" s="12">
        <v>350</v>
      </c>
      <c r="G12" s="12">
        <v>210</v>
      </c>
      <c r="H12" s="12" t="s">
        <v>26</v>
      </c>
      <c r="I12" s="83" t="s">
        <v>16</v>
      </c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</row>
    <row r="13" customHeight="1" spans="1:25">
      <c r="A13" s="12">
        <v>9</v>
      </c>
      <c r="B13" s="12" t="s">
        <v>27</v>
      </c>
      <c r="C13" s="12">
        <v>13415230243</v>
      </c>
      <c r="D13" s="12" t="s">
        <v>14</v>
      </c>
      <c r="E13" s="12" t="s">
        <v>14</v>
      </c>
      <c r="F13" s="12">
        <v>350</v>
      </c>
      <c r="G13" s="12">
        <v>210</v>
      </c>
      <c r="H13" s="12" t="s">
        <v>21</v>
      </c>
      <c r="I13" s="83" t="s">
        <v>16</v>
      </c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</row>
    <row r="14" customHeight="1" spans="1:25">
      <c r="A14" s="12">
        <v>10</v>
      </c>
      <c r="B14" s="12" t="s">
        <v>28</v>
      </c>
      <c r="C14" s="12">
        <v>1327161601</v>
      </c>
      <c r="D14" s="12" t="s">
        <v>29</v>
      </c>
      <c r="E14" s="12" t="s">
        <v>29</v>
      </c>
      <c r="F14" s="12">
        <v>350</v>
      </c>
      <c r="G14" s="12">
        <v>210</v>
      </c>
      <c r="H14" s="12" t="s">
        <v>26</v>
      </c>
      <c r="I14" s="83" t="s">
        <v>16</v>
      </c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</row>
    <row r="15" customHeight="1" spans="1:25">
      <c r="A15" s="12">
        <v>11</v>
      </c>
      <c r="B15" s="12" t="s">
        <v>30</v>
      </c>
      <c r="C15" s="12">
        <v>13074226826</v>
      </c>
      <c r="D15" s="33" t="s">
        <v>31</v>
      </c>
      <c r="E15" s="28"/>
      <c r="F15" s="12">
        <v>350</v>
      </c>
      <c r="G15" s="12">
        <v>210</v>
      </c>
      <c r="H15" s="12" t="s">
        <v>19</v>
      </c>
      <c r="I15" s="83" t="s">
        <v>16</v>
      </c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customHeight="1" spans="1:25">
      <c r="A16" s="12">
        <v>12</v>
      </c>
      <c r="B16" s="12" t="s">
        <v>32</v>
      </c>
      <c r="C16" s="28"/>
      <c r="D16" s="33" t="s">
        <v>31</v>
      </c>
      <c r="E16" s="28"/>
      <c r="F16" s="12">
        <v>350</v>
      </c>
      <c r="G16" s="12">
        <v>210</v>
      </c>
      <c r="H16" s="12" t="s">
        <v>15</v>
      </c>
      <c r="I16" s="83" t="s">
        <v>16</v>
      </c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customHeight="1" spans="1:25">
      <c r="A17" s="12">
        <v>13</v>
      </c>
      <c r="B17" s="12" t="s">
        <v>33</v>
      </c>
      <c r="C17" s="28"/>
      <c r="D17" s="33" t="s">
        <v>31</v>
      </c>
      <c r="E17" s="28"/>
      <c r="F17" s="12">
        <v>350</v>
      </c>
      <c r="G17" s="12">
        <v>210</v>
      </c>
      <c r="H17" s="12" t="s">
        <v>15</v>
      </c>
      <c r="I17" s="83" t="s">
        <v>16</v>
      </c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</row>
    <row r="18" customHeight="1" spans="1:25">
      <c r="A18" s="12">
        <v>14</v>
      </c>
      <c r="B18" s="12" t="s">
        <v>25</v>
      </c>
      <c r="C18" s="12">
        <v>15014194992</v>
      </c>
      <c r="D18" s="28"/>
      <c r="E18" s="12" t="s">
        <v>14</v>
      </c>
      <c r="F18" s="12">
        <v>350</v>
      </c>
      <c r="G18" s="12">
        <v>210</v>
      </c>
      <c r="H18" s="33" t="s">
        <v>15</v>
      </c>
      <c r="I18" s="83" t="s">
        <v>16</v>
      </c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</row>
    <row r="19" customHeight="1" spans="1:25">
      <c r="A19" s="12">
        <v>15</v>
      </c>
      <c r="B19" s="12" t="s">
        <v>34</v>
      </c>
      <c r="C19" s="12">
        <v>13824913161</v>
      </c>
      <c r="D19" s="12" t="s">
        <v>35</v>
      </c>
      <c r="E19" s="33" t="s">
        <v>35</v>
      </c>
      <c r="F19" s="12">
        <v>350</v>
      </c>
      <c r="G19" s="12">
        <v>210</v>
      </c>
      <c r="H19" s="12" t="s">
        <v>21</v>
      </c>
      <c r="I19" s="83" t="s">
        <v>16</v>
      </c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</row>
    <row r="20" ht="12" spans="1:25">
      <c r="A20" s="12">
        <v>16</v>
      </c>
      <c r="B20" s="28" t="s">
        <v>36</v>
      </c>
      <c r="C20" s="28"/>
      <c r="D20" s="12" t="s">
        <v>35</v>
      </c>
      <c r="E20" s="28"/>
      <c r="F20" s="12">
        <v>350</v>
      </c>
      <c r="G20" s="12">
        <v>210</v>
      </c>
      <c r="H20" s="33" t="s">
        <v>15</v>
      </c>
      <c r="I20" s="83" t="s">
        <v>16</v>
      </c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</row>
    <row r="21" customHeight="1" spans="1:25">
      <c r="A21" s="12">
        <v>17</v>
      </c>
      <c r="B21" s="28" t="s">
        <v>37</v>
      </c>
      <c r="C21" s="28"/>
      <c r="D21" s="28"/>
      <c r="E21" s="12" t="s">
        <v>35</v>
      </c>
      <c r="F21" s="12">
        <v>350</v>
      </c>
      <c r="G21" s="12">
        <v>210</v>
      </c>
      <c r="H21" s="28"/>
      <c r="I21" s="83" t="s">
        <v>16</v>
      </c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</row>
    <row r="22" ht="24" spans="1:25">
      <c r="A22" s="12">
        <v>18</v>
      </c>
      <c r="B22" s="28" t="s">
        <v>38</v>
      </c>
      <c r="C22" s="28"/>
      <c r="D22" s="12" t="s">
        <v>35</v>
      </c>
      <c r="E22" s="12" t="s">
        <v>35</v>
      </c>
      <c r="F22" s="12">
        <v>350</v>
      </c>
      <c r="G22" s="12">
        <v>210</v>
      </c>
      <c r="H22" s="89" t="s">
        <v>39</v>
      </c>
      <c r="I22" s="83" t="s">
        <v>16</v>
      </c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</row>
    <row r="23" customHeight="1" spans="1:25">
      <c r="A23" s="12">
        <v>19</v>
      </c>
      <c r="B23" s="49" t="s">
        <v>40</v>
      </c>
      <c r="C23" s="28"/>
      <c r="D23" s="12" t="s">
        <v>35</v>
      </c>
      <c r="E23" s="28"/>
      <c r="F23" s="12">
        <v>350</v>
      </c>
      <c r="G23" s="12">
        <v>210</v>
      </c>
      <c r="H23" s="90" t="s">
        <v>41</v>
      </c>
      <c r="I23" s="83" t="s">
        <v>16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</row>
    <row r="24" customHeight="1" spans="1:25">
      <c r="A24" s="12">
        <v>20</v>
      </c>
      <c r="B24" s="28"/>
      <c r="C24" s="28"/>
      <c r="D24" s="28"/>
      <c r="E24" s="28"/>
      <c r="F24" s="12">
        <v>350</v>
      </c>
      <c r="G24" s="12">
        <v>210</v>
      </c>
      <c r="H24" s="28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</row>
    <row r="25" customHeight="1" spans="1:25">
      <c r="A25" s="12">
        <v>21</v>
      </c>
      <c r="B25" s="28"/>
      <c r="C25" s="28"/>
      <c r="D25" s="28"/>
      <c r="E25" s="28"/>
      <c r="F25" s="12">
        <v>350</v>
      </c>
      <c r="G25" s="12">
        <v>210</v>
      </c>
      <c r="H25" s="28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</row>
    <row r="26" customHeight="1" spans="1:25">
      <c r="A26" s="12">
        <v>22</v>
      </c>
      <c r="B26" s="28"/>
      <c r="C26" s="28"/>
      <c r="D26" s="28"/>
      <c r="E26" s="28"/>
      <c r="F26" s="12">
        <v>350</v>
      </c>
      <c r="G26" s="12">
        <v>210</v>
      </c>
      <c r="H26" s="28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</row>
    <row r="27" customHeight="1" spans="1:25">
      <c r="A27" s="12">
        <v>23</v>
      </c>
      <c r="B27" s="28"/>
      <c r="C27" s="28"/>
      <c r="D27" s="28"/>
      <c r="E27" s="28"/>
      <c r="F27" s="12">
        <v>350</v>
      </c>
      <c r="G27" s="12">
        <v>210</v>
      </c>
      <c r="H27" s="28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</row>
    <row r="28" customHeight="1" spans="1:25">
      <c r="A28" s="12">
        <v>24</v>
      </c>
      <c r="B28" s="28"/>
      <c r="C28" s="28"/>
      <c r="D28" s="28"/>
      <c r="E28" s="28"/>
      <c r="F28" s="12">
        <v>350</v>
      </c>
      <c r="G28" s="12">
        <v>210</v>
      </c>
      <c r="H28" s="28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</row>
    <row r="29" customHeight="1" spans="1:25">
      <c r="A29" s="12">
        <v>31</v>
      </c>
      <c r="B29" s="28"/>
      <c r="C29" s="28"/>
      <c r="D29" s="28"/>
      <c r="E29" s="28"/>
      <c r="F29" s="12">
        <v>350</v>
      </c>
      <c r="G29" s="12">
        <v>210</v>
      </c>
      <c r="H29" s="28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</row>
    <row r="30" customHeight="1" spans="1:25">
      <c r="A30" s="12">
        <v>32</v>
      </c>
      <c r="B30" s="28"/>
      <c r="C30" s="28"/>
      <c r="D30" s="28"/>
      <c r="E30" s="28"/>
      <c r="F30" s="12">
        <v>350</v>
      </c>
      <c r="G30" s="12">
        <v>210</v>
      </c>
      <c r="H30" s="28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</row>
    <row r="31" customHeight="1" spans="1:25">
      <c r="A31" s="12">
        <v>33</v>
      </c>
      <c r="B31" s="28"/>
      <c r="C31" s="28"/>
      <c r="D31" s="28"/>
      <c r="E31" s="28"/>
      <c r="F31" s="12">
        <v>350</v>
      </c>
      <c r="G31" s="12">
        <v>210</v>
      </c>
      <c r="H31" s="28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</row>
    <row r="32" customHeight="1" spans="1:25">
      <c r="A32" s="12">
        <v>34</v>
      </c>
      <c r="B32" s="28"/>
      <c r="C32" s="28"/>
      <c r="D32" s="28"/>
      <c r="E32" s="28"/>
      <c r="F32" s="12">
        <v>350</v>
      </c>
      <c r="G32" s="12">
        <v>210</v>
      </c>
      <c r="H32" s="28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</row>
    <row r="33" customHeight="1" spans="1:25">
      <c r="A33" s="12">
        <v>35</v>
      </c>
      <c r="B33" s="28"/>
      <c r="C33" s="28"/>
      <c r="D33" s="28"/>
      <c r="E33" s="28"/>
      <c r="F33" s="12">
        <v>350</v>
      </c>
      <c r="G33" s="12">
        <v>210</v>
      </c>
      <c r="H33" s="28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</row>
    <row r="34" customHeight="1" spans="1:25">
      <c r="A34" s="12">
        <v>36</v>
      </c>
      <c r="B34" s="28"/>
      <c r="C34" s="28"/>
      <c r="D34" s="28"/>
      <c r="E34" s="28"/>
      <c r="F34" s="12">
        <v>350</v>
      </c>
      <c r="G34" s="12">
        <v>210</v>
      </c>
      <c r="H34" s="28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</row>
    <row r="35" customHeight="1" spans="1:25">
      <c r="A35" s="12">
        <v>37</v>
      </c>
      <c r="B35" s="28"/>
      <c r="C35" s="28"/>
      <c r="D35" s="28"/>
      <c r="E35" s="28"/>
      <c r="F35" s="12">
        <v>350</v>
      </c>
      <c r="G35" s="12">
        <v>210</v>
      </c>
      <c r="H35" s="28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</row>
    <row r="36" customHeight="1" spans="1:25">
      <c r="A36" s="12">
        <v>38</v>
      </c>
      <c r="B36" s="28"/>
      <c r="C36" s="28"/>
      <c r="D36" s="28"/>
      <c r="E36" s="28"/>
      <c r="F36" s="12">
        <v>350</v>
      </c>
      <c r="G36" s="12">
        <v>210</v>
      </c>
      <c r="H36" s="28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</row>
    <row r="37" customHeight="1" spans="1:25">
      <c r="A37" s="12">
        <v>39</v>
      </c>
      <c r="B37" s="28"/>
      <c r="C37" s="28"/>
      <c r="D37" s="28"/>
      <c r="E37" s="28"/>
      <c r="F37" s="12">
        <v>350</v>
      </c>
      <c r="G37" s="12">
        <v>210</v>
      </c>
      <c r="H37" s="28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</row>
    <row r="38" customHeight="1" spans="1:25">
      <c r="A38" s="12">
        <v>40</v>
      </c>
      <c r="B38" s="28"/>
      <c r="C38" s="28"/>
      <c r="D38" s="28"/>
      <c r="E38" s="28"/>
      <c r="F38" s="12">
        <v>350</v>
      </c>
      <c r="G38" s="12">
        <v>210</v>
      </c>
      <c r="H38" s="28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</row>
    <row r="39" customHeight="1" spans="1:25">
      <c r="A39" s="12">
        <v>41</v>
      </c>
      <c r="B39" s="28"/>
      <c r="C39" s="28"/>
      <c r="D39" s="28"/>
      <c r="E39" s="28"/>
      <c r="F39" s="12">
        <v>350</v>
      </c>
      <c r="G39" s="12">
        <v>210</v>
      </c>
      <c r="H39" s="28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</row>
    <row r="40" customHeight="1" spans="1:25">
      <c r="A40" s="12">
        <v>42</v>
      </c>
      <c r="B40" s="28"/>
      <c r="C40" s="28"/>
      <c r="D40" s="28"/>
      <c r="E40" s="28"/>
      <c r="F40" s="12">
        <v>350</v>
      </c>
      <c r="G40" s="12">
        <v>210</v>
      </c>
      <c r="H40" s="28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</row>
    <row r="41" customHeight="1" spans="1:25">
      <c r="A41" s="12">
        <v>43</v>
      </c>
      <c r="B41" s="28"/>
      <c r="C41" s="28"/>
      <c r="D41" s="28"/>
      <c r="E41" s="28"/>
      <c r="F41" s="12">
        <v>350</v>
      </c>
      <c r="G41" s="12">
        <v>210</v>
      </c>
      <c r="H41" s="28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</row>
    <row r="42" customHeight="1" spans="1:25">
      <c r="A42" s="12">
        <v>44</v>
      </c>
      <c r="B42" s="28"/>
      <c r="C42" s="28"/>
      <c r="D42" s="28"/>
      <c r="E42" s="28"/>
      <c r="F42" s="12">
        <v>350</v>
      </c>
      <c r="G42" s="12">
        <v>210</v>
      </c>
      <c r="H42" s="28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</row>
    <row r="43" customHeight="1" spans="1:25">
      <c r="A43" s="12">
        <v>45</v>
      </c>
      <c r="B43" s="28"/>
      <c r="C43" s="28"/>
      <c r="D43" s="28"/>
      <c r="E43" s="28"/>
      <c r="F43" s="12">
        <v>350</v>
      </c>
      <c r="G43" s="12">
        <v>210</v>
      </c>
      <c r="H43" s="28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</row>
    <row r="44" customHeight="1" spans="1:25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</row>
    <row r="45" customHeight="1" spans="1:2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</row>
    <row r="46" customHeight="1" spans="1:25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</row>
    <row r="47" customHeight="1" spans="1:25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</row>
    <row r="48" customHeight="1" spans="1:25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</row>
    <row r="49" customHeight="1" spans="1:25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</row>
    <row r="50" customHeight="1" spans="1:25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</row>
    <row r="51" customHeight="1" spans="1:25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</row>
    <row r="52" customHeight="1" spans="1:25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</row>
    <row r="53" customHeight="1" spans="1:25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</row>
    <row r="54" customHeight="1" spans="1:25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</row>
    <row r="55" customHeight="1" spans="1:2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</row>
    <row r="56" customHeight="1" spans="1:25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</row>
    <row r="57" customHeight="1" spans="1:25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</row>
    <row r="58" customHeight="1" spans="1:25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</row>
    <row r="59" customHeight="1" spans="1:25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</row>
    <row r="60" customHeight="1" spans="1:25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</row>
    <row r="61" customHeight="1" spans="1:25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</row>
    <row r="62" customHeight="1" spans="1:25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</row>
    <row r="63" customHeight="1" spans="1:25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</row>
    <row r="64" customHeight="1" spans="1:25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</row>
    <row r="65" customHeight="1" spans="1:2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</row>
    <row r="66" customHeight="1" spans="1:25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</row>
    <row r="67" customHeight="1" spans="1:25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</row>
    <row r="68" customHeight="1" spans="1:25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</row>
    <row r="69" customHeight="1" spans="1:2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</row>
    <row r="70" customHeight="1" spans="1:25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</row>
    <row r="71" customHeight="1" spans="1:25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</row>
    <row r="72" customHeight="1" spans="1:25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</row>
    <row r="73" customHeight="1" spans="1:25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</row>
    <row r="74" customHeight="1" spans="1:25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</row>
    <row r="75" customHeight="1" spans="1:2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</row>
    <row r="76" customHeight="1" spans="1:25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</row>
    <row r="77" customHeight="1" spans="1:25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</row>
    <row r="78" customHeight="1" spans="1:25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</row>
    <row r="79" customHeight="1" spans="1:25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</row>
    <row r="80" customHeight="1" spans="1:25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</row>
    <row r="81" customHeight="1" spans="1:25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</row>
    <row r="82" customHeight="1" spans="1:25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</row>
    <row r="83" customHeight="1" spans="1:25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</row>
    <row r="84" customHeight="1" spans="1:25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</row>
    <row r="85" customHeight="1" spans="1:2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</row>
    <row r="86" customHeight="1" spans="1:25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</row>
    <row r="87" customHeight="1" spans="1:25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</row>
    <row r="88" customHeight="1" spans="1:25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</row>
    <row r="89" customHeight="1" spans="1:25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</row>
    <row r="90" customHeight="1" spans="1:25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</row>
    <row r="91" customHeight="1" spans="1:25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</row>
    <row r="92" customHeight="1" spans="1:25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</row>
    <row r="93" customHeight="1" spans="1:25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</row>
    <row r="94" customHeight="1" spans="1:25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</row>
    <row r="95" customHeight="1" spans="1:2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</row>
    <row r="96" customHeight="1" spans="1:25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</row>
    <row r="97" customHeight="1" spans="1:25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</row>
    <row r="98" customHeight="1" spans="1:25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</row>
    <row r="99" customHeight="1" spans="1:25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</row>
    <row r="100" customHeight="1" spans="1:25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</row>
    <row r="101" customHeight="1" spans="1:25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</row>
    <row r="102" customHeight="1" spans="1:25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</row>
    <row r="103" customHeight="1" spans="1:25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</row>
    <row r="104" customHeight="1" spans="1:25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</row>
    <row r="105" customHeight="1" spans="1:2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</row>
    <row r="106" customHeight="1" spans="1:25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</row>
    <row r="107" customHeight="1" spans="1:25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</row>
    <row r="108" customHeight="1" spans="1:25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</row>
    <row r="109" customHeight="1" spans="1:25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</row>
    <row r="110" customHeight="1" spans="1:25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</row>
    <row r="111" customHeight="1" spans="1:25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</row>
    <row r="112" customHeight="1" spans="1:25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</row>
    <row r="113" customHeight="1" spans="1:25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</row>
    <row r="114" customHeight="1" spans="1:25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</row>
    <row r="115" customHeight="1" spans="1:2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</row>
    <row r="116" customHeight="1" spans="1:25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</row>
    <row r="117" customHeight="1" spans="1:25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</row>
    <row r="118" customHeight="1" spans="1:25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</row>
    <row r="119" customHeight="1" spans="1:25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</row>
    <row r="120" customHeight="1" spans="1:25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</row>
    <row r="121" customHeight="1" spans="1:25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</row>
    <row r="122" customHeight="1" spans="1:25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</row>
    <row r="123" customHeight="1" spans="1:25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</row>
    <row r="124" customHeight="1" spans="1:25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</row>
    <row r="125" customHeight="1" spans="1: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</row>
    <row r="126" customHeight="1" spans="1:25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</row>
    <row r="127" customHeight="1" spans="1:25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</row>
    <row r="128" customHeight="1" spans="1:25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</row>
    <row r="129" customHeight="1" spans="1:25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</row>
    <row r="130" customHeight="1" spans="1:25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</row>
    <row r="131" customHeight="1" spans="1:25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</row>
    <row r="132" customHeight="1" spans="1:25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</row>
    <row r="133" customHeight="1" spans="1:25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</row>
    <row r="134" customHeight="1" spans="1:25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</row>
    <row r="135" customHeight="1" spans="1:2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</row>
    <row r="136" customHeight="1" spans="1:25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</row>
    <row r="137" customHeight="1" spans="1:25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</row>
    <row r="138" customHeight="1" spans="1:25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</row>
    <row r="139" customHeight="1" spans="1:25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</row>
    <row r="140" customHeight="1" spans="1:25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</row>
    <row r="141" customHeight="1" spans="1:25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</row>
    <row r="142" customHeight="1" spans="1:25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</row>
    <row r="143" customHeight="1" spans="1:25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</row>
    <row r="144" customHeight="1" spans="1:25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</row>
    <row r="145" customHeight="1" spans="1:2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</row>
    <row r="146" customHeight="1" spans="1:25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</row>
    <row r="147" customHeight="1" spans="1:25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</row>
    <row r="148" customHeight="1" spans="1:25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</row>
    <row r="149" customHeight="1" spans="1:25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</row>
    <row r="150" customHeight="1" spans="1:25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</row>
    <row r="151" customHeight="1" spans="1:25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</row>
    <row r="152" customHeight="1" spans="1:25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</row>
    <row r="153" customHeight="1" spans="1:25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</row>
    <row r="154" customHeight="1" spans="1:25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</row>
    <row r="155" customHeight="1" spans="1:2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</row>
    <row r="156" customHeight="1" spans="1:25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</row>
    <row r="157" customHeight="1" spans="1:25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</row>
    <row r="158" customHeight="1" spans="1:25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</row>
    <row r="159" customHeight="1" spans="1:25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</row>
    <row r="160" customHeight="1" spans="1:25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</row>
    <row r="161" customHeight="1" spans="1:25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</row>
    <row r="162" customHeight="1" spans="1:25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</row>
    <row r="163" customHeight="1" spans="1:25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</row>
    <row r="164" customHeight="1" spans="1:25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</row>
    <row r="165" customHeight="1" spans="1:2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</row>
    <row r="166" customHeight="1" spans="1:25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</row>
    <row r="167" customHeight="1" spans="1:25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</row>
    <row r="168" customHeight="1" spans="1:25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</row>
    <row r="169" customHeight="1" spans="1:25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</row>
    <row r="170" customHeight="1" spans="1:25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</row>
    <row r="171" customHeight="1" spans="1:25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</row>
    <row r="172" customHeight="1" spans="1:25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</row>
    <row r="173" customHeight="1" spans="1:25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</row>
    <row r="174" customHeight="1" spans="1:25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</row>
    <row r="175" customHeight="1" spans="1:2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</row>
    <row r="176" customHeight="1" spans="1:25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</row>
    <row r="177" customHeight="1" spans="1:25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</row>
    <row r="178" customHeight="1" spans="1:25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</row>
    <row r="179" customHeight="1" spans="1:25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</row>
    <row r="180" customHeight="1" spans="1:25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</row>
    <row r="181" customHeight="1" spans="1:25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</row>
    <row r="182" customHeight="1" spans="1:25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</row>
    <row r="183" customHeight="1" spans="1:25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</row>
    <row r="184" customHeight="1" spans="1:25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</row>
    <row r="185" customHeight="1" spans="1:2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</row>
    <row r="186" customHeight="1" spans="1:25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</row>
    <row r="187" customHeight="1" spans="1:25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</row>
    <row r="188" customHeight="1" spans="1:25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</row>
    <row r="189" customHeight="1" spans="1:25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C4" sqref="C4:C5"/>
    </sheetView>
  </sheetViews>
  <sheetFormatPr defaultColWidth="9.14285714285714" defaultRowHeight="12" outlineLevelRow="4"/>
  <cols>
    <col min="1" max="1" width="5.85714285714286" customWidth="1"/>
    <col min="2" max="2" width="11.7142857142857" customWidth="1"/>
    <col min="3" max="3" width="10.1428571428571" customWidth="1"/>
    <col min="4" max="4" width="45.2857142857143" customWidth="1"/>
    <col min="5" max="5" width="12.8571428571429" customWidth="1"/>
    <col min="6" max="6" width="49.4285714285714" customWidth="1"/>
    <col min="7" max="7" width="10.1428571428571" customWidth="1"/>
    <col min="8" max="8" width="14.8571428571429" customWidth="1"/>
    <col min="9" max="9" width="50.8571428571429" customWidth="1"/>
    <col min="10" max="11" width="10.1428571428571" customWidth="1"/>
  </cols>
  <sheetData>
    <row r="1" ht="16.5" customHeight="1" spans="1:11">
      <c r="A1" s="43" t="s">
        <v>42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ht="16.5" customHeight="1" spans="1:11">
      <c r="A2" s="43" t="s">
        <v>43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ht="15.75" spans="1:11">
      <c r="A3" s="43" t="s">
        <v>2</v>
      </c>
      <c r="B3" s="43" t="s">
        <v>44</v>
      </c>
      <c r="C3" s="43" t="s">
        <v>45</v>
      </c>
      <c r="D3" s="43" t="s">
        <v>46</v>
      </c>
      <c r="E3" s="43" t="s">
        <v>47</v>
      </c>
      <c r="F3" s="43" t="s">
        <v>48</v>
      </c>
      <c r="G3" s="43" t="s">
        <v>49</v>
      </c>
      <c r="H3" s="43" t="s">
        <v>50</v>
      </c>
      <c r="I3" s="43" t="s">
        <v>51</v>
      </c>
      <c r="J3" s="43" t="s">
        <v>52</v>
      </c>
      <c r="K3" s="43" t="s">
        <v>53</v>
      </c>
    </row>
    <row r="4" ht="15.75" spans="1:11">
      <c r="A4" s="43">
        <v>1</v>
      </c>
      <c r="B4" s="43">
        <v>1.5302026030321e+22</v>
      </c>
      <c r="C4" s="43" t="s">
        <v>54</v>
      </c>
      <c r="D4" s="43" t="s">
        <v>55</v>
      </c>
      <c r="E4" s="43">
        <v>13415274420</v>
      </c>
      <c r="F4" s="43" t="s">
        <v>56</v>
      </c>
      <c r="G4" s="43">
        <v>350</v>
      </c>
      <c r="H4" s="81">
        <v>46084.8796064815</v>
      </c>
      <c r="I4" s="43" t="s">
        <v>57</v>
      </c>
      <c r="J4" s="43"/>
      <c r="K4" s="43"/>
    </row>
    <row r="5" ht="15.75" spans="1:11">
      <c r="A5" s="43">
        <v>2</v>
      </c>
      <c r="B5" s="43">
        <v>1.5302026030117e+22</v>
      </c>
      <c r="C5" s="43" t="s">
        <v>58</v>
      </c>
      <c r="D5" s="43" t="s">
        <v>59</v>
      </c>
      <c r="E5" s="43">
        <v>15989904290</v>
      </c>
      <c r="F5" s="43" t="s">
        <v>56</v>
      </c>
      <c r="G5" s="43">
        <v>350</v>
      </c>
      <c r="H5" s="81">
        <v>46082.7115509259</v>
      </c>
      <c r="I5" s="43" t="s">
        <v>60</v>
      </c>
      <c r="J5" s="43"/>
      <c r="K5" s="43"/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73" customWidth="1"/>
    <col min="2" max="2" width="13.7142857142857" style="73" customWidth="1"/>
    <col min="3" max="3" width="4.42857142857143" style="71" customWidth="1"/>
    <col min="4" max="6" width="4" style="71" customWidth="1"/>
    <col min="7" max="7" width="3.87619047619048" style="71" customWidth="1"/>
    <col min="8" max="12" width="4.28571428571429" style="71" customWidth="1"/>
    <col min="13" max="13" width="4.00952380952381" style="71" customWidth="1"/>
    <col min="14" max="14" width="4.28571428571429" style="71" customWidth="1"/>
    <col min="15" max="15" width="4.00952380952381" style="71" customWidth="1"/>
    <col min="16" max="16" width="3.87619047619048" style="71" customWidth="1"/>
    <col min="17" max="17" width="4.28571428571429" style="71" customWidth="1"/>
    <col min="18" max="19" width="4.14285714285714" style="71" customWidth="1"/>
    <col min="20" max="20" width="4.57142857142857" style="71" customWidth="1"/>
    <col min="21" max="25" width="4.14285714285714" style="71" customWidth="1"/>
    <col min="26" max="27" width="4.57142857142857" style="71" customWidth="1"/>
    <col min="28" max="28" width="4.16190476190476" style="71" customWidth="1"/>
    <col min="29" max="30" width="4.28571428571429" style="71" customWidth="1"/>
    <col min="31" max="31" width="4.00952380952381" style="71" customWidth="1"/>
    <col min="32" max="32" width="3.85714285714286" style="71" customWidth="1"/>
    <col min="33" max="34" width="4.28571428571429" style="71" customWidth="1"/>
    <col min="35" max="36" width="4.57142857142857" style="71" customWidth="1"/>
    <col min="37" max="37" width="4.28571428571429" style="71" customWidth="1"/>
    <col min="38" max="38" width="3.85714285714286" style="71" customWidth="1"/>
    <col min="39" max="16384" width="10.2857142857143" style="71"/>
  </cols>
  <sheetData>
    <row r="1" s="71" customFormat="1" ht="26" customHeight="1" spans="1:38">
      <c r="A1" s="67" t="s">
        <v>61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</row>
    <row r="2" s="71" customFormat="1" ht="26" customHeight="1" spans="1:38">
      <c r="A2" s="74" t="s">
        <v>62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</row>
    <row r="3" s="72" customFormat="1" ht="40" customHeight="1" spans="1:38">
      <c r="A3" s="75" t="s">
        <v>2</v>
      </c>
      <c r="B3" s="75" t="s">
        <v>63</v>
      </c>
      <c r="C3" s="68">
        <v>1</v>
      </c>
      <c r="D3" s="68">
        <v>2</v>
      </c>
      <c r="E3" s="68">
        <v>3</v>
      </c>
      <c r="F3" s="68">
        <v>4</v>
      </c>
      <c r="G3" s="68">
        <v>5</v>
      </c>
      <c r="H3" s="68">
        <v>6</v>
      </c>
      <c r="I3" s="68">
        <v>7</v>
      </c>
      <c r="J3" s="68">
        <v>8</v>
      </c>
      <c r="K3" s="68">
        <v>9</v>
      </c>
      <c r="L3" s="68">
        <v>10</v>
      </c>
      <c r="M3" s="68">
        <v>11</v>
      </c>
      <c r="N3" s="68">
        <v>12</v>
      </c>
      <c r="O3" s="68">
        <v>13</v>
      </c>
      <c r="P3" s="68">
        <v>14</v>
      </c>
      <c r="Q3" s="68">
        <v>15</v>
      </c>
      <c r="R3" s="68">
        <v>16</v>
      </c>
      <c r="S3" s="68">
        <v>17</v>
      </c>
      <c r="T3" s="68">
        <v>18</v>
      </c>
      <c r="U3" s="68">
        <v>19</v>
      </c>
      <c r="V3" s="68">
        <v>20</v>
      </c>
      <c r="W3" s="68">
        <v>21</v>
      </c>
      <c r="X3" s="68">
        <v>22</v>
      </c>
      <c r="Y3" s="68">
        <v>23</v>
      </c>
      <c r="Z3" s="68">
        <v>24</v>
      </c>
      <c r="AA3" s="68">
        <v>25</v>
      </c>
      <c r="AB3" s="68">
        <v>26</v>
      </c>
      <c r="AC3" s="68">
        <v>27</v>
      </c>
      <c r="AD3" s="68">
        <v>28</v>
      </c>
      <c r="AE3" s="68">
        <v>29</v>
      </c>
      <c r="AF3" s="68">
        <v>30</v>
      </c>
      <c r="AG3" s="68"/>
      <c r="AH3" s="68"/>
      <c r="AI3" s="68"/>
      <c r="AJ3" s="68"/>
      <c r="AK3" s="68"/>
      <c r="AL3" s="68"/>
    </row>
    <row r="4" s="71" customFormat="1" ht="25" customHeight="1" spans="1:38">
      <c r="A4" s="76">
        <v>1</v>
      </c>
      <c r="B4" s="77"/>
      <c r="C4" s="76"/>
      <c r="D4" s="76"/>
      <c r="E4" s="76"/>
      <c r="F4" s="76"/>
      <c r="G4" s="76"/>
      <c r="H4" s="7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</row>
    <row r="5" s="71" customFormat="1" ht="25" customHeight="1" spans="1:38">
      <c r="A5" s="76">
        <v>2</v>
      </c>
      <c r="B5" s="77"/>
      <c r="C5" s="76"/>
      <c r="D5" s="76"/>
      <c r="E5" s="76"/>
      <c r="F5" s="76"/>
      <c r="G5" s="76"/>
      <c r="H5" s="7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</row>
    <row r="6" s="71" customFormat="1" ht="25" customHeight="1" spans="1:38">
      <c r="A6" s="76">
        <v>3</v>
      </c>
      <c r="B6" s="77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</row>
    <row r="7" s="71" customFormat="1" ht="25" customHeight="1" spans="1:38">
      <c r="A7" s="76">
        <v>13</v>
      </c>
      <c r="B7" s="77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</row>
    <row r="8" s="71" customFormat="1" ht="25" customHeight="1" spans="1:38">
      <c r="A8" s="76">
        <v>14</v>
      </c>
      <c r="B8" s="77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</row>
    <row r="9" s="71" customFormat="1" ht="25" customHeight="1" spans="1:38">
      <c r="A9" s="76">
        <v>15</v>
      </c>
      <c r="B9" s="77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</row>
    <row r="10" s="71" customFormat="1" ht="25" customHeight="1" spans="1:38">
      <c r="A10" s="76">
        <v>16</v>
      </c>
      <c r="B10" s="77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</row>
    <row r="11" s="71" customFormat="1" ht="25" customHeight="1" spans="1:38">
      <c r="A11" s="76">
        <v>17</v>
      </c>
      <c r="B11" s="79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</row>
    <row r="12" s="71" customFormat="1" ht="25" customHeight="1" spans="1:38">
      <c r="A12" s="76">
        <v>18</v>
      </c>
      <c r="B12" s="79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</row>
    <row r="13" s="71" customFormat="1" ht="15" customHeight="1" spans="1:38">
      <c r="A13" s="80"/>
      <c r="B13" s="80"/>
    </row>
    <row r="14" s="71" customFormat="1" ht="15" customHeight="1" spans="1:38">
      <c r="A14" s="80"/>
      <c r="B14" s="80"/>
    </row>
    <row r="15" s="71" customFormat="1" ht="15" customHeight="1" spans="1:38">
      <c r="A15" s="80"/>
      <c r="B15" s="80"/>
    </row>
    <row r="16" s="71" customFormat="1" ht="15" customHeight="1" spans="1:38">
      <c r="A16" s="80"/>
      <c r="B16" s="80"/>
    </row>
    <row r="17" s="71" customFormat="1" ht="15" customHeight="1" spans="1:2">
      <c r="A17" s="80"/>
      <c r="B17" s="80"/>
    </row>
    <row r="18" s="71" customFormat="1" ht="15" customHeight="1" spans="1:2">
      <c r="A18" s="80"/>
      <c r="B18" s="80"/>
    </row>
    <row r="19" s="71" customFormat="1" ht="15" customHeight="1" spans="1:2">
      <c r="A19" s="80"/>
      <c r="B19" s="80"/>
    </row>
    <row r="20" s="71" customFormat="1" ht="15" customHeight="1" spans="1:2">
      <c r="A20" s="80"/>
      <c r="B20" s="80"/>
    </row>
    <row r="21" s="71" customFormat="1" ht="15" customHeight="1" spans="1:2">
      <c r="A21" s="80"/>
      <c r="B21" s="80"/>
    </row>
    <row r="22" s="71" customFormat="1" ht="15" customHeight="1" spans="1:2">
      <c r="A22" s="80"/>
      <c r="B22" s="80"/>
    </row>
    <row r="23" s="71" customFormat="1" ht="15" customHeight="1" spans="1:2">
      <c r="A23" s="80"/>
      <c r="B23" s="80"/>
    </row>
    <row r="24" s="71" customFormat="1" ht="15" customHeight="1" spans="1:2">
      <c r="A24" s="80"/>
      <c r="B24" s="80"/>
    </row>
    <row r="25" s="71" customFormat="1" ht="15" customHeight="1" spans="1:2">
      <c r="A25" s="80"/>
      <c r="B25" s="80"/>
    </row>
    <row r="26" s="71" customFormat="1" ht="15" customHeight="1" spans="1:2">
      <c r="A26" s="80"/>
      <c r="B26" s="80"/>
    </row>
    <row r="27" s="71" customFormat="1" ht="15" customHeight="1" spans="1:2">
      <c r="A27" s="80"/>
      <c r="B27" s="80"/>
    </row>
    <row r="28" s="71" customFormat="1" ht="15" customHeight="1" spans="1:2">
      <c r="A28" s="80"/>
      <c r="B28" s="80"/>
    </row>
    <row r="29" s="71" customFormat="1" ht="15" customHeight="1" spans="1:2">
      <c r="A29" s="80"/>
      <c r="B29" s="80"/>
    </row>
    <row r="30" s="71" customFormat="1" ht="15" customHeight="1" spans="1:2">
      <c r="A30" s="80"/>
      <c r="B30" s="80"/>
    </row>
    <row r="31" s="71" customFormat="1" ht="15" customHeight="1" spans="1:2">
      <c r="A31" s="80"/>
      <c r="B31" s="80"/>
    </row>
    <row r="32" s="71" customFormat="1" ht="15" customHeight="1" spans="1:2">
      <c r="A32" s="80"/>
      <c r="B32" s="80"/>
    </row>
    <row r="33" s="71" customFormat="1" ht="15" customHeight="1" spans="1:2">
      <c r="A33" s="80"/>
      <c r="B33" s="80"/>
    </row>
    <row r="34" s="71" customFormat="1" ht="15" customHeight="1" spans="1:2">
      <c r="A34" s="80"/>
      <c r="B34" s="80"/>
    </row>
    <row r="35" s="71" customFormat="1" ht="15" customHeight="1" spans="1:2">
      <c r="A35" s="80"/>
      <c r="B35" s="80"/>
    </row>
    <row r="36" s="71" customFormat="1" ht="15" customHeight="1" spans="1:2">
      <c r="A36" s="80"/>
      <c r="B36" s="80"/>
    </row>
    <row r="37" s="71" customFormat="1" ht="15" customHeight="1" spans="1:2">
      <c r="A37" s="80"/>
      <c r="B37" s="80"/>
    </row>
    <row r="38" s="71" customFormat="1" ht="15" customHeight="1" spans="1:2">
      <c r="A38" s="80"/>
      <c r="B38" s="80"/>
    </row>
    <row r="39" s="71" customFormat="1" ht="15" customHeight="1" spans="1:2">
      <c r="A39" s="80"/>
      <c r="B39" s="80"/>
    </row>
    <row r="40" s="71" customFormat="1" ht="15" customHeight="1" spans="1:2">
      <c r="A40" s="80"/>
      <c r="B40" s="80"/>
    </row>
    <row r="41" s="71" customFormat="1" ht="15" customHeight="1" spans="1:2">
      <c r="A41" s="80"/>
      <c r="B41" s="80"/>
    </row>
    <row r="42" s="71" customFormat="1" ht="15" customHeight="1" spans="1:2">
      <c r="A42" s="80"/>
      <c r="B42" s="80"/>
    </row>
    <row r="43" s="71" customFormat="1" ht="15" customHeight="1" spans="1:2">
      <c r="A43" s="80"/>
      <c r="B43" s="80"/>
    </row>
    <row r="44" s="71" customFormat="1" ht="15" customHeight="1" spans="1:2">
      <c r="A44" s="80"/>
      <c r="B44" s="80"/>
    </row>
    <row r="45" s="71" customFormat="1" ht="15" customHeight="1" spans="1:2">
      <c r="A45" s="80"/>
      <c r="B45" s="80"/>
    </row>
    <row r="46" s="71" customFormat="1" ht="15" customHeight="1" spans="1:2">
      <c r="A46" s="80"/>
      <c r="B46" s="80"/>
    </row>
    <row r="47" s="71" customFormat="1" ht="15" customHeight="1" spans="1:2">
      <c r="A47" s="80"/>
      <c r="B47" s="80"/>
    </row>
    <row r="48" s="71" customFormat="1" ht="15" customHeight="1" spans="1:2">
      <c r="A48" s="80"/>
      <c r="B48" s="80"/>
    </row>
    <row r="49" s="71" customFormat="1" ht="15" customHeight="1" spans="1:2">
      <c r="A49" s="80"/>
      <c r="B49" s="80"/>
    </row>
    <row r="50" s="71" customFormat="1" ht="15" customHeight="1" spans="1:2">
      <c r="A50" s="80"/>
      <c r="B50" s="80"/>
    </row>
    <row r="51" s="71" customFormat="1" ht="15" customHeight="1" spans="1:2">
      <c r="A51" s="80"/>
      <c r="B51" s="80"/>
    </row>
    <row r="52" s="71" customFormat="1" ht="15" customHeight="1" spans="1:2">
      <c r="A52" s="80"/>
      <c r="B52" s="80"/>
    </row>
    <row r="53" s="71" customFormat="1" ht="15" customHeight="1" spans="1:2">
      <c r="A53" s="80"/>
      <c r="B53" s="80"/>
    </row>
    <row r="54" s="71" customFormat="1" ht="15" customHeight="1" spans="1:2">
      <c r="A54" s="80"/>
      <c r="B54" s="80"/>
    </row>
    <row r="55" s="71" customFormat="1" ht="15" customHeight="1" spans="1:2">
      <c r="A55" s="80"/>
      <c r="B55" s="80"/>
    </row>
    <row r="56" s="71" customFormat="1" ht="15" customHeight="1" spans="1:2">
      <c r="A56" s="80"/>
      <c r="B56" s="80"/>
    </row>
    <row r="57" s="71" customFormat="1" ht="15" customHeight="1" spans="1:2">
      <c r="A57" s="80"/>
      <c r="B57" s="80"/>
    </row>
    <row r="58" s="71" customFormat="1" ht="15" customHeight="1" spans="1:2">
      <c r="A58" s="80"/>
      <c r="B58" s="80"/>
    </row>
    <row r="59" s="71" customFormat="1" ht="15" customHeight="1" spans="1:2">
      <c r="A59" s="80"/>
      <c r="B59" s="80"/>
    </row>
    <row r="60" s="71" customFormat="1" ht="15" customHeight="1" spans="1:2">
      <c r="A60" s="80"/>
      <c r="B60" s="80"/>
    </row>
    <row r="61" s="71" customFormat="1" ht="15" customHeight="1" spans="1:2">
      <c r="A61" s="80"/>
      <c r="B61" s="80"/>
    </row>
    <row r="62" s="71" customFormat="1" ht="15" customHeight="1" spans="1:2">
      <c r="A62" s="80"/>
      <c r="B62" s="80"/>
    </row>
    <row r="63" s="71" customFormat="1" ht="15" customHeight="1" spans="1:2">
      <c r="A63" s="80"/>
      <c r="B63" s="80"/>
    </row>
    <row r="64" s="71" customFormat="1" ht="15" customHeight="1" spans="1:2">
      <c r="A64" s="80"/>
      <c r="B64" s="80"/>
    </row>
    <row r="65" s="71" customFormat="1" ht="15" customHeight="1" spans="1:2">
      <c r="A65" s="80"/>
      <c r="B65" s="80"/>
    </row>
    <row r="66" s="71" customFormat="1" ht="15" customHeight="1" spans="1:2">
      <c r="A66" s="80"/>
      <c r="B66" s="80"/>
    </row>
    <row r="67" s="71" customFormat="1" ht="15" customHeight="1" spans="1:2">
      <c r="A67" s="80"/>
      <c r="B67" s="80"/>
    </row>
    <row r="68" s="71" customFormat="1" ht="15" customHeight="1" spans="1:2">
      <c r="A68" s="80"/>
      <c r="B68" s="80"/>
    </row>
    <row r="69" s="71" customFormat="1" ht="15" customHeight="1" spans="1:2">
      <c r="A69" s="80"/>
      <c r="B69" s="80"/>
    </row>
    <row r="70" s="71" customFormat="1" ht="15" customHeight="1" spans="1:2">
      <c r="A70" s="80"/>
      <c r="B70" s="80"/>
    </row>
    <row r="71" s="71" customFormat="1" spans="1:2">
      <c r="A71" s="73"/>
      <c r="B71" s="73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I18" sqref="I18"/>
    </sheetView>
  </sheetViews>
  <sheetFormatPr defaultColWidth="9.14285714285714" defaultRowHeight="12" outlineLevelCol="5"/>
  <cols>
    <col min="1" max="1" width="8.71428571428571" customWidth="1"/>
    <col min="2" max="2" width="14.4285714285714" customWidth="1"/>
    <col min="3" max="3" width="17" customWidth="1"/>
    <col min="4" max="4" width="20.8571428571429" customWidth="1"/>
    <col min="5" max="5" width="19.4285714285714" customWidth="1"/>
    <col min="6" max="6" width="20.8571428571429" customWidth="1"/>
  </cols>
  <sheetData>
    <row r="1" ht="29" customHeight="1" spans="1:6">
      <c r="A1" s="67" t="s">
        <v>64</v>
      </c>
      <c r="B1" s="67"/>
      <c r="C1" s="67"/>
      <c r="D1" s="67"/>
      <c r="E1" s="67"/>
      <c r="F1" s="67"/>
    </row>
    <row r="2" s="1" customFormat="1" ht="39" customHeight="1" spans="1:6">
      <c r="A2" s="7" t="s">
        <v>2</v>
      </c>
      <c r="B2" s="7" t="s">
        <v>65</v>
      </c>
      <c r="C2" s="7" t="s">
        <v>3</v>
      </c>
      <c r="D2" s="68" t="s">
        <v>66</v>
      </c>
      <c r="E2" s="7" t="s">
        <v>67</v>
      </c>
      <c r="F2" s="7" t="s">
        <v>7</v>
      </c>
    </row>
    <row r="3" ht="26" customHeight="1" spans="1:6">
      <c r="A3" s="13">
        <v>1</v>
      </c>
      <c r="B3" s="9">
        <v>46093</v>
      </c>
      <c r="C3" s="29" t="s">
        <v>13</v>
      </c>
      <c r="D3" s="69">
        <v>1</v>
      </c>
      <c r="E3" s="20"/>
      <c r="F3" s="45"/>
    </row>
    <row r="4" ht="26" customHeight="1" spans="1:6">
      <c r="A4" s="13">
        <v>2</v>
      </c>
      <c r="B4" s="9">
        <v>46093</v>
      </c>
      <c r="C4" s="29" t="s">
        <v>17</v>
      </c>
      <c r="D4" s="69">
        <v>1</v>
      </c>
      <c r="E4" s="20"/>
      <c r="F4" s="70"/>
    </row>
    <row r="5" ht="26" customHeight="1" spans="1:6">
      <c r="A5" s="13">
        <v>3</v>
      </c>
      <c r="B5" s="9">
        <v>46093</v>
      </c>
      <c r="C5" s="29" t="s">
        <v>18</v>
      </c>
      <c r="D5" s="69">
        <v>1</v>
      </c>
      <c r="E5" s="20"/>
      <c r="F5" s="70"/>
    </row>
    <row r="6" ht="26" customHeight="1" spans="1:6">
      <c r="A6" s="13">
        <v>4</v>
      </c>
      <c r="B6" s="9">
        <v>46093</v>
      </c>
      <c r="C6" s="29" t="s">
        <v>20</v>
      </c>
      <c r="D6" s="69">
        <v>1</v>
      </c>
      <c r="E6" s="20"/>
      <c r="F6" s="70"/>
    </row>
    <row r="7" ht="26" customHeight="1" spans="1:6">
      <c r="A7" s="13">
        <v>5</v>
      </c>
      <c r="B7" s="9">
        <v>46093</v>
      </c>
      <c r="C7" s="29" t="s">
        <v>22</v>
      </c>
      <c r="D7" s="69">
        <v>1</v>
      </c>
      <c r="E7" s="20"/>
      <c r="F7" s="70"/>
    </row>
    <row r="8" ht="26" customHeight="1" spans="1:6">
      <c r="A8" s="13">
        <v>6</v>
      </c>
      <c r="B8" s="9">
        <v>46093</v>
      </c>
      <c r="C8" s="29" t="s">
        <v>23</v>
      </c>
      <c r="D8" s="69">
        <v>1</v>
      </c>
      <c r="E8" s="20"/>
      <c r="F8" s="70"/>
    </row>
    <row r="9" ht="26" customHeight="1" spans="1:6">
      <c r="A9" s="13">
        <v>7</v>
      </c>
      <c r="B9" s="9">
        <v>46093</v>
      </c>
      <c r="C9" s="29" t="s">
        <v>24</v>
      </c>
      <c r="D9" s="69">
        <v>1</v>
      </c>
      <c r="E9" s="69"/>
      <c r="F9" s="15"/>
    </row>
    <row r="10" customFormat="1" ht="26" customHeight="1" spans="1:6">
      <c r="A10" s="13">
        <v>8</v>
      </c>
      <c r="B10" s="9">
        <v>46093</v>
      </c>
      <c r="C10" s="29" t="s">
        <v>25</v>
      </c>
      <c r="D10" s="69">
        <v>1</v>
      </c>
      <c r="E10" s="69"/>
      <c r="F10" s="15"/>
    </row>
    <row r="11" ht="26" customHeight="1" spans="1:6">
      <c r="A11" s="13">
        <v>9</v>
      </c>
      <c r="B11" s="9">
        <v>46093</v>
      </c>
      <c r="C11" s="29" t="s">
        <v>27</v>
      </c>
      <c r="D11" s="69">
        <v>1</v>
      </c>
      <c r="E11" s="69"/>
      <c r="F11" s="15"/>
    </row>
    <row r="12" ht="26" customHeight="1" spans="1:6">
      <c r="A12" s="13">
        <v>10</v>
      </c>
      <c r="B12" s="9">
        <v>46093</v>
      </c>
      <c r="C12" s="29" t="s">
        <v>28</v>
      </c>
      <c r="D12" s="69">
        <v>1</v>
      </c>
      <c r="E12" s="69"/>
      <c r="F12" s="15"/>
    </row>
    <row r="13" ht="26" customHeight="1" spans="1:6">
      <c r="A13" s="13">
        <v>11</v>
      </c>
      <c r="B13" s="9">
        <v>46093</v>
      </c>
      <c r="C13" s="29" t="s">
        <v>30</v>
      </c>
      <c r="D13" s="69">
        <v>1</v>
      </c>
      <c r="E13" s="69"/>
      <c r="F13" s="15"/>
    </row>
    <row r="14" ht="26" customHeight="1" spans="1:6">
      <c r="A14" s="13">
        <v>12</v>
      </c>
      <c r="B14" s="9">
        <v>46093</v>
      </c>
      <c r="C14" s="29" t="s">
        <v>32</v>
      </c>
      <c r="D14" s="69">
        <v>1</v>
      </c>
      <c r="E14" s="69"/>
      <c r="F14" s="15"/>
    </row>
    <row r="15" ht="26" customHeight="1" spans="1:6">
      <c r="A15" s="13">
        <v>13</v>
      </c>
      <c r="B15" s="9">
        <v>46093</v>
      </c>
      <c r="C15" s="29" t="s">
        <v>33</v>
      </c>
      <c r="D15" s="69">
        <v>1</v>
      </c>
      <c r="E15" s="69"/>
      <c r="F15" s="15"/>
    </row>
    <row r="16" ht="26" customHeight="1" spans="1:6">
      <c r="A16" s="13">
        <v>14</v>
      </c>
      <c r="B16" s="9">
        <v>46093</v>
      </c>
      <c r="C16" s="29" t="s">
        <v>25</v>
      </c>
      <c r="D16" s="69">
        <v>1</v>
      </c>
      <c r="E16" s="69"/>
      <c r="F16" s="15"/>
    </row>
    <row r="17" ht="26" customHeight="1" spans="1:6">
      <c r="A17" s="13">
        <v>15</v>
      </c>
      <c r="B17" s="9">
        <v>46093</v>
      </c>
      <c r="C17" s="29" t="s">
        <v>34</v>
      </c>
      <c r="D17" s="69">
        <v>1</v>
      </c>
      <c r="E17" s="69"/>
      <c r="F17" s="15"/>
    </row>
    <row r="18" ht="26" customHeight="1" spans="1:6">
      <c r="A18" s="13">
        <v>16</v>
      </c>
      <c r="B18" s="9">
        <v>46093</v>
      </c>
      <c r="C18" s="30" t="s">
        <v>36</v>
      </c>
      <c r="D18" s="69">
        <v>1</v>
      </c>
      <c r="E18" s="69"/>
      <c r="F18" s="15"/>
    </row>
    <row r="19" ht="26" customHeight="1" spans="1:6">
      <c r="A19" s="13">
        <v>17</v>
      </c>
      <c r="B19" s="9">
        <v>46093</v>
      </c>
      <c r="C19" s="30" t="s">
        <v>37</v>
      </c>
      <c r="D19" s="69">
        <v>1</v>
      </c>
      <c r="E19" s="69"/>
      <c r="F19" s="15"/>
    </row>
    <row r="20" ht="20" customHeight="1" spans="1:6">
      <c r="D20" s="49">
        <f>SUM(D3:D19)</f>
        <v>17</v>
      </c>
    </row>
  </sheetData>
  <mergeCells count="1">
    <mergeCell ref="A1:F1"/>
  </mergeCells>
  <pageMargins left="0.393055555555556" right="0.393055555555556" top="1" bottom="1" header="0.5" footer="0.5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8"/>
  <sheetViews>
    <sheetView workbookViewId="0">
      <pane xSplit="3" ySplit="2" topLeftCell="D3" activePane="bottomRight" state="frozen"/>
      <selection/>
      <selection pane="topRight"/>
      <selection pane="bottomLeft"/>
      <selection pane="bottomRight" activeCell="O13" sqref="O13"/>
    </sheetView>
  </sheetViews>
  <sheetFormatPr defaultColWidth="9.14285714285714" defaultRowHeight="23" customHeight="1"/>
  <cols>
    <col min="1" max="1" width="9.14285714285714" style="49"/>
    <col min="2" max="2" width="10.7142857142857" style="49" customWidth="1"/>
    <col min="3" max="3" width="10" style="49" customWidth="1"/>
    <col min="4" max="7" width="7.42857142857143" style="49" customWidth="1"/>
    <col min="8" max="8" width="7" style="49" customWidth="1"/>
    <col min="9" max="17" width="7.42857142857143" style="49" customWidth="1"/>
    <col min="18" max="41" width="7" style="49" customWidth="1"/>
    <col min="42" max="16384" width="9.14285714285714" style="49"/>
  </cols>
  <sheetData>
    <row r="1" s="46" customFormat="1" customHeight="1" spans="1:44">
      <c r="A1" s="50" t="s">
        <v>68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</row>
    <row r="2" s="47" customFormat="1" ht="20" customHeight="1" spans="1:44">
      <c r="A2" s="52" t="s">
        <v>2</v>
      </c>
      <c r="B2" s="52" t="s">
        <v>63</v>
      </c>
      <c r="C2" s="53" t="s">
        <v>69</v>
      </c>
      <c r="D2" s="54">
        <v>46090</v>
      </c>
      <c r="E2" s="54">
        <v>46093</v>
      </c>
      <c r="F2" s="54">
        <v>46097</v>
      </c>
      <c r="G2" s="55">
        <v>46100</v>
      </c>
      <c r="H2" s="55">
        <v>46104</v>
      </c>
      <c r="I2" s="55">
        <v>46107</v>
      </c>
      <c r="J2" s="55">
        <v>46111</v>
      </c>
      <c r="K2" s="55">
        <v>46114</v>
      </c>
      <c r="L2" s="55">
        <v>46119</v>
      </c>
      <c r="M2" s="55">
        <v>46121</v>
      </c>
      <c r="N2" s="55">
        <v>46125</v>
      </c>
      <c r="O2" s="55">
        <v>46128</v>
      </c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6" t="s">
        <v>70</v>
      </c>
      <c r="AQ2" s="47" t="s">
        <v>71</v>
      </c>
    </row>
    <row r="3" s="48" customFormat="1" customHeight="1" spans="1:44">
      <c r="A3" s="13">
        <v>1</v>
      </c>
      <c r="B3" s="12" t="s">
        <v>13</v>
      </c>
      <c r="C3" s="57">
        <v>100</v>
      </c>
      <c r="D3" s="57">
        <v>3</v>
      </c>
      <c r="E3" s="57">
        <v>2</v>
      </c>
      <c r="F3" s="57">
        <v>3</v>
      </c>
      <c r="G3" s="57">
        <v>2</v>
      </c>
      <c r="H3" s="29">
        <v>3</v>
      </c>
      <c r="I3" s="11">
        <v>2</v>
      </c>
      <c r="J3" s="10">
        <v>3</v>
      </c>
      <c r="K3" s="57">
        <v>2</v>
      </c>
      <c r="L3" s="57">
        <v>3</v>
      </c>
      <c r="M3" s="57">
        <v>2</v>
      </c>
      <c r="N3" s="57">
        <v>3</v>
      </c>
      <c r="O3" s="57">
        <v>2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8"/>
      <c r="AH3" s="57"/>
      <c r="AI3" s="57"/>
      <c r="AJ3" s="57"/>
      <c r="AK3" s="57"/>
      <c r="AL3" s="57"/>
      <c r="AM3" s="57"/>
      <c r="AN3" s="57"/>
      <c r="AO3" s="13"/>
      <c r="AP3" s="13">
        <f>SUM(D3:AO3)</f>
        <v>30</v>
      </c>
      <c r="AQ3" s="48">
        <f>100-AP3</f>
        <v>70</v>
      </c>
    </row>
    <row r="4" s="48" customFormat="1" customHeight="1" spans="1:44">
      <c r="A4" s="13">
        <v>2</v>
      </c>
      <c r="B4" s="12" t="s">
        <v>17</v>
      </c>
      <c r="C4" s="57">
        <v>100</v>
      </c>
      <c r="D4" s="57">
        <v>3</v>
      </c>
      <c r="E4" s="57">
        <v>2</v>
      </c>
      <c r="F4" s="57">
        <v>3</v>
      </c>
      <c r="G4" s="57">
        <v>3</v>
      </c>
      <c r="H4" s="29">
        <v>3</v>
      </c>
      <c r="I4" s="10">
        <v>2</v>
      </c>
      <c r="J4" s="11">
        <v>3</v>
      </c>
      <c r="K4" s="57">
        <v>2</v>
      </c>
      <c r="L4" s="57">
        <v>3</v>
      </c>
      <c r="M4" s="57">
        <v>2</v>
      </c>
      <c r="N4" s="57">
        <v>3</v>
      </c>
      <c r="O4" s="57">
        <v>2</v>
      </c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13"/>
      <c r="AP4" s="13">
        <f>SUM(D4:AO4)</f>
        <v>31</v>
      </c>
      <c r="AQ4" s="48">
        <f t="shared" ref="AQ4:AQ9" si="0">130-AP4</f>
        <v>99</v>
      </c>
      <c r="AR4" s="49" t="s">
        <v>72</v>
      </c>
    </row>
    <row r="5" s="48" customFormat="1" customHeight="1" spans="1:44">
      <c r="A5" s="13">
        <v>3</v>
      </c>
      <c r="B5" s="12" t="s">
        <v>18</v>
      </c>
      <c r="C5" s="57">
        <v>100</v>
      </c>
      <c r="D5" s="57">
        <v>6</v>
      </c>
      <c r="E5" s="57">
        <v>4</v>
      </c>
      <c r="F5" s="57">
        <v>6</v>
      </c>
      <c r="G5" s="57">
        <v>4</v>
      </c>
      <c r="H5" s="29">
        <v>6</v>
      </c>
      <c r="I5" s="11">
        <v>4</v>
      </c>
      <c r="J5" s="10">
        <v>6</v>
      </c>
      <c r="K5" s="57">
        <v>4</v>
      </c>
      <c r="L5" s="57">
        <v>6</v>
      </c>
      <c r="M5" s="57">
        <v>4</v>
      </c>
      <c r="N5" s="57">
        <v>6</v>
      </c>
      <c r="O5" s="57">
        <v>4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13"/>
      <c r="AP5" s="13">
        <f>SUM(D5:AO5)</f>
        <v>60</v>
      </c>
      <c r="AQ5" s="48">
        <f t="shared" si="0"/>
        <v>70</v>
      </c>
      <c r="AR5" s="49" t="s">
        <v>72</v>
      </c>
    </row>
    <row r="6" s="48" customFormat="1" customHeight="1" spans="1:44">
      <c r="A6" s="13">
        <v>4</v>
      </c>
      <c r="B6" s="12" t="s">
        <v>20</v>
      </c>
      <c r="C6" s="57">
        <v>100</v>
      </c>
      <c r="D6" s="57">
        <v>5</v>
      </c>
      <c r="E6" s="57">
        <v>5</v>
      </c>
      <c r="F6" s="57">
        <v>5</v>
      </c>
      <c r="G6" s="57">
        <v>5</v>
      </c>
      <c r="H6" s="29">
        <v>5</v>
      </c>
      <c r="I6" s="10">
        <v>5</v>
      </c>
      <c r="J6" s="10">
        <v>5</v>
      </c>
      <c r="K6" s="57">
        <v>5</v>
      </c>
      <c r="L6" s="57">
        <v>5</v>
      </c>
      <c r="M6" s="57">
        <v>5</v>
      </c>
      <c r="N6" s="57">
        <v>5</v>
      </c>
      <c r="O6" s="57">
        <v>5</v>
      </c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13"/>
      <c r="AP6" s="13">
        <f t="shared" ref="AP6:AP32" si="1">SUM(D6:AO6)</f>
        <v>60</v>
      </c>
      <c r="AQ6" s="48">
        <f t="shared" ref="AQ4:AQ32" si="2">100-AP6</f>
        <v>40</v>
      </c>
    </row>
    <row r="7" s="48" customFormat="1" customHeight="1" spans="1:44">
      <c r="A7" s="13">
        <v>5</v>
      </c>
      <c r="B7" s="12" t="s">
        <v>22</v>
      </c>
      <c r="C7" s="57">
        <v>100</v>
      </c>
      <c r="D7" s="57">
        <v>5</v>
      </c>
      <c r="E7" s="57">
        <v>5</v>
      </c>
      <c r="F7" s="57">
        <v>5</v>
      </c>
      <c r="G7" s="57">
        <v>5</v>
      </c>
      <c r="H7" s="29">
        <v>5</v>
      </c>
      <c r="I7" s="10">
        <v>5</v>
      </c>
      <c r="J7" s="10">
        <v>5</v>
      </c>
      <c r="K7" s="57">
        <v>5</v>
      </c>
      <c r="L7" s="57">
        <v>5</v>
      </c>
      <c r="M7" s="57">
        <v>5</v>
      </c>
      <c r="N7" s="57">
        <v>5</v>
      </c>
      <c r="O7" s="57">
        <v>5</v>
      </c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13"/>
      <c r="AP7" s="13">
        <f t="shared" si="1"/>
        <v>60</v>
      </c>
      <c r="AQ7" s="48">
        <f t="shared" si="2"/>
        <v>40</v>
      </c>
    </row>
    <row r="8" s="48" customFormat="1" customHeight="1" spans="1:44">
      <c r="A8" s="13">
        <v>6</v>
      </c>
      <c r="B8" s="12" t="s">
        <v>23</v>
      </c>
      <c r="C8" s="57">
        <v>100</v>
      </c>
      <c r="D8" s="57">
        <v>6</v>
      </c>
      <c r="E8" s="57">
        <v>4</v>
      </c>
      <c r="F8" s="57">
        <v>6</v>
      </c>
      <c r="G8" s="57">
        <v>4</v>
      </c>
      <c r="H8" s="29">
        <v>6</v>
      </c>
      <c r="I8" s="10">
        <v>4</v>
      </c>
      <c r="J8" s="11">
        <v>6</v>
      </c>
      <c r="K8" s="57">
        <v>4</v>
      </c>
      <c r="L8" s="57">
        <v>6</v>
      </c>
      <c r="M8" s="57">
        <v>4</v>
      </c>
      <c r="N8" s="57">
        <v>6</v>
      </c>
      <c r="O8" s="57">
        <v>4</v>
      </c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13"/>
      <c r="AP8" s="13">
        <f t="shared" si="1"/>
        <v>60</v>
      </c>
      <c r="AQ8" s="48">
        <f t="shared" si="2"/>
        <v>40</v>
      </c>
    </row>
    <row r="9" s="48" customFormat="1" customHeight="1" spans="1:44">
      <c r="A9" s="13">
        <v>7</v>
      </c>
      <c r="B9" s="12" t="s">
        <v>24</v>
      </c>
      <c r="C9" s="57">
        <v>100</v>
      </c>
      <c r="D9" s="57">
        <v>6</v>
      </c>
      <c r="E9" s="57">
        <v>4</v>
      </c>
      <c r="F9" s="57">
        <v>6</v>
      </c>
      <c r="G9" s="57">
        <v>0</v>
      </c>
      <c r="H9" s="29">
        <v>0</v>
      </c>
      <c r="I9" s="10">
        <v>0</v>
      </c>
      <c r="J9" s="11">
        <v>6</v>
      </c>
      <c r="K9" s="57">
        <v>4</v>
      </c>
      <c r="L9" s="57">
        <v>6</v>
      </c>
      <c r="M9" s="57">
        <v>4</v>
      </c>
      <c r="N9" s="57">
        <v>6</v>
      </c>
      <c r="O9" s="57">
        <v>4</v>
      </c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13"/>
      <c r="AP9" s="13">
        <f t="shared" si="1"/>
        <v>46</v>
      </c>
      <c r="AQ9" s="48">
        <f t="shared" si="0"/>
        <v>84</v>
      </c>
    </row>
    <row r="10" customHeight="1" spans="1:44">
      <c r="A10" s="13">
        <v>8</v>
      </c>
      <c r="B10" s="12" t="s">
        <v>25</v>
      </c>
      <c r="C10" s="57">
        <v>100</v>
      </c>
      <c r="D10" s="57">
        <v>3</v>
      </c>
      <c r="E10" s="57">
        <v>2</v>
      </c>
      <c r="F10" s="57">
        <v>3</v>
      </c>
      <c r="G10" s="57">
        <v>2</v>
      </c>
      <c r="H10" s="29">
        <v>3</v>
      </c>
      <c r="I10" s="10">
        <v>2</v>
      </c>
      <c r="J10" s="10">
        <v>3</v>
      </c>
      <c r="K10" s="57">
        <v>2</v>
      </c>
      <c r="L10" s="57">
        <v>3</v>
      </c>
      <c r="M10" s="57">
        <v>2</v>
      </c>
      <c r="N10" s="57">
        <v>3</v>
      </c>
      <c r="O10" s="57">
        <v>2</v>
      </c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9"/>
      <c r="AP10" s="13">
        <f t="shared" si="1"/>
        <v>30</v>
      </c>
      <c r="AQ10" s="48">
        <f t="shared" si="2"/>
        <v>70</v>
      </c>
    </row>
    <row r="11" customHeight="1" spans="1:44">
      <c r="A11" s="13">
        <v>9</v>
      </c>
      <c r="B11" s="12" t="s">
        <v>27</v>
      </c>
      <c r="C11" s="57">
        <v>100</v>
      </c>
      <c r="D11" s="57">
        <v>5</v>
      </c>
      <c r="E11" s="57">
        <v>5</v>
      </c>
      <c r="F11" s="57">
        <v>5</v>
      </c>
      <c r="G11" s="57">
        <v>5</v>
      </c>
      <c r="H11" s="29">
        <v>5</v>
      </c>
      <c r="I11" s="10">
        <v>5</v>
      </c>
      <c r="J11" s="10">
        <v>5</v>
      </c>
      <c r="K11" s="57">
        <v>5</v>
      </c>
      <c r="L11" s="57">
        <v>5</v>
      </c>
      <c r="M11" s="57">
        <v>5</v>
      </c>
      <c r="N11" s="57">
        <v>5</v>
      </c>
      <c r="O11" s="57">
        <v>5</v>
      </c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9"/>
      <c r="AP11" s="13">
        <f t="shared" si="1"/>
        <v>60</v>
      </c>
      <c r="AQ11" s="48">
        <f t="shared" si="2"/>
        <v>40</v>
      </c>
    </row>
    <row r="12" customHeight="1" spans="1:44">
      <c r="A12" s="13">
        <v>10</v>
      </c>
      <c r="B12" s="12" t="s">
        <v>28</v>
      </c>
      <c r="C12" s="57">
        <v>100</v>
      </c>
      <c r="D12" s="57">
        <v>3</v>
      </c>
      <c r="E12" s="57">
        <v>2</v>
      </c>
      <c r="F12" s="57">
        <v>3</v>
      </c>
      <c r="G12" s="57">
        <v>2</v>
      </c>
      <c r="H12" s="29">
        <v>3</v>
      </c>
      <c r="I12" s="10">
        <v>2</v>
      </c>
      <c r="J12" s="10">
        <v>3</v>
      </c>
      <c r="K12" s="57">
        <v>2</v>
      </c>
      <c r="L12" s="57">
        <v>3</v>
      </c>
      <c r="M12" s="57">
        <v>2</v>
      </c>
      <c r="N12" s="57">
        <v>3</v>
      </c>
      <c r="O12" s="57">
        <v>2</v>
      </c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9"/>
      <c r="AP12" s="13">
        <f t="shared" si="1"/>
        <v>30</v>
      </c>
      <c r="AQ12" s="48">
        <f>130-AP12</f>
        <v>100</v>
      </c>
      <c r="AR12" s="49" t="s">
        <v>72</v>
      </c>
    </row>
    <row r="13" customHeight="1" spans="1:44">
      <c r="A13" s="13">
        <v>11</v>
      </c>
      <c r="B13" s="12" t="s">
        <v>30</v>
      </c>
      <c r="C13" s="57">
        <v>100</v>
      </c>
      <c r="D13" s="57">
        <v>6</v>
      </c>
      <c r="E13" s="57">
        <v>4</v>
      </c>
      <c r="F13" s="57">
        <v>6</v>
      </c>
      <c r="G13" s="57">
        <v>4</v>
      </c>
      <c r="H13" s="29">
        <v>6</v>
      </c>
      <c r="I13" s="14">
        <v>4</v>
      </c>
      <c r="J13" s="11">
        <v>6</v>
      </c>
      <c r="K13" s="57">
        <v>4</v>
      </c>
      <c r="L13" s="57">
        <v>6</v>
      </c>
      <c r="M13" s="57">
        <v>4</v>
      </c>
      <c r="N13" s="57">
        <v>6</v>
      </c>
      <c r="O13" s="57">
        <v>4</v>
      </c>
      <c r="P13" s="58"/>
      <c r="Q13" s="58"/>
      <c r="R13" s="57"/>
      <c r="S13" s="57"/>
      <c r="T13" s="57"/>
      <c r="U13" s="57"/>
      <c r="V13" s="57"/>
      <c r="W13" s="58"/>
      <c r="X13" s="58"/>
      <c r="Y13" s="58"/>
      <c r="Z13" s="58"/>
      <c r="AA13" s="58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9"/>
      <c r="AP13" s="13">
        <f t="shared" si="1"/>
        <v>60</v>
      </c>
      <c r="AQ13" s="48">
        <f t="shared" si="2"/>
        <v>40</v>
      </c>
    </row>
    <row r="14" customHeight="1" spans="1:44">
      <c r="A14" s="13">
        <v>12</v>
      </c>
      <c r="B14" s="12" t="s">
        <v>32</v>
      </c>
      <c r="C14" s="57">
        <v>100</v>
      </c>
      <c r="D14" s="57">
        <v>3</v>
      </c>
      <c r="E14" s="57">
        <v>2</v>
      </c>
      <c r="F14" s="57">
        <v>3</v>
      </c>
      <c r="G14" s="57">
        <v>3</v>
      </c>
      <c r="H14" s="29">
        <v>3</v>
      </c>
      <c r="I14" s="14">
        <v>2</v>
      </c>
      <c r="J14" s="11">
        <v>3</v>
      </c>
      <c r="K14" s="57">
        <v>2</v>
      </c>
      <c r="L14" s="57">
        <v>3</v>
      </c>
      <c r="M14" s="57">
        <v>2</v>
      </c>
      <c r="N14" s="57">
        <v>3</v>
      </c>
      <c r="O14" s="57">
        <v>2</v>
      </c>
      <c r="P14" s="58"/>
      <c r="Q14" s="58"/>
      <c r="R14" s="57"/>
      <c r="S14" s="57"/>
      <c r="T14" s="57"/>
      <c r="U14" s="57"/>
      <c r="V14" s="57"/>
      <c r="W14" s="58"/>
      <c r="X14" s="58"/>
      <c r="Y14" s="58"/>
      <c r="Z14" s="58"/>
      <c r="AA14" s="58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9"/>
      <c r="AP14" s="13">
        <f t="shared" si="1"/>
        <v>31</v>
      </c>
      <c r="AQ14" s="48">
        <f t="shared" si="2"/>
        <v>69</v>
      </c>
    </row>
    <row r="15" customHeight="1" spans="1:44">
      <c r="A15" s="13">
        <v>13</v>
      </c>
      <c r="B15" s="12" t="s">
        <v>33</v>
      </c>
      <c r="C15" s="57">
        <v>100</v>
      </c>
      <c r="D15" s="57">
        <v>3</v>
      </c>
      <c r="E15" s="57">
        <v>2</v>
      </c>
      <c r="F15" s="57">
        <v>3</v>
      </c>
      <c r="G15" s="57">
        <v>2</v>
      </c>
      <c r="H15" s="29">
        <v>3</v>
      </c>
      <c r="I15" s="14">
        <v>2</v>
      </c>
      <c r="J15" s="11">
        <v>3</v>
      </c>
      <c r="K15" s="57">
        <v>2</v>
      </c>
      <c r="L15" s="57">
        <v>3</v>
      </c>
      <c r="M15" s="57">
        <v>2</v>
      </c>
      <c r="N15" s="57">
        <v>3</v>
      </c>
      <c r="O15" s="57">
        <v>2</v>
      </c>
      <c r="P15" s="58"/>
      <c r="Q15" s="58"/>
      <c r="R15" s="57"/>
      <c r="S15" s="57"/>
      <c r="T15" s="57"/>
      <c r="U15" s="57"/>
      <c r="V15" s="57"/>
      <c r="W15" s="58"/>
      <c r="X15" s="58"/>
      <c r="Y15" s="58"/>
      <c r="Z15" s="58"/>
      <c r="AA15" s="58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9"/>
      <c r="AP15" s="13">
        <f t="shared" si="1"/>
        <v>30</v>
      </c>
      <c r="AQ15" s="48">
        <f t="shared" si="2"/>
        <v>70</v>
      </c>
    </row>
    <row r="16" customHeight="1" spans="1:44">
      <c r="A16" s="13">
        <v>14</v>
      </c>
      <c r="B16" s="12" t="s">
        <v>25</v>
      </c>
      <c r="C16" s="57">
        <v>100</v>
      </c>
      <c r="D16" s="57">
        <v>3</v>
      </c>
      <c r="E16" s="57">
        <v>2</v>
      </c>
      <c r="F16" s="57">
        <v>3</v>
      </c>
      <c r="G16" s="57">
        <v>2</v>
      </c>
      <c r="H16" s="29">
        <v>3</v>
      </c>
      <c r="I16" s="11">
        <v>2</v>
      </c>
      <c r="J16" s="10">
        <v>3</v>
      </c>
      <c r="K16" s="57">
        <v>2</v>
      </c>
      <c r="L16" s="57">
        <v>3</v>
      </c>
      <c r="M16" s="57">
        <v>2</v>
      </c>
      <c r="N16" s="57">
        <v>3</v>
      </c>
      <c r="O16" s="57">
        <v>2</v>
      </c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9"/>
      <c r="AP16" s="13">
        <f t="shared" si="1"/>
        <v>30</v>
      </c>
      <c r="AQ16" s="48">
        <f t="shared" si="2"/>
        <v>70</v>
      </c>
    </row>
    <row r="17" customHeight="1" spans="1:44">
      <c r="A17" s="13">
        <v>15</v>
      </c>
      <c r="B17" s="12" t="s">
        <v>34</v>
      </c>
      <c r="C17" s="57">
        <v>100</v>
      </c>
      <c r="D17" s="57">
        <v>5</v>
      </c>
      <c r="E17" s="57">
        <v>5</v>
      </c>
      <c r="F17" s="57">
        <v>5</v>
      </c>
      <c r="G17" s="57">
        <v>5</v>
      </c>
      <c r="H17" s="29">
        <v>5</v>
      </c>
      <c r="I17" s="10">
        <v>5</v>
      </c>
      <c r="J17" s="14">
        <v>5</v>
      </c>
      <c r="K17" s="57">
        <v>5</v>
      </c>
      <c r="L17" s="57">
        <v>5</v>
      </c>
      <c r="M17" s="57">
        <v>5</v>
      </c>
      <c r="N17" s="57">
        <v>5</v>
      </c>
      <c r="O17" s="57">
        <v>5</v>
      </c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9"/>
      <c r="AP17" s="13">
        <f t="shared" si="1"/>
        <v>60</v>
      </c>
      <c r="AQ17" s="48">
        <f t="shared" si="2"/>
        <v>40</v>
      </c>
    </row>
    <row r="18" customHeight="1" spans="1:44">
      <c r="A18" s="13">
        <v>16</v>
      </c>
      <c r="B18" s="28" t="s">
        <v>36</v>
      </c>
      <c r="C18" s="57">
        <v>100</v>
      </c>
      <c r="D18" s="57">
        <v>3</v>
      </c>
      <c r="E18" s="57">
        <v>2</v>
      </c>
      <c r="F18" s="57">
        <v>3</v>
      </c>
      <c r="G18" s="57">
        <v>4</v>
      </c>
      <c r="H18" s="30">
        <v>3</v>
      </c>
      <c r="I18" s="14">
        <v>2</v>
      </c>
      <c r="J18" s="15">
        <v>3</v>
      </c>
      <c r="K18" s="57">
        <v>2</v>
      </c>
      <c r="L18" s="57">
        <v>3</v>
      </c>
      <c r="M18" s="57">
        <v>2</v>
      </c>
      <c r="N18" s="57">
        <v>3</v>
      </c>
      <c r="O18" s="57">
        <v>2</v>
      </c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9"/>
      <c r="AP18" s="13">
        <f t="shared" si="1"/>
        <v>32</v>
      </c>
      <c r="AQ18" s="48">
        <f t="shared" si="2"/>
        <v>68</v>
      </c>
    </row>
    <row r="19" customHeight="1" spans="1:44">
      <c r="A19" s="13">
        <v>17</v>
      </c>
      <c r="B19" s="30" t="s">
        <v>37</v>
      </c>
      <c r="C19" s="57">
        <v>100</v>
      </c>
      <c r="D19" s="57">
        <v>0</v>
      </c>
      <c r="E19" s="57">
        <v>5</v>
      </c>
      <c r="F19" s="57">
        <v>3</v>
      </c>
      <c r="G19" s="57">
        <v>2</v>
      </c>
      <c r="H19" s="30">
        <v>3</v>
      </c>
      <c r="I19" s="14">
        <v>2</v>
      </c>
      <c r="J19" s="15">
        <v>3</v>
      </c>
      <c r="K19" s="57">
        <v>7</v>
      </c>
      <c r="L19" s="57">
        <v>3</v>
      </c>
      <c r="M19" s="57">
        <v>7</v>
      </c>
      <c r="N19" s="57">
        <v>3</v>
      </c>
      <c r="O19" s="57">
        <v>7</v>
      </c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9"/>
      <c r="AP19" s="13">
        <f t="shared" si="1"/>
        <v>45</v>
      </c>
      <c r="AQ19" s="48">
        <f t="shared" si="2"/>
        <v>55</v>
      </c>
    </row>
    <row r="20" customHeight="1" spans="1:44">
      <c r="A20" s="13"/>
      <c r="B20" s="37" t="s">
        <v>38</v>
      </c>
      <c r="C20" s="57"/>
      <c r="D20" s="57"/>
      <c r="E20" s="57"/>
      <c r="F20" s="57"/>
      <c r="G20" s="57"/>
      <c r="H20" s="30"/>
      <c r="I20" s="14"/>
      <c r="J20" s="15"/>
      <c r="K20" s="57"/>
      <c r="L20" s="57">
        <v>3</v>
      </c>
      <c r="M20" s="57">
        <v>3</v>
      </c>
      <c r="N20" s="57">
        <v>3</v>
      </c>
      <c r="O20" s="57">
        <v>3</v>
      </c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9"/>
      <c r="AP20" s="13"/>
      <c r="AQ20" s="48"/>
    </row>
    <row r="21" customHeight="1" spans="1:44">
      <c r="A21" s="13"/>
      <c r="B21" s="37" t="s">
        <v>40</v>
      </c>
      <c r="C21" s="57"/>
      <c r="D21" s="57"/>
      <c r="E21" s="57"/>
      <c r="F21" s="57"/>
      <c r="G21" s="57"/>
      <c r="H21" s="30"/>
      <c r="I21" s="14"/>
      <c r="J21" s="15"/>
      <c r="K21" s="57"/>
      <c r="L21" s="57">
        <v>6</v>
      </c>
      <c r="M21" s="57">
        <v>4</v>
      </c>
      <c r="N21" s="57">
        <v>6</v>
      </c>
      <c r="O21" s="57">
        <v>4</v>
      </c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9"/>
      <c r="AP21" s="13"/>
      <c r="AQ21" s="48"/>
    </row>
    <row r="22" customHeight="1" spans="1:44">
      <c r="A22" s="13"/>
      <c r="B22" s="30"/>
      <c r="C22" s="57"/>
      <c r="D22" s="57"/>
      <c r="E22" s="57"/>
      <c r="F22" s="57"/>
      <c r="G22" s="57"/>
      <c r="H22" s="30"/>
      <c r="I22" s="14"/>
      <c r="J22" s="15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9"/>
      <c r="AP22" s="13"/>
      <c r="AQ22" s="48"/>
    </row>
    <row r="23" customHeight="1" spans="1:44">
      <c r="A23" s="13">
        <v>18</v>
      </c>
      <c r="B23" s="11" t="s">
        <v>54</v>
      </c>
      <c r="C23" s="57">
        <v>100</v>
      </c>
      <c r="D23" s="57">
        <v>3</v>
      </c>
      <c r="E23" s="57">
        <v>2</v>
      </c>
      <c r="F23" s="57">
        <v>3</v>
      </c>
      <c r="G23" s="57">
        <v>2</v>
      </c>
      <c r="H23" s="30">
        <v>3</v>
      </c>
      <c r="I23" s="14">
        <v>2</v>
      </c>
      <c r="J23" s="30">
        <v>3</v>
      </c>
      <c r="K23" s="14">
        <v>2</v>
      </c>
      <c r="L23" s="30">
        <v>3</v>
      </c>
      <c r="M23" s="14">
        <v>2</v>
      </c>
      <c r="N23" s="30">
        <v>3</v>
      </c>
      <c r="O23" s="14">
        <v>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9"/>
      <c r="AP23" s="13">
        <f t="shared" ref="AP23:AP35" si="3">SUM(D23:AO23)</f>
        <v>30</v>
      </c>
      <c r="AQ23" s="48">
        <f>130-AP23</f>
        <v>100</v>
      </c>
      <c r="AR23" s="49" t="s">
        <v>72</v>
      </c>
    </row>
    <row r="24" customHeight="1" spans="1:44">
      <c r="A24" s="13">
        <v>19</v>
      </c>
      <c r="B24" s="11" t="s">
        <v>58</v>
      </c>
      <c r="C24" s="57">
        <v>100</v>
      </c>
      <c r="D24" s="57">
        <v>3</v>
      </c>
      <c r="E24" s="57">
        <v>2</v>
      </c>
      <c r="F24" s="57">
        <v>3</v>
      </c>
      <c r="G24" s="57">
        <v>2</v>
      </c>
      <c r="H24" s="30">
        <v>3</v>
      </c>
      <c r="I24" s="14">
        <v>2</v>
      </c>
      <c r="J24" s="30">
        <v>3</v>
      </c>
      <c r="K24" s="14">
        <v>2</v>
      </c>
      <c r="L24" s="30">
        <v>3</v>
      </c>
      <c r="M24" s="14">
        <v>2</v>
      </c>
      <c r="N24" s="30">
        <v>3</v>
      </c>
      <c r="O24" s="14">
        <v>2</v>
      </c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9"/>
      <c r="AP24" s="13">
        <f t="shared" si="3"/>
        <v>30</v>
      </c>
      <c r="AQ24" s="48">
        <f>130-AP24</f>
        <v>100</v>
      </c>
      <c r="AR24" s="49" t="s">
        <v>72</v>
      </c>
    </row>
    <row r="25" customHeight="1" spans="1:44">
      <c r="A25" s="13">
        <v>20</v>
      </c>
      <c r="B25" s="60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9"/>
      <c r="AP25" s="13">
        <f t="shared" si="3"/>
        <v>0</v>
      </c>
      <c r="AQ25" s="48">
        <f>100-AP25</f>
        <v>100</v>
      </c>
    </row>
    <row r="26" customHeight="1" spans="1:44">
      <c r="A26" s="13">
        <v>21</v>
      </c>
      <c r="B26" s="60"/>
      <c r="C26" s="57"/>
      <c r="D26" s="57">
        <f t="shared" ref="D26:AO26" si="4">SUM(D3:D25)</f>
        <v>74</v>
      </c>
      <c r="E26" s="57">
        <f t="shared" si="4"/>
        <v>61</v>
      </c>
      <c r="F26" s="57">
        <f t="shared" si="4"/>
        <v>77</v>
      </c>
      <c r="G26" s="57">
        <f t="shared" si="4"/>
        <v>58</v>
      </c>
      <c r="H26" s="57">
        <f t="shared" si="4"/>
        <v>71</v>
      </c>
      <c r="I26" s="57">
        <f t="shared" si="4"/>
        <v>54</v>
      </c>
      <c r="J26" s="57">
        <f t="shared" si="4"/>
        <v>77</v>
      </c>
      <c r="K26" s="57">
        <f t="shared" si="4"/>
        <v>63</v>
      </c>
      <c r="L26" s="57">
        <f t="shared" si="4"/>
        <v>86</v>
      </c>
      <c r="M26" s="57">
        <f t="shared" si="4"/>
        <v>70</v>
      </c>
      <c r="N26" s="57">
        <f t="shared" si="4"/>
        <v>86</v>
      </c>
      <c r="O26" s="57">
        <f t="shared" si="4"/>
        <v>70</v>
      </c>
      <c r="P26" s="57">
        <f t="shared" si="4"/>
        <v>0</v>
      </c>
      <c r="Q26" s="57">
        <f t="shared" si="4"/>
        <v>0</v>
      </c>
      <c r="R26" s="57">
        <f t="shared" si="4"/>
        <v>0</v>
      </c>
      <c r="S26" s="57">
        <f t="shared" si="4"/>
        <v>0</v>
      </c>
      <c r="T26" s="57">
        <f t="shared" si="4"/>
        <v>0</v>
      </c>
      <c r="U26" s="57">
        <f t="shared" si="4"/>
        <v>0</v>
      </c>
      <c r="V26" s="57">
        <f t="shared" si="4"/>
        <v>0</v>
      </c>
      <c r="W26" s="57">
        <f t="shared" si="4"/>
        <v>0</v>
      </c>
      <c r="X26" s="57">
        <f t="shared" si="4"/>
        <v>0</v>
      </c>
      <c r="Y26" s="57">
        <f t="shared" si="4"/>
        <v>0</v>
      </c>
      <c r="Z26" s="57">
        <f t="shared" si="4"/>
        <v>0</v>
      </c>
      <c r="AA26" s="57">
        <f t="shared" si="4"/>
        <v>0</v>
      </c>
      <c r="AB26" s="57">
        <f t="shared" si="4"/>
        <v>0</v>
      </c>
      <c r="AC26" s="57">
        <f t="shared" si="4"/>
        <v>0</v>
      </c>
      <c r="AD26" s="57">
        <f t="shared" si="4"/>
        <v>0</v>
      </c>
      <c r="AE26" s="57">
        <f t="shared" si="4"/>
        <v>0</v>
      </c>
      <c r="AF26" s="57">
        <f t="shared" si="4"/>
        <v>0</v>
      </c>
      <c r="AG26" s="57">
        <f t="shared" si="4"/>
        <v>0</v>
      </c>
      <c r="AH26" s="57">
        <f t="shared" si="4"/>
        <v>0</v>
      </c>
      <c r="AI26" s="57">
        <f t="shared" si="4"/>
        <v>0</v>
      </c>
      <c r="AJ26" s="57">
        <f t="shared" si="4"/>
        <v>0</v>
      </c>
      <c r="AK26" s="57">
        <f t="shared" si="4"/>
        <v>0</v>
      </c>
      <c r="AL26" s="57">
        <f t="shared" si="4"/>
        <v>0</v>
      </c>
      <c r="AM26" s="57">
        <f t="shared" si="4"/>
        <v>0</v>
      </c>
      <c r="AN26" s="57">
        <f t="shared" si="4"/>
        <v>0</v>
      </c>
      <c r="AO26" s="57">
        <f t="shared" si="4"/>
        <v>0</v>
      </c>
      <c r="AP26" s="13">
        <f t="shared" si="3"/>
        <v>847</v>
      </c>
      <c r="AQ26" s="48">
        <f>100-AP26</f>
        <v>-747</v>
      </c>
    </row>
    <row r="27" customHeight="1" spans="1:44">
      <c r="A27" s="13">
        <v>22</v>
      </c>
      <c r="B27" s="60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9"/>
      <c r="AP27" s="13">
        <f t="shared" si="3"/>
        <v>0</v>
      </c>
      <c r="AQ27" s="48">
        <f>100-AP27</f>
        <v>100</v>
      </c>
    </row>
    <row r="28" customHeight="1" spans="1:44">
      <c r="A28" s="13">
        <v>23</v>
      </c>
      <c r="B28" s="61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9"/>
      <c r="AP28" s="13">
        <f t="shared" si="3"/>
        <v>0</v>
      </c>
      <c r="AQ28" s="48">
        <f>100-AP28</f>
        <v>100</v>
      </c>
      <c r="AR28" s="49" t="s">
        <v>72</v>
      </c>
    </row>
    <row r="29" customHeight="1" spans="1:44">
      <c r="A29" s="13">
        <v>24</v>
      </c>
      <c r="B29" s="61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9"/>
      <c r="AP29" s="13">
        <f t="shared" si="3"/>
        <v>0</v>
      </c>
      <c r="AQ29" s="48">
        <f t="shared" ref="AQ29:AQ35" si="5">130-AP29</f>
        <v>130</v>
      </c>
      <c r="AR29" s="49" t="s">
        <v>72</v>
      </c>
    </row>
    <row r="30" customHeight="1" spans="1:44">
      <c r="A30" s="62">
        <v>25</v>
      </c>
      <c r="B30" s="63"/>
      <c r="C30" s="64"/>
      <c r="D30" s="65"/>
      <c r="E30" s="65"/>
      <c r="F30" s="65"/>
      <c r="G30" s="65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5"/>
      <c r="AP30" s="62">
        <f t="shared" si="3"/>
        <v>0</v>
      </c>
      <c r="AQ30" s="48">
        <f>100-AP30</f>
        <v>100</v>
      </c>
    </row>
    <row r="31" customHeight="1" spans="1:44">
      <c r="A31" s="13">
        <v>26</v>
      </c>
      <c r="B31" s="61"/>
      <c r="C31" s="57"/>
      <c r="D31" s="59"/>
      <c r="E31" s="59"/>
      <c r="F31" s="59"/>
      <c r="G31" s="59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64"/>
      <c r="AG31" s="64"/>
      <c r="AH31" s="64"/>
      <c r="AI31" s="64"/>
      <c r="AJ31" s="64"/>
      <c r="AK31" s="64"/>
      <c r="AL31" s="64"/>
      <c r="AM31" s="64"/>
      <c r="AN31" s="64"/>
      <c r="AO31" s="59"/>
      <c r="AP31" s="13">
        <f t="shared" si="3"/>
        <v>0</v>
      </c>
      <c r="AQ31" s="48">
        <f>100-AP31</f>
        <v>100</v>
      </c>
    </row>
    <row r="32" customHeight="1" spans="1:44">
      <c r="A32" s="13">
        <v>27</v>
      </c>
      <c r="B32" s="61"/>
      <c r="C32" s="57"/>
      <c r="D32" s="59"/>
      <c r="E32" s="59"/>
      <c r="F32" s="59"/>
      <c r="G32" s="59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64"/>
      <c r="AG32" s="64"/>
      <c r="AH32" s="64"/>
      <c r="AI32" s="64"/>
      <c r="AJ32" s="64"/>
      <c r="AK32" s="64"/>
      <c r="AL32" s="64"/>
      <c r="AM32" s="64"/>
      <c r="AN32" s="64"/>
      <c r="AO32" s="59"/>
      <c r="AP32" s="13">
        <f t="shared" si="3"/>
        <v>0</v>
      </c>
      <c r="AQ32" s="48">
        <f>100-AP32</f>
        <v>100</v>
      </c>
    </row>
    <row r="33" customHeight="1" spans="1:44">
      <c r="A33" s="13">
        <v>28</v>
      </c>
      <c r="B33" s="61"/>
      <c r="C33" s="57"/>
      <c r="D33" s="59"/>
      <c r="E33" s="59"/>
      <c r="F33" s="59"/>
      <c r="G33" s="59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9"/>
      <c r="AP33" s="13">
        <f t="shared" si="3"/>
        <v>0</v>
      </c>
      <c r="AQ33" s="48">
        <f t="shared" si="5"/>
        <v>130</v>
      </c>
      <c r="AR33" s="49" t="s">
        <v>72</v>
      </c>
    </row>
    <row r="34" customHeight="1" spans="1:44">
      <c r="A34" s="13">
        <v>29</v>
      </c>
      <c r="B34" s="61"/>
      <c r="C34" s="57"/>
      <c r="D34" s="59"/>
      <c r="E34" s="59"/>
      <c r="F34" s="59"/>
      <c r="G34" s="59"/>
      <c r="H34" s="59"/>
      <c r="I34" s="59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9"/>
      <c r="AP34" s="13">
        <f t="shared" si="3"/>
        <v>0</v>
      </c>
      <c r="AQ34" s="48">
        <f t="shared" si="5"/>
        <v>130</v>
      </c>
      <c r="AR34" s="49" t="s">
        <v>72</v>
      </c>
    </row>
    <row r="35" customHeight="1" spans="1:44">
      <c r="A35" s="13">
        <v>30</v>
      </c>
      <c r="B35" s="61"/>
      <c r="C35" s="57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>
        <f t="shared" si="3"/>
        <v>0</v>
      </c>
      <c r="AQ35" s="48">
        <f t="shared" si="5"/>
        <v>130</v>
      </c>
      <c r="AR35" s="49" t="s">
        <v>72</v>
      </c>
    </row>
    <row r="36" customHeight="1" spans="1:44">
      <c r="A36" s="59"/>
      <c r="B36" s="66"/>
      <c r="C36" s="66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</row>
    <row r="37" customHeight="1" spans="1:44">
      <c r="A37" s="59"/>
      <c r="B37" s="66"/>
      <c r="C37" s="6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</row>
    <row r="38" customHeight="1" spans="1:44">
      <c r="A38" s="59"/>
      <c r="B38" s="66"/>
      <c r="C38" s="6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</row>
  </sheetData>
  <mergeCells count="1">
    <mergeCell ref="A1:AP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D23" sqref="D23:E24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9.8571428571429" customWidth="1"/>
  </cols>
  <sheetData>
    <row r="1" ht="38" customHeight="1" spans="1:7">
      <c r="A1" s="2" t="s">
        <v>73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65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</row>
    <row r="3" ht="22" customHeight="1" spans="1:7">
      <c r="A3" s="8">
        <v>1</v>
      </c>
      <c r="B3" s="9">
        <v>46090</v>
      </c>
      <c r="C3" s="29" t="s">
        <v>13</v>
      </c>
      <c r="D3" s="30" t="s">
        <v>77</v>
      </c>
      <c r="E3" s="30"/>
      <c r="F3" s="29">
        <v>3</v>
      </c>
      <c r="G3" s="12" t="s">
        <v>15</v>
      </c>
    </row>
    <row r="4" ht="22" customHeight="1" spans="1:7">
      <c r="A4" s="8">
        <v>2</v>
      </c>
      <c r="B4" s="9">
        <v>46090</v>
      </c>
      <c r="C4" s="29" t="s">
        <v>17</v>
      </c>
      <c r="D4" s="30" t="s">
        <v>77</v>
      </c>
      <c r="E4" s="29">
        <v>3</v>
      </c>
      <c r="F4" s="30"/>
      <c r="G4" s="12" t="s">
        <v>15</v>
      </c>
    </row>
    <row r="5" ht="22" customHeight="1" spans="1:7">
      <c r="A5" s="8">
        <v>3</v>
      </c>
      <c r="B5" s="9">
        <v>46090</v>
      </c>
      <c r="C5" s="29" t="s">
        <v>18</v>
      </c>
      <c r="D5" s="30" t="s">
        <v>78</v>
      </c>
      <c r="E5" s="30"/>
      <c r="F5" s="29">
        <v>6</v>
      </c>
      <c r="G5" s="12" t="s">
        <v>19</v>
      </c>
    </row>
    <row r="6" ht="22" customHeight="1" spans="1:7">
      <c r="A6" s="8">
        <v>4</v>
      </c>
      <c r="B6" s="9">
        <v>46090</v>
      </c>
      <c r="C6" s="29" t="s">
        <v>20</v>
      </c>
      <c r="D6" s="30" t="s">
        <v>79</v>
      </c>
      <c r="E6" s="29">
        <v>5</v>
      </c>
      <c r="F6" s="29"/>
      <c r="G6" s="12" t="s">
        <v>21</v>
      </c>
    </row>
    <row r="7" ht="22" customHeight="1" spans="1:7">
      <c r="A7" s="8">
        <v>5</v>
      </c>
      <c r="B7" s="9">
        <v>46090</v>
      </c>
      <c r="C7" s="29" t="s">
        <v>22</v>
      </c>
      <c r="D7" s="30" t="s">
        <v>79</v>
      </c>
      <c r="E7" s="29">
        <v>5</v>
      </c>
      <c r="F7" s="29"/>
      <c r="G7" s="12" t="s">
        <v>21</v>
      </c>
    </row>
    <row r="8" ht="22" customHeight="1" spans="1:7">
      <c r="A8" s="8">
        <v>6</v>
      </c>
      <c r="B8" s="9">
        <v>46090</v>
      </c>
      <c r="C8" s="29" t="s">
        <v>23</v>
      </c>
      <c r="D8" s="30" t="s">
        <v>78</v>
      </c>
      <c r="E8" s="29">
        <v>6</v>
      </c>
      <c r="F8" s="30"/>
      <c r="G8" s="12" t="s">
        <v>19</v>
      </c>
    </row>
    <row r="9" ht="22" customHeight="1" spans="1:7">
      <c r="A9" s="8">
        <v>7</v>
      </c>
      <c r="B9" s="9">
        <v>46090</v>
      </c>
      <c r="C9" s="29" t="s">
        <v>24</v>
      </c>
      <c r="D9" s="30" t="s">
        <v>78</v>
      </c>
      <c r="E9" s="29">
        <v>6</v>
      </c>
      <c r="F9" s="30"/>
      <c r="G9" s="12" t="s">
        <v>19</v>
      </c>
    </row>
    <row r="10" ht="22" customHeight="1" spans="1:7">
      <c r="A10" s="8">
        <v>8</v>
      </c>
      <c r="B10" s="9">
        <v>46090</v>
      </c>
      <c r="C10" s="29" t="s">
        <v>25</v>
      </c>
      <c r="D10" s="30" t="s">
        <v>77</v>
      </c>
      <c r="E10" s="29">
        <v>3</v>
      </c>
      <c r="F10" s="29"/>
      <c r="G10" s="12" t="s">
        <v>26</v>
      </c>
    </row>
    <row r="11" customFormat="1" ht="22" customHeight="1" spans="1:7">
      <c r="A11" s="8">
        <v>9</v>
      </c>
      <c r="B11" s="9">
        <v>46090</v>
      </c>
      <c r="C11" s="29" t="s">
        <v>27</v>
      </c>
      <c r="D11" s="30" t="s">
        <v>79</v>
      </c>
      <c r="E11" s="29">
        <v>5</v>
      </c>
      <c r="F11" s="29"/>
      <c r="G11" s="12" t="s">
        <v>21</v>
      </c>
    </row>
    <row r="12" customFormat="1" ht="22" customHeight="1" spans="1:7">
      <c r="A12" s="8">
        <v>10</v>
      </c>
      <c r="B12" s="9">
        <v>46090</v>
      </c>
      <c r="C12" s="29" t="s">
        <v>28</v>
      </c>
      <c r="D12" s="30" t="s">
        <v>77</v>
      </c>
      <c r="E12" s="29">
        <v>3</v>
      </c>
      <c r="F12" s="29"/>
      <c r="G12" s="12" t="s">
        <v>26</v>
      </c>
    </row>
    <row r="13" customFormat="1" ht="22" customHeight="1" spans="1:7">
      <c r="A13" s="8">
        <v>11</v>
      </c>
      <c r="B13" s="9">
        <v>46090</v>
      </c>
      <c r="C13" s="29" t="s">
        <v>30</v>
      </c>
      <c r="D13" s="30" t="s">
        <v>78</v>
      </c>
      <c r="E13" s="31">
        <v>6</v>
      </c>
      <c r="F13" s="30"/>
      <c r="G13" s="12" t="s">
        <v>19</v>
      </c>
    </row>
    <row r="14" customFormat="1" ht="22" customHeight="1" spans="1:7">
      <c r="A14" s="8">
        <v>12</v>
      </c>
      <c r="B14" s="9">
        <v>46090</v>
      </c>
      <c r="C14" s="29" t="s">
        <v>32</v>
      </c>
      <c r="D14" s="30" t="s">
        <v>77</v>
      </c>
      <c r="E14" s="31">
        <v>3</v>
      </c>
      <c r="F14" s="30"/>
      <c r="G14" s="12" t="s">
        <v>15</v>
      </c>
    </row>
    <row r="15" customFormat="1" ht="22" customHeight="1" spans="1:7">
      <c r="A15" s="8">
        <v>13</v>
      </c>
      <c r="B15" s="9">
        <v>46090</v>
      </c>
      <c r="C15" s="29" t="s">
        <v>33</v>
      </c>
      <c r="D15" s="30" t="s">
        <v>77</v>
      </c>
      <c r="E15" s="31">
        <v>3</v>
      </c>
      <c r="F15" s="30"/>
      <c r="G15" s="12" t="s">
        <v>15</v>
      </c>
    </row>
    <row r="16" customFormat="1" ht="22" customHeight="1" spans="1:7">
      <c r="A16" s="8">
        <v>14</v>
      </c>
      <c r="B16" s="9">
        <v>46090</v>
      </c>
      <c r="C16" s="29" t="s">
        <v>25</v>
      </c>
      <c r="D16" s="30" t="s">
        <v>77</v>
      </c>
      <c r="E16" s="30"/>
      <c r="F16" s="29">
        <v>3</v>
      </c>
      <c r="G16" s="33" t="s">
        <v>15</v>
      </c>
    </row>
    <row r="17" customFormat="1" ht="22" customHeight="1" spans="1:8">
      <c r="A17" s="8">
        <v>15</v>
      </c>
      <c r="B17" s="9">
        <v>46090</v>
      </c>
      <c r="C17" s="29" t="s">
        <v>34</v>
      </c>
      <c r="D17" s="30" t="s">
        <v>79</v>
      </c>
      <c r="E17" s="29">
        <v>5</v>
      </c>
      <c r="F17" s="31"/>
      <c r="G17" s="12" t="s">
        <v>21</v>
      </c>
    </row>
    <row r="18" customFormat="1" ht="22" customHeight="1" spans="1:8">
      <c r="A18" s="8">
        <v>16</v>
      </c>
      <c r="B18" s="9">
        <v>46090</v>
      </c>
      <c r="C18" s="30" t="s">
        <v>36</v>
      </c>
      <c r="D18" s="30" t="s">
        <v>77</v>
      </c>
      <c r="E18" s="31">
        <v>3</v>
      </c>
      <c r="F18" s="32"/>
      <c r="G18" s="33" t="s">
        <v>15</v>
      </c>
    </row>
    <row r="19" customFormat="1" ht="22" customHeight="1" spans="1:8">
      <c r="A19" s="8"/>
      <c r="B19" s="9"/>
      <c r="C19" s="17" t="s">
        <v>37</v>
      </c>
      <c r="D19" s="44"/>
      <c r="E19" s="45"/>
      <c r="F19" s="15"/>
      <c r="G19" s="33" t="s">
        <v>15</v>
      </c>
      <c r="H19" t="s">
        <v>80</v>
      </c>
    </row>
    <row r="20" customFormat="1" ht="22" customHeight="1" spans="1:8">
      <c r="A20" s="8"/>
      <c r="B20" s="16"/>
      <c r="C20" s="17"/>
      <c r="D20" s="18"/>
      <c r="E20" s="19"/>
      <c r="F20" s="20"/>
      <c r="G20" s="20"/>
    </row>
    <row r="21" ht="13.5" spans="1:8">
      <c r="E21" s="27">
        <f>SUM(E3:E20)</f>
        <v>56</v>
      </c>
      <c r="F21" s="27">
        <f>SUM(F3:F20)</f>
        <v>12</v>
      </c>
    </row>
    <row r="22" ht="12.75"/>
    <row r="23" ht="15.75" spans="1:8">
      <c r="C23" s="43" t="s">
        <v>54</v>
      </c>
      <c r="D23" s="30" t="s">
        <v>77</v>
      </c>
      <c r="E23" s="31">
        <v>3</v>
      </c>
    </row>
    <row r="24" ht="15.75" spans="1:8">
      <c r="C24" s="43" t="s">
        <v>58</v>
      </c>
      <c r="D24" s="30" t="s">
        <v>77</v>
      </c>
      <c r="E24" s="31">
        <v>3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G20" sqref="G20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9.8571428571429" customWidth="1"/>
  </cols>
  <sheetData>
    <row r="1" ht="38" customHeight="1" spans="1:7">
      <c r="A1" s="2" t="s">
        <v>73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65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</row>
    <row r="3" ht="22" customHeight="1" spans="1:7">
      <c r="A3" s="8">
        <v>1</v>
      </c>
      <c r="B3" s="9">
        <v>46093</v>
      </c>
      <c r="C3" s="29" t="s">
        <v>13</v>
      </c>
      <c r="D3" s="30" t="s">
        <v>81</v>
      </c>
      <c r="E3" s="30"/>
      <c r="F3" s="29">
        <v>2</v>
      </c>
      <c r="G3" s="12" t="s">
        <v>15</v>
      </c>
    </row>
    <row r="4" ht="22" customHeight="1" spans="1:7">
      <c r="A4" s="8">
        <v>2</v>
      </c>
      <c r="B4" s="9">
        <v>46093</v>
      </c>
      <c r="C4" s="29" t="s">
        <v>17</v>
      </c>
      <c r="D4" s="30" t="s">
        <v>81</v>
      </c>
      <c r="E4" s="29">
        <v>2</v>
      </c>
      <c r="F4" s="30"/>
      <c r="G4" s="12" t="s">
        <v>15</v>
      </c>
    </row>
    <row r="5" ht="22" customHeight="1" spans="1:7">
      <c r="A5" s="8">
        <v>3</v>
      </c>
      <c r="B5" s="9">
        <v>46093</v>
      </c>
      <c r="C5" s="29" t="s">
        <v>18</v>
      </c>
      <c r="D5" s="30" t="s">
        <v>82</v>
      </c>
      <c r="E5" s="30"/>
      <c r="F5" s="29">
        <v>4</v>
      </c>
      <c r="G5" s="12" t="s">
        <v>19</v>
      </c>
    </row>
    <row r="6" ht="22" customHeight="1" spans="1:7">
      <c r="A6" s="8">
        <v>4</v>
      </c>
      <c r="B6" s="9">
        <v>46093</v>
      </c>
      <c r="C6" s="29" t="s">
        <v>20</v>
      </c>
      <c r="D6" s="30" t="s">
        <v>79</v>
      </c>
      <c r="E6" s="29"/>
      <c r="F6" s="29">
        <v>5</v>
      </c>
      <c r="G6" s="12" t="s">
        <v>21</v>
      </c>
    </row>
    <row r="7" ht="22" customHeight="1" spans="1:7">
      <c r="A7" s="8">
        <v>5</v>
      </c>
      <c r="B7" s="9">
        <v>46093</v>
      </c>
      <c r="C7" s="29" t="s">
        <v>22</v>
      </c>
      <c r="D7" s="30" t="s">
        <v>79</v>
      </c>
      <c r="E7" s="29"/>
      <c r="F7" s="29">
        <v>5</v>
      </c>
      <c r="G7" s="12" t="s">
        <v>21</v>
      </c>
    </row>
    <row r="8" ht="22" customHeight="1" spans="1:7">
      <c r="A8" s="8">
        <v>6</v>
      </c>
      <c r="B8" s="9">
        <v>46093</v>
      </c>
      <c r="C8" s="29" t="s">
        <v>23</v>
      </c>
      <c r="D8" s="30" t="s">
        <v>82</v>
      </c>
      <c r="E8" s="29">
        <v>4</v>
      </c>
      <c r="F8" s="30"/>
      <c r="G8" s="12" t="s">
        <v>19</v>
      </c>
    </row>
    <row r="9" ht="22" customHeight="1" spans="1:7">
      <c r="A9" s="8">
        <v>7</v>
      </c>
      <c r="B9" s="9">
        <v>46093</v>
      </c>
      <c r="C9" s="29" t="s">
        <v>24</v>
      </c>
      <c r="D9" s="30" t="s">
        <v>82</v>
      </c>
      <c r="E9" s="29">
        <v>4</v>
      </c>
      <c r="F9" s="30"/>
      <c r="G9" s="12" t="s">
        <v>19</v>
      </c>
    </row>
    <row r="10" ht="22" customHeight="1" spans="1:7">
      <c r="A10" s="8">
        <v>8</v>
      </c>
      <c r="B10" s="9">
        <v>46093</v>
      </c>
      <c r="C10" s="29" t="s">
        <v>25</v>
      </c>
      <c r="D10" s="30" t="s">
        <v>81</v>
      </c>
      <c r="E10" s="29"/>
      <c r="F10" s="29">
        <v>2</v>
      </c>
      <c r="G10" s="12" t="s">
        <v>26</v>
      </c>
    </row>
    <row r="11" customFormat="1" ht="22" customHeight="1" spans="1:7">
      <c r="A11" s="8">
        <v>9</v>
      </c>
      <c r="B11" s="9">
        <v>46093</v>
      </c>
      <c r="C11" s="29" t="s">
        <v>27</v>
      </c>
      <c r="D11" s="30" t="s">
        <v>79</v>
      </c>
      <c r="E11" s="29"/>
      <c r="F11" s="29">
        <v>5</v>
      </c>
      <c r="G11" s="12" t="s">
        <v>21</v>
      </c>
    </row>
    <row r="12" customFormat="1" ht="22" customHeight="1" spans="1:7">
      <c r="A12" s="8">
        <v>10</v>
      </c>
      <c r="B12" s="9">
        <v>46093</v>
      </c>
      <c r="C12" s="29" t="s">
        <v>28</v>
      </c>
      <c r="D12" s="30" t="s">
        <v>81</v>
      </c>
      <c r="E12" s="29"/>
      <c r="F12" s="29">
        <v>2</v>
      </c>
      <c r="G12" s="12" t="s">
        <v>26</v>
      </c>
    </row>
    <row r="13" customFormat="1" ht="22" customHeight="1" spans="1:7">
      <c r="A13" s="8">
        <v>11</v>
      </c>
      <c r="B13" s="9">
        <v>46093</v>
      </c>
      <c r="C13" s="29" t="s">
        <v>30</v>
      </c>
      <c r="D13" s="30" t="s">
        <v>82</v>
      </c>
      <c r="E13" s="31">
        <v>4</v>
      </c>
      <c r="F13" s="30"/>
      <c r="G13" s="12" t="s">
        <v>19</v>
      </c>
    </row>
    <row r="14" customFormat="1" ht="22" customHeight="1" spans="1:7">
      <c r="A14" s="8">
        <v>12</v>
      </c>
      <c r="B14" s="9">
        <v>46093</v>
      </c>
      <c r="C14" s="29" t="s">
        <v>32</v>
      </c>
      <c r="D14" s="30" t="s">
        <v>81</v>
      </c>
      <c r="E14" s="31">
        <v>2</v>
      </c>
      <c r="F14" s="30"/>
      <c r="G14" s="12" t="s">
        <v>15</v>
      </c>
    </row>
    <row r="15" customFormat="1" ht="22" customHeight="1" spans="1:7">
      <c r="A15" s="8">
        <v>13</v>
      </c>
      <c r="B15" s="9">
        <v>46093</v>
      </c>
      <c r="C15" s="29" t="s">
        <v>33</v>
      </c>
      <c r="D15" s="30" t="s">
        <v>81</v>
      </c>
      <c r="E15" s="31">
        <v>2</v>
      </c>
      <c r="F15" s="30"/>
      <c r="G15" s="12" t="s">
        <v>15</v>
      </c>
    </row>
    <row r="16" customFormat="1" ht="22" customHeight="1" spans="1:7">
      <c r="A16" s="8">
        <v>14</v>
      </c>
      <c r="B16" s="9">
        <v>46093</v>
      </c>
      <c r="C16" s="29" t="s">
        <v>25</v>
      </c>
      <c r="D16" s="30" t="s">
        <v>81</v>
      </c>
      <c r="E16" s="30"/>
      <c r="F16" s="29">
        <v>2</v>
      </c>
      <c r="G16" s="33" t="s">
        <v>15</v>
      </c>
    </row>
    <row r="17" customFormat="1" ht="22" customHeight="1" spans="1:7">
      <c r="A17" s="8">
        <v>15</v>
      </c>
      <c r="B17" s="9">
        <v>46093</v>
      </c>
      <c r="C17" s="29" t="s">
        <v>34</v>
      </c>
      <c r="D17" s="30" t="s">
        <v>79</v>
      </c>
      <c r="E17" s="29"/>
      <c r="F17" s="31">
        <v>5</v>
      </c>
      <c r="G17" s="12" t="s">
        <v>21</v>
      </c>
    </row>
    <row r="18" customFormat="1" ht="22" customHeight="1" spans="1:7">
      <c r="A18" s="8">
        <v>16</v>
      </c>
      <c r="B18" s="9">
        <v>46093</v>
      </c>
      <c r="C18" s="30" t="s">
        <v>36</v>
      </c>
      <c r="D18" s="30" t="s">
        <v>81</v>
      </c>
      <c r="E18" s="31">
        <v>2</v>
      </c>
      <c r="F18" s="32"/>
      <c r="G18" s="33" t="s">
        <v>15</v>
      </c>
    </row>
    <row r="19" customFormat="1" ht="22" customHeight="1" spans="1:7">
      <c r="A19" s="8">
        <v>17</v>
      </c>
      <c r="B19" s="9">
        <v>46093</v>
      </c>
      <c r="C19" s="30" t="s">
        <v>37</v>
      </c>
      <c r="D19" s="30" t="s">
        <v>81</v>
      </c>
      <c r="E19" s="31"/>
      <c r="F19" s="32">
        <v>2</v>
      </c>
      <c r="G19" s="33"/>
    </row>
    <row r="20" customFormat="1" ht="22" customHeight="1" spans="1:7">
      <c r="A20" s="8">
        <v>18</v>
      </c>
      <c r="B20" s="9">
        <v>46093</v>
      </c>
      <c r="C20" s="30" t="s">
        <v>37</v>
      </c>
      <c r="D20" s="30" t="s">
        <v>77</v>
      </c>
      <c r="E20" s="31"/>
      <c r="F20" s="32">
        <v>3</v>
      </c>
      <c r="G20" s="33" t="s">
        <v>83</v>
      </c>
    </row>
    <row r="21" customFormat="1" ht="22" customHeight="1" spans="1:7">
      <c r="A21" s="8"/>
      <c r="B21" s="16"/>
      <c r="C21" s="17"/>
      <c r="D21" s="18"/>
      <c r="E21" s="19"/>
      <c r="F21" s="20"/>
      <c r="G21" s="20"/>
    </row>
    <row r="22" ht="13.5" spans="1:7">
      <c r="E22" s="27">
        <f>SUM(E3:E21)</f>
        <v>20</v>
      </c>
      <c r="F22" s="27">
        <f>SUM(F3:F21)</f>
        <v>37</v>
      </c>
    </row>
    <row r="23" ht="12.75"/>
    <row r="24" ht="15.75" spans="1:7">
      <c r="C24" s="43" t="s">
        <v>54</v>
      </c>
      <c r="D24" s="30" t="s">
        <v>81</v>
      </c>
    </row>
    <row r="25" ht="15.75" spans="1:7">
      <c r="C25" s="43" t="s">
        <v>58</v>
      </c>
      <c r="D25" s="30" t="s">
        <v>81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G23" sqref="G23"/>
    </sheetView>
  </sheetViews>
  <sheetFormatPr defaultColWidth="9.14285714285714" defaultRowHeight="12"/>
  <cols>
    <col min="1" max="1" width="10.1428571428571" customWidth="1"/>
    <col min="2" max="2" width="14.4285714285714" customWidth="1"/>
    <col min="3" max="3" width="18.5714285714286" customWidth="1"/>
    <col min="4" max="6" width="12.1428571428571" customWidth="1"/>
    <col min="7" max="7" width="29.8571428571429" customWidth="1"/>
    <col min="10" max="10" width="10.1428571428571" customWidth="1"/>
    <col min="11" max="11" width="14.4285714285714" customWidth="1"/>
    <col min="12" max="12" width="18.5714285714286" customWidth="1"/>
    <col min="13" max="15" width="12.1428571428571" customWidth="1"/>
    <col min="16" max="16" width="29.8571428571429" customWidth="1"/>
  </cols>
  <sheetData>
    <row r="1" ht="38" customHeight="1" spans="1:16">
      <c r="A1" s="2" t="s">
        <v>73</v>
      </c>
      <c r="B1" s="2"/>
      <c r="C1" s="2"/>
      <c r="D1" s="2"/>
      <c r="E1" s="2"/>
      <c r="F1" s="3"/>
      <c r="G1" s="4"/>
      <c r="J1" s="2" t="s">
        <v>84</v>
      </c>
      <c r="K1" s="2"/>
      <c r="L1" s="2"/>
      <c r="M1" s="2"/>
      <c r="N1" s="2"/>
      <c r="O1" s="3"/>
      <c r="P1" s="4"/>
    </row>
    <row r="2" s="1" customFormat="1" ht="32" customHeight="1" spans="1:16">
      <c r="A2" s="5" t="s">
        <v>2</v>
      </c>
      <c r="B2" s="5" t="s">
        <v>65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J2" s="5" t="s">
        <v>2</v>
      </c>
      <c r="K2" s="5" t="s">
        <v>65</v>
      </c>
      <c r="L2" s="5" t="s">
        <v>3</v>
      </c>
      <c r="M2" s="6" t="s">
        <v>74</v>
      </c>
      <c r="N2" s="7" t="s">
        <v>75</v>
      </c>
      <c r="O2" s="7" t="s">
        <v>76</v>
      </c>
      <c r="P2" s="7" t="s">
        <v>7</v>
      </c>
    </row>
    <row r="3" ht="22" customHeight="1" spans="1:16">
      <c r="A3" s="8">
        <v>1</v>
      </c>
      <c r="B3" s="9">
        <v>46097</v>
      </c>
      <c r="C3" s="29" t="s">
        <v>13</v>
      </c>
      <c r="D3" s="30" t="s">
        <v>77</v>
      </c>
      <c r="E3" s="30"/>
      <c r="F3" s="29">
        <v>3</v>
      </c>
      <c r="G3" s="12" t="s">
        <v>15</v>
      </c>
      <c r="J3" s="13">
        <v>1</v>
      </c>
      <c r="K3" s="9">
        <v>46097</v>
      </c>
      <c r="L3" s="30" t="s">
        <v>54</v>
      </c>
      <c r="M3" s="30" t="s">
        <v>77</v>
      </c>
      <c r="N3" s="31">
        <v>3</v>
      </c>
      <c r="O3" s="32"/>
      <c r="P3" s="33"/>
    </row>
    <row r="4" ht="22" customHeight="1" spans="1:16">
      <c r="A4" s="8">
        <v>2</v>
      </c>
      <c r="B4" s="9">
        <v>46097</v>
      </c>
      <c r="C4" s="29" t="s">
        <v>17</v>
      </c>
      <c r="D4" s="30" t="s">
        <v>77</v>
      </c>
      <c r="E4" s="29">
        <v>3</v>
      </c>
      <c r="F4" s="30"/>
      <c r="G4" s="12" t="s">
        <v>15</v>
      </c>
      <c r="J4" s="13">
        <v>2</v>
      </c>
      <c r="K4" s="9">
        <v>46097</v>
      </c>
      <c r="L4" s="30" t="s">
        <v>58</v>
      </c>
      <c r="M4" s="30" t="s">
        <v>77</v>
      </c>
      <c r="N4" s="31">
        <v>3</v>
      </c>
      <c r="O4" s="32"/>
      <c r="P4" s="33"/>
    </row>
    <row r="5" ht="22" customHeight="1" spans="1:16">
      <c r="A5" s="8">
        <v>3</v>
      </c>
      <c r="B5" s="9">
        <v>46097</v>
      </c>
      <c r="C5" s="29" t="s">
        <v>18</v>
      </c>
      <c r="D5" s="30" t="s">
        <v>78</v>
      </c>
      <c r="E5" s="30"/>
      <c r="F5" s="29">
        <v>6</v>
      </c>
      <c r="G5" s="12" t="s">
        <v>19</v>
      </c>
      <c r="J5" s="13">
        <v>3</v>
      </c>
      <c r="K5" s="9"/>
      <c r="L5" s="11"/>
      <c r="M5" s="11"/>
      <c r="N5" s="14"/>
      <c r="O5" s="15"/>
      <c r="P5" s="14"/>
    </row>
    <row r="6" ht="22" customHeight="1" spans="1:16">
      <c r="A6" s="8">
        <v>4</v>
      </c>
      <c r="B6" s="9">
        <v>46097</v>
      </c>
      <c r="C6" s="29" t="s">
        <v>20</v>
      </c>
      <c r="D6" s="30" t="s">
        <v>79</v>
      </c>
      <c r="E6" s="29">
        <v>5</v>
      </c>
      <c r="F6" s="29"/>
      <c r="G6" s="12" t="s">
        <v>21</v>
      </c>
      <c r="J6" s="13">
        <v>4</v>
      </c>
      <c r="K6" s="16"/>
      <c r="L6" s="17"/>
      <c r="M6" s="18"/>
      <c r="N6" s="19"/>
      <c r="O6" s="20"/>
      <c r="P6" s="20"/>
    </row>
    <row r="7" ht="22" customHeight="1" spans="1:16">
      <c r="A7" s="8">
        <v>5</v>
      </c>
      <c r="B7" s="9">
        <v>46097</v>
      </c>
      <c r="C7" s="29" t="s">
        <v>22</v>
      </c>
      <c r="D7" s="30" t="s">
        <v>79</v>
      </c>
      <c r="E7" s="29">
        <v>5</v>
      </c>
      <c r="F7" s="29"/>
      <c r="G7" s="12" t="s">
        <v>21</v>
      </c>
      <c r="M7" s="27"/>
      <c r="N7" s="27">
        <f>SUM(N3:N6)</f>
        <v>6</v>
      </c>
      <c r="O7" s="27">
        <f>SUM(O3:O6)</f>
        <v>0</v>
      </c>
    </row>
    <row r="8" ht="22" customHeight="1" spans="1:16">
      <c r="A8" s="8">
        <v>6</v>
      </c>
      <c r="B8" s="9">
        <v>46097</v>
      </c>
      <c r="C8" s="29" t="s">
        <v>23</v>
      </c>
      <c r="D8" s="30" t="s">
        <v>78</v>
      </c>
      <c r="E8" s="29">
        <v>6</v>
      </c>
      <c r="F8" s="30"/>
      <c r="G8" s="12" t="s">
        <v>19</v>
      </c>
    </row>
    <row r="9" ht="22" customHeight="1" spans="1:16">
      <c r="A9" s="8">
        <v>7</v>
      </c>
      <c r="B9" s="9">
        <v>46097</v>
      </c>
      <c r="C9" s="29" t="s">
        <v>24</v>
      </c>
      <c r="D9" s="30" t="s">
        <v>78</v>
      </c>
      <c r="E9" s="29">
        <v>6</v>
      </c>
      <c r="F9" s="30"/>
      <c r="G9" s="12" t="s">
        <v>19</v>
      </c>
    </row>
    <row r="10" ht="22" customHeight="1" spans="1:16">
      <c r="A10" s="8">
        <v>8</v>
      </c>
      <c r="B10" s="9">
        <v>46097</v>
      </c>
      <c r="C10" s="29" t="s">
        <v>25</v>
      </c>
      <c r="D10" s="30" t="s">
        <v>77</v>
      </c>
      <c r="E10" s="29">
        <v>3</v>
      </c>
      <c r="F10" s="29"/>
      <c r="G10" s="12" t="s">
        <v>26</v>
      </c>
    </row>
    <row r="11" customFormat="1" ht="22" customHeight="1" spans="1:16">
      <c r="A11" s="8">
        <v>9</v>
      </c>
      <c r="B11" s="9">
        <v>46097</v>
      </c>
      <c r="C11" s="29" t="s">
        <v>27</v>
      </c>
      <c r="D11" s="30" t="s">
        <v>79</v>
      </c>
      <c r="E11" s="29">
        <v>5</v>
      </c>
      <c r="F11" s="29"/>
      <c r="G11" s="12" t="s">
        <v>21</v>
      </c>
    </row>
    <row r="12" customFormat="1" ht="22" customHeight="1" spans="1:16">
      <c r="A12" s="8">
        <v>10</v>
      </c>
      <c r="B12" s="9">
        <v>46097</v>
      </c>
      <c r="C12" s="29" t="s">
        <v>28</v>
      </c>
      <c r="D12" s="30" t="s">
        <v>77</v>
      </c>
      <c r="E12" s="29">
        <v>3</v>
      </c>
      <c r="F12" s="29"/>
      <c r="G12" s="12" t="s">
        <v>26</v>
      </c>
    </row>
    <row r="13" customFormat="1" ht="22" customHeight="1" spans="1:16">
      <c r="A13" s="8">
        <v>11</v>
      </c>
      <c r="B13" s="9">
        <v>46097</v>
      </c>
      <c r="C13" s="29" t="s">
        <v>30</v>
      </c>
      <c r="D13" s="30" t="s">
        <v>78</v>
      </c>
      <c r="E13" s="31">
        <v>6</v>
      </c>
      <c r="F13" s="30"/>
      <c r="G13" s="12" t="s">
        <v>19</v>
      </c>
    </row>
    <row r="14" customFormat="1" ht="22" customHeight="1" spans="1:16">
      <c r="A14" s="8">
        <v>12</v>
      </c>
      <c r="B14" s="9">
        <v>46097</v>
      </c>
      <c r="C14" s="29" t="s">
        <v>32</v>
      </c>
      <c r="D14" s="30" t="s">
        <v>77</v>
      </c>
      <c r="E14" s="31">
        <v>3</v>
      </c>
      <c r="F14" s="30"/>
      <c r="G14" s="12" t="s">
        <v>15</v>
      </c>
    </row>
    <row r="15" customFormat="1" ht="22" customHeight="1" spans="1:16">
      <c r="A15" s="8">
        <v>13</v>
      </c>
      <c r="B15" s="9">
        <v>46097</v>
      </c>
      <c r="C15" s="29" t="s">
        <v>33</v>
      </c>
      <c r="D15" s="30" t="s">
        <v>77</v>
      </c>
      <c r="E15" s="31">
        <v>3</v>
      </c>
      <c r="F15" s="30"/>
      <c r="G15" s="12" t="s">
        <v>15</v>
      </c>
    </row>
    <row r="16" customFormat="1" ht="22" customHeight="1" spans="1:16">
      <c r="A16" s="8">
        <v>14</v>
      </c>
      <c r="B16" s="9">
        <v>46097</v>
      </c>
      <c r="C16" s="29" t="s">
        <v>25</v>
      </c>
      <c r="D16" s="30" t="s">
        <v>77</v>
      </c>
      <c r="E16" s="30"/>
      <c r="F16" s="29">
        <v>3</v>
      </c>
      <c r="G16" s="33" t="s">
        <v>15</v>
      </c>
    </row>
    <row r="17" customFormat="1" ht="22" customHeight="1" spans="1:8">
      <c r="A17" s="8">
        <v>15</v>
      </c>
      <c r="B17" s="9">
        <v>46097</v>
      </c>
      <c r="C17" s="29" t="s">
        <v>34</v>
      </c>
      <c r="D17" s="30" t="s">
        <v>79</v>
      </c>
      <c r="E17" s="29">
        <v>5</v>
      </c>
      <c r="F17" s="31"/>
      <c r="G17" s="12" t="s">
        <v>21</v>
      </c>
    </row>
    <row r="18" customFormat="1" ht="22" customHeight="1" spans="1:8">
      <c r="A18" s="8">
        <v>16</v>
      </c>
      <c r="B18" s="9">
        <v>46097</v>
      </c>
      <c r="C18" s="30" t="s">
        <v>36</v>
      </c>
      <c r="D18" s="30" t="s">
        <v>77</v>
      </c>
      <c r="E18" s="31">
        <v>3</v>
      </c>
      <c r="F18" s="32"/>
      <c r="G18" s="33" t="s">
        <v>15</v>
      </c>
    </row>
    <row r="19" customFormat="1" ht="22" customHeight="1" spans="1:8">
      <c r="A19" s="8">
        <v>17</v>
      </c>
      <c r="B19" s="9">
        <v>46097</v>
      </c>
      <c r="C19" s="30" t="s">
        <v>37</v>
      </c>
      <c r="D19" s="30" t="s">
        <v>77</v>
      </c>
      <c r="E19" s="31">
        <v>3</v>
      </c>
      <c r="F19" s="32"/>
      <c r="G19" s="33" t="s">
        <v>15</v>
      </c>
      <c r="H19" t="s">
        <v>80</v>
      </c>
    </row>
    <row r="20" customFormat="1" ht="22" customHeight="1" spans="1:8">
      <c r="A20" s="8">
        <v>18</v>
      </c>
      <c r="B20" s="9">
        <v>46100</v>
      </c>
      <c r="C20" s="11"/>
      <c r="D20" s="11" t="s">
        <v>82</v>
      </c>
      <c r="E20" s="14">
        <v>4</v>
      </c>
      <c r="F20" s="15"/>
      <c r="G20" s="14" t="s">
        <v>83</v>
      </c>
    </row>
    <row r="21" customFormat="1" ht="22" customHeight="1" spans="1:8">
      <c r="A21" s="8"/>
      <c r="B21" s="16"/>
      <c r="C21" s="17"/>
      <c r="D21" s="18"/>
      <c r="E21" s="19"/>
      <c r="F21" s="20"/>
      <c r="G21" s="20"/>
    </row>
    <row r="22" ht="13.5" spans="1:8">
      <c r="E22" s="27">
        <f>SUM(E3:E21)</f>
        <v>63</v>
      </c>
      <c r="F22" s="27">
        <f>SUM(F3:F21)</f>
        <v>12</v>
      </c>
    </row>
  </sheetData>
  <mergeCells count="2">
    <mergeCell ref="A1:G1"/>
    <mergeCell ref="J1:P1"/>
  </mergeCells>
  <pageMargins left="0.75" right="0.75" top="1" bottom="1" header="0.5" footer="0.5"/>
  <pageSetup paperSize="256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K5" sqref="K5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1.5714285714286" customWidth="1"/>
    <col min="4" max="6" width="12.1428571428571" customWidth="1"/>
    <col min="7" max="7" width="33" customWidth="1"/>
    <col min="9" max="9" width="12.1428571428571" customWidth="1"/>
    <col min="10" max="10" width="18.1428571428571" customWidth="1"/>
    <col min="11" max="11" width="17.5714285714286" customWidth="1"/>
    <col min="12" max="15" width="19.5714285714286" customWidth="1"/>
  </cols>
  <sheetData>
    <row r="1" ht="38" customHeight="1" spans="1:15">
      <c r="A1" s="2" t="s">
        <v>73</v>
      </c>
      <c r="B1" s="2"/>
      <c r="C1" s="2"/>
      <c r="D1" s="2"/>
      <c r="E1" s="2"/>
      <c r="F1" s="3"/>
      <c r="G1" s="4"/>
      <c r="I1" s="2" t="s">
        <v>84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65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65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ht="22" customHeight="1" spans="1:15">
      <c r="A3" s="8">
        <v>1</v>
      </c>
      <c r="B3" s="9">
        <v>46100</v>
      </c>
      <c r="C3" s="10" t="s">
        <v>13</v>
      </c>
      <c r="D3" s="11" t="s">
        <v>81</v>
      </c>
      <c r="E3" s="11"/>
      <c r="F3" s="10">
        <v>2</v>
      </c>
      <c r="G3" s="12" t="s">
        <v>15</v>
      </c>
      <c r="I3" s="13">
        <v>1</v>
      </c>
      <c r="J3" s="9">
        <v>46100</v>
      </c>
      <c r="K3" s="11" t="s">
        <v>54</v>
      </c>
      <c r="L3" s="11" t="s">
        <v>81</v>
      </c>
      <c r="M3" s="14">
        <v>2</v>
      </c>
      <c r="N3" s="15"/>
      <c r="O3" s="14"/>
    </row>
    <row r="4" ht="22" customHeight="1" spans="1:15">
      <c r="A4" s="8">
        <v>2</v>
      </c>
      <c r="B4" s="9">
        <v>46100</v>
      </c>
      <c r="C4" s="10" t="s">
        <v>17</v>
      </c>
      <c r="D4" s="11" t="s">
        <v>81</v>
      </c>
      <c r="E4" s="10">
        <v>3</v>
      </c>
      <c r="F4" s="11"/>
      <c r="G4" s="12" t="s">
        <v>15</v>
      </c>
      <c r="I4" s="13">
        <v>2</v>
      </c>
      <c r="J4" s="9">
        <v>46100</v>
      </c>
      <c r="K4" s="11" t="s">
        <v>58</v>
      </c>
      <c r="L4" s="11" t="s">
        <v>81</v>
      </c>
      <c r="M4" s="14">
        <v>2</v>
      </c>
      <c r="N4" s="15"/>
      <c r="O4" s="14"/>
    </row>
    <row r="5" ht="22" customHeight="1" spans="1:15">
      <c r="A5" s="8">
        <v>3</v>
      </c>
      <c r="B5" s="9">
        <v>46100</v>
      </c>
      <c r="C5" s="10" t="s">
        <v>18</v>
      </c>
      <c r="D5" s="11" t="s">
        <v>82</v>
      </c>
      <c r="E5" s="11"/>
      <c r="F5" s="10">
        <v>4</v>
      </c>
      <c r="G5" s="12" t="s">
        <v>19</v>
      </c>
      <c r="I5" s="13">
        <v>3</v>
      </c>
      <c r="J5" s="16"/>
      <c r="K5" s="17"/>
      <c r="L5" s="18"/>
      <c r="M5" s="19"/>
      <c r="N5" s="20"/>
      <c r="O5" s="20"/>
    </row>
    <row r="6" ht="22" customHeight="1" spans="1:15">
      <c r="A6" s="8">
        <v>4</v>
      </c>
      <c r="B6" s="9">
        <v>46100</v>
      </c>
      <c r="C6" s="10" t="s">
        <v>20</v>
      </c>
      <c r="D6" s="11" t="s">
        <v>79</v>
      </c>
      <c r="E6" s="10"/>
      <c r="F6" s="10">
        <v>5</v>
      </c>
      <c r="G6" s="12" t="s">
        <v>21</v>
      </c>
      <c r="M6" s="21">
        <f>SUM(M3:M5)</f>
        <v>4</v>
      </c>
      <c r="N6" s="21">
        <f>SUM(N3:N5)</f>
        <v>0</v>
      </c>
    </row>
    <row r="7" ht="22" customHeight="1" spans="1:15">
      <c r="A7" s="8">
        <v>5</v>
      </c>
      <c r="B7" s="9">
        <v>46100</v>
      </c>
      <c r="C7" s="10" t="s">
        <v>22</v>
      </c>
      <c r="D7" s="11" t="s">
        <v>79</v>
      </c>
      <c r="E7" s="10"/>
      <c r="F7" s="10">
        <v>5</v>
      </c>
      <c r="G7" s="12" t="s">
        <v>21</v>
      </c>
    </row>
    <row r="8" ht="22" customHeight="1" spans="1:15">
      <c r="A8" s="8">
        <v>6</v>
      </c>
      <c r="B8" s="9">
        <v>46100</v>
      </c>
      <c r="C8" s="10" t="s">
        <v>23</v>
      </c>
      <c r="D8" s="11" t="s">
        <v>82</v>
      </c>
      <c r="E8" s="10">
        <v>4</v>
      </c>
      <c r="F8" s="11"/>
      <c r="G8" s="12" t="s">
        <v>19</v>
      </c>
    </row>
    <row r="9" ht="22" customHeight="1" spans="1:15">
      <c r="A9" s="8">
        <v>7</v>
      </c>
      <c r="B9" s="9">
        <v>46100</v>
      </c>
      <c r="C9" s="10" t="s">
        <v>24</v>
      </c>
      <c r="D9" s="11" t="s">
        <v>82</v>
      </c>
      <c r="E9" s="10">
        <v>0</v>
      </c>
      <c r="F9" s="11"/>
      <c r="G9" s="12" t="s">
        <v>19</v>
      </c>
    </row>
    <row r="10" ht="22" customHeight="1" spans="1:15">
      <c r="A10" s="8">
        <v>8</v>
      </c>
      <c r="B10" s="9">
        <v>46100</v>
      </c>
      <c r="C10" s="10" t="s">
        <v>25</v>
      </c>
      <c r="D10" s="11" t="s">
        <v>81</v>
      </c>
      <c r="E10" s="10"/>
      <c r="F10" s="10">
        <v>2</v>
      </c>
      <c r="G10" s="12" t="s">
        <v>26</v>
      </c>
    </row>
    <row r="11" customFormat="1" ht="22" customHeight="1" spans="1:15">
      <c r="A11" s="8">
        <v>9</v>
      </c>
      <c r="B11" s="9">
        <v>46100</v>
      </c>
      <c r="C11" s="10" t="s">
        <v>27</v>
      </c>
      <c r="D11" s="11" t="s">
        <v>79</v>
      </c>
      <c r="E11" s="10"/>
      <c r="F11" s="10">
        <v>5</v>
      </c>
      <c r="G11" s="12" t="s">
        <v>21</v>
      </c>
    </row>
    <row r="12" customFormat="1" ht="22" customHeight="1" spans="1:15">
      <c r="A12" s="8">
        <v>10</v>
      </c>
      <c r="B12" s="9">
        <v>46100</v>
      </c>
      <c r="C12" s="10" t="s">
        <v>28</v>
      </c>
      <c r="D12" s="11" t="s">
        <v>81</v>
      </c>
      <c r="E12" s="10"/>
      <c r="F12" s="10">
        <v>2</v>
      </c>
      <c r="G12" s="12" t="s">
        <v>26</v>
      </c>
    </row>
    <row r="13" customFormat="1" ht="22" customHeight="1" spans="1:15">
      <c r="A13" s="8">
        <v>11</v>
      </c>
      <c r="B13" s="9">
        <v>46100</v>
      </c>
      <c r="C13" s="10" t="s">
        <v>30</v>
      </c>
      <c r="D13" s="11" t="s">
        <v>82</v>
      </c>
      <c r="E13" s="14">
        <v>4</v>
      </c>
      <c r="F13" s="11"/>
      <c r="G13" s="12" t="s">
        <v>19</v>
      </c>
    </row>
    <row r="14" customFormat="1" ht="22" customHeight="1" spans="1:15">
      <c r="A14" s="8">
        <v>12</v>
      </c>
      <c r="B14" s="9">
        <v>46100</v>
      </c>
      <c r="C14" s="10" t="s">
        <v>32</v>
      </c>
      <c r="D14" s="11" t="s">
        <v>81</v>
      </c>
      <c r="E14" s="14">
        <v>3</v>
      </c>
      <c r="F14" s="11"/>
      <c r="G14" s="12" t="s">
        <v>15</v>
      </c>
    </row>
    <row r="15" customFormat="1" ht="22" customHeight="1" spans="1:15">
      <c r="A15" s="8">
        <v>13</v>
      </c>
      <c r="B15" s="9">
        <v>46100</v>
      </c>
      <c r="C15" s="10" t="s">
        <v>33</v>
      </c>
      <c r="D15" s="11" t="s">
        <v>81</v>
      </c>
      <c r="E15" s="14">
        <v>2</v>
      </c>
      <c r="F15" s="11"/>
      <c r="G15" s="10" t="s">
        <v>15</v>
      </c>
    </row>
    <row r="16" customFormat="1" ht="22" customHeight="1" spans="1:15">
      <c r="A16" s="8">
        <v>14</v>
      </c>
      <c r="B16" s="9">
        <v>46100</v>
      </c>
      <c r="C16" s="10" t="s">
        <v>25</v>
      </c>
      <c r="D16" s="11" t="s">
        <v>81</v>
      </c>
      <c r="E16" s="11"/>
      <c r="F16" s="10">
        <v>2</v>
      </c>
      <c r="G16" s="14" t="s">
        <v>15</v>
      </c>
    </row>
    <row r="17" customFormat="1" ht="22" customHeight="1" spans="1:7">
      <c r="A17" s="8">
        <v>15</v>
      </c>
      <c r="B17" s="9">
        <v>46100</v>
      </c>
      <c r="C17" s="10" t="s">
        <v>34</v>
      </c>
      <c r="D17" s="11" t="s">
        <v>79</v>
      </c>
      <c r="E17" s="10"/>
      <c r="F17" s="14">
        <v>5</v>
      </c>
      <c r="G17" s="10" t="s">
        <v>21</v>
      </c>
    </row>
    <row r="18" customFormat="1" ht="22" customHeight="1" spans="1:7">
      <c r="A18" s="8">
        <v>16</v>
      </c>
      <c r="B18" s="9">
        <v>46100</v>
      </c>
      <c r="C18" s="11" t="s">
        <v>36</v>
      </c>
      <c r="D18" s="11" t="s">
        <v>81</v>
      </c>
      <c r="E18" s="14">
        <v>4</v>
      </c>
      <c r="F18" s="15"/>
      <c r="G18" s="14" t="s">
        <v>15</v>
      </c>
    </row>
    <row r="19" customFormat="1" ht="22" customHeight="1" spans="1:7">
      <c r="A19" s="8">
        <v>17</v>
      </c>
      <c r="B19" s="9">
        <v>46100</v>
      </c>
      <c r="C19" s="11" t="s">
        <v>37</v>
      </c>
      <c r="D19" s="11" t="s">
        <v>81</v>
      </c>
      <c r="E19" s="14"/>
      <c r="F19" s="15">
        <v>2</v>
      </c>
      <c r="G19" s="14"/>
    </row>
    <row r="20" customFormat="1" ht="22" customHeight="1" spans="1:7">
      <c r="A20" s="8"/>
      <c r="B20" s="16"/>
      <c r="C20" s="17"/>
      <c r="D20" s="18"/>
      <c r="E20" s="19"/>
      <c r="F20" s="20"/>
      <c r="G20" s="20"/>
    </row>
    <row r="21" ht="13.5" spans="1:7">
      <c r="E21" s="27">
        <f>SUM(E3:E20)</f>
        <v>20</v>
      </c>
      <c r="F21" s="27">
        <f>SUM(F3:F20)</f>
        <v>34</v>
      </c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I3" sqref="I3:I19"/>
    </sheetView>
  </sheetViews>
  <sheetFormatPr defaultColWidth="9.14285714285714" defaultRowHeight="12"/>
  <cols>
    <col min="1" max="1" width="10.1428571428571" customWidth="1"/>
    <col min="2" max="2" width="14.4285714285714" customWidth="1"/>
    <col min="3" max="3" width="18.5714285714286" customWidth="1"/>
    <col min="4" max="6" width="12.1428571428571" customWidth="1"/>
    <col min="7" max="7" width="29.8571428571429" customWidth="1"/>
    <col min="10" max="10" width="10.1428571428571" customWidth="1"/>
    <col min="11" max="11" width="14.4285714285714" customWidth="1"/>
    <col min="12" max="12" width="18.5714285714286" customWidth="1"/>
    <col min="13" max="15" width="12.1428571428571" customWidth="1"/>
    <col min="16" max="16" width="29.8571428571429" customWidth="1"/>
  </cols>
  <sheetData>
    <row r="1" customFormat="1" ht="38" customHeight="1" spans="1:16">
      <c r="A1" s="2" t="s">
        <v>73</v>
      </c>
      <c r="B1" s="2"/>
      <c r="C1" s="2"/>
      <c r="D1" s="2"/>
      <c r="E1" s="2"/>
      <c r="F1" s="3"/>
      <c r="G1" s="4"/>
      <c r="J1" s="2" t="s">
        <v>84</v>
      </c>
      <c r="K1" s="2"/>
      <c r="L1" s="2"/>
      <c r="M1" s="2"/>
      <c r="N1" s="2"/>
      <c r="O1" s="3"/>
      <c r="P1" s="4"/>
    </row>
    <row r="2" s="1" customFormat="1" ht="32" customHeight="1" spans="1:16">
      <c r="A2" s="5" t="s">
        <v>2</v>
      </c>
      <c r="B2" s="5" t="s">
        <v>65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J2" s="5" t="s">
        <v>2</v>
      </c>
      <c r="K2" s="5" t="s">
        <v>65</v>
      </c>
      <c r="L2" s="5" t="s">
        <v>3</v>
      </c>
      <c r="M2" s="6" t="s">
        <v>74</v>
      </c>
      <c r="N2" s="7" t="s">
        <v>75</v>
      </c>
      <c r="O2" s="7" t="s">
        <v>76</v>
      </c>
      <c r="P2" s="7" t="s">
        <v>7</v>
      </c>
    </row>
    <row r="3" customFormat="1" ht="22" customHeight="1" spans="1:16">
      <c r="A3" s="8">
        <v>1</v>
      </c>
      <c r="B3" s="9">
        <v>46104</v>
      </c>
      <c r="C3" s="29" t="s">
        <v>13</v>
      </c>
      <c r="D3" s="30" t="s">
        <v>77</v>
      </c>
      <c r="E3" s="30"/>
      <c r="F3" s="29">
        <v>3</v>
      </c>
      <c r="G3" s="12" t="s">
        <v>15</v>
      </c>
      <c r="I3">
        <f>SUM(E3:F3)</f>
        <v>3</v>
      </c>
      <c r="J3" s="13">
        <v>1</v>
      </c>
      <c r="K3" s="9">
        <v>46097</v>
      </c>
      <c r="L3" s="30" t="s">
        <v>54</v>
      </c>
      <c r="M3" s="30" t="s">
        <v>77</v>
      </c>
      <c r="N3" s="31">
        <v>3</v>
      </c>
      <c r="O3" s="32"/>
      <c r="P3" s="33"/>
    </row>
    <row r="4" customFormat="1" ht="22" customHeight="1" spans="1:16">
      <c r="A4" s="8">
        <v>2</v>
      </c>
      <c r="B4" s="9">
        <v>46104</v>
      </c>
      <c r="C4" s="29" t="s">
        <v>17</v>
      </c>
      <c r="D4" s="30" t="s">
        <v>77</v>
      </c>
      <c r="E4" s="29">
        <v>3</v>
      </c>
      <c r="F4" s="30"/>
      <c r="G4" s="12" t="s">
        <v>15</v>
      </c>
      <c r="I4">
        <f>SUM(E4:F4)</f>
        <v>3</v>
      </c>
      <c r="J4" s="13">
        <v>2</v>
      </c>
      <c r="K4" s="9">
        <v>46097</v>
      </c>
      <c r="L4" s="30" t="s">
        <v>58</v>
      </c>
      <c r="M4" s="30" t="s">
        <v>77</v>
      </c>
      <c r="N4" s="31">
        <v>3</v>
      </c>
      <c r="O4" s="32"/>
      <c r="P4" s="33"/>
    </row>
    <row r="5" customFormat="1" ht="22" customHeight="1" spans="1:16">
      <c r="A5" s="8">
        <v>3</v>
      </c>
      <c r="B5" s="9">
        <v>46104</v>
      </c>
      <c r="C5" s="29" t="s">
        <v>18</v>
      </c>
      <c r="D5" s="30" t="s">
        <v>78</v>
      </c>
      <c r="E5" s="30"/>
      <c r="F5" s="29">
        <v>6</v>
      </c>
      <c r="G5" s="12" t="s">
        <v>19</v>
      </c>
      <c r="I5">
        <f>SUM(E5:F5)</f>
        <v>6</v>
      </c>
      <c r="J5" s="13">
        <v>3</v>
      </c>
      <c r="K5" s="9"/>
      <c r="L5" s="11"/>
      <c r="M5" s="11"/>
      <c r="N5" s="14"/>
      <c r="O5" s="15"/>
      <c r="P5" s="14"/>
    </row>
    <row r="6" customFormat="1" ht="22" customHeight="1" spans="1:16">
      <c r="A6" s="8">
        <v>4</v>
      </c>
      <c r="B6" s="9">
        <v>46104</v>
      </c>
      <c r="C6" s="29" t="s">
        <v>20</v>
      </c>
      <c r="D6" s="30" t="s">
        <v>79</v>
      </c>
      <c r="E6" s="29">
        <v>5</v>
      </c>
      <c r="F6" s="29"/>
      <c r="G6" s="12" t="s">
        <v>21</v>
      </c>
      <c r="I6">
        <f>SUM(E6:F6)</f>
        <v>5</v>
      </c>
      <c r="J6" s="13">
        <v>4</v>
      </c>
      <c r="K6" s="16"/>
      <c r="L6" s="17"/>
      <c r="M6" s="18"/>
      <c r="N6" s="19"/>
      <c r="O6" s="20"/>
      <c r="P6" s="20"/>
    </row>
    <row r="7" customFormat="1" ht="22" customHeight="1" spans="1:16">
      <c r="A7" s="8">
        <v>5</v>
      </c>
      <c r="B7" s="9">
        <v>46104</v>
      </c>
      <c r="C7" s="29" t="s">
        <v>22</v>
      </c>
      <c r="D7" s="30" t="s">
        <v>79</v>
      </c>
      <c r="E7" s="29">
        <v>5</v>
      </c>
      <c r="F7" s="29"/>
      <c r="G7" s="12" t="s">
        <v>21</v>
      </c>
      <c r="I7">
        <f>SUM(E7:F7)</f>
        <v>5</v>
      </c>
      <c r="M7" s="27"/>
      <c r="N7" s="27">
        <f>SUM(N3:N6)</f>
        <v>6</v>
      </c>
      <c r="O7" s="27">
        <f>SUM(O3:O6)</f>
        <v>0</v>
      </c>
    </row>
    <row r="8" customFormat="1" ht="22" customHeight="1" spans="1:16">
      <c r="A8" s="8">
        <v>6</v>
      </c>
      <c r="B8" s="9">
        <v>46104</v>
      </c>
      <c r="C8" s="29" t="s">
        <v>23</v>
      </c>
      <c r="D8" s="30" t="s">
        <v>78</v>
      </c>
      <c r="E8" s="29">
        <v>6</v>
      </c>
      <c r="F8" s="30"/>
      <c r="G8" s="12" t="s">
        <v>19</v>
      </c>
      <c r="I8">
        <f t="shared" ref="I8:I19" si="0">SUM(E8:F8)</f>
        <v>6</v>
      </c>
    </row>
    <row r="9" customFormat="1" ht="22" customHeight="1" spans="1:16">
      <c r="A9" s="8">
        <v>7</v>
      </c>
      <c r="B9" s="9">
        <v>46104</v>
      </c>
      <c r="C9" s="29" t="s">
        <v>24</v>
      </c>
      <c r="D9" s="30">
        <v>0</v>
      </c>
      <c r="E9" s="29">
        <v>0</v>
      </c>
      <c r="F9" s="30"/>
      <c r="G9" s="12" t="s">
        <v>85</v>
      </c>
      <c r="I9">
        <f t="shared" si="0"/>
        <v>0</v>
      </c>
    </row>
    <row r="10" customFormat="1" ht="22" customHeight="1" spans="1:16">
      <c r="A10" s="8">
        <v>8</v>
      </c>
      <c r="B10" s="9">
        <v>46104</v>
      </c>
      <c r="C10" s="29" t="s">
        <v>25</v>
      </c>
      <c r="D10" s="30" t="s">
        <v>77</v>
      </c>
      <c r="E10" s="29">
        <v>3</v>
      </c>
      <c r="F10" s="29"/>
      <c r="G10" s="12" t="s">
        <v>26</v>
      </c>
      <c r="I10">
        <f t="shared" si="0"/>
        <v>3</v>
      </c>
    </row>
    <row r="11" customFormat="1" ht="22" customHeight="1" spans="1:16">
      <c r="A11" s="8">
        <v>9</v>
      </c>
      <c r="B11" s="9">
        <v>46104</v>
      </c>
      <c r="C11" s="29" t="s">
        <v>27</v>
      </c>
      <c r="D11" s="30" t="s">
        <v>79</v>
      </c>
      <c r="E11" s="29">
        <v>5</v>
      </c>
      <c r="F11" s="29"/>
      <c r="G11" s="12" t="s">
        <v>21</v>
      </c>
      <c r="I11">
        <f t="shared" si="0"/>
        <v>5</v>
      </c>
    </row>
    <row r="12" customFormat="1" ht="22" customHeight="1" spans="1:16">
      <c r="A12" s="8">
        <v>10</v>
      </c>
      <c r="B12" s="9">
        <v>46104</v>
      </c>
      <c r="C12" s="29" t="s">
        <v>28</v>
      </c>
      <c r="D12" s="30" t="s">
        <v>77</v>
      </c>
      <c r="E12" s="29">
        <v>3</v>
      </c>
      <c r="F12" s="29"/>
      <c r="G12" s="12" t="s">
        <v>26</v>
      </c>
      <c r="I12">
        <f t="shared" si="0"/>
        <v>3</v>
      </c>
    </row>
    <row r="13" customFormat="1" ht="22" customHeight="1" spans="1:16">
      <c r="A13" s="8">
        <v>11</v>
      </c>
      <c r="B13" s="9">
        <v>46104</v>
      </c>
      <c r="C13" s="29" t="s">
        <v>30</v>
      </c>
      <c r="D13" s="30" t="s">
        <v>78</v>
      </c>
      <c r="E13" s="31">
        <v>6</v>
      </c>
      <c r="F13" s="30"/>
      <c r="G13" s="12" t="s">
        <v>19</v>
      </c>
      <c r="I13">
        <f t="shared" si="0"/>
        <v>6</v>
      </c>
    </row>
    <row r="14" customFormat="1" ht="22" customHeight="1" spans="1:16">
      <c r="A14" s="8">
        <v>12</v>
      </c>
      <c r="B14" s="9">
        <v>46104</v>
      </c>
      <c r="C14" s="29" t="s">
        <v>32</v>
      </c>
      <c r="D14" s="30" t="s">
        <v>77</v>
      </c>
      <c r="E14" s="31">
        <v>3</v>
      </c>
      <c r="F14" s="30"/>
      <c r="G14" s="12" t="s">
        <v>15</v>
      </c>
      <c r="I14">
        <f t="shared" si="0"/>
        <v>3</v>
      </c>
    </row>
    <row r="15" customFormat="1" ht="22" customHeight="1" spans="1:16">
      <c r="A15" s="8">
        <v>13</v>
      </c>
      <c r="B15" s="9">
        <v>46104</v>
      </c>
      <c r="C15" s="29" t="s">
        <v>33</v>
      </c>
      <c r="D15" s="30" t="s">
        <v>77</v>
      </c>
      <c r="E15" s="31">
        <v>3</v>
      </c>
      <c r="F15" s="30"/>
      <c r="G15" s="12" t="s">
        <v>15</v>
      </c>
      <c r="I15">
        <f t="shared" si="0"/>
        <v>3</v>
      </c>
    </row>
    <row r="16" customFormat="1" ht="22" customHeight="1" spans="1:16">
      <c r="A16" s="8">
        <v>14</v>
      </c>
      <c r="B16" s="9">
        <v>46104</v>
      </c>
      <c r="C16" s="29" t="s">
        <v>25</v>
      </c>
      <c r="D16" s="30" t="s">
        <v>77</v>
      </c>
      <c r="E16" s="30"/>
      <c r="F16" s="29">
        <v>3</v>
      </c>
      <c r="G16" s="33" t="s">
        <v>15</v>
      </c>
      <c r="I16">
        <f t="shared" si="0"/>
        <v>3</v>
      </c>
    </row>
    <row r="17" customFormat="1" ht="22" customHeight="1" spans="1:9">
      <c r="A17" s="8">
        <v>15</v>
      </c>
      <c r="B17" s="9">
        <v>46104</v>
      </c>
      <c r="C17" s="29" t="s">
        <v>34</v>
      </c>
      <c r="D17" s="30" t="s">
        <v>79</v>
      </c>
      <c r="E17" s="29">
        <v>5</v>
      </c>
      <c r="F17" s="31"/>
      <c r="G17" s="12" t="s">
        <v>21</v>
      </c>
      <c r="I17">
        <f t="shared" si="0"/>
        <v>5</v>
      </c>
    </row>
    <row r="18" customFormat="1" ht="22" customHeight="1" spans="1:9">
      <c r="A18" s="8">
        <v>16</v>
      </c>
      <c r="B18" s="9">
        <v>46104</v>
      </c>
      <c r="C18" s="30" t="s">
        <v>36</v>
      </c>
      <c r="D18" s="30" t="s">
        <v>77</v>
      </c>
      <c r="E18" s="31">
        <v>3</v>
      </c>
      <c r="F18" s="32"/>
      <c r="G18" s="33" t="s">
        <v>15</v>
      </c>
      <c r="I18">
        <f t="shared" si="0"/>
        <v>3</v>
      </c>
    </row>
    <row r="19" customFormat="1" ht="22" customHeight="1" spans="1:9">
      <c r="A19" s="8">
        <v>17</v>
      </c>
      <c r="B19" s="9">
        <v>46104</v>
      </c>
      <c r="C19" s="30" t="s">
        <v>37</v>
      </c>
      <c r="D19" s="30" t="s">
        <v>77</v>
      </c>
      <c r="E19" s="31">
        <v>3</v>
      </c>
      <c r="F19" s="32"/>
      <c r="G19" s="33" t="s">
        <v>15</v>
      </c>
      <c r="H19" t="s">
        <v>80</v>
      </c>
      <c r="I19">
        <f t="shared" si="0"/>
        <v>3</v>
      </c>
    </row>
    <row r="20" customFormat="1" ht="22" customHeight="1" spans="1:9">
      <c r="A20" s="8"/>
      <c r="B20" s="9"/>
      <c r="C20" s="11"/>
      <c r="D20" s="11"/>
      <c r="E20" s="14"/>
      <c r="F20" s="15"/>
      <c r="G20" s="14"/>
    </row>
    <row r="21" customFormat="1" ht="22" customHeight="1" spans="1:9">
      <c r="A21" s="8"/>
      <c r="B21" s="16"/>
      <c r="C21" s="17"/>
      <c r="D21" s="18"/>
      <c r="E21" s="19"/>
      <c r="F21" s="20"/>
      <c r="G21" s="20"/>
    </row>
    <row r="22" customFormat="1" ht="13.5" spans="1:9">
      <c r="E22" s="27">
        <f>SUM(E3:E21)</f>
        <v>53</v>
      </c>
      <c r="F22" s="27">
        <f>SUM(F3:F21)</f>
        <v>12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opLeftCell="B1" workbookViewId="0">
      <selection activeCell="H3" sqref="H3:H19"/>
    </sheetView>
  </sheetViews>
  <sheetFormatPr defaultColWidth="9.14285714285714" defaultRowHeight="12"/>
  <cols>
    <col min="1" max="1" width="7.42857142857143" customWidth="1"/>
    <col min="2" max="2" width="12.8571428571429" customWidth="1"/>
    <col min="3" max="3" width="14.8571428571429" customWidth="1"/>
    <col min="4" max="4" width="12.1428571428571" customWidth="1"/>
    <col min="5" max="6" width="7.28571428571429" customWidth="1"/>
    <col min="7" max="7" width="36.2857142857143" customWidth="1"/>
    <col min="9" max="9" width="7.42857142857143" customWidth="1"/>
    <col min="10" max="10" width="12" customWidth="1"/>
    <col min="11" max="11" width="13.1428571428571" customWidth="1"/>
    <col min="12" max="12" width="11.4285714285714" customWidth="1"/>
    <col min="13" max="14" width="10.2857142857143" customWidth="1"/>
    <col min="15" max="15" width="12.8571428571429" customWidth="1"/>
  </cols>
  <sheetData>
    <row r="1" customFormat="1" ht="38" customHeight="1" spans="1:15">
      <c r="A1" s="2" t="s">
        <v>73</v>
      </c>
      <c r="B1" s="2"/>
      <c r="C1" s="2"/>
      <c r="D1" s="2"/>
      <c r="E1" s="2"/>
      <c r="F1" s="3"/>
      <c r="G1" s="4"/>
      <c r="I1" s="2" t="s">
        <v>84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65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65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5">
      <c r="A3" s="8">
        <v>1</v>
      </c>
      <c r="B3" s="9">
        <v>46107</v>
      </c>
      <c r="C3" s="10" t="s">
        <v>13</v>
      </c>
      <c r="D3" s="11" t="s">
        <v>81</v>
      </c>
      <c r="E3" s="11"/>
      <c r="F3" s="10">
        <v>2</v>
      </c>
      <c r="G3" s="12" t="s">
        <v>15</v>
      </c>
      <c r="H3">
        <f>SUM(E3:F3)</f>
        <v>2</v>
      </c>
      <c r="I3" s="13">
        <v>1</v>
      </c>
      <c r="J3" s="9">
        <v>46100</v>
      </c>
      <c r="K3" s="11" t="s">
        <v>54</v>
      </c>
      <c r="L3" s="11" t="s">
        <v>81</v>
      </c>
      <c r="M3" s="14">
        <v>2</v>
      </c>
      <c r="N3" s="15"/>
      <c r="O3" s="14"/>
    </row>
    <row r="4" customFormat="1" ht="22" customHeight="1" spans="1:15">
      <c r="A4" s="8">
        <v>2</v>
      </c>
      <c r="B4" s="9">
        <v>46107</v>
      </c>
      <c r="C4" s="10" t="s">
        <v>17</v>
      </c>
      <c r="D4" s="11" t="s">
        <v>81</v>
      </c>
      <c r="E4" s="10">
        <v>2</v>
      </c>
      <c r="F4" s="11"/>
      <c r="G4" s="12" t="s">
        <v>15</v>
      </c>
      <c r="H4">
        <f t="shared" ref="H4:H19" si="0">SUM(E4:F4)</f>
        <v>2</v>
      </c>
      <c r="I4" s="13">
        <v>2</v>
      </c>
      <c r="J4" s="9">
        <v>46100</v>
      </c>
      <c r="K4" s="11" t="s">
        <v>58</v>
      </c>
      <c r="L4" s="11" t="s">
        <v>81</v>
      </c>
      <c r="M4" s="14">
        <v>2</v>
      </c>
      <c r="N4" s="15"/>
      <c r="O4" s="14"/>
    </row>
    <row r="5" customFormat="1" ht="22" customHeight="1" spans="1:15">
      <c r="A5" s="8">
        <v>3</v>
      </c>
      <c r="B5" s="9">
        <v>46107</v>
      </c>
      <c r="C5" s="10" t="s">
        <v>18</v>
      </c>
      <c r="D5" s="11" t="s">
        <v>81</v>
      </c>
      <c r="E5" s="11"/>
      <c r="F5" s="10">
        <v>4</v>
      </c>
      <c r="G5" s="12" t="s">
        <v>19</v>
      </c>
      <c r="H5">
        <f t="shared" si="0"/>
        <v>4</v>
      </c>
      <c r="I5" s="13">
        <v>3</v>
      </c>
      <c r="J5" s="16"/>
      <c r="K5" s="17"/>
      <c r="L5" s="18"/>
      <c r="M5" s="19"/>
      <c r="N5" s="20"/>
      <c r="O5" s="20"/>
    </row>
    <row r="6" customFormat="1" ht="22" customHeight="1" spans="1:15">
      <c r="A6" s="8">
        <v>4</v>
      </c>
      <c r="B6" s="9">
        <v>46107</v>
      </c>
      <c r="C6" s="10" t="s">
        <v>20</v>
      </c>
      <c r="D6" s="11" t="s">
        <v>81</v>
      </c>
      <c r="E6" s="10"/>
      <c r="F6" s="10">
        <v>5</v>
      </c>
      <c r="G6" s="12" t="s">
        <v>21</v>
      </c>
      <c r="H6">
        <f t="shared" si="0"/>
        <v>5</v>
      </c>
      <c r="M6" s="21">
        <f>SUM(M3:M5)</f>
        <v>4</v>
      </c>
      <c r="N6" s="21">
        <f>SUM(N3:N5)</f>
        <v>0</v>
      </c>
    </row>
    <row r="7" customFormat="1" ht="22" customHeight="1" spans="1:15">
      <c r="A7" s="8">
        <v>5</v>
      </c>
      <c r="B7" s="9">
        <v>46107</v>
      </c>
      <c r="C7" s="10" t="s">
        <v>22</v>
      </c>
      <c r="D7" s="11" t="s">
        <v>81</v>
      </c>
      <c r="E7" s="10"/>
      <c r="F7" s="10">
        <v>5</v>
      </c>
      <c r="G7" s="12" t="s">
        <v>21</v>
      </c>
      <c r="H7">
        <f t="shared" si="0"/>
        <v>5</v>
      </c>
    </row>
    <row r="8" customFormat="1" ht="22" customHeight="1" spans="1:15">
      <c r="A8" s="8">
        <v>6</v>
      </c>
      <c r="B8" s="9">
        <v>46107</v>
      </c>
      <c r="C8" s="10" t="s">
        <v>23</v>
      </c>
      <c r="D8" s="11" t="s">
        <v>81</v>
      </c>
      <c r="E8" s="10">
        <v>4</v>
      </c>
      <c r="F8" s="11"/>
      <c r="G8" s="12" t="s">
        <v>19</v>
      </c>
      <c r="H8">
        <f t="shared" si="0"/>
        <v>4</v>
      </c>
    </row>
    <row r="9" customFormat="1" ht="22" customHeight="1" spans="1:15">
      <c r="A9" s="8">
        <v>7</v>
      </c>
      <c r="B9" s="9">
        <v>46107</v>
      </c>
      <c r="C9" s="10" t="s">
        <v>24</v>
      </c>
      <c r="D9" s="11" t="s">
        <v>81</v>
      </c>
      <c r="E9" s="10">
        <v>0</v>
      </c>
      <c r="F9" s="11"/>
      <c r="G9" s="41" t="s">
        <v>86</v>
      </c>
      <c r="H9">
        <f t="shared" si="0"/>
        <v>0</v>
      </c>
    </row>
    <row r="10" customFormat="1" ht="22" customHeight="1" spans="1:15">
      <c r="A10" s="8">
        <v>8</v>
      </c>
      <c r="B10" s="9">
        <v>46107</v>
      </c>
      <c r="C10" s="10" t="s">
        <v>25</v>
      </c>
      <c r="D10" s="11" t="s">
        <v>81</v>
      </c>
      <c r="E10" s="10"/>
      <c r="F10" s="10">
        <v>2</v>
      </c>
      <c r="G10" s="12" t="s">
        <v>26</v>
      </c>
      <c r="H10">
        <f t="shared" si="0"/>
        <v>2</v>
      </c>
    </row>
    <row r="11" customFormat="1" ht="22" customHeight="1" spans="1:15">
      <c r="A11" s="8">
        <v>9</v>
      </c>
      <c r="B11" s="9">
        <v>46107</v>
      </c>
      <c r="C11" s="10" t="s">
        <v>27</v>
      </c>
      <c r="D11" s="11" t="s">
        <v>81</v>
      </c>
      <c r="E11" s="10"/>
      <c r="F11" s="10">
        <v>5</v>
      </c>
      <c r="G11" s="12" t="s">
        <v>21</v>
      </c>
      <c r="H11">
        <f t="shared" si="0"/>
        <v>5</v>
      </c>
    </row>
    <row r="12" customFormat="1" ht="22" customHeight="1" spans="1:15">
      <c r="A12" s="8">
        <v>10</v>
      </c>
      <c r="B12" s="9">
        <v>46107</v>
      </c>
      <c r="C12" s="10" t="s">
        <v>28</v>
      </c>
      <c r="D12" s="11" t="s">
        <v>81</v>
      </c>
      <c r="E12" s="10"/>
      <c r="F12" s="10">
        <v>2</v>
      </c>
      <c r="G12" s="12" t="s">
        <v>26</v>
      </c>
      <c r="H12">
        <f t="shared" si="0"/>
        <v>2</v>
      </c>
    </row>
    <row r="13" customFormat="1" ht="22" customHeight="1" spans="1:15">
      <c r="A13" s="8">
        <v>11</v>
      </c>
      <c r="B13" s="9">
        <v>46107</v>
      </c>
      <c r="C13" s="10" t="s">
        <v>30</v>
      </c>
      <c r="D13" s="11" t="s">
        <v>81</v>
      </c>
      <c r="E13" s="14">
        <v>4</v>
      </c>
      <c r="F13" s="11"/>
      <c r="G13" s="12" t="s">
        <v>19</v>
      </c>
      <c r="H13">
        <f t="shared" si="0"/>
        <v>4</v>
      </c>
    </row>
    <row r="14" customFormat="1" ht="22" customHeight="1" spans="1:15">
      <c r="A14" s="8">
        <v>12</v>
      </c>
      <c r="B14" s="9">
        <v>46107</v>
      </c>
      <c r="C14" s="10" t="s">
        <v>32</v>
      </c>
      <c r="D14" s="11" t="s">
        <v>81</v>
      </c>
      <c r="E14" s="14">
        <v>2</v>
      </c>
      <c r="F14" s="11"/>
      <c r="G14" s="12" t="s">
        <v>15</v>
      </c>
      <c r="H14">
        <f t="shared" si="0"/>
        <v>2</v>
      </c>
    </row>
    <row r="15" customFormat="1" ht="22" customHeight="1" spans="1:15">
      <c r="A15" s="8">
        <v>13</v>
      </c>
      <c r="B15" s="9">
        <v>46107</v>
      </c>
      <c r="C15" s="10" t="s">
        <v>33</v>
      </c>
      <c r="D15" s="11" t="s">
        <v>81</v>
      </c>
      <c r="E15" s="14">
        <v>2</v>
      </c>
      <c r="F15" s="11"/>
      <c r="G15" s="10" t="s">
        <v>15</v>
      </c>
      <c r="H15">
        <f t="shared" si="0"/>
        <v>2</v>
      </c>
    </row>
    <row r="16" customFormat="1" ht="22" customHeight="1" spans="1:15">
      <c r="A16" s="8">
        <v>14</v>
      </c>
      <c r="B16" s="9">
        <v>46107</v>
      </c>
      <c r="C16" s="10" t="s">
        <v>25</v>
      </c>
      <c r="D16" s="11" t="s">
        <v>81</v>
      </c>
      <c r="E16" s="11"/>
      <c r="F16" s="10">
        <v>2</v>
      </c>
      <c r="G16" s="14" t="s">
        <v>15</v>
      </c>
      <c r="H16">
        <f t="shared" si="0"/>
        <v>2</v>
      </c>
    </row>
    <row r="17" customFormat="1" ht="22" customHeight="1" spans="1:8">
      <c r="A17" s="8">
        <v>15</v>
      </c>
      <c r="B17" s="9">
        <v>46107</v>
      </c>
      <c r="C17" s="10" t="s">
        <v>34</v>
      </c>
      <c r="D17" s="11" t="s">
        <v>81</v>
      </c>
      <c r="E17" s="10"/>
      <c r="F17" s="14">
        <v>5</v>
      </c>
      <c r="G17" s="10" t="s">
        <v>21</v>
      </c>
      <c r="H17">
        <f t="shared" si="0"/>
        <v>5</v>
      </c>
    </row>
    <row r="18" customFormat="1" ht="22" customHeight="1" spans="1:8">
      <c r="A18" s="8">
        <v>16</v>
      </c>
      <c r="B18" s="9">
        <v>46107</v>
      </c>
      <c r="C18" s="11" t="s">
        <v>36</v>
      </c>
      <c r="D18" s="11" t="s">
        <v>81</v>
      </c>
      <c r="E18" s="14">
        <v>2</v>
      </c>
      <c r="F18" s="15"/>
      <c r="G18" s="14" t="s">
        <v>15</v>
      </c>
      <c r="H18">
        <f t="shared" si="0"/>
        <v>2</v>
      </c>
    </row>
    <row r="19" customFormat="1" ht="22" customHeight="1" spans="1:8">
      <c r="A19" s="8">
        <v>17</v>
      </c>
      <c r="B19" s="9">
        <v>46107</v>
      </c>
      <c r="C19" s="11" t="s">
        <v>37</v>
      </c>
      <c r="D19" s="11" t="s">
        <v>81</v>
      </c>
      <c r="E19" s="14"/>
      <c r="F19" s="42">
        <v>2</v>
      </c>
      <c r="G19" s="35" t="s">
        <v>87</v>
      </c>
      <c r="H19">
        <f t="shared" si="0"/>
        <v>2</v>
      </c>
    </row>
    <row r="20" customFormat="1" ht="22" customHeight="1" spans="1:8">
      <c r="A20" s="8"/>
      <c r="B20" s="16"/>
      <c r="C20" s="17"/>
      <c r="D20" s="18"/>
      <c r="E20" s="19"/>
      <c r="F20" s="20"/>
      <c r="G20" s="20"/>
    </row>
    <row r="21" customFormat="1" ht="13.5" spans="1:8">
      <c r="E21" s="27">
        <f>SUM(E3:E20)</f>
        <v>16</v>
      </c>
      <c r="F21" s="27">
        <f>SUM(F3:F20)</f>
        <v>34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opLeftCell="A5" workbookViewId="0">
      <selection activeCell="I3" sqref="I3:I19"/>
    </sheetView>
  </sheetViews>
  <sheetFormatPr defaultColWidth="9.14285714285714" defaultRowHeight="12"/>
  <cols>
    <col min="1" max="1" width="7.42857142857143" customWidth="1"/>
    <col min="2" max="2" width="11" customWidth="1"/>
    <col min="3" max="3" width="14.7142857142857" customWidth="1"/>
    <col min="4" max="4" width="11.4285714285714" customWidth="1"/>
    <col min="5" max="6" width="7.85714285714286" customWidth="1"/>
    <col min="7" max="7" width="29.8571428571429" customWidth="1"/>
    <col min="9" max="9" width="4.42857142857143" customWidth="1"/>
    <col min="10" max="10" width="8.28571428571429" customWidth="1"/>
    <col min="11" max="11" width="14.4285714285714" customWidth="1"/>
    <col min="12" max="12" width="12.7142857142857" customWidth="1"/>
    <col min="13" max="13" width="12.1428571428571" customWidth="1"/>
    <col min="14" max="15" width="9" customWidth="1"/>
    <col min="16" max="16" width="22.7142857142857" customWidth="1"/>
  </cols>
  <sheetData>
    <row r="1" customFormat="1" ht="38" customHeight="1" spans="1:16">
      <c r="A1" s="2" t="s">
        <v>73</v>
      </c>
      <c r="B1" s="2"/>
      <c r="C1" s="2"/>
      <c r="D1" s="2"/>
      <c r="E1" s="2"/>
      <c r="F1" s="3"/>
      <c r="G1" s="4"/>
      <c r="J1" s="2" t="s">
        <v>84</v>
      </c>
      <c r="K1" s="2"/>
      <c r="L1" s="2"/>
      <c r="M1" s="2"/>
      <c r="N1" s="2"/>
      <c r="O1" s="3"/>
      <c r="P1" s="4"/>
    </row>
    <row r="2" s="1" customFormat="1" ht="32" customHeight="1" spans="1:16">
      <c r="A2" s="5" t="s">
        <v>2</v>
      </c>
      <c r="B2" s="5" t="s">
        <v>65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J2" s="5" t="s">
        <v>2</v>
      </c>
      <c r="K2" s="5" t="s">
        <v>65</v>
      </c>
      <c r="L2" s="5" t="s">
        <v>3</v>
      </c>
      <c r="M2" s="6" t="s">
        <v>74</v>
      </c>
      <c r="N2" s="7" t="s">
        <v>75</v>
      </c>
      <c r="O2" s="7" t="s">
        <v>76</v>
      </c>
      <c r="P2" s="7" t="s">
        <v>7</v>
      </c>
    </row>
    <row r="3" customFormat="1" ht="22" customHeight="1" spans="1:16">
      <c r="A3" s="8">
        <v>1</v>
      </c>
      <c r="B3" s="9">
        <v>46111</v>
      </c>
      <c r="C3" s="29" t="s">
        <v>13</v>
      </c>
      <c r="D3" s="30" t="s">
        <v>77</v>
      </c>
      <c r="E3" s="30"/>
      <c r="F3" s="29">
        <v>3</v>
      </c>
      <c r="G3" s="12" t="s">
        <v>15</v>
      </c>
      <c r="I3">
        <f>SUM(E3:F3)</f>
        <v>3</v>
      </c>
      <c r="J3" s="13">
        <v>1</v>
      </c>
      <c r="K3" s="9">
        <v>46111</v>
      </c>
      <c r="L3" s="30" t="s">
        <v>54</v>
      </c>
      <c r="M3" s="30" t="s">
        <v>77</v>
      </c>
      <c r="N3" s="31">
        <v>3</v>
      </c>
      <c r="O3" s="32"/>
      <c r="P3" s="33"/>
    </row>
    <row r="4" customFormat="1" ht="22" customHeight="1" spans="1:16">
      <c r="A4" s="8">
        <v>2</v>
      </c>
      <c r="B4" s="9">
        <v>46111</v>
      </c>
      <c r="C4" s="29" t="s">
        <v>17</v>
      </c>
      <c r="D4" s="30" t="s">
        <v>77</v>
      </c>
      <c r="E4" s="29">
        <v>3</v>
      </c>
      <c r="F4" s="30"/>
      <c r="G4" s="12" t="s">
        <v>15</v>
      </c>
      <c r="I4">
        <f t="shared" ref="I4:I19" si="0">SUM(E4:F4)</f>
        <v>3</v>
      </c>
      <c r="J4" s="13">
        <v>2</v>
      </c>
      <c r="K4" s="9">
        <v>46111</v>
      </c>
      <c r="L4" s="30" t="s">
        <v>58</v>
      </c>
      <c r="M4" s="30" t="s">
        <v>77</v>
      </c>
      <c r="N4" s="31">
        <v>3</v>
      </c>
      <c r="O4" s="32"/>
      <c r="P4" s="33"/>
    </row>
    <row r="5" customFormat="1" ht="22" customHeight="1" spans="1:16">
      <c r="A5" s="8">
        <v>3</v>
      </c>
      <c r="B5" s="9">
        <v>46111</v>
      </c>
      <c r="C5" s="29" t="s">
        <v>18</v>
      </c>
      <c r="D5" s="30" t="s">
        <v>77</v>
      </c>
      <c r="E5" s="30"/>
      <c r="F5" s="29">
        <v>6</v>
      </c>
      <c r="G5" s="12" t="s">
        <v>19</v>
      </c>
      <c r="I5">
        <f t="shared" si="0"/>
        <v>6</v>
      </c>
      <c r="J5" s="13">
        <v>3</v>
      </c>
      <c r="K5" s="9"/>
      <c r="L5" s="11"/>
      <c r="M5" s="11"/>
      <c r="N5" s="14"/>
      <c r="O5" s="15"/>
      <c r="P5" s="14"/>
    </row>
    <row r="6" customFormat="1" ht="22" customHeight="1" spans="1:16">
      <c r="A6" s="8">
        <v>4</v>
      </c>
      <c r="B6" s="9">
        <v>46111</v>
      </c>
      <c r="C6" s="29" t="s">
        <v>20</v>
      </c>
      <c r="D6" s="30" t="s">
        <v>77</v>
      </c>
      <c r="E6" s="29">
        <v>5</v>
      </c>
      <c r="F6" s="29"/>
      <c r="G6" s="12" t="s">
        <v>21</v>
      </c>
      <c r="I6">
        <f t="shared" si="0"/>
        <v>5</v>
      </c>
      <c r="J6" s="13">
        <v>4</v>
      </c>
      <c r="K6" s="16"/>
      <c r="L6" s="17"/>
      <c r="M6" s="18"/>
      <c r="N6" s="19"/>
      <c r="O6" s="20"/>
      <c r="P6" s="20"/>
    </row>
    <row r="7" customFormat="1" ht="22" customHeight="1" spans="1:16">
      <c r="A7" s="8">
        <v>5</v>
      </c>
      <c r="B7" s="9">
        <v>46111</v>
      </c>
      <c r="C7" s="29" t="s">
        <v>22</v>
      </c>
      <c r="D7" s="30" t="s">
        <v>77</v>
      </c>
      <c r="E7" s="29">
        <v>5</v>
      </c>
      <c r="F7" s="29"/>
      <c r="G7" s="12" t="s">
        <v>21</v>
      </c>
      <c r="I7">
        <f t="shared" si="0"/>
        <v>5</v>
      </c>
      <c r="M7" s="27"/>
      <c r="N7" s="27">
        <f>SUM(N3:N6)</f>
        <v>6</v>
      </c>
      <c r="O7" s="27">
        <f>SUM(O3:O6)</f>
        <v>0</v>
      </c>
    </row>
    <row r="8" customFormat="1" ht="22" customHeight="1" spans="1:16">
      <c r="A8" s="8">
        <v>6</v>
      </c>
      <c r="B8" s="9">
        <v>46111</v>
      </c>
      <c r="C8" s="29" t="s">
        <v>23</v>
      </c>
      <c r="D8" s="30" t="s">
        <v>77</v>
      </c>
      <c r="E8" s="29">
        <v>6</v>
      </c>
      <c r="F8" s="30"/>
      <c r="G8" s="12" t="s">
        <v>19</v>
      </c>
      <c r="I8">
        <f t="shared" si="0"/>
        <v>6</v>
      </c>
    </row>
    <row r="9" customFormat="1" ht="22" customHeight="1" spans="1:16">
      <c r="A9" s="8">
        <v>7</v>
      </c>
      <c r="B9" s="9">
        <v>46111</v>
      </c>
      <c r="C9" s="29" t="s">
        <v>24</v>
      </c>
      <c r="D9" s="30" t="s">
        <v>77</v>
      </c>
      <c r="E9" s="29">
        <v>6</v>
      </c>
      <c r="F9" s="30"/>
      <c r="G9" s="12" t="s">
        <v>19</v>
      </c>
      <c r="I9">
        <f t="shared" si="0"/>
        <v>6</v>
      </c>
    </row>
    <row r="10" customFormat="1" ht="22" customHeight="1" spans="1:16">
      <c r="A10" s="8">
        <v>8</v>
      </c>
      <c r="B10" s="9">
        <v>46111</v>
      </c>
      <c r="C10" s="29" t="s">
        <v>25</v>
      </c>
      <c r="D10" s="30" t="s">
        <v>77</v>
      </c>
      <c r="E10" s="29">
        <v>3</v>
      </c>
      <c r="F10" s="29"/>
      <c r="G10" s="12" t="s">
        <v>26</v>
      </c>
      <c r="I10">
        <f t="shared" si="0"/>
        <v>3</v>
      </c>
    </row>
    <row r="11" customFormat="1" ht="22" customHeight="1" spans="1:16">
      <c r="A11" s="8">
        <v>9</v>
      </c>
      <c r="B11" s="9">
        <v>46111</v>
      </c>
      <c r="C11" s="29" t="s">
        <v>27</v>
      </c>
      <c r="D11" s="30" t="s">
        <v>77</v>
      </c>
      <c r="E11" s="29">
        <v>5</v>
      </c>
      <c r="F11" s="29"/>
      <c r="G11" s="12" t="s">
        <v>21</v>
      </c>
      <c r="I11">
        <f t="shared" si="0"/>
        <v>5</v>
      </c>
    </row>
    <row r="12" customFormat="1" ht="22" customHeight="1" spans="1:16">
      <c r="A12" s="8">
        <v>10</v>
      </c>
      <c r="B12" s="9">
        <v>46111</v>
      </c>
      <c r="C12" s="29" t="s">
        <v>28</v>
      </c>
      <c r="D12" s="30" t="s">
        <v>77</v>
      </c>
      <c r="E12" s="29">
        <v>3</v>
      </c>
      <c r="F12" s="29"/>
      <c r="G12" s="12" t="s">
        <v>26</v>
      </c>
      <c r="I12">
        <f t="shared" si="0"/>
        <v>3</v>
      </c>
    </row>
    <row r="13" customFormat="1" ht="22" customHeight="1" spans="1:16">
      <c r="A13" s="8">
        <v>11</v>
      </c>
      <c r="B13" s="9">
        <v>46111</v>
      </c>
      <c r="C13" s="29" t="s">
        <v>30</v>
      </c>
      <c r="D13" s="30" t="s">
        <v>77</v>
      </c>
      <c r="E13" s="31">
        <v>6</v>
      </c>
      <c r="F13" s="30"/>
      <c r="G13" s="12" t="s">
        <v>19</v>
      </c>
      <c r="I13">
        <f t="shared" si="0"/>
        <v>6</v>
      </c>
    </row>
    <row r="14" customFormat="1" ht="22" customHeight="1" spans="1:16">
      <c r="A14" s="8">
        <v>12</v>
      </c>
      <c r="B14" s="9">
        <v>46111</v>
      </c>
      <c r="C14" s="29" t="s">
        <v>32</v>
      </c>
      <c r="D14" s="30" t="s">
        <v>77</v>
      </c>
      <c r="E14" s="31">
        <v>3</v>
      </c>
      <c r="F14" s="30"/>
      <c r="G14" s="12" t="s">
        <v>15</v>
      </c>
      <c r="I14">
        <f t="shared" si="0"/>
        <v>3</v>
      </c>
    </row>
    <row r="15" customFormat="1" ht="22" customHeight="1" spans="1:16">
      <c r="A15" s="8">
        <v>13</v>
      </c>
      <c r="B15" s="9">
        <v>46111</v>
      </c>
      <c r="C15" s="29" t="s">
        <v>33</v>
      </c>
      <c r="D15" s="30" t="s">
        <v>77</v>
      </c>
      <c r="E15" s="31">
        <v>3</v>
      </c>
      <c r="F15" s="30"/>
      <c r="G15" s="12" t="s">
        <v>15</v>
      </c>
      <c r="I15">
        <f t="shared" si="0"/>
        <v>3</v>
      </c>
    </row>
    <row r="16" customFormat="1" ht="22" customHeight="1" spans="1:16">
      <c r="A16" s="8">
        <v>14</v>
      </c>
      <c r="B16" s="9">
        <v>46111</v>
      </c>
      <c r="C16" s="29" t="s">
        <v>25</v>
      </c>
      <c r="D16" s="30" t="s">
        <v>77</v>
      </c>
      <c r="E16" s="30"/>
      <c r="F16" s="29">
        <v>3</v>
      </c>
      <c r="G16" s="33" t="s">
        <v>15</v>
      </c>
      <c r="I16">
        <f t="shared" si="0"/>
        <v>3</v>
      </c>
    </row>
    <row r="17" customFormat="1" ht="22" customHeight="1" spans="1:9">
      <c r="A17" s="8">
        <v>15</v>
      </c>
      <c r="B17" s="9">
        <v>46111</v>
      </c>
      <c r="C17" s="29" t="s">
        <v>34</v>
      </c>
      <c r="D17" s="30" t="s">
        <v>77</v>
      </c>
      <c r="E17" s="29">
        <v>5</v>
      </c>
      <c r="F17" s="31"/>
      <c r="G17" s="12" t="s">
        <v>21</v>
      </c>
      <c r="I17">
        <f t="shared" si="0"/>
        <v>5</v>
      </c>
    </row>
    <row r="18" customFormat="1" ht="22" customHeight="1" spans="1:9">
      <c r="A18" s="8">
        <v>16</v>
      </c>
      <c r="B18" s="9">
        <v>46111</v>
      </c>
      <c r="C18" s="30" t="s">
        <v>36</v>
      </c>
      <c r="D18" s="30" t="s">
        <v>77</v>
      </c>
      <c r="E18" s="31">
        <v>3</v>
      </c>
      <c r="F18" s="32"/>
      <c r="G18" s="33" t="s">
        <v>15</v>
      </c>
      <c r="I18">
        <f t="shared" si="0"/>
        <v>3</v>
      </c>
    </row>
    <row r="19" customFormat="1" ht="22" customHeight="1" spans="1:9">
      <c r="A19" s="8">
        <v>17</v>
      </c>
      <c r="B19" s="9">
        <v>46111</v>
      </c>
      <c r="C19" s="30" t="s">
        <v>37</v>
      </c>
      <c r="D19" s="30" t="s">
        <v>77</v>
      </c>
      <c r="E19" s="40">
        <v>3</v>
      </c>
      <c r="F19" s="32"/>
      <c r="G19" s="35" t="s">
        <v>87</v>
      </c>
      <c r="H19" s="36" t="s">
        <v>88</v>
      </c>
      <c r="I19">
        <f t="shared" si="0"/>
        <v>3</v>
      </c>
    </row>
    <row r="20" customFormat="1" ht="22" customHeight="1" spans="1:9">
      <c r="A20" s="8"/>
      <c r="B20" s="9"/>
      <c r="C20" s="11"/>
      <c r="D20" s="11"/>
      <c r="E20" s="14"/>
      <c r="F20" s="15"/>
      <c r="G20" s="14"/>
    </row>
    <row r="21" customFormat="1" ht="22" customHeight="1" spans="1:9">
      <c r="A21" s="8"/>
      <c r="B21" s="16"/>
      <c r="C21" s="17"/>
      <c r="D21" s="18"/>
      <c r="E21" s="19"/>
      <c r="F21" s="20"/>
      <c r="G21" s="20"/>
    </row>
    <row r="22" customFormat="1" ht="13.5" spans="1:9">
      <c r="E22" s="27">
        <f>SUM(E3:E21)</f>
        <v>59</v>
      </c>
      <c r="F22" s="27">
        <f>SUM(F3:F21)</f>
        <v>12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opLeftCell="A3" workbookViewId="0">
      <selection activeCell="H23" sqref="H23"/>
    </sheetView>
  </sheetViews>
  <sheetFormatPr defaultColWidth="9.14285714285714" defaultRowHeight="12"/>
  <cols>
    <col min="1" max="1" width="7.42857142857143" customWidth="1"/>
    <col min="2" max="2" width="12.8571428571429" customWidth="1"/>
    <col min="3" max="3" width="14.8571428571429" customWidth="1"/>
    <col min="4" max="4" width="12.1428571428571" customWidth="1"/>
    <col min="5" max="6" width="7.28571428571429" customWidth="1"/>
    <col min="7" max="7" width="36.2857142857143" customWidth="1"/>
    <col min="9" max="9" width="7.42857142857143" customWidth="1"/>
    <col min="10" max="10" width="12" customWidth="1"/>
    <col min="11" max="11" width="13.1428571428571" customWidth="1"/>
    <col min="12" max="12" width="11.4285714285714" customWidth="1"/>
    <col min="13" max="14" width="10.2857142857143" customWidth="1"/>
    <col min="15" max="15" width="12.8571428571429" customWidth="1"/>
  </cols>
  <sheetData>
    <row r="1" customFormat="1" ht="38" customHeight="1" spans="1:15">
      <c r="A1" s="2" t="s">
        <v>73</v>
      </c>
      <c r="B1" s="2"/>
      <c r="C1" s="2"/>
      <c r="D1" s="2"/>
      <c r="E1" s="2"/>
      <c r="F1" s="3"/>
      <c r="G1" s="4"/>
      <c r="I1" s="2" t="s">
        <v>84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65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65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5">
      <c r="A3" s="8">
        <v>1</v>
      </c>
      <c r="B3" s="9">
        <v>46114</v>
      </c>
      <c r="C3" s="10" t="s">
        <v>13</v>
      </c>
      <c r="D3" s="11" t="s">
        <v>81</v>
      </c>
      <c r="E3" s="11"/>
      <c r="F3" s="10">
        <v>2</v>
      </c>
      <c r="G3" s="12" t="s">
        <v>15</v>
      </c>
      <c r="H3">
        <f t="shared" ref="H3:H19" si="0">SUM(E3:F3)</f>
        <v>2</v>
      </c>
      <c r="I3" s="13">
        <v>1</v>
      </c>
      <c r="J3" s="9">
        <v>46114</v>
      </c>
      <c r="K3" s="11" t="s">
        <v>54</v>
      </c>
      <c r="L3" s="11" t="s">
        <v>81</v>
      </c>
      <c r="M3" s="14">
        <v>2</v>
      </c>
      <c r="N3" s="15"/>
      <c r="O3" s="14"/>
    </row>
    <row r="4" customFormat="1" ht="22" customHeight="1" spans="1:15">
      <c r="A4" s="8">
        <v>2</v>
      </c>
      <c r="B4" s="9">
        <v>46114</v>
      </c>
      <c r="C4" s="10" t="s">
        <v>17</v>
      </c>
      <c r="D4" s="11" t="s">
        <v>81</v>
      </c>
      <c r="E4" s="10">
        <v>2</v>
      </c>
      <c r="F4" s="11"/>
      <c r="G4" s="12" t="s">
        <v>15</v>
      </c>
      <c r="H4">
        <f t="shared" si="0"/>
        <v>2</v>
      </c>
      <c r="I4" s="13">
        <v>2</v>
      </c>
      <c r="J4" s="9">
        <v>46114</v>
      </c>
      <c r="K4" s="11" t="s">
        <v>58</v>
      </c>
      <c r="L4" s="11" t="s">
        <v>81</v>
      </c>
      <c r="M4" s="14">
        <v>2</v>
      </c>
      <c r="N4" s="15"/>
      <c r="O4" s="14"/>
    </row>
    <row r="5" customFormat="1" ht="22" customHeight="1" spans="1:15">
      <c r="A5" s="8">
        <v>3</v>
      </c>
      <c r="B5" s="9">
        <v>46114</v>
      </c>
      <c r="C5" s="10" t="s">
        <v>18</v>
      </c>
      <c r="D5" s="11" t="s">
        <v>81</v>
      </c>
      <c r="E5" s="11"/>
      <c r="F5" s="10">
        <v>4</v>
      </c>
      <c r="G5" s="12" t="s">
        <v>19</v>
      </c>
      <c r="H5">
        <f t="shared" si="0"/>
        <v>4</v>
      </c>
      <c r="I5" s="13"/>
      <c r="J5" s="16"/>
      <c r="K5" s="17"/>
      <c r="L5" s="18"/>
      <c r="M5" s="19"/>
      <c r="N5" s="20"/>
      <c r="O5" s="20"/>
    </row>
    <row r="6" customFormat="1" ht="22" customHeight="1" spans="1:15">
      <c r="A6" s="8">
        <v>4</v>
      </c>
      <c r="B6" s="9">
        <v>46114</v>
      </c>
      <c r="C6" s="10" t="s">
        <v>20</v>
      </c>
      <c r="D6" s="11" t="s">
        <v>81</v>
      </c>
      <c r="E6" s="10"/>
      <c r="F6" s="10">
        <v>5</v>
      </c>
      <c r="G6" s="12" t="s">
        <v>21</v>
      </c>
      <c r="H6">
        <f t="shared" si="0"/>
        <v>5</v>
      </c>
      <c r="M6" s="21">
        <f>SUM(M3:M5)</f>
        <v>4</v>
      </c>
      <c r="N6" s="21">
        <f>SUM(N3:N5)</f>
        <v>0</v>
      </c>
    </row>
    <row r="7" customFormat="1" ht="22" customHeight="1" spans="1:15">
      <c r="A7" s="8">
        <v>5</v>
      </c>
      <c r="B7" s="9">
        <v>46114</v>
      </c>
      <c r="C7" s="10" t="s">
        <v>22</v>
      </c>
      <c r="D7" s="11" t="s">
        <v>81</v>
      </c>
      <c r="E7" s="10"/>
      <c r="F7" s="10">
        <v>5</v>
      </c>
      <c r="G7" s="12" t="s">
        <v>21</v>
      </c>
      <c r="H7">
        <f t="shared" si="0"/>
        <v>5</v>
      </c>
    </row>
    <row r="8" customFormat="1" ht="22" customHeight="1" spans="1:15">
      <c r="A8" s="8">
        <v>6</v>
      </c>
      <c r="B8" s="9">
        <v>46114</v>
      </c>
      <c r="C8" s="10" t="s">
        <v>23</v>
      </c>
      <c r="D8" s="11" t="s">
        <v>81</v>
      </c>
      <c r="E8" s="10">
        <v>4</v>
      </c>
      <c r="F8" s="11"/>
      <c r="G8" s="12" t="s">
        <v>19</v>
      </c>
      <c r="H8">
        <f t="shared" si="0"/>
        <v>4</v>
      </c>
    </row>
    <row r="9" customFormat="1" ht="22" customHeight="1" spans="1:15">
      <c r="A9" s="8">
        <v>7</v>
      </c>
      <c r="B9" s="9">
        <v>46114</v>
      </c>
      <c r="C9" s="10" t="s">
        <v>24</v>
      </c>
      <c r="D9" s="11" t="s">
        <v>81</v>
      </c>
      <c r="E9" s="10">
        <v>4</v>
      </c>
      <c r="F9" s="11"/>
      <c r="G9" s="12" t="s">
        <v>19</v>
      </c>
      <c r="H9">
        <f t="shared" si="0"/>
        <v>4</v>
      </c>
    </row>
    <row r="10" customFormat="1" ht="22" customHeight="1" spans="1:15">
      <c r="A10" s="8">
        <v>8</v>
      </c>
      <c r="B10" s="9">
        <v>46114</v>
      </c>
      <c r="C10" s="10" t="s">
        <v>25</v>
      </c>
      <c r="D10" s="11" t="s">
        <v>81</v>
      </c>
      <c r="E10" s="10"/>
      <c r="F10" s="10">
        <v>2</v>
      </c>
      <c r="G10" s="12" t="s">
        <v>26</v>
      </c>
      <c r="H10">
        <f t="shared" si="0"/>
        <v>2</v>
      </c>
    </row>
    <row r="11" customFormat="1" ht="22" customHeight="1" spans="1:15">
      <c r="A11" s="8">
        <v>9</v>
      </c>
      <c r="B11" s="9">
        <v>46114</v>
      </c>
      <c r="C11" s="10" t="s">
        <v>27</v>
      </c>
      <c r="D11" s="11" t="s">
        <v>81</v>
      </c>
      <c r="E11" s="10"/>
      <c r="F11" s="10">
        <v>5</v>
      </c>
      <c r="G11" s="12" t="s">
        <v>21</v>
      </c>
      <c r="H11">
        <f t="shared" si="0"/>
        <v>5</v>
      </c>
    </row>
    <row r="12" customFormat="1" ht="22" customHeight="1" spans="1:15">
      <c r="A12" s="8">
        <v>10</v>
      </c>
      <c r="B12" s="9">
        <v>46114</v>
      </c>
      <c r="C12" s="10" t="s">
        <v>28</v>
      </c>
      <c r="D12" s="11" t="s">
        <v>81</v>
      </c>
      <c r="E12" s="10"/>
      <c r="F12" s="10">
        <v>2</v>
      </c>
      <c r="G12" s="12" t="s">
        <v>26</v>
      </c>
      <c r="H12">
        <f t="shared" si="0"/>
        <v>2</v>
      </c>
    </row>
    <row r="13" customFormat="1" ht="22" customHeight="1" spans="1:15">
      <c r="A13" s="8">
        <v>11</v>
      </c>
      <c r="B13" s="9">
        <v>46114</v>
      </c>
      <c r="C13" s="10" t="s">
        <v>30</v>
      </c>
      <c r="D13" s="11" t="s">
        <v>81</v>
      </c>
      <c r="E13" s="14">
        <v>4</v>
      </c>
      <c r="F13" s="11"/>
      <c r="G13" s="12" t="s">
        <v>19</v>
      </c>
      <c r="H13">
        <f t="shared" si="0"/>
        <v>4</v>
      </c>
    </row>
    <row r="14" customFormat="1" ht="22" customHeight="1" spans="1:15">
      <c r="A14" s="8">
        <v>12</v>
      </c>
      <c r="B14" s="9">
        <v>46114</v>
      </c>
      <c r="C14" s="10" t="s">
        <v>32</v>
      </c>
      <c r="D14" s="11" t="s">
        <v>81</v>
      </c>
      <c r="E14" s="14">
        <v>2</v>
      </c>
      <c r="F14" s="11"/>
      <c r="G14" s="12" t="s">
        <v>15</v>
      </c>
      <c r="H14">
        <f t="shared" si="0"/>
        <v>2</v>
      </c>
    </row>
    <row r="15" customFormat="1" ht="22" customHeight="1" spans="1:15">
      <c r="A15" s="8">
        <v>13</v>
      </c>
      <c r="B15" s="9">
        <v>46114</v>
      </c>
      <c r="C15" s="10" t="s">
        <v>33</v>
      </c>
      <c r="D15" s="11" t="s">
        <v>81</v>
      </c>
      <c r="E15" s="14">
        <v>2</v>
      </c>
      <c r="F15" s="11"/>
      <c r="G15" s="10" t="s">
        <v>15</v>
      </c>
      <c r="H15">
        <f t="shared" si="0"/>
        <v>2</v>
      </c>
    </row>
    <row r="16" customFormat="1" ht="22" customHeight="1" spans="1:15">
      <c r="A16" s="8">
        <v>14</v>
      </c>
      <c r="B16" s="9">
        <v>46114</v>
      </c>
      <c r="C16" s="10" t="s">
        <v>25</v>
      </c>
      <c r="D16" s="11" t="s">
        <v>81</v>
      </c>
      <c r="E16" s="11"/>
      <c r="F16" s="10">
        <v>2</v>
      </c>
      <c r="G16" s="14" t="s">
        <v>15</v>
      </c>
      <c r="H16">
        <f t="shared" si="0"/>
        <v>2</v>
      </c>
    </row>
    <row r="17" customFormat="1" ht="22" customHeight="1" spans="1:8">
      <c r="A17" s="8">
        <v>15</v>
      </c>
      <c r="B17" s="9">
        <v>46114</v>
      </c>
      <c r="C17" s="10" t="s">
        <v>34</v>
      </c>
      <c r="D17" s="11" t="s">
        <v>81</v>
      </c>
      <c r="E17" s="10"/>
      <c r="F17" s="14">
        <v>5</v>
      </c>
      <c r="G17" s="10" t="s">
        <v>21</v>
      </c>
      <c r="H17">
        <f t="shared" si="0"/>
        <v>5</v>
      </c>
    </row>
    <row r="18" customFormat="1" ht="22" customHeight="1" spans="1:8">
      <c r="A18" s="8">
        <v>16</v>
      </c>
      <c r="B18" s="9">
        <v>46114</v>
      </c>
      <c r="C18" s="11" t="s">
        <v>36</v>
      </c>
      <c r="D18" s="11" t="s">
        <v>81</v>
      </c>
      <c r="E18" s="14">
        <v>2</v>
      </c>
      <c r="F18" s="15"/>
      <c r="G18" s="14" t="s">
        <v>15</v>
      </c>
      <c r="H18">
        <f t="shared" si="0"/>
        <v>2</v>
      </c>
    </row>
    <row r="19" customFormat="1" ht="22" customHeight="1" spans="1:8">
      <c r="A19" s="8">
        <v>17</v>
      </c>
      <c r="B19" s="9">
        <v>46114</v>
      </c>
      <c r="C19" s="11" t="s">
        <v>37</v>
      </c>
      <c r="D19" s="11" t="s">
        <v>81</v>
      </c>
      <c r="E19" s="14"/>
      <c r="F19" s="15">
        <v>7</v>
      </c>
      <c r="G19" s="35" t="s">
        <v>87</v>
      </c>
      <c r="H19">
        <f t="shared" si="0"/>
        <v>7</v>
      </c>
    </row>
    <row r="20" customFormat="1" ht="22" customHeight="1" spans="1:8">
      <c r="A20" s="8"/>
      <c r="B20" s="9"/>
      <c r="C20" s="37" t="s">
        <v>38</v>
      </c>
      <c r="D20" s="38"/>
      <c r="E20" s="19"/>
      <c r="F20" s="15"/>
      <c r="G20" s="39"/>
    </row>
    <row r="21" customFormat="1" ht="22" customHeight="1" spans="1:8">
      <c r="A21" s="8"/>
      <c r="B21" s="9"/>
      <c r="C21" s="37" t="s">
        <v>40</v>
      </c>
      <c r="D21" s="38"/>
      <c r="E21" s="19"/>
      <c r="F21" s="15"/>
      <c r="G21" s="39"/>
    </row>
    <row r="22" customFormat="1" ht="22" customHeight="1" spans="1:8">
      <c r="A22" s="8"/>
      <c r="B22" s="16"/>
      <c r="C22" s="17"/>
      <c r="D22" s="18"/>
      <c r="E22" s="19"/>
      <c r="F22" s="20"/>
      <c r="G22" s="20"/>
    </row>
    <row r="23" customFormat="1" ht="13.5" spans="1:8">
      <c r="E23" s="27">
        <f>SUM(E3:E22)</f>
        <v>20</v>
      </c>
      <c r="F23" s="27">
        <f>SUM(F3:F22)</f>
        <v>39</v>
      </c>
    </row>
    <row r="25" ht="20" customHeight="1" spans="1:8">
      <c r="C25" s="28" t="s">
        <v>38</v>
      </c>
      <c r="E25">
        <v>3</v>
      </c>
      <c r="G25" t="s">
        <v>39</v>
      </c>
      <c r="H25" t="s">
        <v>89</v>
      </c>
    </row>
    <row r="26" spans="1:8">
      <c r="C26" t="s">
        <v>40</v>
      </c>
      <c r="E26">
        <v>6</v>
      </c>
      <c r="G26" t="s">
        <v>41</v>
      </c>
      <c r="H26" t="s">
        <v>90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opLeftCell="A5" workbookViewId="0">
      <selection activeCell="J26" sqref="J26"/>
    </sheetView>
  </sheetViews>
  <sheetFormatPr defaultColWidth="9.14285714285714" defaultRowHeight="12"/>
  <cols>
    <col min="1" max="1" width="7.42857142857143" customWidth="1"/>
    <col min="2" max="2" width="11" customWidth="1"/>
    <col min="3" max="3" width="14.7142857142857" customWidth="1"/>
    <col min="4" max="4" width="11.4285714285714" customWidth="1"/>
    <col min="5" max="6" width="7.85714285714286" customWidth="1"/>
    <col min="7" max="7" width="29.8571428571429" customWidth="1"/>
    <col min="9" max="9" width="4.42857142857143" customWidth="1"/>
    <col min="10" max="10" width="8.28571428571429" customWidth="1"/>
    <col min="11" max="11" width="14.4285714285714" customWidth="1"/>
    <col min="12" max="12" width="12.7142857142857" customWidth="1"/>
    <col min="13" max="13" width="12.1428571428571" customWidth="1"/>
    <col min="14" max="15" width="9" customWidth="1"/>
    <col min="16" max="16" width="22.7142857142857" customWidth="1"/>
  </cols>
  <sheetData>
    <row r="1" customFormat="1" ht="38" customHeight="1" spans="1:16">
      <c r="A1" s="2" t="s">
        <v>73</v>
      </c>
      <c r="B1" s="2"/>
      <c r="C1" s="2"/>
      <c r="D1" s="2"/>
      <c r="E1" s="2"/>
      <c r="F1" s="3"/>
      <c r="G1" s="4"/>
      <c r="J1" s="2" t="s">
        <v>84</v>
      </c>
      <c r="K1" s="2"/>
      <c r="L1" s="2"/>
      <c r="M1" s="2"/>
      <c r="N1" s="2"/>
      <c r="O1" s="3"/>
      <c r="P1" s="4"/>
    </row>
    <row r="2" s="1" customFormat="1" ht="32" customHeight="1" spans="1:16">
      <c r="A2" s="5" t="s">
        <v>2</v>
      </c>
      <c r="B2" s="5" t="s">
        <v>65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J2" s="5" t="s">
        <v>2</v>
      </c>
      <c r="K2" s="5" t="s">
        <v>65</v>
      </c>
      <c r="L2" s="5" t="s">
        <v>3</v>
      </c>
      <c r="M2" s="6" t="s">
        <v>74</v>
      </c>
      <c r="N2" s="7" t="s">
        <v>75</v>
      </c>
      <c r="O2" s="7" t="s">
        <v>76</v>
      </c>
      <c r="P2" s="7" t="s">
        <v>7</v>
      </c>
    </row>
    <row r="3" customFormat="1" ht="22" customHeight="1" spans="1:16">
      <c r="A3" s="8">
        <v>1</v>
      </c>
      <c r="B3" s="9">
        <v>46119</v>
      </c>
      <c r="C3" s="29" t="s">
        <v>13</v>
      </c>
      <c r="D3" s="30" t="s">
        <v>77</v>
      </c>
      <c r="E3" s="30"/>
      <c r="F3" s="29">
        <v>3</v>
      </c>
      <c r="G3" s="12" t="s">
        <v>15</v>
      </c>
      <c r="I3">
        <f t="shared" ref="I3:I21" si="0">SUM(E3:F3)</f>
        <v>3</v>
      </c>
      <c r="J3" s="13">
        <v>1</v>
      </c>
      <c r="K3" s="9">
        <v>46119</v>
      </c>
      <c r="L3" s="30" t="s">
        <v>54</v>
      </c>
      <c r="M3" s="30" t="s">
        <v>77</v>
      </c>
      <c r="N3" s="31">
        <v>3</v>
      </c>
      <c r="O3" s="32"/>
      <c r="P3" s="33"/>
    </row>
    <row r="4" customFormat="1" ht="22" customHeight="1" spans="1:16">
      <c r="A4" s="8">
        <v>2</v>
      </c>
      <c r="B4" s="9">
        <v>46119</v>
      </c>
      <c r="C4" s="29" t="s">
        <v>17</v>
      </c>
      <c r="D4" s="30" t="s">
        <v>77</v>
      </c>
      <c r="E4" s="29">
        <v>3</v>
      </c>
      <c r="F4" s="30"/>
      <c r="G4" s="12" t="s">
        <v>15</v>
      </c>
      <c r="I4">
        <f t="shared" si="0"/>
        <v>3</v>
      </c>
      <c r="J4" s="13">
        <v>2</v>
      </c>
      <c r="K4" s="9">
        <v>46119</v>
      </c>
      <c r="L4" s="30" t="s">
        <v>58</v>
      </c>
      <c r="M4" s="30" t="s">
        <v>77</v>
      </c>
      <c r="N4" s="31">
        <v>3</v>
      </c>
      <c r="O4" s="32"/>
      <c r="P4" s="33"/>
    </row>
    <row r="5" customFormat="1" ht="22" customHeight="1" spans="1:16">
      <c r="A5" s="8">
        <v>3</v>
      </c>
      <c r="B5" s="9">
        <v>46119</v>
      </c>
      <c r="C5" s="29" t="s">
        <v>18</v>
      </c>
      <c r="D5" s="30" t="s">
        <v>77</v>
      </c>
      <c r="E5" s="30"/>
      <c r="F5" s="29">
        <v>6</v>
      </c>
      <c r="G5" s="12" t="s">
        <v>19</v>
      </c>
      <c r="I5">
        <f t="shared" si="0"/>
        <v>6</v>
      </c>
      <c r="J5" s="13">
        <v>3</v>
      </c>
      <c r="K5" s="9"/>
      <c r="L5" s="11"/>
      <c r="M5" s="11"/>
      <c r="N5" s="14"/>
      <c r="O5" s="15"/>
      <c r="P5" s="14"/>
    </row>
    <row r="6" customFormat="1" ht="22" customHeight="1" spans="1:16">
      <c r="A6" s="8">
        <v>4</v>
      </c>
      <c r="B6" s="9">
        <v>46119</v>
      </c>
      <c r="C6" s="29" t="s">
        <v>20</v>
      </c>
      <c r="D6" s="30" t="s">
        <v>77</v>
      </c>
      <c r="E6" s="29">
        <v>5</v>
      </c>
      <c r="F6" s="29"/>
      <c r="G6" s="12" t="s">
        <v>21</v>
      </c>
      <c r="I6">
        <f t="shared" si="0"/>
        <v>5</v>
      </c>
      <c r="J6" s="13">
        <v>4</v>
      </c>
      <c r="K6" s="16"/>
      <c r="L6" s="17"/>
      <c r="M6" s="18"/>
      <c r="N6" s="19"/>
      <c r="O6" s="20"/>
      <c r="P6" s="20"/>
    </row>
    <row r="7" customFormat="1" ht="22" customHeight="1" spans="1:16">
      <c r="A7" s="8">
        <v>5</v>
      </c>
      <c r="B7" s="9">
        <v>46119</v>
      </c>
      <c r="C7" s="29" t="s">
        <v>22</v>
      </c>
      <c r="D7" s="30" t="s">
        <v>77</v>
      </c>
      <c r="E7" s="29">
        <v>5</v>
      </c>
      <c r="F7" s="29"/>
      <c r="G7" s="12" t="s">
        <v>21</v>
      </c>
      <c r="I7">
        <f t="shared" si="0"/>
        <v>5</v>
      </c>
      <c r="M7" s="27"/>
      <c r="N7" s="21">
        <f>SUM(N3:N6)</f>
        <v>6</v>
      </c>
      <c r="O7" s="21">
        <f>SUM(O3:O6)</f>
        <v>0</v>
      </c>
    </row>
    <row r="8" customFormat="1" ht="22" customHeight="1" spans="1:16">
      <c r="A8" s="8">
        <v>6</v>
      </c>
      <c r="B8" s="9">
        <v>46119</v>
      </c>
      <c r="C8" s="29" t="s">
        <v>23</v>
      </c>
      <c r="D8" s="30" t="s">
        <v>77</v>
      </c>
      <c r="E8" s="29">
        <v>6</v>
      </c>
      <c r="F8" s="30"/>
      <c r="G8" s="12" t="s">
        <v>19</v>
      </c>
      <c r="I8">
        <f t="shared" si="0"/>
        <v>6</v>
      </c>
    </row>
    <row r="9" customFormat="1" ht="22" customHeight="1" spans="1:16">
      <c r="A9" s="8">
        <v>7</v>
      </c>
      <c r="B9" s="9">
        <v>46119</v>
      </c>
      <c r="C9" s="29" t="s">
        <v>24</v>
      </c>
      <c r="D9" s="30" t="s">
        <v>77</v>
      </c>
      <c r="E9" s="29">
        <v>6</v>
      </c>
      <c r="F9" s="30"/>
      <c r="G9" s="12" t="s">
        <v>19</v>
      </c>
      <c r="I9">
        <f t="shared" si="0"/>
        <v>6</v>
      </c>
    </row>
    <row r="10" customFormat="1" ht="22" customHeight="1" spans="1:16">
      <c r="A10" s="8">
        <v>8</v>
      </c>
      <c r="B10" s="9">
        <v>46119</v>
      </c>
      <c r="C10" s="29" t="s">
        <v>25</v>
      </c>
      <c r="D10" s="30" t="s">
        <v>77</v>
      </c>
      <c r="E10" s="29">
        <v>3</v>
      </c>
      <c r="F10" s="29"/>
      <c r="G10" s="12" t="s">
        <v>26</v>
      </c>
      <c r="I10">
        <f t="shared" si="0"/>
        <v>3</v>
      </c>
    </row>
    <row r="11" customFormat="1" ht="22" customHeight="1" spans="1:16">
      <c r="A11" s="8">
        <v>9</v>
      </c>
      <c r="B11" s="9">
        <v>46119</v>
      </c>
      <c r="C11" s="29" t="s">
        <v>27</v>
      </c>
      <c r="D11" s="30" t="s">
        <v>77</v>
      </c>
      <c r="E11" s="29">
        <v>5</v>
      </c>
      <c r="F11" s="29"/>
      <c r="G11" s="12" t="s">
        <v>21</v>
      </c>
      <c r="I11">
        <f t="shared" si="0"/>
        <v>5</v>
      </c>
    </row>
    <row r="12" customFormat="1" ht="22" customHeight="1" spans="1:16">
      <c r="A12" s="8">
        <v>10</v>
      </c>
      <c r="B12" s="9">
        <v>46119</v>
      </c>
      <c r="C12" s="29" t="s">
        <v>28</v>
      </c>
      <c r="D12" s="30" t="s">
        <v>77</v>
      </c>
      <c r="E12" s="29">
        <v>3</v>
      </c>
      <c r="F12" s="29"/>
      <c r="G12" s="12" t="s">
        <v>26</v>
      </c>
      <c r="I12">
        <f t="shared" si="0"/>
        <v>3</v>
      </c>
    </row>
    <row r="13" customFormat="1" ht="22" customHeight="1" spans="1:16">
      <c r="A13" s="8">
        <v>11</v>
      </c>
      <c r="B13" s="9">
        <v>46119</v>
      </c>
      <c r="C13" s="29" t="s">
        <v>30</v>
      </c>
      <c r="D13" s="30" t="s">
        <v>77</v>
      </c>
      <c r="E13" s="31">
        <v>6</v>
      </c>
      <c r="F13" s="30"/>
      <c r="G13" s="12" t="s">
        <v>19</v>
      </c>
      <c r="I13">
        <f t="shared" si="0"/>
        <v>6</v>
      </c>
    </row>
    <row r="14" customFormat="1" ht="22" customHeight="1" spans="1:16">
      <c r="A14" s="8">
        <v>12</v>
      </c>
      <c r="B14" s="9">
        <v>46119</v>
      </c>
      <c r="C14" s="29" t="s">
        <v>32</v>
      </c>
      <c r="D14" s="30" t="s">
        <v>77</v>
      </c>
      <c r="E14" s="31">
        <v>3</v>
      </c>
      <c r="F14" s="30"/>
      <c r="G14" s="12" t="s">
        <v>15</v>
      </c>
      <c r="I14">
        <f t="shared" si="0"/>
        <v>3</v>
      </c>
    </row>
    <row r="15" customFormat="1" ht="22" customHeight="1" spans="1:16">
      <c r="A15" s="8">
        <v>13</v>
      </c>
      <c r="B15" s="9">
        <v>46119</v>
      </c>
      <c r="C15" s="29" t="s">
        <v>33</v>
      </c>
      <c r="D15" s="30" t="s">
        <v>77</v>
      </c>
      <c r="E15" s="31">
        <v>3</v>
      </c>
      <c r="F15" s="30"/>
      <c r="G15" s="12" t="s">
        <v>15</v>
      </c>
      <c r="I15">
        <f t="shared" si="0"/>
        <v>3</v>
      </c>
    </row>
    <row r="16" customFormat="1" ht="22" customHeight="1" spans="1:16">
      <c r="A16" s="8">
        <v>14</v>
      </c>
      <c r="B16" s="9">
        <v>46119</v>
      </c>
      <c r="C16" s="29" t="s">
        <v>25</v>
      </c>
      <c r="D16" s="30" t="s">
        <v>77</v>
      </c>
      <c r="E16" s="30"/>
      <c r="F16" s="29">
        <v>3</v>
      </c>
      <c r="G16" s="33" t="s">
        <v>15</v>
      </c>
      <c r="I16">
        <f t="shared" si="0"/>
        <v>3</v>
      </c>
    </row>
    <row r="17" customFormat="1" ht="22" customHeight="1" spans="1:10">
      <c r="A17" s="8">
        <v>15</v>
      </c>
      <c r="B17" s="9">
        <v>46119</v>
      </c>
      <c r="C17" s="29" t="s">
        <v>34</v>
      </c>
      <c r="D17" s="30" t="s">
        <v>77</v>
      </c>
      <c r="E17" s="29">
        <v>5</v>
      </c>
      <c r="F17" s="31"/>
      <c r="G17" s="12" t="s">
        <v>21</v>
      </c>
      <c r="I17">
        <f t="shared" si="0"/>
        <v>5</v>
      </c>
    </row>
    <row r="18" customFormat="1" ht="22" customHeight="1" spans="1:10">
      <c r="A18" s="8">
        <v>16</v>
      </c>
      <c r="B18" s="9">
        <v>46119</v>
      </c>
      <c r="C18" s="30" t="s">
        <v>36</v>
      </c>
      <c r="D18" s="30" t="s">
        <v>77</v>
      </c>
      <c r="E18" s="31">
        <v>3</v>
      </c>
      <c r="F18" s="32"/>
      <c r="G18" s="33" t="s">
        <v>15</v>
      </c>
      <c r="I18">
        <f t="shared" si="0"/>
        <v>3</v>
      </c>
    </row>
    <row r="19" customFormat="1" ht="22" customHeight="1" spans="1:10">
      <c r="A19" s="8">
        <v>17</v>
      </c>
      <c r="B19" s="9">
        <v>46119</v>
      </c>
      <c r="C19" s="30" t="s">
        <v>37</v>
      </c>
      <c r="D19" s="30" t="s">
        <v>77</v>
      </c>
      <c r="E19" s="32"/>
      <c r="F19" s="34">
        <v>3</v>
      </c>
      <c r="G19" s="35" t="s">
        <v>87</v>
      </c>
      <c r="H19" s="36" t="s">
        <v>88</v>
      </c>
      <c r="I19">
        <f t="shared" si="0"/>
        <v>3</v>
      </c>
    </row>
    <row r="20" customFormat="1" ht="22" customHeight="1" spans="1:10">
      <c r="A20" s="8">
        <v>18</v>
      </c>
      <c r="B20" s="9">
        <v>46119</v>
      </c>
      <c r="C20" s="30" t="s">
        <v>38</v>
      </c>
      <c r="D20" s="30" t="s">
        <v>77</v>
      </c>
      <c r="E20" s="32">
        <v>3</v>
      </c>
      <c r="F20" s="32"/>
      <c r="G20" s="33" t="s">
        <v>91</v>
      </c>
      <c r="H20" s="36"/>
      <c r="I20">
        <f t="shared" si="0"/>
        <v>3</v>
      </c>
    </row>
    <row r="21" customFormat="1" ht="22" customHeight="1" spans="1:10">
      <c r="A21" s="8">
        <v>19</v>
      </c>
      <c r="B21" s="9">
        <v>46119</v>
      </c>
      <c r="C21" s="30" t="s">
        <v>40</v>
      </c>
      <c r="D21" s="30" t="s">
        <v>77</v>
      </c>
      <c r="E21" s="14">
        <v>6</v>
      </c>
      <c r="F21" s="15"/>
      <c r="G21" s="33" t="s">
        <v>92</v>
      </c>
      <c r="I21">
        <f t="shared" si="0"/>
        <v>6</v>
      </c>
    </row>
    <row r="22" customFormat="1" ht="22" customHeight="1" spans="1:10">
      <c r="A22" s="8"/>
      <c r="B22" s="16"/>
      <c r="C22" s="17"/>
      <c r="D22" s="18"/>
      <c r="E22" s="19"/>
      <c r="F22" s="20"/>
      <c r="G22" s="20"/>
    </row>
    <row r="23" customFormat="1" ht="13.5" spans="1:10">
      <c r="E23" s="27">
        <f>SUM(E3:E22)</f>
        <v>65</v>
      </c>
      <c r="F23" s="27">
        <f>SUM(F3:F22)</f>
        <v>15</v>
      </c>
      <c r="I23">
        <f>SUM(I3:I22)</f>
        <v>80</v>
      </c>
    </row>
    <row r="25" spans="1:10">
      <c r="J25">
        <f>I23+N7</f>
        <v>86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workbookViewId="0">
      <selection activeCell="H23" sqref="H23:J24"/>
    </sheetView>
  </sheetViews>
  <sheetFormatPr defaultColWidth="9.14285714285714" defaultRowHeight="12"/>
  <cols>
    <col min="1" max="1" width="7.42857142857143" customWidth="1"/>
    <col min="2" max="2" width="12.8571428571429" customWidth="1"/>
    <col min="3" max="3" width="14.8571428571429" customWidth="1"/>
    <col min="4" max="4" width="12.1428571428571" customWidth="1"/>
    <col min="5" max="6" width="7.28571428571429" customWidth="1"/>
    <col min="7" max="7" width="36.2857142857143" customWidth="1"/>
    <col min="9" max="9" width="7.42857142857143" customWidth="1"/>
    <col min="10" max="10" width="12" customWidth="1"/>
    <col min="11" max="11" width="13.1428571428571" customWidth="1"/>
    <col min="12" max="12" width="11.4285714285714" customWidth="1"/>
    <col min="13" max="14" width="10.2857142857143" customWidth="1"/>
    <col min="15" max="15" width="12.8571428571429" customWidth="1"/>
  </cols>
  <sheetData>
    <row r="1" customFormat="1" ht="38" customHeight="1" spans="1:15">
      <c r="A1" s="2" t="s">
        <v>73</v>
      </c>
      <c r="B1" s="2"/>
      <c r="C1" s="2"/>
      <c r="D1" s="2"/>
      <c r="E1" s="2"/>
      <c r="F1" s="3"/>
      <c r="G1" s="4"/>
      <c r="I1" s="2" t="s">
        <v>84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65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65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5">
      <c r="A3" s="8">
        <v>1</v>
      </c>
      <c r="B3" s="9">
        <v>46121</v>
      </c>
      <c r="C3" s="10" t="s">
        <v>13</v>
      </c>
      <c r="D3" s="11" t="s">
        <v>81</v>
      </c>
      <c r="E3" s="11"/>
      <c r="F3" s="10">
        <v>2</v>
      </c>
      <c r="G3" s="12" t="s">
        <v>15</v>
      </c>
      <c r="H3">
        <f t="shared" ref="H3:H21" si="0">SUM(E3:F3)</f>
        <v>2</v>
      </c>
      <c r="I3" s="13">
        <v>1</v>
      </c>
      <c r="J3" s="9">
        <v>46121</v>
      </c>
      <c r="K3" s="11" t="s">
        <v>54</v>
      </c>
      <c r="L3" s="11" t="s">
        <v>81</v>
      </c>
      <c r="M3" s="14">
        <v>2</v>
      </c>
      <c r="N3" s="15"/>
      <c r="O3" s="14"/>
    </row>
    <row r="4" customFormat="1" ht="22" customHeight="1" spans="1:15">
      <c r="A4" s="8">
        <v>2</v>
      </c>
      <c r="B4" s="9">
        <v>46121</v>
      </c>
      <c r="C4" s="10" t="s">
        <v>17</v>
      </c>
      <c r="D4" s="11" t="s">
        <v>81</v>
      </c>
      <c r="E4" s="10">
        <v>2</v>
      </c>
      <c r="F4" s="11"/>
      <c r="G4" s="12" t="s">
        <v>15</v>
      </c>
      <c r="H4">
        <f t="shared" si="0"/>
        <v>2</v>
      </c>
      <c r="I4" s="13">
        <v>2</v>
      </c>
      <c r="J4" s="9">
        <v>46121</v>
      </c>
      <c r="K4" s="11" t="s">
        <v>58</v>
      </c>
      <c r="L4" s="11" t="s">
        <v>81</v>
      </c>
      <c r="M4" s="14">
        <v>2</v>
      </c>
      <c r="N4" s="15"/>
      <c r="O4" s="14"/>
    </row>
    <row r="5" customFormat="1" ht="22" customHeight="1" spans="1:15">
      <c r="A5" s="8">
        <v>3</v>
      </c>
      <c r="B5" s="9">
        <v>46121</v>
      </c>
      <c r="C5" s="10" t="s">
        <v>18</v>
      </c>
      <c r="D5" s="11" t="s">
        <v>81</v>
      </c>
      <c r="E5" s="11"/>
      <c r="F5" s="10">
        <v>4</v>
      </c>
      <c r="G5" s="12" t="s">
        <v>19</v>
      </c>
      <c r="H5">
        <f t="shared" si="0"/>
        <v>4</v>
      </c>
      <c r="I5" s="13"/>
      <c r="J5" s="16"/>
      <c r="K5" s="17"/>
      <c r="L5" s="18"/>
      <c r="M5" s="19"/>
      <c r="N5" s="20"/>
      <c r="O5" s="20"/>
    </row>
    <row r="6" customFormat="1" ht="22" customHeight="1" spans="1:15">
      <c r="A6" s="8">
        <v>4</v>
      </c>
      <c r="B6" s="9">
        <v>46121</v>
      </c>
      <c r="C6" s="10" t="s">
        <v>20</v>
      </c>
      <c r="D6" s="11" t="s">
        <v>81</v>
      </c>
      <c r="E6" s="10"/>
      <c r="F6" s="10">
        <v>5</v>
      </c>
      <c r="G6" s="12" t="s">
        <v>21</v>
      </c>
      <c r="H6">
        <f t="shared" si="0"/>
        <v>5</v>
      </c>
      <c r="M6" s="21">
        <f>SUM(M3:M5)</f>
        <v>4</v>
      </c>
      <c r="N6" s="21">
        <f>SUM(N3:N5)</f>
        <v>0</v>
      </c>
    </row>
    <row r="7" customFormat="1" ht="22" customHeight="1" spans="1:15">
      <c r="A7" s="8">
        <v>5</v>
      </c>
      <c r="B7" s="9">
        <v>46121</v>
      </c>
      <c r="C7" s="10" t="s">
        <v>22</v>
      </c>
      <c r="D7" s="11" t="s">
        <v>81</v>
      </c>
      <c r="E7" s="10"/>
      <c r="F7" s="10">
        <v>5</v>
      </c>
      <c r="G7" s="12" t="s">
        <v>21</v>
      </c>
      <c r="H7">
        <f t="shared" si="0"/>
        <v>5</v>
      </c>
    </row>
    <row r="8" customFormat="1" ht="22" customHeight="1" spans="1:15">
      <c r="A8" s="8">
        <v>6</v>
      </c>
      <c r="B8" s="9">
        <v>46121</v>
      </c>
      <c r="C8" s="10" t="s">
        <v>23</v>
      </c>
      <c r="D8" s="11" t="s">
        <v>81</v>
      </c>
      <c r="E8" s="10">
        <v>4</v>
      </c>
      <c r="F8" s="11"/>
      <c r="G8" s="12" t="s">
        <v>19</v>
      </c>
      <c r="H8">
        <f t="shared" si="0"/>
        <v>4</v>
      </c>
    </row>
    <row r="9" customFormat="1" ht="22" customHeight="1" spans="1:15">
      <c r="A9" s="8">
        <v>7</v>
      </c>
      <c r="B9" s="9">
        <v>46121</v>
      </c>
      <c r="C9" s="10" t="s">
        <v>24</v>
      </c>
      <c r="D9" s="11" t="s">
        <v>81</v>
      </c>
      <c r="E9" s="10">
        <v>4</v>
      </c>
      <c r="F9" s="11"/>
      <c r="G9" s="12" t="s">
        <v>19</v>
      </c>
      <c r="H9">
        <f t="shared" si="0"/>
        <v>4</v>
      </c>
    </row>
    <row r="10" customFormat="1" ht="22" customHeight="1" spans="1:15">
      <c r="A10" s="8">
        <v>8</v>
      </c>
      <c r="B10" s="9">
        <v>46121</v>
      </c>
      <c r="C10" s="10" t="s">
        <v>25</v>
      </c>
      <c r="D10" s="11" t="s">
        <v>81</v>
      </c>
      <c r="E10" s="10"/>
      <c r="F10" s="10">
        <v>2</v>
      </c>
      <c r="G10" s="12" t="s">
        <v>26</v>
      </c>
      <c r="H10">
        <f t="shared" si="0"/>
        <v>2</v>
      </c>
    </row>
    <row r="11" customFormat="1" ht="22" customHeight="1" spans="1:15">
      <c r="A11" s="8">
        <v>9</v>
      </c>
      <c r="B11" s="9">
        <v>46121</v>
      </c>
      <c r="C11" s="10" t="s">
        <v>27</v>
      </c>
      <c r="D11" s="11" t="s">
        <v>81</v>
      </c>
      <c r="E11" s="10"/>
      <c r="F11" s="10">
        <v>5</v>
      </c>
      <c r="G11" s="12" t="s">
        <v>21</v>
      </c>
      <c r="H11">
        <f t="shared" si="0"/>
        <v>5</v>
      </c>
    </row>
    <row r="12" customFormat="1" ht="22" customHeight="1" spans="1:15">
      <c r="A12" s="8">
        <v>10</v>
      </c>
      <c r="B12" s="9">
        <v>46121</v>
      </c>
      <c r="C12" s="10" t="s">
        <v>28</v>
      </c>
      <c r="D12" s="11" t="s">
        <v>81</v>
      </c>
      <c r="E12" s="10"/>
      <c r="F12" s="10">
        <v>2</v>
      </c>
      <c r="G12" s="12" t="s">
        <v>26</v>
      </c>
      <c r="H12">
        <f t="shared" si="0"/>
        <v>2</v>
      </c>
    </row>
    <row r="13" customFormat="1" ht="22" customHeight="1" spans="1:15">
      <c r="A13" s="8">
        <v>11</v>
      </c>
      <c r="B13" s="9">
        <v>46121</v>
      </c>
      <c r="C13" s="10" t="s">
        <v>30</v>
      </c>
      <c r="D13" s="11" t="s">
        <v>81</v>
      </c>
      <c r="E13" s="14">
        <v>4</v>
      </c>
      <c r="F13" s="11"/>
      <c r="G13" s="12" t="s">
        <v>19</v>
      </c>
      <c r="H13">
        <f t="shared" si="0"/>
        <v>4</v>
      </c>
    </row>
    <row r="14" customFormat="1" ht="22" customHeight="1" spans="1:15">
      <c r="A14" s="8">
        <v>12</v>
      </c>
      <c r="B14" s="9">
        <v>46121</v>
      </c>
      <c r="C14" s="10" t="s">
        <v>32</v>
      </c>
      <c r="D14" s="11" t="s">
        <v>81</v>
      </c>
      <c r="E14" s="14">
        <v>2</v>
      </c>
      <c r="F14" s="11"/>
      <c r="G14" s="12" t="s">
        <v>15</v>
      </c>
      <c r="H14">
        <f t="shared" si="0"/>
        <v>2</v>
      </c>
    </row>
    <row r="15" customFormat="1" ht="22" customHeight="1" spans="1:15">
      <c r="A15" s="8">
        <v>13</v>
      </c>
      <c r="B15" s="9">
        <v>46121</v>
      </c>
      <c r="C15" s="10" t="s">
        <v>33</v>
      </c>
      <c r="D15" s="11" t="s">
        <v>81</v>
      </c>
      <c r="E15" s="14">
        <v>2</v>
      </c>
      <c r="F15" s="11"/>
      <c r="G15" s="10" t="s">
        <v>15</v>
      </c>
      <c r="H15">
        <f t="shared" si="0"/>
        <v>2</v>
      </c>
    </row>
    <row r="16" customFormat="1" ht="22" customHeight="1" spans="1:15">
      <c r="A16" s="8">
        <v>14</v>
      </c>
      <c r="B16" s="9">
        <v>46121</v>
      </c>
      <c r="C16" s="10" t="s">
        <v>25</v>
      </c>
      <c r="D16" s="11" t="s">
        <v>81</v>
      </c>
      <c r="E16" s="11"/>
      <c r="F16" s="10">
        <v>2</v>
      </c>
      <c r="G16" s="14" t="s">
        <v>15</v>
      </c>
      <c r="H16">
        <f t="shared" si="0"/>
        <v>2</v>
      </c>
    </row>
    <row r="17" customFormat="1" ht="22" customHeight="1" spans="1:10">
      <c r="A17" s="8">
        <v>15</v>
      </c>
      <c r="B17" s="9">
        <v>46121</v>
      </c>
      <c r="C17" s="10" t="s">
        <v>34</v>
      </c>
      <c r="D17" s="11" t="s">
        <v>81</v>
      </c>
      <c r="E17" s="10"/>
      <c r="F17" s="14">
        <v>5</v>
      </c>
      <c r="G17" s="10" t="s">
        <v>21</v>
      </c>
      <c r="H17">
        <f t="shared" si="0"/>
        <v>5</v>
      </c>
    </row>
    <row r="18" customFormat="1" ht="22" customHeight="1" spans="1:10">
      <c r="A18" s="8">
        <v>16</v>
      </c>
      <c r="B18" s="9">
        <v>46121</v>
      </c>
      <c r="C18" s="11" t="s">
        <v>36</v>
      </c>
      <c r="D18" s="11" t="s">
        <v>81</v>
      </c>
      <c r="E18" s="14">
        <v>2</v>
      </c>
      <c r="F18" s="15"/>
      <c r="G18" s="14" t="s">
        <v>15</v>
      </c>
      <c r="H18">
        <f t="shared" si="0"/>
        <v>2</v>
      </c>
    </row>
    <row r="19" customFormat="1" ht="22" customHeight="1" spans="1:10">
      <c r="A19" s="8">
        <v>17</v>
      </c>
      <c r="B19" s="9">
        <v>46121</v>
      </c>
      <c r="C19" s="22" t="s">
        <v>37</v>
      </c>
      <c r="D19" s="22" t="s">
        <v>81</v>
      </c>
      <c r="E19" s="23"/>
      <c r="F19" s="24">
        <v>7</v>
      </c>
      <c r="G19" s="25" t="s">
        <v>87</v>
      </c>
      <c r="H19">
        <f t="shared" si="0"/>
        <v>7</v>
      </c>
    </row>
    <row r="20" customFormat="1" ht="22" customHeight="1" spans="1:10">
      <c r="A20" s="8">
        <v>18</v>
      </c>
      <c r="B20" s="9">
        <v>46121</v>
      </c>
      <c r="C20" s="22" t="s">
        <v>38</v>
      </c>
      <c r="D20" s="22" t="s">
        <v>81</v>
      </c>
      <c r="E20" s="26"/>
      <c r="F20" s="24">
        <v>3</v>
      </c>
      <c r="G20" s="25" t="s">
        <v>91</v>
      </c>
      <c r="H20">
        <f t="shared" si="0"/>
        <v>3</v>
      </c>
    </row>
    <row r="21" customFormat="1" ht="22" customHeight="1" spans="1:10">
      <c r="A21" s="8">
        <v>19</v>
      </c>
      <c r="B21" s="9">
        <v>46121</v>
      </c>
      <c r="C21" s="22" t="s">
        <v>40</v>
      </c>
      <c r="D21" s="22" t="s">
        <v>81</v>
      </c>
      <c r="E21" s="26">
        <v>4</v>
      </c>
      <c r="F21" s="24"/>
      <c r="G21" s="25" t="s">
        <v>92</v>
      </c>
      <c r="H21">
        <f t="shared" si="0"/>
        <v>4</v>
      </c>
    </row>
    <row r="22" customFormat="1" ht="22" customHeight="1" spans="1:10">
      <c r="A22" s="8"/>
      <c r="B22" s="16"/>
      <c r="C22" s="17"/>
      <c r="D22" s="18"/>
      <c r="E22" s="19"/>
      <c r="F22" s="20"/>
      <c r="G22" s="20"/>
    </row>
    <row r="23" customFormat="1" ht="13.5" spans="1:10">
      <c r="E23" s="27">
        <f t="shared" ref="E23:H23" si="1">SUM(E3:E22)</f>
        <v>24</v>
      </c>
      <c r="F23" s="27">
        <f t="shared" si="1"/>
        <v>42</v>
      </c>
      <c r="H23" s="27">
        <f t="shared" si="1"/>
        <v>66</v>
      </c>
    </row>
    <row r="24" spans="1:10">
      <c r="J24">
        <f>H23+M6</f>
        <v>70</v>
      </c>
    </row>
    <row r="25" ht="20" customHeight="1" spans="1:10">
      <c r="C25" s="28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workbookViewId="0">
      <selection activeCell="G20" sqref="G20"/>
    </sheetView>
  </sheetViews>
  <sheetFormatPr defaultColWidth="9.14285714285714" defaultRowHeight="12"/>
  <cols>
    <col min="1" max="1" width="7.42857142857143" customWidth="1"/>
    <col min="2" max="2" width="11" customWidth="1"/>
    <col min="3" max="3" width="14.7142857142857" customWidth="1"/>
    <col min="4" max="4" width="11.4285714285714" customWidth="1"/>
    <col min="5" max="6" width="7.85714285714286" customWidth="1"/>
    <col min="7" max="7" width="29.8571428571429" customWidth="1"/>
    <col min="9" max="9" width="4.42857142857143" customWidth="1"/>
    <col min="10" max="10" width="8.28571428571429" customWidth="1"/>
    <col min="11" max="11" width="14.4285714285714" customWidth="1"/>
    <col min="12" max="12" width="12.7142857142857" customWidth="1"/>
    <col min="13" max="13" width="12.1428571428571" customWidth="1"/>
    <col min="14" max="15" width="9" customWidth="1"/>
    <col min="16" max="16" width="22.7142857142857" customWidth="1"/>
  </cols>
  <sheetData>
    <row r="1" customFormat="1" ht="38" customHeight="1" spans="1:16">
      <c r="A1" s="2" t="s">
        <v>73</v>
      </c>
      <c r="B1" s="2"/>
      <c r="C1" s="2"/>
      <c r="D1" s="2"/>
      <c r="E1" s="2"/>
      <c r="F1" s="3"/>
      <c r="G1" s="4"/>
      <c r="J1" s="2" t="s">
        <v>84</v>
      </c>
      <c r="K1" s="2"/>
      <c r="L1" s="2"/>
      <c r="M1" s="2"/>
      <c r="N1" s="2"/>
      <c r="O1" s="3"/>
      <c r="P1" s="4"/>
    </row>
    <row r="2" s="1" customFormat="1" ht="32" customHeight="1" spans="1:16">
      <c r="A2" s="5" t="s">
        <v>2</v>
      </c>
      <c r="B2" s="5" t="s">
        <v>65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J2" s="5" t="s">
        <v>2</v>
      </c>
      <c r="K2" s="5" t="s">
        <v>65</v>
      </c>
      <c r="L2" s="5" t="s">
        <v>3</v>
      </c>
      <c r="M2" s="6" t="s">
        <v>74</v>
      </c>
      <c r="N2" s="7" t="s">
        <v>75</v>
      </c>
      <c r="O2" s="7" t="s">
        <v>76</v>
      </c>
      <c r="P2" s="7" t="s">
        <v>7</v>
      </c>
    </row>
    <row r="3" customFormat="1" ht="22" customHeight="1" spans="1:16">
      <c r="A3" s="8">
        <v>1</v>
      </c>
      <c r="B3" s="9">
        <v>46125</v>
      </c>
      <c r="C3" s="29" t="s">
        <v>13</v>
      </c>
      <c r="D3" s="30" t="s">
        <v>77</v>
      </c>
      <c r="E3" s="30"/>
      <c r="F3" s="29">
        <v>3</v>
      </c>
      <c r="G3" s="12" t="s">
        <v>15</v>
      </c>
      <c r="I3">
        <f t="shared" ref="I3:I21" si="0">SUM(E3:F3)</f>
        <v>3</v>
      </c>
      <c r="J3" s="13">
        <v>1</v>
      </c>
      <c r="K3" s="9">
        <v>46125</v>
      </c>
      <c r="L3" s="30" t="s">
        <v>54</v>
      </c>
      <c r="M3" s="30" t="s">
        <v>77</v>
      </c>
      <c r="N3" s="31">
        <v>3</v>
      </c>
      <c r="O3" s="32"/>
      <c r="P3" s="33"/>
    </row>
    <row r="4" customFormat="1" ht="22" customHeight="1" spans="1:16">
      <c r="A4" s="8">
        <v>2</v>
      </c>
      <c r="B4" s="9">
        <v>46125</v>
      </c>
      <c r="C4" s="29" t="s">
        <v>17</v>
      </c>
      <c r="D4" s="30" t="s">
        <v>77</v>
      </c>
      <c r="E4" s="29">
        <v>3</v>
      </c>
      <c r="F4" s="30"/>
      <c r="G4" s="12" t="s">
        <v>15</v>
      </c>
      <c r="I4">
        <f t="shared" si="0"/>
        <v>3</v>
      </c>
      <c r="J4" s="13">
        <v>2</v>
      </c>
      <c r="K4" s="9">
        <v>46125</v>
      </c>
      <c r="L4" s="30" t="s">
        <v>58</v>
      </c>
      <c r="M4" s="30" t="s">
        <v>77</v>
      </c>
      <c r="N4" s="31">
        <v>3</v>
      </c>
      <c r="O4" s="32"/>
      <c r="P4" s="33"/>
    </row>
    <row r="5" customFormat="1" ht="22" customHeight="1" spans="1:16">
      <c r="A5" s="8">
        <v>3</v>
      </c>
      <c r="B5" s="9">
        <v>46125</v>
      </c>
      <c r="C5" s="29" t="s">
        <v>18</v>
      </c>
      <c r="D5" s="30" t="s">
        <v>77</v>
      </c>
      <c r="E5" s="30"/>
      <c r="F5" s="29">
        <v>6</v>
      </c>
      <c r="G5" s="12" t="s">
        <v>19</v>
      </c>
      <c r="I5">
        <f t="shared" si="0"/>
        <v>6</v>
      </c>
      <c r="J5" s="13">
        <v>3</v>
      </c>
      <c r="K5" s="9"/>
      <c r="L5" s="11"/>
      <c r="M5" s="11"/>
      <c r="N5" s="14"/>
      <c r="O5" s="15"/>
      <c r="P5" s="14"/>
    </row>
    <row r="6" customFormat="1" ht="22" customHeight="1" spans="1:16">
      <c r="A6" s="8">
        <v>4</v>
      </c>
      <c r="B6" s="9">
        <v>46125</v>
      </c>
      <c r="C6" s="29" t="s">
        <v>20</v>
      </c>
      <c r="D6" s="30" t="s">
        <v>77</v>
      </c>
      <c r="E6" s="29">
        <v>5</v>
      </c>
      <c r="F6" s="29"/>
      <c r="G6" s="12" t="s">
        <v>21</v>
      </c>
      <c r="I6">
        <f t="shared" si="0"/>
        <v>5</v>
      </c>
      <c r="J6" s="13">
        <v>4</v>
      </c>
      <c r="K6" s="16"/>
      <c r="L6" s="17"/>
      <c r="M6" s="18"/>
      <c r="N6" s="19"/>
      <c r="O6" s="20"/>
      <c r="P6" s="20"/>
    </row>
    <row r="7" customFormat="1" ht="22" customHeight="1" spans="1:16">
      <c r="A7" s="8">
        <v>5</v>
      </c>
      <c r="B7" s="9">
        <v>46125</v>
      </c>
      <c r="C7" s="29" t="s">
        <v>22</v>
      </c>
      <c r="D7" s="30" t="s">
        <v>77</v>
      </c>
      <c r="E7" s="29">
        <v>5</v>
      </c>
      <c r="F7" s="29"/>
      <c r="G7" s="12" t="s">
        <v>21</v>
      </c>
      <c r="I7">
        <f t="shared" si="0"/>
        <v>5</v>
      </c>
      <c r="M7" s="27"/>
      <c r="N7" s="21">
        <f>SUM(N3:N6)</f>
        <v>6</v>
      </c>
      <c r="O7" s="21">
        <f>SUM(O3:O6)</f>
        <v>0</v>
      </c>
    </row>
    <row r="8" customFormat="1" ht="22" customHeight="1" spans="1:16">
      <c r="A8" s="8">
        <v>6</v>
      </c>
      <c r="B8" s="9">
        <v>46125</v>
      </c>
      <c r="C8" s="29" t="s">
        <v>23</v>
      </c>
      <c r="D8" s="30" t="s">
        <v>77</v>
      </c>
      <c r="E8" s="29">
        <v>6</v>
      </c>
      <c r="F8" s="30"/>
      <c r="G8" s="12" t="s">
        <v>19</v>
      </c>
      <c r="I8">
        <f t="shared" si="0"/>
        <v>6</v>
      </c>
    </row>
    <row r="9" customFormat="1" ht="22" customHeight="1" spans="1:16">
      <c r="A9" s="8">
        <v>7</v>
      </c>
      <c r="B9" s="9">
        <v>46125</v>
      </c>
      <c r="C9" s="29" t="s">
        <v>24</v>
      </c>
      <c r="D9" s="30" t="s">
        <v>77</v>
      </c>
      <c r="E9" s="29">
        <v>6</v>
      </c>
      <c r="F9" s="30"/>
      <c r="G9" s="12" t="s">
        <v>19</v>
      </c>
      <c r="I9">
        <f t="shared" si="0"/>
        <v>6</v>
      </c>
    </row>
    <row r="10" customFormat="1" ht="22" customHeight="1" spans="1:16">
      <c r="A10" s="8">
        <v>8</v>
      </c>
      <c r="B10" s="9">
        <v>46125</v>
      </c>
      <c r="C10" s="29" t="s">
        <v>25</v>
      </c>
      <c r="D10" s="30" t="s">
        <v>77</v>
      </c>
      <c r="E10" s="29">
        <v>3</v>
      </c>
      <c r="F10" s="29"/>
      <c r="G10" s="12" t="s">
        <v>26</v>
      </c>
      <c r="I10">
        <f t="shared" si="0"/>
        <v>3</v>
      </c>
    </row>
    <row r="11" customFormat="1" ht="22" customHeight="1" spans="1:16">
      <c r="A11" s="8">
        <v>9</v>
      </c>
      <c r="B11" s="9">
        <v>46125</v>
      </c>
      <c r="C11" s="29" t="s">
        <v>27</v>
      </c>
      <c r="D11" s="30" t="s">
        <v>77</v>
      </c>
      <c r="E11" s="29">
        <v>5</v>
      </c>
      <c r="F11" s="29"/>
      <c r="G11" s="12" t="s">
        <v>21</v>
      </c>
      <c r="I11">
        <f t="shared" si="0"/>
        <v>5</v>
      </c>
    </row>
    <row r="12" customFormat="1" ht="22" customHeight="1" spans="1:16">
      <c r="A12" s="8">
        <v>10</v>
      </c>
      <c r="B12" s="9">
        <v>46125</v>
      </c>
      <c r="C12" s="29" t="s">
        <v>28</v>
      </c>
      <c r="D12" s="30" t="s">
        <v>77</v>
      </c>
      <c r="E12" s="29">
        <v>3</v>
      </c>
      <c r="F12" s="29"/>
      <c r="G12" s="12" t="s">
        <v>26</v>
      </c>
      <c r="I12">
        <f t="shared" si="0"/>
        <v>3</v>
      </c>
    </row>
    <row r="13" customFormat="1" ht="22" customHeight="1" spans="1:16">
      <c r="A13" s="8">
        <v>11</v>
      </c>
      <c r="B13" s="9">
        <v>46125</v>
      </c>
      <c r="C13" s="29" t="s">
        <v>30</v>
      </c>
      <c r="D13" s="30" t="s">
        <v>77</v>
      </c>
      <c r="E13" s="31">
        <v>6</v>
      </c>
      <c r="F13" s="30"/>
      <c r="G13" s="12" t="s">
        <v>19</v>
      </c>
      <c r="I13">
        <f t="shared" si="0"/>
        <v>6</v>
      </c>
    </row>
    <row r="14" customFormat="1" ht="22" customHeight="1" spans="1:16">
      <c r="A14" s="8">
        <v>12</v>
      </c>
      <c r="B14" s="9">
        <v>46125</v>
      </c>
      <c r="C14" s="29" t="s">
        <v>32</v>
      </c>
      <c r="D14" s="30" t="s">
        <v>77</v>
      </c>
      <c r="E14" s="31">
        <v>3</v>
      </c>
      <c r="F14" s="30"/>
      <c r="G14" s="12" t="s">
        <v>15</v>
      </c>
      <c r="I14">
        <f t="shared" si="0"/>
        <v>3</v>
      </c>
    </row>
    <row r="15" customFormat="1" ht="22" customHeight="1" spans="1:16">
      <c r="A15" s="8">
        <v>13</v>
      </c>
      <c r="B15" s="9">
        <v>46125</v>
      </c>
      <c r="C15" s="29" t="s">
        <v>33</v>
      </c>
      <c r="D15" s="30" t="s">
        <v>77</v>
      </c>
      <c r="E15" s="31">
        <v>3</v>
      </c>
      <c r="F15" s="30"/>
      <c r="G15" s="12" t="s">
        <v>15</v>
      </c>
      <c r="I15">
        <f t="shared" si="0"/>
        <v>3</v>
      </c>
    </row>
    <row r="16" customFormat="1" ht="22" customHeight="1" spans="1:16">
      <c r="A16" s="8">
        <v>14</v>
      </c>
      <c r="B16" s="9">
        <v>46125</v>
      </c>
      <c r="C16" s="29" t="s">
        <v>25</v>
      </c>
      <c r="D16" s="30" t="s">
        <v>77</v>
      </c>
      <c r="E16" s="30"/>
      <c r="F16" s="29">
        <v>3</v>
      </c>
      <c r="G16" s="33" t="s">
        <v>15</v>
      </c>
      <c r="I16">
        <f t="shared" si="0"/>
        <v>3</v>
      </c>
    </row>
    <row r="17" customFormat="1" ht="22" customHeight="1" spans="1:11">
      <c r="A17" s="8">
        <v>15</v>
      </c>
      <c r="B17" s="9">
        <v>46125</v>
      </c>
      <c r="C17" s="29" t="s">
        <v>34</v>
      </c>
      <c r="D17" s="30" t="s">
        <v>77</v>
      </c>
      <c r="E17" s="29">
        <v>5</v>
      </c>
      <c r="F17" s="31"/>
      <c r="G17" s="12" t="s">
        <v>21</v>
      </c>
      <c r="I17">
        <f t="shared" si="0"/>
        <v>5</v>
      </c>
    </row>
    <row r="18" customFormat="1" ht="22" customHeight="1" spans="1:11">
      <c r="A18" s="8">
        <v>16</v>
      </c>
      <c r="B18" s="9">
        <v>46125</v>
      </c>
      <c r="C18" s="30" t="s">
        <v>36</v>
      </c>
      <c r="D18" s="30" t="s">
        <v>77</v>
      </c>
      <c r="E18" s="31">
        <v>3</v>
      </c>
      <c r="F18" s="32"/>
      <c r="G18" s="33" t="s">
        <v>15</v>
      </c>
      <c r="I18">
        <f t="shared" si="0"/>
        <v>3</v>
      </c>
    </row>
    <row r="19" customFormat="1" ht="22" customHeight="1" spans="1:11">
      <c r="A19" s="8">
        <v>17</v>
      </c>
      <c r="B19" s="9">
        <v>46125</v>
      </c>
      <c r="C19" s="30" t="s">
        <v>37</v>
      </c>
      <c r="D19" s="30" t="s">
        <v>77</v>
      </c>
      <c r="E19" s="32"/>
      <c r="F19" s="34">
        <v>3</v>
      </c>
      <c r="G19" s="35" t="s">
        <v>87</v>
      </c>
      <c r="H19" s="36" t="s">
        <v>88</v>
      </c>
      <c r="I19">
        <f t="shared" si="0"/>
        <v>3</v>
      </c>
    </row>
    <row r="20" customFormat="1" ht="22" customHeight="1" spans="1:11">
      <c r="A20" s="8">
        <v>18</v>
      </c>
      <c r="B20" s="9">
        <v>46125</v>
      </c>
      <c r="C20" s="30" t="s">
        <v>38</v>
      </c>
      <c r="D20" s="30" t="s">
        <v>77</v>
      </c>
      <c r="E20" s="32">
        <v>3</v>
      </c>
      <c r="F20" s="32"/>
      <c r="G20" s="33" t="s">
        <v>91</v>
      </c>
      <c r="H20" s="36"/>
      <c r="I20">
        <f t="shared" si="0"/>
        <v>3</v>
      </c>
    </row>
    <row r="21" customFormat="1" ht="22" customHeight="1" spans="1:11">
      <c r="A21" s="8">
        <v>19</v>
      </c>
      <c r="B21" s="9">
        <v>46125</v>
      </c>
      <c r="C21" s="30" t="s">
        <v>40</v>
      </c>
      <c r="D21" s="30" t="s">
        <v>77</v>
      </c>
      <c r="E21" s="14">
        <v>6</v>
      </c>
      <c r="F21" s="15"/>
      <c r="G21" s="33" t="s">
        <v>92</v>
      </c>
      <c r="I21">
        <f t="shared" si="0"/>
        <v>6</v>
      </c>
    </row>
    <row r="22" customFormat="1" ht="22" customHeight="1" spans="1:11">
      <c r="A22" s="8"/>
      <c r="B22" s="16"/>
      <c r="C22" s="17"/>
      <c r="D22" s="18"/>
      <c r="E22" s="19"/>
      <c r="F22" s="20"/>
      <c r="G22" s="20"/>
    </row>
    <row r="23" customFormat="1" ht="13.5" spans="1:11">
      <c r="E23" s="27">
        <f t="shared" ref="E23:I23" si="1">SUM(E3:E22)</f>
        <v>65</v>
      </c>
      <c r="F23" s="27">
        <f t="shared" si="1"/>
        <v>15</v>
      </c>
      <c r="I23" s="27">
        <f t="shared" si="1"/>
        <v>80</v>
      </c>
    </row>
    <row r="24" spans="1:11">
      <c r="K24">
        <f>I23+N7</f>
        <v>86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workbookViewId="0">
      <selection activeCell="J22" sqref="J22"/>
    </sheetView>
  </sheetViews>
  <sheetFormatPr defaultColWidth="9.14285714285714" defaultRowHeight="12"/>
  <cols>
    <col min="1" max="1" width="7.42857142857143" customWidth="1"/>
    <col min="2" max="2" width="12.8571428571429" customWidth="1"/>
    <col min="3" max="3" width="14.8571428571429" customWidth="1"/>
    <col min="4" max="4" width="12.1428571428571" customWidth="1"/>
    <col min="5" max="6" width="7.28571428571429" customWidth="1"/>
    <col min="7" max="7" width="36.2857142857143" customWidth="1"/>
    <col min="9" max="9" width="7.42857142857143" customWidth="1"/>
    <col min="10" max="10" width="12" customWidth="1"/>
    <col min="11" max="11" width="13.1428571428571" customWidth="1"/>
    <col min="12" max="12" width="11.4285714285714" customWidth="1"/>
    <col min="13" max="14" width="10.2857142857143" customWidth="1"/>
    <col min="15" max="15" width="12.8571428571429" customWidth="1"/>
  </cols>
  <sheetData>
    <row r="1" customFormat="1" ht="38" customHeight="1" spans="1:15">
      <c r="A1" s="2" t="s">
        <v>73</v>
      </c>
      <c r="B1" s="2"/>
      <c r="C1" s="2"/>
      <c r="D1" s="2"/>
      <c r="E1" s="2"/>
      <c r="F1" s="3"/>
      <c r="G1" s="4"/>
      <c r="I1" s="2" t="s">
        <v>84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65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65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5">
      <c r="A3" s="8">
        <v>1</v>
      </c>
      <c r="B3" s="9">
        <v>46128</v>
      </c>
      <c r="C3" s="10" t="s">
        <v>13</v>
      </c>
      <c r="D3" s="11" t="s">
        <v>81</v>
      </c>
      <c r="E3" s="11"/>
      <c r="F3" s="10">
        <v>2</v>
      </c>
      <c r="G3" s="12" t="s">
        <v>93</v>
      </c>
      <c r="H3">
        <f t="shared" ref="H3:H21" si="0">SUM(E3:F3)</f>
        <v>2</v>
      </c>
      <c r="I3" s="13">
        <v>1</v>
      </c>
      <c r="J3" s="9">
        <v>46128</v>
      </c>
      <c r="K3" s="11" t="s">
        <v>54</v>
      </c>
      <c r="L3" s="11" t="s">
        <v>81</v>
      </c>
      <c r="M3" s="14">
        <v>2</v>
      </c>
      <c r="N3" s="15"/>
      <c r="O3" s="14"/>
    </row>
    <row r="4" customFormat="1" ht="22" customHeight="1" spans="1:15">
      <c r="A4" s="8">
        <v>2</v>
      </c>
      <c r="B4" s="9">
        <v>46128</v>
      </c>
      <c r="C4" s="10" t="s">
        <v>17</v>
      </c>
      <c r="D4" s="11" t="s">
        <v>81</v>
      </c>
      <c r="E4" s="10">
        <v>2</v>
      </c>
      <c r="F4" s="11"/>
      <c r="G4" s="12" t="s">
        <v>93</v>
      </c>
      <c r="H4">
        <f t="shared" si="0"/>
        <v>2</v>
      </c>
      <c r="I4" s="13">
        <v>2</v>
      </c>
      <c r="J4" s="9">
        <v>46128</v>
      </c>
      <c r="K4" s="11" t="s">
        <v>58</v>
      </c>
      <c r="L4" s="11" t="s">
        <v>81</v>
      </c>
      <c r="M4" s="14">
        <v>2</v>
      </c>
      <c r="N4" s="15"/>
      <c r="O4" s="14"/>
    </row>
    <row r="5" customFormat="1" ht="22" customHeight="1" spans="1:15">
      <c r="A5" s="8">
        <v>3</v>
      </c>
      <c r="B5" s="9">
        <v>46128</v>
      </c>
      <c r="C5" s="10" t="s">
        <v>18</v>
      </c>
      <c r="D5" s="11" t="s">
        <v>81</v>
      </c>
      <c r="E5" s="11"/>
      <c r="F5" s="10">
        <v>4</v>
      </c>
      <c r="G5" s="12" t="s">
        <v>41</v>
      </c>
      <c r="H5">
        <f t="shared" si="0"/>
        <v>4</v>
      </c>
      <c r="I5" s="13"/>
      <c r="J5" s="16"/>
      <c r="K5" s="17"/>
      <c r="L5" s="18"/>
      <c r="M5" s="19"/>
      <c r="N5" s="20"/>
      <c r="O5" s="20"/>
    </row>
    <row r="6" customFormat="1" ht="22" customHeight="1" spans="1:15">
      <c r="A6" s="8">
        <v>4</v>
      </c>
      <c r="B6" s="9">
        <v>46128</v>
      </c>
      <c r="C6" s="10" t="s">
        <v>20</v>
      </c>
      <c r="D6" s="11" t="s">
        <v>81</v>
      </c>
      <c r="E6" s="10"/>
      <c r="F6" s="10">
        <v>5</v>
      </c>
      <c r="G6" s="12" t="s">
        <v>94</v>
      </c>
      <c r="H6">
        <f t="shared" si="0"/>
        <v>5</v>
      </c>
      <c r="M6" s="21">
        <f>SUM(M3:M5)</f>
        <v>4</v>
      </c>
      <c r="N6" s="21">
        <f>SUM(N3:N5)</f>
        <v>0</v>
      </c>
    </row>
    <row r="7" customFormat="1" ht="22" customHeight="1" spans="1:15">
      <c r="A7" s="8">
        <v>5</v>
      </c>
      <c r="B7" s="9">
        <v>46128</v>
      </c>
      <c r="C7" s="10" t="s">
        <v>22</v>
      </c>
      <c r="D7" s="11" t="s">
        <v>81</v>
      </c>
      <c r="E7" s="10"/>
      <c r="F7" s="10">
        <v>5</v>
      </c>
      <c r="G7" s="12" t="s">
        <v>94</v>
      </c>
      <c r="H7">
        <f t="shared" si="0"/>
        <v>5</v>
      </c>
    </row>
    <row r="8" customFormat="1" ht="22" customHeight="1" spans="1:15">
      <c r="A8" s="8">
        <v>6</v>
      </c>
      <c r="B8" s="9">
        <v>46128</v>
      </c>
      <c r="C8" s="10" t="s">
        <v>23</v>
      </c>
      <c r="D8" s="11" t="s">
        <v>81</v>
      </c>
      <c r="E8" s="10">
        <v>4</v>
      </c>
      <c r="F8" s="11"/>
      <c r="G8" s="12" t="s">
        <v>41</v>
      </c>
      <c r="H8">
        <f t="shared" si="0"/>
        <v>4</v>
      </c>
    </row>
    <row r="9" customFormat="1" ht="22" customHeight="1" spans="1:15">
      <c r="A9" s="8">
        <v>7</v>
      </c>
      <c r="B9" s="9">
        <v>46128</v>
      </c>
      <c r="C9" s="10" t="s">
        <v>24</v>
      </c>
      <c r="D9" s="11" t="s">
        <v>81</v>
      </c>
      <c r="E9" s="10">
        <v>4</v>
      </c>
      <c r="F9" s="11"/>
      <c r="G9" s="12" t="s">
        <v>41</v>
      </c>
      <c r="H9">
        <f t="shared" si="0"/>
        <v>4</v>
      </c>
    </row>
    <row r="10" customFormat="1" ht="22" customHeight="1" spans="1:15">
      <c r="A10" s="8">
        <v>8</v>
      </c>
      <c r="B10" s="9">
        <v>46128</v>
      </c>
      <c r="C10" s="10" t="s">
        <v>25</v>
      </c>
      <c r="D10" s="11" t="s">
        <v>81</v>
      </c>
      <c r="E10" s="10"/>
      <c r="F10" s="10">
        <v>2</v>
      </c>
      <c r="G10" s="12" t="s">
        <v>95</v>
      </c>
      <c r="H10">
        <f t="shared" si="0"/>
        <v>2</v>
      </c>
    </row>
    <row r="11" customFormat="1" ht="22" customHeight="1" spans="1:15">
      <c r="A11" s="8">
        <v>9</v>
      </c>
      <c r="B11" s="9">
        <v>46128</v>
      </c>
      <c r="C11" s="10" t="s">
        <v>27</v>
      </c>
      <c r="D11" s="11" t="s">
        <v>81</v>
      </c>
      <c r="E11" s="10"/>
      <c r="F11" s="10">
        <v>5</v>
      </c>
      <c r="G11" s="12" t="s">
        <v>94</v>
      </c>
      <c r="H11">
        <f t="shared" si="0"/>
        <v>5</v>
      </c>
    </row>
    <row r="12" customFormat="1" ht="22" customHeight="1" spans="1:15">
      <c r="A12" s="8">
        <v>10</v>
      </c>
      <c r="B12" s="9">
        <v>46128</v>
      </c>
      <c r="C12" s="10" t="s">
        <v>28</v>
      </c>
      <c r="D12" s="11" t="s">
        <v>81</v>
      </c>
      <c r="E12" s="10"/>
      <c r="F12" s="10">
        <v>2</v>
      </c>
      <c r="G12" s="12" t="s">
        <v>95</v>
      </c>
      <c r="H12">
        <f t="shared" si="0"/>
        <v>2</v>
      </c>
    </row>
    <row r="13" customFormat="1" ht="22" customHeight="1" spans="1:15">
      <c r="A13" s="8">
        <v>11</v>
      </c>
      <c r="B13" s="9">
        <v>46128</v>
      </c>
      <c r="C13" s="10" t="s">
        <v>30</v>
      </c>
      <c r="D13" s="11" t="s">
        <v>81</v>
      </c>
      <c r="E13" s="14">
        <v>4</v>
      </c>
      <c r="F13" s="11"/>
      <c r="G13" s="12" t="s">
        <v>41</v>
      </c>
      <c r="H13">
        <f t="shared" si="0"/>
        <v>4</v>
      </c>
    </row>
    <row r="14" customFormat="1" ht="22" customHeight="1" spans="1:15">
      <c r="A14" s="8">
        <v>12</v>
      </c>
      <c r="B14" s="9">
        <v>46128</v>
      </c>
      <c r="C14" s="10" t="s">
        <v>32</v>
      </c>
      <c r="D14" s="11" t="s">
        <v>81</v>
      </c>
      <c r="E14" s="14">
        <v>2</v>
      </c>
      <c r="F14" s="11"/>
      <c r="G14" s="12" t="s">
        <v>93</v>
      </c>
      <c r="H14">
        <f t="shared" si="0"/>
        <v>2</v>
      </c>
    </row>
    <row r="15" customFormat="1" ht="22" customHeight="1" spans="1:15">
      <c r="A15" s="8">
        <v>13</v>
      </c>
      <c r="B15" s="9">
        <v>46128</v>
      </c>
      <c r="C15" s="10" t="s">
        <v>33</v>
      </c>
      <c r="D15" s="11" t="s">
        <v>81</v>
      </c>
      <c r="E15" s="14">
        <v>2</v>
      </c>
      <c r="F15" s="11"/>
      <c r="G15" s="10" t="s">
        <v>93</v>
      </c>
      <c r="H15">
        <f t="shared" si="0"/>
        <v>2</v>
      </c>
    </row>
    <row r="16" customFormat="1" ht="22" customHeight="1" spans="1:15">
      <c r="A16" s="8">
        <v>14</v>
      </c>
      <c r="B16" s="9">
        <v>46128</v>
      </c>
      <c r="C16" s="10" t="s">
        <v>25</v>
      </c>
      <c r="D16" s="11" t="s">
        <v>81</v>
      </c>
      <c r="E16" s="11"/>
      <c r="F16" s="10">
        <v>2</v>
      </c>
      <c r="G16" s="14" t="s">
        <v>93</v>
      </c>
      <c r="H16">
        <f t="shared" si="0"/>
        <v>2</v>
      </c>
    </row>
    <row r="17" customFormat="1" ht="22" customHeight="1" spans="1:10">
      <c r="A17" s="8">
        <v>15</v>
      </c>
      <c r="B17" s="9">
        <v>46128</v>
      </c>
      <c r="C17" s="10" t="s">
        <v>34</v>
      </c>
      <c r="D17" s="11" t="s">
        <v>81</v>
      </c>
      <c r="E17" s="10"/>
      <c r="F17" s="14">
        <v>5</v>
      </c>
      <c r="G17" s="10" t="s">
        <v>94</v>
      </c>
      <c r="H17">
        <f t="shared" si="0"/>
        <v>5</v>
      </c>
    </row>
    <row r="18" customFormat="1" ht="22" customHeight="1" spans="1:10">
      <c r="A18" s="8">
        <v>16</v>
      </c>
      <c r="B18" s="9">
        <v>46128</v>
      </c>
      <c r="C18" s="11" t="s">
        <v>36</v>
      </c>
      <c r="D18" s="11" t="s">
        <v>81</v>
      </c>
      <c r="E18" s="14">
        <v>2</v>
      </c>
      <c r="F18" s="15"/>
      <c r="G18" s="14" t="s">
        <v>93</v>
      </c>
      <c r="H18">
        <f t="shared" si="0"/>
        <v>2</v>
      </c>
    </row>
    <row r="19" customFormat="1" ht="22" customHeight="1" spans="1:10">
      <c r="A19" s="8">
        <v>17</v>
      </c>
      <c r="B19" s="9">
        <v>46128</v>
      </c>
      <c r="C19" s="22" t="s">
        <v>37</v>
      </c>
      <c r="D19" s="22" t="s">
        <v>81</v>
      </c>
      <c r="E19" s="23"/>
      <c r="F19" s="24">
        <v>7</v>
      </c>
      <c r="G19" s="25" t="s">
        <v>96</v>
      </c>
      <c r="H19">
        <f t="shared" si="0"/>
        <v>7</v>
      </c>
    </row>
    <row r="20" customFormat="1" ht="22" customHeight="1" spans="1:10">
      <c r="A20" s="8">
        <v>18</v>
      </c>
      <c r="B20" s="9">
        <v>46128</v>
      </c>
      <c r="C20" s="22" t="s">
        <v>38</v>
      </c>
      <c r="D20" s="22" t="s">
        <v>81</v>
      </c>
      <c r="E20" s="26"/>
      <c r="F20" s="24">
        <v>3</v>
      </c>
      <c r="G20" s="25" t="s">
        <v>91</v>
      </c>
      <c r="H20">
        <f t="shared" si="0"/>
        <v>3</v>
      </c>
    </row>
    <row r="21" customFormat="1" ht="22" customHeight="1" spans="1:10">
      <c r="A21" s="8">
        <v>19</v>
      </c>
      <c r="B21" s="9">
        <v>46128</v>
      </c>
      <c r="C21" s="22" t="s">
        <v>40</v>
      </c>
      <c r="D21" s="22" t="s">
        <v>81</v>
      </c>
      <c r="E21" s="26">
        <v>4</v>
      </c>
      <c r="F21" s="24"/>
      <c r="G21" s="25" t="s">
        <v>92</v>
      </c>
      <c r="H21">
        <f t="shared" si="0"/>
        <v>4</v>
      </c>
    </row>
    <row r="22" customFormat="1" ht="22" customHeight="1" spans="1:10">
      <c r="A22" s="8"/>
      <c r="B22" s="16"/>
      <c r="C22" s="17"/>
      <c r="D22" s="18"/>
      <c r="E22" s="19"/>
      <c r="F22" s="20"/>
      <c r="G22" s="20"/>
    </row>
    <row r="23" customFormat="1" ht="13.5" spans="1:10">
      <c r="E23" s="27">
        <f t="shared" ref="E23:H23" si="1">SUM(E3:E22)</f>
        <v>24</v>
      </c>
      <c r="F23" s="27">
        <f t="shared" si="1"/>
        <v>42</v>
      </c>
      <c r="H23" s="27">
        <f t="shared" si="1"/>
        <v>66</v>
      </c>
    </row>
    <row r="24" spans="1:10">
      <c r="J24">
        <f>H23+M6</f>
        <v>70</v>
      </c>
    </row>
    <row r="25" ht="20" customHeight="1" spans="1:10">
      <c r="C25" s="28"/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topLeftCell="B2" workbookViewId="0">
      <selection activeCell="J23" sqref="J23"/>
    </sheetView>
  </sheetViews>
  <sheetFormatPr defaultColWidth="9.14285714285714" defaultRowHeight="12"/>
  <cols>
    <col min="1" max="1" width="7.42857142857143" customWidth="1"/>
    <col min="2" max="2" width="11" customWidth="1"/>
    <col min="3" max="3" width="14.7142857142857" customWidth="1"/>
    <col min="4" max="4" width="11.4285714285714" customWidth="1"/>
    <col min="5" max="6" width="7.85714285714286" customWidth="1"/>
    <col min="7" max="7" width="29.8571428571429" customWidth="1"/>
    <col min="9" max="9" width="4.42857142857143" customWidth="1"/>
    <col min="10" max="10" width="8.28571428571429" customWidth="1"/>
    <col min="11" max="11" width="14.4285714285714" customWidth="1"/>
    <col min="12" max="12" width="12.7142857142857" customWidth="1"/>
    <col min="13" max="13" width="12.1428571428571" customWidth="1"/>
    <col min="14" max="15" width="9" customWidth="1"/>
    <col min="16" max="16" width="22.7142857142857" customWidth="1"/>
  </cols>
  <sheetData>
    <row r="1" customFormat="1" ht="38" customHeight="1" spans="1:16">
      <c r="A1" s="2" t="s">
        <v>73</v>
      </c>
      <c r="B1" s="2"/>
      <c r="C1" s="2"/>
      <c r="D1" s="2"/>
      <c r="E1" s="2"/>
      <c r="F1" s="3"/>
      <c r="G1" s="4"/>
      <c r="J1" s="2" t="s">
        <v>84</v>
      </c>
      <c r="K1" s="2"/>
      <c r="L1" s="2"/>
      <c r="M1" s="2"/>
      <c r="N1" s="2"/>
      <c r="O1" s="3"/>
      <c r="P1" s="4"/>
    </row>
    <row r="2" s="1" customFormat="1" ht="32" customHeight="1" spans="1:16">
      <c r="A2" s="5" t="s">
        <v>2</v>
      </c>
      <c r="B2" s="5" t="s">
        <v>65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J2" s="5" t="s">
        <v>2</v>
      </c>
      <c r="K2" s="5" t="s">
        <v>65</v>
      </c>
      <c r="L2" s="5" t="s">
        <v>3</v>
      </c>
      <c r="M2" s="6" t="s">
        <v>74</v>
      </c>
      <c r="N2" s="7" t="s">
        <v>75</v>
      </c>
      <c r="O2" s="7" t="s">
        <v>76</v>
      </c>
      <c r="P2" s="7" t="s">
        <v>7</v>
      </c>
    </row>
    <row r="3" customFormat="1" ht="22" customHeight="1" spans="1:16">
      <c r="A3" s="8">
        <v>1</v>
      </c>
      <c r="B3" s="9">
        <v>46132</v>
      </c>
      <c r="C3" s="29" t="s">
        <v>13</v>
      </c>
      <c r="D3" s="30" t="s">
        <v>77</v>
      </c>
      <c r="E3" s="30"/>
      <c r="F3" s="29">
        <v>3</v>
      </c>
      <c r="G3" s="12" t="s">
        <v>15</v>
      </c>
      <c r="I3">
        <f t="shared" ref="I3:I21" si="0">SUM(E3:F3)</f>
        <v>3</v>
      </c>
      <c r="J3" s="13">
        <v>1</v>
      </c>
      <c r="K3" s="9">
        <v>46132</v>
      </c>
      <c r="L3" s="30" t="s">
        <v>54</v>
      </c>
      <c r="M3" s="30" t="s">
        <v>77</v>
      </c>
      <c r="N3" s="31">
        <v>3</v>
      </c>
      <c r="O3" s="32"/>
      <c r="P3" s="33"/>
    </row>
    <row r="4" customFormat="1" ht="22" customHeight="1" spans="1:16">
      <c r="A4" s="8">
        <v>2</v>
      </c>
      <c r="B4" s="9">
        <v>46132</v>
      </c>
      <c r="C4" s="29" t="s">
        <v>17</v>
      </c>
      <c r="D4" s="30" t="s">
        <v>77</v>
      </c>
      <c r="E4" s="29">
        <v>3</v>
      </c>
      <c r="F4" s="30"/>
      <c r="G4" s="12" t="s">
        <v>15</v>
      </c>
      <c r="I4">
        <f t="shared" si="0"/>
        <v>3</v>
      </c>
      <c r="J4" s="13">
        <v>2</v>
      </c>
      <c r="K4" s="9">
        <v>46132</v>
      </c>
      <c r="L4" s="30" t="s">
        <v>58</v>
      </c>
      <c r="M4" s="30" t="s">
        <v>77</v>
      </c>
      <c r="N4" s="31">
        <v>3</v>
      </c>
      <c r="O4" s="32"/>
      <c r="P4" s="33"/>
    </row>
    <row r="5" customFormat="1" ht="22" customHeight="1" spans="1:16">
      <c r="A5" s="8">
        <v>3</v>
      </c>
      <c r="B5" s="9">
        <v>46132</v>
      </c>
      <c r="C5" s="29" t="s">
        <v>18</v>
      </c>
      <c r="D5" s="30" t="s">
        <v>77</v>
      </c>
      <c r="E5" s="30"/>
      <c r="F5" s="29">
        <v>6</v>
      </c>
      <c r="G5" s="12" t="s">
        <v>19</v>
      </c>
      <c r="I5">
        <f t="shared" si="0"/>
        <v>6</v>
      </c>
      <c r="J5" s="13">
        <v>3</v>
      </c>
      <c r="K5" s="9"/>
      <c r="L5" s="11"/>
      <c r="M5" s="11"/>
      <c r="N5" s="14"/>
      <c r="O5" s="15"/>
      <c r="P5" s="14"/>
    </row>
    <row r="6" customFormat="1" ht="22" customHeight="1" spans="1:16">
      <c r="A6" s="8">
        <v>4</v>
      </c>
      <c r="B6" s="9">
        <v>46132</v>
      </c>
      <c r="C6" s="29" t="s">
        <v>20</v>
      </c>
      <c r="D6" s="30" t="s">
        <v>77</v>
      </c>
      <c r="E6" s="29">
        <v>5</v>
      </c>
      <c r="F6" s="29"/>
      <c r="G6" s="12" t="s">
        <v>21</v>
      </c>
      <c r="I6">
        <f t="shared" si="0"/>
        <v>5</v>
      </c>
      <c r="J6" s="13">
        <v>4</v>
      </c>
      <c r="K6" s="16"/>
      <c r="L6" s="17"/>
      <c r="M6" s="18"/>
      <c r="N6" s="19"/>
      <c r="O6" s="20"/>
      <c r="P6" s="20"/>
    </row>
    <row r="7" customFormat="1" ht="22" customHeight="1" spans="1:16">
      <c r="A7" s="8">
        <v>5</v>
      </c>
      <c r="B7" s="9">
        <v>46132</v>
      </c>
      <c r="C7" s="29" t="s">
        <v>22</v>
      </c>
      <c r="D7" s="30" t="s">
        <v>77</v>
      </c>
      <c r="E7" s="29">
        <v>5</v>
      </c>
      <c r="F7" s="29"/>
      <c r="G7" s="12" t="s">
        <v>21</v>
      </c>
      <c r="I7">
        <f t="shared" si="0"/>
        <v>5</v>
      </c>
      <c r="M7" s="27"/>
      <c r="N7" s="21">
        <f>SUM(N3:N6)</f>
        <v>6</v>
      </c>
      <c r="O7" s="21">
        <f>SUM(O3:O6)</f>
        <v>0</v>
      </c>
    </row>
    <row r="8" customFormat="1" ht="22" customHeight="1" spans="1:16">
      <c r="A8" s="8">
        <v>6</v>
      </c>
      <c r="B8" s="9">
        <v>46132</v>
      </c>
      <c r="C8" s="29" t="s">
        <v>23</v>
      </c>
      <c r="D8" s="30" t="s">
        <v>77</v>
      </c>
      <c r="E8" s="29">
        <v>6</v>
      </c>
      <c r="F8" s="30"/>
      <c r="G8" s="12" t="s">
        <v>19</v>
      </c>
      <c r="I8">
        <f t="shared" si="0"/>
        <v>6</v>
      </c>
    </row>
    <row r="9" customFormat="1" ht="22" customHeight="1" spans="1:16">
      <c r="A9" s="8">
        <v>7</v>
      </c>
      <c r="B9" s="9">
        <v>46132</v>
      </c>
      <c r="C9" s="29" t="s">
        <v>24</v>
      </c>
      <c r="D9" s="30" t="s">
        <v>77</v>
      </c>
      <c r="E9" s="29">
        <v>6</v>
      </c>
      <c r="F9" s="30"/>
      <c r="G9" s="12" t="s">
        <v>19</v>
      </c>
      <c r="I9">
        <f t="shared" si="0"/>
        <v>6</v>
      </c>
    </row>
    <row r="10" customFormat="1" ht="22" customHeight="1" spans="1:16">
      <c r="A10" s="8">
        <v>8</v>
      </c>
      <c r="B10" s="9">
        <v>46132</v>
      </c>
      <c r="C10" s="29" t="s">
        <v>25</v>
      </c>
      <c r="D10" s="30" t="s">
        <v>77</v>
      </c>
      <c r="E10" s="29">
        <v>3</v>
      </c>
      <c r="F10" s="29"/>
      <c r="G10" s="12" t="s">
        <v>26</v>
      </c>
      <c r="I10">
        <f t="shared" si="0"/>
        <v>3</v>
      </c>
    </row>
    <row r="11" customFormat="1" ht="22" customHeight="1" spans="1:16">
      <c r="A11" s="8">
        <v>9</v>
      </c>
      <c r="B11" s="9">
        <v>46132</v>
      </c>
      <c r="C11" s="29" t="s">
        <v>27</v>
      </c>
      <c r="D11" s="30" t="s">
        <v>77</v>
      </c>
      <c r="E11" s="29">
        <v>5</v>
      </c>
      <c r="F11" s="29"/>
      <c r="G11" s="12" t="s">
        <v>21</v>
      </c>
      <c r="I11">
        <f t="shared" si="0"/>
        <v>5</v>
      </c>
    </row>
    <row r="12" customFormat="1" ht="22" customHeight="1" spans="1:16">
      <c r="A12" s="8">
        <v>10</v>
      </c>
      <c r="B12" s="9">
        <v>46132</v>
      </c>
      <c r="C12" s="29" t="s">
        <v>28</v>
      </c>
      <c r="D12" s="30" t="s">
        <v>77</v>
      </c>
      <c r="E12" s="29">
        <v>3</v>
      </c>
      <c r="F12" s="29"/>
      <c r="G12" s="12" t="s">
        <v>26</v>
      </c>
      <c r="I12">
        <f t="shared" si="0"/>
        <v>3</v>
      </c>
    </row>
    <row r="13" customFormat="1" ht="22" customHeight="1" spans="1:16">
      <c r="A13" s="8">
        <v>11</v>
      </c>
      <c r="B13" s="9">
        <v>46132</v>
      </c>
      <c r="C13" s="29" t="s">
        <v>30</v>
      </c>
      <c r="D13" s="30" t="s">
        <v>77</v>
      </c>
      <c r="E13" s="31">
        <v>6</v>
      </c>
      <c r="F13" s="30"/>
      <c r="G13" s="12" t="s">
        <v>19</v>
      </c>
      <c r="I13">
        <f t="shared" si="0"/>
        <v>6</v>
      </c>
    </row>
    <row r="14" customFormat="1" ht="22" customHeight="1" spans="1:16">
      <c r="A14" s="8">
        <v>12</v>
      </c>
      <c r="B14" s="9">
        <v>46132</v>
      </c>
      <c r="C14" s="29" t="s">
        <v>32</v>
      </c>
      <c r="D14" s="30" t="s">
        <v>77</v>
      </c>
      <c r="E14" s="31">
        <v>3</v>
      </c>
      <c r="F14" s="30"/>
      <c r="G14" s="12" t="s">
        <v>15</v>
      </c>
      <c r="I14">
        <f t="shared" si="0"/>
        <v>3</v>
      </c>
    </row>
    <row r="15" customFormat="1" ht="22" customHeight="1" spans="1:16">
      <c r="A15" s="8">
        <v>13</v>
      </c>
      <c r="B15" s="9">
        <v>46132</v>
      </c>
      <c r="C15" s="29" t="s">
        <v>33</v>
      </c>
      <c r="D15" s="30" t="s">
        <v>77</v>
      </c>
      <c r="E15" s="31">
        <v>3</v>
      </c>
      <c r="F15" s="30"/>
      <c r="G15" s="12" t="s">
        <v>15</v>
      </c>
      <c r="I15">
        <f t="shared" si="0"/>
        <v>3</v>
      </c>
    </row>
    <row r="16" customFormat="1" ht="22" customHeight="1" spans="1:16">
      <c r="A16" s="8">
        <v>14</v>
      </c>
      <c r="B16" s="9">
        <v>46132</v>
      </c>
      <c r="C16" s="29" t="s">
        <v>25</v>
      </c>
      <c r="D16" s="30" t="s">
        <v>77</v>
      </c>
      <c r="E16" s="30"/>
      <c r="F16" s="29">
        <v>3</v>
      </c>
      <c r="G16" s="33" t="s">
        <v>15</v>
      </c>
      <c r="I16">
        <f t="shared" si="0"/>
        <v>3</v>
      </c>
    </row>
    <row r="17" customFormat="1" ht="22" customHeight="1" spans="1:11">
      <c r="A17" s="8">
        <v>15</v>
      </c>
      <c r="B17" s="9">
        <v>46132</v>
      </c>
      <c r="C17" s="29" t="s">
        <v>34</v>
      </c>
      <c r="D17" s="30" t="s">
        <v>77</v>
      </c>
      <c r="E17" s="29">
        <v>5</v>
      </c>
      <c r="F17" s="31"/>
      <c r="G17" s="12" t="s">
        <v>21</v>
      </c>
      <c r="I17">
        <f t="shared" si="0"/>
        <v>5</v>
      </c>
    </row>
    <row r="18" customFormat="1" ht="22" customHeight="1" spans="1:11">
      <c r="A18" s="8">
        <v>16</v>
      </c>
      <c r="B18" s="9">
        <v>46132</v>
      </c>
      <c r="C18" s="30" t="s">
        <v>36</v>
      </c>
      <c r="D18" s="30" t="s">
        <v>77</v>
      </c>
      <c r="E18" s="31">
        <v>3</v>
      </c>
      <c r="F18" s="32"/>
      <c r="G18" s="33" t="s">
        <v>15</v>
      </c>
      <c r="I18">
        <f t="shared" si="0"/>
        <v>3</v>
      </c>
    </row>
    <row r="19" customFormat="1" ht="22" customHeight="1" spans="1:11">
      <c r="A19" s="8">
        <v>17</v>
      </c>
      <c r="B19" s="9">
        <v>46132</v>
      </c>
      <c r="C19" s="30" t="s">
        <v>37</v>
      </c>
      <c r="D19" s="30" t="s">
        <v>77</v>
      </c>
      <c r="E19" s="32"/>
      <c r="F19" s="34">
        <v>3</v>
      </c>
      <c r="G19" s="35" t="s">
        <v>87</v>
      </c>
      <c r="H19" s="36" t="s">
        <v>88</v>
      </c>
      <c r="I19">
        <f t="shared" si="0"/>
        <v>3</v>
      </c>
    </row>
    <row r="20" customFormat="1" ht="22" customHeight="1" spans="1:11">
      <c r="A20" s="8">
        <v>18</v>
      </c>
      <c r="B20" s="9">
        <v>46132</v>
      </c>
      <c r="C20" s="30" t="s">
        <v>38</v>
      </c>
      <c r="D20" s="30" t="s">
        <v>77</v>
      </c>
      <c r="E20" s="32">
        <v>3</v>
      </c>
      <c r="F20" s="32"/>
      <c r="G20" s="33" t="s">
        <v>91</v>
      </c>
      <c r="H20" s="36"/>
      <c r="I20">
        <f t="shared" si="0"/>
        <v>3</v>
      </c>
    </row>
    <row r="21" customFormat="1" ht="22" customHeight="1" spans="1:11">
      <c r="A21" s="8">
        <v>19</v>
      </c>
      <c r="B21" s="9">
        <v>46132</v>
      </c>
      <c r="C21" s="30" t="s">
        <v>40</v>
      </c>
      <c r="D21" s="30" t="s">
        <v>77</v>
      </c>
      <c r="E21" s="14">
        <v>6</v>
      </c>
      <c r="F21" s="15"/>
      <c r="G21" s="33" t="s">
        <v>92</v>
      </c>
      <c r="I21">
        <f t="shared" si="0"/>
        <v>6</v>
      </c>
    </row>
    <row r="22" customFormat="1" ht="22" customHeight="1" spans="1:11">
      <c r="A22" s="8"/>
      <c r="B22" s="16"/>
      <c r="C22" s="17"/>
      <c r="D22" s="18"/>
      <c r="E22" s="19"/>
      <c r="F22" s="20"/>
      <c r="G22" s="20"/>
    </row>
    <row r="23" customFormat="1" ht="13.5" spans="1:11">
      <c r="E23" s="27">
        <f t="shared" ref="E23:I23" si="1">SUM(E3:E22)</f>
        <v>65</v>
      </c>
      <c r="F23" s="27">
        <f t="shared" si="1"/>
        <v>15</v>
      </c>
      <c r="I23" s="27">
        <f t="shared" si="1"/>
        <v>80</v>
      </c>
    </row>
    <row r="24" spans="1:11">
      <c r="K24">
        <f>I23+N7</f>
        <v>86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topLeftCell="A2" workbookViewId="0">
      <selection activeCell="J13" sqref="J13"/>
    </sheetView>
  </sheetViews>
  <sheetFormatPr defaultColWidth="9.14285714285714" defaultRowHeight="12"/>
  <cols>
    <col min="1" max="1" width="7.42857142857143" customWidth="1"/>
    <col min="2" max="2" width="12.8571428571429" customWidth="1"/>
    <col min="3" max="3" width="14.8571428571429" customWidth="1"/>
    <col min="4" max="4" width="12.1428571428571" customWidth="1"/>
    <col min="5" max="6" width="7.28571428571429" customWidth="1"/>
    <col min="7" max="7" width="36.2857142857143" customWidth="1"/>
    <col min="9" max="9" width="7.42857142857143" customWidth="1"/>
    <col min="10" max="10" width="12" customWidth="1"/>
    <col min="11" max="11" width="13.1428571428571" customWidth="1"/>
    <col min="12" max="12" width="11.4285714285714" customWidth="1"/>
    <col min="13" max="14" width="10.2857142857143" customWidth="1"/>
    <col min="15" max="15" width="12.8571428571429" customWidth="1"/>
  </cols>
  <sheetData>
    <row r="1" customFormat="1" ht="38" customHeight="1" spans="1:15">
      <c r="A1" s="2" t="s">
        <v>73</v>
      </c>
      <c r="B1" s="2"/>
      <c r="C1" s="2"/>
      <c r="D1" s="2"/>
      <c r="E1" s="2"/>
      <c r="F1" s="3"/>
      <c r="G1" s="4"/>
      <c r="I1" s="2" t="s">
        <v>84</v>
      </c>
      <c r="J1" s="2"/>
      <c r="K1" s="2"/>
      <c r="L1" s="2"/>
      <c r="M1" s="2"/>
      <c r="N1" s="3"/>
      <c r="O1" s="4"/>
    </row>
    <row r="2" s="1" customFormat="1" ht="32" customHeight="1" spans="1:15">
      <c r="A2" s="5" t="s">
        <v>2</v>
      </c>
      <c r="B2" s="5" t="s">
        <v>65</v>
      </c>
      <c r="C2" s="5" t="s">
        <v>3</v>
      </c>
      <c r="D2" s="6" t="s">
        <v>74</v>
      </c>
      <c r="E2" s="7" t="s">
        <v>75</v>
      </c>
      <c r="F2" s="7" t="s">
        <v>76</v>
      </c>
      <c r="G2" s="7" t="s">
        <v>7</v>
      </c>
      <c r="I2" s="5" t="s">
        <v>2</v>
      </c>
      <c r="J2" s="5" t="s">
        <v>65</v>
      </c>
      <c r="K2" s="5" t="s">
        <v>3</v>
      </c>
      <c r="L2" s="6" t="s">
        <v>74</v>
      </c>
      <c r="M2" s="7" t="s">
        <v>75</v>
      </c>
      <c r="N2" s="7" t="s">
        <v>76</v>
      </c>
      <c r="O2" s="7" t="s">
        <v>7</v>
      </c>
    </row>
    <row r="3" customFormat="1" ht="22" customHeight="1" spans="1:15">
      <c r="A3" s="8">
        <v>1</v>
      </c>
      <c r="B3" s="9">
        <v>46135</v>
      </c>
      <c r="C3" s="10" t="s">
        <v>13</v>
      </c>
      <c r="D3" s="11" t="s">
        <v>81</v>
      </c>
      <c r="E3" s="11"/>
      <c r="F3" s="10">
        <v>2</v>
      </c>
      <c r="G3" s="12" t="s">
        <v>93</v>
      </c>
      <c r="H3">
        <f t="shared" ref="H3:H21" si="0">SUM(E3:F3)</f>
        <v>2</v>
      </c>
      <c r="I3" s="13">
        <v>1</v>
      </c>
      <c r="J3" s="9">
        <v>46135</v>
      </c>
      <c r="K3" s="11" t="s">
        <v>54</v>
      </c>
      <c r="L3" s="11" t="s">
        <v>81</v>
      </c>
      <c r="M3" s="14">
        <v>2</v>
      </c>
      <c r="N3" s="15"/>
      <c r="O3" s="14"/>
    </row>
    <row r="4" customFormat="1" ht="22" customHeight="1" spans="1:15">
      <c r="A4" s="8">
        <v>2</v>
      </c>
      <c r="B4" s="9">
        <v>46135</v>
      </c>
      <c r="C4" s="10" t="s">
        <v>17</v>
      </c>
      <c r="D4" s="11" t="s">
        <v>81</v>
      </c>
      <c r="E4" s="10">
        <v>2</v>
      </c>
      <c r="F4" s="11"/>
      <c r="G4" s="12" t="s">
        <v>93</v>
      </c>
      <c r="H4">
        <f t="shared" si="0"/>
        <v>2</v>
      </c>
      <c r="I4" s="13">
        <v>2</v>
      </c>
      <c r="J4" s="9">
        <v>46135</v>
      </c>
      <c r="K4" s="11" t="s">
        <v>58</v>
      </c>
      <c r="L4" s="11" t="s">
        <v>81</v>
      </c>
      <c r="M4" s="14">
        <v>2</v>
      </c>
      <c r="N4" s="15"/>
      <c r="O4" s="14"/>
    </row>
    <row r="5" customFormat="1" ht="22" customHeight="1" spans="1:15">
      <c r="A5" s="8">
        <v>3</v>
      </c>
      <c r="B5" s="9">
        <v>46135</v>
      </c>
      <c r="C5" s="10" t="s">
        <v>18</v>
      </c>
      <c r="D5" s="11" t="s">
        <v>81</v>
      </c>
      <c r="E5" s="11"/>
      <c r="F5" s="10">
        <v>4</v>
      </c>
      <c r="G5" s="12" t="s">
        <v>41</v>
      </c>
      <c r="H5">
        <f t="shared" si="0"/>
        <v>4</v>
      </c>
      <c r="I5" s="13"/>
      <c r="J5" s="16"/>
      <c r="K5" s="17"/>
      <c r="L5" s="18"/>
      <c r="M5" s="19"/>
      <c r="N5" s="20"/>
      <c r="O5" s="20"/>
    </row>
    <row r="6" customFormat="1" ht="22" customHeight="1" spans="1:15">
      <c r="A6" s="8">
        <v>4</v>
      </c>
      <c r="B6" s="9">
        <v>46135</v>
      </c>
      <c r="C6" s="10" t="s">
        <v>20</v>
      </c>
      <c r="D6" s="11" t="s">
        <v>81</v>
      </c>
      <c r="E6" s="10"/>
      <c r="F6" s="10">
        <v>5</v>
      </c>
      <c r="G6" s="12" t="s">
        <v>94</v>
      </c>
      <c r="H6">
        <f t="shared" si="0"/>
        <v>5</v>
      </c>
      <c r="M6" s="21">
        <f>SUM(M3:M5)</f>
        <v>4</v>
      </c>
      <c r="N6" s="21">
        <f>SUM(N3:N5)</f>
        <v>0</v>
      </c>
    </row>
    <row r="7" customFormat="1" ht="22" customHeight="1" spans="1:15">
      <c r="A7" s="8">
        <v>5</v>
      </c>
      <c r="B7" s="9">
        <v>46135</v>
      </c>
      <c r="C7" s="10" t="s">
        <v>22</v>
      </c>
      <c r="D7" s="11" t="s">
        <v>81</v>
      </c>
      <c r="E7" s="10"/>
      <c r="F7" s="10">
        <v>5</v>
      </c>
      <c r="G7" s="12" t="s">
        <v>94</v>
      </c>
      <c r="H7">
        <f t="shared" si="0"/>
        <v>5</v>
      </c>
    </row>
    <row r="8" customFormat="1" ht="22" customHeight="1" spans="1:15">
      <c r="A8" s="8">
        <v>6</v>
      </c>
      <c r="B8" s="9">
        <v>46135</v>
      </c>
      <c r="C8" s="10" t="s">
        <v>23</v>
      </c>
      <c r="D8" s="11" t="s">
        <v>81</v>
      </c>
      <c r="E8" s="10">
        <v>4</v>
      </c>
      <c r="F8" s="11"/>
      <c r="G8" s="12" t="s">
        <v>41</v>
      </c>
      <c r="H8">
        <f t="shared" si="0"/>
        <v>4</v>
      </c>
    </row>
    <row r="9" customFormat="1" ht="22" customHeight="1" spans="1:15">
      <c r="A9" s="8">
        <v>7</v>
      </c>
      <c r="B9" s="9">
        <v>46135</v>
      </c>
      <c r="C9" s="10" t="s">
        <v>24</v>
      </c>
      <c r="D9" s="11" t="s">
        <v>81</v>
      </c>
      <c r="E9" s="10">
        <v>4</v>
      </c>
      <c r="F9" s="11"/>
      <c r="G9" s="12" t="s">
        <v>41</v>
      </c>
      <c r="H9">
        <f t="shared" si="0"/>
        <v>4</v>
      </c>
    </row>
    <row r="10" customFormat="1" ht="22" customHeight="1" spans="1:15">
      <c r="A10" s="8">
        <v>8</v>
      </c>
      <c r="B10" s="9">
        <v>46135</v>
      </c>
      <c r="C10" s="10" t="s">
        <v>25</v>
      </c>
      <c r="D10" s="11" t="s">
        <v>81</v>
      </c>
      <c r="E10" s="10"/>
      <c r="F10" s="10">
        <v>2</v>
      </c>
      <c r="G10" s="12" t="s">
        <v>95</v>
      </c>
      <c r="H10">
        <f t="shared" si="0"/>
        <v>2</v>
      </c>
    </row>
    <row r="11" customFormat="1" ht="22" customHeight="1" spans="1:15">
      <c r="A11" s="8">
        <v>9</v>
      </c>
      <c r="B11" s="9">
        <v>46135</v>
      </c>
      <c r="C11" s="10" t="s">
        <v>27</v>
      </c>
      <c r="D11" s="11" t="s">
        <v>81</v>
      </c>
      <c r="E11" s="10"/>
      <c r="F11" s="10">
        <v>5</v>
      </c>
      <c r="G11" s="12" t="s">
        <v>94</v>
      </c>
      <c r="H11">
        <f t="shared" si="0"/>
        <v>5</v>
      </c>
    </row>
    <row r="12" customFormat="1" ht="22" customHeight="1" spans="1:15">
      <c r="A12" s="8">
        <v>10</v>
      </c>
      <c r="B12" s="9">
        <v>46135</v>
      </c>
      <c r="C12" s="10" t="s">
        <v>28</v>
      </c>
      <c r="D12" s="11" t="s">
        <v>81</v>
      </c>
      <c r="E12" s="10"/>
      <c r="F12" s="10">
        <v>2</v>
      </c>
      <c r="G12" s="12" t="s">
        <v>95</v>
      </c>
      <c r="H12">
        <f t="shared" si="0"/>
        <v>2</v>
      </c>
    </row>
    <row r="13" customFormat="1" ht="22" customHeight="1" spans="1:15">
      <c r="A13" s="8">
        <v>11</v>
      </c>
      <c r="B13" s="9">
        <v>46135</v>
      </c>
      <c r="C13" s="10" t="s">
        <v>30</v>
      </c>
      <c r="D13" s="11" t="s">
        <v>81</v>
      </c>
      <c r="E13" s="14">
        <v>4</v>
      </c>
      <c r="F13" s="11"/>
      <c r="G13" s="12" t="s">
        <v>41</v>
      </c>
      <c r="H13">
        <f t="shared" si="0"/>
        <v>4</v>
      </c>
    </row>
    <row r="14" customFormat="1" ht="22" customHeight="1" spans="1:15">
      <c r="A14" s="8">
        <v>12</v>
      </c>
      <c r="B14" s="9">
        <v>46135</v>
      </c>
      <c r="C14" s="10" t="s">
        <v>32</v>
      </c>
      <c r="D14" s="11" t="s">
        <v>81</v>
      </c>
      <c r="E14" s="14">
        <v>2</v>
      </c>
      <c r="F14" s="11"/>
      <c r="G14" s="12" t="s">
        <v>93</v>
      </c>
      <c r="H14">
        <f t="shared" si="0"/>
        <v>2</v>
      </c>
    </row>
    <row r="15" customFormat="1" ht="22" customHeight="1" spans="1:15">
      <c r="A15" s="8">
        <v>13</v>
      </c>
      <c r="B15" s="9">
        <v>46135</v>
      </c>
      <c r="C15" s="10" t="s">
        <v>33</v>
      </c>
      <c r="D15" s="11" t="s">
        <v>81</v>
      </c>
      <c r="E15" s="14">
        <v>2</v>
      </c>
      <c r="F15" s="11"/>
      <c r="G15" s="10" t="s">
        <v>93</v>
      </c>
      <c r="H15">
        <f t="shared" si="0"/>
        <v>2</v>
      </c>
    </row>
    <row r="16" customFormat="1" ht="22" customHeight="1" spans="1:15">
      <c r="A16" s="8">
        <v>14</v>
      </c>
      <c r="B16" s="9">
        <v>46135</v>
      </c>
      <c r="C16" s="10" t="s">
        <v>25</v>
      </c>
      <c r="D16" s="11" t="s">
        <v>81</v>
      </c>
      <c r="E16" s="11"/>
      <c r="F16" s="10">
        <v>2</v>
      </c>
      <c r="G16" s="14" t="s">
        <v>93</v>
      </c>
      <c r="H16">
        <f t="shared" si="0"/>
        <v>2</v>
      </c>
    </row>
    <row r="17" customFormat="1" ht="22" customHeight="1" spans="1:10">
      <c r="A17" s="8">
        <v>15</v>
      </c>
      <c r="B17" s="9">
        <v>46135</v>
      </c>
      <c r="C17" s="10" t="s">
        <v>34</v>
      </c>
      <c r="D17" s="11" t="s">
        <v>81</v>
      </c>
      <c r="E17" s="10"/>
      <c r="F17" s="14">
        <v>5</v>
      </c>
      <c r="G17" s="10" t="s">
        <v>94</v>
      </c>
      <c r="H17">
        <f t="shared" si="0"/>
        <v>5</v>
      </c>
    </row>
    <row r="18" customFormat="1" ht="22" customHeight="1" spans="1:10">
      <c r="A18" s="8">
        <v>16</v>
      </c>
      <c r="B18" s="9">
        <v>46135</v>
      </c>
      <c r="C18" s="11" t="s">
        <v>36</v>
      </c>
      <c r="D18" s="11" t="s">
        <v>81</v>
      </c>
      <c r="E18" s="14">
        <v>2</v>
      </c>
      <c r="F18" s="15"/>
      <c r="G18" s="14" t="s">
        <v>93</v>
      </c>
      <c r="H18">
        <f t="shared" si="0"/>
        <v>2</v>
      </c>
    </row>
    <row r="19" customFormat="1" ht="22" customHeight="1" spans="1:10">
      <c r="A19" s="8">
        <v>17</v>
      </c>
      <c r="B19" s="9">
        <v>46135</v>
      </c>
      <c r="C19" s="22" t="s">
        <v>37</v>
      </c>
      <c r="D19" s="22" t="s">
        <v>81</v>
      </c>
      <c r="E19" s="23"/>
      <c r="F19" s="24">
        <v>7</v>
      </c>
      <c r="G19" s="25" t="s">
        <v>96</v>
      </c>
      <c r="H19">
        <f t="shared" si="0"/>
        <v>7</v>
      </c>
    </row>
    <row r="20" customFormat="1" ht="22" customHeight="1" spans="1:10">
      <c r="A20" s="8">
        <v>18</v>
      </c>
      <c r="B20" s="9">
        <v>46135</v>
      </c>
      <c r="C20" s="22" t="s">
        <v>38</v>
      </c>
      <c r="D20" s="22" t="s">
        <v>81</v>
      </c>
      <c r="E20" s="26"/>
      <c r="F20" s="24">
        <v>3</v>
      </c>
      <c r="G20" s="25" t="s">
        <v>91</v>
      </c>
      <c r="H20">
        <f t="shared" si="0"/>
        <v>3</v>
      </c>
    </row>
    <row r="21" customFormat="1" ht="22" customHeight="1" spans="1:10">
      <c r="A21" s="8">
        <v>19</v>
      </c>
      <c r="B21" s="9">
        <v>46135</v>
      </c>
      <c r="C21" s="22" t="s">
        <v>40</v>
      </c>
      <c r="D21" s="22" t="s">
        <v>81</v>
      </c>
      <c r="E21" s="26">
        <v>4</v>
      </c>
      <c r="F21" s="24"/>
      <c r="G21" s="25" t="s">
        <v>92</v>
      </c>
      <c r="H21">
        <f t="shared" si="0"/>
        <v>4</v>
      </c>
    </row>
    <row r="22" customFormat="1" ht="22" customHeight="1" spans="1:10">
      <c r="A22" s="8"/>
      <c r="B22" s="16"/>
      <c r="C22" s="17"/>
      <c r="D22" s="18"/>
      <c r="E22" s="19"/>
      <c r="F22" s="20"/>
      <c r="G22" s="20"/>
    </row>
    <row r="23" customFormat="1" ht="13.5" spans="1:10">
      <c r="E23" s="27">
        <f t="shared" ref="E23:H23" si="1">SUM(E3:E22)</f>
        <v>24</v>
      </c>
      <c r="F23" s="27">
        <f t="shared" si="1"/>
        <v>42</v>
      </c>
      <c r="H23" s="27">
        <f t="shared" si="1"/>
        <v>66</v>
      </c>
    </row>
    <row r="24" spans="1:10">
      <c r="J24">
        <f>H23+M6</f>
        <v>70</v>
      </c>
    </row>
    <row r="25" ht="20" customHeight="1" spans="1:10">
      <c r="C25" s="28"/>
    </row>
  </sheetData>
  <mergeCells count="2">
    <mergeCell ref="A1:G1"/>
    <mergeCell ref="I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学生</vt:lpstr>
      <vt:lpstr>领奶表</vt:lpstr>
      <vt:lpstr>签收</vt:lpstr>
      <vt:lpstr>配送汇总</vt:lpstr>
      <vt:lpstr>3.9</vt:lpstr>
      <vt:lpstr>3.12</vt:lpstr>
      <vt:lpstr>3.16</vt:lpstr>
      <vt:lpstr>3.19</vt:lpstr>
      <vt:lpstr>3.23（星期一）</vt:lpstr>
      <vt:lpstr>3.26（星期四）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2026-04-17T04:01:28Z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