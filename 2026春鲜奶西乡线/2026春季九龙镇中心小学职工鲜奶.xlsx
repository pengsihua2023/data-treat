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tabRatio="852" firstSheet="7" activeTab="17"/>
  </bookViews>
  <sheets>
    <sheet name="老师" sheetId="9" r:id="rId1"/>
    <sheet name="领奶表" sheetId="5" r:id="rId2"/>
    <sheet name="签收" sheetId="10" r:id="rId3"/>
    <sheet name="配送汇总" sheetId="6" r:id="rId4"/>
    <sheet name="3.9" sheetId="8" r:id="rId5"/>
    <sheet name="3.12" sheetId="7" r:id="rId6"/>
    <sheet name="3.16" sheetId="11" r:id="rId7"/>
    <sheet name="3.19" sheetId="12" r:id="rId8"/>
    <sheet name="3.23" sheetId="13" r:id="rId9"/>
    <sheet name="3.26" sheetId="14" r:id="rId10"/>
    <sheet name="3.30" sheetId="15" r:id="rId11"/>
    <sheet name="4.2" sheetId="16" r:id="rId12"/>
    <sheet name="4.7" sheetId="17" r:id="rId13"/>
    <sheet name="4.9" sheetId="18" r:id="rId14"/>
    <sheet name="4.13" sheetId="19" r:id="rId15"/>
    <sheet name="4.16" sheetId="20" r:id="rId16"/>
    <sheet name="4.20" sheetId="21" r:id="rId17"/>
    <sheet name="4.23" sheetId="22" r:id="rId18"/>
    <sheet name="4.27" sheetId="24" r:id="rId19"/>
    <sheet name="4.30" sheetId="23" r:id="rId20"/>
  </sheets>
  <definedNames>
    <definedName name="_xlnm._FilterDatabase" localSheetId="3" hidden="1">配送汇总!$A$1:$AE$32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<sst xmlns="http://schemas.openxmlformats.org/spreadsheetml/2006/main" count="1188" uniqueCount="82">
  <si>
    <t>2026春季九龙中心小学教职工巴氏鲜奶补贴订购申请表（20份起送，特殊申请除外</t>
  </si>
  <si>
    <t>本学期订购一份赠送1本笔记本+1支花梨木圆珠笔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</si>
  <si>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</si>
  <si>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</si>
  <si>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</si>
  <si>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</si>
  <si>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</si>
  <si>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</si>
  <si>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</si>
  <si>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</si>
  <si>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</si>
  <si>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</si>
  <si>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</si>
  <si>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林小道</t>
  </si>
  <si>
    <t>√</t>
  </si>
  <si>
    <t>成苗英</t>
  </si>
  <si>
    <t>张淑怡</t>
  </si>
  <si>
    <t>✓</t>
  </si>
  <si>
    <t>明嘉欣</t>
  </si>
  <si>
    <t>罗秀群</t>
  </si>
  <si>
    <t>每周5支酸奶2支鲜奶</t>
  </si>
  <si>
    <t>王剑锋</t>
  </si>
  <si>
    <t>许扬凤</t>
  </si>
  <si>
    <t>陈爱连</t>
  </si>
  <si>
    <t>付碧秋</t>
  </si>
  <si>
    <t>张晓冰</t>
  </si>
  <si>
    <t>王小松</t>
  </si>
  <si>
    <r>
      <rPr>
        <sz val="10"/>
        <color rgb="FF000000"/>
        <rFont val="宋体"/>
        <charset val="134"/>
      </rPr>
      <t>每周5支酸奶2支鲜奶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^</t>
    </r>
  </si>
  <si>
    <t>刘嘉慧</t>
  </si>
  <si>
    <t>付玉兰</t>
  </si>
  <si>
    <t>刘敏</t>
  </si>
  <si>
    <t>刘玉英</t>
  </si>
  <si>
    <t>✔</t>
  </si>
  <si>
    <t>林宛纯1</t>
  </si>
  <si>
    <t>两份</t>
  </si>
  <si>
    <t>黄亚胜</t>
  </si>
  <si>
    <t>吴嘉彬</t>
  </si>
  <si>
    <t>罗国强</t>
  </si>
  <si>
    <t>陈小花1</t>
  </si>
  <si>
    <t>陈小花2</t>
  </si>
  <si>
    <t>林宛纯2</t>
  </si>
  <si>
    <t>朱玉兰</t>
  </si>
  <si>
    <t>罗国强2</t>
  </si>
  <si>
    <t>3/12增加</t>
  </si>
  <si>
    <t>黄师带</t>
  </si>
  <si>
    <t>已收款</t>
  </si>
  <si>
    <t>英德市九龙镇中心小学教师鲜奶领奶表</t>
  </si>
  <si>
    <t>（ ）月份（填写领取数量/盒）</t>
  </si>
  <si>
    <t>姓名</t>
  </si>
  <si>
    <t>九龙镇中心小学教师鲜奶赠品领取表</t>
  </si>
  <si>
    <t>配送日期</t>
  </si>
  <si>
    <t>礼品份数
（笔记本+笔）</t>
  </si>
  <si>
    <t>签名</t>
  </si>
  <si>
    <t>3.19送</t>
  </si>
  <si>
    <t xml:space="preserve">                                                   英德市九龙镇中心小学教师鲜奶领奶表</t>
  </si>
  <si>
    <t>订购份数</t>
  </si>
  <si>
    <t>总计</t>
  </si>
  <si>
    <t>剩余</t>
  </si>
  <si>
    <t>罗国强1</t>
  </si>
  <si>
    <t>陈亚凤</t>
  </si>
  <si>
    <t>4.17号下单4.23开始配送（含补送 补到与其它老师一致停止补送）</t>
  </si>
  <si>
    <t>九龙镇中心小学教师鲜奶领奶表</t>
  </si>
  <si>
    <t>配送天数</t>
  </si>
  <si>
    <t>鲜</t>
  </si>
  <si>
    <t>酸</t>
  </si>
  <si>
    <t>3天</t>
  </si>
  <si>
    <t>4天</t>
  </si>
  <si>
    <t xml:space="preserve">每周5支酸奶2支鲜奶
</t>
  </si>
  <si>
    <t>补发</t>
  </si>
  <si>
    <t>每周5支酸奶2支鲜奶
^</t>
  </si>
  <si>
    <t>3.23起改为酸奶</t>
  </si>
  <si>
    <t>下次改成3支酸奶</t>
  </si>
  <si>
    <t>补送</t>
  </si>
  <si>
    <t>改成酸奶</t>
  </si>
  <si>
    <t>周一2鲜1酸，周四4酸</t>
  </si>
  <si>
    <t>4.17号下单4.23开始配送（只要酸奶）</t>
  </si>
  <si>
    <t>4.27记得录数据</t>
  </si>
  <si>
    <t>补送 补到与其它老师一致停止补送</t>
  </si>
  <si>
    <t>4.30号要一次性补完</t>
  </si>
  <si>
    <t>刘老师（分发）</t>
  </si>
  <si>
    <t>订学生奶送10支酸奶一次性送完</t>
  </si>
  <si>
    <t>4.30号要一次性送完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</si>
</sst>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9"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sz val="10"/>
      <name val="宋体"/>
      <charset val="134"/>
      <scheme val="minor"/>
    </font>
    <font>
      <b/>
      <sz val="14"/>
      <name val="宋体"/>
      <charset val="134"/>
    </font>
    <font>
      <b/>
      <sz val="12"/>
      <name val="宋体"/>
      <charset val="134"/>
    </font>
    <font>
      <sz val="14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</font>
    <font>
      <sz val="12"/>
      <color rgb="FFFF0000"/>
      <name val="宋体"/>
      <charset val="134"/>
      <scheme val="minor"/>
    </font>
    <font>
      <sz val="12"/>
      <color rgb="FFFF0000"/>
      <name val="宋体"/>
      <charset val="134"/>
    </font>
    <font>
      <sz val="10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8"/>
      <name val="宋体"/>
      <charset val="134"/>
      <scheme val="minor"/>
    </font>
    <font>
      <sz val="8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3" borderId="13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4" borderId="16" applyNumberFormat="0" applyAlignment="0" applyProtection="0">
      <alignment vertical="center"/>
    </xf>
    <xf numFmtId="0" fontId="39" fillId="5" borderId="17" applyNumberFormat="0" applyAlignment="0" applyProtection="0">
      <alignment vertical="center"/>
    </xf>
    <xf numFmtId="0" fontId="40" fillId="5" borderId="16" applyNumberFormat="0" applyAlignment="0" applyProtection="0">
      <alignment vertical="center"/>
    </xf>
    <xf numFmtId="0" fontId="41" fillId="6" borderId="18" applyNumberFormat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58" fontId="4" fillId="0" borderId="7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0" fillId="2" borderId="0" xfId="0" applyFill="1">
      <alignment vertical="center"/>
    </xf>
    <xf numFmtId="58" fontId="4" fillId="0" borderId="9" xfId="0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>
      <alignment vertical="center"/>
    </xf>
    <xf numFmtId="0" fontId="11" fillId="0" borderId="1" xfId="0" applyNumberFormat="1" applyFont="1" applyFill="1" applyBorder="1" applyAlignment="1">
      <alignment horizontal="center" vertical="center"/>
    </xf>
    <xf numFmtId="0" fontId="11" fillId="0" borderId="2" xfId="0" applyNumberFormat="1" applyFont="1" applyFill="1" applyBorder="1" applyAlignment="1">
      <alignment horizontal="center" vertical="center"/>
    </xf>
    <xf numFmtId="0" fontId="11" fillId="0" borderId="0" xfId="0" applyNumberFormat="1" applyFont="1" applyFill="1" applyBorder="1" applyAlignment="1">
      <alignment horizontal="center" vertical="center"/>
    </xf>
    <xf numFmtId="0" fontId="12" fillId="0" borderId="5" xfId="0" applyNumberFormat="1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4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left" vertical="center"/>
    </xf>
    <xf numFmtId="0" fontId="14" fillId="0" borderId="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58" fontId="4" fillId="0" borderId="7" xfId="0" applyNumberFormat="1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center"/>
    </xf>
    <xf numFmtId="0" fontId="20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2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center" vertical="center" wrapText="1"/>
    </xf>
    <xf numFmtId="0" fontId="21" fillId="0" borderId="9" xfId="0" applyNumberFormat="1" applyFont="1" applyFill="1" applyBorder="1" applyAlignment="1">
      <alignment horizontal="center" vertical="center"/>
    </xf>
    <xf numFmtId="0" fontId="21" fillId="0" borderId="9" xfId="0" applyNumberFormat="1" applyFont="1" applyFill="1" applyBorder="1" applyAlignment="1">
      <alignment horizontal="center" vertical="center" wrapText="1"/>
    </xf>
    <xf numFmtId="58" fontId="21" fillId="0" borderId="9" xfId="0" applyNumberFormat="1" applyFont="1" applyFill="1" applyBorder="1" applyAlignment="1">
      <alignment horizontal="center" vertical="center" wrapText="1"/>
    </xf>
    <xf numFmtId="58" fontId="21" fillId="0" borderId="9" xfId="0" applyNumberFormat="1" applyFont="1" applyFill="1" applyBorder="1" applyAlignment="1">
      <alignment horizontal="center" vertical="center"/>
    </xf>
    <xf numFmtId="0" fontId="20" fillId="0" borderId="9" xfId="0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9" xfId="0" applyNumberFormat="1" applyFont="1" applyFill="1" applyBorder="1" applyAlignment="1">
      <alignment horizontal="center" vertical="center"/>
    </xf>
    <xf numFmtId="0" fontId="3" fillId="0" borderId="9" xfId="0" applyNumberFormat="1" applyFont="1" applyFill="1" applyBorder="1" applyAlignment="1">
      <alignment horizontal="center" vertical="center"/>
    </xf>
    <xf numFmtId="0" fontId="3" fillId="0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58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22" fillId="0" borderId="0" xfId="0" applyNumberFormat="1" applyFont="1" applyFill="1" applyBorder="1" applyAlignment="1">
      <alignment vertical="center"/>
    </xf>
    <xf numFmtId="0" fontId="23" fillId="0" borderId="0" xfId="0" applyNumberFormat="1" applyFont="1" applyFill="1" applyBorder="1" applyAlignment="1">
      <alignment horizontal="center" vertical="center" wrapText="1"/>
    </xf>
    <xf numFmtId="0" fontId="22" fillId="0" borderId="0" xfId="0" applyNumberFormat="1" applyFont="1" applyFill="1" applyBorder="1" applyAlignment="1">
      <alignment horizontal="center" vertical="center"/>
    </xf>
    <xf numFmtId="0" fontId="5" fillId="0" borderId="9" xfId="0" applyNumberFormat="1" applyFont="1" applyFill="1" applyBorder="1" applyAlignment="1">
      <alignment horizontal="center" vertical="center"/>
    </xf>
    <xf numFmtId="0" fontId="23" fillId="0" borderId="9" xfId="0" applyNumberFormat="1" applyFont="1" applyFill="1" applyBorder="1" applyAlignment="1">
      <alignment horizontal="center" vertical="center" wrapText="1"/>
    </xf>
    <xf numFmtId="0" fontId="24" fillId="0" borderId="9" xfId="0" applyNumberFormat="1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22" fillId="0" borderId="9" xfId="0" applyNumberFormat="1" applyFont="1" applyFill="1" applyBorder="1" applyAlignment="1">
      <alignment vertical="center"/>
    </xf>
    <xf numFmtId="0" fontId="19" fillId="0" borderId="9" xfId="0" applyNumberFormat="1" applyFont="1" applyFill="1" applyBorder="1" applyAlignment="1">
      <alignment horizontal="left" vertical="center"/>
    </xf>
    <xf numFmtId="0" fontId="24" fillId="0" borderId="0" xfId="0" applyNumberFormat="1" applyFont="1" applyFill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19" fillId="2" borderId="8" xfId="0" applyFont="1" applyFill="1" applyBorder="1">
      <alignment vertical="center"/>
    </xf>
    <xf numFmtId="0" fontId="18" fillId="2" borderId="8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J14" sqref="J14"/>
    </sheetView>
  </sheetViews>
  <sheetFormatPr defaultColWidth="9.14285714285714" defaultRowHeight="12"/>
  <cols>
    <col min="3" max="3" width="16.4285714285714" customWidth="1"/>
    <col min="8" max="8" width="25.4285714285714" customWidth="1"/>
  </cols>
  <sheetData>
    <row r="1" ht="20.25" customHeight="1" spans="1:25">
      <c r="A1" s="85" t="s">
        <v>0</v>
      </c>
      <c r="B1" s="85"/>
      <c r="C1" s="85"/>
      <c r="D1" s="85"/>
      <c r="E1" s="85"/>
      <c r="F1" s="85"/>
      <c r="G1" s="85"/>
      <c r="H1" s="85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</row>
    <row r="2" ht="20.25" customHeight="1" spans="1:25">
      <c r="A2" s="87" t="s">
        <v>1</v>
      </c>
      <c r="B2" s="87"/>
      <c r="C2" s="87"/>
      <c r="D2" s="87"/>
      <c r="E2" s="87"/>
      <c r="F2" s="87"/>
      <c r="G2" s="87"/>
      <c r="H2" s="87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</row>
    <row r="3" ht="13.5" customHeight="1" spans="1:25">
      <c r="A3" s="88" t="s">
        <v>2</v>
      </c>
      <c r="B3" s="88" t="s">
        <v>3</v>
      </c>
      <c r="C3" s="88" t="s">
        <v>4</v>
      </c>
      <c r="D3" s="89" t="s">
        <v>5</v>
      </c>
      <c r="E3" s="89"/>
      <c r="F3" s="89" t="s">
        <v>6</v>
      </c>
      <c r="G3" s="89"/>
      <c r="H3" s="88" t="s">
        <v>7</v>
      </c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</row>
    <row r="4" ht="67.5" spans="1:25">
      <c r="A4" s="88"/>
      <c r="B4" s="88"/>
      <c r="C4" s="88"/>
      <c r="D4" s="90" t="s">
        <v>8</v>
      </c>
      <c r="E4" s="90" t="s">
        <v>9</v>
      </c>
      <c r="F4" s="90" t="s">
        <v>10</v>
      </c>
      <c r="G4" s="90" t="s">
        <v>11</v>
      </c>
      <c r="H4" s="91" t="s">
        <v>12</v>
      </c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</row>
    <row r="5" spans="1:25">
      <c r="A5" s="46">
        <v>1</v>
      </c>
      <c r="B5" s="46" t="s">
        <v>13</v>
      </c>
      <c r="C5" s="46">
        <v>18718551713</v>
      </c>
      <c r="D5" s="48"/>
      <c r="E5" s="46" t="s">
        <v>14</v>
      </c>
      <c r="F5" s="46">
        <v>350</v>
      </c>
      <c r="G5" s="46">
        <v>210</v>
      </c>
      <c r="H5" s="48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</row>
    <row r="6" spans="1:25">
      <c r="A6" s="46">
        <v>2</v>
      </c>
      <c r="B6" s="46" t="s">
        <v>15</v>
      </c>
      <c r="C6" s="46">
        <v>13535979527</v>
      </c>
      <c r="D6" s="48"/>
      <c r="E6" s="46" t="s">
        <v>14</v>
      </c>
      <c r="F6" s="46">
        <v>350</v>
      </c>
      <c r="G6" s="46">
        <v>210</v>
      </c>
      <c r="H6" s="48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</row>
    <row r="7" spans="1:25">
      <c r="A7" s="46">
        <v>3</v>
      </c>
      <c r="B7" s="46" t="s">
        <v>16</v>
      </c>
      <c r="C7" s="46">
        <v>18318653344</v>
      </c>
      <c r="D7" s="46" t="s">
        <v>17</v>
      </c>
      <c r="E7" s="46" t="s">
        <v>17</v>
      </c>
      <c r="F7" s="46">
        <v>350</v>
      </c>
      <c r="G7" s="46">
        <v>210</v>
      </c>
      <c r="H7" s="48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</row>
    <row r="8" spans="1:25">
      <c r="A8" s="46">
        <v>4</v>
      </c>
      <c r="B8" s="46" t="s">
        <v>18</v>
      </c>
      <c r="C8" s="46">
        <v>18819287125</v>
      </c>
      <c r="D8" s="48"/>
      <c r="E8" s="46" t="s">
        <v>17</v>
      </c>
      <c r="F8" s="46">
        <v>350</v>
      </c>
      <c r="G8" s="46">
        <v>210</v>
      </c>
      <c r="H8" s="48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</row>
    <row r="9" spans="1:25">
      <c r="A9" s="46">
        <v>5</v>
      </c>
      <c r="B9" s="46" t="s">
        <v>19</v>
      </c>
      <c r="C9" s="46">
        <v>13535978498</v>
      </c>
      <c r="D9" s="46" t="s">
        <v>17</v>
      </c>
      <c r="E9" s="46" t="s">
        <v>17</v>
      </c>
      <c r="F9" s="46">
        <v>350</v>
      </c>
      <c r="G9" s="46">
        <v>210</v>
      </c>
      <c r="H9" s="46" t="s">
        <v>20</v>
      </c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</row>
    <row r="10" spans="1:25">
      <c r="A10" s="46">
        <v>6</v>
      </c>
      <c r="B10" s="46" t="s">
        <v>21</v>
      </c>
      <c r="C10" s="46">
        <v>13416565275</v>
      </c>
      <c r="D10" s="46" t="s">
        <v>17</v>
      </c>
      <c r="E10" s="48"/>
      <c r="F10" s="46">
        <v>350</v>
      </c>
      <c r="G10" s="46">
        <v>210</v>
      </c>
      <c r="H10" s="48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</row>
    <row r="11" spans="1:25">
      <c r="A11" s="46">
        <v>7</v>
      </c>
      <c r="B11" s="46" t="s">
        <v>22</v>
      </c>
      <c r="C11" s="46">
        <v>13416561497</v>
      </c>
      <c r="D11" s="48"/>
      <c r="E11" s="46" t="s">
        <v>17</v>
      </c>
      <c r="F11" s="46">
        <v>350</v>
      </c>
      <c r="G11" s="46">
        <v>210</v>
      </c>
      <c r="H11" s="48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</row>
    <row r="12" spans="1:25">
      <c r="A12" s="46">
        <v>8</v>
      </c>
      <c r="B12" s="46" t="s">
        <v>23</v>
      </c>
      <c r="C12" s="46">
        <v>13729610554</v>
      </c>
      <c r="D12" s="48"/>
      <c r="E12" s="46" t="s">
        <v>14</v>
      </c>
      <c r="F12" s="46">
        <v>350</v>
      </c>
      <c r="G12" s="46">
        <v>210</v>
      </c>
      <c r="H12" s="48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</row>
    <row r="13" spans="1:25">
      <c r="A13" s="46">
        <v>9</v>
      </c>
      <c r="B13" s="46" t="s">
        <v>24</v>
      </c>
      <c r="C13" s="46">
        <v>13620595938</v>
      </c>
      <c r="D13" s="46" t="s">
        <v>17</v>
      </c>
      <c r="E13" s="48"/>
      <c r="F13" s="46">
        <v>350</v>
      </c>
      <c r="G13" s="46">
        <v>210</v>
      </c>
      <c r="H13" s="48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</row>
    <row r="14" spans="1:25">
      <c r="A14" s="46">
        <v>10</v>
      </c>
      <c r="B14" s="46" t="s">
        <v>25</v>
      </c>
      <c r="C14" s="46">
        <v>18318386401</v>
      </c>
      <c r="D14" s="46" t="s">
        <v>17</v>
      </c>
      <c r="E14" s="48"/>
      <c r="F14" s="46">
        <v>350</v>
      </c>
      <c r="G14" s="46">
        <v>210</v>
      </c>
      <c r="H14" s="48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</row>
    <row r="15" ht="24" spans="1:25">
      <c r="A15" s="46">
        <v>11</v>
      </c>
      <c r="B15" s="46" t="s">
        <v>26</v>
      </c>
      <c r="C15" s="46">
        <v>13727108019</v>
      </c>
      <c r="D15" s="46" t="s">
        <v>17</v>
      </c>
      <c r="E15" s="46" t="s">
        <v>14</v>
      </c>
      <c r="F15" s="46">
        <v>350</v>
      </c>
      <c r="G15" s="46">
        <v>210</v>
      </c>
      <c r="H15" s="47" t="s">
        <v>27</v>
      </c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</row>
    <row r="16" spans="1:25">
      <c r="A16" s="46">
        <v>12</v>
      </c>
      <c r="B16" s="46" t="s">
        <v>28</v>
      </c>
      <c r="C16" s="46">
        <v>15816221784</v>
      </c>
      <c r="D16" s="48"/>
      <c r="E16" s="46" t="s">
        <v>14</v>
      </c>
      <c r="F16" s="46">
        <v>350</v>
      </c>
      <c r="G16" s="46">
        <v>210</v>
      </c>
      <c r="H16" s="48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</row>
    <row r="17" spans="1:25">
      <c r="A17" s="46">
        <v>13</v>
      </c>
      <c r="B17" s="46" t="s">
        <v>29</v>
      </c>
      <c r="C17" s="46">
        <v>13553980666</v>
      </c>
      <c r="D17" s="48"/>
      <c r="E17" s="46" t="s">
        <v>14</v>
      </c>
      <c r="F17" s="46">
        <v>350</v>
      </c>
      <c r="G17" s="46">
        <v>210</v>
      </c>
      <c r="H17" s="48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</row>
    <row r="18" spans="1:25">
      <c r="A18" s="46">
        <v>14</v>
      </c>
      <c r="B18" s="46" t="s">
        <v>30</v>
      </c>
      <c r="C18" s="46">
        <v>13149092128</v>
      </c>
      <c r="D18" s="46" t="s">
        <v>17</v>
      </c>
      <c r="E18" s="46" t="s">
        <v>17</v>
      </c>
      <c r="F18" s="46">
        <v>350</v>
      </c>
      <c r="G18" s="46">
        <v>210</v>
      </c>
      <c r="H18" s="48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</row>
    <row r="19" spans="1:25">
      <c r="A19" s="46">
        <v>15</v>
      </c>
      <c r="B19" s="46" t="s">
        <v>31</v>
      </c>
      <c r="C19" s="46">
        <v>13416502363</v>
      </c>
      <c r="D19" s="46" t="s">
        <v>32</v>
      </c>
      <c r="E19" s="46" t="s">
        <v>32</v>
      </c>
      <c r="F19" s="46">
        <v>350</v>
      </c>
      <c r="G19" s="46">
        <v>210</v>
      </c>
      <c r="H19" s="48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</row>
    <row r="20" spans="1:25">
      <c r="A20" s="46">
        <v>16</v>
      </c>
      <c r="B20" s="46" t="s">
        <v>33</v>
      </c>
      <c r="C20" s="46">
        <v>15019319245</v>
      </c>
      <c r="D20" s="46" t="s">
        <v>17</v>
      </c>
      <c r="E20" s="48"/>
      <c r="F20" s="46">
        <v>350</v>
      </c>
      <c r="G20" s="46">
        <v>210</v>
      </c>
      <c r="H20" s="46" t="s">
        <v>34</v>
      </c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</row>
    <row r="21" spans="1:25">
      <c r="A21" s="46">
        <v>17</v>
      </c>
      <c r="B21" s="46" t="s">
        <v>35</v>
      </c>
      <c r="C21" s="46">
        <v>13535985251</v>
      </c>
      <c r="D21" s="48"/>
      <c r="E21" s="46" t="s">
        <v>17</v>
      </c>
      <c r="F21" s="46">
        <v>350</v>
      </c>
      <c r="G21" s="46">
        <v>210</v>
      </c>
      <c r="H21" s="48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</row>
    <row r="22" spans="1:25">
      <c r="A22" s="46">
        <v>18</v>
      </c>
      <c r="B22" s="47" t="s">
        <v>36</v>
      </c>
      <c r="C22" s="46">
        <v>15807643399</v>
      </c>
      <c r="D22" s="48"/>
      <c r="E22" s="46" t="s">
        <v>32</v>
      </c>
      <c r="F22" s="46">
        <v>350</v>
      </c>
      <c r="G22" s="46">
        <v>210</v>
      </c>
      <c r="H22" s="48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</row>
    <row r="23" spans="1:25">
      <c r="A23" s="46">
        <v>19</v>
      </c>
      <c r="B23" s="46" t="s">
        <v>37</v>
      </c>
      <c r="C23" s="46">
        <v>13679522409</v>
      </c>
      <c r="D23" s="46" t="s">
        <v>32</v>
      </c>
      <c r="E23" s="46" t="s">
        <v>32</v>
      </c>
      <c r="F23" s="46">
        <v>350</v>
      </c>
      <c r="G23" s="46">
        <v>210</v>
      </c>
      <c r="H23" s="48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</row>
    <row r="24" spans="1:25">
      <c r="A24" s="46">
        <v>20</v>
      </c>
      <c r="B24" s="46" t="s">
        <v>38</v>
      </c>
      <c r="C24" s="46">
        <v>13431971678</v>
      </c>
      <c r="D24" s="48"/>
      <c r="E24" s="46" t="s">
        <v>32</v>
      </c>
      <c r="F24" s="46">
        <v>350</v>
      </c>
      <c r="G24" s="46">
        <v>210</v>
      </c>
      <c r="H24" s="48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</row>
    <row r="25" spans="1:25">
      <c r="A25" s="46">
        <v>21</v>
      </c>
      <c r="B25" s="46" t="s">
        <v>39</v>
      </c>
      <c r="C25" s="46">
        <v>13431971678</v>
      </c>
      <c r="D25" s="48"/>
      <c r="E25" s="46" t="s">
        <v>32</v>
      </c>
      <c r="F25" s="46">
        <v>350</v>
      </c>
      <c r="G25" s="46">
        <v>210</v>
      </c>
      <c r="H25" s="48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</row>
    <row r="26" spans="1:25">
      <c r="A26" s="46">
        <v>22</v>
      </c>
      <c r="B26" s="46" t="s">
        <v>40</v>
      </c>
      <c r="C26" s="46">
        <v>15019319245</v>
      </c>
      <c r="D26" s="48"/>
      <c r="E26" s="47" t="s">
        <v>32</v>
      </c>
      <c r="F26" s="46">
        <v>350</v>
      </c>
      <c r="G26" s="46">
        <v>210</v>
      </c>
      <c r="H26" s="48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</row>
    <row r="27" spans="1:25">
      <c r="A27" s="46">
        <v>23</v>
      </c>
      <c r="B27" s="46" t="s">
        <v>41</v>
      </c>
      <c r="C27" s="47">
        <v>13542455622</v>
      </c>
      <c r="D27" s="48"/>
      <c r="E27" s="46" t="s">
        <v>14</v>
      </c>
      <c r="F27" s="46">
        <v>350</v>
      </c>
      <c r="G27" s="46">
        <v>210</v>
      </c>
      <c r="H27" s="48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</row>
    <row r="28" spans="1:25">
      <c r="A28" s="46">
        <v>24</v>
      </c>
      <c r="B28" s="46" t="s">
        <v>42</v>
      </c>
      <c r="C28" s="46">
        <v>13679522409</v>
      </c>
      <c r="D28" s="46" t="s">
        <v>32</v>
      </c>
      <c r="E28" s="48"/>
      <c r="F28" s="46">
        <v>350</v>
      </c>
      <c r="G28" s="46">
        <v>210</v>
      </c>
      <c r="H28" s="48" t="s">
        <v>43</v>
      </c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</row>
    <row r="29" spans="1:25">
      <c r="A29" s="46">
        <v>31</v>
      </c>
      <c r="B29" s="92" t="s">
        <v>44</v>
      </c>
      <c r="C29" s="92">
        <v>13413477527</v>
      </c>
      <c r="D29" s="93" t="s">
        <v>14</v>
      </c>
      <c r="E29" s="92"/>
      <c r="F29" s="94">
        <v>350</v>
      </c>
      <c r="G29" s="94">
        <v>210</v>
      </c>
      <c r="H29" s="92" t="s">
        <v>45</v>
      </c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</row>
    <row r="30" spans="1:25">
      <c r="A30" s="46">
        <v>32</v>
      </c>
      <c r="B30" s="48"/>
      <c r="C30" s="48"/>
      <c r="D30" s="48"/>
      <c r="E30" s="48"/>
      <c r="F30" s="46">
        <v>350</v>
      </c>
      <c r="G30" s="46">
        <v>210</v>
      </c>
      <c r="H30" s="48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</row>
    <row r="31" spans="1:25">
      <c r="A31" s="46">
        <v>33</v>
      </c>
      <c r="B31" s="48"/>
      <c r="C31" s="48"/>
      <c r="D31" s="48"/>
      <c r="E31" s="48"/>
      <c r="F31" s="46">
        <v>350</v>
      </c>
      <c r="G31" s="46">
        <v>210</v>
      </c>
      <c r="H31" s="48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</row>
    <row r="32" spans="1:25">
      <c r="A32" s="46">
        <v>34</v>
      </c>
      <c r="B32" s="48"/>
      <c r="C32" s="48"/>
      <c r="D32" s="48"/>
      <c r="E32" s="48"/>
      <c r="F32" s="46">
        <v>350</v>
      </c>
      <c r="G32" s="46">
        <v>210</v>
      </c>
      <c r="H32" s="48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</row>
    <row r="33" spans="1:25">
      <c r="A33" s="46">
        <v>35</v>
      </c>
      <c r="B33" s="48"/>
      <c r="C33" s="48"/>
      <c r="D33" s="48"/>
      <c r="E33" s="48"/>
      <c r="F33" s="46">
        <v>350</v>
      </c>
      <c r="G33" s="46">
        <v>210</v>
      </c>
      <c r="H33" s="48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</row>
    <row r="34" spans="1:25">
      <c r="A34" s="46">
        <v>36</v>
      </c>
      <c r="B34" s="48"/>
      <c r="C34" s="48"/>
      <c r="D34" s="48"/>
      <c r="E34" s="48"/>
      <c r="F34" s="46">
        <v>350</v>
      </c>
      <c r="G34" s="46">
        <v>210</v>
      </c>
      <c r="H34" s="48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</row>
    <row r="35" spans="1:25">
      <c r="A35" s="46">
        <v>37</v>
      </c>
      <c r="B35" s="48"/>
      <c r="C35" s="48"/>
      <c r="D35" s="48"/>
      <c r="E35" s="48"/>
      <c r="F35" s="46">
        <v>350</v>
      </c>
      <c r="G35" s="46">
        <v>210</v>
      </c>
      <c r="H35" s="48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</row>
    <row r="36" spans="1:25">
      <c r="A36" s="46">
        <v>38</v>
      </c>
      <c r="B36" s="48"/>
      <c r="C36" s="48"/>
      <c r="D36" s="48"/>
      <c r="E36" s="48"/>
      <c r="F36" s="46">
        <v>350</v>
      </c>
      <c r="G36" s="46">
        <v>210</v>
      </c>
      <c r="H36" s="48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</row>
    <row r="37" spans="1:25">
      <c r="A37" s="46">
        <v>39</v>
      </c>
      <c r="B37" s="48"/>
      <c r="C37" s="48"/>
      <c r="D37" s="48"/>
      <c r="E37" s="48"/>
      <c r="F37" s="46">
        <v>350</v>
      </c>
      <c r="G37" s="46">
        <v>210</v>
      </c>
      <c r="H37" s="48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</row>
    <row r="38" spans="1:25">
      <c r="A38" s="46">
        <v>40</v>
      </c>
      <c r="B38" s="48"/>
      <c r="C38" s="48"/>
      <c r="D38" s="48"/>
      <c r="E38" s="48"/>
      <c r="F38" s="46">
        <v>350</v>
      </c>
      <c r="G38" s="46">
        <v>210</v>
      </c>
      <c r="H38" s="48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</row>
    <row r="39" spans="1:25">
      <c r="A39" s="46">
        <v>41</v>
      </c>
      <c r="B39" s="48"/>
      <c r="C39" s="48"/>
      <c r="D39" s="48"/>
      <c r="E39" s="48"/>
      <c r="F39" s="46">
        <v>350</v>
      </c>
      <c r="G39" s="46">
        <v>210</v>
      </c>
      <c r="H39" s="48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</row>
    <row r="40" spans="1:25">
      <c r="A40" s="46">
        <v>42</v>
      </c>
      <c r="B40" s="48"/>
      <c r="C40" s="48"/>
      <c r="D40" s="48"/>
      <c r="E40" s="48"/>
      <c r="F40" s="46">
        <v>350</v>
      </c>
      <c r="G40" s="46">
        <v>210</v>
      </c>
      <c r="H40" s="48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</row>
    <row r="41" spans="1:25">
      <c r="A41" s="46">
        <v>43</v>
      </c>
      <c r="B41" s="48"/>
      <c r="C41" s="48"/>
      <c r="D41" s="48"/>
      <c r="E41" s="48"/>
      <c r="F41" s="46">
        <v>350</v>
      </c>
      <c r="G41" s="46">
        <v>210</v>
      </c>
      <c r="H41" s="48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</row>
    <row r="42" spans="1:25">
      <c r="A42" s="46">
        <v>44</v>
      </c>
      <c r="B42" s="48"/>
      <c r="C42" s="48"/>
      <c r="D42" s="48"/>
      <c r="E42" s="48"/>
      <c r="F42" s="46">
        <v>350</v>
      </c>
      <c r="G42" s="46">
        <v>210</v>
      </c>
      <c r="H42" s="48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</row>
    <row r="43" spans="1:25">
      <c r="A43" s="46">
        <v>45</v>
      </c>
      <c r="B43" s="48"/>
      <c r="C43" s="48"/>
      <c r="D43" s="48"/>
      <c r="E43" s="48"/>
      <c r="F43" s="46">
        <v>350</v>
      </c>
      <c r="G43" s="46">
        <v>210</v>
      </c>
      <c r="H43" s="48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</row>
    <row r="44" spans="1:25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</row>
    <row r="45" spans="1:2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</row>
    <row r="46" spans="1:2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</row>
    <row r="47" spans="1:25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</row>
    <row r="48" spans="1:25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</row>
    <row r="49" spans="1:25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</row>
    <row r="50" spans="1:25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</row>
    <row r="51" spans="1:25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</row>
    <row r="52" spans="1:25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</row>
    <row r="53" spans="1:25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</row>
    <row r="54" spans="1:25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</row>
    <row r="55" spans="1:25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</row>
    <row r="56" spans="1:25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</row>
    <row r="57" spans="1:25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</row>
    <row r="58" spans="1:25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</row>
    <row r="59" spans="1:25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</row>
    <row r="60" spans="1:25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</row>
    <row r="61" spans="1:25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</row>
    <row r="62" spans="1:25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</row>
    <row r="63" spans="1:25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</row>
    <row r="64" spans="1:25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</row>
    <row r="65" spans="1:25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</row>
    <row r="66" spans="1:25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</row>
    <row r="67" spans="1:25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</row>
    <row r="68" spans="1:25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</row>
    <row r="69" spans="1:25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</row>
    <row r="70" spans="1:25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</row>
    <row r="71" spans="1:25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</row>
    <row r="72" spans="1:25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</row>
    <row r="73" spans="1:25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</row>
    <row r="74" spans="1:25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</row>
    <row r="75" spans="1:25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</row>
    <row r="76" spans="1:25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</row>
    <row r="77" spans="1:25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</row>
    <row r="78" spans="1:25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</row>
    <row r="79" spans="1:25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</row>
    <row r="80" spans="1:25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</row>
    <row r="81" spans="1:25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</row>
    <row r="82" spans="1:25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</row>
    <row r="83" spans="1:25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</row>
    <row r="84" spans="1:25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</row>
    <row r="85" spans="1:2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</row>
    <row r="86" spans="1:25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</row>
    <row r="87" spans="1:25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</row>
    <row r="88" spans="1:25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</row>
    <row r="89" spans="1:25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</row>
    <row r="90" spans="1:25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</row>
    <row r="91" spans="1:25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</row>
    <row r="92" spans="1:25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</row>
    <row r="93" spans="1:25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</row>
    <row r="94" spans="1:25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</row>
    <row r="95" spans="1:2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</row>
    <row r="96" spans="1:25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</row>
    <row r="97" spans="1:25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</row>
    <row r="98" spans="1:25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</row>
    <row r="99" spans="1:25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</row>
    <row r="100" spans="1:25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</row>
    <row r="101" spans="1:25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</row>
    <row r="102" spans="1:25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</row>
    <row r="103" spans="1:25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</row>
    <row r="104" spans="1:25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</row>
    <row r="105" spans="1:2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</row>
    <row r="106" spans="1:25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</row>
    <row r="107" spans="1:25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</row>
    <row r="108" spans="1:25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</row>
    <row r="109" spans="1:25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</row>
    <row r="110" spans="1:25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</row>
    <row r="111" spans="1:25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</row>
    <row r="112" spans="1:25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</row>
    <row r="113" spans="1:25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</row>
    <row r="114" spans="1:25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</row>
    <row r="115" spans="1:2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</row>
    <row r="116" spans="1:25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</row>
    <row r="117" spans="1:25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</row>
    <row r="118" spans="1:25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</row>
    <row r="119" spans="1:25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</row>
    <row r="120" spans="1:25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</row>
    <row r="121" spans="1:25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</row>
    <row r="122" spans="1:25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</row>
    <row r="123" spans="1:25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</row>
    <row r="124" spans="1:25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</row>
    <row r="125" spans="1: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</row>
    <row r="126" spans="1:25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</row>
    <row r="127" spans="1:25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</row>
    <row r="128" spans="1:25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</row>
    <row r="129" spans="1:25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</row>
    <row r="130" spans="1:25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</row>
    <row r="131" spans="1:25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</row>
    <row r="132" spans="1:25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</row>
    <row r="133" spans="1:25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</row>
    <row r="134" spans="1:25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</row>
    <row r="135" spans="1:2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</row>
    <row r="136" spans="1:25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</row>
    <row r="137" spans="1:25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</row>
    <row r="138" spans="1: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</row>
    <row r="139" spans="1:25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</row>
    <row r="140" spans="1:25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</row>
    <row r="141" spans="1:25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</row>
    <row r="142" spans="1:25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</row>
    <row r="143" spans="1:25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</row>
    <row r="144" spans="1:25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</row>
    <row r="145" spans="1:2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</row>
    <row r="146" spans="1:25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</row>
    <row r="147" spans="1:25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</row>
    <row r="148" spans="1:25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</row>
    <row r="149" spans="1:25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</row>
    <row r="150" spans="1:25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</row>
    <row r="151" spans="1:25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</row>
    <row r="152" spans="1:25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</row>
    <row r="153" spans="1:25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</row>
    <row r="154" spans="1:25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</row>
    <row r="155" spans="1:2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</row>
    <row r="156" spans="1:25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</row>
    <row r="157" spans="1:25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</row>
    <row r="158" spans="1:25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</row>
    <row r="159" spans="1:25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</row>
    <row r="160" spans="1:25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</row>
    <row r="161" spans="1:25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</row>
    <row r="162" spans="1:25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</row>
    <row r="163" spans="1:25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</row>
    <row r="164" spans="1:25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</row>
    <row r="165" spans="1:2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</row>
    <row r="166" spans="1:25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</row>
    <row r="167" spans="1:25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</row>
    <row r="168" spans="1:25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</row>
    <row r="169" spans="1:25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</row>
    <row r="170" spans="1:25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</row>
    <row r="171" spans="1:25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</row>
    <row r="172" spans="1:25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</row>
    <row r="173" spans="1:25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</row>
    <row r="174" spans="1:25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</row>
    <row r="175" spans="1:2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</row>
    <row r="176" spans="1:25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</row>
    <row r="177" spans="1:25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</row>
    <row r="178" spans="1:25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</row>
    <row r="179" spans="1:25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</row>
    <row r="180" spans="1:25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</row>
    <row r="181" spans="1:25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</row>
    <row r="182" spans="1:25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</row>
    <row r="183" spans="1:25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</row>
    <row r="184" spans="1:25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</row>
    <row r="185" spans="1:2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</row>
    <row r="186" spans="1:25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</row>
    <row r="187" spans="1:25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</row>
    <row r="188" spans="1:25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</row>
    <row r="189" spans="1:25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A1" sqref="A1:AL1"/>
    </sheetView>
  </sheetViews>
  <sheetFormatPr defaultColWidth="10.2857142857143" defaultRowHeight="13.5"/>
  <cols>
    <col min="1" max="1" width="3.88571428571429" style="77" customWidth="1"/>
    <col min="2" max="2" width="13.7142857142857" style="77" customWidth="1"/>
    <col min="3" max="3" width="4.42857142857143" style="75" customWidth="1"/>
    <col min="4" max="6" width="4" style="75" customWidth="1"/>
    <col min="7" max="7" width="3.87619047619048" style="75" customWidth="1"/>
    <col min="8" max="12" width="4.28571428571429" style="75" customWidth="1"/>
    <col min="13" max="13" width="4.00952380952381" style="75" customWidth="1"/>
    <col min="14" max="14" width="4.28571428571429" style="75" customWidth="1"/>
    <col min="15" max="15" width="4.00952380952381" style="75" customWidth="1"/>
    <col min="16" max="16" width="3.87619047619048" style="75" customWidth="1"/>
    <col min="17" max="17" width="4.28571428571429" style="75" customWidth="1"/>
    <col min="18" max="19" width="4.14285714285714" style="75" customWidth="1"/>
    <col min="20" max="20" width="4.57142857142857" style="75" customWidth="1"/>
    <col min="21" max="25" width="4.14285714285714" style="75" customWidth="1"/>
    <col min="26" max="27" width="4.57142857142857" style="75" customWidth="1"/>
    <col min="28" max="28" width="4.16190476190476" style="75" customWidth="1"/>
    <col min="29" max="30" width="4.28571428571429" style="75" customWidth="1"/>
    <col min="31" max="31" width="4.00952380952381" style="75" customWidth="1"/>
    <col min="32" max="32" width="3.85714285714286" style="75" customWidth="1"/>
    <col min="33" max="34" width="4.28571428571429" style="75" customWidth="1"/>
    <col min="35" max="36" width="4.57142857142857" style="75" customWidth="1"/>
    <col min="37" max="37" width="4.28571428571429" style="75" customWidth="1"/>
    <col min="38" max="38" width="3.85714285714286" style="75" customWidth="1"/>
    <col min="39" max="16384" width="10.2857142857143" style="75"/>
  </cols>
  <sheetData>
    <row r="1" s="75" customFormat="1" ht="26" customHeight="1" spans="1:38">
      <c r="A1" s="68" t="s">
        <v>46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</row>
    <row r="2" s="75" customFormat="1" ht="26" customHeight="1" spans="1:38">
      <c r="A2" s="78" t="s">
        <v>47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</row>
    <row r="3" s="76" customFormat="1" ht="40" customHeight="1" spans="1:38">
      <c r="A3" s="79" t="s">
        <v>2</v>
      </c>
      <c r="B3" s="79" t="s">
        <v>48</v>
      </c>
      <c r="C3" s="70">
        <v>1</v>
      </c>
      <c r="D3" s="70">
        <v>2</v>
      </c>
      <c r="E3" s="70">
        <v>3</v>
      </c>
      <c r="F3" s="70">
        <v>4</v>
      </c>
      <c r="G3" s="70">
        <v>5</v>
      </c>
      <c r="H3" s="70">
        <v>6</v>
      </c>
      <c r="I3" s="70">
        <v>7</v>
      </c>
      <c r="J3" s="70">
        <v>8</v>
      </c>
      <c r="K3" s="70">
        <v>9</v>
      </c>
      <c r="L3" s="70">
        <v>10</v>
      </c>
      <c r="M3" s="70">
        <v>11</v>
      </c>
      <c r="N3" s="70">
        <v>12</v>
      </c>
      <c r="O3" s="70">
        <v>13</v>
      </c>
      <c r="P3" s="70">
        <v>14</v>
      </c>
      <c r="Q3" s="70">
        <v>15</v>
      </c>
      <c r="R3" s="70">
        <v>16</v>
      </c>
      <c r="S3" s="70">
        <v>17</v>
      </c>
      <c r="T3" s="70">
        <v>18</v>
      </c>
      <c r="U3" s="70">
        <v>19</v>
      </c>
      <c r="V3" s="70">
        <v>20</v>
      </c>
      <c r="W3" s="70">
        <v>21</v>
      </c>
      <c r="X3" s="70">
        <v>22</v>
      </c>
      <c r="Y3" s="70">
        <v>23</v>
      </c>
      <c r="Z3" s="70">
        <v>24</v>
      </c>
      <c r="AA3" s="70">
        <v>25</v>
      </c>
      <c r="AB3" s="70">
        <v>26</v>
      </c>
      <c r="AC3" s="70">
        <v>27</v>
      </c>
      <c r="AD3" s="70">
        <v>28</v>
      </c>
      <c r="AE3" s="70">
        <v>29</v>
      </c>
      <c r="AF3" s="70">
        <v>30</v>
      </c>
      <c r="AG3" s="70"/>
      <c r="AH3" s="70"/>
      <c r="AI3" s="70"/>
      <c r="AJ3" s="70"/>
      <c r="AK3" s="70"/>
      <c r="AL3" s="70"/>
    </row>
    <row r="4" s="75" customFormat="1" ht="25" customHeight="1" spans="1:38">
      <c r="A4" s="80">
        <v>1</v>
      </c>
      <c r="B4" s="81"/>
      <c r="C4" s="80"/>
      <c r="D4" s="80"/>
      <c r="E4" s="80"/>
      <c r="F4" s="80"/>
      <c r="G4" s="80"/>
      <c r="H4" s="80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</row>
    <row r="5" s="75" customFormat="1" ht="25" customHeight="1" spans="1:38">
      <c r="A5" s="80">
        <v>2</v>
      </c>
      <c r="B5" s="81"/>
      <c r="C5" s="80"/>
      <c r="D5" s="80"/>
      <c r="E5" s="80"/>
      <c r="F5" s="80"/>
      <c r="G5" s="80"/>
      <c r="H5" s="80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</row>
    <row r="6" s="75" customFormat="1" ht="25" customHeight="1" spans="1:38">
      <c r="A6" s="80">
        <v>3</v>
      </c>
      <c r="B6" s="81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</row>
    <row r="7" s="75" customFormat="1" ht="25" customHeight="1" spans="1:38">
      <c r="A7" s="80">
        <v>13</v>
      </c>
      <c r="B7" s="81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</row>
    <row r="8" s="75" customFormat="1" ht="25" customHeight="1" spans="1:38">
      <c r="A8" s="80">
        <v>14</v>
      </c>
      <c r="B8" s="81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</row>
    <row r="9" s="75" customFormat="1" ht="25" customHeight="1" spans="1:38">
      <c r="A9" s="80">
        <v>15</v>
      </c>
      <c r="B9" s="81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</row>
    <row r="10" s="75" customFormat="1" ht="25" customHeight="1" spans="1:38">
      <c r="A10" s="80">
        <v>16</v>
      </c>
      <c r="B10" s="81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</row>
    <row r="11" s="75" customFormat="1" ht="25" customHeight="1" spans="1:38">
      <c r="A11" s="80">
        <v>17</v>
      </c>
      <c r="B11" s="83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</row>
    <row r="12" s="75" customFormat="1" ht="25" customHeight="1" spans="1:38">
      <c r="A12" s="80">
        <v>18</v>
      </c>
      <c r="B12" s="83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</row>
    <row r="13" s="75" customFormat="1" ht="15" customHeight="1" spans="1:38">
      <c r="A13" s="84"/>
      <c r="B13" s="84"/>
    </row>
    <row r="14" s="75" customFormat="1" ht="15" customHeight="1" spans="1:38">
      <c r="A14" s="84"/>
      <c r="B14" s="84"/>
    </row>
    <row r="15" s="75" customFormat="1" ht="15" customHeight="1" spans="1:38">
      <c r="A15" s="84"/>
      <c r="B15" s="84"/>
    </row>
    <row r="16" s="75" customFormat="1" ht="15" customHeight="1" spans="1:38">
      <c r="A16" s="84"/>
      <c r="B16" s="84"/>
    </row>
    <row r="17" s="75" customFormat="1" ht="15" customHeight="1" spans="1:2">
      <c r="A17" s="84"/>
      <c r="B17" s="84"/>
    </row>
    <row r="18" s="75" customFormat="1" ht="15" customHeight="1" spans="1:2">
      <c r="A18" s="84"/>
      <c r="B18" s="84"/>
    </row>
    <row r="19" s="75" customFormat="1" ht="15" customHeight="1" spans="1:2">
      <c r="A19" s="84"/>
      <c r="B19" s="84"/>
    </row>
    <row r="20" s="75" customFormat="1" ht="15" customHeight="1" spans="1:2">
      <c r="A20" s="84"/>
      <c r="B20" s="84"/>
    </row>
    <row r="21" s="75" customFormat="1" ht="15" customHeight="1" spans="1:2">
      <c r="A21" s="84"/>
      <c r="B21" s="84"/>
    </row>
    <row r="22" s="75" customFormat="1" ht="15" customHeight="1" spans="1:2">
      <c r="A22" s="84"/>
      <c r="B22" s="84"/>
    </row>
    <row r="23" s="75" customFormat="1" ht="15" customHeight="1" spans="1:2">
      <c r="A23" s="84"/>
      <c r="B23" s="84"/>
    </row>
    <row r="24" s="75" customFormat="1" ht="15" customHeight="1" spans="1:2">
      <c r="A24" s="84"/>
      <c r="B24" s="84"/>
    </row>
    <row r="25" s="75" customFormat="1" ht="15" customHeight="1" spans="1:2">
      <c r="A25" s="84"/>
      <c r="B25" s="84"/>
    </row>
    <row r="26" s="75" customFormat="1" ht="15" customHeight="1" spans="1:2">
      <c r="A26" s="84"/>
      <c r="B26" s="84"/>
    </row>
    <row r="27" s="75" customFormat="1" ht="15" customHeight="1" spans="1:2">
      <c r="A27" s="84"/>
      <c r="B27" s="84"/>
    </row>
    <row r="28" s="75" customFormat="1" ht="15" customHeight="1" spans="1:2">
      <c r="A28" s="84"/>
      <c r="B28" s="84"/>
    </row>
    <row r="29" s="75" customFormat="1" ht="15" customHeight="1" spans="1:2">
      <c r="A29" s="84"/>
      <c r="B29" s="84"/>
    </row>
    <row r="30" s="75" customFormat="1" ht="15" customHeight="1" spans="1:2">
      <c r="A30" s="84"/>
      <c r="B30" s="84"/>
    </row>
    <row r="31" s="75" customFormat="1" ht="15" customHeight="1" spans="1:2">
      <c r="A31" s="84"/>
      <c r="B31" s="84"/>
    </row>
    <row r="32" s="75" customFormat="1" ht="15" customHeight="1" spans="1:2">
      <c r="A32" s="84"/>
      <c r="B32" s="84"/>
    </row>
    <row r="33" s="75" customFormat="1" ht="15" customHeight="1" spans="1:2">
      <c r="A33" s="84"/>
      <c r="B33" s="84"/>
    </row>
    <row r="34" s="75" customFormat="1" ht="15" customHeight="1" spans="1:2">
      <c r="A34" s="84"/>
      <c r="B34" s="84"/>
    </row>
    <row r="35" s="75" customFormat="1" ht="15" customHeight="1" spans="1:2">
      <c r="A35" s="84"/>
      <c r="B35" s="84"/>
    </row>
    <row r="36" s="75" customFormat="1" ht="15" customHeight="1" spans="1:2">
      <c r="A36" s="84"/>
      <c r="B36" s="84"/>
    </row>
    <row r="37" s="75" customFormat="1" ht="15" customHeight="1" spans="1:2">
      <c r="A37" s="84"/>
      <c r="B37" s="84"/>
    </row>
    <row r="38" s="75" customFormat="1" ht="15" customHeight="1" spans="1:2">
      <c r="A38" s="84"/>
      <c r="B38" s="84"/>
    </row>
    <row r="39" s="75" customFormat="1" ht="15" customHeight="1" spans="1:2">
      <c r="A39" s="84"/>
      <c r="B39" s="84"/>
    </row>
    <row r="40" s="75" customFormat="1" ht="15" customHeight="1" spans="1:2">
      <c r="A40" s="84"/>
      <c r="B40" s="84"/>
    </row>
    <row r="41" s="75" customFormat="1" ht="15" customHeight="1" spans="1:2">
      <c r="A41" s="84"/>
      <c r="B41" s="84"/>
    </row>
    <row r="42" s="75" customFormat="1" ht="15" customHeight="1" spans="1:2">
      <c r="A42" s="84"/>
      <c r="B42" s="84"/>
    </row>
    <row r="43" s="75" customFormat="1" ht="15" customHeight="1" spans="1:2">
      <c r="A43" s="84"/>
      <c r="B43" s="84"/>
    </row>
    <row r="44" s="75" customFormat="1" ht="15" customHeight="1" spans="1:2">
      <c r="A44" s="84"/>
      <c r="B44" s="84"/>
    </row>
    <row r="45" s="75" customFormat="1" ht="15" customHeight="1" spans="1:2">
      <c r="A45" s="84"/>
      <c r="B45" s="84"/>
    </row>
    <row r="46" s="75" customFormat="1" ht="15" customHeight="1" spans="1:2">
      <c r="A46" s="84"/>
      <c r="B46" s="84"/>
    </row>
    <row r="47" s="75" customFormat="1" ht="15" customHeight="1" spans="1:2">
      <c r="A47" s="84"/>
      <c r="B47" s="84"/>
    </row>
    <row r="48" s="75" customFormat="1" ht="15" customHeight="1" spans="1:2">
      <c r="A48" s="84"/>
      <c r="B48" s="84"/>
    </row>
    <row r="49" s="75" customFormat="1" ht="15" customHeight="1" spans="1:2">
      <c r="A49" s="84"/>
      <c r="B49" s="84"/>
    </row>
    <row r="50" s="75" customFormat="1" ht="15" customHeight="1" spans="1:2">
      <c r="A50" s="84"/>
      <c r="B50" s="84"/>
    </row>
    <row r="51" s="75" customFormat="1" ht="15" customHeight="1" spans="1:2">
      <c r="A51" s="84"/>
      <c r="B51" s="84"/>
    </row>
    <row r="52" s="75" customFormat="1" ht="15" customHeight="1" spans="1:2">
      <c r="A52" s="84"/>
      <c r="B52" s="84"/>
    </row>
    <row r="53" s="75" customFormat="1" ht="15" customHeight="1" spans="1:2">
      <c r="A53" s="84"/>
      <c r="B53" s="84"/>
    </row>
    <row r="54" s="75" customFormat="1" ht="15" customHeight="1" spans="1:2">
      <c r="A54" s="84"/>
      <c r="B54" s="84"/>
    </row>
    <row r="55" s="75" customFormat="1" ht="15" customHeight="1" spans="1:2">
      <c r="A55" s="84"/>
      <c r="B55" s="84"/>
    </row>
    <row r="56" s="75" customFormat="1" ht="15" customHeight="1" spans="1:2">
      <c r="A56" s="84"/>
      <c r="B56" s="84"/>
    </row>
    <row r="57" s="75" customFormat="1" ht="15" customHeight="1" spans="1:2">
      <c r="A57" s="84"/>
      <c r="B57" s="84"/>
    </row>
    <row r="58" s="75" customFormat="1" ht="15" customHeight="1" spans="1:2">
      <c r="A58" s="84"/>
      <c r="B58" s="84"/>
    </row>
    <row r="59" s="75" customFormat="1" ht="15" customHeight="1" spans="1:2">
      <c r="A59" s="84"/>
      <c r="B59" s="84"/>
    </row>
    <row r="60" s="75" customFormat="1" ht="15" customHeight="1" spans="1:2">
      <c r="A60" s="84"/>
      <c r="B60" s="84"/>
    </row>
    <row r="61" s="75" customFormat="1" ht="15" customHeight="1" spans="1:2">
      <c r="A61" s="84"/>
      <c r="B61" s="84"/>
    </row>
    <row r="62" s="75" customFormat="1" ht="15" customHeight="1" spans="1:2">
      <c r="A62" s="84"/>
      <c r="B62" s="84"/>
    </row>
    <row r="63" s="75" customFormat="1" ht="15" customHeight="1" spans="1:2">
      <c r="A63" s="84"/>
      <c r="B63" s="84"/>
    </row>
    <row r="64" s="75" customFormat="1" ht="15" customHeight="1" spans="1:2">
      <c r="A64" s="84"/>
      <c r="B64" s="84"/>
    </row>
    <row r="65" s="75" customFormat="1" ht="15" customHeight="1" spans="1:2">
      <c r="A65" s="84"/>
      <c r="B65" s="84"/>
    </row>
    <row r="66" s="75" customFormat="1" ht="15" customHeight="1" spans="1:2">
      <c r="A66" s="84"/>
      <c r="B66" s="84"/>
    </row>
    <row r="67" s="75" customFormat="1" ht="15" customHeight="1" spans="1:2">
      <c r="A67" s="84"/>
      <c r="B67" s="84"/>
    </row>
    <row r="68" s="75" customFormat="1" ht="15" customHeight="1" spans="1:2">
      <c r="A68" s="84"/>
      <c r="B68" s="84"/>
    </row>
    <row r="69" s="75" customFormat="1" ht="15" customHeight="1" spans="1:2">
      <c r="A69" s="84"/>
      <c r="B69" s="84"/>
    </row>
    <row r="70" s="75" customFormat="1" ht="15" customHeight="1" spans="1:2">
      <c r="A70" s="84"/>
      <c r="B70" s="84"/>
    </row>
    <row r="71" s="75" customFormat="1" spans="1:2">
      <c r="A71" s="77"/>
      <c r="B71" s="77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opLeftCell="A10" workbookViewId="0">
      <selection activeCell="F31" sqref="F31"/>
    </sheetView>
  </sheetViews>
  <sheetFormatPr defaultColWidth="9.14285714285714" defaultRowHeight="12" outlineLevelCol="5"/>
  <cols>
    <col min="1" max="1" width="8.71428571428571" customWidth="1"/>
    <col min="2" max="2" width="14.4285714285714" customWidth="1"/>
    <col min="3" max="3" width="17" customWidth="1"/>
    <col min="4" max="4" width="20.8571428571429" customWidth="1"/>
    <col min="5" max="5" width="19.4285714285714" customWidth="1"/>
    <col min="6" max="6" width="20.8571428571429" customWidth="1"/>
  </cols>
  <sheetData>
    <row r="1" ht="29" customHeight="1" spans="1:6">
      <c r="A1" s="68" t="s">
        <v>49</v>
      </c>
      <c r="B1" s="68"/>
      <c r="C1" s="68"/>
      <c r="D1" s="68"/>
      <c r="E1" s="68"/>
      <c r="F1" s="68"/>
    </row>
    <row r="2" s="1" customFormat="1" ht="39" customHeight="1" spans="1:6">
      <c r="A2" s="69" t="s">
        <v>2</v>
      </c>
      <c r="B2" s="69" t="s">
        <v>50</v>
      </c>
      <c r="C2" s="69" t="s">
        <v>3</v>
      </c>
      <c r="D2" s="70" t="s">
        <v>51</v>
      </c>
      <c r="E2" s="69" t="s">
        <v>52</v>
      </c>
      <c r="F2" s="69" t="s">
        <v>7</v>
      </c>
    </row>
    <row r="3" ht="24" customHeight="1" spans="1:6">
      <c r="A3" s="59">
        <v>1</v>
      </c>
      <c r="B3" s="22">
        <v>46093</v>
      </c>
      <c r="C3" s="10" t="s">
        <v>13</v>
      </c>
      <c r="D3" s="11">
        <v>1</v>
      </c>
      <c r="E3" s="23"/>
      <c r="F3" s="13"/>
    </row>
    <row r="4" ht="24" customHeight="1" spans="1:6">
      <c r="A4" s="59">
        <v>2</v>
      </c>
      <c r="B4" s="22">
        <v>46093</v>
      </c>
      <c r="C4" s="10" t="s">
        <v>15</v>
      </c>
      <c r="D4" s="11">
        <v>1</v>
      </c>
      <c r="E4" s="23"/>
      <c r="F4" s="14"/>
    </row>
    <row r="5" ht="24" customHeight="1" spans="1:6">
      <c r="A5" s="59">
        <v>3</v>
      </c>
      <c r="B5" s="22">
        <v>46093</v>
      </c>
      <c r="C5" s="10" t="s">
        <v>16</v>
      </c>
      <c r="D5" s="11">
        <v>1</v>
      </c>
      <c r="E5" s="23"/>
      <c r="F5" s="14"/>
    </row>
    <row r="6" ht="24" customHeight="1" spans="1:6">
      <c r="A6" s="59">
        <v>4</v>
      </c>
      <c r="B6" s="22">
        <v>46093</v>
      </c>
      <c r="C6" s="10" t="s">
        <v>18</v>
      </c>
      <c r="D6" s="11">
        <v>1</v>
      </c>
      <c r="E6" s="23"/>
      <c r="F6" s="14"/>
    </row>
    <row r="7" ht="24" customHeight="1" spans="1:6">
      <c r="A7" s="59">
        <v>5</v>
      </c>
      <c r="B7" s="22">
        <v>46093</v>
      </c>
      <c r="C7" s="10" t="s">
        <v>19</v>
      </c>
      <c r="D7" s="11">
        <v>1</v>
      </c>
      <c r="E7" s="23"/>
      <c r="F7" s="14"/>
    </row>
    <row r="8" ht="24" customHeight="1" spans="1:6">
      <c r="A8" s="59">
        <v>6</v>
      </c>
      <c r="B8" s="22">
        <v>46093</v>
      </c>
      <c r="C8" s="10" t="s">
        <v>21</v>
      </c>
      <c r="D8" s="11">
        <v>1</v>
      </c>
      <c r="E8" s="23"/>
      <c r="F8" s="14"/>
    </row>
    <row r="9" ht="24" customHeight="1" spans="1:6">
      <c r="A9" s="59">
        <v>7</v>
      </c>
      <c r="B9" s="22">
        <v>46093</v>
      </c>
      <c r="C9" s="10" t="s">
        <v>22</v>
      </c>
      <c r="D9" s="11">
        <v>1</v>
      </c>
      <c r="E9" s="11"/>
      <c r="F9" s="16"/>
    </row>
    <row r="10" customFormat="1" ht="24" customHeight="1" spans="1:6">
      <c r="A10" s="59">
        <v>8</v>
      </c>
      <c r="B10" s="22">
        <v>46093</v>
      </c>
      <c r="C10" s="10" t="s">
        <v>23</v>
      </c>
      <c r="D10" s="11">
        <v>1</v>
      </c>
      <c r="E10" s="11"/>
      <c r="F10" s="16"/>
    </row>
    <row r="11" ht="24" customHeight="1" spans="1:6">
      <c r="A11" s="59">
        <v>9</v>
      </c>
      <c r="B11" s="22">
        <v>46093</v>
      </c>
      <c r="C11" s="10" t="s">
        <v>24</v>
      </c>
      <c r="D11" s="11">
        <v>1</v>
      </c>
      <c r="E11" s="11"/>
      <c r="F11" s="16"/>
    </row>
    <row r="12" ht="24" customHeight="1" spans="1:6">
      <c r="A12" s="59">
        <v>10</v>
      </c>
      <c r="B12" s="22">
        <v>46093</v>
      </c>
      <c r="C12" s="10" t="s">
        <v>25</v>
      </c>
      <c r="D12" s="11">
        <v>1</v>
      </c>
      <c r="E12" s="11"/>
      <c r="F12" s="16"/>
    </row>
    <row r="13" ht="24" customHeight="1" spans="1:6">
      <c r="A13" s="59">
        <v>11</v>
      </c>
      <c r="B13" s="22">
        <v>46093</v>
      </c>
      <c r="C13" s="10" t="s">
        <v>26</v>
      </c>
      <c r="D13" s="11">
        <v>1</v>
      </c>
      <c r="E13" s="11"/>
      <c r="F13" s="16"/>
    </row>
    <row r="14" ht="24" customHeight="1" spans="1:6">
      <c r="A14" s="59">
        <v>12</v>
      </c>
      <c r="B14" s="22">
        <v>46093</v>
      </c>
      <c r="C14" s="10" t="s">
        <v>28</v>
      </c>
      <c r="D14" s="11">
        <v>1</v>
      </c>
      <c r="E14" s="11"/>
      <c r="F14" s="16"/>
    </row>
    <row r="15" ht="24" customHeight="1" spans="1:6">
      <c r="A15" s="59">
        <v>13</v>
      </c>
      <c r="B15" s="22">
        <v>46093</v>
      </c>
      <c r="C15" s="10" t="s">
        <v>29</v>
      </c>
      <c r="D15" s="11">
        <v>1</v>
      </c>
      <c r="E15" s="11"/>
      <c r="F15" s="16"/>
    </row>
    <row r="16" ht="24" customHeight="1" spans="1:6">
      <c r="A16" s="59">
        <v>14</v>
      </c>
      <c r="B16" s="22">
        <v>46093</v>
      </c>
      <c r="C16" s="10" t="s">
        <v>30</v>
      </c>
      <c r="D16" s="11">
        <v>1</v>
      </c>
      <c r="E16" s="11"/>
      <c r="F16" s="16"/>
    </row>
    <row r="17" ht="24" customHeight="1" spans="1:6">
      <c r="A17" s="59">
        <v>15</v>
      </c>
      <c r="B17" s="22">
        <v>46093</v>
      </c>
      <c r="C17" s="10" t="s">
        <v>31</v>
      </c>
      <c r="D17" s="11">
        <v>1</v>
      </c>
      <c r="E17" s="11"/>
      <c r="F17" s="16"/>
    </row>
    <row r="18" ht="24" customHeight="1" spans="1:6">
      <c r="A18" s="59">
        <v>16</v>
      </c>
      <c r="B18" s="22">
        <v>46093</v>
      </c>
      <c r="C18" s="10" t="s">
        <v>33</v>
      </c>
      <c r="D18" s="11">
        <v>1</v>
      </c>
      <c r="E18" s="11"/>
      <c r="F18" s="16"/>
    </row>
    <row r="19" ht="24" customHeight="1" spans="1:6">
      <c r="A19" s="59">
        <v>17</v>
      </c>
      <c r="B19" s="22">
        <v>46093</v>
      </c>
      <c r="C19" s="10" t="s">
        <v>40</v>
      </c>
      <c r="D19" s="11">
        <v>1</v>
      </c>
      <c r="E19" s="11"/>
      <c r="F19" s="16"/>
    </row>
    <row r="20" ht="24" customHeight="1" spans="1:6">
      <c r="A20" s="59">
        <v>18</v>
      </c>
      <c r="B20" s="22">
        <v>46093</v>
      </c>
      <c r="C20" s="10" t="s">
        <v>35</v>
      </c>
      <c r="D20" s="11">
        <v>1</v>
      </c>
      <c r="E20" s="11"/>
      <c r="F20" s="16"/>
    </row>
    <row r="21" ht="24" customHeight="1" spans="1:6">
      <c r="A21" s="59">
        <v>19</v>
      </c>
      <c r="B21" s="22">
        <v>46093</v>
      </c>
      <c r="C21" s="15" t="s">
        <v>36</v>
      </c>
      <c r="D21" s="11">
        <v>1</v>
      </c>
      <c r="E21" s="11"/>
      <c r="F21" s="16"/>
    </row>
    <row r="22" ht="24" customHeight="1" spans="1:6">
      <c r="A22" s="59">
        <v>20</v>
      </c>
      <c r="B22" s="22">
        <v>46093</v>
      </c>
      <c r="C22" s="10" t="s">
        <v>37</v>
      </c>
      <c r="D22" s="11">
        <v>1</v>
      </c>
      <c r="E22" s="11"/>
      <c r="F22" s="16"/>
    </row>
    <row r="23" ht="24" customHeight="1" spans="1:6">
      <c r="A23" s="59">
        <v>21</v>
      </c>
      <c r="B23" s="22">
        <v>46093</v>
      </c>
      <c r="C23" s="10" t="s">
        <v>38</v>
      </c>
      <c r="D23" s="11">
        <v>1</v>
      </c>
      <c r="E23" s="11"/>
      <c r="F23" s="16"/>
    </row>
    <row r="24" ht="24" customHeight="1" spans="1:6">
      <c r="A24" s="59">
        <v>22</v>
      </c>
      <c r="B24" s="22">
        <v>46093</v>
      </c>
      <c r="C24" s="10" t="s">
        <v>39</v>
      </c>
      <c r="D24" s="11">
        <v>1</v>
      </c>
      <c r="E24" s="11"/>
      <c r="F24" s="16"/>
    </row>
    <row r="25" ht="24" customHeight="1" spans="1:6">
      <c r="A25" s="59">
        <v>23</v>
      </c>
      <c r="B25" s="22">
        <v>46093</v>
      </c>
      <c r="C25" s="10" t="s">
        <v>41</v>
      </c>
      <c r="D25" s="11">
        <v>1</v>
      </c>
      <c r="E25" s="11"/>
      <c r="F25" s="16"/>
    </row>
    <row r="26" ht="24" customHeight="1" spans="1:6">
      <c r="A26" s="59">
        <v>24</v>
      </c>
      <c r="B26" s="22">
        <v>46093</v>
      </c>
      <c r="C26" s="10" t="s">
        <v>42</v>
      </c>
      <c r="D26" s="71">
        <v>1</v>
      </c>
      <c r="E26" s="11"/>
      <c r="F26" s="16" t="s">
        <v>53</v>
      </c>
    </row>
    <row r="27" ht="24" customHeight="1" spans="1:6">
      <c r="A27" s="51"/>
      <c r="B27" s="72"/>
      <c r="C27" s="73"/>
      <c r="D27" s="73"/>
      <c r="E27" s="73"/>
      <c r="F27" s="74"/>
    </row>
    <row r="28" ht="24" customHeight="1" spans="1:6">
      <c r="A28" s="51"/>
      <c r="B28" s="72"/>
      <c r="C28" s="73"/>
      <c r="D28" s="73"/>
      <c r="E28" s="73"/>
      <c r="F28" s="74"/>
    </row>
  </sheetData>
  <mergeCells count="1">
    <mergeCell ref="A1:F1"/>
  </mergeCells>
  <pageMargins left="0.393055555555556" right="0.393055555555556" top="1" bottom="1" header="0.5" footer="0.5"/>
  <pageSetup paperSize="9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1"/>
  <sheetViews>
    <sheetView workbookViewId="0">
      <pane xSplit="3" ySplit="2" topLeftCell="N18" activePane="bottomRight" state="frozen"/>
      <selection/>
      <selection pane="topRight"/>
      <selection pane="bottomLeft"/>
      <selection pane="bottomRight" activeCell="AB31" sqref="AB31"/>
    </sheetView>
  </sheetViews>
  <sheetFormatPr defaultColWidth="9.14285714285714" defaultRowHeight="23" customHeight="1"/>
  <cols>
    <col min="1" max="1" width="9.14285714285714" style="24"/>
    <col min="2" max="2" width="10.7142857142857" style="24" customWidth="1"/>
    <col min="3" max="3" width="10" style="24" customWidth="1"/>
    <col min="4" max="15" width="7.42857142857143" style="24" customWidth="1"/>
    <col min="16" max="28" width="7" style="24" customWidth="1"/>
    <col min="29" max="16384" width="9.14285714285714" style="24"/>
  </cols>
  <sheetData>
    <row r="1" s="49" customFormat="1" customHeight="1" spans="1:31">
      <c r="A1" s="52" t="s">
        <v>54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</row>
    <row r="2" s="50" customFormat="1" ht="20" customHeight="1" spans="1:31">
      <c r="A2" s="54" t="s">
        <v>2</v>
      </c>
      <c r="B2" s="54" t="s">
        <v>48</v>
      </c>
      <c r="C2" s="55" t="s">
        <v>55</v>
      </c>
      <c r="D2" s="56">
        <v>46090</v>
      </c>
      <c r="E2" s="56">
        <v>46093</v>
      </c>
      <c r="F2" s="56">
        <v>46097</v>
      </c>
      <c r="G2" s="57">
        <v>46100</v>
      </c>
      <c r="H2" s="57">
        <v>46104</v>
      </c>
      <c r="I2" s="57">
        <v>46107</v>
      </c>
      <c r="J2" s="57">
        <v>46111</v>
      </c>
      <c r="K2" s="57">
        <v>46114</v>
      </c>
      <c r="L2" s="57">
        <v>46119</v>
      </c>
      <c r="M2" s="57">
        <v>46121</v>
      </c>
      <c r="N2" s="57">
        <v>46125</v>
      </c>
      <c r="O2" s="57">
        <v>46128</v>
      </c>
      <c r="P2" s="57">
        <v>46132</v>
      </c>
      <c r="Q2" s="57">
        <v>46135</v>
      </c>
      <c r="R2" s="57">
        <v>46139</v>
      </c>
      <c r="S2" s="57">
        <v>46142</v>
      </c>
      <c r="T2" s="57"/>
      <c r="U2" s="57"/>
      <c r="V2" s="57"/>
      <c r="W2" s="57"/>
      <c r="X2" s="57"/>
      <c r="Y2" s="57"/>
      <c r="Z2" s="57"/>
      <c r="AA2" s="57"/>
      <c r="AB2" s="57"/>
      <c r="AC2" s="58" t="s">
        <v>56</v>
      </c>
      <c r="AD2" s="50" t="s">
        <v>57</v>
      </c>
    </row>
    <row r="3" s="51" customFormat="1" customHeight="1" spans="1:31">
      <c r="A3" s="59">
        <v>1</v>
      </c>
      <c r="B3" s="10" t="s">
        <v>13</v>
      </c>
      <c r="C3" s="60">
        <v>100</v>
      </c>
      <c r="D3" s="60">
        <v>3</v>
      </c>
      <c r="E3" s="60">
        <v>4</v>
      </c>
      <c r="F3" s="60">
        <v>3</v>
      </c>
      <c r="G3" s="10">
        <v>4</v>
      </c>
      <c r="H3" s="60">
        <v>3</v>
      </c>
      <c r="I3" s="60">
        <v>4</v>
      </c>
      <c r="J3" s="60">
        <v>3</v>
      </c>
      <c r="K3" s="60">
        <v>4</v>
      </c>
      <c r="L3" s="60">
        <v>3</v>
      </c>
      <c r="M3" s="60">
        <v>4</v>
      </c>
      <c r="N3" s="60">
        <v>3</v>
      </c>
      <c r="O3" s="60">
        <v>4</v>
      </c>
      <c r="P3" s="60">
        <v>3</v>
      </c>
      <c r="Q3" s="60">
        <v>4</v>
      </c>
      <c r="R3" s="60"/>
      <c r="S3" s="60"/>
      <c r="T3" s="61"/>
      <c r="U3" s="60"/>
      <c r="V3" s="60"/>
      <c r="W3" s="60"/>
      <c r="X3" s="60"/>
      <c r="Y3" s="60"/>
      <c r="Z3" s="60"/>
      <c r="AA3" s="60"/>
      <c r="AB3" s="59"/>
      <c r="AC3" s="59">
        <f t="shared" ref="AC3:AC28" si="0">SUM(D3:AB3)</f>
        <v>49</v>
      </c>
      <c r="AD3" s="51">
        <f t="shared" ref="AD3:AD28" si="1">C3-AC3</f>
        <v>51</v>
      </c>
    </row>
    <row r="4" s="51" customFormat="1" customHeight="1" spans="1:31">
      <c r="A4" s="59">
        <v>2</v>
      </c>
      <c r="B4" s="10" t="s">
        <v>15</v>
      </c>
      <c r="C4" s="60">
        <v>100</v>
      </c>
      <c r="D4" s="60">
        <v>3</v>
      </c>
      <c r="E4" s="60">
        <v>4</v>
      </c>
      <c r="F4" s="60">
        <v>3</v>
      </c>
      <c r="G4" s="10">
        <v>4</v>
      </c>
      <c r="H4" s="60">
        <v>3</v>
      </c>
      <c r="I4" s="60">
        <v>4</v>
      </c>
      <c r="J4" s="60">
        <v>3</v>
      </c>
      <c r="K4" s="60">
        <v>4</v>
      </c>
      <c r="L4" s="60">
        <v>3</v>
      </c>
      <c r="M4" s="60">
        <v>4</v>
      </c>
      <c r="N4" s="60">
        <v>3</v>
      </c>
      <c r="O4" s="60">
        <v>4</v>
      </c>
      <c r="P4" s="60">
        <v>3</v>
      </c>
      <c r="Q4" s="60">
        <v>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59"/>
      <c r="AC4" s="59">
        <f t="shared" si="0"/>
        <v>49</v>
      </c>
      <c r="AD4" s="51">
        <f t="shared" si="1"/>
        <v>51</v>
      </c>
      <c r="AE4" s="24"/>
    </row>
    <row r="5" s="51" customFormat="1" customHeight="1" spans="1:31">
      <c r="A5" s="59">
        <v>3</v>
      </c>
      <c r="B5" s="10" t="s">
        <v>16</v>
      </c>
      <c r="C5" s="60">
        <v>100</v>
      </c>
      <c r="D5" s="60">
        <v>3</v>
      </c>
      <c r="E5" s="60">
        <v>4</v>
      </c>
      <c r="F5" s="60">
        <v>3</v>
      </c>
      <c r="G5" s="10">
        <v>4</v>
      </c>
      <c r="H5" s="60">
        <v>3</v>
      </c>
      <c r="I5" s="60">
        <v>4</v>
      </c>
      <c r="J5" s="60">
        <v>3</v>
      </c>
      <c r="K5" s="60">
        <v>4</v>
      </c>
      <c r="L5" s="60">
        <v>3</v>
      </c>
      <c r="M5" s="60">
        <v>4</v>
      </c>
      <c r="N5" s="60">
        <v>3</v>
      </c>
      <c r="O5" s="60">
        <v>4</v>
      </c>
      <c r="P5" s="60">
        <v>3</v>
      </c>
      <c r="Q5" s="60">
        <v>4</v>
      </c>
      <c r="R5" s="60"/>
      <c r="S5" s="60"/>
      <c r="T5" s="60"/>
      <c r="U5" s="60"/>
      <c r="V5" s="60"/>
      <c r="W5" s="60"/>
      <c r="X5" s="60"/>
      <c r="Y5" s="60"/>
      <c r="Z5" s="60"/>
      <c r="AA5" s="60"/>
      <c r="AB5" s="59"/>
      <c r="AC5" s="59">
        <f t="shared" si="0"/>
        <v>49</v>
      </c>
      <c r="AD5" s="51">
        <f t="shared" si="1"/>
        <v>51</v>
      </c>
      <c r="AE5" s="24"/>
    </row>
    <row r="6" s="51" customFormat="1" customHeight="1" spans="1:31">
      <c r="A6" s="59">
        <v>4</v>
      </c>
      <c r="B6" s="10" t="s">
        <v>18</v>
      </c>
      <c r="C6" s="60">
        <v>100</v>
      </c>
      <c r="D6" s="60">
        <v>3</v>
      </c>
      <c r="E6" s="60">
        <v>4</v>
      </c>
      <c r="F6" s="60">
        <v>3</v>
      </c>
      <c r="G6" s="10">
        <v>4</v>
      </c>
      <c r="H6" s="60">
        <v>3</v>
      </c>
      <c r="I6" s="60">
        <v>4</v>
      </c>
      <c r="J6" s="60">
        <v>3</v>
      </c>
      <c r="K6" s="60">
        <v>4</v>
      </c>
      <c r="L6" s="60">
        <v>3</v>
      </c>
      <c r="M6" s="60">
        <v>4</v>
      </c>
      <c r="N6" s="60">
        <v>3</v>
      </c>
      <c r="O6" s="60">
        <v>4</v>
      </c>
      <c r="P6" s="60">
        <v>3</v>
      </c>
      <c r="Q6" s="60">
        <v>4</v>
      </c>
      <c r="R6" s="60"/>
      <c r="S6" s="60"/>
      <c r="T6" s="60"/>
      <c r="U6" s="60"/>
      <c r="V6" s="60"/>
      <c r="W6" s="60"/>
      <c r="X6" s="60"/>
      <c r="Y6" s="60"/>
      <c r="Z6" s="60"/>
      <c r="AA6" s="60"/>
      <c r="AB6" s="59"/>
      <c r="AC6" s="59">
        <f t="shared" si="0"/>
        <v>49</v>
      </c>
      <c r="AD6" s="51">
        <f t="shared" si="1"/>
        <v>51</v>
      </c>
    </row>
    <row r="7" s="51" customFormat="1" customHeight="1" spans="1:31">
      <c r="A7" s="59">
        <v>5</v>
      </c>
      <c r="B7" s="10" t="s">
        <v>19</v>
      </c>
      <c r="C7" s="60">
        <v>100</v>
      </c>
      <c r="D7" s="60">
        <v>3</v>
      </c>
      <c r="E7" s="60">
        <v>4</v>
      </c>
      <c r="F7" s="60">
        <v>3</v>
      </c>
      <c r="G7" s="10">
        <v>4</v>
      </c>
      <c r="H7" s="60">
        <v>3</v>
      </c>
      <c r="I7" s="60">
        <v>4</v>
      </c>
      <c r="J7" s="60">
        <v>3</v>
      </c>
      <c r="K7" s="60">
        <v>4</v>
      </c>
      <c r="L7" s="60">
        <v>3</v>
      </c>
      <c r="M7" s="60">
        <v>4</v>
      </c>
      <c r="N7" s="60">
        <v>3</v>
      </c>
      <c r="O7" s="60">
        <v>4</v>
      </c>
      <c r="P7" s="60">
        <v>3</v>
      </c>
      <c r="Q7" s="60">
        <v>4</v>
      </c>
      <c r="R7" s="60"/>
      <c r="S7" s="60"/>
      <c r="T7" s="60"/>
      <c r="U7" s="60"/>
      <c r="V7" s="60"/>
      <c r="W7" s="60"/>
      <c r="X7" s="60"/>
      <c r="Y7" s="60"/>
      <c r="Z7" s="60"/>
      <c r="AA7" s="60"/>
      <c r="AB7" s="59"/>
      <c r="AC7" s="59">
        <f t="shared" si="0"/>
        <v>49</v>
      </c>
      <c r="AD7" s="51">
        <f t="shared" si="1"/>
        <v>51</v>
      </c>
    </row>
    <row r="8" s="51" customFormat="1" customHeight="1" spans="1:31">
      <c r="A8" s="59">
        <v>6</v>
      </c>
      <c r="B8" s="10" t="s">
        <v>21</v>
      </c>
      <c r="C8" s="60">
        <v>100</v>
      </c>
      <c r="D8" s="60">
        <v>3</v>
      </c>
      <c r="E8" s="60">
        <v>4</v>
      </c>
      <c r="F8" s="60">
        <v>3</v>
      </c>
      <c r="G8" s="10">
        <v>4</v>
      </c>
      <c r="H8" s="60">
        <v>3</v>
      </c>
      <c r="I8" s="60">
        <v>4</v>
      </c>
      <c r="J8" s="60">
        <v>3</v>
      </c>
      <c r="K8" s="60">
        <v>4</v>
      </c>
      <c r="L8" s="60">
        <v>3</v>
      </c>
      <c r="M8" s="60">
        <v>4</v>
      </c>
      <c r="N8" s="60">
        <v>3</v>
      </c>
      <c r="O8" s="60">
        <v>4</v>
      </c>
      <c r="P8" s="60">
        <v>3</v>
      </c>
      <c r="Q8" s="60">
        <v>4</v>
      </c>
      <c r="R8" s="60"/>
      <c r="S8" s="60"/>
      <c r="T8" s="60"/>
      <c r="U8" s="60"/>
      <c r="V8" s="60"/>
      <c r="W8" s="60"/>
      <c r="X8" s="60"/>
      <c r="Y8" s="60"/>
      <c r="Z8" s="60"/>
      <c r="AA8" s="60"/>
      <c r="AB8" s="59"/>
      <c r="AC8" s="59">
        <f t="shared" si="0"/>
        <v>49</v>
      </c>
      <c r="AD8" s="51">
        <f t="shared" si="1"/>
        <v>51</v>
      </c>
    </row>
    <row r="9" s="51" customFormat="1" customHeight="1" spans="1:31">
      <c r="A9" s="59">
        <v>7</v>
      </c>
      <c r="B9" s="10" t="s">
        <v>22</v>
      </c>
      <c r="C9" s="60">
        <v>100</v>
      </c>
      <c r="D9" s="60">
        <v>3</v>
      </c>
      <c r="E9" s="60">
        <v>4</v>
      </c>
      <c r="F9" s="60">
        <v>3</v>
      </c>
      <c r="G9" s="10">
        <v>4</v>
      </c>
      <c r="H9" s="60">
        <v>3</v>
      </c>
      <c r="I9" s="60">
        <v>4</v>
      </c>
      <c r="J9" s="60">
        <v>3</v>
      </c>
      <c r="K9" s="60">
        <v>4</v>
      </c>
      <c r="L9" s="60">
        <v>3</v>
      </c>
      <c r="M9" s="60">
        <v>4</v>
      </c>
      <c r="N9" s="60">
        <v>3</v>
      </c>
      <c r="O9" s="60">
        <v>4</v>
      </c>
      <c r="P9" s="60">
        <v>3</v>
      </c>
      <c r="Q9" s="60">
        <v>4</v>
      </c>
      <c r="R9" s="60"/>
      <c r="S9" s="60"/>
      <c r="T9" s="60"/>
      <c r="U9" s="60"/>
      <c r="V9" s="60"/>
      <c r="W9" s="60"/>
      <c r="X9" s="60"/>
      <c r="Y9" s="60"/>
      <c r="Z9" s="60"/>
      <c r="AA9" s="60"/>
      <c r="AB9" s="59"/>
      <c r="AC9" s="59">
        <f t="shared" si="0"/>
        <v>49</v>
      </c>
      <c r="AD9" s="51">
        <f t="shared" si="1"/>
        <v>51</v>
      </c>
    </row>
    <row r="10" customHeight="1" spans="1:31">
      <c r="A10" s="59">
        <v>8</v>
      </c>
      <c r="B10" s="10" t="s">
        <v>23</v>
      </c>
      <c r="C10" s="60">
        <v>100</v>
      </c>
      <c r="D10" s="60">
        <v>3</v>
      </c>
      <c r="E10" s="60">
        <v>4</v>
      </c>
      <c r="F10" s="60">
        <v>3</v>
      </c>
      <c r="G10" s="10">
        <v>4</v>
      </c>
      <c r="H10" s="60">
        <v>3</v>
      </c>
      <c r="I10" s="60">
        <v>4</v>
      </c>
      <c r="J10" s="60">
        <v>3</v>
      </c>
      <c r="K10" s="60">
        <v>4</v>
      </c>
      <c r="L10" s="60">
        <v>3</v>
      </c>
      <c r="M10" s="60">
        <v>4</v>
      </c>
      <c r="N10" s="60">
        <v>3</v>
      </c>
      <c r="O10" s="60">
        <v>4</v>
      </c>
      <c r="P10" s="60">
        <v>3</v>
      </c>
      <c r="Q10" s="60">
        <v>4</v>
      </c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2"/>
      <c r="AC10" s="59">
        <f t="shared" si="0"/>
        <v>49</v>
      </c>
      <c r="AD10" s="51">
        <f t="shared" si="1"/>
        <v>51</v>
      </c>
    </row>
    <row r="11" customHeight="1" spans="1:31">
      <c r="A11" s="59">
        <v>9</v>
      </c>
      <c r="B11" s="10" t="s">
        <v>24</v>
      </c>
      <c r="C11" s="60">
        <v>100</v>
      </c>
      <c r="D11" s="60">
        <v>3</v>
      </c>
      <c r="E11" s="60">
        <v>4</v>
      </c>
      <c r="F11" s="60">
        <v>3</v>
      </c>
      <c r="G11" s="10">
        <v>4</v>
      </c>
      <c r="H11" s="60">
        <v>3</v>
      </c>
      <c r="I11" s="60">
        <v>4</v>
      </c>
      <c r="J11" s="60">
        <v>3</v>
      </c>
      <c r="K11" s="60">
        <v>4</v>
      </c>
      <c r="L11" s="60">
        <v>3</v>
      </c>
      <c r="M11" s="60">
        <v>4</v>
      </c>
      <c r="N11" s="60">
        <v>3</v>
      </c>
      <c r="O11" s="60">
        <v>4</v>
      </c>
      <c r="P11" s="60">
        <v>3</v>
      </c>
      <c r="Q11" s="60">
        <v>4</v>
      </c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2"/>
      <c r="AC11" s="59">
        <f t="shared" si="0"/>
        <v>49</v>
      </c>
      <c r="AD11" s="51">
        <f t="shared" si="1"/>
        <v>51</v>
      </c>
    </row>
    <row r="12" customHeight="1" spans="1:31">
      <c r="A12" s="59">
        <v>10</v>
      </c>
      <c r="B12" s="10" t="s">
        <v>25</v>
      </c>
      <c r="C12" s="60">
        <v>100</v>
      </c>
      <c r="D12" s="60">
        <v>3</v>
      </c>
      <c r="E12" s="60">
        <v>4</v>
      </c>
      <c r="F12" s="60">
        <v>3</v>
      </c>
      <c r="G12" s="10">
        <v>4</v>
      </c>
      <c r="H12" s="60">
        <v>3</v>
      </c>
      <c r="I12" s="60">
        <v>4</v>
      </c>
      <c r="J12" s="60">
        <v>3</v>
      </c>
      <c r="K12" s="60">
        <v>4</v>
      </c>
      <c r="L12" s="60">
        <v>3</v>
      </c>
      <c r="M12" s="60">
        <v>4</v>
      </c>
      <c r="N12" s="60">
        <v>3</v>
      </c>
      <c r="O12" s="60">
        <v>4</v>
      </c>
      <c r="P12" s="60">
        <v>3</v>
      </c>
      <c r="Q12" s="60">
        <v>4</v>
      </c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2"/>
      <c r="AC12" s="59">
        <f t="shared" si="0"/>
        <v>49</v>
      </c>
      <c r="AD12" s="51">
        <f t="shared" si="1"/>
        <v>51</v>
      </c>
    </row>
    <row r="13" customHeight="1" spans="1:31">
      <c r="A13" s="59">
        <v>11</v>
      </c>
      <c r="B13" s="10" t="s">
        <v>26</v>
      </c>
      <c r="C13" s="60">
        <v>100</v>
      </c>
      <c r="D13" s="60">
        <v>3</v>
      </c>
      <c r="E13" s="60">
        <v>4</v>
      </c>
      <c r="F13" s="60">
        <v>3</v>
      </c>
      <c r="G13" s="10">
        <v>4</v>
      </c>
      <c r="H13" s="60">
        <v>3</v>
      </c>
      <c r="I13" s="60">
        <v>4</v>
      </c>
      <c r="J13" s="60">
        <v>3</v>
      </c>
      <c r="K13" s="60">
        <v>4</v>
      </c>
      <c r="L13" s="60">
        <v>3</v>
      </c>
      <c r="M13" s="60">
        <v>4</v>
      </c>
      <c r="N13" s="60">
        <v>3</v>
      </c>
      <c r="O13" s="60">
        <v>4</v>
      </c>
      <c r="P13" s="60">
        <v>3</v>
      </c>
      <c r="Q13" s="60">
        <v>4</v>
      </c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2"/>
      <c r="AC13" s="59">
        <f t="shared" si="0"/>
        <v>49</v>
      </c>
      <c r="AD13" s="51">
        <f t="shared" si="1"/>
        <v>51</v>
      </c>
    </row>
    <row r="14" customHeight="1" spans="1:31">
      <c r="A14" s="59">
        <v>12</v>
      </c>
      <c r="B14" s="10" t="s">
        <v>28</v>
      </c>
      <c r="C14" s="60">
        <v>100</v>
      </c>
      <c r="D14" s="60">
        <v>3</v>
      </c>
      <c r="E14" s="60">
        <v>4</v>
      </c>
      <c r="F14" s="60">
        <v>3</v>
      </c>
      <c r="G14" s="10">
        <v>4</v>
      </c>
      <c r="H14" s="60">
        <v>3</v>
      </c>
      <c r="I14" s="60">
        <v>4</v>
      </c>
      <c r="J14" s="60">
        <v>3</v>
      </c>
      <c r="K14" s="60">
        <v>4</v>
      </c>
      <c r="L14" s="60">
        <v>3</v>
      </c>
      <c r="M14" s="60">
        <v>4</v>
      </c>
      <c r="N14" s="60">
        <v>3</v>
      </c>
      <c r="O14" s="60">
        <v>4</v>
      </c>
      <c r="P14" s="60">
        <v>3</v>
      </c>
      <c r="Q14" s="60">
        <v>4</v>
      </c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2"/>
      <c r="AC14" s="59">
        <f t="shared" si="0"/>
        <v>49</v>
      </c>
      <c r="AD14" s="51">
        <f t="shared" si="1"/>
        <v>51</v>
      </c>
    </row>
    <row r="15" customHeight="1" spans="1:31">
      <c r="A15" s="59">
        <v>13</v>
      </c>
      <c r="B15" s="10" t="s">
        <v>29</v>
      </c>
      <c r="C15" s="60">
        <v>100</v>
      </c>
      <c r="D15" s="60">
        <v>3</v>
      </c>
      <c r="E15" s="60">
        <v>4</v>
      </c>
      <c r="F15" s="60">
        <v>3</v>
      </c>
      <c r="G15" s="10">
        <v>4</v>
      </c>
      <c r="H15" s="60">
        <v>3</v>
      </c>
      <c r="I15" s="60">
        <v>4</v>
      </c>
      <c r="J15" s="60">
        <v>3</v>
      </c>
      <c r="K15" s="60">
        <v>4</v>
      </c>
      <c r="L15" s="60">
        <v>3</v>
      </c>
      <c r="M15" s="60">
        <v>4</v>
      </c>
      <c r="N15" s="60">
        <v>3</v>
      </c>
      <c r="O15" s="60">
        <v>4</v>
      </c>
      <c r="P15" s="60">
        <v>3</v>
      </c>
      <c r="Q15" s="60">
        <v>4</v>
      </c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2"/>
      <c r="AC15" s="59">
        <f t="shared" si="0"/>
        <v>49</v>
      </c>
      <c r="AD15" s="51">
        <f t="shared" si="1"/>
        <v>51</v>
      </c>
    </row>
    <row r="16" customHeight="1" spans="1:31">
      <c r="A16" s="59">
        <v>14</v>
      </c>
      <c r="B16" s="10" t="s">
        <v>30</v>
      </c>
      <c r="C16" s="60">
        <v>100</v>
      </c>
      <c r="D16" s="60">
        <v>3</v>
      </c>
      <c r="E16" s="60">
        <v>4</v>
      </c>
      <c r="F16" s="60">
        <v>3</v>
      </c>
      <c r="G16" s="10">
        <v>4</v>
      </c>
      <c r="H16" s="60">
        <v>3</v>
      </c>
      <c r="I16" s="60">
        <v>4</v>
      </c>
      <c r="J16" s="60">
        <v>3</v>
      </c>
      <c r="K16" s="60">
        <v>4</v>
      </c>
      <c r="L16" s="60">
        <v>3</v>
      </c>
      <c r="M16" s="60">
        <v>4</v>
      </c>
      <c r="N16" s="60">
        <v>3</v>
      </c>
      <c r="O16" s="60">
        <v>4</v>
      </c>
      <c r="P16" s="60">
        <v>3</v>
      </c>
      <c r="Q16" s="60">
        <v>4</v>
      </c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2"/>
      <c r="AC16" s="59">
        <f t="shared" si="0"/>
        <v>49</v>
      </c>
      <c r="AD16" s="51">
        <f t="shared" si="1"/>
        <v>51</v>
      </c>
    </row>
    <row r="17" customHeight="1" spans="1:30">
      <c r="A17" s="59">
        <v>15</v>
      </c>
      <c r="B17" s="10" t="s">
        <v>31</v>
      </c>
      <c r="C17" s="60">
        <v>100</v>
      </c>
      <c r="D17" s="60">
        <v>3</v>
      </c>
      <c r="E17" s="60">
        <v>4</v>
      </c>
      <c r="F17" s="60">
        <v>3</v>
      </c>
      <c r="G17" s="10">
        <v>4</v>
      </c>
      <c r="H17" s="60">
        <v>5</v>
      </c>
      <c r="I17" s="60">
        <v>6</v>
      </c>
      <c r="J17" s="60">
        <v>3</v>
      </c>
      <c r="K17" s="60">
        <v>4</v>
      </c>
      <c r="L17" s="60">
        <v>3</v>
      </c>
      <c r="M17" s="60">
        <v>4</v>
      </c>
      <c r="N17" s="60">
        <v>3</v>
      </c>
      <c r="O17" s="60">
        <v>4</v>
      </c>
      <c r="P17" s="60">
        <v>3</v>
      </c>
      <c r="Q17" s="60">
        <v>4</v>
      </c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2"/>
      <c r="AC17" s="59">
        <f t="shared" si="0"/>
        <v>53</v>
      </c>
      <c r="AD17" s="51">
        <f t="shared" si="1"/>
        <v>47</v>
      </c>
    </row>
    <row r="18" customHeight="1" spans="1:30">
      <c r="A18" s="59">
        <v>16</v>
      </c>
      <c r="B18" s="10" t="s">
        <v>33</v>
      </c>
      <c r="C18" s="60">
        <v>100</v>
      </c>
      <c r="D18" s="60">
        <v>3</v>
      </c>
      <c r="E18" s="60">
        <v>4</v>
      </c>
      <c r="F18" s="60">
        <v>3</v>
      </c>
      <c r="G18" s="10">
        <v>4</v>
      </c>
      <c r="H18" s="60">
        <v>3</v>
      </c>
      <c r="I18" s="60">
        <v>4</v>
      </c>
      <c r="J18" s="60">
        <v>3</v>
      </c>
      <c r="K18" s="60">
        <v>4</v>
      </c>
      <c r="L18" s="60">
        <v>3</v>
      </c>
      <c r="M18" s="60">
        <v>4</v>
      </c>
      <c r="N18" s="60">
        <v>3</v>
      </c>
      <c r="O18" s="60">
        <v>4</v>
      </c>
      <c r="P18" s="60">
        <v>3</v>
      </c>
      <c r="Q18" s="60">
        <v>4</v>
      </c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2"/>
      <c r="AC18" s="59">
        <f t="shared" si="0"/>
        <v>49</v>
      </c>
      <c r="AD18" s="51">
        <f t="shared" si="1"/>
        <v>51</v>
      </c>
    </row>
    <row r="19" customHeight="1" spans="1:30">
      <c r="A19" s="59">
        <v>17</v>
      </c>
      <c r="B19" s="10" t="s">
        <v>40</v>
      </c>
      <c r="C19" s="60">
        <v>100</v>
      </c>
      <c r="D19" s="60">
        <v>3</v>
      </c>
      <c r="E19" s="60">
        <v>4</v>
      </c>
      <c r="F19" s="60">
        <v>3</v>
      </c>
      <c r="G19" s="10">
        <v>4</v>
      </c>
      <c r="H19" s="60">
        <v>3</v>
      </c>
      <c r="I19" s="60">
        <v>4</v>
      </c>
      <c r="J19" s="60">
        <v>3</v>
      </c>
      <c r="K19" s="60">
        <v>4</v>
      </c>
      <c r="L19" s="60">
        <v>3</v>
      </c>
      <c r="M19" s="60">
        <v>4</v>
      </c>
      <c r="N19" s="60">
        <v>3</v>
      </c>
      <c r="O19" s="60">
        <v>4</v>
      </c>
      <c r="P19" s="60">
        <v>3</v>
      </c>
      <c r="Q19" s="60">
        <v>4</v>
      </c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2"/>
      <c r="AC19" s="59">
        <f t="shared" si="0"/>
        <v>49</v>
      </c>
      <c r="AD19" s="51">
        <f t="shared" si="1"/>
        <v>51</v>
      </c>
    </row>
    <row r="20" customHeight="1" spans="1:30">
      <c r="A20" s="59">
        <v>18</v>
      </c>
      <c r="B20" s="10" t="s">
        <v>35</v>
      </c>
      <c r="C20" s="60">
        <v>100</v>
      </c>
      <c r="D20" s="60">
        <v>3</v>
      </c>
      <c r="E20" s="60">
        <v>4</v>
      </c>
      <c r="F20" s="60">
        <v>3</v>
      </c>
      <c r="G20" s="10">
        <v>4</v>
      </c>
      <c r="H20" s="60">
        <v>3</v>
      </c>
      <c r="I20" s="60">
        <v>4</v>
      </c>
      <c r="J20" s="60">
        <v>3</v>
      </c>
      <c r="K20" s="60">
        <v>4</v>
      </c>
      <c r="L20" s="60">
        <v>3</v>
      </c>
      <c r="M20" s="60">
        <v>4</v>
      </c>
      <c r="N20" s="60">
        <v>3</v>
      </c>
      <c r="O20" s="60">
        <v>4</v>
      </c>
      <c r="P20" s="60">
        <v>3</v>
      </c>
      <c r="Q20" s="60">
        <v>4</v>
      </c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2"/>
      <c r="AC20" s="59">
        <f t="shared" si="0"/>
        <v>49</v>
      </c>
      <c r="AD20" s="51">
        <f t="shared" si="1"/>
        <v>51</v>
      </c>
    </row>
    <row r="21" customHeight="1" spans="1:30">
      <c r="A21" s="59">
        <v>19</v>
      </c>
      <c r="B21" s="15" t="s">
        <v>36</v>
      </c>
      <c r="C21" s="60">
        <v>100</v>
      </c>
      <c r="D21" s="60">
        <v>3</v>
      </c>
      <c r="E21" s="60">
        <v>4</v>
      </c>
      <c r="F21" s="60">
        <v>3</v>
      </c>
      <c r="G21" s="10">
        <v>4</v>
      </c>
      <c r="H21" s="60">
        <v>3</v>
      </c>
      <c r="I21" s="60">
        <v>4</v>
      </c>
      <c r="J21" s="60">
        <v>3</v>
      </c>
      <c r="K21" s="60">
        <v>4</v>
      </c>
      <c r="L21" s="60">
        <v>3</v>
      </c>
      <c r="M21" s="60">
        <v>4</v>
      </c>
      <c r="N21" s="60">
        <v>3</v>
      </c>
      <c r="O21" s="60">
        <v>4</v>
      </c>
      <c r="P21" s="60">
        <v>3</v>
      </c>
      <c r="Q21" s="60">
        <v>4</v>
      </c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2"/>
      <c r="AC21" s="59">
        <f t="shared" si="0"/>
        <v>49</v>
      </c>
      <c r="AD21" s="51">
        <f t="shared" si="1"/>
        <v>51</v>
      </c>
    </row>
    <row r="22" customHeight="1" spans="1:30">
      <c r="A22" s="59">
        <v>20</v>
      </c>
      <c r="B22" s="10" t="s">
        <v>58</v>
      </c>
      <c r="C22" s="60">
        <v>100</v>
      </c>
      <c r="D22" s="60">
        <v>3</v>
      </c>
      <c r="E22" s="60">
        <v>4</v>
      </c>
      <c r="F22" s="60">
        <v>3</v>
      </c>
      <c r="G22" s="10">
        <v>4</v>
      </c>
      <c r="H22" s="60">
        <v>3</v>
      </c>
      <c r="I22" s="60">
        <v>4</v>
      </c>
      <c r="J22" s="60">
        <v>3</v>
      </c>
      <c r="K22" s="60">
        <v>4</v>
      </c>
      <c r="L22" s="60">
        <v>3</v>
      </c>
      <c r="M22" s="60">
        <v>4</v>
      </c>
      <c r="N22" s="60">
        <v>3</v>
      </c>
      <c r="O22" s="60">
        <v>4</v>
      </c>
      <c r="P22" s="60">
        <v>3</v>
      </c>
      <c r="Q22" s="60">
        <v>4</v>
      </c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2"/>
      <c r="AC22" s="59">
        <f t="shared" si="0"/>
        <v>49</v>
      </c>
      <c r="AD22" s="51">
        <f t="shared" si="1"/>
        <v>51</v>
      </c>
    </row>
    <row r="23" customHeight="1" spans="1:30">
      <c r="A23" s="59">
        <v>21</v>
      </c>
      <c r="B23" s="10" t="s">
        <v>38</v>
      </c>
      <c r="C23" s="60">
        <v>100</v>
      </c>
      <c r="D23" s="60">
        <v>3</v>
      </c>
      <c r="E23" s="60">
        <v>4</v>
      </c>
      <c r="F23" s="60">
        <v>3</v>
      </c>
      <c r="G23" s="10">
        <v>4</v>
      </c>
      <c r="H23" s="60">
        <v>3</v>
      </c>
      <c r="I23" s="60">
        <v>4</v>
      </c>
      <c r="J23" s="60">
        <v>3</v>
      </c>
      <c r="K23" s="60">
        <v>4</v>
      </c>
      <c r="L23" s="60">
        <v>3</v>
      </c>
      <c r="M23" s="60">
        <v>4</v>
      </c>
      <c r="N23" s="60">
        <v>3</v>
      </c>
      <c r="O23" s="60">
        <v>4</v>
      </c>
      <c r="P23" s="60">
        <v>3</v>
      </c>
      <c r="Q23" s="60">
        <v>4</v>
      </c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2"/>
      <c r="AC23" s="59">
        <f t="shared" si="0"/>
        <v>49</v>
      </c>
      <c r="AD23" s="51">
        <f t="shared" si="1"/>
        <v>51</v>
      </c>
    </row>
    <row r="24" customHeight="1" spans="1:30">
      <c r="A24" s="59">
        <v>22</v>
      </c>
      <c r="B24" s="10" t="s">
        <v>39</v>
      </c>
      <c r="C24" s="60">
        <v>100</v>
      </c>
      <c r="D24" s="60">
        <v>3</v>
      </c>
      <c r="E24" s="60">
        <v>4</v>
      </c>
      <c r="F24" s="60">
        <v>3</v>
      </c>
      <c r="G24" s="10">
        <v>4</v>
      </c>
      <c r="H24" s="60">
        <v>3</v>
      </c>
      <c r="I24" s="60">
        <v>4</v>
      </c>
      <c r="J24" s="60">
        <v>3</v>
      </c>
      <c r="K24" s="60">
        <v>4</v>
      </c>
      <c r="L24" s="60">
        <v>3</v>
      </c>
      <c r="M24" s="60">
        <v>4</v>
      </c>
      <c r="N24" s="60">
        <v>3</v>
      </c>
      <c r="O24" s="60">
        <v>4</v>
      </c>
      <c r="P24" s="60">
        <v>3</v>
      </c>
      <c r="Q24" s="60">
        <v>4</v>
      </c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2"/>
      <c r="AC24" s="59">
        <f t="shared" si="0"/>
        <v>49</v>
      </c>
      <c r="AD24" s="51">
        <f t="shared" si="1"/>
        <v>51</v>
      </c>
    </row>
    <row r="25" customHeight="1" spans="1:30">
      <c r="A25" s="59">
        <v>23</v>
      </c>
      <c r="B25" s="10" t="s">
        <v>41</v>
      </c>
      <c r="C25" s="60">
        <v>100</v>
      </c>
      <c r="D25" s="60">
        <v>0</v>
      </c>
      <c r="E25" s="60">
        <v>7</v>
      </c>
      <c r="F25" s="60">
        <v>3</v>
      </c>
      <c r="G25" s="10">
        <v>4</v>
      </c>
      <c r="H25" s="60">
        <v>3</v>
      </c>
      <c r="I25" s="60">
        <v>4</v>
      </c>
      <c r="J25" s="60">
        <v>3</v>
      </c>
      <c r="K25" s="60">
        <v>4</v>
      </c>
      <c r="L25" s="60">
        <v>3</v>
      </c>
      <c r="M25" s="60">
        <v>4</v>
      </c>
      <c r="N25" s="60">
        <v>3</v>
      </c>
      <c r="O25" s="60">
        <v>4</v>
      </c>
      <c r="P25" s="60">
        <v>3</v>
      </c>
      <c r="Q25" s="60">
        <v>4</v>
      </c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2"/>
      <c r="AC25" s="59">
        <f t="shared" si="0"/>
        <v>49</v>
      </c>
      <c r="AD25" s="51">
        <f t="shared" si="1"/>
        <v>51</v>
      </c>
    </row>
    <row r="26" customHeight="1" spans="1:30">
      <c r="A26" s="59">
        <v>24</v>
      </c>
      <c r="B26" s="10" t="s">
        <v>42</v>
      </c>
      <c r="C26" s="60">
        <v>100</v>
      </c>
      <c r="D26" s="60">
        <v>0</v>
      </c>
      <c r="E26" s="60">
        <v>0</v>
      </c>
      <c r="F26" s="60">
        <v>6</v>
      </c>
      <c r="G26" s="10">
        <v>8</v>
      </c>
      <c r="H26" s="60">
        <v>3</v>
      </c>
      <c r="I26" s="60">
        <v>4</v>
      </c>
      <c r="J26" s="60">
        <v>3</v>
      </c>
      <c r="K26" s="60">
        <v>4</v>
      </c>
      <c r="L26" s="60">
        <v>3</v>
      </c>
      <c r="M26" s="60">
        <v>4</v>
      </c>
      <c r="N26" s="60">
        <v>3</v>
      </c>
      <c r="O26" s="60">
        <v>4</v>
      </c>
      <c r="P26" s="60">
        <v>3</v>
      </c>
      <c r="Q26" s="60">
        <v>4</v>
      </c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2"/>
      <c r="AC26" s="59">
        <f t="shared" si="0"/>
        <v>49</v>
      </c>
      <c r="AD26" s="51">
        <f t="shared" si="1"/>
        <v>51</v>
      </c>
    </row>
    <row r="27" customHeight="1" spans="1:30">
      <c r="A27" s="59">
        <v>25</v>
      </c>
      <c r="B27" s="11" t="s">
        <v>44</v>
      </c>
      <c r="C27" s="60">
        <v>100</v>
      </c>
      <c r="D27" s="60"/>
      <c r="E27" s="60"/>
      <c r="F27" s="63"/>
      <c r="G27" s="63"/>
      <c r="H27" s="64">
        <v>6</v>
      </c>
      <c r="I27" s="64">
        <v>8</v>
      </c>
      <c r="J27" s="64">
        <v>6</v>
      </c>
      <c r="K27" s="64">
        <v>8</v>
      </c>
      <c r="L27" s="60">
        <v>3</v>
      </c>
      <c r="M27" s="60">
        <v>4</v>
      </c>
      <c r="N27" s="60">
        <v>3</v>
      </c>
      <c r="O27" s="60">
        <v>4</v>
      </c>
      <c r="P27" s="60">
        <v>3</v>
      </c>
      <c r="Q27" s="60">
        <v>4</v>
      </c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3"/>
      <c r="AC27" s="59">
        <f t="shared" si="0"/>
        <v>49</v>
      </c>
      <c r="AD27" s="51">
        <f t="shared" si="1"/>
        <v>51</v>
      </c>
    </row>
    <row r="28" customHeight="1" spans="1:30">
      <c r="A28" s="59">
        <v>26</v>
      </c>
      <c r="B28" s="10" t="s">
        <v>59</v>
      </c>
      <c r="C28" s="60">
        <v>100</v>
      </c>
      <c r="D28" s="60"/>
      <c r="E28" s="60"/>
      <c r="F28" s="62"/>
      <c r="G28" s="62"/>
      <c r="H28" s="60"/>
      <c r="I28" s="60"/>
      <c r="J28" s="60"/>
      <c r="K28" s="60"/>
      <c r="L28" s="60"/>
      <c r="M28" s="60"/>
      <c r="N28" s="60"/>
      <c r="O28" s="65"/>
      <c r="P28" s="65" t="s">
        <v>60</v>
      </c>
      <c r="Q28" s="60">
        <v>11</v>
      </c>
      <c r="R28" s="60">
        <v>10</v>
      </c>
      <c r="S28" s="66">
        <f>79-51</f>
        <v>28</v>
      </c>
      <c r="T28" s="64"/>
      <c r="U28" s="64"/>
      <c r="V28" s="64"/>
      <c r="W28" s="64"/>
      <c r="X28" s="64"/>
      <c r="Y28" s="64"/>
      <c r="Z28" s="64"/>
      <c r="AA28" s="64"/>
      <c r="AB28" s="62"/>
      <c r="AC28" s="59">
        <f t="shared" si="0"/>
        <v>49</v>
      </c>
      <c r="AD28" s="51">
        <f t="shared" si="1"/>
        <v>51</v>
      </c>
    </row>
    <row r="29" customHeight="1" spans="1:30">
      <c r="A29" s="59">
        <v>27</v>
      </c>
      <c r="B29" s="11"/>
      <c r="C29" s="60"/>
      <c r="D29" s="60">
        <f t="shared" ref="D29:AB29" si="2">SUM(D3:D28)</f>
        <v>66</v>
      </c>
      <c r="E29" s="60">
        <f t="shared" si="2"/>
        <v>95</v>
      </c>
      <c r="F29" s="60">
        <f t="shared" si="2"/>
        <v>75</v>
      </c>
      <c r="G29" s="60">
        <f t="shared" si="2"/>
        <v>100</v>
      </c>
      <c r="H29" s="60">
        <f t="shared" si="2"/>
        <v>80</v>
      </c>
      <c r="I29" s="60">
        <f t="shared" si="2"/>
        <v>106</v>
      </c>
      <c r="J29" s="60">
        <f t="shared" si="2"/>
        <v>78</v>
      </c>
      <c r="K29" s="60">
        <f t="shared" si="2"/>
        <v>104</v>
      </c>
      <c r="L29" s="60">
        <f t="shared" si="2"/>
        <v>75</v>
      </c>
      <c r="M29" s="60">
        <f t="shared" si="2"/>
        <v>100</v>
      </c>
      <c r="N29" s="60">
        <f t="shared" si="2"/>
        <v>75</v>
      </c>
      <c r="O29" s="60">
        <f t="shared" si="2"/>
        <v>100</v>
      </c>
      <c r="P29" s="60">
        <f t="shared" si="2"/>
        <v>75</v>
      </c>
      <c r="Q29" s="60">
        <f t="shared" si="2"/>
        <v>111</v>
      </c>
      <c r="R29" s="60">
        <f t="shared" si="2"/>
        <v>10</v>
      </c>
      <c r="S29" s="60">
        <f t="shared" si="2"/>
        <v>28</v>
      </c>
      <c r="T29" s="60">
        <f t="shared" si="2"/>
        <v>0</v>
      </c>
      <c r="U29" s="60">
        <f t="shared" si="2"/>
        <v>0</v>
      </c>
      <c r="V29" s="60">
        <f t="shared" si="2"/>
        <v>0</v>
      </c>
      <c r="W29" s="60">
        <f t="shared" si="2"/>
        <v>0</v>
      </c>
      <c r="X29" s="60">
        <f t="shared" si="2"/>
        <v>0</v>
      </c>
      <c r="Y29" s="60">
        <f t="shared" si="2"/>
        <v>0</v>
      </c>
      <c r="Z29" s="60">
        <f t="shared" si="2"/>
        <v>0</v>
      </c>
      <c r="AA29" s="60">
        <f t="shared" si="2"/>
        <v>0</v>
      </c>
      <c r="AB29" s="60">
        <f t="shared" si="2"/>
        <v>0</v>
      </c>
      <c r="AC29" s="59"/>
      <c r="AD29" s="51"/>
    </row>
    <row r="30" customHeight="1" spans="1:30">
      <c r="A30" s="59">
        <v>28</v>
      </c>
      <c r="B30" s="11"/>
      <c r="C30" s="60"/>
      <c r="D30" s="60"/>
      <c r="E30" s="60"/>
      <c r="F30" s="62"/>
      <c r="G30" s="62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2"/>
      <c r="AC30" s="59">
        <f>SUM(D30:AB30)</f>
        <v>0</v>
      </c>
      <c r="AD30" s="51">
        <f>C30-AC30</f>
        <v>0</v>
      </c>
    </row>
    <row r="31" customHeight="1" spans="1:30">
      <c r="A31" s="59">
        <v>29</v>
      </c>
      <c r="B31" s="11"/>
      <c r="C31" s="60"/>
      <c r="D31" s="60"/>
      <c r="E31" s="60"/>
      <c r="F31" s="62"/>
      <c r="G31" s="62"/>
      <c r="H31" s="62"/>
      <c r="I31" s="62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2"/>
      <c r="AC31" s="59">
        <f>SUM(D31:AB31)</f>
        <v>0</v>
      </c>
      <c r="AD31" s="51">
        <f>C31-AC31</f>
        <v>0</v>
      </c>
    </row>
    <row r="32" customHeight="1" spans="1:30">
      <c r="A32" s="59">
        <v>30</v>
      </c>
      <c r="B32" s="11"/>
      <c r="C32" s="60"/>
      <c r="D32" s="60"/>
      <c r="E32" s="60"/>
      <c r="F32" s="63"/>
      <c r="G32" s="63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3"/>
      <c r="AC32" s="67">
        <f>SUM(D32:AB32)</f>
        <v>0</v>
      </c>
      <c r="AD32" s="51"/>
    </row>
    <row r="33" customHeight="1" spans="1:30">
      <c r="A33" s="59">
        <v>31</v>
      </c>
      <c r="B33" s="11"/>
      <c r="C33" s="60"/>
      <c r="D33" s="60"/>
      <c r="E33" s="60"/>
      <c r="F33" s="63"/>
      <c r="G33" s="63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3"/>
      <c r="AC33" s="67"/>
      <c r="AD33" s="51"/>
    </row>
    <row r="34" customHeight="1" spans="1:30">
      <c r="A34" s="59">
        <v>32</v>
      </c>
      <c r="B34" s="11"/>
      <c r="C34" s="60"/>
      <c r="D34" s="60"/>
      <c r="E34" s="60"/>
      <c r="F34" s="63"/>
      <c r="G34" s="63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3"/>
      <c r="AC34" s="67"/>
      <c r="AD34" s="51"/>
    </row>
    <row r="35" customHeight="1" spans="1:30">
      <c r="A35" s="59">
        <v>33</v>
      </c>
      <c r="B35" s="11"/>
      <c r="C35" s="60"/>
      <c r="D35" s="60"/>
      <c r="E35" s="60"/>
      <c r="F35" s="63"/>
      <c r="G35" s="63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3"/>
      <c r="AC35" s="67"/>
      <c r="AD35" s="51"/>
    </row>
    <row r="36" customHeight="1" spans="1:30">
      <c r="A36" s="59">
        <v>34</v>
      </c>
      <c r="B36" s="11"/>
      <c r="C36" s="60"/>
      <c r="D36" s="60"/>
      <c r="E36" s="60"/>
      <c r="F36" s="63"/>
      <c r="G36" s="63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3"/>
      <c r="AC36" s="67"/>
      <c r="AD36" s="51"/>
    </row>
    <row r="37" customHeight="1" spans="1:30">
      <c r="A37" s="59">
        <v>35</v>
      </c>
      <c r="B37" s="11"/>
      <c r="C37" s="60"/>
      <c r="D37" s="60"/>
      <c r="E37" s="60"/>
      <c r="F37" s="63"/>
      <c r="G37" s="63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3"/>
      <c r="AC37" s="67"/>
      <c r="AD37" s="51"/>
    </row>
    <row r="38" customHeight="1" spans="1:30">
      <c r="A38" s="59">
        <v>36</v>
      </c>
      <c r="B38" s="11"/>
      <c r="C38" s="60"/>
      <c r="D38" s="60"/>
      <c r="E38" s="60"/>
      <c r="F38" s="63"/>
      <c r="G38" s="63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3"/>
      <c r="AC38" s="67"/>
      <c r="AD38" s="51"/>
    </row>
    <row r="39" customHeight="1" spans="1:30">
      <c r="A39" s="59">
        <v>37</v>
      </c>
      <c r="B39" s="11"/>
      <c r="C39" s="60"/>
      <c r="D39" s="60"/>
      <c r="E39" s="60"/>
      <c r="F39" s="63"/>
      <c r="G39" s="63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3"/>
      <c r="AC39" s="67"/>
      <c r="AD39" s="51"/>
    </row>
    <row r="40" customHeight="1" spans="1:30">
      <c r="A40" s="59">
        <v>38</v>
      </c>
      <c r="B40" s="11"/>
      <c r="C40" s="60"/>
      <c r="D40" s="60"/>
      <c r="E40" s="60"/>
      <c r="F40" s="62"/>
      <c r="G40" s="62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2"/>
      <c r="AC40" s="59"/>
      <c r="AD40" s="51"/>
    </row>
    <row r="41" customHeight="1" spans="1:30">
      <c r="A41" s="59">
        <v>39</v>
      </c>
      <c r="B41" s="11"/>
      <c r="C41" s="60"/>
      <c r="D41" s="60"/>
      <c r="E41" s="60"/>
      <c r="F41" s="62"/>
      <c r="G41" s="62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2"/>
      <c r="AC41" s="59"/>
      <c r="AD41" s="51"/>
    </row>
  </sheetData>
  <mergeCells count="1">
    <mergeCell ref="A1:AC1"/>
  </mergeCells>
  <pageMargins left="0.75" right="0.75" top="1" bottom="1" header="0.5" footer="0.5"/>
  <pageSetup paperSize="256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7" workbookViewId="0">
      <selection activeCell="J18" sqref="J18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7.4285714285714" customWidth="1"/>
  </cols>
  <sheetData>
    <row r="1" ht="38" customHeight="1" spans="1:7">
      <c r="A1" s="2" t="s">
        <v>61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50</v>
      </c>
      <c r="C2" s="5" t="s">
        <v>3</v>
      </c>
      <c r="D2" s="6" t="s">
        <v>62</v>
      </c>
      <c r="E2" s="7" t="s">
        <v>63</v>
      </c>
      <c r="F2" s="7" t="s">
        <v>64</v>
      </c>
      <c r="G2" s="7" t="s">
        <v>7</v>
      </c>
    </row>
    <row r="3" ht="22" customHeight="1" spans="1:7">
      <c r="A3" s="8">
        <v>1</v>
      </c>
      <c r="B3" s="9">
        <v>46090</v>
      </c>
      <c r="C3" s="10" t="s">
        <v>13</v>
      </c>
      <c r="D3" s="11" t="s">
        <v>65</v>
      </c>
      <c r="E3" s="12"/>
      <c r="F3" s="10">
        <v>3</v>
      </c>
      <c r="G3" s="13"/>
    </row>
    <row r="4" ht="22" customHeight="1" spans="1:7">
      <c r="A4" s="8">
        <v>2</v>
      </c>
      <c r="B4" s="9">
        <v>46090</v>
      </c>
      <c r="C4" s="10" t="s">
        <v>15</v>
      </c>
      <c r="D4" s="11" t="s">
        <v>65</v>
      </c>
      <c r="E4" s="12"/>
      <c r="F4" s="10">
        <v>3</v>
      </c>
      <c r="G4" s="14"/>
    </row>
    <row r="5" ht="22" customHeight="1" spans="1:7">
      <c r="A5" s="8">
        <v>3</v>
      </c>
      <c r="B5" s="9">
        <v>46090</v>
      </c>
      <c r="C5" s="10" t="s">
        <v>16</v>
      </c>
      <c r="D5" s="11" t="s">
        <v>65</v>
      </c>
      <c r="E5" s="10">
        <v>1</v>
      </c>
      <c r="F5" s="10">
        <v>2</v>
      </c>
      <c r="G5" s="14"/>
    </row>
    <row r="6" ht="22" customHeight="1" spans="1:7">
      <c r="A6" s="8">
        <v>4</v>
      </c>
      <c r="B6" s="9">
        <v>46090</v>
      </c>
      <c r="C6" s="10" t="s">
        <v>18</v>
      </c>
      <c r="D6" s="11" t="s">
        <v>65</v>
      </c>
      <c r="E6" s="12"/>
      <c r="F6" s="10">
        <v>3</v>
      </c>
      <c r="G6" s="14"/>
    </row>
    <row r="7" ht="22" customHeight="1" spans="1:7">
      <c r="A7" s="8">
        <v>5</v>
      </c>
      <c r="B7" s="9">
        <v>46090</v>
      </c>
      <c r="C7" s="10" t="s">
        <v>19</v>
      </c>
      <c r="D7" s="11" t="s">
        <v>65</v>
      </c>
      <c r="E7" s="10">
        <v>2</v>
      </c>
      <c r="F7" s="10">
        <v>1</v>
      </c>
      <c r="G7" s="10" t="s">
        <v>20</v>
      </c>
    </row>
    <row r="8" ht="22" customHeight="1" spans="1:7">
      <c r="A8" s="8">
        <v>6</v>
      </c>
      <c r="B8" s="9">
        <v>46090</v>
      </c>
      <c r="C8" s="10" t="s">
        <v>21</v>
      </c>
      <c r="D8" s="11" t="s">
        <v>65</v>
      </c>
      <c r="E8" s="10">
        <v>3</v>
      </c>
      <c r="F8" s="12"/>
      <c r="G8" s="12"/>
    </row>
    <row r="9" ht="22" customHeight="1" spans="1:7">
      <c r="A9" s="8">
        <v>7</v>
      </c>
      <c r="B9" s="9">
        <v>46090</v>
      </c>
      <c r="C9" s="10" t="s">
        <v>22</v>
      </c>
      <c r="D9" s="11" t="s">
        <v>65</v>
      </c>
      <c r="E9" s="12"/>
      <c r="F9" s="10">
        <v>3</v>
      </c>
      <c r="G9" s="12"/>
    </row>
    <row r="10" ht="22" customHeight="1" spans="1:7">
      <c r="A10" s="8">
        <v>8</v>
      </c>
      <c r="B10" s="9">
        <v>46090</v>
      </c>
      <c r="C10" s="10" t="s">
        <v>23</v>
      </c>
      <c r="D10" s="11" t="s">
        <v>65</v>
      </c>
      <c r="E10" s="12"/>
      <c r="F10" s="10">
        <v>3</v>
      </c>
      <c r="G10" s="12"/>
    </row>
    <row r="11" customFormat="1" ht="22" customHeight="1" spans="1:7">
      <c r="A11" s="8">
        <v>9</v>
      </c>
      <c r="B11" s="9">
        <v>46090</v>
      </c>
      <c r="C11" s="10" t="s">
        <v>24</v>
      </c>
      <c r="D11" s="11" t="s">
        <v>65</v>
      </c>
      <c r="E11" s="10">
        <v>3</v>
      </c>
      <c r="F11" s="12"/>
      <c r="G11" s="12"/>
    </row>
    <row r="12" customFormat="1" ht="22" customHeight="1" spans="1:7">
      <c r="A12" s="8">
        <v>10</v>
      </c>
      <c r="B12" s="9">
        <v>46090</v>
      </c>
      <c r="C12" s="10" t="s">
        <v>25</v>
      </c>
      <c r="D12" s="11" t="s">
        <v>65</v>
      </c>
      <c r="E12" s="10">
        <v>3</v>
      </c>
      <c r="F12" s="12"/>
      <c r="G12" s="12"/>
    </row>
    <row r="13" customFormat="1" ht="22" customHeight="1" spans="1:7">
      <c r="A13" s="8">
        <v>11</v>
      </c>
      <c r="B13" s="9">
        <v>46090</v>
      </c>
      <c r="C13" s="10" t="s">
        <v>26</v>
      </c>
      <c r="D13" s="11" t="s">
        <v>65</v>
      </c>
      <c r="E13" s="10">
        <v>1</v>
      </c>
      <c r="F13" s="10">
        <v>2</v>
      </c>
      <c r="G13" s="15" t="s">
        <v>20</v>
      </c>
    </row>
    <row r="14" customFormat="1" ht="22" customHeight="1" spans="1:7">
      <c r="A14" s="8">
        <v>12</v>
      </c>
      <c r="B14" s="9">
        <v>46090</v>
      </c>
      <c r="C14" s="10" t="s">
        <v>28</v>
      </c>
      <c r="D14" s="11" t="s">
        <v>65</v>
      </c>
      <c r="E14" s="12"/>
      <c r="F14" s="10">
        <v>3</v>
      </c>
      <c r="G14" s="12"/>
    </row>
    <row r="15" customFormat="1" ht="22" customHeight="1" spans="1:7">
      <c r="A15" s="8">
        <v>13</v>
      </c>
      <c r="B15" s="9">
        <v>46090</v>
      </c>
      <c r="C15" s="10" t="s">
        <v>29</v>
      </c>
      <c r="D15" s="11" t="s">
        <v>65</v>
      </c>
      <c r="E15" s="12"/>
      <c r="F15" s="10">
        <v>3</v>
      </c>
      <c r="G15" s="12"/>
    </row>
    <row r="16" customFormat="1" ht="22" customHeight="1" spans="1:7">
      <c r="A16" s="8">
        <v>14</v>
      </c>
      <c r="B16" s="9">
        <v>46090</v>
      </c>
      <c r="C16" s="10" t="s">
        <v>30</v>
      </c>
      <c r="D16" s="11" t="s">
        <v>65</v>
      </c>
      <c r="E16" s="10">
        <v>2</v>
      </c>
      <c r="F16" s="10">
        <v>1</v>
      </c>
      <c r="G16" s="12"/>
    </row>
    <row r="17" customFormat="1" ht="22" customHeight="1" spans="1:7">
      <c r="A17" s="8">
        <v>15</v>
      </c>
      <c r="B17" s="9">
        <v>46090</v>
      </c>
      <c r="C17" s="10" t="s">
        <v>31</v>
      </c>
      <c r="D17" s="11" t="s">
        <v>65</v>
      </c>
      <c r="E17" s="10">
        <v>2</v>
      </c>
      <c r="F17" s="10">
        <v>1</v>
      </c>
      <c r="G17" s="12"/>
    </row>
    <row r="18" customFormat="1" ht="22" customHeight="1" spans="1:7">
      <c r="A18" s="8">
        <v>16</v>
      </c>
      <c r="B18" s="22">
        <v>46090</v>
      </c>
      <c r="C18" s="10" t="s">
        <v>33</v>
      </c>
      <c r="D18" s="11" t="s">
        <v>65</v>
      </c>
      <c r="E18" s="10">
        <v>3</v>
      </c>
      <c r="F18" s="12"/>
      <c r="G18" s="10" t="s">
        <v>34</v>
      </c>
    </row>
    <row r="19" customFormat="1" ht="22" customHeight="1" spans="1:7">
      <c r="A19" s="8">
        <v>17</v>
      </c>
      <c r="B19" s="22">
        <v>46090</v>
      </c>
      <c r="C19" s="10" t="s">
        <v>40</v>
      </c>
      <c r="D19" s="11" t="s">
        <v>65</v>
      </c>
      <c r="E19" s="12"/>
      <c r="F19" s="10">
        <v>3</v>
      </c>
      <c r="G19" s="16"/>
    </row>
    <row r="20" customFormat="1" ht="22" customHeight="1" spans="1:7">
      <c r="A20" s="8">
        <v>18</v>
      </c>
      <c r="B20" s="22">
        <v>46090</v>
      </c>
      <c r="C20" s="10" t="s">
        <v>35</v>
      </c>
      <c r="D20" s="11" t="s">
        <v>65</v>
      </c>
      <c r="E20" s="12"/>
      <c r="F20" s="10">
        <v>3</v>
      </c>
      <c r="G20" s="16"/>
    </row>
    <row r="21" customFormat="1" ht="22" customHeight="1" spans="1:7">
      <c r="A21" s="8">
        <v>19</v>
      </c>
      <c r="B21" s="22">
        <v>46090</v>
      </c>
      <c r="C21" s="15" t="s">
        <v>36</v>
      </c>
      <c r="D21" s="11" t="s">
        <v>65</v>
      </c>
      <c r="E21" s="12"/>
      <c r="F21" s="10">
        <v>3</v>
      </c>
      <c r="G21" s="16"/>
    </row>
    <row r="22" customFormat="1" ht="22" customHeight="1" spans="1:7">
      <c r="A22" s="8">
        <v>20</v>
      </c>
      <c r="B22" s="22">
        <v>46090</v>
      </c>
      <c r="C22" s="10" t="s">
        <v>37</v>
      </c>
      <c r="D22" s="11" t="s">
        <v>65</v>
      </c>
      <c r="E22" s="10">
        <v>2</v>
      </c>
      <c r="F22" s="10">
        <v>1</v>
      </c>
      <c r="G22" s="16"/>
    </row>
    <row r="23" customFormat="1" ht="22" customHeight="1" spans="1:7">
      <c r="A23" s="8">
        <v>21</v>
      </c>
      <c r="B23" s="22">
        <v>46090</v>
      </c>
      <c r="C23" s="10" t="s">
        <v>38</v>
      </c>
      <c r="D23" s="11" t="s">
        <v>65</v>
      </c>
      <c r="E23" s="12"/>
      <c r="F23" s="10">
        <v>3</v>
      </c>
      <c r="G23" s="16"/>
    </row>
    <row r="24" customFormat="1" ht="22" customHeight="1" spans="1:7">
      <c r="A24" s="8">
        <v>22</v>
      </c>
      <c r="B24" s="22">
        <v>46090</v>
      </c>
      <c r="C24" s="10" t="s">
        <v>39</v>
      </c>
      <c r="D24" s="11" t="s">
        <v>65</v>
      </c>
      <c r="E24" s="12"/>
      <c r="F24" s="10">
        <v>3</v>
      </c>
      <c r="G24" s="16"/>
    </row>
    <row r="25" customFormat="1" ht="22" customHeight="1" spans="1:7">
      <c r="A25" s="8"/>
      <c r="B25" s="22"/>
      <c r="C25" s="11"/>
      <c r="D25" s="11"/>
      <c r="E25" s="23"/>
      <c r="F25" s="11"/>
      <c r="G25" s="16"/>
    </row>
    <row r="26" spans="1:7">
      <c r="E26" s="24">
        <f>SUM(E3:E25)</f>
        <v>22</v>
      </c>
      <c r="F26" s="24">
        <f>SUM(F3:F25)</f>
        <v>44</v>
      </c>
    </row>
    <row r="28" spans="1:7">
      <c r="E28" s="24">
        <v>65</v>
      </c>
      <c r="F28" s="24">
        <v>52</v>
      </c>
    </row>
    <row r="30" spans="1:7">
      <c r="E30" s="24" t="s">
        <v>63</v>
      </c>
      <c r="F30" s="24" t="s">
        <v>64</v>
      </c>
    </row>
    <row r="31" spans="1:7">
      <c r="E31" s="24">
        <f>E28-E26</f>
        <v>43</v>
      </c>
      <c r="F31" s="24">
        <f>F28-F26</f>
        <v>8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F35" sqref="F35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9.5714285714286" customWidth="1"/>
  </cols>
  <sheetData>
    <row r="1" ht="38" customHeight="1" spans="1:7">
      <c r="A1" s="2" t="s">
        <v>61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50</v>
      </c>
      <c r="C2" s="5" t="s">
        <v>3</v>
      </c>
      <c r="D2" s="6" t="s">
        <v>62</v>
      </c>
      <c r="E2" s="7" t="s">
        <v>63</v>
      </c>
      <c r="F2" s="7" t="s">
        <v>64</v>
      </c>
      <c r="G2" s="7" t="s">
        <v>7</v>
      </c>
    </row>
    <row r="3" ht="22" customHeight="1" spans="1:7">
      <c r="A3" s="8">
        <v>1</v>
      </c>
      <c r="B3" s="9">
        <v>46093</v>
      </c>
      <c r="C3" s="10" t="s">
        <v>13</v>
      </c>
      <c r="D3" s="11" t="s">
        <v>66</v>
      </c>
      <c r="E3" s="12"/>
      <c r="F3" s="10">
        <v>4</v>
      </c>
      <c r="G3" s="13"/>
    </row>
    <row r="4" ht="22" customHeight="1" spans="1:7">
      <c r="A4" s="8">
        <v>2</v>
      </c>
      <c r="B4" s="9">
        <v>46093</v>
      </c>
      <c r="C4" s="10" t="s">
        <v>15</v>
      </c>
      <c r="D4" s="11" t="s">
        <v>66</v>
      </c>
      <c r="E4" s="12"/>
      <c r="F4" s="10">
        <v>4</v>
      </c>
      <c r="G4" s="14"/>
    </row>
    <row r="5" ht="22" customHeight="1" spans="1:7">
      <c r="A5" s="8">
        <v>3</v>
      </c>
      <c r="B5" s="9">
        <v>46093</v>
      </c>
      <c r="C5" s="10" t="s">
        <v>16</v>
      </c>
      <c r="D5" s="11" t="s">
        <v>66</v>
      </c>
      <c r="E5" s="10">
        <v>2</v>
      </c>
      <c r="F5" s="10">
        <v>2</v>
      </c>
      <c r="G5" s="14"/>
    </row>
    <row r="6" ht="22" customHeight="1" spans="1:7">
      <c r="A6" s="8">
        <v>4</v>
      </c>
      <c r="B6" s="9">
        <v>46093</v>
      </c>
      <c r="C6" s="10" t="s">
        <v>18</v>
      </c>
      <c r="D6" s="11" t="s">
        <v>66</v>
      </c>
      <c r="E6" s="12"/>
      <c r="F6" s="10">
        <v>4</v>
      </c>
      <c r="G6" s="14"/>
    </row>
    <row r="7" ht="22" customHeight="1" spans="1:7">
      <c r="A7" s="8">
        <v>5</v>
      </c>
      <c r="B7" s="9">
        <v>46093</v>
      </c>
      <c r="C7" s="10" t="s">
        <v>19</v>
      </c>
      <c r="D7" s="11" t="s">
        <v>66</v>
      </c>
      <c r="E7" s="10">
        <v>1</v>
      </c>
      <c r="F7" s="10">
        <v>3</v>
      </c>
      <c r="G7" s="10" t="s">
        <v>20</v>
      </c>
    </row>
    <row r="8" ht="22" customHeight="1" spans="1:7">
      <c r="A8" s="8">
        <v>6</v>
      </c>
      <c r="B8" s="9">
        <v>46093</v>
      </c>
      <c r="C8" s="10" t="s">
        <v>21</v>
      </c>
      <c r="D8" s="11" t="s">
        <v>66</v>
      </c>
      <c r="E8" s="10">
        <v>4</v>
      </c>
      <c r="F8" s="12"/>
      <c r="G8" s="12"/>
    </row>
    <row r="9" ht="22" customHeight="1" spans="1:7">
      <c r="A9" s="8">
        <v>7</v>
      </c>
      <c r="B9" s="9">
        <v>46093</v>
      </c>
      <c r="C9" s="10" t="s">
        <v>22</v>
      </c>
      <c r="D9" s="11" t="s">
        <v>66</v>
      </c>
      <c r="E9" s="12"/>
      <c r="F9" s="10">
        <v>4</v>
      </c>
      <c r="G9" s="12"/>
    </row>
    <row r="10" ht="22" customHeight="1" spans="1:7">
      <c r="A10" s="8">
        <v>8</v>
      </c>
      <c r="B10" s="9">
        <v>46093</v>
      </c>
      <c r="C10" s="10" t="s">
        <v>23</v>
      </c>
      <c r="D10" s="11" t="s">
        <v>66</v>
      </c>
      <c r="E10" s="12"/>
      <c r="F10" s="10">
        <v>4</v>
      </c>
      <c r="G10" s="12"/>
    </row>
    <row r="11" customFormat="1" ht="22" customHeight="1" spans="1:7">
      <c r="A11" s="8">
        <v>9</v>
      </c>
      <c r="B11" s="9">
        <v>46093</v>
      </c>
      <c r="C11" s="10" t="s">
        <v>24</v>
      </c>
      <c r="D11" s="11" t="s">
        <v>66</v>
      </c>
      <c r="E11" s="10">
        <v>4</v>
      </c>
      <c r="F11" s="12"/>
      <c r="G11" s="12"/>
    </row>
    <row r="12" customFormat="1" ht="22" customHeight="1" spans="1:7">
      <c r="A12" s="8">
        <v>10</v>
      </c>
      <c r="B12" s="9">
        <v>46093</v>
      </c>
      <c r="C12" s="10" t="s">
        <v>25</v>
      </c>
      <c r="D12" s="11" t="s">
        <v>66</v>
      </c>
      <c r="E12" s="10">
        <v>4</v>
      </c>
      <c r="F12" s="12"/>
      <c r="G12" s="12"/>
    </row>
    <row r="13" customFormat="1" ht="22" customHeight="1" spans="1:7">
      <c r="A13" s="8">
        <v>11</v>
      </c>
      <c r="B13" s="9">
        <v>46093</v>
      </c>
      <c r="C13" s="10" t="s">
        <v>26</v>
      </c>
      <c r="D13" s="11" t="s">
        <v>66</v>
      </c>
      <c r="E13" s="10">
        <v>1</v>
      </c>
      <c r="F13" s="10">
        <v>3</v>
      </c>
      <c r="G13" s="15" t="s">
        <v>67</v>
      </c>
    </row>
    <row r="14" customFormat="1" ht="22" customHeight="1" spans="1:7">
      <c r="A14" s="8">
        <v>12</v>
      </c>
      <c r="B14" s="9">
        <v>46093</v>
      </c>
      <c r="C14" s="10" t="s">
        <v>28</v>
      </c>
      <c r="D14" s="11" t="s">
        <v>66</v>
      </c>
      <c r="E14" s="12"/>
      <c r="F14" s="10">
        <v>4</v>
      </c>
      <c r="G14" s="12"/>
    </row>
    <row r="15" customFormat="1" ht="22" customHeight="1" spans="1:7">
      <c r="A15" s="8">
        <v>13</v>
      </c>
      <c r="B15" s="9">
        <v>46093</v>
      </c>
      <c r="C15" s="10" t="s">
        <v>29</v>
      </c>
      <c r="D15" s="11" t="s">
        <v>66</v>
      </c>
      <c r="E15" s="12"/>
      <c r="F15" s="10">
        <v>4</v>
      </c>
      <c r="G15" s="12"/>
    </row>
    <row r="16" customFormat="1" ht="22" customHeight="1" spans="1:7">
      <c r="A16" s="8">
        <v>14</v>
      </c>
      <c r="B16" s="9">
        <v>46093</v>
      </c>
      <c r="C16" s="10" t="s">
        <v>30</v>
      </c>
      <c r="D16" s="11" t="s">
        <v>66</v>
      </c>
      <c r="E16" s="10">
        <v>2</v>
      </c>
      <c r="F16" s="10">
        <v>2</v>
      </c>
      <c r="G16" s="12"/>
    </row>
    <row r="17" customFormat="1" ht="22" customHeight="1" spans="1:7">
      <c r="A17" s="8">
        <v>15</v>
      </c>
      <c r="B17" s="9">
        <v>46093</v>
      </c>
      <c r="C17" s="10" t="s">
        <v>31</v>
      </c>
      <c r="D17" s="11" t="s">
        <v>66</v>
      </c>
      <c r="E17" s="10">
        <v>2</v>
      </c>
      <c r="F17" s="10">
        <v>2</v>
      </c>
      <c r="G17" s="12"/>
    </row>
    <row r="18" customFormat="1" ht="22" customHeight="1" spans="1:7">
      <c r="A18" s="8">
        <v>16</v>
      </c>
      <c r="B18" s="9">
        <v>46093</v>
      </c>
      <c r="C18" s="10" t="s">
        <v>33</v>
      </c>
      <c r="D18" s="11" t="s">
        <v>66</v>
      </c>
      <c r="E18" s="10">
        <v>4</v>
      </c>
      <c r="F18" s="12"/>
      <c r="G18" s="10" t="s">
        <v>34</v>
      </c>
    </row>
    <row r="19" customFormat="1" ht="22" customHeight="1" spans="1:7">
      <c r="A19" s="8">
        <v>17</v>
      </c>
      <c r="B19" s="9">
        <v>46093</v>
      </c>
      <c r="C19" s="10" t="s">
        <v>40</v>
      </c>
      <c r="D19" s="11" t="s">
        <v>66</v>
      </c>
      <c r="E19" s="12"/>
      <c r="F19" s="10">
        <v>4</v>
      </c>
      <c r="G19" s="16"/>
    </row>
    <row r="20" customFormat="1" ht="22" customHeight="1" spans="1:7">
      <c r="A20" s="8">
        <v>18</v>
      </c>
      <c r="B20" s="9">
        <v>46093</v>
      </c>
      <c r="C20" s="10" t="s">
        <v>35</v>
      </c>
      <c r="D20" s="11" t="s">
        <v>66</v>
      </c>
      <c r="E20" s="12"/>
      <c r="F20" s="10">
        <v>4</v>
      </c>
      <c r="G20" s="16"/>
    </row>
    <row r="21" customFormat="1" ht="22" customHeight="1" spans="1:7">
      <c r="A21" s="8">
        <v>19</v>
      </c>
      <c r="B21" s="9">
        <v>46093</v>
      </c>
      <c r="C21" s="15" t="s">
        <v>36</v>
      </c>
      <c r="D21" s="11" t="s">
        <v>66</v>
      </c>
      <c r="E21" s="12"/>
      <c r="F21" s="10">
        <v>4</v>
      </c>
      <c r="G21" s="16"/>
    </row>
    <row r="22" customFormat="1" ht="22" customHeight="1" spans="1:7">
      <c r="A22" s="8">
        <v>20</v>
      </c>
      <c r="B22" s="9">
        <v>46093</v>
      </c>
      <c r="C22" s="10" t="s">
        <v>37</v>
      </c>
      <c r="D22" s="11" t="s">
        <v>66</v>
      </c>
      <c r="E22" s="10">
        <v>2</v>
      </c>
      <c r="F22" s="10">
        <v>2</v>
      </c>
      <c r="G22" s="16"/>
    </row>
    <row r="23" customFormat="1" ht="22" customHeight="1" spans="1:7">
      <c r="A23" s="8">
        <v>21</v>
      </c>
      <c r="B23" s="9">
        <v>46093</v>
      </c>
      <c r="C23" s="10" t="s">
        <v>38</v>
      </c>
      <c r="D23" s="11" t="s">
        <v>66</v>
      </c>
      <c r="E23" s="12"/>
      <c r="F23" s="10">
        <v>4</v>
      </c>
      <c r="G23" s="16"/>
    </row>
    <row r="24" customFormat="1" ht="22" customHeight="1" spans="1:7">
      <c r="A24" s="8">
        <v>22</v>
      </c>
      <c r="B24" s="9">
        <v>46093</v>
      </c>
      <c r="C24" s="10" t="s">
        <v>39</v>
      </c>
      <c r="D24" s="11" t="s">
        <v>66</v>
      </c>
      <c r="E24" s="12"/>
      <c r="F24" s="10">
        <v>4</v>
      </c>
      <c r="G24" s="16"/>
    </row>
    <row r="25" customFormat="1" ht="22" customHeight="1" spans="1:7">
      <c r="A25" s="8">
        <v>23</v>
      </c>
      <c r="B25" s="9">
        <v>46093</v>
      </c>
      <c r="C25" s="10" t="s">
        <v>41</v>
      </c>
      <c r="D25" s="11" t="s">
        <v>66</v>
      </c>
      <c r="E25" s="12"/>
      <c r="F25" s="10">
        <v>4</v>
      </c>
      <c r="G25" s="10"/>
    </row>
    <row r="26" customFormat="1" ht="22" customHeight="1" spans="1:7">
      <c r="A26" s="8">
        <v>24</v>
      </c>
      <c r="B26" s="9">
        <v>46093</v>
      </c>
      <c r="C26" s="10" t="s">
        <v>41</v>
      </c>
      <c r="D26" s="11" t="s">
        <v>65</v>
      </c>
      <c r="E26" s="12"/>
      <c r="F26" s="10">
        <v>3</v>
      </c>
      <c r="G26" s="10" t="s">
        <v>68</v>
      </c>
    </row>
    <row r="27" customFormat="1" ht="22" customHeight="1" spans="1:7">
      <c r="A27" s="8"/>
      <c r="B27" s="9"/>
      <c r="C27" s="10"/>
      <c r="D27" s="11"/>
      <c r="E27" s="12"/>
      <c r="F27" s="10"/>
      <c r="G27" s="10"/>
    </row>
    <row r="28" customFormat="1" ht="22" customHeight="1" spans="1:7">
      <c r="A28" s="8"/>
      <c r="B28" s="46"/>
      <c r="C28" s="47"/>
      <c r="D28" s="48"/>
      <c r="E28" s="46"/>
      <c r="F28" s="46"/>
      <c r="G28" s="46"/>
    </row>
    <row r="29" customFormat="1" spans="1:7">
      <c r="E29" s="24">
        <f>SUM(E3:E28)</f>
        <v>26</v>
      </c>
      <c r="F29" s="24">
        <f>SUM(F3:F28)</f>
        <v>69</v>
      </c>
    </row>
    <row r="30" customFormat="1" spans="1:7">
      <c r="E30" s="24"/>
      <c r="F30" s="24"/>
    </row>
    <row r="31" customFormat="1"/>
    <row r="32" customFormat="1" spans="1:7">
      <c r="E32" s="24"/>
      <c r="F32" s="24"/>
    </row>
    <row r="33" customFormat="1" spans="5:6">
      <c r="E33" s="24"/>
      <c r="F33" s="24"/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opLeftCell="A7" workbookViewId="0">
      <selection activeCell="A1" sqref="$A1:$XFD1048576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61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50</v>
      </c>
      <c r="C2" s="5" t="s">
        <v>3</v>
      </c>
      <c r="D2" s="6" t="s">
        <v>62</v>
      </c>
      <c r="E2" s="7" t="s">
        <v>63</v>
      </c>
      <c r="F2" s="7" t="s">
        <v>64</v>
      </c>
      <c r="G2" s="7" t="s">
        <v>7</v>
      </c>
    </row>
    <row r="3" ht="22" customHeight="1" spans="1:7">
      <c r="A3" s="8">
        <v>1</v>
      </c>
      <c r="B3" s="9">
        <v>46097</v>
      </c>
      <c r="C3" s="10" t="s">
        <v>13</v>
      </c>
      <c r="D3" s="11" t="s">
        <v>65</v>
      </c>
      <c r="E3" s="12"/>
      <c r="F3" s="10">
        <v>3</v>
      </c>
      <c r="G3" s="13"/>
    </row>
    <row r="4" ht="22" customHeight="1" spans="1:7">
      <c r="A4" s="8">
        <v>2</v>
      </c>
      <c r="B4" s="9">
        <v>46097</v>
      </c>
      <c r="C4" s="10" t="s">
        <v>15</v>
      </c>
      <c r="D4" s="11" t="s">
        <v>65</v>
      </c>
      <c r="E4" s="12"/>
      <c r="F4" s="10">
        <v>3</v>
      </c>
      <c r="G4" s="14"/>
    </row>
    <row r="5" ht="22" customHeight="1" spans="1:7">
      <c r="A5" s="8">
        <v>3</v>
      </c>
      <c r="B5" s="9">
        <v>46097</v>
      </c>
      <c r="C5" s="10" t="s">
        <v>16</v>
      </c>
      <c r="D5" s="11" t="s">
        <v>65</v>
      </c>
      <c r="E5" s="10">
        <v>1</v>
      </c>
      <c r="F5" s="10">
        <v>2</v>
      </c>
      <c r="G5" s="14"/>
    </row>
    <row r="6" ht="22" customHeight="1" spans="1:7">
      <c r="A6" s="8">
        <v>4</v>
      </c>
      <c r="B6" s="9">
        <v>46097</v>
      </c>
      <c r="C6" s="10" t="s">
        <v>18</v>
      </c>
      <c r="D6" s="11" t="s">
        <v>65</v>
      </c>
      <c r="E6" s="12"/>
      <c r="F6" s="10">
        <v>3</v>
      </c>
      <c r="G6" s="14"/>
    </row>
    <row r="7" ht="22" customHeight="1" spans="1:7">
      <c r="A7" s="8">
        <v>5</v>
      </c>
      <c r="B7" s="9">
        <v>46097</v>
      </c>
      <c r="C7" s="10" t="s">
        <v>19</v>
      </c>
      <c r="D7" s="11" t="s">
        <v>65</v>
      </c>
      <c r="E7" s="10">
        <v>2</v>
      </c>
      <c r="F7" s="10">
        <v>1</v>
      </c>
      <c r="G7" s="10" t="s">
        <v>20</v>
      </c>
    </row>
    <row r="8" ht="22" customHeight="1" spans="1:7">
      <c r="A8" s="8">
        <v>6</v>
      </c>
      <c r="B8" s="9">
        <v>46097</v>
      </c>
      <c r="C8" s="10" t="s">
        <v>21</v>
      </c>
      <c r="D8" s="11" t="s">
        <v>65</v>
      </c>
      <c r="E8" s="10">
        <v>3</v>
      </c>
      <c r="F8" s="12"/>
      <c r="G8" s="12"/>
    </row>
    <row r="9" ht="22" customHeight="1" spans="1:7">
      <c r="A9" s="8">
        <v>7</v>
      </c>
      <c r="B9" s="9">
        <v>46097</v>
      </c>
      <c r="C9" s="10" t="s">
        <v>22</v>
      </c>
      <c r="D9" s="11" t="s">
        <v>65</v>
      </c>
      <c r="E9" s="12"/>
      <c r="F9" s="10">
        <v>3</v>
      </c>
      <c r="G9" s="12"/>
    </row>
    <row r="10" ht="22" customHeight="1" spans="1:7">
      <c r="A10" s="8">
        <v>8</v>
      </c>
      <c r="B10" s="9">
        <v>46097</v>
      </c>
      <c r="C10" s="10" t="s">
        <v>23</v>
      </c>
      <c r="D10" s="11" t="s">
        <v>65</v>
      </c>
      <c r="E10" s="12"/>
      <c r="F10" s="10">
        <v>3</v>
      </c>
      <c r="G10" s="12"/>
    </row>
    <row r="11" customFormat="1" ht="22" customHeight="1" spans="1:7">
      <c r="A11" s="8">
        <v>9</v>
      </c>
      <c r="B11" s="9">
        <v>46097</v>
      </c>
      <c r="C11" s="10" t="s">
        <v>24</v>
      </c>
      <c r="D11" s="11" t="s">
        <v>65</v>
      </c>
      <c r="E11" s="10">
        <v>3</v>
      </c>
      <c r="F11" s="12"/>
      <c r="G11" s="12"/>
    </row>
    <row r="12" customFormat="1" ht="22" customHeight="1" spans="1:7">
      <c r="A12" s="8">
        <v>10</v>
      </c>
      <c r="B12" s="9">
        <v>46097</v>
      </c>
      <c r="C12" s="10" t="s">
        <v>25</v>
      </c>
      <c r="D12" s="11" t="s">
        <v>65</v>
      </c>
      <c r="E12" s="10">
        <v>3</v>
      </c>
      <c r="F12" s="12"/>
      <c r="G12" s="12"/>
    </row>
    <row r="13" customFormat="1" ht="22" customHeight="1" spans="1:7">
      <c r="A13" s="8">
        <v>11</v>
      </c>
      <c r="B13" s="9">
        <v>46097</v>
      </c>
      <c r="C13" s="10" t="s">
        <v>26</v>
      </c>
      <c r="D13" s="11" t="s">
        <v>65</v>
      </c>
      <c r="E13" s="10">
        <v>1</v>
      </c>
      <c r="F13" s="10">
        <v>2</v>
      </c>
      <c r="G13" s="15" t="s">
        <v>69</v>
      </c>
    </row>
    <row r="14" customFormat="1" ht="22" customHeight="1" spans="1:7">
      <c r="A14" s="8">
        <v>12</v>
      </c>
      <c r="B14" s="9">
        <v>46097</v>
      </c>
      <c r="C14" s="10" t="s">
        <v>28</v>
      </c>
      <c r="D14" s="11" t="s">
        <v>65</v>
      </c>
      <c r="E14" s="12"/>
      <c r="F14" s="10">
        <v>3</v>
      </c>
      <c r="G14" s="12"/>
    </row>
    <row r="15" customFormat="1" ht="22" customHeight="1" spans="1:7">
      <c r="A15" s="8">
        <v>13</v>
      </c>
      <c r="B15" s="9">
        <v>46097</v>
      </c>
      <c r="C15" s="10" t="s">
        <v>29</v>
      </c>
      <c r="D15" s="11" t="s">
        <v>65</v>
      </c>
      <c r="E15" s="12"/>
      <c r="F15" s="10">
        <v>3</v>
      </c>
      <c r="G15" s="12"/>
    </row>
    <row r="16" customFormat="1" ht="22" customHeight="1" spans="1:7">
      <c r="A16" s="8">
        <v>14</v>
      </c>
      <c r="B16" s="9">
        <v>46097</v>
      </c>
      <c r="C16" s="10" t="s">
        <v>30</v>
      </c>
      <c r="D16" s="11" t="s">
        <v>65</v>
      </c>
      <c r="E16" s="10">
        <v>2</v>
      </c>
      <c r="F16" s="10">
        <v>1</v>
      </c>
      <c r="G16" s="12"/>
    </row>
    <row r="17" customFormat="1" ht="22" customHeight="1" spans="1:7">
      <c r="A17" s="8">
        <v>15</v>
      </c>
      <c r="B17" s="9">
        <v>46097</v>
      </c>
      <c r="C17" s="10" t="s">
        <v>31</v>
      </c>
      <c r="D17" s="11" t="s">
        <v>65</v>
      </c>
      <c r="E17" s="10">
        <v>2</v>
      </c>
      <c r="F17" s="10">
        <v>1</v>
      </c>
      <c r="G17" s="12"/>
    </row>
    <row r="18" customFormat="1" ht="22" customHeight="1" spans="1:7">
      <c r="A18" s="8">
        <v>16</v>
      </c>
      <c r="B18" s="9">
        <v>46097</v>
      </c>
      <c r="C18" s="10" t="s">
        <v>33</v>
      </c>
      <c r="D18" s="11" t="s">
        <v>65</v>
      </c>
      <c r="E18" s="10">
        <v>3</v>
      </c>
      <c r="F18" s="12"/>
      <c r="G18" s="10" t="s">
        <v>34</v>
      </c>
    </row>
    <row r="19" customFormat="1" ht="22" customHeight="1" spans="1:7">
      <c r="A19" s="8">
        <v>17</v>
      </c>
      <c r="B19" s="9">
        <v>46097</v>
      </c>
      <c r="C19" s="10" t="s">
        <v>40</v>
      </c>
      <c r="D19" s="11" t="s">
        <v>65</v>
      </c>
      <c r="E19" s="12"/>
      <c r="F19" s="10">
        <v>3</v>
      </c>
      <c r="G19" s="16"/>
    </row>
    <row r="20" customFormat="1" ht="22" customHeight="1" spans="1:7">
      <c r="A20" s="8">
        <v>18</v>
      </c>
      <c r="B20" s="9">
        <v>46097</v>
      </c>
      <c r="C20" s="10" t="s">
        <v>35</v>
      </c>
      <c r="D20" s="11" t="s">
        <v>65</v>
      </c>
      <c r="E20" s="12"/>
      <c r="F20" s="10">
        <v>3</v>
      </c>
      <c r="G20" s="16"/>
    </row>
    <row r="21" customFormat="1" ht="22" customHeight="1" spans="1:7">
      <c r="A21" s="8">
        <v>19</v>
      </c>
      <c r="B21" s="9">
        <v>46097</v>
      </c>
      <c r="C21" s="15" t="s">
        <v>36</v>
      </c>
      <c r="D21" s="11" t="s">
        <v>65</v>
      </c>
      <c r="E21" s="12"/>
      <c r="F21" s="10">
        <v>3</v>
      </c>
      <c r="G21" s="16"/>
    </row>
    <row r="22" customFormat="1" ht="22" customHeight="1" spans="1:7">
      <c r="A22" s="8">
        <v>20</v>
      </c>
      <c r="B22" s="9">
        <v>46097</v>
      </c>
      <c r="C22" s="10" t="s">
        <v>37</v>
      </c>
      <c r="D22" s="11" t="s">
        <v>65</v>
      </c>
      <c r="E22" s="10">
        <v>2</v>
      </c>
      <c r="F22" s="10">
        <v>1</v>
      </c>
      <c r="G22" s="16"/>
    </row>
    <row r="23" customFormat="1" ht="22" customHeight="1" spans="1:7">
      <c r="A23" s="8">
        <v>21</v>
      </c>
      <c r="B23" s="9">
        <v>46097</v>
      </c>
      <c r="C23" s="10" t="s">
        <v>38</v>
      </c>
      <c r="D23" s="11" t="s">
        <v>65</v>
      </c>
      <c r="E23" s="12"/>
      <c r="F23" s="10">
        <v>3</v>
      </c>
      <c r="G23" s="16"/>
    </row>
    <row r="24" customFormat="1" ht="22" customHeight="1" spans="1:7">
      <c r="A24" s="8">
        <v>22</v>
      </c>
      <c r="B24" s="9">
        <v>46097</v>
      </c>
      <c r="C24" s="10" t="s">
        <v>39</v>
      </c>
      <c r="D24" s="11" t="s">
        <v>65</v>
      </c>
      <c r="E24" s="12"/>
      <c r="F24" s="10">
        <v>3</v>
      </c>
      <c r="G24" s="16"/>
    </row>
    <row r="25" customFormat="1" ht="22" customHeight="1" spans="1:7">
      <c r="A25" s="8">
        <v>24</v>
      </c>
      <c r="B25" s="9">
        <v>46097</v>
      </c>
      <c r="C25" s="10" t="s">
        <v>41</v>
      </c>
      <c r="D25" s="11" t="s">
        <v>65</v>
      </c>
      <c r="E25" s="12"/>
      <c r="F25" s="10">
        <v>3</v>
      </c>
      <c r="G25" s="10"/>
    </row>
    <row r="26" customFormat="1" ht="22" customHeight="1" spans="1:7">
      <c r="A26" s="8">
        <v>26</v>
      </c>
      <c r="B26" s="9">
        <v>46097</v>
      </c>
      <c r="C26" s="10" t="s">
        <v>42</v>
      </c>
      <c r="D26" s="11" t="s">
        <v>65</v>
      </c>
      <c r="E26" s="23">
        <v>3</v>
      </c>
      <c r="F26" s="11"/>
      <c r="G26" s="11"/>
    </row>
    <row r="27" customFormat="1" ht="22" customHeight="1" spans="1:7">
      <c r="A27" s="8">
        <v>27</v>
      </c>
      <c r="B27" s="9">
        <v>46097</v>
      </c>
      <c r="C27" s="10" t="s">
        <v>42</v>
      </c>
      <c r="D27" s="11" t="s">
        <v>65</v>
      </c>
      <c r="E27" s="23">
        <v>3</v>
      </c>
      <c r="F27" s="11"/>
      <c r="G27" s="11" t="s">
        <v>68</v>
      </c>
    </row>
    <row r="28" customFormat="1" ht="22" customHeight="1" spans="1:7">
      <c r="A28" s="8"/>
      <c r="B28" s="22"/>
      <c r="C28" s="11"/>
      <c r="D28" s="11"/>
      <c r="E28" s="23"/>
      <c r="F28" s="11"/>
      <c r="G28" s="16"/>
    </row>
    <row r="29" spans="1:7">
      <c r="E29" s="24">
        <f>SUM(E3:E28)</f>
        <v>28</v>
      </c>
      <c r="F29" s="24">
        <f>SUM(F3:F28)</f>
        <v>47</v>
      </c>
    </row>
    <row r="31" spans="1:7">
      <c r="E31" s="24"/>
      <c r="F31" s="24"/>
    </row>
    <row r="33" spans="5:6">
      <c r="E33" s="24"/>
      <c r="F33" s="24"/>
    </row>
    <row r="34" spans="5:6">
      <c r="E34" s="24"/>
      <c r="F34" s="24"/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workbookViewId="0">
      <pane ySplit="2" topLeftCell="A9" activePane="bottomLeft" state="frozen"/>
      <selection/>
      <selection pane="bottomLeft" activeCell="F27" sqref="F27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9.5714285714286" customWidth="1"/>
  </cols>
  <sheetData>
    <row r="1" ht="38" customHeight="1" spans="1:7">
      <c r="A1" s="2" t="s">
        <v>61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50</v>
      </c>
      <c r="C2" s="5" t="s">
        <v>3</v>
      </c>
      <c r="D2" s="6" t="s">
        <v>62</v>
      </c>
      <c r="E2" s="7" t="s">
        <v>63</v>
      </c>
      <c r="F2" s="7" t="s">
        <v>64</v>
      </c>
      <c r="G2" s="7" t="s">
        <v>7</v>
      </c>
    </row>
    <row r="3" ht="22" customHeight="1" spans="1:7">
      <c r="A3" s="8">
        <v>1</v>
      </c>
      <c r="B3" s="9">
        <v>46100</v>
      </c>
      <c r="C3" s="10" t="s">
        <v>13</v>
      </c>
      <c r="D3" s="11" t="s">
        <v>66</v>
      </c>
      <c r="E3" s="12"/>
      <c r="F3" s="10">
        <v>4</v>
      </c>
      <c r="G3" s="13"/>
    </row>
    <row r="4" ht="22" customHeight="1" spans="1:7">
      <c r="A4" s="8">
        <v>2</v>
      </c>
      <c r="B4" s="9">
        <v>46100</v>
      </c>
      <c r="C4" s="10" t="s">
        <v>15</v>
      </c>
      <c r="D4" s="11" t="s">
        <v>66</v>
      </c>
      <c r="E4" s="12"/>
      <c r="F4" s="10">
        <v>4</v>
      </c>
      <c r="G4" s="14"/>
    </row>
    <row r="5" ht="22" customHeight="1" spans="1:7">
      <c r="A5" s="8">
        <v>3</v>
      </c>
      <c r="B5" s="9">
        <v>46100</v>
      </c>
      <c r="C5" s="10" t="s">
        <v>16</v>
      </c>
      <c r="D5" s="11" t="s">
        <v>66</v>
      </c>
      <c r="E5" s="10">
        <v>2</v>
      </c>
      <c r="F5" s="10">
        <v>2</v>
      </c>
      <c r="G5" s="14"/>
    </row>
    <row r="6" ht="22" customHeight="1" spans="1:7">
      <c r="A6" s="8">
        <v>4</v>
      </c>
      <c r="B6" s="9">
        <v>46100</v>
      </c>
      <c r="C6" s="10" t="s">
        <v>18</v>
      </c>
      <c r="D6" s="11" t="s">
        <v>66</v>
      </c>
      <c r="E6" s="12"/>
      <c r="F6" s="10">
        <v>4</v>
      </c>
      <c r="G6" s="14"/>
    </row>
    <row r="7" ht="22" customHeight="1" spans="1:7">
      <c r="A7" s="8">
        <v>5</v>
      </c>
      <c r="B7" s="9">
        <v>46100</v>
      </c>
      <c r="C7" s="10" t="s">
        <v>19</v>
      </c>
      <c r="D7" s="11" t="s">
        <v>66</v>
      </c>
      <c r="E7" s="10">
        <v>1</v>
      </c>
      <c r="F7" s="10">
        <v>3</v>
      </c>
      <c r="G7" s="10" t="s">
        <v>20</v>
      </c>
    </row>
    <row r="8" ht="22" customHeight="1" spans="1:7">
      <c r="A8" s="8">
        <v>6</v>
      </c>
      <c r="B8" s="9">
        <v>46100</v>
      </c>
      <c r="C8" s="10" t="s">
        <v>21</v>
      </c>
      <c r="D8" s="11" t="s">
        <v>66</v>
      </c>
      <c r="E8" s="10">
        <v>4</v>
      </c>
      <c r="F8" s="12"/>
      <c r="G8" s="12"/>
    </row>
    <row r="9" ht="22" customHeight="1" spans="1:7">
      <c r="A9" s="8">
        <v>7</v>
      </c>
      <c r="B9" s="9">
        <v>46100</v>
      </c>
      <c r="C9" s="10" t="s">
        <v>22</v>
      </c>
      <c r="D9" s="11" t="s">
        <v>66</v>
      </c>
      <c r="E9" s="12"/>
      <c r="F9" s="10">
        <v>4</v>
      </c>
      <c r="G9" s="12"/>
    </row>
    <row r="10" ht="22" customHeight="1" spans="1:7">
      <c r="A10" s="8">
        <v>8</v>
      </c>
      <c r="B10" s="9">
        <v>46100</v>
      </c>
      <c r="C10" s="10" t="s">
        <v>23</v>
      </c>
      <c r="D10" s="11" t="s">
        <v>66</v>
      </c>
      <c r="E10" s="12"/>
      <c r="F10" s="10">
        <v>4</v>
      </c>
      <c r="G10" s="12"/>
    </row>
    <row r="11" customFormat="1" ht="22" customHeight="1" spans="1:7">
      <c r="A11" s="8">
        <v>9</v>
      </c>
      <c r="B11" s="9">
        <v>46100</v>
      </c>
      <c r="C11" s="10" t="s">
        <v>24</v>
      </c>
      <c r="D11" s="11" t="s">
        <v>66</v>
      </c>
      <c r="E11" s="10">
        <v>4</v>
      </c>
      <c r="F11" s="12"/>
      <c r="G11" s="12"/>
    </row>
    <row r="12" customFormat="1" ht="22" customHeight="1" spans="1:7">
      <c r="A12" s="8">
        <v>10</v>
      </c>
      <c r="B12" s="9">
        <v>46100</v>
      </c>
      <c r="C12" s="10" t="s">
        <v>25</v>
      </c>
      <c r="D12" s="11" t="s">
        <v>66</v>
      </c>
      <c r="E12" s="10">
        <v>4</v>
      </c>
      <c r="F12" s="12"/>
      <c r="G12" s="12"/>
    </row>
    <row r="13" customFormat="1" ht="22" customHeight="1" spans="1:7">
      <c r="A13" s="8">
        <v>11</v>
      </c>
      <c r="B13" s="9">
        <v>46100</v>
      </c>
      <c r="C13" s="10" t="s">
        <v>26</v>
      </c>
      <c r="D13" s="11" t="s">
        <v>66</v>
      </c>
      <c r="E13" s="10">
        <v>1</v>
      </c>
      <c r="F13" s="10">
        <v>3</v>
      </c>
      <c r="G13" s="15" t="s">
        <v>67</v>
      </c>
    </row>
    <row r="14" customFormat="1" ht="22" customHeight="1" spans="1:7">
      <c r="A14" s="8">
        <v>12</v>
      </c>
      <c r="B14" s="9">
        <v>46100</v>
      </c>
      <c r="C14" s="10" t="s">
        <v>28</v>
      </c>
      <c r="D14" s="11" t="s">
        <v>66</v>
      </c>
      <c r="E14" s="12"/>
      <c r="F14" s="10">
        <v>4</v>
      </c>
      <c r="G14" s="12"/>
    </row>
    <row r="15" customFormat="1" ht="22" customHeight="1" spans="1:7">
      <c r="A15" s="8">
        <v>13</v>
      </c>
      <c r="B15" s="9">
        <v>46100</v>
      </c>
      <c r="C15" s="10" t="s">
        <v>29</v>
      </c>
      <c r="D15" s="11" t="s">
        <v>66</v>
      </c>
      <c r="E15" s="12"/>
      <c r="F15" s="10">
        <v>4</v>
      </c>
      <c r="G15" s="12"/>
    </row>
    <row r="16" customFormat="1" ht="22" customHeight="1" spans="1:7">
      <c r="A16" s="8">
        <v>14</v>
      </c>
      <c r="B16" s="9">
        <v>46100</v>
      </c>
      <c r="C16" s="10" t="s">
        <v>30</v>
      </c>
      <c r="D16" s="11" t="s">
        <v>66</v>
      </c>
      <c r="E16" s="10">
        <v>2</v>
      </c>
      <c r="F16" s="10">
        <v>2</v>
      </c>
      <c r="G16" s="12"/>
    </row>
    <row r="17" customFormat="1" ht="22" customHeight="1" spans="1:7">
      <c r="A17" s="8">
        <v>15</v>
      </c>
      <c r="B17" s="9">
        <v>46100</v>
      </c>
      <c r="C17" s="10" t="s">
        <v>31</v>
      </c>
      <c r="D17" s="11" t="s">
        <v>66</v>
      </c>
      <c r="E17" s="10">
        <v>2</v>
      </c>
      <c r="F17" s="10">
        <v>2</v>
      </c>
      <c r="G17" s="12"/>
    </row>
    <row r="18" customFormat="1" ht="22" customHeight="1" spans="1:7">
      <c r="A18" s="8">
        <v>16</v>
      </c>
      <c r="B18" s="9">
        <v>46100</v>
      </c>
      <c r="C18" s="10" t="s">
        <v>33</v>
      </c>
      <c r="D18" s="11" t="s">
        <v>66</v>
      </c>
      <c r="E18" s="10">
        <v>4</v>
      </c>
      <c r="F18" s="12"/>
      <c r="G18" s="10" t="s">
        <v>34</v>
      </c>
    </row>
    <row r="19" customFormat="1" ht="22" customHeight="1" spans="1:7">
      <c r="A19" s="8">
        <v>17</v>
      </c>
      <c r="B19" s="9">
        <v>46100</v>
      </c>
      <c r="C19" s="10" t="s">
        <v>40</v>
      </c>
      <c r="D19" s="11" t="s">
        <v>66</v>
      </c>
      <c r="E19" s="12"/>
      <c r="F19" s="10">
        <v>4</v>
      </c>
      <c r="G19" s="16"/>
    </row>
    <row r="20" customFormat="1" ht="22" customHeight="1" spans="1:7">
      <c r="A20" s="8">
        <v>18</v>
      </c>
      <c r="B20" s="9">
        <v>46100</v>
      </c>
      <c r="C20" s="10" t="s">
        <v>35</v>
      </c>
      <c r="D20" s="11" t="s">
        <v>66</v>
      </c>
      <c r="E20" s="12"/>
      <c r="F20" s="10">
        <v>4</v>
      </c>
      <c r="G20" s="16"/>
    </row>
    <row r="21" customFormat="1" ht="22" customHeight="1" spans="1:7">
      <c r="A21" s="8">
        <v>19</v>
      </c>
      <c r="B21" s="9">
        <v>46100</v>
      </c>
      <c r="C21" s="15" t="s">
        <v>36</v>
      </c>
      <c r="D21" s="11" t="s">
        <v>66</v>
      </c>
      <c r="E21" s="12"/>
      <c r="F21" s="10">
        <v>4</v>
      </c>
      <c r="G21" s="16"/>
    </row>
    <row r="22" customFormat="1" ht="22" customHeight="1" spans="1:7">
      <c r="A22" s="8">
        <v>20</v>
      </c>
      <c r="B22" s="9">
        <v>46100</v>
      </c>
      <c r="C22" s="10" t="s">
        <v>37</v>
      </c>
      <c r="D22" s="11" t="s">
        <v>66</v>
      </c>
      <c r="E22" s="10">
        <v>2</v>
      </c>
      <c r="F22" s="10">
        <v>2</v>
      </c>
      <c r="G22" s="16"/>
    </row>
    <row r="23" customFormat="1" ht="22" customHeight="1" spans="1:7">
      <c r="A23" s="8">
        <v>21</v>
      </c>
      <c r="B23" s="9">
        <v>46100</v>
      </c>
      <c r="C23" s="10" t="s">
        <v>38</v>
      </c>
      <c r="D23" s="11" t="s">
        <v>66</v>
      </c>
      <c r="E23" s="12"/>
      <c r="F23" s="10">
        <v>4</v>
      </c>
      <c r="G23" s="16"/>
    </row>
    <row r="24" customFormat="1" ht="22" customHeight="1" spans="1:7">
      <c r="A24" s="8">
        <v>22</v>
      </c>
      <c r="B24" s="9">
        <v>46100</v>
      </c>
      <c r="C24" s="10" t="s">
        <v>39</v>
      </c>
      <c r="D24" s="11" t="s">
        <v>66</v>
      </c>
      <c r="E24" s="12"/>
      <c r="F24" s="10">
        <v>4</v>
      </c>
      <c r="G24" s="16"/>
    </row>
    <row r="25" customFormat="1" ht="22" customHeight="1" spans="1:7">
      <c r="A25" s="8">
        <v>23</v>
      </c>
      <c r="B25" s="9">
        <v>46100</v>
      </c>
      <c r="C25" s="10" t="s">
        <v>41</v>
      </c>
      <c r="D25" s="11" t="s">
        <v>66</v>
      </c>
      <c r="E25" s="12"/>
      <c r="F25" s="10">
        <v>4</v>
      </c>
      <c r="G25" s="10"/>
    </row>
    <row r="26" customFormat="1" ht="22" customHeight="1" spans="1:7">
      <c r="A26" s="8">
        <v>24</v>
      </c>
      <c r="B26" s="9">
        <v>46100</v>
      </c>
      <c r="C26" s="10" t="s">
        <v>42</v>
      </c>
      <c r="D26" s="11" t="s">
        <v>66</v>
      </c>
      <c r="E26" s="12">
        <v>4</v>
      </c>
      <c r="F26" s="10"/>
      <c r="G26" s="16"/>
    </row>
    <row r="27" customFormat="1" ht="22" customHeight="1" spans="1:7">
      <c r="A27" s="8">
        <v>25</v>
      </c>
      <c r="B27" s="9">
        <v>46100</v>
      </c>
      <c r="C27" s="10" t="s">
        <v>42</v>
      </c>
      <c r="D27" s="11" t="s">
        <v>66</v>
      </c>
      <c r="E27" s="12">
        <v>4</v>
      </c>
      <c r="F27" s="10"/>
      <c r="G27" s="16" t="s">
        <v>68</v>
      </c>
    </row>
    <row r="28" customFormat="1" ht="22" customHeight="1" spans="1:7">
      <c r="A28" s="8"/>
      <c r="B28" s="46"/>
      <c r="C28" s="47"/>
      <c r="D28" s="48"/>
      <c r="E28" s="46"/>
      <c r="F28" s="46"/>
      <c r="G28" s="46"/>
    </row>
    <row r="29" customFormat="1" spans="1:7">
      <c r="E29" s="24">
        <f>SUM(E3:E28)</f>
        <v>34</v>
      </c>
      <c r="F29" s="24">
        <f>SUM(F3:F28)</f>
        <v>66</v>
      </c>
    </row>
    <row r="31" customFormat="1" spans="1:7">
      <c r="E31" s="24"/>
      <c r="F31" s="24"/>
    </row>
    <row r="33" customFormat="1" spans="5:6">
      <c r="E33" s="24"/>
      <c r="F33" s="24"/>
    </row>
    <row r="34" customFormat="1" spans="5:6">
      <c r="E34" s="24"/>
      <c r="F34" s="24"/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topLeftCell="A9" workbookViewId="0">
      <selection activeCell="G7" sqref="D7:G7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8.5714285714286" customWidth="1"/>
    <col min="8" max="8" width="16.2857142857143" customWidth="1"/>
  </cols>
  <sheetData>
    <row r="1" ht="38" customHeight="1" spans="1:9">
      <c r="A1" s="2" t="s">
        <v>61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50</v>
      </c>
      <c r="C2" s="5" t="s">
        <v>3</v>
      </c>
      <c r="D2" s="6" t="s">
        <v>62</v>
      </c>
      <c r="E2" s="7" t="s">
        <v>63</v>
      </c>
      <c r="F2" s="7" t="s">
        <v>64</v>
      </c>
      <c r="G2" s="7" t="s">
        <v>7</v>
      </c>
    </row>
    <row r="3" ht="22" customHeight="1" spans="1:9">
      <c r="A3" s="8">
        <v>1</v>
      </c>
      <c r="B3" s="9">
        <v>46104</v>
      </c>
      <c r="C3" s="10" t="s">
        <v>13</v>
      </c>
      <c r="D3" s="11" t="s">
        <v>65</v>
      </c>
      <c r="E3" s="12"/>
      <c r="F3" s="10">
        <v>3</v>
      </c>
      <c r="G3" s="13"/>
      <c r="I3">
        <f t="shared" ref="I3:I29" si="0">SUM(E3:F3)</f>
        <v>3</v>
      </c>
    </row>
    <row r="4" ht="22" customHeight="1" spans="1:9">
      <c r="A4" s="8">
        <v>2</v>
      </c>
      <c r="B4" s="9">
        <v>46104</v>
      </c>
      <c r="C4" s="10" t="s">
        <v>15</v>
      </c>
      <c r="D4" s="11" t="s">
        <v>65</v>
      </c>
      <c r="E4" s="12"/>
      <c r="F4" s="10">
        <v>3</v>
      </c>
      <c r="G4" s="14"/>
      <c r="I4">
        <f t="shared" si="0"/>
        <v>3</v>
      </c>
    </row>
    <row r="5" ht="22" customHeight="1" spans="1:9">
      <c r="A5" s="8">
        <v>3</v>
      </c>
      <c r="B5" s="9">
        <v>46104</v>
      </c>
      <c r="C5" s="10" t="s">
        <v>16</v>
      </c>
      <c r="D5" s="11" t="s">
        <v>65</v>
      </c>
      <c r="E5" s="10">
        <v>1</v>
      </c>
      <c r="F5" s="10">
        <v>2</v>
      </c>
      <c r="G5" s="14"/>
      <c r="I5">
        <f t="shared" si="0"/>
        <v>3</v>
      </c>
    </row>
    <row r="6" ht="22" customHeight="1" spans="1:9">
      <c r="A6" s="8">
        <v>4</v>
      </c>
      <c r="B6" s="9">
        <v>46104</v>
      </c>
      <c r="C6" s="10" t="s">
        <v>18</v>
      </c>
      <c r="D6" s="11" t="s">
        <v>65</v>
      </c>
      <c r="E6" s="12"/>
      <c r="F6" s="10">
        <v>3</v>
      </c>
      <c r="G6" s="14"/>
      <c r="I6">
        <f t="shared" si="0"/>
        <v>3</v>
      </c>
    </row>
    <row r="7" ht="22" customHeight="1" spans="1:9">
      <c r="A7" s="8">
        <v>5</v>
      </c>
      <c r="B7" s="9">
        <v>46104</v>
      </c>
      <c r="C7" s="10" t="s">
        <v>19</v>
      </c>
      <c r="D7" s="11" t="s">
        <v>65</v>
      </c>
      <c r="E7" s="10">
        <v>2</v>
      </c>
      <c r="F7" s="10">
        <v>1</v>
      </c>
      <c r="G7" s="10" t="s">
        <v>20</v>
      </c>
      <c r="I7">
        <f t="shared" si="0"/>
        <v>3</v>
      </c>
    </row>
    <row r="8" ht="22" customHeight="1" spans="1:9">
      <c r="A8" s="8">
        <v>6</v>
      </c>
      <c r="B8" s="9">
        <v>46104</v>
      </c>
      <c r="C8" s="10" t="s">
        <v>21</v>
      </c>
      <c r="D8" s="11" t="s">
        <v>65</v>
      </c>
      <c r="E8" s="10">
        <v>3</v>
      </c>
      <c r="F8" s="12"/>
      <c r="G8" s="12"/>
      <c r="I8">
        <f t="shared" si="0"/>
        <v>3</v>
      </c>
    </row>
    <row r="9" ht="22" customHeight="1" spans="1:9">
      <c r="A9" s="8">
        <v>7</v>
      </c>
      <c r="B9" s="9">
        <v>46104</v>
      </c>
      <c r="C9" s="10" t="s">
        <v>22</v>
      </c>
      <c r="D9" s="11" t="s">
        <v>65</v>
      </c>
      <c r="E9" s="12"/>
      <c r="F9" s="10">
        <v>3</v>
      </c>
      <c r="G9" s="12"/>
      <c r="I9">
        <f t="shared" si="0"/>
        <v>3</v>
      </c>
    </row>
    <row r="10" ht="22" customHeight="1" spans="1:9">
      <c r="A10" s="8">
        <v>8</v>
      </c>
      <c r="B10" s="9">
        <v>46104</v>
      </c>
      <c r="C10" s="10" t="s">
        <v>23</v>
      </c>
      <c r="D10" s="11" t="s">
        <v>65</v>
      </c>
      <c r="E10" s="12"/>
      <c r="F10" s="10">
        <v>3</v>
      </c>
      <c r="G10" s="12"/>
      <c r="I10">
        <f t="shared" si="0"/>
        <v>3</v>
      </c>
    </row>
    <row r="11" customFormat="1" ht="22" customHeight="1" spans="1:9">
      <c r="A11" s="8">
        <v>9</v>
      </c>
      <c r="B11" s="9">
        <v>46104</v>
      </c>
      <c r="C11" s="10" t="s">
        <v>24</v>
      </c>
      <c r="D11" s="11" t="s">
        <v>65</v>
      </c>
      <c r="E11" s="10">
        <v>3</v>
      </c>
      <c r="F11" s="12"/>
      <c r="G11" s="12"/>
      <c r="I11">
        <f t="shared" si="0"/>
        <v>3</v>
      </c>
    </row>
    <row r="12" customFormat="1" ht="22" customHeight="1" spans="1:9">
      <c r="A12" s="8">
        <v>10</v>
      </c>
      <c r="B12" s="9">
        <v>46104</v>
      </c>
      <c r="C12" s="10" t="s">
        <v>25</v>
      </c>
      <c r="D12" s="11" t="s">
        <v>65</v>
      </c>
      <c r="E12" s="10">
        <v>3</v>
      </c>
      <c r="F12" s="12"/>
      <c r="G12" s="12"/>
      <c r="I12">
        <f t="shared" si="0"/>
        <v>3</v>
      </c>
    </row>
    <row r="13" customFormat="1" ht="22" customHeight="1" spans="1:9">
      <c r="A13" s="8">
        <v>11</v>
      </c>
      <c r="B13" s="9">
        <v>46104</v>
      </c>
      <c r="C13" s="10" t="s">
        <v>26</v>
      </c>
      <c r="D13" s="11" t="s">
        <v>65</v>
      </c>
      <c r="E13" s="10">
        <v>2</v>
      </c>
      <c r="F13" s="10">
        <v>1</v>
      </c>
      <c r="G13" s="15" t="s">
        <v>20</v>
      </c>
      <c r="I13">
        <f t="shared" si="0"/>
        <v>3</v>
      </c>
    </row>
    <row r="14" customFormat="1" ht="22" customHeight="1" spans="1:9">
      <c r="A14" s="8">
        <v>12</v>
      </c>
      <c r="B14" s="9">
        <v>46104</v>
      </c>
      <c r="C14" s="10" t="s">
        <v>28</v>
      </c>
      <c r="D14" s="11" t="s">
        <v>65</v>
      </c>
      <c r="E14" s="12"/>
      <c r="F14" s="10">
        <v>3</v>
      </c>
      <c r="G14" s="12"/>
      <c r="I14">
        <f t="shared" si="0"/>
        <v>3</v>
      </c>
    </row>
    <row r="15" customFormat="1" ht="22" customHeight="1" spans="1:9">
      <c r="A15" s="8">
        <v>13</v>
      </c>
      <c r="B15" s="9">
        <v>46104</v>
      </c>
      <c r="C15" s="10" t="s">
        <v>29</v>
      </c>
      <c r="D15" s="11" t="s">
        <v>65</v>
      </c>
      <c r="E15" s="12"/>
      <c r="F15" s="10">
        <v>3</v>
      </c>
      <c r="G15" s="12"/>
      <c r="I15">
        <f t="shared" si="0"/>
        <v>3</v>
      </c>
    </row>
    <row r="16" customFormat="1" ht="22" customHeight="1" spans="1:9">
      <c r="A16" s="8">
        <v>14</v>
      </c>
      <c r="B16" s="9">
        <v>46104</v>
      </c>
      <c r="C16" s="10" t="s">
        <v>30</v>
      </c>
      <c r="D16" s="11" t="s">
        <v>65</v>
      </c>
      <c r="E16" s="10">
        <v>2</v>
      </c>
      <c r="F16" s="10">
        <v>1</v>
      </c>
      <c r="G16" s="12"/>
      <c r="I16">
        <f t="shared" si="0"/>
        <v>3</v>
      </c>
    </row>
    <row r="17" customFormat="1" ht="22" customHeight="1" spans="1:9">
      <c r="A17" s="8">
        <v>15</v>
      </c>
      <c r="B17" s="9">
        <v>46104</v>
      </c>
      <c r="C17" s="10" t="s">
        <v>31</v>
      </c>
      <c r="D17" s="11" t="s">
        <v>65</v>
      </c>
      <c r="E17" s="10"/>
      <c r="F17" s="10">
        <v>3</v>
      </c>
      <c r="G17" s="12" t="s">
        <v>70</v>
      </c>
      <c r="I17">
        <f t="shared" si="0"/>
        <v>3</v>
      </c>
    </row>
    <row r="18" customFormat="1" ht="22" customHeight="1" spans="1:9">
      <c r="A18" s="8">
        <v>16</v>
      </c>
      <c r="B18" s="9">
        <v>46104</v>
      </c>
      <c r="C18" s="10" t="s">
        <v>33</v>
      </c>
      <c r="D18" s="11" t="s">
        <v>65</v>
      </c>
      <c r="E18" s="10">
        <v>3</v>
      </c>
      <c r="F18" s="12"/>
      <c r="G18" s="10" t="s">
        <v>34</v>
      </c>
      <c r="I18">
        <f t="shared" si="0"/>
        <v>3</v>
      </c>
    </row>
    <row r="19" customFormat="1" ht="22" customHeight="1" spans="1:9">
      <c r="A19" s="8">
        <v>17</v>
      </c>
      <c r="B19" s="9">
        <v>46104</v>
      </c>
      <c r="C19" s="10" t="s">
        <v>40</v>
      </c>
      <c r="D19" s="11" t="s">
        <v>65</v>
      </c>
      <c r="E19" s="12"/>
      <c r="F19" s="10">
        <v>3</v>
      </c>
      <c r="G19" s="16"/>
      <c r="I19">
        <f t="shared" si="0"/>
        <v>3</v>
      </c>
    </row>
    <row r="20" customFormat="1" ht="22" customHeight="1" spans="1:9">
      <c r="A20" s="8">
        <v>18</v>
      </c>
      <c r="B20" s="9">
        <v>46104</v>
      </c>
      <c r="C20" s="10" t="s">
        <v>35</v>
      </c>
      <c r="D20" s="11" t="s">
        <v>65</v>
      </c>
      <c r="E20" s="12"/>
      <c r="F20" s="10">
        <v>3</v>
      </c>
      <c r="G20" s="16"/>
      <c r="I20">
        <f t="shared" si="0"/>
        <v>3</v>
      </c>
    </row>
    <row r="21" customFormat="1" ht="22" customHeight="1" spans="1:9">
      <c r="A21" s="8">
        <v>19</v>
      </c>
      <c r="B21" s="9">
        <v>46104</v>
      </c>
      <c r="C21" s="15" t="s">
        <v>36</v>
      </c>
      <c r="D21" s="11" t="s">
        <v>65</v>
      </c>
      <c r="E21" s="12"/>
      <c r="F21" s="10">
        <v>3</v>
      </c>
      <c r="G21" s="16"/>
      <c r="I21">
        <f t="shared" si="0"/>
        <v>3</v>
      </c>
    </row>
    <row r="22" customFormat="1" ht="22" customHeight="1" spans="1:9">
      <c r="A22" s="8">
        <v>20</v>
      </c>
      <c r="B22" s="9">
        <v>46104</v>
      </c>
      <c r="C22" s="10" t="s">
        <v>58</v>
      </c>
      <c r="D22" s="11" t="s">
        <v>65</v>
      </c>
      <c r="E22" s="10">
        <v>2</v>
      </c>
      <c r="F22" s="10">
        <v>1</v>
      </c>
      <c r="G22" s="16"/>
      <c r="H22" s="17" t="s">
        <v>71</v>
      </c>
      <c r="I22">
        <f t="shared" si="0"/>
        <v>3</v>
      </c>
    </row>
    <row r="23" customFormat="1" ht="22" customHeight="1" spans="1:9">
      <c r="A23" s="8">
        <v>21</v>
      </c>
      <c r="B23" s="9">
        <v>46104</v>
      </c>
      <c r="C23" s="10" t="s">
        <v>38</v>
      </c>
      <c r="D23" s="11" t="s">
        <v>65</v>
      </c>
      <c r="E23" s="12"/>
      <c r="F23" s="10">
        <v>3</v>
      </c>
      <c r="G23" s="16"/>
      <c r="I23">
        <f t="shared" si="0"/>
        <v>3</v>
      </c>
    </row>
    <row r="24" customFormat="1" ht="22" customHeight="1" spans="1:9">
      <c r="A24" s="8">
        <v>22</v>
      </c>
      <c r="B24" s="9">
        <v>46104</v>
      </c>
      <c r="C24" s="10" t="s">
        <v>39</v>
      </c>
      <c r="D24" s="11" t="s">
        <v>65</v>
      </c>
      <c r="E24" s="12"/>
      <c r="F24" s="10">
        <v>3</v>
      </c>
      <c r="G24" s="16"/>
      <c r="I24">
        <f t="shared" si="0"/>
        <v>3</v>
      </c>
    </row>
    <row r="25" customFormat="1" ht="22" customHeight="1" spans="1:9">
      <c r="A25" s="8">
        <v>23</v>
      </c>
      <c r="B25" s="9">
        <v>46104</v>
      </c>
      <c r="C25" s="10" t="s">
        <v>41</v>
      </c>
      <c r="D25" s="11" t="s">
        <v>65</v>
      </c>
      <c r="E25" s="12"/>
      <c r="F25" s="10">
        <v>3</v>
      </c>
      <c r="G25" s="10"/>
      <c r="I25">
        <f t="shared" si="0"/>
        <v>3</v>
      </c>
    </row>
    <row r="26" customFormat="1" ht="22" customHeight="1" spans="1:9">
      <c r="A26" s="8">
        <v>24</v>
      </c>
      <c r="B26" s="9">
        <v>46104</v>
      </c>
      <c r="C26" s="10" t="s">
        <v>42</v>
      </c>
      <c r="D26" s="11" t="s">
        <v>65</v>
      </c>
      <c r="E26" s="23">
        <v>3</v>
      </c>
      <c r="F26" s="11"/>
      <c r="G26" s="11"/>
      <c r="I26">
        <f t="shared" si="0"/>
        <v>3</v>
      </c>
    </row>
    <row r="27" customFormat="1" ht="22" customHeight="1" spans="1:9">
      <c r="A27" s="8">
        <v>25</v>
      </c>
      <c r="B27" s="9">
        <v>46104</v>
      </c>
      <c r="C27" s="11" t="s">
        <v>44</v>
      </c>
      <c r="D27" s="11" t="s">
        <v>65</v>
      </c>
      <c r="E27" s="23">
        <v>3</v>
      </c>
      <c r="F27" s="11"/>
      <c r="G27" s="11"/>
      <c r="I27">
        <f t="shared" si="0"/>
        <v>3</v>
      </c>
    </row>
    <row r="28" customFormat="1" ht="22" customHeight="1" spans="1:9">
      <c r="A28" s="8">
        <v>26</v>
      </c>
      <c r="B28" s="9">
        <v>46104</v>
      </c>
      <c r="C28" s="11" t="s">
        <v>44</v>
      </c>
      <c r="D28" s="11" t="s">
        <v>65</v>
      </c>
      <c r="E28" s="23">
        <v>3</v>
      </c>
      <c r="F28" s="11"/>
      <c r="G28" s="11" t="s">
        <v>72</v>
      </c>
      <c r="I28">
        <f t="shared" si="0"/>
        <v>3</v>
      </c>
    </row>
    <row r="29" customFormat="1" ht="22" customHeight="1" spans="1:9">
      <c r="A29" s="8">
        <v>27</v>
      </c>
      <c r="B29" s="9">
        <v>46104</v>
      </c>
      <c r="C29" s="10" t="s">
        <v>31</v>
      </c>
      <c r="D29" s="11"/>
      <c r="E29" s="23"/>
      <c r="F29" s="23">
        <v>2</v>
      </c>
      <c r="G29" s="11" t="s">
        <v>72</v>
      </c>
      <c r="I29">
        <f t="shared" si="0"/>
        <v>2</v>
      </c>
    </row>
    <row r="30" customFormat="1" ht="22" customHeight="1" spans="1:9">
      <c r="A30" s="8"/>
      <c r="B30" s="22"/>
      <c r="C30" s="11"/>
      <c r="D30" s="11"/>
      <c r="E30" s="23"/>
      <c r="F30" s="11"/>
      <c r="G30" s="16"/>
    </row>
    <row r="31" customFormat="1" spans="1:9">
      <c r="E31" s="24">
        <f>SUM(E3:E30)</f>
        <v>30</v>
      </c>
      <c r="F31" s="24">
        <f>SUM(F3:F30)</f>
        <v>50</v>
      </c>
    </row>
    <row r="33" customFormat="1" spans="5:6">
      <c r="E33" s="24"/>
      <c r="F33" s="24"/>
    </row>
    <row r="35" customFormat="1" spans="5:6">
      <c r="E35" s="24"/>
      <c r="F35" s="24"/>
    </row>
    <row r="36" customFormat="1" spans="5:6">
      <c r="E36" s="24"/>
      <c r="F36" s="24"/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topLeftCell="A11" workbookViewId="0">
      <selection activeCell="E27" sqref="E27:F27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8.5714285714286" customWidth="1"/>
  </cols>
  <sheetData>
    <row r="1" ht="38" customHeight="1" spans="1:9">
      <c r="A1" s="2" t="s">
        <v>61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50</v>
      </c>
      <c r="C2" s="5" t="s">
        <v>3</v>
      </c>
      <c r="D2" s="6" t="s">
        <v>62</v>
      </c>
      <c r="E2" s="7" t="s">
        <v>63</v>
      </c>
      <c r="F2" s="7" t="s">
        <v>64</v>
      </c>
      <c r="G2" s="7" t="s">
        <v>7</v>
      </c>
    </row>
    <row r="3" ht="22" customHeight="1" spans="1:9">
      <c r="A3" s="8">
        <v>1</v>
      </c>
      <c r="B3" s="9">
        <v>46107</v>
      </c>
      <c r="C3" s="10" t="s">
        <v>13</v>
      </c>
      <c r="D3" s="11" t="s">
        <v>66</v>
      </c>
      <c r="E3" s="12"/>
      <c r="F3" s="10">
        <v>4</v>
      </c>
      <c r="G3" s="13"/>
      <c r="I3">
        <f t="shared" ref="I3:I29" si="0">SUM(E3:F3)</f>
        <v>4</v>
      </c>
    </row>
    <row r="4" ht="22" customHeight="1" spans="1:9">
      <c r="A4" s="8">
        <v>2</v>
      </c>
      <c r="B4" s="9">
        <v>46107</v>
      </c>
      <c r="C4" s="10" t="s">
        <v>15</v>
      </c>
      <c r="D4" s="11" t="s">
        <v>66</v>
      </c>
      <c r="E4" s="12"/>
      <c r="F4" s="10">
        <v>4</v>
      </c>
      <c r="G4" s="14"/>
      <c r="I4">
        <f t="shared" si="0"/>
        <v>4</v>
      </c>
    </row>
    <row r="5" ht="22" customHeight="1" spans="1:9">
      <c r="A5" s="8">
        <v>3</v>
      </c>
      <c r="B5" s="9">
        <v>46107</v>
      </c>
      <c r="C5" s="10" t="s">
        <v>16</v>
      </c>
      <c r="D5" s="11" t="s">
        <v>66</v>
      </c>
      <c r="E5" s="10">
        <v>2</v>
      </c>
      <c r="F5" s="10">
        <v>2</v>
      </c>
      <c r="G5" s="14"/>
      <c r="I5">
        <f t="shared" si="0"/>
        <v>4</v>
      </c>
    </row>
    <row r="6" ht="22" customHeight="1" spans="1:9">
      <c r="A6" s="8">
        <v>4</v>
      </c>
      <c r="B6" s="9">
        <v>46107</v>
      </c>
      <c r="C6" s="10" t="s">
        <v>18</v>
      </c>
      <c r="D6" s="11" t="s">
        <v>66</v>
      </c>
      <c r="E6" s="12"/>
      <c r="F6" s="10">
        <v>4</v>
      </c>
      <c r="G6" s="14"/>
      <c r="I6">
        <f t="shared" si="0"/>
        <v>4</v>
      </c>
    </row>
    <row r="7" ht="22" customHeight="1" spans="1:9">
      <c r="A7" s="8">
        <v>5</v>
      </c>
      <c r="B7" s="9">
        <v>46107</v>
      </c>
      <c r="C7" s="10" t="s">
        <v>19</v>
      </c>
      <c r="D7" s="11" t="s">
        <v>66</v>
      </c>
      <c r="E7" s="10">
        <v>2</v>
      </c>
      <c r="F7" s="10">
        <v>2</v>
      </c>
      <c r="G7" s="10" t="s">
        <v>20</v>
      </c>
      <c r="I7">
        <f t="shared" si="0"/>
        <v>4</v>
      </c>
    </row>
    <row r="8" ht="22" customHeight="1" spans="1:9">
      <c r="A8" s="8">
        <v>6</v>
      </c>
      <c r="B8" s="9">
        <v>46107</v>
      </c>
      <c r="C8" s="10" t="s">
        <v>21</v>
      </c>
      <c r="D8" s="11" t="s">
        <v>66</v>
      </c>
      <c r="E8" s="10">
        <v>4</v>
      </c>
      <c r="F8" s="12"/>
      <c r="G8" s="12"/>
      <c r="I8">
        <f t="shared" si="0"/>
        <v>4</v>
      </c>
    </row>
    <row r="9" ht="22" customHeight="1" spans="1:9">
      <c r="A9" s="8">
        <v>7</v>
      </c>
      <c r="B9" s="9">
        <v>46107</v>
      </c>
      <c r="C9" s="10" t="s">
        <v>22</v>
      </c>
      <c r="D9" s="11" t="s">
        <v>66</v>
      </c>
      <c r="E9" s="12"/>
      <c r="F9" s="10">
        <v>4</v>
      </c>
      <c r="G9" s="12"/>
      <c r="I9">
        <f t="shared" si="0"/>
        <v>4</v>
      </c>
    </row>
    <row r="10" ht="22" customHeight="1" spans="1:9">
      <c r="A10" s="8">
        <v>8</v>
      </c>
      <c r="B10" s="9">
        <v>46107</v>
      </c>
      <c r="C10" s="10" t="s">
        <v>23</v>
      </c>
      <c r="D10" s="11" t="s">
        <v>66</v>
      </c>
      <c r="E10" s="12"/>
      <c r="F10" s="10">
        <v>4</v>
      </c>
      <c r="G10" s="12"/>
      <c r="I10">
        <f t="shared" si="0"/>
        <v>4</v>
      </c>
    </row>
    <row r="11" customFormat="1" ht="22" customHeight="1" spans="1:9">
      <c r="A11" s="8">
        <v>9</v>
      </c>
      <c r="B11" s="9">
        <v>46107</v>
      </c>
      <c r="C11" s="10" t="s">
        <v>24</v>
      </c>
      <c r="D11" s="11" t="s">
        <v>66</v>
      </c>
      <c r="E11" s="10">
        <v>4</v>
      </c>
      <c r="F11" s="12"/>
      <c r="G11" s="12"/>
      <c r="I11">
        <f t="shared" si="0"/>
        <v>4</v>
      </c>
    </row>
    <row r="12" customFormat="1" ht="22" customHeight="1" spans="1:9">
      <c r="A12" s="8">
        <v>10</v>
      </c>
      <c r="B12" s="9">
        <v>46107</v>
      </c>
      <c r="C12" s="10" t="s">
        <v>25</v>
      </c>
      <c r="D12" s="11" t="s">
        <v>66</v>
      </c>
      <c r="E12" s="10">
        <v>4</v>
      </c>
      <c r="F12" s="12"/>
      <c r="G12" s="12"/>
      <c r="I12">
        <f t="shared" si="0"/>
        <v>4</v>
      </c>
    </row>
    <row r="13" customFormat="1" ht="22" customHeight="1" spans="1:9">
      <c r="A13" s="8">
        <v>11</v>
      </c>
      <c r="B13" s="9">
        <v>46107</v>
      </c>
      <c r="C13" s="10" t="s">
        <v>26</v>
      </c>
      <c r="D13" s="11" t="s">
        <v>66</v>
      </c>
      <c r="E13" s="10">
        <v>2</v>
      </c>
      <c r="F13" s="10">
        <v>2</v>
      </c>
      <c r="G13" s="15" t="s">
        <v>20</v>
      </c>
      <c r="I13">
        <f t="shared" si="0"/>
        <v>4</v>
      </c>
    </row>
    <row r="14" customFormat="1" ht="22" customHeight="1" spans="1:9">
      <c r="A14" s="8">
        <v>12</v>
      </c>
      <c r="B14" s="9">
        <v>46107</v>
      </c>
      <c r="C14" s="10" t="s">
        <v>28</v>
      </c>
      <c r="D14" s="11" t="s">
        <v>66</v>
      </c>
      <c r="E14" s="12"/>
      <c r="F14" s="10">
        <v>4</v>
      </c>
      <c r="G14" s="12"/>
      <c r="I14">
        <f t="shared" si="0"/>
        <v>4</v>
      </c>
    </row>
    <row r="15" customFormat="1" ht="22" customHeight="1" spans="1:9">
      <c r="A15" s="8">
        <v>13</v>
      </c>
      <c r="B15" s="9">
        <v>46107</v>
      </c>
      <c r="C15" s="10" t="s">
        <v>29</v>
      </c>
      <c r="D15" s="11" t="s">
        <v>66</v>
      </c>
      <c r="E15" s="12"/>
      <c r="F15" s="10">
        <v>4</v>
      </c>
      <c r="G15" s="12"/>
      <c r="I15">
        <f t="shared" si="0"/>
        <v>4</v>
      </c>
    </row>
    <row r="16" customFormat="1" ht="22" customHeight="1" spans="1:9">
      <c r="A16" s="8">
        <v>14</v>
      </c>
      <c r="B16" s="9">
        <v>46107</v>
      </c>
      <c r="C16" s="10" t="s">
        <v>30</v>
      </c>
      <c r="D16" s="11" t="s">
        <v>66</v>
      </c>
      <c r="E16" s="10">
        <v>2</v>
      </c>
      <c r="F16" s="10">
        <v>2</v>
      </c>
      <c r="G16" s="12"/>
      <c r="I16">
        <f t="shared" si="0"/>
        <v>4</v>
      </c>
    </row>
    <row r="17" customFormat="1" ht="22" customHeight="1" spans="1:9">
      <c r="A17" s="8">
        <v>15</v>
      </c>
      <c r="B17" s="9">
        <v>46107</v>
      </c>
      <c r="C17" s="10" t="s">
        <v>31</v>
      </c>
      <c r="D17" s="11" t="s">
        <v>66</v>
      </c>
      <c r="E17" s="10"/>
      <c r="F17" s="10">
        <v>4</v>
      </c>
      <c r="G17" s="12" t="s">
        <v>70</v>
      </c>
      <c r="I17">
        <f t="shared" si="0"/>
        <v>4</v>
      </c>
    </row>
    <row r="18" customFormat="1" ht="22" customHeight="1" spans="1:9">
      <c r="A18" s="8">
        <v>16</v>
      </c>
      <c r="B18" s="9">
        <v>46107</v>
      </c>
      <c r="C18" s="10" t="s">
        <v>33</v>
      </c>
      <c r="D18" s="11" t="s">
        <v>66</v>
      </c>
      <c r="E18" s="10">
        <v>4</v>
      </c>
      <c r="F18" s="12"/>
      <c r="G18" s="10" t="s">
        <v>34</v>
      </c>
      <c r="I18">
        <f t="shared" si="0"/>
        <v>4</v>
      </c>
    </row>
    <row r="19" customFormat="1" ht="22" customHeight="1" spans="1:9">
      <c r="A19" s="8">
        <v>17</v>
      </c>
      <c r="B19" s="9">
        <v>46107</v>
      </c>
      <c r="C19" s="10" t="s">
        <v>40</v>
      </c>
      <c r="D19" s="11" t="s">
        <v>66</v>
      </c>
      <c r="E19" s="12"/>
      <c r="F19" s="10">
        <v>4</v>
      </c>
      <c r="G19" s="16"/>
      <c r="I19">
        <f t="shared" si="0"/>
        <v>4</v>
      </c>
    </row>
    <row r="20" customFormat="1" ht="22" customHeight="1" spans="1:9">
      <c r="A20" s="8">
        <v>18</v>
      </c>
      <c r="B20" s="9">
        <v>46107</v>
      </c>
      <c r="C20" s="10" t="s">
        <v>35</v>
      </c>
      <c r="D20" s="11" t="s">
        <v>66</v>
      </c>
      <c r="E20" s="12"/>
      <c r="F20" s="10">
        <v>4</v>
      </c>
      <c r="G20" s="16"/>
      <c r="I20">
        <f t="shared" si="0"/>
        <v>4</v>
      </c>
    </row>
    <row r="21" customFormat="1" ht="22" customHeight="1" spans="1:9">
      <c r="A21" s="8">
        <v>19</v>
      </c>
      <c r="B21" s="9">
        <v>46107</v>
      </c>
      <c r="C21" s="15" t="s">
        <v>36</v>
      </c>
      <c r="D21" s="11" t="s">
        <v>66</v>
      </c>
      <c r="E21" s="12"/>
      <c r="F21" s="10">
        <v>4</v>
      </c>
      <c r="G21" s="16"/>
      <c r="I21">
        <f t="shared" si="0"/>
        <v>4</v>
      </c>
    </row>
    <row r="22" customFormat="1" ht="22" customHeight="1" spans="1:9">
      <c r="A22" s="8">
        <v>20</v>
      </c>
      <c r="B22" s="9">
        <v>46107</v>
      </c>
      <c r="C22" s="10" t="s">
        <v>58</v>
      </c>
      <c r="D22" s="11" t="s">
        <v>66</v>
      </c>
      <c r="E22" s="10"/>
      <c r="F22" s="10">
        <v>4</v>
      </c>
      <c r="G22" s="16"/>
      <c r="H22" s="17" t="s">
        <v>73</v>
      </c>
      <c r="I22">
        <f t="shared" si="0"/>
        <v>4</v>
      </c>
    </row>
    <row r="23" customFormat="1" ht="22" customHeight="1" spans="1:9">
      <c r="A23" s="8">
        <v>21</v>
      </c>
      <c r="B23" s="9">
        <v>46107</v>
      </c>
      <c r="C23" s="10" t="s">
        <v>42</v>
      </c>
      <c r="D23" s="11" t="s">
        <v>66</v>
      </c>
      <c r="E23" s="10">
        <v>4</v>
      </c>
      <c r="F23" s="11"/>
      <c r="G23" s="11"/>
      <c r="I23">
        <f t="shared" si="0"/>
        <v>4</v>
      </c>
    </row>
    <row r="24" customFormat="1" ht="22" customHeight="1" spans="1:9">
      <c r="A24" s="8">
        <v>22</v>
      </c>
      <c r="B24" s="9">
        <v>46107</v>
      </c>
      <c r="C24" s="10" t="s">
        <v>38</v>
      </c>
      <c r="D24" s="11" t="s">
        <v>66</v>
      </c>
      <c r="E24" s="12"/>
      <c r="F24" s="10">
        <v>4</v>
      </c>
      <c r="G24" s="16"/>
      <c r="I24">
        <f t="shared" si="0"/>
        <v>4</v>
      </c>
    </row>
    <row r="25" customFormat="1" ht="22" customHeight="1" spans="1:9">
      <c r="A25" s="8">
        <v>23</v>
      </c>
      <c r="B25" s="9">
        <v>46107</v>
      </c>
      <c r="C25" s="10" t="s">
        <v>39</v>
      </c>
      <c r="D25" s="11" t="s">
        <v>66</v>
      </c>
      <c r="E25" s="12"/>
      <c r="F25" s="10">
        <v>4</v>
      </c>
      <c r="G25" s="16"/>
      <c r="I25">
        <f t="shared" si="0"/>
        <v>4</v>
      </c>
    </row>
    <row r="26" customFormat="1" ht="22" customHeight="1" spans="1:9">
      <c r="A26" s="8">
        <v>24</v>
      </c>
      <c r="B26" s="9">
        <v>46107</v>
      </c>
      <c r="C26" s="10" t="s">
        <v>41</v>
      </c>
      <c r="D26" s="11" t="s">
        <v>66</v>
      </c>
      <c r="E26" s="12"/>
      <c r="F26" s="10">
        <v>4</v>
      </c>
      <c r="G26" s="10"/>
      <c r="I26">
        <f t="shared" si="0"/>
        <v>4</v>
      </c>
    </row>
    <row r="27" customFormat="1" ht="22" customHeight="1" spans="1:9">
      <c r="A27" s="8">
        <v>25</v>
      </c>
      <c r="B27" s="9">
        <v>46107</v>
      </c>
      <c r="C27" s="11" t="s">
        <v>44</v>
      </c>
      <c r="D27" s="11" t="s">
        <v>66</v>
      </c>
      <c r="E27" s="10">
        <v>4</v>
      </c>
      <c r="F27" s="11"/>
      <c r="G27" s="11"/>
      <c r="I27">
        <f t="shared" si="0"/>
        <v>4</v>
      </c>
    </row>
    <row r="28" customFormat="1" ht="22" customHeight="1" spans="1:9">
      <c r="A28" s="8">
        <v>26</v>
      </c>
      <c r="B28" s="9">
        <v>46107</v>
      </c>
      <c r="C28" s="11" t="s">
        <v>44</v>
      </c>
      <c r="D28" s="11" t="s">
        <v>66</v>
      </c>
      <c r="E28" s="10">
        <v>4</v>
      </c>
      <c r="F28" s="11"/>
      <c r="G28" s="11" t="s">
        <v>72</v>
      </c>
      <c r="I28">
        <f t="shared" si="0"/>
        <v>4</v>
      </c>
    </row>
    <row r="29" customFormat="1" ht="22" customHeight="1" spans="1:9">
      <c r="A29" s="8">
        <v>27</v>
      </c>
      <c r="B29" s="9">
        <v>46107</v>
      </c>
      <c r="C29" s="10" t="s">
        <v>31</v>
      </c>
      <c r="D29" s="11"/>
      <c r="E29" s="23"/>
      <c r="F29" s="23">
        <v>2</v>
      </c>
      <c r="G29" s="11" t="s">
        <v>72</v>
      </c>
      <c r="I29">
        <f t="shared" si="0"/>
        <v>2</v>
      </c>
    </row>
    <row r="30" customFormat="1" ht="22" customHeight="1" spans="1:9">
      <c r="A30" s="8"/>
      <c r="B30" s="22"/>
      <c r="C30" s="11"/>
      <c r="D30" s="11"/>
      <c r="E30" s="23"/>
      <c r="F30" s="11"/>
      <c r="G30" s="16"/>
    </row>
    <row r="31" customFormat="1" spans="1:9">
      <c r="E31" s="24">
        <f>SUM(E3:E30)</f>
        <v>36</v>
      </c>
      <c r="F31" s="24">
        <f>SUM(F3:F30)</f>
        <v>70</v>
      </c>
    </row>
    <row r="33" customFormat="1" spans="5:6">
      <c r="E33" s="24"/>
      <c r="F33" s="24"/>
    </row>
    <row r="35" customFormat="1" spans="5:6">
      <c r="E35" s="24"/>
      <c r="F35" s="24"/>
    </row>
    <row r="36" customFormat="1" spans="5:6">
      <c r="E36" s="24"/>
      <c r="F36" s="24"/>
    </row>
  </sheetData>
  <mergeCells count="1">
    <mergeCell ref="A1:G1"/>
  </mergeCells>
  <conditionalFormatting sqref="C2:C14">
    <cfRule type="duplicateValues" dxfId="0" priority="1"/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topLeftCell="A9" workbookViewId="0">
      <selection activeCell="E30" sqref="E30:F30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8.5714285714286" customWidth="1"/>
    <col min="8" max="8" width="20.5714285714286" customWidth="1"/>
  </cols>
  <sheetData>
    <row r="1" ht="38" customHeight="1" spans="1:9">
      <c r="A1" s="2" t="s">
        <v>61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50</v>
      </c>
      <c r="C2" s="5" t="s">
        <v>3</v>
      </c>
      <c r="D2" s="6" t="s">
        <v>62</v>
      </c>
      <c r="E2" s="7" t="s">
        <v>63</v>
      </c>
      <c r="F2" s="7" t="s">
        <v>64</v>
      </c>
      <c r="G2" s="7" t="s">
        <v>7</v>
      </c>
    </row>
    <row r="3" ht="22" customHeight="1" spans="1:9">
      <c r="A3" s="8">
        <v>1</v>
      </c>
      <c r="B3" s="9">
        <v>46111</v>
      </c>
      <c r="C3" s="10" t="s">
        <v>13</v>
      </c>
      <c r="D3" s="11" t="s">
        <v>65</v>
      </c>
      <c r="E3" s="12"/>
      <c r="F3" s="10">
        <v>3</v>
      </c>
      <c r="G3" s="13"/>
      <c r="I3">
        <f>SUM(E3:F3)</f>
        <v>3</v>
      </c>
    </row>
    <row r="4" ht="22" customHeight="1" spans="1:9">
      <c r="A4" s="8">
        <v>2</v>
      </c>
      <c r="B4" s="9">
        <v>46111</v>
      </c>
      <c r="C4" s="10" t="s">
        <v>15</v>
      </c>
      <c r="D4" s="11" t="s">
        <v>65</v>
      </c>
      <c r="E4" s="12"/>
      <c r="F4" s="10">
        <v>3</v>
      </c>
      <c r="G4" s="14"/>
      <c r="I4">
        <f t="shared" ref="I4:I28" si="0">SUM(E4:F4)</f>
        <v>3</v>
      </c>
    </row>
    <row r="5" ht="22" customHeight="1" spans="1:9">
      <c r="A5" s="8">
        <v>3</v>
      </c>
      <c r="B5" s="9">
        <v>46111</v>
      </c>
      <c r="C5" s="10" t="s">
        <v>16</v>
      </c>
      <c r="D5" s="11" t="s">
        <v>65</v>
      </c>
      <c r="E5" s="10">
        <v>2</v>
      </c>
      <c r="F5" s="10">
        <v>1</v>
      </c>
      <c r="G5" s="14"/>
      <c r="I5">
        <f t="shared" si="0"/>
        <v>3</v>
      </c>
    </row>
    <row r="6" ht="22" customHeight="1" spans="1:9">
      <c r="A6" s="8">
        <v>4</v>
      </c>
      <c r="B6" s="9">
        <v>46111</v>
      </c>
      <c r="C6" s="10" t="s">
        <v>18</v>
      </c>
      <c r="D6" s="11" t="s">
        <v>65</v>
      </c>
      <c r="E6" s="12"/>
      <c r="F6" s="10">
        <v>3</v>
      </c>
      <c r="G6" s="14"/>
      <c r="I6">
        <f t="shared" si="0"/>
        <v>3</v>
      </c>
    </row>
    <row r="7" ht="22" customHeight="1" spans="1:9">
      <c r="A7" s="8">
        <v>5</v>
      </c>
      <c r="B7" s="9">
        <v>46111</v>
      </c>
      <c r="C7" s="10" t="s">
        <v>19</v>
      </c>
      <c r="D7" s="11" t="s">
        <v>65</v>
      </c>
      <c r="E7" s="10">
        <v>2</v>
      </c>
      <c r="F7" s="10">
        <v>1</v>
      </c>
      <c r="G7" s="44" t="s">
        <v>20</v>
      </c>
      <c r="H7" t="s">
        <v>74</v>
      </c>
      <c r="I7">
        <f t="shared" si="0"/>
        <v>3</v>
      </c>
    </row>
    <row r="8" ht="22" customHeight="1" spans="1:9">
      <c r="A8" s="8">
        <v>6</v>
      </c>
      <c r="B8" s="9">
        <v>46111</v>
      </c>
      <c r="C8" s="10" t="s">
        <v>21</v>
      </c>
      <c r="D8" s="11" t="s">
        <v>65</v>
      </c>
      <c r="E8" s="10">
        <v>3</v>
      </c>
      <c r="F8" s="12"/>
      <c r="G8" s="12"/>
      <c r="I8">
        <f t="shared" si="0"/>
        <v>3</v>
      </c>
    </row>
    <row r="9" ht="22" customHeight="1" spans="1:9">
      <c r="A9" s="8">
        <v>7</v>
      </c>
      <c r="B9" s="9">
        <v>46111</v>
      </c>
      <c r="C9" s="10" t="s">
        <v>22</v>
      </c>
      <c r="D9" s="11" t="s">
        <v>65</v>
      </c>
      <c r="E9" s="12"/>
      <c r="F9" s="10">
        <v>3</v>
      </c>
      <c r="G9" s="12"/>
      <c r="I9">
        <f t="shared" si="0"/>
        <v>3</v>
      </c>
    </row>
    <row r="10" ht="22" customHeight="1" spans="1:9">
      <c r="A10" s="8">
        <v>8</v>
      </c>
      <c r="B10" s="9">
        <v>46111</v>
      </c>
      <c r="C10" s="10" t="s">
        <v>23</v>
      </c>
      <c r="D10" s="11" t="s">
        <v>65</v>
      </c>
      <c r="E10" s="12"/>
      <c r="F10" s="10">
        <v>3</v>
      </c>
      <c r="G10" s="12"/>
      <c r="I10">
        <f t="shared" si="0"/>
        <v>3</v>
      </c>
    </row>
    <row r="11" customFormat="1" ht="22" customHeight="1" spans="1:9">
      <c r="A11" s="8">
        <v>9</v>
      </c>
      <c r="B11" s="9">
        <v>46111</v>
      </c>
      <c r="C11" s="10" t="s">
        <v>24</v>
      </c>
      <c r="D11" s="11" t="s">
        <v>65</v>
      </c>
      <c r="E11" s="10">
        <v>3</v>
      </c>
      <c r="F11" s="12"/>
      <c r="G11" s="12"/>
      <c r="I11">
        <f t="shared" si="0"/>
        <v>3</v>
      </c>
    </row>
    <row r="12" customFormat="1" ht="22" customHeight="1" spans="1:9">
      <c r="A12" s="8">
        <v>10</v>
      </c>
      <c r="B12" s="9">
        <v>46111</v>
      </c>
      <c r="C12" s="10" t="s">
        <v>25</v>
      </c>
      <c r="D12" s="11" t="s">
        <v>65</v>
      </c>
      <c r="E12" s="10">
        <v>3</v>
      </c>
      <c r="F12" s="12"/>
      <c r="G12" s="12"/>
      <c r="I12">
        <f t="shared" si="0"/>
        <v>3</v>
      </c>
    </row>
    <row r="13" customFormat="1" ht="22" customHeight="1" spans="1:9">
      <c r="A13" s="8">
        <v>11</v>
      </c>
      <c r="B13" s="9">
        <v>46111</v>
      </c>
      <c r="C13" s="10" t="s">
        <v>26</v>
      </c>
      <c r="D13" s="11" t="s">
        <v>65</v>
      </c>
      <c r="E13" s="10">
        <v>2</v>
      </c>
      <c r="F13" s="10">
        <v>1</v>
      </c>
      <c r="G13" s="44" t="s">
        <v>20</v>
      </c>
      <c r="H13" t="s">
        <v>74</v>
      </c>
      <c r="I13">
        <f t="shared" si="0"/>
        <v>3</v>
      </c>
    </row>
    <row r="14" customFormat="1" ht="22" customHeight="1" spans="1:9">
      <c r="A14" s="8">
        <v>12</v>
      </c>
      <c r="B14" s="9">
        <v>46111</v>
      </c>
      <c r="C14" s="10" t="s">
        <v>28</v>
      </c>
      <c r="D14" s="11" t="s">
        <v>65</v>
      </c>
      <c r="E14" s="12"/>
      <c r="F14" s="10">
        <v>3</v>
      </c>
      <c r="G14" s="12"/>
      <c r="I14">
        <f t="shared" si="0"/>
        <v>3</v>
      </c>
    </row>
    <row r="15" customFormat="1" ht="22" customHeight="1" spans="1:9">
      <c r="A15" s="8">
        <v>13</v>
      </c>
      <c r="B15" s="9">
        <v>46111</v>
      </c>
      <c r="C15" s="10" t="s">
        <v>29</v>
      </c>
      <c r="D15" s="11" t="s">
        <v>65</v>
      </c>
      <c r="E15" s="12"/>
      <c r="F15" s="10">
        <v>3</v>
      </c>
      <c r="G15" s="12"/>
      <c r="I15">
        <f t="shared" si="0"/>
        <v>3</v>
      </c>
    </row>
    <row r="16" customFormat="1" ht="22" customHeight="1" spans="1:9">
      <c r="A16" s="8">
        <v>14</v>
      </c>
      <c r="B16" s="9">
        <v>46111</v>
      </c>
      <c r="C16" s="10" t="s">
        <v>30</v>
      </c>
      <c r="D16" s="11" t="s">
        <v>65</v>
      </c>
      <c r="E16" s="10">
        <v>2</v>
      </c>
      <c r="F16" s="10">
        <v>1</v>
      </c>
      <c r="G16" s="12"/>
      <c r="I16">
        <f t="shared" si="0"/>
        <v>3</v>
      </c>
    </row>
    <row r="17" customFormat="1" ht="22" customHeight="1" spans="1:9">
      <c r="A17" s="8">
        <v>15</v>
      </c>
      <c r="B17" s="9">
        <v>46111</v>
      </c>
      <c r="C17" s="10" t="s">
        <v>31</v>
      </c>
      <c r="D17" s="11" t="s">
        <v>65</v>
      </c>
      <c r="E17" s="10"/>
      <c r="F17" s="10">
        <v>3</v>
      </c>
      <c r="G17" s="12" t="s">
        <v>70</v>
      </c>
      <c r="I17">
        <f t="shared" si="0"/>
        <v>3</v>
      </c>
    </row>
    <row r="18" customFormat="1" ht="22" customHeight="1" spans="1:9">
      <c r="A18" s="8">
        <v>16</v>
      </c>
      <c r="B18" s="9">
        <v>46111</v>
      </c>
      <c r="C18" s="10" t="s">
        <v>33</v>
      </c>
      <c r="D18" s="11" t="s">
        <v>65</v>
      </c>
      <c r="E18" s="10">
        <v>3</v>
      </c>
      <c r="F18" s="12"/>
      <c r="G18" s="10" t="s">
        <v>34</v>
      </c>
      <c r="I18">
        <f t="shared" si="0"/>
        <v>3</v>
      </c>
    </row>
    <row r="19" customFormat="1" ht="22" customHeight="1" spans="1:9">
      <c r="A19" s="8">
        <v>17</v>
      </c>
      <c r="B19" s="9">
        <v>46111</v>
      </c>
      <c r="C19" s="10" t="s">
        <v>40</v>
      </c>
      <c r="D19" s="11" t="s">
        <v>65</v>
      </c>
      <c r="E19" s="12"/>
      <c r="F19" s="10">
        <v>3</v>
      </c>
      <c r="G19" s="16"/>
      <c r="I19">
        <f t="shared" si="0"/>
        <v>3</v>
      </c>
    </row>
    <row r="20" customFormat="1" ht="22" customHeight="1" spans="1:9">
      <c r="A20" s="8">
        <v>18</v>
      </c>
      <c r="B20" s="9">
        <v>46111</v>
      </c>
      <c r="C20" s="10" t="s">
        <v>35</v>
      </c>
      <c r="D20" s="11" t="s">
        <v>65</v>
      </c>
      <c r="E20" s="12"/>
      <c r="F20" s="10">
        <v>3</v>
      </c>
      <c r="G20" s="16"/>
      <c r="I20">
        <f t="shared" si="0"/>
        <v>3</v>
      </c>
    </row>
    <row r="21" customFormat="1" ht="22" customHeight="1" spans="1:9">
      <c r="A21" s="8">
        <v>19</v>
      </c>
      <c r="B21" s="9">
        <v>46111</v>
      </c>
      <c r="C21" s="15" t="s">
        <v>36</v>
      </c>
      <c r="D21" s="11" t="s">
        <v>65</v>
      </c>
      <c r="E21" s="12"/>
      <c r="F21" s="10">
        <v>3</v>
      </c>
      <c r="G21" s="16"/>
      <c r="I21">
        <f t="shared" si="0"/>
        <v>3</v>
      </c>
    </row>
    <row r="22" customFormat="1" ht="22" customHeight="1" spans="1:9">
      <c r="A22" s="8">
        <v>20</v>
      </c>
      <c r="B22" s="9">
        <v>46111</v>
      </c>
      <c r="C22" s="10" t="s">
        <v>58</v>
      </c>
      <c r="D22" s="11" t="s">
        <v>65</v>
      </c>
      <c r="E22" s="10"/>
      <c r="F22" s="10">
        <v>3</v>
      </c>
      <c r="G22" s="16"/>
      <c r="H22" s="17" t="s">
        <v>73</v>
      </c>
      <c r="I22">
        <f t="shared" si="0"/>
        <v>3</v>
      </c>
    </row>
    <row r="23" customFormat="1" ht="22" customHeight="1" spans="1:9">
      <c r="A23" s="8">
        <v>21</v>
      </c>
      <c r="B23" s="9">
        <v>46111</v>
      </c>
      <c r="C23" s="10" t="s">
        <v>42</v>
      </c>
      <c r="D23" s="11" t="s">
        <v>65</v>
      </c>
      <c r="E23" s="10">
        <v>3</v>
      </c>
      <c r="F23" s="11"/>
      <c r="G23" s="11"/>
      <c r="I23">
        <f t="shared" si="0"/>
        <v>3</v>
      </c>
    </row>
    <row r="24" customFormat="1" ht="22" customHeight="1" spans="1:9">
      <c r="A24" s="8">
        <v>22</v>
      </c>
      <c r="B24" s="9">
        <v>46111</v>
      </c>
      <c r="C24" s="10" t="s">
        <v>38</v>
      </c>
      <c r="D24" s="11" t="s">
        <v>65</v>
      </c>
      <c r="E24" s="12"/>
      <c r="F24" s="10">
        <v>3</v>
      </c>
      <c r="G24" s="16"/>
      <c r="I24">
        <f t="shared" si="0"/>
        <v>3</v>
      </c>
    </row>
    <row r="25" customFormat="1" ht="22" customHeight="1" spans="1:9">
      <c r="A25" s="8">
        <v>23</v>
      </c>
      <c r="B25" s="9">
        <v>46111</v>
      </c>
      <c r="C25" s="10" t="s">
        <v>39</v>
      </c>
      <c r="D25" s="11" t="s">
        <v>65</v>
      </c>
      <c r="E25" s="12"/>
      <c r="F25" s="10">
        <v>3</v>
      </c>
      <c r="G25" s="16"/>
      <c r="I25">
        <f t="shared" si="0"/>
        <v>3</v>
      </c>
    </row>
    <row r="26" customFormat="1" ht="22" customHeight="1" spans="1:9">
      <c r="A26" s="8">
        <v>24</v>
      </c>
      <c r="B26" s="9">
        <v>46111</v>
      </c>
      <c r="C26" s="10" t="s">
        <v>41</v>
      </c>
      <c r="D26" s="11" t="s">
        <v>65</v>
      </c>
      <c r="E26" s="12"/>
      <c r="F26" s="10">
        <v>3</v>
      </c>
      <c r="G26" s="10"/>
      <c r="I26">
        <f t="shared" si="0"/>
        <v>3</v>
      </c>
    </row>
    <row r="27" customFormat="1" ht="22" customHeight="1" spans="1:9">
      <c r="A27" s="8">
        <v>25</v>
      </c>
      <c r="B27" s="9">
        <v>46111</v>
      </c>
      <c r="C27" s="11" t="s">
        <v>44</v>
      </c>
      <c r="D27" s="11" t="s">
        <v>65</v>
      </c>
      <c r="E27" s="10">
        <v>3</v>
      </c>
      <c r="F27" s="11"/>
      <c r="G27" s="11"/>
      <c r="I27">
        <f t="shared" si="0"/>
        <v>3</v>
      </c>
    </row>
    <row r="28" customFormat="1" ht="22" customHeight="1" spans="1:9">
      <c r="A28" s="8">
        <v>26</v>
      </c>
      <c r="B28" s="9">
        <v>46111</v>
      </c>
      <c r="C28" s="11" t="s">
        <v>44</v>
      </c>
      <c r="D28" s="11" t="s">
        <v>65</v>
      </c>
      <c r="E28" s="10">
        <v>3</v>
      </c>
      <c r="F28" s="11"/>
      <c r="G28" s="11" t="s">
        <v>72</v>
      </c>
      <c r="I28">
        <f t="shared" si="0"/>
        <v>3</v>
      </c>
    </row>
    <row r="29" customFormat="1" ht="22" customHeight="1" spans="1:9">
      <c r="A29" s="8"/>
      <c r="B29" s="22"/>
      <c r="C29" s="11"/>
      <c r="D29" s="11"/>
      <c r="E29" s="23"/>
      <c r="F29" s="11"/>
      <c r="G29" s="16"/>
    </row>
    <row r="30" customFormat="1" spans="1:9">
      <c r="E30" s="24">
        <f>SUM(E3:E29)</f>
        <v>29</v>
      </c>
      <c r="F30" s="24">
        <f>SUM(F3:F29)</f>
        <v>49</v>
      </c>
    </row>
    <row r="32" customFormat="1" spans="1:9">
      <c r="E32" s="24"/>
      <c r="F32" s="24"/>
    </row>
    <row r="34" customFormat="1" spans="5:6">
      <c r="E34" s="24"/>
      <c r="F34" s="24"/>
    </row>
    <row r="35" customFormat="1" spans="5:6">
      <c r="E35" s="24"/>
      <c r="F35" s="24"/>
    </row>
  </sheetData>
  <mergeCells count="1">
    <mergeCell ref="A1:G1"/>
  </mergeCells>
  <conditionalFormatting sqref="C2:C14">
    <cfRule type="duplicateValues" dxfId="0" priority="1"/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topLeftCell="A9" workbookViewId="0">
      <selection activeCell="E30" sqref="E30:F30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8.5714285714286" customWidth="1"/>
  </cols>
  <sheetData>
    <row r="1" ht="38" customHeight="1" spans="1:9">
      <c r="A1" s="2" t="s">
        <v>61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50</v>
      </c>
      <c r="C2" s="5" t="s">
        <v>3</v>
      </c>
      <c r="D2" s="6" t="s">
        <v>62</v>
      </c>
      <c r="E2" s="7" t="s">
        <v>63</v>
      </c>
      <c r="F2" s="7" t="s">
        <v>64</v>
      </c>
      <c r="G2" s="7" t="s">
        <v>7</v>
      </c>
    </row>
    <row r="3" ht="22" customHeight="1" spans="1:9">
      <c r="A3" s="8">
        <v>1</v>
      </c>
      <c r="B3" s="9">
        <v>46114</v>
      </c>
      <c r="C3" s="10" t="s">
        <v>13</v>
      </c>
      <c r="D3" s="11" t="s">
        <v>66</v>
      </c>
      <c r="E3" s="12"/>
      <c r="F3" s="10">
        <v>4</v>
      </c>
      <c r="G3" s="13"/>
      <c r="I3">
        <f t="shared" ref="I3:I29" si="0">SUM(E3:F3)</f>
        <v>4</v>
      </c>
    </row>
    <row r="4" ht="22" customHeight="1" spans="1:9">
      <c r="A4" s="8">
        <v>2</v>
      </c>
      <c r="B4" s="9">
        <v>46114</v>
      </c>
      <c r="C4" s="10" t="s">
        <v>15</v>
      </c>
      <c r="D4" s="11" t="s">
        <v>66</v>
      </c>
      <c r="E4" s="12"/>
      <c r="F4" s="10">
        <v>4</v>
      </c>
      <c r="G4" s="14"/>
      <c r="I4">
        <f t="shared" si="0"/>
        <v>4</v>
      </c>
    </row>
    <row r="5" ht="22" customHeight="1" spans="1:9">
      <c r="A5" s="8">
        <v>3</v>
      </c>
      <c r="B5" s="9">
        <v>46114</v>
      </c>
      <c r="C5" s="10" t="s">
        <v>16</v>
      </c>
      <c r="D5" s="11" t="s">
        <v>66</v>
      </c>
      <c r="E5" s="10">
        <v>2</v>
      </c>
      <c r="F5" s="10">
        <v>2</v>
      </c>
      <c r="G5" s="14"/>
      <c r="I5">
        <f t="shared" si="0"/>
        <v>4</v>
      </c>
    </row>
    <row r="6" ht="22" customHeight="1" spans="1:9">
      <c r="A6" s="8">
        <v>4</v>
      </c>
      <c r="B6" s="9">
        <v>46114</v>
      </c>
      <c r="C6" s="10" t="s">
        <v>18</v>
      </c>
      <c r="D6" s="11" t="s">
        <v>66</v>
      </c>
      <c r="E6" s="12"/>
      <c r="F6" s="10">
        <v>4</v>
      </c>
      <c r="G6" s="14"/>
      <c r="I6">
        <f t="shared" si="0"/>
        <v>4</v>
      </c>
    </row>
    <row r="7" ht="22" customHeight="1" spans="1:9">
      <c r="A7" s="8">
        <v>5</v>
      </c>
      <c r="B7" s="9">
        <v>46114</v>
      </c>
      <c r="C7" s="10" t="s">
        <v>19</v>
      </c>
      <c r="D7" s="11" t="s">
        <v>66</v>
      </c>
      <c r="E7" s="10">
        <v>2</v>
      </c>
      <c r="F7" s="10">
        <v>2</v>
      </c>
      <c r="G7" s="10" t="s">
        <v>20</v>
      </c>
      <c r="I7">
        <f t="shared" si="0"/>
        <v>4</v>
      </c>
    </row>
    <row r="8" ht="22" customHeight="1" spans="1:9">
      <c r="A8" s="8">
        <v>6</v>
      </c>
      <c r="B8" s="9">
        <v>46114</v>
      </c>
      <c r="C8" s="10" t="s">
        <v>21</v>
      </c>
      <c r="D8" s="11" t="s">
        <v>66</v>
      </c>
      <c r="E8" s="10">
        <v>4</v>
      </c>
      <c r="F8" s="12"/>
      <c r="G8" s="12"/>
      <c r="I8">
        <f t="shared" si="0"/>
        <v>4</v>
      </c>
    </row>
    <row r="9" ht="22" customHeight="1" spans="1:9">
      <c r="A9" s="8">
        <v>7</v>
      </c>
      <c r="B9" s="9">
        <v>46114</v>
      </c>
      <c r="C9" s="10" t="s">
        <v>22</v>
      </c>
      <c r="D9" s="11" t="s">
        <v>66</v>
      </c>
      <c r="E9" s="12"/>
      <c r="F9" s="10">
        <v>4</v>
      </c>
      <c r="G9" s="12"/>
      <c r="I9">
        <f t="shared" si="0"/>
        <v>4</v>
      </c>
    </row>
    <row r="10" ht="22" customHeight="1" spans="1:9">
      <c r="A10" s="8">
        <v>8</v>
      </c>
      <c r="B10" s="9">
        <v>46114</v>
      </c>
      <c r="C10" s="10" t="s">
        <v>23</v>
      </c>
      <c r="D10" s="11" t="s">
        <v>66</v>
      </c>
      <c r="E10" s="12"/>
      <c r="F10" s="10">
        <v>4</v>
      </c>
      <c r="G10" s="12"/>
      <c r="I10">
        <f t="shared" si="0"/>
        <v>4</v>
      </c>
    </row>
    <row r="11" customFormat="1" ht="22" customHeight="1" spans="1:9">
      <c r="A11" s="8">
        <v>9</v>
      </c>
      <c r="B11" s="9">
        <v>46114</v>
      </c>
      <c r="C11" s="10" t="s">
        <v>24</v>
      </c>
      <c r="D11" s="11" t="s">
        <v>66</v>
      </c>
      <c r="E11" s="10">
        <v>4</v>
      </c>
      <c r="F11" s="12"/>
      <c r="G11" s="12"/>
      <c r="I11">
        <f t="shared" si="0"/>
        <v>4</v>
      </c>
    </row>
    <row r="12" customFormat="1" ht="22" customHeight="1" spans="1:9">
      <c r="A12" s="8">
        <v>10</v>
      </c>
      <c r="B12" s="9">
        <v>46114</v>
      </c>
      <c r="C12" s="10" t="s">
        <v>25</v>
      </c>
      <c r="D12" s="11" t="s">
        <v>66</v>
      </c>
      <c r="E12" s="10">
        <v>4</v>
      </c>
      <c r="F12" s="12"/>
      <c r="G12" s="12"/>
      <c r="I12">
        <f t="shared" si="0"/>
        <v>4</v>
      </c>
    </row>
    <row r="13" customFormat="1" ht="22" customHeight="1" spans="1:9">
      <c r="A13" s="8">
        <v>11</v>
      </c>
      <c r="B13" s="9">
        <v>46114</v>
      </c>
      <c r="C13" s="10" t="s">
        <v>26</v>
      </c>
      <c r="D13" s="11" t="s">
        <v>66</v>
      </c>
      <c r="E13" s="10">
        <v>2</v>
      </c>
      <c r="F13" s="10">
        <v>2</v>
      </c>
      <c r="G13" s="15" t="s">
        <v>20</v>
      </c>
      <c r="I13">
        <f t="shared" si="0"/>
        <v>4</v>
      </c>
    </row>
    <row r="14" customFormat="1" ht="22" customHeight="1" spans="1:9">
      <c r="A14" s="8">
        <v>12</v>
      </c>
      <c r="B14" s="9">
        <v>46114</v>
      </c>
      <c r="C14" s="10" t="s">
        <v>28</v>
      </c>
      <c r="D14" s="11" t="s">
        <v>66</v>
      </c>
      <c r="E14" s="12"/>
      <c r="F14" s="10">
        <v>4</v>
      </c>
      <c r="G14" s="12"/>
      <c r="I14">
        <f t="shared" si="0"/>
        <v>4</v>
      </c>
    </row>
    <row r="15" customFormat="1" ht="22" customHeight="1" spans="1:9">
      <c r="A15" s="8">
        <v>13</v>
      </c>
      <c r="B15" s="9">
        <v>46114</v>
      </c>
      <c r="C15" s="10" t="s">
        <v>29</v>
      </c>
      <c r="D15" s="11" t="s">
        <v>66</v>
      </c>
      <c r="E15" s="12"/>
      <c r="F15" s="10">
        <v>4</v>
      </c>
      <c r="G15" s="12"/>
      <c r="I15">
        <f t="shared" si="0"/>
        <v>4</v>
      </c>
    </row>
    <row r="16" customFormat="1" ht="22" customHeight="1" spans="1:9">
      <c r="A16" s="8">
        <v>14</v>
      </c>
      <c r="B16" s="9">
        <v>46114</v>
      </c>
      <c r="C16" s="10" t="s">
        <v>30</v>
      </c>
      <c r="D16" s="11" t="s">
        <v>66</v>
      </c>
      <c r="E16" s="10">
        <v>2</v>
      </c>
      <c r="F16" s="10">
        <v>2</v>
      </c>
      <c r="G16" s="12"/>
      <c r="I16">
        <f t="shared" si="0"/>
        <v>4</v>
      </c>
    </row>
    <row r="17" customFormat="1" ht="22" customHeight="1" spans="1:9">
      <c r="A17" s="8">
        <v>15</v>
      </c>
      <c r="B17" s="9">
        <v>46114</v>
      </c>
      <c r="C17" s="10" t="s">
        <v>31</v>
      </c>
      <c r="D17" s="11" t="s">
        <v>66</v>
      </c>
      <c r="E17" s="10"/>
      <c r="F17" s="10">
        <v>4</v>
      </c>
      <c r="G17" s="12" t="s">
        <v>70</v>
      </c>
      <c r="I17">
        <f t="shared" si="0"/>
        <v>4</v>
      </c>
    </row>
    <row r="18" customFormat="1" ht="22" customHeight="1" spans="1:9">
      <c r="A18" s="8">
        <v>16</v>
      </c>
      <c r="B18" s="9">
        <v>46114</v>
      </c>
      <c r="C18" s="10" t="s">
        <v>33</v>
      </c>
      <c r="D18" s="11" t="s">
        <v>66</v>
      </c>
      <c r="E18" s="10">
        <v>4</v>
      </c>
      <c r="F18" s="12"/>
      <c r="G18" s="10" t="s">
        <v>34</v>
      </c>
      <c r="I18">
        <f t="shared" si="0"/>
        <v>4</v>
      </c>
    </row>
    <row r="19" customFormat="1" ht="22" customHeight="1" spans="1:9">
      <c r="A19" s="8">
        <v>17</v>
      </c>
      <c r="B19" s="9">
        <v>46114</v>
      </c>
      <c r="C19" s="10" t="s">
        <v>40</v>
      </c>
      <c r="D19" s="11" t="s">
        <v>66</v>
      </c>
      <c r="E19" s="12"/>
      <c r="F19" s="10">
        <v>4</v>
      </c>
      <c r="G19" s="16"/>
      <c r="I19">
        <f t="shared" si="0"/>
        <v>4</v>
      </c>
    </row>
    <row r="20" customFormat="1" ht="22" customHeight="1" spans="1:9">
      <c r="A20" s="8">
        <v>18</v>
      </c>
      <c r="B20" s="9">
        <v>46114</v>
      </c>
      <c r="C20" s="10" t="s">
        <v>35</v>
      </c>
      <c r="D20" s="11" t="s">
        <v>66</v>
      </c>
      <c r="E20" s="12"/>
      <c r="F20" s="10">
        <v>4</v>
      </c>
      <c r="G20" s="16"/>
      <c r="I20">
        <f t="shared" si="0"/>
        <v>4</v>
      </c>
    </row>
    <row r="21" customFormat="1" ht="22" customHeight="1" spans="1:9">
      <c r="A21" s="8">
        <v>19</v>
      </c>
      <c r="B21" s="9">
        <v>46114</v>
      </c>
      <c r="C21" s="15" t="s">
        <v>36</v>
      </c>
      <c r="D21" s="11" t="s">
        <v>66</v>
      </c>
      <c r="E21" s="12"/>
      <c r="F21" s="10">
        <v>4</v>
      </c>
      <c r="G21" s="16"/>
      <c r="I21">
        <f t="shared" si="0"/>
        <v>4</v>
      </c>
    </row>
    <row r="22" customFormat="1" ht="22" customHeight="1" spans="1:9">
      <c r="A22" s="8">
        <v>20</v>
      </c>
      <c r="B22" s="9">
        <v>46114</v>
      </c>
      <c r="C22" s="10" t="s">
        <v>58</v>
      </c>
      <c r="D22" s="11" t="s">
        <v>66</v>
      </c>
      <c r="E22" s="10"/>
      <c r="F22" s="10">
        <v>4</v>
      </c>
      <c r="G22" s="16"/>
      <c r="H22" s="17" t="s">
        <v>73</v>
      </c>
      <c r="I22">
        <f t="shared" si="0"/>
        <v>4</v>
      </c>
    </row>
    <row r="23" customFormat="1" ht="22" customHeight="1" spans="1:9">
      <c r="A23" s="8">
        <v>21</v>
      </c>
      <c r="B23" s="9">
        <v>46114</v>
      </c>
      <c r="C23" s="10" t="s">
        <v>42</v>
      </c>
      <c r="D23" s="11" t="s">
        <v>66</v>
      </c>
      <c r="E23" s="10">
        <v>4</v>
      </c>
      <c r="F23" s="11"/>
      <c r="G23" s="11"/>
      <c r="I23">
        <f t="shared" si="0"/>
        <v>4</v>
      </c>
    </row>
    <row r="24" customFormat="1" ht="22" customHeight="1" spans="1:9">
      <c r="A24" s="8">
        <v>22</v>
      </c>
      <c r="B24" s="9">
        <v>46114</v>
      </c>
      <c r="C24" s="10" t="s">
        <v>38</v>
      </c>
      <c r="D24" s="11" t="s">
        <v>66</v>
      </c>
      <c r="E24" s="12"/>
      <c r="F24" s="10">
        <v>4</v>
      </c>
      <c r="G24" s="16"/>
      <c r="I24">
        <f t="shared" si="0"/>
        <v>4</v>
      </c>
    </row>
    <row r="25" customFormat="1" ht="22" customHeight="1" spans="1:9">
      <c r="A25" s="8">
        <v>23</v>
      </c>
      <c r="B25" s="9">
        <v>46114</v>
      </c>
      <c r="C25" s="10" t="s">
        <v>39</v>
      </c>
      <c r="D25" s="11" t="s">
        <v>66</v>
      </c>
      <c r="E25" s="12"/>
      <c r="F25" s="10">
        <v>4</v>
      </c>
      <c r="G25" s="16"/>
      <c r="I25">
        <f t="shared" si="0"/>
        <v>4</v>
      </c>
    </row>
    <row r="26" customFormat="1" ht="22" customHeight="1" spans="1:9">
      <c r="A26" s="8">
        <v>24</v>
      </c>
      <c r="B26" s="9">
        <v>46114</v>
      </c>
      <c r="C26" s="10" t="s">
        <v>41</v>
      </c>
      <c r="D26" s="11" t="s">
        <v>66</v>
      </c>
      <c r="E26" s="12"/>
      <c r="F26" s="10">
        <v>4</v>
      </c>
      <c r="G26" s="10"/>
      <c r="I26">
        <f t="shared" si="0"/>
        <v>4</v>
      </c>
    </row>
    <row r="27" customFormat="1" ht="22" customHeight="1" spans="1:9">
      <c r="A27" s="8">
        <v>25</v>
      </c>
      <c r="B27" s="9">
        <v>46114</v>
      </c>
      <c r="C27" s="11" t="s">
        <v>44</v>
      </c>
      <c r="D27" s="11" t="s">
        <v>66</v>
      </c>
      <c r="E27" s="10">
        <v>4</v>
      </c>
      <c r="F27" s="11"/>
      <c r="G27" s="11"/>
      <c r="I27">
        <f t="shared" si="0"/>
        <v>4</v>
      </c>
    </row>
    <row r="28" customFormat="1" ht="22" customHeight="1" spans="1:9">
      <c r="A28" s="8">
        <v>26</v>
      </c>
      <c r="B28" s="9">
        <v>46114</v>
      </c>
      <c r="C28" s="11" t="s">
        <v>44</v>
      </c>
      <c r="D28" s="11" t="s">
        <v>66</v>
      </c>
      <c r="E28" s="10">
        <v>4</v>
      </c>
      <c r="F28" s="11"/>
      <c r="G28" s="11" t="s">
        <v>72</v>
      </c>
      <c r="I28">
        <f t="shared" si="0"/>
        <v>4</v>
      </c>
    </row>
    <row r="29" customFormat="1" ht="22" customHeight="1" spans="1:9">
      <c r="A29" s="8"/>
      <c r="B29" s="22"/>
      <c r="C29" s="11"/>
      <c r="D29" s="11"/>
      <c r="E29" s="23"/>
      <c r="F29" s="11"/>
      <c r="G29" s="16"/>
    </row>
    <row r="30" customFormat="1" spans="1:9">
      <c r="E30" s="24">
        <f>SUM(E3:E29)</f>
        <v>36</v>
      </c>
      <c r="F30" s="24">
        <f>SUM(F3:F29)</f>
        <v>68</v>
      </c>
    </row>
    <row r="32" customFormat="1" spans="1:9">
      <c r="E32" s="24"/>
      <c r="F32" s="24"/>
    </row>
    <row r="34" customFormat="1" spans="5:6">
      <c r="E34" s="24"/>
      <c r="F34" s="24"/>
    </row>
    <row r="35" customFormat="1" spans="5:6">
      <c r="E35" s="24"/>
      <c r="F35" s="24"/>
    </row>
  </sheetData>
  <mergeCells count="1">
    <mergeCell ref="A1:G1"/>
  </mergeCells>
  <conditionalFormatting sqref="C2:C14">
    <cfRule type="duplicateValues" dxfId="0" priority="1"/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opLeftCell="A9" workbookViewId="0">
      <selection activeCell="F32" sqref="F32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8.5714285714286" customWidth="1"/>
    <col min="8" max="8" width="20.5714285714286" customWidth="1"/>
  </cols>
  <sheetData>
    <row r="1" ht="38" customHeight="1" spans="1:9">
      <c r="A1" s="2" t="s">
        <v>61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50</v>
      </c>
      <c r="C2" s="5" t="s">
        <v>3</v>
      </c>
      <c r="D2" s="6" t="s">
        <v>62</v>
      </c>
      <c r="E2" s="7" t="s">
        <v>63</v>
      </c>
      <c r="F2" s="7" t="s">
        <v>64</v>
      </c>
      <c r="G2" s="7" t="s">
        <v>7</v>
      </c>
    </row>
    <row r="3" ht="22" customHeight="1" spans="1:9">
      <c r="A3" s="8">
        <v>1</v>
      </c>
      <c r="B3" s="9">
        <v>46119</v>
      </c>
      <c r="C3" s="10" t="s">
        <v>13</v>
      </c>
      <c r="D3" s="11" t="s">
        <v>65</v>
      </c>
      <c r="E3" s="43"/>
      <c r="F3" s="10">
        <v>3</v>
      </c>
      <c r="G3" s="13"/>
      <c r="I3">
        <f t="shared" ref="I3:I28" si="0">SUM(E3:F3)</f>
        <v>3</v>
      </c>
    </row>
    <row r="4" ht="22" customHeight="1" spans="1:9">
      <c r="A4" s="8">
        <v>2</v>
      </c>
      <c r="B4" s="9">
        <v>46119</v>
      </c>
      <c r="C4" s="10" t="s">
        <v>15</v>
      </c>
      <c r="D4" s="11" t="s">
        <v>65</v>
      </c>
      <c r="E4" s="43"/>
      <c r="F4" s="10">
        <v>3</v>
      </c>
      <c r="G4" s="14"/>
      <c r="I4">
        <f t="shared" si="0"/>
        <v>3</v>
      </c>
    </row>
    <row r="5" ht="22" customHeight="1" spans="1:9">
      <c r="A5" s="8">
        <v>3</v>
      </c>
      <c r="B5" s="9">
        <v>46119</v>
      </c>
      <c r="C5" s="10" t="s">
        <v>16</v>
      </c>
      <c r="D5" s="11" t="s">
        <v>65</v>
      </c>
      <c r="E5" s="44">
        <v>2</v>
      </c>
      <c r="F5" s="10">
        <v>1</v>
      </c>
      <c r="G5" s="14"/>
      <c r="I5">
        <f t="shared" si="0"/>
        <v>3</v>
      </c>
    </row>
    <row r="6" ht="22" customHeight="1" spans="1:9">
      <c r="A6" s="8">
        <v>4</v>
      </c>
      <c r="B6" s="9">
        <v>46119</v>
      </c>
      <c r="C6" s="10" t="s">
        <v>18</v>
      </c>
      <c r="D6" s="11" t="s">
        <v>65</v>
      </c>
      <c r="E6" s="43"/>
      <c r="F6" s="10">
        <v>3</v>
      </c>
      <c r="G6" s="14"/>
      <c r="I6">
        <f t="shared" si="0"/>
        <v>3</v>
      </c>
    </row>
    <row r="7" ht="22" customHeight="1" spans="1:9">
      <c r="A7" s="8">
        <v>5</v>
      </c>
      <c r="B7" s="9">
        <v>46119</v>
      </c>
      <c r="C7" s="10" t="s">
        <v>19</v>
      </c>
      <c r="D7" s="11" t="s">
        <v>65</v>
      </c>
      <c r="E7" s="44">
        <v>2</v>
      </c>
      <c r="F7" s="10">
        <v>1</v>
      </c>
      <c r="G7" s="44" t="s">
        <v>20</v>
      </c>
      <c r="H7" t="s">
        <v>74</v>
      </c>
      <c r="I7">
        <f t="shared" si="0"/>
        <v>3</v>
      </c>
    </row>
    <row r="8" ht="22" customHeight="1" spans="1:9">
      <c r="A8" s="8">
        <v>6</v>
      </c>
      <c r="B8" s="9">
        <v>46119</v>
      </c>
      <c r="C8" s="10" t="s">
        <v>21</v>
      </c>
      <c r="D8" s="11" t="s">
        <v>65</v>
      </c>
      <c r="E8" s="44">
        <v>3</v>
      </c>
      <c r="F8" s="12"/>
      <c r="G8" s="12"/>
      <c r="I8">
        <f t="shared" si="0"/>
        <v>3</v>
      </c>
    </row>
    <row r="9" ht="22" customHeight="1" spans="1:9">
      <c r="A9" s="8">
        <v>7</v>
      </c>
      <c r="B9" s="9">
        <v>46119</v>
      </c>
      <c r="C9" s="10" t="s">
        <v>22</v>
      </c>
      <c r="D9" s="11" t="s">
        <v>65</v>
      </c>
      <c r="E9" s="43"/>
      <c r="F9" s="10">
        <v>3</v>
      </c>
      <c r="G9" s="12"/>
      <c r="I9">
        <f t="shared" si="0"/>
        <v>3</v>
      </c>
    </row>
    <row r="10" ht="22" customHeight="1" spans="1:9">
      <c r="A10" s="8">
        <v>8</v>
      </c>
      <c r="B10" s="9">
        <v>46119</v>
      </c>
      <c r="C10" s="10" t="s">
        <v>23</v>
      </c>
      <c r="D10" s="11" t="s">
        <v>65</v>
      </c>
      <c r="E10" s="43"/>
      <c r="F10" s="10">
        <v>3</v>
      </c>
      <c r="G10" s="12"/>
      <c r="I10">
        <f t="shared" si="0"/>
        <v>3</v>
      </c>
    </row>
    <row r="11" customFormat="1" ht="22" customHeight="1" spans="1:9">
      <c r="A11" s="8">
        <v>9</v>
      </c>
      <c r="B11" s="9">
        <v>46119</v>
      </c>
      <c r="C11" s="10" t="s">
        <v>24</v>
      </c>
      <c r="D11" s="11" t="s">
        <v>65</v>
      </c>
      <c r="E11" s="44">
        <v>3</v>
      </c>
      <c r="F11" s="12"/>
      <c r="G11" s="12"/>
      <c r="I11">
        <f t="shared" si="0"/>
        <v>3</v>
      </c>
    </row>
    <row r="12" customFormat="1" ht="22" customHeight="1" spans="1:9">
      <c r="A12" s="8">
        <v>10</v>
      </c>
      <c r="B12" s="9">
        <v>46119</v>
      </c>
      <c r="C12" s="10" t="s">
        <v>25</v>
      </c>
      <c r="D12" s="11" t="s">
        <v>65</v>
      </c>
      <c r="E12" s="44">
        <v>3</v>
      </c>
      <c r="F12" s="12"/>
      <c r="G12" s="12"/>
      <c r="I12">
        <f t="shared" si="0"/>
        <v>3</v>
      </c>
    </row>
    <row r="13" customFormat="1" ht="22" customHeight="1" spans="1:9">
      <c r="A13" s="8">
        <v>11</v>
      </c>
      <c r="B13" s="9">
        <v>46119</v>
      </c>
      <c r="C13" s="10" t="s">
        <v>26</v>
      </c>
      <c r="D13" s="11" t="s">
        <v>65</v>
      </c>
      <c r="E13" s="44">
        <v>2</v>
      </c>
      <c r="F13" s="10">
        <v>1</v>
      </c>
      <c r="G13" s="44" t="s">
        <v>20</v>
      </c>
      <c r="H13" t="s">
        <v>74</v>
      </c>
      <c r="I13">
        <f t="shared" si="0"/>
        <v>3</v>
      </c>
    </row>
    <row r="14" customFormat="1" ht="22" customHeight="1" spans="1:9">
      <c r="A14" s="8">
        <v>12</v>
      </c>
      <c r="B14" s="9">
        <v>46119</v>
      </c>
      <c r="C14" s="10" t="s">
        <v>28</v>
      </c>
      <c r="D14" s="11" t="s">
        <v>65</v>
      </c>
      <c r="E14" s="43"/>
      <c r="F14" s="10">
        <v>3</v>
      </c>
      <c r="G14" s="12"/>
      <c r="I14">
        <f t="shared" si="0"/>
        <v>3</v>
      </c>
    </row>
    <row r="15" customFormat="1" ht="22" customHeight="1" spans="1:9">
      <c r="A15" s="8">
        <v>13</v>
      </c>
      <c r="B15" s="9">
        <v>46119</v>
      </c>
      <c r="C15" s="10" t="s">
        <v>29</v>
      </c>
      <c r="D15" s="11" t="s">
        <v>65</v>
      </c>
      <c r="E15" s="43"/>
      <c r="F15" s="10">
        <v>3</v>
      </c>
      <c r="G15" s="12"/>
      <c r="I15">
        <f t="shared" si="0"/>
        <v>3</v>
      </c>
    </row>
    <row r="16" customFormat="1" ht="22" customHeight="1" spans="1:9">
      <c r="A16" s="8">
        <v>14</v>
      </c>
      <c r="B16" s="9">
        <v>46119</v>
      </c>
      <c r="C16" s="10" t="s">
        <v>30</v>
      </c>
      <c r="D16" s="11" t="s">
        <v>65</v>
      </c>
      <c r="E16" s="44">
        <v>2</v>
      </c>
      <c r="F16" s="10">
        <v>1</v>
      </c>
      <c r="G16" s="12"/>
      <c r="I16">
        <f t="shared" si="0"/>
        <v>3</v>
      </c>
    </row>
    <row r="17" customFormat="1" ht="22" customHeight="1" spans="1:9">
      <c r="A17" s="8">
        <v>15</v>
      </c>
      <c r="B17" s="9">
        <v>46119</v>
      </c>
      <c r="C17" s="10" t="s">
        <v>31</v>
      </c>
      <c r="D17" s="11" t="s">
        <v>65</v>
      </c>
      <c r="E17" s="44"/>
      <c r="F17" s="10">
        <v>3</v>
      </c>
      <c r="G17" s="12" t="s">
        <v>70</v>
      </c>
      <c r="I17">
        <f t="shared" si="0"/>
        <v>3</v>
      </c>
    </row>
    <row r="18" customFormat="1" ht="22" customHeight="1" spans="1:9">
      <c r="A18" s="8">
        <v>16</v>
      </c>
      <c r="B18" s="9">
        <v>46119</v>
      </c>
      <c r="C18" s="10" t="s">
        <v>33</v>
      </c>
      <c r="D18" s="11" t="s">
        <v>65</v>
      </c>
      <c r="E18" s="44">
        <v>3</v>
      </c>
      <c r="F18" s="12"/>
      <c r="G18" s="10" t="s">
        <v>34</v>
      </c>
      <c r="I18">
        <f t="shared" si="0"/>
        <v>3</v>
      </c>
    </row>
    <row r="19" customFormat="1" ht="22" customHeight="1" spans="1:9">
      <c r="A19" s="8">
        <v>17</v>
      </c>
      <c r="B19" s="9">
        <v>46119</v>
      </c>
      <c r="C19" s="10" t="s">
        <v>40</v>
      </c>
      <c r="D19" s="11" t="s">
        <v>65</v>
      </c>
      <c r="E19" s="43"/>
      <c r="F19" s="10">
        <v>3</v>
      </c>
      <c r="G19" s="16"/>
      <c r="I19">
        <f t="shared" si="0"/>
        <v>3</v>
      </c>
    </row>
    <row r="20" customFormat="1" ht="22" customHeight="1" spans="1:9">
      <c r="A20" s="8">
        <v>18</v>
      </c>
      <c r="B20" s="9">
        <v>46119</v>
      </c>
      <c r="C20" s="10" t="s">
        <v>35</v>
      </c>
      <c r="D20" s="11" t="s">
        <v>65</v>
      </c>
      <c r="E20" s="43"/>
      <c r="F20" s="10">
        <v>3</v>
      </c>
      <c r="G20" s="16"/>
      <c r="I20">
        <f t="shared" si="0"/>
        <v>3</v>
      </c>
    </row>
    <row r="21" customFormat="1" ht="22" customHeight="1" spans="1:9">
      <c r="A21" s="8">
        <v>19</v>
      </c>
      <c r="B21" s="9">
        <v>46119</v>
      </c>
      <c r="C21" s="15" t="s">
        <v>36</v>
      </c>
      <c r="D21" s="11" t="s">
        <v>65</v>
      </c>
      <c r="E21" s="43"/>
      <c r="F21" s="10">
        <v>3</v>
      </c>
      <c r="G21" s="16"/>
      <c r="I21">
        <f t="shared" si="0"/>
        <v>3</v>
      </c>
    </row>
    <row r="22" customFormat="1" ht="22" customHeight="1" spans="1:9">
      <c r="A22" s="8">
        <v>20</v>
      </c>
      <c r="B22" s="9">
        <v>46119</v>
      </c>
      <c r="C22" s="10" t="s">
        <v>58</v>
      </c>
      <c r="D22" s="11" t="s">
        <v>65</v>
      </c>
      <c r="E22" s="44"/>
      <c r="F22" s="10">
        <v>3</v>
      </c>
      <c r="G22" s="16"/>
      <c r="H22" s="17" t="s">
        <v>73</v>
      </c>
      <c r="I22">
        <f t="shared" si="0"/>
        <v>3</v>
      </c>
    </row>
    <row r="23" customFormat="1" ht="22" customHeight="1" spans="1:9">
      <c r="A23" s="8">
        <v>21</v>
      </c>
      <c r="B23" s="9">
        <v>46119</v>
      </c>
      <c r="C23" s="10" t="s">
        <v>42</v>
      </c>
      <c r="D23" s="11" t="s">
        <v>65</v>
      </c>
      <c r="E23" s="44">
        <v>3</v>
      </c>
      <c r="F23" s="11"/>
      <c r="G23" s="11"/>
      <c r="I23">
        <f t="shared" si="0"/>
        <v>3</v>
      </c>
    </row>
    <row r="24" customFormat="1" ht="22" customHeight="1" spans="1:9">
      <c r="A24" s="8">
        <v>22</v>
      </c>
      <c r="B24" s="9">
        <v>46119</v>
      </c>
      <c r="C24" s="10" t="s">
        <v>38</v>
      </c>
      <c r="D24" s="11" t="s">
        <v>65</v>
      </c>
      <c r="E24" s="43"/>
      <c r="F24" s="10">
        <v>3</v>
      </c>
      <c r="G24" s="16"/>
      <c r="I24">
        <f t="shared" si="0"/>
        <v>3</v>
      </c>
    </row>
    <row r="25" customFormat="1" ht="22" customHeight="1" spans="1:9">
      <c r="A25" s="8">
        <v>23</v>
      </c>
      <c r="B25" s="9">
        <v>46119</v>
      </c>
      <c r="C25" s="10" t="s">
        <v>39</v>
      </c>
      <c r="D25" s="11" t="s">
        <v>65</v>
      </c>
      <c r="E25" s="43"/>
      <c r="F25" s="10">
        <v>3</v>
      </c>
      <c r="G25" s="16"/>
      <c r="I25">
        <f t="shared" si="0"/>
        <v>3</v>
      </c>
    </row>
    <row r="26" customFormat="1" ht="22" customHeight="1" spans="1:9">
      <c r="A26" s="8">
        <v>24</v>
      </c>
      <c r="B26" s="9">
        <v>46119</v>
      </c>
      <c r="C26" s="10" t="s">
        <v>41</v>
      </c>
      <c r="D26" s="11" t="s">
        <v>65</v>
      </c>
      <c r="E26" s="43"/>
      <c r="F26" s="10">
        <v>3</v>
      </c>
      <c r="G26" s="10"/>
      <c r="I26">
        <f t="shared" si="0"/>
        <v>3</v>
      </c>
    </row>
    <row r="27" customFormat="1" ht="22" customHeight="1" spans="1:9">
      <c r="A27" s="8">
        <v>25</v>
      </c>
      <c r="B27" s="9">
        <v>46119</v>
      </c>
      <c r="C27" s="11" t="s">
        <v>44</v>
      </c>
      <c r="D27" s="11" t="s">
        <v>65</v>
      </c>
      <c r="E27" s="44">
        <v>3</v>
      </c>
      <c r="F27" s="11"/>
      <c r="G27" s="11"/>
      <c r="I27">
        <f t="shared" si="0"/>
        <v>3</v>
      </c>
    </row>
    <row r="28" customFormat="1" ht="22" customHeight="1" spans="1:9">
      <c r="A28" s="8"/>
      <c r="B28" s="22"/>
      <c r="C28" s="11"/>
      <c r="D28" s="11"/>
      <c r="E28" s="23"/>
      <c r="F28" s="11"/>
      <c r="G28" s="16"/>
    </row>
    <row r="29" customFormat="1" spans="1:9">
      <c r="E29" s="45">
        <f>SUM(E3:E28)</f>
        <v>26</v>
      </c>
      <c r="F29" s="24">
        <f>SUM(F3:F28)</f>
        <v>49</v>
      </c>
    </row>
    <row r="31" customFormat="1" spans="1:9">
      <c r="E31" s="45"/>
      <c r="F31" s="24"/>
    </row>
    <row r="33" customFormat="1" spans="5:6">
      <c r="E33" s="24"/>
      <c r="F33" s="24"/>
    </row>
    <row r="34" customFormat="1" spans="5:6">
      <c r="E34" s="24"/>
      <c r="F34" s="24"/>
    </row>
  </sheetData>
  <mergeCells count="1">
    <mergeCell ref="A1:G1"/>
  </mergeCells>
  <conditionalFormatting sqref="C2:C14">
    <cfRule type="duplicateValues" dxfId="0" priority="1"/>
  </conditionalFormatting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topLeftCell="A3" workbookViewId="0">
      <selection activeCell="F19" sqref="F19"/>
    </sheetView>
  </sheetViews>
  <sheetFormatPr defaultColWidth="9.14285714285714" defaultRowHeight="12"/>
  <cols>
    <col min="1" max="1" width="8.14285714285714" customWidth="1"/>
    <col min="2" max="2" width="12.4285714285714" customWidth="1"/>
    <col min="3" max="3" width="16.8571428571429" customWidth="1"/>
    <col min="4" max="6" width="12.1428571428571" customWidth="1"/>
    <col min="7" max="7" width="28.5714285714286" customWidth="1"/>
  </cols>
  <sheetData>
    <row r="1" ht="38" customHeight="1" spans="1:9">
      <c r="A1" s="2" t="s">
        <v>61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50</v>
      </c>
      <c r="C2" s="5" t="s">
        <v>3</v>
      </c>
      <c r="D2" s="6" t="s">
        <v>62</v>
      </c>
      <c r="E2" s="7" t="s">
        <v>63</v>
      </c>
      <c r="F2" s="7" t="s">
        <v>64</v>
      </c>
      <c r="G2" s="7" t="s">
        <v>7</v>
      </c>
    </row>
    <row r="3" ht="22" customHeight="1" spans="1:9">
      <c r="A3" s="8">
        <v>1</v>
      </c>
      <c r="B3" s="9">
        <v>46121</v>
      </c>
      <c r="C3" s="10" t="s">
        <v>13</v>
      </c>
      <c r="D3" s="11" t="s">
        <v>66</v>
      </c>
      <c r="E3" s="12"/>
      <c r="F3" s="10">
        <v>4</v>
      </c>
      <c r="G3" s="13"/>
      <c r="I3">
        <f t="shared" ref="I3:I28" si="0">SUM(E3:F3)</f>
        <v>4</v>
      </c>
    </row>
    <row r="4" ht="22" customHeight="1" spans="1:9">
      <c r="A4" s="8">
        <v>2</v>
      </c>
      <c r="B4" s="9">
        <v>46121</v>
      </c>
      <c r="C4" s="10" t="s">
        <v>15</v>
      </c>
      <c r="D4" s="11" t="s">
        <v>66</v>
      </c>
      <c r="E4" s="12"/>
      <c r="F4" s="10">
        <v>4</v>
      </c>
      <c r="G4" s="14"/>
      <c r="I4">
        <f t="shared" si="0"/>
        <v>4</v>
      </c>
    </row>
    <row r="5" ht="22" customHeight="1" spans="1:9">
      <c r="A5" s="8">
        <v>3</v>
      </c>
      <c r="B5" s="9">
        <v>46121</v>
      </c>
      <c r="C5" s="10" t="s">
        <v>16</v>
      </c>
      <c r="D5" s="11" t="s">
        <v>66</v>
      </c>
      <c r="E5" s="10">
        <v>2</v>
      </c>
      <c r="F5" s="10">
        <v>2</v>
      </c>
      <c r="G5" s="14"/>
      <c r="I5">
        <f t="shared" si="0"/>
        <v>4</v>
      </c>
    </row>
    <row r="6" ht="22" customHeight="1" spans="1:9">
      <c r="A6" s="8">
        <v>4</v>
      </c>
      <c r="B6" s="9">
        <v>46121</v>
      </c>
      <c r="C6" s="10" t="s">
        <v>18</v>
      </c>
      <c r="D6" s="11" t="s">
        <v>66</v>
      </c>
      <c r="E6" s="12"/>
      <c r="F6" s="10">
        <v>4</v>
      </c>
      <c r="G6" s="14"/>
      <c r="I6">
        <f t="shared" si="0"/>
        <v>4</v>
      </c>
    </row>
    <row r="7" ht="22" customHeight="1" spans="1:9">
      <c r="A7" s="8">
        <v>5</v>
      </c>
      <c r="B7" s="9">
        <v>46121</v>
      </c>
      <c r="C7" s="10" t="s">
        <v>19</v>
      </c>
      <c r="D7" s="11" t="s">
        <v>66</v>
      </c>
      <c r="E7" s="10">
        <v>2</v>
      </c>
      <c r="F7" s="10">
        <v>2</v>
      </c>
      <c r="G7" s="10" t="s">
        <v>20</v>
      </c>
      <c r="I7">
        <f t="shared" si="0"/>
        <v>4</v>
      </c>
    </row>
    <row r="8" ht="22" customHeight="1" spans="1:9">
      <c r="A8" s="8">
        <v>6</v>
      </c>
      <c r="B8" s="9">
        <v>46121</v>
      </c>
      <c r="C8" s="10" t="s">
        <v>21</v>
      </c>
      <c r="D8" s="11" t="s">
        <v>66</v>
      </c>
      <c r="E8" s="10">
        <v>4</v>
      </c>
      <c r="F8" s="12"/>
      <c r="G8" s="12"/>
      <c r="I8">
        <f t="shared" si="0"/>
        <v>4</v>
      </c>
    </row>
    <row r="9" ht="22" customHeight="1" spans="1:9">
      <c r="A9" s="8">
        <v>7</v>
      </c>
      <c r="B9" s="9">
        <v>46121</v>
      </c>
      <c r="C9" s="10" t="s">
        <v>22</v>
      </c>
      <c r="D9" s="11" t="s">
        <v>66</v>
      </c>
      <c r="E9" s="12"/>
      <c r="F9" s="10">
        <v>4</v>
      </c>
      <c r="G9" s="12"/>
      <c r="I9">
        <f t="shared" si="0"/>
        <v>4</v>
      </c>
    </row>
    <row r="10" ht="22" customHeight="1" spans="1:9">
      <c r="A10" s="8">
        <v>8</v>
      </c>
      <c r="B10" s="9">
        <v>46121</v>
      </c>
      <c r="C10" s="10" t="s">
        <v>23</v>
      </c>
      <c r="D10" s="11" t="s">
        <v>66</v>
      </c>
      <c r="E10" s="12"/>
      <c r="F10" s="10">
        <v>4</v>
      </c>
      <c r="G10" s="12"/>
      <c r="I10">
        <f t="shared" si="0"/>
        <v>4</v>
      </c>
    </row>
    <row r="11" customFormat="1" ht="22" customHeight="1" spans="1:9">
      <c r="A11" s="8">
        <v>9</v>
      </c>
      <c r="B11" s="9">
        <v>46121</v>
      </c>
      <c r="C11" s="10" t="s">
        <v>24</v>
      </c>
      <c r="D11" s="11" t="s">
        <v>66</v>
      </c>
      <c r="E11" s="10">
        <v>4</v>
      </c>
      <c r="F11" s="12"/>
      <c r="G11" s="12"/>
      <c r="I11">
        <f t="shared" si="0"/>
        <v>4</v>
      </c>
    </row>
    <row r="12" customFormat="1" ht="22" customHeight="1" spans="1:9">
      <c r="A12" s="8">
        <v>10</v>
      </c>
      <c r="B12" s="9">
        <v>46121</v>
      </c>
      <c r="C12" s="10" t="s">
        <v>25</v>
      </c>
      <c r="D12" s="11" t="s">
        <v>66</v>
      </c>
      <c r="E12" s="10">
        <v>4</v>
      </c>
      <c r="F12" s="12"/>
      <c r="G12" s="12"/>
      <c r="I12">
        <f t="shared" si="0"/>
        <v>4</v>
      </c>
    </row>
    <row r="13" customFormat="1" ht="22" customHeight="1" spans="1:9">
      <c r="A13" s="8">
        <v>11</v>
      </c>
      <c r="B13" s="9">
        <v>46121</v>
      </c>
      <c r="C13" s="10" t="s">
        <v>26</v>
      </c>
      <c r="D13" s="11" t="s">
        <v>66</v>
      </c>
      <c r="E13" s="10">
        <v>2</v>
      </c>
      <c r="F13" s="10">
        <v>2</v>
      </c>
      <c r="G13" s="15" t="s">
        <v>20</v>
      </c>
      <c r="I13">
        <f t="shared" si="0"/>
        <v>4</v>
      </c>
    </row>
    <row r="14" customFormat="1" ht="22" customHeight="1" spans="1:9">
      <c r="A14" s="8">
        <v>12</v>
      </c>
      <c r="B14" s="9">
        <v>46121</v>
      </c>
      <c r="C14" s="10" t="s">
        <v>28</v>
      </c>
      <c r="D14" s="11" t="s">
        <v>66</v>
      </c>
      <c r="E14" s="12"/>
      <c r="F14" s="10">
        <v>4</v>
      </c>
      <c r="G14" s="12"/>
      <c r="I14">
        <f t="shared" si="0"/>
        <v>4</v>
      </c>
    </row>
    <row r="15" customFormat="1" ht="22" customHeight="1" spans="1:9">
      <c r="A15" s="8">
        <v>13</v>
      </c>
      <c r="B15" s="9">
        <v>46121</v>
      </c>
      <c r="C15" s="10" t="s">
        <v>29</v>
      </c>
      <c r="D15" s="11" t="s">
        <v>66</v>
      </c>
      <c r="E15" s="12"/>
      <c r="F15" s="10">
        <v>4</v>
      </c>
      <c r="G15" s="12"/>
      <c r="I15">
        <f t="shared" si="0"/>
        <v>4</v>
      </c>
    </row>
    <row r="16" customFormat="1" ht="22" customHeight="1" spans="1:9">
      <c r="A16" s="8">
        <v>14</v>
      </c>
      <c r="B16" s="9">
        <v>46121</v>
      </c>
      <c r="C16" s="10" t="s">
        <v>30</v>
      </c>
      <c r="D16" s="11" t="s">
        <v>66</v>
      </c>
      <c r="E16" s="10">
        <v>2</v>
      </c>
      <c r="F16" s="10">
        <v>2</v>
      </c>
      <c r="G16" s="12"/>
      <c r="I16">
        <f t="shared" si="0"/>
        <v>4</v>
      </c>
    </row>
    <row r="17" customFormat="1" ht="22" customHeight="1" spans="1:9">
      <c r="A17" s="8">
        <v>15</v>
      </c>
      <c r="B17" s="9">
        <v>46121</v>
      </c>
      <c r="C17" s="10" t="s">
        <v>31</v>
      </c>
      <c r="D17" s="11" t="s">
        <v>66</v>
      </c>
      <c r="E17" s="10"/>
      <c r="F17" s="10">
        <v>4</v>
      </c>
      <c r="G17" s="12" t="s">
        <v>70</v>
      </c>
      <c r="I17">
        <f t="shared" si="0"/>
        <v>4</v>
      </c>
    </row>
    <row r="18" customFormat="1" ht="22" customHeight="1" spans="1:9">
      <c r="A18" s="8">
        <v>16</v>
      </c>
      <c r="B18" s="9">
        <v>46121</v>
      </c>
      <c r="C18" s="10" t="s">
        <v>33</v>
      </c>
      <c r="D18" s="11" t="s">
        <v>66</v>
      </c>
      <c r="E18" s="10">
        <v>4</v>
      </c>
      <c r="F18" s="12"/>
      <c r="G18" s="10" t="s">
        <v>34</v>
      </c>
      <c r="I18">
        <f t="shared" si="0"/>
        <v>4</v>
      </c>
    </row>
    <row r="19" customFormat="1" ht="22" customHeight="1" spans="1:9">
      <c r="A19" s="8">
        <v>17</v>
      </c>
      <c r="B19" s="9">
        <v>46121</v>
      </c>
      <c r="C19" s="10" t="s">
        <v>40</v>
      </c>
      <c r="D19" s="11" t="s">
        <v>66</v>
      </c>
      <c r="E19" s="12"/>
      <c r="F19" s="10">
        <v>4</v>
      </c>
      <c r="G19" s="16"/>
      <c r="I19">
        <f t="shared" si="0"/>
        <v>4</v>
      </c>
    </row>
    <row r="20" customFormat="1" ht="22" customHeight="1" spans="1:9">
      <c r="A20" s="8">
        <v>18</v>
      </c>
      <c r="B20" s="9">
        <v>46121</v>
      </c>
      <c r="C20" s="10" t="s">
        <v>35</v>
      </c>
      <c r="D20" s="11" t="s">
        <v>66</v>
      </c>
      <c r="E20" s="12"/>
      <c r="F20" s="10">
        <v>4</v>
      </c>
      <c r="G20" s="16"/>
      <c r="I20">
        <f t="shared" si="0"/>
        <v>4</v>
      </c>
    </row>
    <row r="21" customFormat="1" ht="22" customHeight="1" spans="1:9">
      <c r="A21" s="8">
        <v>19</v>
      </c>
      <c r="B21" s="9">
        <v>46121</v>
      </c>
      <c r="C21" s="15" t="s">
        <v>36</v>
      </c>
      <c r="D21" s="11" t="s">
        <v>66</v>
      </c>
      <c r="E21" s="12"/>
      <c r="F21" s="10">
        <v>4</v>
      </c>
      <c r="G21" s="16"/>
      <c r="I21">
        <f t="shared" si="0"/>
        <v>4</v>
      </c>
    </row>
    <row r="22" customFormat="1" ht="22" customHeight="1" spans="1:9">
      <c r="A22" s="8">
        <v>20</v>
      </c>
      <c r="B22" s="9">
        <v>46121</v>
      </c>
      <c r="C22" s="10" t="s">
        <v>58</v>
      </c>
      <c r="D22" s="11" t="s">
        <v>66</v>
      </c>
      <c r="E22" s="10"/>
      <c r="F22" s="10">
        <v>4</v>
      </c>
      <c r="G22" s="16"/>
      <c r="H22" s="17" t="s">
        <v>73</v>
      </c>
      <c r="I22">
        <f t="shared" si="0"/>
        <v>4</v>
      </c>
    </row>
    <row r="23" customFormat="1" ht="22" customHeight="1" spans="1:9">
      <c r="A23" s="8">
        <v>21</v>
      </c>
      <c r="B23" s="9">
        <v>46121</v>
      </c>
      <c r="C23" s="10" t="s">
        <v>42</v>
      </c>
      <c r="D23" s="11" t="s">
        <v>66</v>
      </c>
      <c r="E23" s="10">
        <v>4</v>
      </c>
      <c r="F23" s="11"/>
      <c r="G23" s="11"/>
      <c r="I23">
        <f t="shared" si="0"/>
        <v>4</v>
      </c>
    </row>
    <row r="24" customFormat="1" ht="22" customHeight="1" spans="1:9">
      <c r="A24" s="8">
        <v>22</v>
      </c>
      <c r="B24" s="9">
        <v>46121</v>
      </c>
      <c r="C24" s="10" t="s">
        <v>38</v>
      </c>
      <c r="D24" s="11" t="s">
        <v>66</v>
      </c>
      <c r="E24" s="12"/>
      <c r="F24" s="10">
        <v>4</v>
      </c>
      <c r="G24" s="16"/>
      <c r="I24">
        <f t="shared" si="0"/>
        <v>4</v>
      </c>
    </row>
    <row r="25" customFormat="1" ht="22" customHeight="1" spans="1:9">
      <c r="A25" s="8">
        <v>23</v>
      </c>
      <c r="B25" s="9">
        <v>46121</v>
      </c>
      <c r="C25" s="10" t="s">
        <v>39</v>
      </c>
      <c r="D25" s="11" t="s">
        <v>66</v>
      </c>
      <c r="E25" s="12"/>
      <c r="F25" s="10">
        <v>4</v>
      </c>
      <c r="G25" s="16"/>
      <c r="I25">
        <f t="shared" si="0"/>
        <v>4</v>
      </c>
    </row>
    <row r="26" customFormat="1" ht="22" customHeight="1" spans="1:9">
      <c r="A26" s="8">
        <v>24</v>
      </c>
      <c r="B26" s="9">
        <v>46121</v>
      </c>
      <c r="C26" s="10" t="s">
        <v>41</v>
      </c>
      <c r="D26" s="11" t="s">
        <v>66</v>
      </c>
      <c r="E26" s="12"/>
      <c r="F26" s="10">
        <v>4</v>
      </c>
      <c r="G26" s="10"/>
      <c r="I26">
        <f t="shared" si="0"/>
        <v>4</v>
      </c>
    </row>
    <row r="27" customFormat="1" ht="22" customHeight="1" spans="1:9">
      <c r="A27" s="8">
        <v>25</v>
      </c>
      <c r="B27" s="9">
        <v>46121</v>
      </c>
      <c r="C27" s="11" t="s">
        <v>44</v>
      </c>
      <c r="D27" s="11" t="s">
        <v>66</v>
      </c>
      <c r="E27" s="10">
        <v>4</v>
      </c>
      <c r="F27" s="11"/>
      <c r="G27" s="11"/>
      <c r="I27">
        <f t="shared" si="0"/>
        <v>4</v>
      </c>
    </row>
    <row r="28" customFormat="1" ht="22" customHeight="1" spans="1:9">
      <c r="A28" s="8"/>
      <c r="B28" s="9"/>
      <c r="C28" s="11"/>
      <c r="D28" s="11"/>
      <c r="E28" s="10"/>
      <c r="F28" s="11"/>
      <c r="G28" s="11"/>
    </row>
    <row r="29" customFormat="1" ht="22" customHeight="1" spans="1:9">
      <c r="A29" s="8"/>
      <c r="B29" s="22"/>
      <c r="C29" s="11"/>
      <c r="D29" s="11"/>
      <c r="E29" s="23"/>
      <c r="F29" s="11"/>
      <c r="G29" s="16"/>
    </row>
    <row r="30" customFormat="1" spans="1:9">
      <c r="E30" s="24">
        <f>SUM(E3:E29)</f>
        <v>32</v>
      </c>
      <c r="F30" s="24">
        <f>SUM(F3:F29)</f>
        <v>68</v>
      </c>
    </row>
    <row r="32" customFormat="1" spans="1:9">
      <c r="E32" s="24"/>
      <c r="F32" s="24"/>
    </row>
    <row r="34" customFormat="1" spans="5:6">
      <c r="E34" s="24"/>
      <c r="F34" s="24"/>
    </row>
    <row r="35" customFormat="1" spans="5:6">
      <c r="E35" s="24"/>
      <c r="F35" s="24"/>
    </row>
  </sheetData>
  <mergeCells count="1">
    <mergeCell ref="A1:G1"/>
  </mergeCells>
  <conditionalFormatting sqref="C2:C14">
    <cfRule type="duplicateValues" dxfId="0" priority="1"/>
  </conditionalFormatting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workbookViewId="0">
      <pane ySplit="2" topLeftCell="A11" activePane="bottomLeft" state="frozen"/>
      <selection/>
      <selection pane="bottomLeft" activeCell="E29" sqref="E29:F29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6.1428571428571" customWidth="1"/>
    <col min="4" max="4" width="12.1428571428571" customWidth="1"/>
    <col min="5" max="6" width="12.1428571428571" style="25" customWidth="1"/>
    <col min="7" max="7" width="28.5714285714286" style="25" customWidth="1"/>
    <col min="8" max="8" width="20.5714285714286" style="25" customWidth="1"/>
    <col min="9" max="10" width="9.14285714285714" style="25"/>
  </cols>
  <sheetData>
    <row r="1" ht="38" customHeight="1" spans="1:10">
      <c r="A1" s="2" t="s">
        <v>61</v>
      </c>
      <c r="B1" s="2"/>
      <c r="C1" s="2"/>
      <c r="D1" s="2"/>
      <c r="E1" s="26"/>
      <c r="F1" s="27"/>
      <c r="G1" s="28"/>
    </row>
    <row r="2" s="1" customFormat="1" ht="32" customHeight="1" spans="1:10">
      <c r="A2" s="5" t="s">
        <v>2</v>
      </c>
      <c r="B2" s="5" t="s">
        <v>50</v>
      </c>
      <c r="C2" s="5" t="s">
        <v>3</v>
      </c>
      <c r="D2" s="6" t="s">
        <v>62</v>
      </c>
      <c r="E2" s="29" t="s">
        <v>63</v>
      </c>
      <c r="F2" s="29" t="s">
        <v>64</v>
      </c>
      <c r="G2" s="29" t="s">
        <v>7</v>
      </c>
      <c r="H2" s="30"/>
      <c r="I2" s="30"/>
      <c r="J2" s="30"/>
    </row>
    <row r="3" ht="22" customHeight="1" spans="1:10">
      <c r="A3" s="8">
        <v>1</v>
      </c>
      <c r="B3" s="9">
        <v>46125</v>
      </c>
      <c r="C3" s="10" t="s">
        <v>13</v>
      </c>
      <c r="D3" s="11" t="s">
        <v>65</v>
      </c>
      <c r="E3" s="31"/>
      <c r="F3" s="32">
        <v>3</v>
      </c>
      <c r="G3" s="33"/>
      <c r="I3" s="25">
        <f t="shared" ref="I3:I27" si="0">SUM(E3:F3)</f>
        <v>3</v>
      </c>
    </row>
    <row r="4" ht="22" customHeight="1" spans="1:10">
      <c r="A4" s="8">
        <v>2</v>
      </c>
      <c r="B4" s="9">
        <v>46125</v>
      </c>
      <c r="C4" s="10" t="s">
        <v>15</v>
      </c>
      <c r="D4" s="11" t="s">
        <v>65</v>
      </c>
      <c r="E4" s="31"/>
      <c r="F4" s="32">
        <v>3</v>
      </c>
      <c r="G4" s="34"/>
      <c r="I4" s="25">
        <f t="shared" si="0"/>
        <v>3</v>
      </c>
    </row>
    <row r="5" ht="22" customHeight="1" spans="1:10">
      <c r="A5" s="8">
        <v>3</v>
      </c>
      <c r="B5" s="9">
        <v>46125</v>
      </c>
      <c r="C5" s="10" t="s">
        <v>16</v>
      </c>
      <c r="D5" s="11" t="s">
        <v>65</v>
      </c>
      <c r="E5" s="32">
        <v>2</v>
      </c>
      <c r="F5" s="32">
        <v>1</v>
      </c>
      <c r="G5" s="34"/>
      <c r="I5" s="25">
        <f t="shared" si="0"/>
        <v>3</v>
      </c>
    </row>
    <row r="6" ht="22" customHeight="1" spans="1:10">
      <c r="A6" s="8">
        <v>4</v>
      </c>
      <c r="B6" s="9">
        <v>46125</v>
      </c>
      <c r="C6" s="10" t="s">
        <v>18</v>
      </c>
      <c r="D6" s="11" t="s">
        <v>65</v>
      </c>
      <c r="E6" s="31"/>
      <c r="F6" s="32">
        <v>3</v>
      </c>
      <c r="G6" s="34"/>
      <c r="I6" s="25">
        <f t="shared" si="0"/>
        <v>3</v>
      </c>
    </row>
    <row r="7" ht="22" customHeight="1" spans="1:10">
      <c r="A7" s="8">
        <v>5</v>
      </c>
      <c r="B7" s="9">
        <v>46125</v>
      </c>
      <c r="C7" s="10" t="s">
        <v>19</v>
      </c>
      <c r="D7" s="11" t="s">
        <v>65</v>
      </c>
      <c r="E7" s="32">
        <v>2</v>
      </c>
      <c r="F7" s="32">
        <v>1</v>
      </c>
      <c r="G7" s="35" t="s">
        <v>74</v>
      </c>
      <c r="I7" s="25">
        <f t="shared" si="0"/>
        <v>3</v>
      </c>
    </row>
    <row r="8" ht="22" customHeight="1" spans="1:10">
      <c r="A8" s="8">
        <v>6</v>
      </c>
      <c r="B8" s="9">
        <v>46125</v>
      </c>
      <c r="C8" s="10" t="s">
        <v>21</v>
      </c>
      <c r="D8" s="11" t="s">
        <v>65</v>
      </c>
      <c r="E8" s="32">
        <v>3</v>
      </c>
      <c r="F8" s="31"/>
      <c r="G8" s="36"/>
      <c r="I8" s="25">
        <f t="shared" si="0"/>
        <v>3</v>
      </c>
    </row>
    <row r="9" ht="22" customHeight="1" spans="1:10">
      <c r="A9" s="8">
        <v>7</v>
      </c>
      <c r="B9" s="9">
        <v>46125</v>
      </c>
      <c r="C9" s="10" t="s">
        <v>22</v>
      </c>
      <c r="D9" s="11" t="s">
        <v>65</v>
      </c>
      <c r="E9" s="31"/>
      <c r="F9" s="32">
        <v>3</v>
      </c>
      <c r="G9" s="36"/>
      <c r="I9" s="25">
        <f t="shared" si="0"/>
        <v>3</v>
      </c>
    </row>
    <row r="10" ht="22" customHeight="1" spans="1:10">
      <c r="A10" s="8">
        <v>8</v>
      </c>
      <c r="B10" s="9">
        <v>46125</v>
      </c>
      <c r="C10" s="10" t="s">
        <v>23</v>
      </c>
      <c r="D10" s="11" t="s">
        <v>65</v>
      </c>
      <c r="E10" s="31"/>
      <c r="F10" s="32">
        <v>3</v>
      </c>
      <c r="G10" s="36"/>
      <c r="I10" s="25">
        <f t="shared" si="0"/>
        <v>3</v>
      </c>
    </row>
    <row r="11" customFormat="1" ht="22" customHeight="1" spans="1:10">
      <c r="A11" s="8">
        <v>9</v>
      </c>
      <c r="B11" s="9">
        <v>46125</v>
      </c>
      <c r="C11" s="10" t="s">
        <v>24</v>
      </c>
      <c r="D11" s="11" t="s">
        <v>65</v>
      </c>
      <c r="E11" s="32">
        <v>3</v>
      </c>
      <c r="F11" s="31"/>
      <c r="G11" s="36"/>
      <c r="H11" s="25"/>
      <c r="I11" s="25">
        <f t="shared" si="0"/>
        <v>3</v>
      </c>
      <c r="J11" s="25"/>
    </row>
    <row r="12" customFormat="1" ht="22" customHeight="1" spans="1:10">
      <c r="A12" s="8">
        <v>10</v>
      </c>
      <c r="B12" s="9">
        <v>46125</v>
      </c>
      <c r="C12" s="10" t="s">
        <v>25</v>
      </c>
      <c r="D12" s="11" t="s">
        <v>65</v>
      </c>
      <c r="E12" s="32">
        <v>3</v>
      </c>
      <c r="F12" s="31"/>
      <c r="G12" s="36"/>
      <c r="H12" s="25"/>
      <c r="I12" s="25">
        <f t="shared" si="0"/>
        <v>3</v>
      </c>
      <c r="J12" s="25"/>
    </row>
    <row r="13" customFormat="1" ht="22" customHeight="1" spans="1:10">
      <c r="A13" s="8">
        <v>11</v>
      </c>
      <c r="B13" s="9">
        <v>46125</v>
      </c>
      <c r="C13" s="10" t="s">
        <v>26</v>
      </c>
      <c r="D13" s="11" t="s">
        <v>65</v>
      </c>
      <c r="E13" s="32">
        <v>2</v>
      </c>
      <c r="F13" s="32">
        <v>1</v>
      </c>
      <c r="G13" s="35" t="s">
        <v>74</v>
      </c>
      <c r="H13" s="25"/>
      <c r="I13" s="25">
        <f t="shared" si="0"/>
        <v>3</v>
      </c>
      <c r="J13" s="25"/>
    </row>
    <row r="14" customFormat="1" ht="22" customHeight="1" spans="1:10">
      <c r="A14" s="8">
        <v>12</v>
      </c>
      <c r="B14" s="9">
        <v>46125</v>
      </c>
      <c r="C14" s="10" t="s">
        <v>28</v>
      </c>
      <c r="D14" s="11" t="s">
        <v>65</v>
      </c>
      <c r="E14" s="31"/>
      <c r="F14" s="32">
        <v>3</v>
      </c>
      <c r="G14" s="37"/>
      <c r="H14" s="25"/>
      <c r="I14" s="25">
        <f t="shared" si="0"/>
        <v>3</v>
      </c>
      <c r="J14" s="25"/>
    </row>
    <row r="15" customFormat="1" ht="22" customHeight="1" spans="1:10">
      <c r="A15" s="8">
        <v>13</v>
      </c>
      <c r="B15" s="9">
        <v>46125</v>
      </c>
      <c r="C15" s="10" t="s">
        <v>29</v>
      </c>
      <c r="D15" s="11" t="s">
        <v>65</v>
      </c>
      <c r="E15" s="31"/>
      <c r="F15" s="32">
        <v>3</v>
      </c>
      <c r="G15" s="31"/>
      <c r="H15" s="25"/>
      <c r="I15" s="25">
        <f t="shared" si="0"/>
        <v>3</v>
      </c>
      <c r="J15" s="25"/>
    </row>
    <row r="16" customFormat="1" ht="22" customHeight="1" spans="1:10">
      <c r="A16" s="8">
        <v>14</v>
      </c>
      <c r="B16" s="9">
        <v>46125</v>
      </c>
      <c r="C16" s="10" t="s">
        <v>30</v>
      </c>
      <c r="D16" s="11" t="s">
        <v>65</v>
      </c>
      <c r="E16" s="32">
        <v>2</v>
      </c>
      <c r="F16" s="32">
        <v>1</v>
      </c>
      <c r="G16" s="31"/>
      <c r="H16" s="25"/>
      <c r="I16" s="25">
        <f t="shared" si="0"/>
        <v>3</v>
      </c>
      <c r="J16" s="25"/>
    </row>
    <row r="17" customFormat="1" ht="22" customHeight="1" spans="1:10">
      <c r="A17" s="8">
        <v>15</v>
      </c>
      <c r="B17" s="9">
        <v>46125</v>
      </c>
      <c r="C17" s="10" t="s">
        <v>31</v>
      </c>
      <c r="D17" s="11" t="s">
        <v>65</v>
      </c>
      <c r="E17" s="32"/>
      <c r="F17" s="32">
        <v>3</v>
      </c>
      <c r="G17" s="31" t="s">
        <v>70</v>
      </c>
      <c r="H17" s="25"/>
      <c r="I17" s="25">
        <f t="shared" si="0"/>
        <v>3</v>
      </c>
      <c r="J17" s="25"/>
    </row>
    <row r="18" customFormat="1" ht="22" customHeight="1" spans="1:10">
      <c r="A18" s="8">
        <v>16</v>
      </c>
      <c r="B18" s="9">
        <v>46125</v>
      </c>
      <c r="C18" s="10" t="s">
        <v>33</v>
      </c>
      <c r="D18" s="11" t="s">
        <v>65</v>
      </c>
      <c r="E18" s="32">
        <v>3</v>
      </c>
      <c r="F18" s="31"/>
      <c r="G18" s="32"/>
      <c r="H18" s="25"/>
      <c r="I18" s="25">
        <f t="shared" si="0"/>
        <v>3</v>
      </c>
      <c r="J18" s="25"/>
    </row>
    <row r="19" customFormat="1" ht="22" customHeight="1" spans="1:10">
      <c r="A19" s="8">
        <v>17</v>
      </c>
      <c r="B19" s="9">
        <v>46125</v>
      </c>
      <c r="C19" s="10" t="s">
        <v>40</v>
      </c>
      <c r="D19" s="11" t="s">
        <v>65</v>
      </c>
      <c r="E19" s="31"/>
      <c r="F19" s="32">
        <v>3</v>
      </c>
      <c r="G19" s="38"/>
      <c r="H19" s="25"/>
      <c r="I19" s="25">
        <f t="shared" si="0"/>
        <v>3</v>
      </c>
      <c r="J19" s="25"/>
    </row>
    <row r="20" customFormat="1" ht="22" customHeight="1" spans="1:10">
      <c r="A20" s="8">
        <v>18</v>
      </c>
      <c r="B20" s="9">
        <v>46125</v>
      </c>
      <c r="C20" s="10" t="s">
        <v>35</v>
      </c>
      <c r="D20" s="11" t="s">
        <v>65</v>
      </c>
      <c r="E20" s="31"/>
      <c r="F20" s="32">
        <v>3</v>
      </c>
      <c r="G20" s="38"/>
      <c r="H20" s="25"/>
      <c r="I20" s="25">
        <f t="shared" si="0"/>
        <v>3</v>
      </c>
      <c r="J20" s="25"/>
    </row>
    <row r="21" customFormat="1" ht="22" customHeight="1" spans="1:10">
      <c r="A21" s="8">
        <v>19</v>
      </c>
      <c r="B21" s="9">
        <v>46125</v>
      </c>
      <c r="C21" s="15" t="s">
        <v>36</v>
      </c>
      <c r="D21" s="11" t="s">
        <v>65</v>
      </c>
      <c r="E21" s="31"/>
      <c r="F21" s="32">
        <v>3</v>
      </c>
      <c r="G21" s="38"/>
      <c r="H21" s="25"/>
      <c r="I21" s="25">
        <f t="shared" si="0"/>
        <v>3</v>
      </c>
      <c r="J21" s="25"/>
    </row>
    <row r="22" customFormat="1" ht="22" customHeight="1" spans="1:10">
      <c r="A22" s="8">
        <v>20</v>
      </c>
      <c r="B22" s="9">
        <v>46125</v>
      </c>
      <c r="C22" s="10" t="s">
        <v>58</v>
      </c>
      <c r="D22" s="11" t="s">
        <v>65</v>
      </c>
      <c r="E22" s="32"/>
      <c r="F22" s="32">
        <v>3</v>
      </c>
      <c r="G22" s="38"/>
      <c r="H22" s="25" t="s">
        <v>73</v>
      </c>
      <c r="I22" s="25">
        <f t="shared" si="0"/>
        <v>3</v>
      </c>
      <c r="J22" s="25"/>
    </row>
    <row r="23" customFormat="1" ht="22" customHeight="1" spans="1:10">
      <c r="A23" s="8">
        <v>21</v>
      </c>
      <c r="B23" s="9">
        <v>46125</v>
      </c>
      <c r="C23" s="10" t="s">
        <v>42</v>
      </c>
      <c r="D23" s="11" t="s">
        <v>65</v>
      </c>
      <c r="E23" s="32">
        <v>3</v>
      </c>
      <c r="F23" s="19"/>
      <c r="G23" s="19"/>
      <c r="H23" s="25"/>
      <c r="I23" s="25">
        <f t="shared" si="0"/>
        <v>3</v>
      </c>
      <c r="J23" s="25"/>
    </row>
    <row r="24" customFormat="1" ht="22" customHeight="1" spans="1:10">
      <c r="A24" s="8">
        <v>22</v>
      </c>
      <c r="B24" s="9">
        <v>46125</v>
      </c>
      <c r="C24" s="10" t="s">
        <v>38</v>
      </c>
      <c r="D24" s="11" t="s">
        <v>65</v>
      </c>
      <c r="E24" s="31"/>
      <c r="F24" s="32">
        <v>3</v>
      </c>
      <c r="G24" s="38"/>
      <c r="H24" s="25"/>
      <c r="I24" s="25">
        <f t="shared" si="0"/>
        <v>3</v>
      </c>
      <c r="J24" s="25"/>
    </row>
    <row r="25" customFormat="1" ht="22" customHeight="1" spans="1:10">
      <c r="A25" s="8">
        <v>23</v>
      </c>
      <c r="B25" s="9">
        <v>46125</v>
      </c>
      <c r="C25" s="10" t="s">
        <v>39</v>
      </c>
      <c r="D25" s="11" t="s">
        <v>65</v>
      </c>
      <c r="E25" s="31"/>
      <c r="F25" s="32">
        <v>3</v>
      </c>
      <c r="G25" s="38"/>
      <c r="H25" s="25"/>
      <c r="I25" s="25">
        <f t="shared" si="0"/>
        <v>3</v>
      </c>
      <c r="J25" s="25"/>
    </row>
    <row r="26" customFormat="1" ht="22" customHeight="1" spans="1:10">
      <c r="A26" s="8">
        <v>24</v>
      </c>
      <c r="B26" s="9">
        <v>46125</v>
      </c>
      <c r="C26" s="10" t="s">
        <v>41</v>
      </c>
      <c r="D26" s="11" t="s">
        <v>65</v>
      </c>
      <c r="E26" s="31"/>
      <c r="F26" s="32">
        <v>3</v>
      </c>
      <c r="G26" s="32"/>
      <c r="H26" s="25"/>
      <c r="I26" s="25">
        <f t="shared" si="0"/>
        <v>3</v>
      </c>
      <c r="J26" s="25"/>
    </row>
    <row r="27" customFormat="1" ht="22" customHeight="1" spans="1:10">
      <c r="A27" s="8">
        <v>25</v>
      </c>
      <c r="B27" s="9">
        <v>46125</v>
      </c>
      <c r="C27" s="11" t="s">
        <v>44</v>
      </c>
      <c r="D27" s="11" t="s">
        <v>65</v>
      </c>
      <c r="E27" s="32">
        <v>3</v>
      </c>
      <c r="F27" s="19"/>
      <c r="G27" s="19"/>
      <c r="H27" s="25"/>
      <c r="I27" s="25">
        <f t="shared" si="0"/>
        <v>3</v>
      </c>
      <c r="J27" s="25"/>
    </row>
    <row r="28" customFormat="1" ht="22" customHeight="1" spans="1:10">
      <c r="A28" s="8"/>
      <c r="B28" s="22"/>
      <c r="C28" s="11"/>
      <c r="D28" s="11"/>
      <c r="E28" s="40"/>
      <c r="F28" s="19"/>
      <c r="G28" s="38"/>
      <c r="H28" s="25"/>
      <c r="I28" s="25"/>
      <c r="J28" s="25"/>
    </row>
    <row r="29" customFormat="1" spans="1:10">
      <c r="E29" s="41">
        <f t="shared" ref="E29:I29" si="1">SUM(E3:E28)</f>
        <v>26</v>
      </c>
      <c r="F29" s="41">
        <f t="shared" si="1"/>
        <v>49</v>
      </c>
      <c r="G29" s="25"/>
      <c r="H29" s="25"/>
      <c r="I29" s="41">
        <f t="shared" si="1"/>
        <v>75</v>
      </c>
      <c r="J29" s="25"/>
    </row>
    <row r="31" customFormat="1" spans="1:10">
      <c r="E31" s="41"/>
      <c r="F31" s="41"/>
      <c r="G31" s="25"/>
      <c r="H31" s="25"/>
      <c r="I31" s="25"/>
      <c r="J31" s="25"/>
    </row>
    <row r="33" customFormat="1" spans="5:10">
      <c r="E33" s="41"/>
      <c r="F33" s="41"/>
      <c r="G33" s="25"/>
      <c r="H33" s="25"/>
      <c r="I33" s="25"/>
      <c r="J33" s="25"/>
    </row>
    <row r="34" customFormat="1" spans="5:10">
      <c r="E34" s="41"/>
      <c r="F34" s="41"/>
      <c r="G34" s="25"/>
      <c r="H34" s="25"/>
      <c r="I34" s="25"/>
      <c r="J34" s="25"/>
    </row>
  </sheetData>
  <mergeCells count="1">
    <mergeCell ref="A1:G1"/>
  </mergeCells>
  <conditionalFormatting sqref="C2:C14">
    <cfRule type="duplicateValues" dxfId="0" priority="1"/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topLeftCell="A13" workbookViewId="0">
      <selection activeCell="G35" sqref="G35"/>
    </sheetView>
  </sheetViews>
  <sheetFormatPr defaultColWidth="9.14285714285714" defaultRowHeight="12"/>
  <cols>
    <col min="1" max="1" width="8.14285714285714" customWidth="1"/>
    <col min="2" max="2" width="12.4285714285714" customWidth="1"/>
    <col min="3" max="3" width="16.8571428571429" customWidth="1"/>
    <col min="4" max="6" width="12.1428571428571" customWidth="1"/>
    <col min="7" max="7" width="28.5714285714286" customWidth="1"/>
  </cols>
  <sheetData>
    <row r="1" ht="38" customHeight="1" spans="1:9">
      <c r="A1" s="2" t="s">
        <v>61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50</v>
      </c>
      <c r="C2" s="5" t="s">
        <v>3</v>
      </c>
      <c r="D2" s="6" t="s">
        <v>62</v>
      </c>
      <c r="E2" s="7" t="s">
        <v>63</v>
      </c>
      <c r="F2" s="7" t="s">
        <v>64</v>
      </c>
      <c r="G2" s="7" t="s">
        <v>7</v>
      </c>
    </row>
    <row r="3" ht="22" customHeight="1" spans="1:9">
      <c r="A3" s="8">
        <v>1</v>
      </c>
      <c r="B3" s="9">
        <v>46128</v>
      </c>
      <c r="C3" s="10" t="s">
        <v>13</v>
      </c>
      <c r="D3" s="11" t="s">
        <v>66</v>
      </c>
      <c r="E3" s="12"/>
      <c r="F3" s="10">
        <v>4</v>
      </c>
      <c r="G3" s="13"/>
      <c r="I3">
        <f t="shared" ref="I3:I27" si="0">SUM(E3:F3)</f>
        <v>4</v>
      </c>
    </row>
    <row r="4" ht="22" customHeight="1" spans="1:9">
      <c r="A4" s="8">
        <v>2</v>
      </c>
      <c r="B4" s="9">
        <v>46128</v>
      </c>
      <c r="C4" s="10" t="s">
        <v>15</v>
      </c>
      <c r="D4" s="11" t="s">
        <v>66</v>
      </c>
      <c r="E4" s="12"/>
      <c r="F4" s="10">
        <v>4</v>
      </c>
      <c r="G4" s="14"/>
      <c r="I4">
        <f t="shared" si="0"/>
        <v>4</v>
      </c>
    </row>
    <row r="5" ht="22" customHeight="1" spans="1:9">
      <c r="A5" s="8">
        <v>3</v>
      </c>
      <c r="B5" s="9">
        <v>46128</v>
      </c>
      <c r="C5" s="10" t="s">
        <v>16</v>
      </c>
      <c r="D5" s="11" t="s">
        <v>66</v>
      </c>
      <c r="E5" s="10">
        <v>2</v>
      </c>
      <c r="F5" s="10">
        <v>2</v>
      </c>
      <c r="G5" s="14"/>
      <c r="I5">
        <f t="shared" si="0"/>
        <v>4</v>
      </c>
    </row>
    <row r="6" ht="22" customHeight="1" spans="1:9">
      <c r="A6" s="8">
        <v>4</v>
      </c>
      <c r="B6" s="9">
        <v>46128</v>
      </c>
      <c r="C6" s="10" t="s">
        <v>18</v>
      </c>
      <c r="D6" s="11" t="s">
        <v>66</v>
      </c>
      <c r="E6" s="12"/>
      <c r="F6" s="10">
        <v>4</v>
      </c>
      <c r="G6" s="14"/>
      <c r="I6">
        <f t="shared" si="0"/>
        <v>4</v>
      </c>
    </row>
    <row r="7" ht="22" customHeight="1" spans="1:9">
      <c r="A7" s="8">
        <v>5</v>
      </c>
      <c r="B7" s="9">
        <v>46128</v>
      </c>
      <c r="C7" s="10" t="s">
        <v>19</v>
      </c>
      <c r="D7" s="11" t="s">
        <v>66</v>
      </c>
      <c r="E7" s="10">
        <v>2</v>
      </c>
      <c r="F7" s="10">
        <v>2</v>
      </c>
      <c r="G7" s="10" t="s">
        <v>20</v>
      </c>
      <c r="I7">
        <f t="shared" si="0"/>
        <v>4</v>
      </c>
    </row>
    <row r="8" ht="22" customHeight="1" spans="1:9">
      <c r="A8" s="8">
        <v>6</v>
      </c>
      <c r="B8" s="9">
        <v>46128</v>
      </c>
      <c r="C8" s="10" t="s">
        <v>21</v>
      </c>
      <c r="D8" s="11" t="s">
        <v>66</v>
      </c>
      <c r="E8" s="10">
        <v>4</v>
      </c>
      <c r="F8" s="12"/>
      <c r="G8" s="12"/>
      <c r="I8">
        <f t="shared" si="0"/>
        <v>4</v>
      </c>
    </row>
    <row r="9" ht="22" customHeight="1" spans="1:9">
      <c r="A9" s="8">
        <v>7</v>
      </c>
      <c r="B9" s="9">
        <v>46128</v>
      </c>
      <c r="C9" s="10" t="s">
        <v>22</v>
      </c>
      <c r="D9" s="11" t="s">
        <v>66</v>
      </c>
      <c r="E9" s="12"/>
      <c r="F9" s="10">
        <v>4</v>
      </c>
      <c r="G9" s="12"/>
      <c r="I9">
        <f t="shared" si="0"/>
        <v>4</v>
      </c>
    </row>
    <row r="10" ht="22" customHeight="1" spans="1:9">
      <c r="A10" s="8">
        <v>8</v>
      </c>
      <c r="B10" s="9">
        <v>46128</v>
      </c>
      <c r="C10" s="10" t="s">
        <v>23</v>
      </c>
      <c r="D10" s="11" t="s">
        <v>66</v>
      </c>
      <c r="E10" s="12"/>
      <c r="F10" s="10">
        <v>4</v>
      </c>
      <c r="G10" s="12"/>
      <c r="I10">
        <f t="shared" si="0"/>
        <v>4</v>
      </c>
    </row>
    <row r="11" customFormat="1" ht="22" customHeight="1" spans="1:9">
      <c r="A11" s="8">
        <v>9</v>
      </c>
      <c r="B11" s="9">
        <v>46128</v>
      </c>
      <c r="C11" s="10" t="s">
        <v>24</v>
      </c>
      <c r="D11" s="11" t="s">
        <v>66</v>
      </c>
      <c r="E11" s="10">
        <v>4</v>
      </c>
      <c r="F11" s="12"/>
      <c r="G11" s="12"/>
      <c r="I11">
        <f t="shared" si="0"/>
        <v>4</v>
      </c>
    </row>
    <row r="12" customFormat="1" ht="22" customHeight="1" spans="1:9">
      <c r="A12" s="8">
        <v>10</v>
      </c>
      <c r="B12" s="9">
        <v>46128</v>
      </c>
      <c r="C12" s="10" t="s">
        <v>25</v>
      </c>
      <c r="D12" s="11" t="s">
        <v>66</v>
      </c>
      <c r="E12" s="10">
        <v>4</v>
      </c>
      <c r="F12" s="12"/>
      <c r="G12" s="12"/>
      <c r="I12">
        <f t="shared" si="0"/>
        <v>4</v>
      </c>
    </row>
    <row r="13" customFormat="1" ht="22" customHeight="1" spans="1:9">
      <c r="A13" s="8">
        <v>11</v>
      </c>
      <c r="B13" s="9">
        <v>46128</v>
      </c>
      <c r="C13" s="10" t="s">
        <v>26</v>
      </c>
      <c r="D13" s="11" t="s">
        <v>66</v>
      </c>
      <c r="E13" s="10">
        <v>2</v>
      </c>
      <c r="F13" s="10">
        <v>2</v>
      </c>
      <c r="G13" s="15" t="s">
        <v>20</v>
      </c>
      <c r="I13">
        <f t="shared" si="0"/>
        <v>4</v>
      </c>
    </row>
    <row r="14" customFormat="1" ht="22" customHeight="1" spans="1:9">
      <c r="A14" s="8">
        <v>12</v>
      </c>
      <c r="B14" s="9">
        <v>46128</v>
      </c>
      <c r="C14" s="10" t="s">
        <v>28</v>
      </c>
      <c r="D14" s="11" t="s">
        <v>66</v>
      </c>
      <c r="E14" s="12"/>
      <c r="F14" s="10">
        <v>4</v>
      </c>
      <c r="G14" s="12"/>
      <c r="I14">
        <f t="shared" si="0"/>
        <v>4</v>
      </c>
    </row>
    <row r="15" customFormat="1" ht="22" customHeight="1" spans="1:9">
      <c r="A15" s="8">
        <v>13</v>
      </c>
      <c r="B15" s="9">
        <v>46128</v>
      </c>
      <c r="C15" s="10" t="s">
        <v>29</v>
      </c>
      <c r="D15" s="11" t="s">
        <v>66</v>
      </c>
      <c r="E15" s="12"/>
      <c r="F15" s="10">
        <v>4</v>
      </c>
      <c r="G15" s="12"/>
      <c r="I15">
        <f t="shared" si="0"/>
        <v>4</v>
      </c>
    </row>
    <row r="16" customFormat="1" ht="22" customHeight="1" spans="1:9">
      <c r="A16" s="8">
        <v>14</v>
      </c>
      <c r="B16" s="9">
        <v>46128</v>
      </c>
      <c r="C16" s="10" t="s">
        <v>30</v>
      </c>
      <c r="D16" s="11" t="s">
        <v>66</v>
      </c>
      <c r="E16" s="10">
        <v>2</v>
      </c>
      <c r="F16" s="10">
        <v>2</v>
      </c>
      <c r="G16" s="12"/>
      <c r="I16">
        <f t="shared" si="0"/>
        <v>4</v>
      </c>
    </row>
    <row r="17" customFormat="1" ht="22" customHeight="1" spans="1:9">
      <c r="A17" s="8">
        <v>15</v>
      </c>
      <c r="B17" s="9">
        <v>46128</v>
      </c>
      <c r="C17" s="10" t="s">
        <v>31</v>
      </c>
      <c r="D17" s="11" t="s">
        <v>66</v>
      </c>
      <c r="E17" s="10"/>
      <c r="F17" s="10">
        <v>4</v>
      </c>
      <c r="G17" s="12" t="s">
        <v>70</v>
      </c>
      <c r="I17">
        <f t="shared" si="0"/>
        <v>4</v>
      </c>
    </row>
    <row r="18" customFormat="1" ht="22" customHeight="1" spans="1:9">
      <c r="A18" s="8">
        <v>16</v>
      </c>
      <c r="B18" s="9">
        <v>46128</v>
      </c>
      <c r="C18" s="10" t="s">
        <v>33</v>
      </c>
      <c r="D18" s="11" t="s">
        <v>66</v>
      </c>
      <c r="E18" s="10">
        <v>4</v>
      </c>
      <c r="F18" s="12"/>
      <c r="G18" s="10" t="s">
        <v>34</v>
      </c>
      <c r="I18">
        <f t="shared" si="0"/>
        <v>4</v>
      </c>
    </row>
    <row r="19" customFormat="1" ht="22" customHeight="1" spans="1:9">
      <c r="A19" s="8">
        <v>17</v>
      </c>
      <c r="B19" s="9">
        <v>46128</v>
      </c>
      <c r="C19" s="10" t="s">
        <v>40</v>
      </c>
      <c r="D19" s="11" t="s">
        <v>66</v>
      </c>
      <c r="E19" s="12"/>
      <c r="F19" s="10">
        <v>4</v>
      </c>
      <c r="G19" s="16"/>
      <c r="I19">
        <f t="shared" si="0"/>
        <v>4</v>
      </c>
    </row>
    <row r="20" customFormat="1" ht="22" customHeight="1" spans="1:9">
      <c r="A20" s="8">
        <v>18</v>
      </c>
      <c r="B20" s="9">
        <v>46128</v>
      </c>
      <c r="C20" s="10" t="s">
        <v>35</v>
      </c>
      <c r="D20" s="11" t="s">
        <v>66</v>
      </c>
      <c r="E20" s="12"/>
      <c r="F20" s="10">
        <v>4</v>
      </c>
      <c r="G20" s="16"/>
      <c r="I20">
        <f t="shared" si="0"/>
        <v>4</v>
      </c>
    </row>
    <row r="21" customFormat="1" ht="22" customHeight="1" spans="1:9">
      <c r="A21" s="8">
        <v>19</v>
      </c>
      <c r="B21" s="9">
        <v>46128</v>
      </c>
      <c r="C21" s="15" t="s">
        <v>36</v>
      </c>
      <c r="D21" s="11" t="s">
        <v>66</v>
      </c>
      <c r="E21" s="12"/>
      <c r="F21" s="10">
        <v>4</v>
      </c>
      <c r="G21" s="16"/>
      <c r="I21">
        <f t="shared" si="0"/>
        <v>4</v>
      </c>
    </row>
    <row r="22" customFormat="1" ht="22" customHeight="1" spans="1:9">
      <c r="A22" s="8">
        <v>20</v>
      </c>
      <c r="B22" s="9">
        <v>46128</v>
      </c>
      <c r="C22" s="10" t="s">
        <v>58</v>
      </c>
      <c r="D22" s="11" t="s">
        <v>66</v>
      </c>
      <c r="E22" s="10"/>
      <c r="F22" s="10">
        <v>4</v>
      </c>
      <c r="G22" s="16"/>
      <c r="H22" s="17" t="s">
        <v>73</v>
      </c>
      <c r="I22">
        <f t="shared" si="0"/>
        <v>4</v>
      </c>
    </row>
    <row r="23" customFormat="1" ht="22" customHeight="1" spans="1:9">
      <c r="A23" s="8">
        <v>21</v>
      </c>
      <c r="B23" s="9">
        <v>46128</v>
      </c>
      <c r="C23" s="10" t="s">
        <v>42</v>
      </c>
      <c r="D23" s="11" t="s">
        <v>66</v>
      </c>
      <c r="E23" s="10">
        <v>4</v>
      </c>
      <c r="F23" s="11"/>
      <c r="G23" s="11"/>
      <c r="I23">
        <f t="shared" si="0"/>
        <v>4</v>
      </c>
    </row>
    <row r="24" customFormat="1" ht="22" customHeight="1" spans="1:9">
      <c r="A24" s="8">
        <v>22</v>
      </c>
      <c r="B24" s="9">
        <v>46128</v>
      </c>
      <c r="C24" s="10" t="s">
        <v>38</v>
      </c>
      <c r="D24" s="11" t="s">
        <v>66</v>
      </c>
      <c r="E24" s="12"/>
      <c r="F24" s="10">
        <v>4</v>
      </c>
      <c r="G24" s="16"/>
      <c r="I24">
        <f t="shared" si="0"/>
        <v>4</v>
      </c>
    </row>
    <row r="25" customFormat="1" ht="22" customHeight="1" spans="1:9">
      <c r="A25" s="8">
        <v>23</v>
      </c>
      <c r="B25" s="9">
        <v>46128</v>
      </c>
      <c r="C25" s="10" t="s">
        <v>39</v>
      </c>
      <c r="D25" s="11" t="s">
        <v>66</v>
      </c>
      <c r="E25" s="12"/>
      <c r="F25" s="10">
        <v>4</v>
      </c>
      <c r="G25" s="16"/>
      <c r="I25">
        <f t="shared" si="0"/>
        <v>4</v>
      </c>
    </row>
    <row r="26" customFormat="1" ht="22" customHeight="1" spans="1:9">
      <c r="A26" s="8">
        <v>24</v>
      </c>
      <c r="B26" s="9">
        <v>46128</v>
      </c>
      <c r="C26" s="10" t="s">
        <v>41</v>
      </c>
      <c r="D26" s="11" t="s">
        <v>66</v>
      </c>
      <c r="E26" s="12"/>
      <c r="F26" s="10">
        <v>4</v>
      </c>
      <c r="G26" s="10"/>
      <c r="I26">
        <f t="shared" si="0"/>
        <v>4</v>
      </c>
    </row>
    <row r="27" customFormat="1" ht="22" customHeight="1" spans="1:9">
      <c r="A27" s="8">
        <v>25</v>
      </c>
      <c r="B27" s="9">
        <v>46128</v>
      </c>
      <c r="C27" s="11" t="s">
        <v>44</v>
      </c>
      <c r="D27" s="11" t="s">
        <v>66</v>
      </c>
      <c r="E27" s="10">
        <v>4</v>
      </c>
      <c r="F27" s="11"/>
      <c r="G27" s="11"/>
      <c r="I27">
        <f t="shared" si="0"/>
        <v>4</v>
      </c>
    </row>
    <row r="28" customFormat="1" ht="22" customHeight="1" spans="1:9">
      <c r="A28" s="8"/>
      <c r="B28" s="9"/>
      <c r="C28" s="11"/>
      <c r="D28" s="11"/>
      <c r="E28" s="10"/>
      <c r="F28" s="11"/>
      <c r="G28" s="11"/>
    </row>
    <row r="29" customFormat="1" ht="22" customHeight="1" spans="1:9">
      <c r="A29" s="8"/>
      <c r="B29" s="22"/>
      <c r="C29" s="11"/>
      <c r="D29" s="11"/>
      <c r="E29" s="23"/>
      <c r="F29" s="11"/>
      <c r="G29" s="16"/>
    </row>
    <row r="30" customFormat="1" spans="1:9">
      <c r="E30" s="24">
        <f>SUM(E3:E29)</f>
        <v>32</v>
      </c>
      <c r="F30" s="24">
        <f>SUM(F3:F29)</f>
        <v>68</v>
      </c>
    </row>
    <row r="32" customFormat="1" spans="1:9">
      <c r="E32" s="24"/>
      <c r="F32" s="24"/>
    </row>
    <row r="34" customFormat="1" spans="5:6">
      <c r="E34" s="24"/>
      <c r="F34" s="24"/>
    </row>
    <row r="35" customFormat="1" spans="5:6">
      <c r="E35" s="24"/>
      <c r="F35" s="24"/>
    </row>
  </sheetData>
  <mergeCells count="1">
    <mergeCell ref="A1:G1"/>
  </mergeCells>
  <conditionalFormatting sqref="C2:C14">
    <cfRule type="duplicateValues" dxfId="0" priority="1"/>
  </conditionalFormatting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workbookViewId="0">
      <pane ySplit="2" topLeftCell="A17" activePane="bottomLeft" state="frozen"/>
      <selection/>
      <selection pane="bottomLeft" activeCell="G38" sqref="G38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6.1428571428571" customWidth="1"/>
    <col min="4" max="4" width="12.1428571428571" customWidth="1"/>
    <col min="5" max="6" width="12.1428571428571" style="25" customWidth="1"/>
    <col min="7" max="7" width="37.8571428571429" style="25" customWidth="1"/>
    <col min="8" max="8" width="20.5714285714286" style="25" customWidth="1"/>
    <col min="9" max="10" width="9.14285714285714" style="25"/>
  </cols>
  <sheetData>
    <row r="1" ht="38" customHeight="1" spans="1:10">
      <c r="A1" s="2" t="s">
        <v>61</v>
      </c>
      <c r="B1" s="2"/>
      <c r="C1" s="2"/>
      <c r="D1" s="2"/>
      <c r="E1" s="26"/>
      <c r="F1" s="27"/>
      <c r="G1" s="28"/>
    </row>
    <row r="2" s="1" customFormat="1" ht="32" customHeight="1" spans="1:10">
      <c r="A2" s="5" t="s">
        <v>2</v>
      </c>
      <c r="B2" s="5" t="s">
        <v>50</v>
      </c>
      <c r="C2" s="5" t="s">
        <v>3</v>
      </c>
      <c r="D2" s="6" t="s">
        <v>62</v>
      </c>
      <c r="E2" s="29" t="s">
        <v>63</v>
      </c>
      <c r="F2" s="29" t="s">
        <v>64</v>
      </c>
      <c r="G2" s="29" t="s">
        <v>7</v>
      </c>
      <c r="H2" s="30"/>
      <c r="I2" s="30"/>
      <c r="J2" s="30"/>
    </row>
    <row r="3" ht="22" customHeight="1" spans="1:10">
      <c r="A3" s="8">
        <v>1</v>
      </c>
      <c r="B3" s="9">
        <v>46132</v>
      </c>
      <c r="C3" s="10" t="s">
        <v>13</v>
      </c>
      <c r="D3" s="11" t="s">
        <v>65</v>
      </c>
      <c r="E3" s="31"/>
      <c r="F3" s="32">
        <v>3</v>
      </c>
      <c r="G3" s="33"/>
      <c r="I3" s="25">
        <f t="shared" ref="I3:I27" si="0">SUM(E3:F3)</f>
        <v>3</v>
      </c>
    </row>
    <row r="4" ht="22" customHeight="1" spans="1:10">
      <c r="A4" s="8">
        <v>2</v>
      </c>
      <c r="B4" s="9">
        <v>46132</v>
      </c>
      <c r="C4" s="10" t="s">
        <v>15</v>
      </c>
      <c r="D4" s="11" t="s">
        <v>65</v>
      </c>
      <c r="E4" s="31"/>
      <c r="F4" s="32">
        <v>3</v>
      </c>
      <c r="G4" s="34"/>
      <c r="I4" s="25">
        <f t="shared" si="0"/>
        <v>3</v>
      </c>
    </row>
    <row r="5" ht="22" customHeight="1" spans="1:10">
      <c r="A5" s="8">
        <v>3</v>
      </c>
      <c r="B5" s="9">
        <v>46132</v>
      </c>
      <c r="C5" s="10" t="s">
        <v>16</v>
      </c>
      <c r="D5" s="11" t="s">
        <v>65</v>
      </c>
      <c r="E5" s="32">
        <v>2</v>
      </c>
      <c r="F5" s="32">
        <v>1</v>
      </c>
      <c r="G5" s="34"/>
      <c r="I5" s="25">
        <f t="shared" si="0"/>
        <v>3</v>
      </c>
    </row>
    <row r="6" ht="22" customHeight="1" spans="1:10">
      <c r="A6" s="8">
        <v>4</v>
      </c>
      <c r="B6" s="9">
        <v>46132</v>
      </c>
      <c r="C6" s="10" t="s">
        <v>18</v>
      </c>
      <c r="D6" s="11" t="s">
        <v>65</v>
      </c>
      <c r="E6" s="31"/>
      <c r="F6" s="32">
        <v>3</v>
      </c>
      <c r="G6" s="34"/>
      <c r="I6" s="25">
        <f t="shared" si="0"/>
        <v>3</v>
      </c>
    </row>
    <row r="7" ht="22" customHeight="1" spans="1:10">
      <c r="A7" s="8">
        <v>5</v>
      </c>
      <c r="B7" s="9">
        <v>46132</v>
      </c>
      <c r="C7" s="10" t="s">
        <v>19</v>
      </c>
      <c r="D7" s="11" t="s">
        <v>65</v>
      </c>
      <c r="E7" s="32">
        <v>2</v>
      </c>
      <c r="F7" s="32">
        <v>1</v>
      </c>
      <c r="G7" s="35" t="s">
        <v>74</v>
      </c>
      <c r="I7" s="25">
        <f t="shared" si="0"/>
        <v>3</v>
      </c>
    </row>
    <row r="8" ht="22" customHeight="1" spans="1:10">
      <c r="A8" s="8">
        <v>6</v>
      </c>
      <c r="B8" s="9">
        <v>46132</v>
      </c>
      <c r="C8" s="10" t="s">
        <v>21</v>
      </c>
      <c r="D8" s="11" t="s">
        <v>65</v>
      </c>
      <c r="E8" s="32">
        <v>3</v>
      </c>
      <c r="F8" s="31"/>
      <c r="G8" s="36"/>
      <c r="I8" s="25">
        <f t="shared" si="0"/>
        <v>3</v>
      </c>
    </row>
    <row r="9" ht="22" customHeight="1" spans="1:10">
      <c r="A9" s="8">
        <v>7</v>
      </c>
      <c r="B9" s="9">
        <v>46132</v>
      </c>
      <c r="C9" s="10" t="s">
        <v>22</v>
      </c>
      <c r="D9" s="11" t="s">
        <v>65</v>
      </c>
      <c r="E9" s="31"/>
      <c r="F9" s="32">
        <v>3</v>
      </c>
      <c r="G9" s="36"/>
      <c r="I9" s="25">
        <f t="shared" si="0"/>
        <v>3</v>
      </c>
    </row>
    <row r="10" ht="22" customHeight="1" spans="1:10">
      <c r="A10" s="8">
        <v>8</v>
      </c>
      <c r="B10" s="9">
        <v>46132</v>
      </c>
      <c r="C10" s="10" t="s">
        <v>23</v>
      </c>
      <c r="D10" s="11" t="s">
        <v>65</v>
      </c>
      <c r="E10" s="31"/>
      <c r="F10" s="32">
        <v>3</v>
      </c>
      <c r="G10" s="36"/>
      <c r="I10" s="25">
        <f t="shared" si="0"/>
        <v>3</v>
      </c>
    </row>
    <row r="11" customFormat="1" ht="22" customHeight="1" spans="1:10">
      <c r="A11" s="8">
        <v>9</v>
      </c>
      <c r="B11" s="9">
        <v>46132</v>
      </c>
      <c r="C11" s="10" t="s">
        <v>24</v>
      </c>
      <c r="D11" s="11" t="s">
        <v>65</v>
      </c>
      <c r="E11" s="32">
        <v>3</v>
      </c>
      <c r="F11" s="31"/>
      <c r="G11" s="36"/>
      <c r="H11" s="25"/>
      <c r="I11" s="25">
        <f t="shared" si="0"/>
        <v>3</v>
      </c>
      <c r="J11" s="25"/>
    </row>
    <row r="12" customFormat="1" ht="22" customHeight="1" spans="1:10">
      <c r="A12" s="8">
        <v>10</v>
      </c>
      <c r="B12" s="9">
        <v>46132</v>
      </c>
      <c r="C12" s="10" t="s">
        <v>25</v>
      </c>
      <c r="D12" s="11" t="s">
        <v>65</v>
      </c>
      <c r="E12" s="32">
        <v>3</v>
      </c>
      <c r="F12" s="31"/>
      <c r="G12" s="36"/>
      <c r="H12" s="25"/>
      <c r="I12" s="25">
        <f t="shared" si="0"/>
        <v>3</v>
      </c>
      <c r="J12" s="25"/>
    </row>
    <row r="13" customFormat="1" ht="22" customHeight="1" spans="1:10">
      <c r="A13" s="8">
        <v>11</v>
      </c>
      <c r="B13" s="9">
        <v>46132</v>
      </c>
      <c r="C13" s="10" t="s">
        <v>26</v>
      </c>
      <c r="D13" s="11" t="s">
        <v>65</v>
      </c>
      <c r="E13" s="32">
        <v>2</v>
      </c>
      <c r="F13" s="32">
        <v>1</v>
      </c>
      <c r="G13" s="35" t="s">
        <v>74</v>
      </c>
      <c r="H13" s="25"/>
      <c r="I13" s="25">
        <f t="shared" si="0"/>
        <v>3</v>
      </c>
      <c r="J13" s="25"/>
    </row>
    <row r="14" customFormat="1" ht="22" customHeight="1" spans="1:10">
      <c r="A14" s="8">
        <v>12</v>
      </c>
      <c r="B14" s="9">
        <v>46132</v>
      </c>
      <c r="C14" s="10" t="s">
        <v>28</v>
      </c>
      <c r="D14" s="11" t="s">
        <v>65</v>
      </c>
      <c r="E14" s="31"/>
      <c r="F14" s="32">
        <v>3</v>
      </c>
      <c r="G14" s="37"/>
      <c r="H14" s="25"/>
      <c r="I14" s="25">
        <f t="shared" si="0"/>
        <v>3</v>
      </c>
      <c r="J14" s="25"/>
    </row>
    <row r="15" customFormat="1" ht="22" customHeight="1" spans="1:10">
      <c r="A15" s="8">
        <v>13</v>
      </c>
      <c r="B15" s="9">
        <v>46132</v>
      </c>
      <c r="C15" s="10" t="s">
        <v>29</v>
      </c>
      <c r="D15" s="11" t="s">
        <v>65</v>
      </c>
      <c r="E15" s="31"/>
      <c r="F15" s="32">
        <v>3</v>
      </c>
      <c r="G15" s="31"/>
      <c r="H15" s="25"/>
      <c r="I15" s="25">
        <f t="shared" si="0"/>
        <v>3</v>
      </c>
      <c r="J15" s="25"/>
    </row>
    <row r="16" customFormat="1" ht="22" customHeight="1" spans="1:10">
      <c r="A16" s="8">
        <v>14</v>
      </c>
      <c r="B16" s="9">
        <v>46132</v>
      </c>
      <c r="C16" s="10" t="s">
        <v>30</v>
      </c>
      <c r="D16" s="11" t="s">
        <v>65</v>
      </c>
      <c r="E16" s="32">
        <v>2</v>
      </c>
      <c r="F16" s="32">
        <v>1</v>
      </c>
      <c r="G16" s="31"/>
      <c r="H16" s="25"/>
      <c r="I16" s="25">
        <f t="shared" si="0"/>
        <v>3</v>
      </c>
      <c r="J16" s="25"/>
    </row>
    <row r="17" customFormat="1" ht="22" customHeight="1" spans="1:10">
      <c r="A17" s="8">
        <v>15</v>
      </c>
      <c r="B17" s="9">
        <v>46132</v>
      </c>
      <c r="C17" s="10" t="s">
        <v>31</v>
      </c>
      <c r="D17" s="11" t="s">
        <v>65</v>
      </c>
      <c r="E17" s="32"/>
      <c r="F17" s="32">
        <v>3</v>
      </c>
      <c r="G17" s="31" t="s">
        <v>70</v>
      </c>
      <c r="H17" s="25"/>
      <c r="I17" s="25">
        <f t="shared" si="0"/>
        <v>3</v>
      </c>
      <c r="J17" s="25"/>
    </row>
    <row r="18" customFormat="1" ht="22" customHeight="1" spans="1:10">
      <c r="A18" s="8">
        <v>16</v>
      </c>
      <c r="B18" s="9">
        <v>46132</v>
      </c>
      <c r="C18" s="10" t="s">
        <v>33</v>
      </c>
      <c r="D18" s="11" t="s">
        <v>65</v>
      </c>
      <c r="E18" s="32">
        <v>3</v>
      </c>
      <c r="F18" s="31"/>
      <c r="G18" s="32"/>
      <c r="H18" s="25"/>
      <c r="I18" s="25">
        <f t="shared" si="0"/>
        <v>3</v>
      </c>
      <c r="J18" s="25"/>
    </row>
    <row r="19" customFormat="1" ht="22" customHeight="1" spans="1:10">
      <c r="A19" s="8">
        <v>17</v>
      </c>
      <c r="B19" s="9">
        <v>46132</v>
      </c>
      <c r="C19" s="10" t="s">
        <v>40</v>
      </c>
      <c r="D19" s="11" t="s">
        <v>65</v>
      </c>
      <c r="E19" s="31"/>
      <c r="F19" s="32">
        <v>3</v>
      </c>
      <c r="G19" s="38"/>
      <c r="H19" s="25"/>
      <c r="I19" s="25">
        <f t="shared" si="0"/>
        <v>3</v>
      </c>
      <c r="J19" s="25"/>
    </row>
    <row r="20" customFormat="1" ht="22" customHeight="1" spans="1:10">
      <c r="A20" s="8">
        <v>18</v>
      </c>
      <c r="B20" s="9">
        <v>46132</v>
      </c>
      <c r="C20" s="10" t="s">
        <v>35</v>
      </c>
      <c r="D20" s="11" t="s">
        <v>65</v>
      </c>
      <c r="E20" s="31"/>
      <c r="F20" s="32">
        <v>3</v>
      </c>
      <c r="G20" s="38"/>
      <c r="H20" s="25"/>
      <c r="I20" s="25">
        <f t="shared" si="0"/>
        <v>3</v>
      </c>
      <c r="J20" s="25"/>
    </row>
    <row r="21" customFormat="1" ht="22" customHeight="1" spans="1:10">
      <c r="A21" s="8">
        <v>19</v>
      </c>
      <c r="B21" s="9">
        <v>46132</v>
      </c>
      <c r="C21" s="15" t="s">
        <v>36</v>
      </c>
      <c r="D21" s="11" t="s">
        <v>65</v>
      </c>
      <c r="E21" s="31"/>
      <c r="F21" s="32">
        <v>3</v>
      </c>
      <c r="G21" s="38"/>
      <c r="H21" s="25"/>
      <c r="I21" s="25">
        <f t="shared" si="0"/>
        <v>3</v>
      </c>
      <c r="J21" s="25"/>
    </row>
    <row r="22" customFormat="1" ht="22" customHeight="1" spans="1:10">
      <c r="A22" s="8">
        <v>20</v>
      </c>
      <c r="B22" s="9">
        <v>46132</v>
      </c>
      <c r="C22" s="10" t="s">
        <v>58</v>
      </c>
      <c r="D22" s="11" t="s">
        <v>65</v>
      </c>
      <c r="E22" s="32"/>
      <c r="F22" s="32">
        <v>3</v>
      </c>
      <c r="G22" s="38"/>
      <c r="H22" s="25" t="s">
        <v>73</v>
      </c>
      <c r="I22" s="25">
        <f t="shared" si="0"/>
        <v>3</v>
      </c>
      <c r="J22" s="25"/>
    </row>
    <row r="23" customFormat="1" ht="22" customHeight="1" spans="1:10">
      <c r="A23" s="8">
        <v>21</v>
      </c>
      <c r="B23" s="9">
        <v>46132</v>
      </c>
      <c r="C23" s="10" t="s">
        <v>42</v>
      </c>
      <c r="D23" s="11" t="s">
        <v>65</v>
      </c>
      <c r="E23" s="32">
        <v>3</v>
      </c>
      <c r="F23" s="19"/>
      <c r="G23" s="19"/>
      <c r="H23" s="25"/>
      <c r="I23" s="25">
        <f t="shared" si="0"/>
        <v>3</v>
      </c>
      <c r="J23" s="25"/>
    </row>
    <row r="24" customFormat="1" ht="22" customHeight="1" spans="1:10">
      <c r="A24" s="8">
        <v>22</v>
      </c>
      <c r="B24" s="9">
        <v>46132</v>
      </c>
      <c r="C24" s="10" t="s">
        <v>38</v>
      </c>
      <c r="D24" s="11" t="s">
        <v>65</v>
      </c>
      <c r="E24" s="31"/>
      <c r="F24" s="32">
        <v>3</v>
      </c>
      <c r="G24" s="38"/>
      <c r="H24" s="25"/>
      <c r="I24" s="25">
        <f t="shared" si="0"/>
        <v>3</v>
      </c>
      <c r="J24" s="25"/>
    </row>
    <row r="25" customFormat="1" ht="22" customHeight="1" spans="1:10">
      <c r="A25" s="8">
        <v>23</v>
      </c>
      <c r="B25" s="9">
        <v>46132</v>
      </c>
      <c r="C25" s="10" t="s">
        <v>39</v>
      </c>
      <c r="D25" s="11" t="s">
        <v>65</v>
      </c>
      <c r="E25" s="31"/>
      <c r="F25" s="32">
        <v>3</v>
      </c>
      <c r="G25" s="38"/>
      <c r="H25" s="25"/>
      <c r="I25" s="25">
        <f t="shared" si="0"/>
        <v>3</v>
      </c>
      <c r="J25" s="25"/>
    </row>
    <row r="26" customFormat="1" ht="22" customHeight="1" spans="1:10">
      <c r="A26" s="8">
        <v>24</v>
      </c>
      <c r="B26" s="9">
        <v>46132</v>
      </c>
      <c r="C26" s="10" t="s">
        <v>41</v>
      </c>
      <c r="D26" s="11" t="s">
        <v>65</v>
      </c>
      <c r="E26" s="31"/>
      <c r="F26" s="32">
        <v>3</v>
      </c>
      <c r="G26" s="32"/>
      <c r="H26" s="25"/>
      <c r="I26" s="25">
        <f t="shared" si="0"/>
        <v>3</v>
      </c>
      <c r="J26" s="25"/>
    </row>
    <row r="27" customFormat="1" ht="22" customHeight="1" spans="1:10">
      <c r="A27" s="8">
        <v>25</v>
      </c>
      <c r="B27" s="9">
        <v>46132</v>
      </c>
      <c r="C27" s="11" t="s">
        <v>44</v>
      </c>
      <c r="D27" s="11" t="s">
        <v>65</v>
      </c>
      <c r="E27" s="32">
        <v>3</v>
      </c>
      <c r="F27" s="19"/>
      <c r="G27" s="19"/>
      <c r="H27" s="25"/>
      <c r="I27" s="25">
        <f t="shared" si="0"/>
        <v>3</v>
      </c>
      <c r="J27" s="25"/>
    </row>
    <row r="28" customFormat="1" ht="22" customHeight="1" spans="1:10">
      <c r="A28" s="8"/>
      <c r="B28" s="42"/>
      <c r="C28" s="11" t="s">
        <v>59</v>
      </c>
      <c r="D28" s="11"/>
      <c r="E28" s="18"/>
      <c r="F28" s="19"/>
      <c r="G28" s="20" t="s">
        <v>75</v>
      </c>
      <c r="H28" s="25" t="s">
        <v>76</v>
      </c>
      <c r="I28" s="25"/>
      <c r="J28" s="25"/>
    </row>
    <row r="29" customFormat="1" ht="22" customHeight="1" spans="1:10">
      <c r="A29" s="8"/>
      <c r="B29" s="42"/>
      <c r="C29" s="11" t="s">
        <v>59</v>
      </c>
      <c r="D29" s="11"/>
      <c r="E29" s="18"/>
      <c r="F29" s="19"/>
      <c r="G29" s="39" t="s">
        <v>77</v>
      </c>
      <c r="H29" t="s">
        <v>78</v>
      </c>
      <c r="I29" s="25"/>
      <c r="J29" s="25"/>
    </row>
    <row r="30" customFormat="1" ht="22" customHeight="1" spans="1:10">
      <c r="A30" s="8"/>
      <c r="B30" s="22"/>
      <c r="C30" s="11"/>
      <c r="D30" s="11"/>
      <c r="E30" s="40"/>
      <c r="F30" s="19"/>
      <c r="G30" s="38"/>
      <c r="H30" s="25"/>
      <c r="I30" s="25"/>
      <c r="J30" s="25"/>
    </row>
    <row r="31" customFormat="1" spans="1:10">
      <c r="E31" s="41">
        <f>SUM(E3:E30)</f>
        <v>26</v>
      </c>
      <c r="F31" s="41">
        <f>SUM(F3:F30)</f>
        <v>49</v>
      </c>
      <c r="G31" s="25"/>
      <c r="H31" s="25"/>
      <c r="I31" s="41">
        <f>SUM(I3:I30)</f>
        <v>75</v>
      </c>
      <c r="J31" s="25"/>
    </row>
    <row r="33" customFormat="1" spans="5:10">
      <c r="E33" s="41"/>
      <c r="F33" s="41"/>
      <c r="G33" s="25"/>
      <c r="H33" s="25"/>
      <c r="I33" s="25"/>
      <c r="J33" s="25"/>
    </row>
    <row r="35" customFormat="1" spans="5:10">
      <c r="E35" s="41"/>
      <c r="F35" s="41"/>
      <c r="G35" s="25"/>
      <c r="H35" s="25"/>
      <c r="I35" s="25"/>
      <c r="J35" s="25"/>
    </row>
    <row r="36" customFormat="1" spans="5:10">
      <c r="E36" s="41"/>
      <c r="F36" s="41"/>
      <c r="G36" s="25"/>
      <c r="H36" s="25"/>
      <c r="I36" s="25"/>
      <c r="J36" s="25"/>
    </row>
  </sheetData>
  <mergeCells count="1">
    <mergeCell ref="A1:G1"/>
  </mergeCells>
  <conditionalFormatting sqref="C2:C14">
    <cfRule type="duplicateValues" dxfId="0" priority="1"/>
  </conditionalFormatting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tabSelected="1" workbookViewId="0">
      <pane xSplit="2" ySplit="2" topLeftCell="C17" activePane="bottomRight" state="frozen"/>
      <selection/>
      <selection pane="topRight"/>
      <selection pane="bottomLeft"/>
      <selection pane="bottomRight" activeCell="G34" sqref="G34"/>
    </sheetView>
  </sheetViews>
  <sheetFormatPr defaultColWidth="9.14285714285714" defaultRowHeight="12"/>
  <cols>
    <col min="1" max="1" width="8.14285714285714" customWidth="1"/>
    <col min="2" max="2" width="12.4285714285714" customWidth="1"/>
    <col min="3" max="3" width="16.8571428571429" customWidth="1"/>
    <col min="4" max="6" width="12.1428571428571" customWidth="1"/>
    <col min="7" max="7" width="33.1428571428571" customWidth="1"/>
  </cols>
  <sheetData>
    <row r="1" ht="38" customHeight="1" spans="1:9">
      <c r="A1" s="2" t="s">
        <v>61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50</v>
      </c>
      <c r="C2" s="5" t="s">
        <v>3</v>
      </c>
      <c r="D2" s="6" t="s">
        <v>62</v>
      </c>
      <c r="E2" s="7" t="s">
        <v>63</v>
      </c>
      <c r="F2" s="7" t="s">
        <v>64</v>
      </c>
      <c r="G2" s="7" t="s">
        <v>7</v>
      </c>
    </row>
    <row r="3" ht="22" customHeight="1" spans="1:9">
      <c r="A3" s="8">
        <v>1</v>
      </c>
      <c r="B3" s="9">
        <v>46135</v>
      </c>
      <c r="C3" s="10" t="s">
        <v>13</v>
      </c>
      <c r="D3" s="11" t="s">
        <v>66</v>
      </c>
      <c r="E3" s="12"/>
      <c r="F3" s="10">
        <v>4</v>
      </c>
      <c r="G3" s="13"/>
      <c r="I3">
        <f t="shared" ref="I3:I27" si="0">SUM(E3:F3)</f>
        <v>4</v>
      </c>
    </row>
    <row r="4" ht="22" customHeight="1" spans="1:9">
      <c r="A4" s="8">
        <v>2</v>
      </c>
      <c r="B4" s="9">
        <v>46135</v>
      </c>
      <c r="C4" s="10" t="s">
        <v>15</v>
      </c>
      <c r="D4" s="11" t="s">
        <v>66</v>
      </c>
      <c r="E4" s="12"/>
      <c r="F4" s="10">
        <v>4</v>
      </c>
      <c r="G4" s="14"/>
      <c r="I4">
        <f t="shared" si="0"/>
        <v>4</v>
      </c>
    </row>
    <row r="5" ht="22" customHeight="1" spans="1:9">
      <c r="A5" s="8">
        <v>3</v>
      </c>
      <c r="B5" s="9">
        <v>46135</v>
      </c>
      <c r="C5" s="10" t="s">
        <v>16</v>
      </c>
      <c r="D5" s="11" t="s">
        <v>66</v>
      </c>
      <c r="E5" s="10">
        <v>2</v>
      </c>
      <c r="F5" s="10">
        <v>2</v>
      </c>
      <c r="G5" s="14"/>
      <c r="I5">
        <f t="shared" si="0"/>
        <v>4</v>
      </c>
    </row>
    <row r="6" ht="22" customHeight="1" spans="1:9">
      <c r="A6" s="8">
        <v>4</v>
      </c>
      <c r="B6" s="9">
        <v>46135</v>
      </c>
      <c r="C6" s="10" t="s">
        <v>18</v>
      </c>
      <c r="D6" s="11" t="s">
        <v>66</v>
      </c>
      <c r="E6" s="12"/>
      <c r="F6" s="10">
        <v>4</v>
      </c>
      <c r="G6" s="14"/>
      <c r="I6">
        <f t="shared" si="0"/>
        <v>4</v>
      </c>
    </row>
    <row r="7" ht="22" customHeight="1" spans="1:9">
      <c r="A7" s="8">
        <v>5</v>
      </c>
      <c r="B7" s="9">
        <v>46135</v>
      </c>
      <c r="C7" s="10" t="s">
        <v>19</v>
      </c>
      <c r="D7" s="11" t="s">
        <v>66</v>
      </c>
      <c r="E7" s="10">
        <v>2</v>
      </c>
      <c r="F7" s="10">
        <v>2</v>
      </c>
      <c r="G7" s="10" t="s">
        <v>20</v>
      </c>
      <c r="I7">
        <f t="shared" si="0"/>
        <v>4</v>
      </c>
    </row>
    <row r="8" ht="22" customHeight="1" spans="1:9">
      <c r="A8" s="8">
        <v>6</v>
      </c>
      <c r="B8" s="9">
        <v>46135</v>
      </c>
      <c r="C8" s="10" t="s">
        <v>21</v>
      </c>
      <c r="D8" s="11" t="s">
        <v>66</v>
      </c>
      <c r="E8" s="10">
        <v>4</v>
      </c>
      <c r="F8" s="12"/>
      <c r="G8" s="12"/>
      <c r="I8">
        <f t="shared" si="0"/>
        <v>4</v>
      </c>
    </row>
    <row r="9" ht="22" customHeight="1" spans="1:9">
      <c r="A9" s="8">
        <v>7</v>
      </c>
      <c r="B9" s="9">
        <v>46135</v>
      </c>
      <c r="C9" s="10" t="s">
        <v>22</v>
      </c>
      <c r="D9" s="11" t="s">
        <v>66</v>
      </c>
      <c r="E9" s="12"/>
      <c r="F9" s="10">
        <v>4</v>
      </c>
      <c r="G9" s="12"/>
      <c r="I9">
        <f t="shared" si="0"/>
        <v>4</v>
      </c>
    </row>
    <row r="10" ht="22" customHeight="1" spans="1:9">
      <c r="A10" s="8">
        <v>8</v>
      </c>
      <c r="B10" s="9">
        <v>46135</v>
      </c>
      <c r="C10" s="10" t="s">
        <v>23</v>
      </c>
      <c r="D10" s="11" t="s">
        <v>66</v>
      </c>
      <c r="E10" s="12"/>
      <c r="F10" s="10">
        <v>4</v>
      </c>
      <c r="G10" s="12"/>
      <c r="I10">
        <f t="shared" si="0"/>
        <v>4</v>
      </c>
    </row>
    <row r="11" customFormat="1" ht="22" customHeight="1" spans="1:9">
      <c r="A11" s="8">
        <v>9</v>
      </c>
      <c r="B11" s="9">
        <v>46135</v>
      </c>
      <c r="C11" s="10" t="s">
        <v>24</v>
      </c>
      <c r="D11" s="11" t="s">
        <v>66</v>
      </c>
      <c r="E11" s="10">
        <v>4</v>
      </c>
      <c r="F11" s="12"/>
      <c r="G11" s="12"/>
      <c r="I11">
        <f t="shared" si="0"/>
        <v>4</v>
      </c>
    </row>
    <row r="12" customFormat="1" ht="22" customHeight="1" spans="1:9">
      <c r="A12" s="8">
        <v>10</v>
      </c>
      <c r="B12" s="9">
        <v>46135</v>
      </c>
      <c r="C12" s="10" t="s">
        <v>25</v>
      </c>
      <c r="D12" s="11" t="s">
        <v>66</v>
      </c>
      <c r="E12" s="10">
        <v>4</v>
      </c>
      <c r="F12" s="12"/>
      <c r="G12" s="12"/>
      <c r="I12">
        <f t="shared" si="0"/>
        <v>4</v>
      </c>
    </row>
    <row r="13" customFormat="1" ht="22" customHeight="1" spans="1:9">
      <c r="A13" s="8">
        <v>11</v>
      </c>
      <c r="B13" s="9">
        <v>46135</v>
      </c>
      <c r="C13" s="10" t="s">
        <v>26</v>
      </c>
      <c r="D13" s="11" t="s">
        <v>66</v>
      </c>
      <c r="E13" s="10">
        <v>2</v>
      </c>
      <c r="F13" s="10">
        <v>2</v>
      </c>
      <c r="G13" s="15" t="s">
        <v>20</v>
      </c>
      <c r="I13">
        <f t="shared" si="0"/>
        <v>4</v>
      </c>
    </row>
    <row r="14" customFormat="1" ht="22" customHeight="1" spans="1:9">
      <c r="A14" s="8">
        <v>12</v>
      </c>
      <c r="B14" s="9">
        <v>46135</v>
      </c>
      <c r="C14" s="10" t="s">
        <v>28</v>
      </c>
      <c r="D14" s="11" t="s">
        <v>66</v>
      </c>
      <c r="E14" s="12"/>
      <c r="F14" s="10">
        <v>4</v>
      </c>
      <c r="G14" s="12"/>
      <c r="I14">
        <f t="shared" si="0"/>
        <v>4</v>
      </c>
    </row>
    <row r="15" customFormat="1" ht="22" customHeight="1" spans="1:9">
      <c r="A15" s="8">
        <v>13</v>
      </c>
      <c r="B15" s="9">
        <v>46135</v>
      </c>
      <c r="C15" s="10" t="s">
        <v>29</v>
      </c>
      <c r="D15" s="11" t="s">
        <v>66</v>
      </c>
      <c r="E15" s="12"/>
      <c r="F15" s="10">
        <v>4</v>
      </c>
      <c r="G15" s="12"/>
      <c r="I15">
        <f t="shared" si="0"/>
        <v>4</v>
      </c>
    </row>
    <row r="16" customFormat="1" ht="22" customHeight="1" spans="1:9">
      <c r="A16" s="8">
        <v>14</v>
      </c>
      <c r="B16" s="9">
        <v>46135</v>
      </c>
      <c r="C16" s="10" t="s">
        <v>30</v>
      </c>
      <c r="D16" s="11" t="s">
        <v>66</v>
      </c>
      <c r="E16" s="10">
        <v>2</v>
      </c>
      <c r="F16" s="10">
        <v>2</v>
      </c>
      <c r="G16" s="12"/>
      <c r="I16">
        <f t="shared" si="0"/>
        <v>4</v>
      </c>
    </row>
    <row r="17" customFormat="1" ht="22" customHeight="1" spans="1:9">
      <c r="A17" s="8">
        <v>15</v>
      </c>
      <c r="B17" s="9">
        <v>46135</v>
      </c>
      <c r="C17" s="10" t="s">
        <v>31</v>
      </c>
      <c r="D17" s="11" t="s">
        <v>66</v>
      </c>
      <c r="E17" s="10"/>
      <c r="F17" s="10">
        <v>4</v>
      </c>
      <c r="G17" s="12" t="s">
        <v>70</v>
      </c>
      <c r="I17">
        <f t="shared" si="0"/>
        <v>4</v>
      </c>
    </row>
    <row r="18" customFormat="1" ht="22" customHeight="1" spans="1:9">
      <c r="A18" s="8">
        <v>16</v>
      </c>
      <c r="B18" s="9">
        <v>46135</v>
      </c>
      <c r="C18" s="10" t="s">
        <v>33</v>
      </c>
      <c r="D18" s="11" t="s">
        <v>66</v>
      </c>
      <c r="E18" s="10">
        <v>4</v>
      </c>
      <c r="F18" s="12"/>
      <c r="G18" s="10" t="s">
        <v>34</v>
      </c>
      <c r="I18">
        <f t="shared" si="0"/>
        <v>4</v>
      </c>
    </row>
    <row r="19" customFormat="1" ht="22" customHeight="1" spans="1:9">
      <c r="A19" s="8">
        <v>17</v>
      </c>
      <c r="B19" s="9">
        <v>46135</v>
      </c>
      <c r="C19" s="10" t="s">
        <v>40</v>
      </c>
      <c r="D19" s="11" t="s">
        <v>66</v>
      </c>
      <c r="E19" s="12"/>
      <c r="F19" s="10">
        <v>4</v>
      </c>
      <c r="G19" s="16"/>
      <c r="I19">
        <f t="shared" si="0"/>
        <v>4</v>
      </c>
    </row>
    <row r="20" customFormat="1" ht="22" customHeight="1" spans="1:9">
      <c r="A20" s="8">
        <v>18</v>
      </c>
      <c r="B20" s="9">
        <v>46135</v>
      </c>
      <c r="C20" s="10" t="s">
        <v>35</v>
      </c>
      <c r="D20" s="11" t="s">
        <v>66</v>
      </c>
      <c r="E20" s="12"/>
      <c r="F20" s="10">
        <v>4</v>
      </c>
      <c r="G20" s="16"/>
      <c r="I20">
        <f t="shared" si="0"/>
        <v>4</v>
      </c>
    </row>
    <row r="21" customFormat="1" ht="22" customHeight="1" spans="1:9">
      <c r="A21" s="8">
        <v>19</v>
      </c>
      <c r="B21" s="9">
        <v>46135</v>
      </c>
      <c r="C21" s="15" t="s">
        <v>36</v>
      </c>
      <c r="D21" s="11" t="s">
        <v>66</v>
      </c>
      <c r="E21" s="12"/>
      <c r="F21" s="10">
        <v>4</v>
      </c>
      <c r="G21" s="16"/>
      <c r="I21">
        <f t="shared" si="0"/>
        <v>4</v>
      </c>
    </row>
    <row r="22" customFormat="1" ht="22" customHeight="1" spans="1:9">
      <c r="A22" s="8">
        <v>20</v>
      </c>
      <c r="B22" s="9">
        <v>46135</v>
      </c>
      <c r="C22" s="10" t="s">
        <v>58</v>
      </c>
      <c r="D22" s="11" t="s">
        <v>66</v>
      </c>
      <c r="E22" s="10"/>
      <c r="F22" s="10">
        <v>4</v>
      </c>
      <c r="G22" s="16"/>
      <c r="H22" s="17" t="s">
        <v>73</v>
      </c>
      <c r="I22">
        <f t="shared" si="0"/>
        <v>4</v>
      </c>
    </row>
    <row r="23" customFormat="1" ht="22" customHeight="1" spans="1:9">
      <c r="A23" s="8">
        <v>21</v>
      </c>
      <c r="B23" s="9">
        <v>46135</v>
      </c>
      <c r="C23" s="10" t="s">
        <v>42</v>
      </c>
      <c r="D23" s="11" t="s">
        <v>66</v>
      </c>
      <c r="E23" s="10">
        <v>4</v>
      </c>
      <c r="F23" s="11"/>
      <c r="G23" s="11"/>
      <c r="I23">
        <f t="shared" si="0"/>
        <v>4</v>
      </c>
    </row>
    <row r="24" customFormat="1" ht="22" customHeight="1" spans="1:9">
      <c r="A24" s="8">
        <v>22</v>
      </c>
      <c r="B24" s="9">
        <v>46135</v>
      </c>
      <c r="C24" s="10" t="s">
        <v>38</v>
      </c>
      <c r="D24" s="11" t="s">
        <v>66</v>
      </c>
      <c r="E24" s="12"/>
      <c r="F24" s="10">
        <v>4</v>
      </c>
      <c r="G24" s="16"/>
      <c r="I24">
        <f t="shared" si="0"/>
        <v>4</v>
      </c>
    </row>
    <row r="25" customFormat="1" ht="22" customHeight="1" spans="1:9">
      <c r="A25" s="8">
        <v>23</v>
      </c>
      <c r="B25" s="9">
        <v>46135</v>
      </c>
      <c r="C25" s="10" t="s">
        <v>39</v>
      </c>
      <c r="D25" s="11" t="s">
        <v>66</v>
      </c>
      <c r="E25" s="12"/>
      <c r="F25" s="10">
        <v>4</v>
      </c>
      <c r="G25" s="16"/>
      <c r="I25">
        <f t="shared" si="0"/>
        <v>4</v>
      </c>
    </row>
    <row r="26" customFormat="1" ht="22" customHeight="1" spans="1:9">
      <c r="A26" s="8">
        <v>24</v>
      </c>
      <c r="B26" s="9">
        <v>46135</v>
      </c>
      <c r="C26" s="10" t="s">
        <v>41</v>
      </c>
      <c r="D26" s="11" t="s">
        <v>66</v>
      </c>
      <c r="E26" s="12"/>
      <c r="F26" s="10">
        <v>4</v>
      </c>
      <c r="G26" s="10"/>
      <c r="I26">
        <f t="shared" si="0"/>
        <v>4</v>
      </c>
    </row>
    <row r="27" customFormat="1" ht="22" customHeight="1" spans="1:9">
      <c r="A27" s="8">
        <v>25</v>
      </c>
      <c r="B27" s="9">
        <v>46135</v>
      </c>
      <c r="C27" s="11" t="s">
        <v>44</v>
      </c>
      <c r="D27" s="11" t="s">
        <v>66</v>
      </c>
      <c r="E27" s="10">
        <v>4</v>
      </c>
      <c r="F27" s="11"/>
      <c r="G27" s="11"/>
      <c r="I27">
        <f t="shared" si="0"/>
        <v>4</v>
      </c>
    </row>
    <row r="28" customFormat="1" ht="22" customHeight="1" spans="1:9">
      <c r="A28" s="8">
        <v>26</v>
      </c>
      <c r="B28" s="9">
        <v>46135</v>
      </c>
      <c r="C28" s="11" t="s">
        <v>59</v>
      </c>
      <c r="D28" s="11" t="s">
        <v>66</v>
      </c>
      <c r="E28" s="18"/>
      <c r="F28" s="19">
        <v>4</v>
      </c>
      <c r="G28" s="20" t="s">
        <v>75</v>
      </c>
    </row>
    <row r="29" customFormat="1" ht="22" customHeight="1" spans="1:9">
      <c r="A29" s="8">
        <v>27</v>
      </c>
      <c r="B29" s="9">
        <v>46135</v>
      </c>
      <c r="C29" s="11" t="s">
        <v>59</v>
      </c>
      <c r="D29" s="11" t="s">
        <v>66</v>
      </c>
      <c r="E29" s="18"/>
      <c r="F29" s="19">
        <v>7</v>
      </c>
      <c r="G29" s="20" t="s">
        <v>77</v>
      </c>
      <c r="H29" s="21" t="s">
        <v>78</v>
      </c>
    </row>
    <row r="30" customFormat="1" ht="22" customHeight="1" spans="1:9">
      <c r="A30" s="8"/>
      <c r="B30" s="22"/>
      <c r="C30" s="11"/>
      <c r="D30" s="11"/>
      <c r="E30" s="23"/>
      <c r="F30" s="11"/>
      <c r="G30" s="16"/>
    </row>
    <row r="31" customFormat="1" spans="1:9">
      <c r="E31" s="24">
        <f>SUM(E3:E30)</f>
        <v>32</v>
      </c>
      <c r="F31" s="24">
        <f>SUM(F3:F30)</f>
        <v>79</v>
      </c>
    </row>
    <row r="33" customFormat="1" spans="5:6">
      <c r="E33" s="24"/>
      <c r="F33" s="24"/>
    </row>
    <row r="35" customFormat="1" spans="5:6">
      <c r="E35" s="24"/>
      <c r="F35" s="24"/>
    </row>
    <row r="36" customFormat="1" spans="5:6">
      <c r="E36" s="24"/>
      <c r="F36" s="24"/>
    </row>
  </sheetData>
  <mergeCells count="1">
    <mergeCell ref="A1:G1"/>
  </mergeCells>
  <conditionalFormatting sqref="C2:C14">
    <cfRule type="duplicateValues" dxfId="0" priority="1"/>
  </conditionalFormatting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workbookViewId="0">
      <pane ySplit="2" topLeftCell="A15" activePane="bottomLeft" state="frozen"/>
      <selection/>
      <selection pane="bottomLeft" activeCell="H29" sqref="H29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6.1428571428571" customWidth="1"/>
    <col min="4" max="4" width="12.1428571428571" customWidth="1"/>
    <col min="5" max="6" width="12.1428571428571" style="25" customWidth="1"/>
    <col min="7" max="7" width="37.8571428571429" style="25" customWidth="1"/>
    <col min="8" max="8" width="20.5714285714286" style="25" customWidth="1"/>
    <col min="9" max="10" width="9.14285714285714" style="25"/>
  </cols>
  <sheetData>
    <row r="1" ht="38" customHeight="1" spans="1:10">
      <c r="A1" s="2" t="s">
        <v>61</v>
      </c>
      <c r="B1" s="2"/>
      <c r="C1" s="2"/>
      <c r="D1" s="2"/>
      <c r="E1" s="26"/>
      <c r="F1" s="27"/>
      <c r="G1" s="28"/>
    </row>
    <row r="2" s="1" customFormat="1" ht="32" customHeight="1" spans="1:10">
      <c r="A2" s="5" t="s">
        <v>2</v>
      </c>
      <c r="B2" s="5" t="s">
        <v>50</v>
      </c>
      <c r="C2" s="5" t="s">
        <v>3</v>
      </c>
      <c r="D2" s="6" t="s">
        <v>62</v>
      </c>
      <c r="E2" s="29" t="s">
        <v>63</v>
      </c>
      <c r="F2" s="29" t="s">
        <v>64</v>
      </c>
      <c r="G2" s="29" t="s">
        <v>7</v>
      </c>
      <c r="H2" s="30"/>
      <c r="I2" s="30"/>
      <c r="J2" s="30"/>
    </row>
    <row r="3" ht="22" customHeight="1" spans="1:10">
      <c r="A3" s="8">
        <v>1</v>
      </c>
      <c r="B3" s="9">
        <v>46139</v>
      </c>
      <c r="C3" s="10" t="s">
        <v>13</v>
      </c>
      <c r="D3" s="11" t="s">
        <v>65</v>
      </c>
      <c r="E3" s="31"/>
      <c r="F3" s="32">
        <v>3</v>
      </c>
      <c r="G3" s="33"/>
      <c r="I3" s="25">
        <f t="shared" ref="I3:I27" si="0">SUM(E3:F3)</f>
        <v>3</v>
      </c>
    </row>
    <row r="4" ht="22" customHeight="1" spans="1:10">
      <c r="A4" s="8">
        <v>2</v>
      </c>
      <c r="B4" s="9">
        <v>46139</v>
      </c>
      <c r="C4" s="10" t="s">
        <v>15</v>
      </c>
      <c r="D4" s="11" t="s">
        <v>65</v>
      </c>
      <c r="E4" s="31"/>
      <c r="F4" s="32">
        <v>3</v>
      </c>
      <c r="G4" s="34"/>
      <c r="I4" s="25">
        <f t="shared" si="0"/>
        <v>3</v>
      </c>
    </row>
    <row r="5" ht="22" customHeight="1" spans="1:10">
      <c r="A5" s="8">
        <v>3</v>
      </c>
      <c r="B5" s="9">
        <v>46139</v>
      </c>
      <c r="C5" s="10" t="s">
        <v>16</v>
      </c>
      <c r="D5" s="11" t="s">
        <v>65</v>
      </c>
      <c r="E5" s="32">
        <v>2</v>
      </c>
      <c r="F5" s="32">
        <v>1</v>
      </c>
      <c r="G5" s="34"/>
      <c r="I5" s="25">
        <f t="shared" si="0"/>
        <v>3</v>
      </c>
    </row>
    <row r="6" ht="22" customHeight="1" spans="1:10">
      <c r="A6" s="8">
        <v>4</v>
      </c>
      <c r="B6" s="9">
        <v>46139</v>
      </c>
      <c r="C6" s="10" t="s">
        <v>18</v>
      </c>
      <c r="D6" s="11" t="s">
        <v>65</v>
      </c>
      <c r="E6" s="31"/>
      <c r="F6" s="32">
        <v>3</v>
      </c>
      <c r="G6" s="34"/>
      <c r="I6" s="25">
        <f t="shared" si="0"/>
        <v>3</v>
      </c>
    </row>
    <row r="7" ht="22" customHeight="1" spans="1:10">
      <c r="A7" s="8">
        <v>5</v>
      </c>
      <c r="B7" s="9">
        <v>46139</v>
      </c>
      <c r="C7" s="10" t="s">
        <v>19</v>
      </c>
      <c r="D7" s="11" t="s">
        <v>65</v>
      </c>
      <c r="E7" s="32">
        <v>2</v>
      </c>
      <c r="F7" s="32">
        <v>1</v>
      </c>
      <c r="G7" s="35" t="s">
        <v>74</v>
      </c>
      <c r="I7" s="25">
        <f t="shared" si="0"/>
        <v>3</v>
      </c>
    </row>
    <row r="8" ht="22" customHeight="1" spans="1:10">
      <c r="A8" s="8">
        <v>6</v>
      </c>
      <c r="B8" s="9">
        <v>46139</v>
      </c>
      <c r="C8" s="10" t="s">
        <v>21</v>
      </c>
      <c r="D8" s="11" t="s">
        <v>65</v>
      </c>
      <c r="E8" s="32">
        <v>3</v>
      </c>
      <c r="F8" s="31"/>
      <c r="G8" s="36"/>
      <c r="I8" s="25">
        <f t="shared" si="0"/>
        <v>3</v>
      </c>
    </row>
    <row r="9" ht="22" customHeight="1" spans="1:10">
      <c r="A9" s="8">
        <v>7</v>
      </c>
      <c r="B9" s="9">
        <v>46139</v>
      </c>
      <c r="C9" s="10" t="s">
        <v>22</v>
      </c>
      <c r="D9" s="11" t="s">
        <v>65</v>
      </c>
      <c r="E9" s="31"/>
      <c r="F9" s="32">
        <v>3</v>
      </c>
      <c r="G9" s="36"/>
      <c r="I9" s="25">
        <f t="shared" si="0"/>
        <v>3</v>
      </c>
    </row>
    <row r="10" ht="22" customHeight="1" spans="1:10">
      <c r="A10" s="8">
        <v>8</v>
      </c>
      <c r="B10" s="9">
        <v>46139</v>
      </c>
      <c r="C10" s="10" t="s">
        <v>23</v>
      </c>
      <c r="D10" s="11" t="s">
        <v>65</v>
      </c>
      <c r="E10" s="31"/>
      <c r="F10" s="32">
        <v>3</v>
      </c>
      <c r="G10" s="36"/>
      <c r="I10" s="25">
        <f t="shared" si="0"/>
        <v>3</v>
      </c>
    </row>
    <row r="11" customFormat="1" ht="22" customHeight="1" spans="1:10">
      <c r="A11" s="8">
        <v>9</v>
      </c>
      <c r="B11" s="9">
        <v>46139</v>
      </c>
      <c r="C11" s="10" t="s">
        <v>24</v>
      </c>
      <c r="D11" s="11" t="s">
        <v>65</v>
      </c>
      <c r="E11" s="32">
        <v>3</v>
      </c>
      <c r="F11" s="31"/>
      <c r="G11" s="36"/>
      <c r="H11" s="25"/>
      <c r="I11" s="25">
        <f t="shared" si="0"/>
        <v>3</v>
      </c>
      <c r="J11" s="25"/>
    </row>
    <row r="12" customFormat="1" ht="22" customHeight="1" spans="1:10">
      <c r="A12" s="8">
        <v>10</v>
      </c>
      <c r="B12" s="9">
        <v>46139</v>
      </c>
      <c r="C12" s="10" t="s">
        <v>25</v>
      </c>
      <c r="D12" s="11" t="s">
        <v>65</v>
      </c>
      <c r="E12" s="32">
        <v>3</v>
      </c>
      <c r="F12" s="31"/>
      <c r="G12" s="36"/>
      <c r="H12" s="25"/>
      <c r="I12" s="25">
        <f t="shared" si="0"/>
        <v>3</v>
      </c>
      <c r="J12" s="25"/>
    </row>
    <row r="13" customFormat="1" ht="22" customHeight="1" spans="1:10">
      <c r="A13" s="8">
        <v>11</v>
      </c>
      <c r="B13" s="9">
        <v>46139</v>
      </c>
      <c r="C13" s="10" t="s">
        <v>26</v>
      </c>
      <c r="D13" s="11" t="s">
        <v>65</v>
      </c>
      <c r="E13" s="32">
        <v>2</v>
      </c>
      <c r="F13" s="32">
        <v>1</v>
      </c>
      <c r="G13" s="35" t="s">
        <v>74</v>
      </c>
      <c r="H13" s="25"/>
      <c r="I13" s="25">
        <f t="shared" si="0"/>
        <v>3</v>
      </c>
      <c r="J13" s="25"/>
    </row>
    <row r="14" customFormat="1" ht="22" customHeight="1" spans="1:10">
      <c r="A14" s="8">
        <v>12</v>
      </c>
      <c r="B14" s="9">
        <v>46139</v>
      </c>
      <c r="C14" s="10" t="s">
        <v>28</v>
      </c>
      <c r="D14" s="11" t="s">
        <v>65</v>
      </c>
      <c r="E14" s="31"/>
      <c r="F14" s="32">
        <v>3</v>
      </c>
      <c r="G14" s="37"/>
      <c r="H14" s="25"/>
      <c r="I14" s="25">
        <f t="shared" si="0"/>
        <v>3</v>
      </c>
      <c r="J14" s="25"/>
    </row>
    <row r="15" customFormat="1" ht="22" customHeight="1" spans="1:10">
      <c r="A15" s="8">
        <v>13</v>
      </c>
      <c r="B15" s="9">
        <v>46139</v>
      </c>
      <c r="C15" s="10" t="s">
        <v>29</v>
      </c>
      <c r="D15" s="11" t="s">
        <v>65</v>
      </c>
      <c r="E15" s="31"/>
      <c r="F15" s="32">
        <v>3</v>
      </c>
      <c r="G15" s="31"/>
      <c r="H15" s="25"/>
      <c r="I15" s="25">
        <f t="shared" si="0"/>
        <v>3</v>
      </c>
      <c r="J15" s="25"/>
    </row>
    <row r="16" customFormat="1" ht="22" customHeight="1" spans="1:10">
      <c r="A16" s="8">
        <v>14</v>
      </c>
      <c r="B16" s="9">
        <v>46139</v>
      </c>
      <c r="C16" s="10" t="s">
        <v>30</v>
      </c>
      <c r="D16" s="11" t="s">
        <v>65</v>
      </c>
      <c r="E16" s="32">
        <v>2</v>
      </c>
      <c r="F16" s="32">
        <v>1</v>
      </c>
      <c r="G16" s="31"/>
      <c r="H16" s="25"/>
      <c r="I16" s="25">
        <f t="shared" si="0"/>
        <v>3</v>
      </c>
      <c r="J16" s="25"/>
    </row>
    <row r="17" customFormat="1" ht="22" customHeight="1" spans="1:10">
      <c r="A17" s="8">
        <v>15</v>
      </c>
      <c r="B17" s="9">
        <v>46139</v>
      </c>
      <c r="C17" s="10" t="s">
        <v>31</v>
      </c>
      <c r="D17" s="11" t="s">
        <v>65</v>
      </c>
      <c r="E17" s="32"/>
      <c r="F17" s="32">
        <v>3</v>
      </c>
      <c r="G17" s="31" t="s">
        <v>70</v>
      </c>
      <c r="H17" s="25"/>
      <c r="I17" s="25">
        <f t="shared" si="0"/>
        <v>3</v>
      </c>
      <c r="J17" s="25"/>
    </row>
    <row r="18" customFormat="1" ht="22" customHeight="1" spans="1:10">
      <c r="A18" s="8">
        <v>16</v>
      </c>
      <c r="B18" s="9">
        <v>46139</v>
      </c>
      <c r="C18" s="10" t="s">
        <v>33</v>
      </c>
      <c r="D18" s="11" t="s">
        <v>65</v>
      </c>
      <c r="E18" s="32">
        <v>3</v>
      </c>
      <c r="F18" s="31"/>
      <c r="G18" s="32"/>
      <c r="H18" s="25"/>
      <c r="I18" s="25">
        <f t="shared" si="0"/>
        <v>3</v>
      </c>
      <c r="J18" s="25"/>
    </row>
    <row r="19" customFormat="1" ht="22" customHeight="1" spans="1:10">
      <c r="A19" s="8">
        <v>17</v>
      </c>
      <c r="B19" s="9">
        <v>46139</v>
      </c>
      <c r="C19" s="10" t="s">
        <v>40</v>
      </c>
      <c r="D19" s="11" t="s">
        <v>65</v>
      </c>
      <c r="E19" s="31"/>
      <c r="F19" s="32">
        <v>3</v>
      </c>
      <c r="G19" s="38"/>
      <c r="H19" s="25"/>
      <c r="I19" s="25">
        <f t="shared" si="0"/>
        <v>3</v>
      </c>
      <c r="J19" s="25"/>
    </row>
    <row r="20" customFormat="1" ht="22" customHeight="1" spans="1:10">
      <c r="A20" s="8">
        <v>18</v>
      </c>
      <c r="B20" s="9">
        <v>46139</v>
      </c>
      <c r="C20" s="10" t="s">
        <v>35</v>
      </c>
      <c r="D20" s="11" t="s">
        <v>65</v>
      </c>
      <c r="E20" s="31"/>
      <c r="F20" s="32">
        <v>3</v>
      </c>
      <c r="G20" s="38"/>
      <c r="H20" s="25"/>
      <c r="I20" s="25">
        <f t="shared" si="0"/>
        <v>3</v>
      </c>
      <c r="J20" s="25"/>
    </row>
    <row r="21" customFormat="1" ht="22" customHeight="1" spans="1:10">
      <c r="A21" s="8">
        <v>19</v>
      </c>
      <c r="B21" s="9">
        <v>46139</v>
      </c>
      <c r="C21" s="15" t="s">
        <v>36</v>
      </c>
      <c r="D21" s="11" t="s">
        <v>65</v>
      </c>
      <c r="E21" s="31"/>
      <c r="F21" s="32">
        <v>3</v>
      </c>
      <c r="G21" s="38"/>
      <c r="H21" s="25"/>
      <c r="I21" s="25">
        <f t="shared" si="0"/>
        <v>3</v>
      </c>
      <c r="J21" s="25"/>
    </row>
    <row r="22" customFormat="1" ht="22" customHeight="1" spans="1:10">
      <c r="A22" s="8">
        <v>20</v>
      </c>
      <c r="B22" s="9">
        <v>46139</v>
      </c>
      <c r="C22" s="10" t="s">
        <v>58</v>
      </c>
      <c r="D22" s="11" t="s">
        <v>65</v>
      </c>
      <c r="E22" s="32"/>
      <c r="F22" s="32">
        <v>3</v>
      </c>
      <c r="G22" s="38"/>
      <c r="H22" s="25" t="s">
        <v>73</v>
      </c>
      <c r="I22" s="25">
        <f t="shared" si="0"/>
        <v>3</v>
      </c>
      <c r="J22" s="25"/>
    </row>
    <row r="23" customFormat="1" ht="22" customHeight="1" spans="1:10">
      <c r="A23" s="8">
        <v>21</v>
      </c>
      <c r="B23" s="9">
        <v>46139</v>
      </c>
      <c r="C23" s="10" t="s">
        <v>42</v>
      </c>
      <c r="D23" s="11" t="s">
        <v>65</v>
      </c>
      <c r="E23" s="32">
        <v>3</v>
      </c>
      <c r="F23" s="19"/>
      <c r="G23" s="19"/>
      <c r="H23" s="25"/>
      <c r="I23" s="25">
        <f t="shared" si="0"/>
        <v>3</v>
      </c>
      <c r="J23" s="25"/>
    </row>
    <row r="24" customFormat="1" ht="22" customHeight="1" spans="1:10">
      <c r="A24" s="8">
        <v>22</v>
      </c>
      <c r="B24" s="9">
        <v>46139</v>
      </c>
      <c r="C24" s="10" t="s">
        <v>38</v>
      </c>
      <c r="D24" s="11" t="s">
        <v>65</v>
      </c>
      <c r="E24" s="31"/>
      <c r="F24" s="32">
        <v>3</v>
      </c>
      <c r="G24" s="38"/>
      <c r="H24" s="25"/>
      <c r="I24" s="25">
        <f t="shared" si="0"/>
        <v>3</v>
      </c>
      <c r="J24" s="25"/>
    </row>
    <row r="25" customFormat="1" ht="22" customHeight="1" spans="1:10">
      <c r="A25" s="8">
        <v>23</v>
      </c>
      <c r="B25" s="9">
        <v>46139</v>
      </c>
      <c r="C25" s="10" t="s">
        <v>39</v>
      </c>
      <c r="D25" s="11" t="s">
        <v>65</v>
      </c>
      <c r="E25" s="31"/>
      <c r="F25" s="32">
        <v>3</v>
      </c>
      <c r="G25" s="38"/>
      <c r="H25" s="25"/>
      <c r="I25" s="25">
        <f t="shared" si="0"/>
        <v>3</v>
      </c>
      <c r="J25" s="25"/>
    </row>
    <row r="26" customFormat="1" ht="22" customHeight="1" spans="1:10">
      <c r="A26" s="8">
        <v>24</v>
      </c>
      <c r="B26" s="9">
        <v>46139</v>
      </c>
      <c r="C26" s="10" t="s">
        <v>41</v>
      </c>
      <c r="D26" s="11" t="s">
        <v>65</v>
      </c>
      <c r="E26" s="31"/>
      <c r="F26" s="32">
        <v>3</v>
      </c>
      <c r="G26" s="32"/>
      <c r="H26" s="25"/>
      <c r="I26" s="25">
        <f t="shared" si="0"/>
        <v>3</v>
      </c>
      <c r="J26" s="25"/>
    </row>
    <row r="27" customFormat="1" ht="22" customHeight="1" spans="1:10">
      <c r="A27" s="8">
        <v>25</v>
      </c>
      <c r="B27" s="9">
        <v>46139</v>
      </c>
      <c r="C27" s="11" t="s">
        <v>44</v>
      </c>
      <c r="D27" s="11" t="s">
        <v>65</v>
      </c>
      <c r="E27" s="32">
        <v>3</v>
      </c>
      <c r="F27" s="19"/>
      <c r="G27" s="19"/>
      <c r="H27" s="25"/>
      <c r="I27" s="25">
        <f t="shared" si="0"/>
        <v>3</v>
      </c>
      <c r="J27" s="25"/>
    </row>
    <row r="28" customFormat="1" ht="22" customHeight="1" spans="1:10">
      <c r="A28" s="8">
        <v>26</v>
      </c>
      <c r="B28" s="9">
        <v>46139</v>
      </c>
      <c r="C28" s="11" t="s">
        <v>59</v>
      </c>
      <c r="D28" s="11" t="s">
        <v>65</v>
      </c>
      <c r="E28" s="18"/>
      <c r="F28" s="19">
        <v>3</v>
      </c>
      <c r="G28" s="20" t="s">
        <v>75</v>
      </c>
      <c r="H28" s="25"/>
      <c r="I28" s="25"/>
      <c r="J28" s="25"/>
    </row>
    <row r="29" customFormat="1" ht="22" customHeight="1" spans="1:10">
      <c r="A29" s="8">
        <v>27</v>
      </c>
      <c r="B29" s="9">
        <v>46139</v>
      </c>
      <c r="C29" s="11" t="s">
        <v>59</v>
      </c>
      <c r="D29" s="11" t="s">
        <v>65</v>
      </c>
      <c r="E29" s="18"/>
      <c r="F29" s="19">
        <v>7</v>
      </c>
      <c r="G29" s="39" t="s">
        <v>77</v>
      </c>
      <c r="H29" t="s">
        <v>78</v>
      </c>
      <c r="I29" s="25"/>
      <c r="J29" s="25"/>
    </row>
    <row r="30" customFormat="1" ht="22" customHeight="1" spans="1:10">
      <c r="A30" s="8"/>
      <c r="B30" s="22"/>
      <c r="C30" s="11"/>
      <c r="D30" s="11"/>
      <c r="E30" s="40"/>
      <c r="F30" s="19"/>
      <c r="G30" s="38"/>
      <c r="H30" s="25"/>
      <c r="I30" s="25"/>
      <c r="J30" s="25"/>
    </row>
    <row r="31" customFormat="1" spans="1:10">
      <c r="E31" s="41">
        <f t="shared" ref="E31:I31" si="1">SUM(E3:E30)</f>
        <v>26</v>
      </c>
      <c r="F31" s="41">
        <f t="shared" si="1"/>
        <v>59</v>
      </c>
      <c r="G31" s="25"/>
      <c r="H31" s="25"/>
      <c r="I31" s="41">
        <f t="shared" si="1"/>
        <v>75</v>
      </c>
      <c r="J31" s="25"/>
    </row>
    <row r="33" customFormat="1" spans="5:10">
      <c r="E33" s="41"/>
      <c r="F33" s="41"/>
      <c r="G33" s="25"/>
      <c r="H33" s="25"/>
      <c r="I33" s="25"/>
      <c r="J33" s="25"/>
    </row>
    <row r="35" customFormat="1" spans="5:10">
      <c r="E35" s="41"/>
      <c r="F35" s="41"/>
      <c r="G35" s="25"/>
      <c r="H35" s="25"/>
      <c r="I35" s="25"/>
      <c r="J35" s="25"/>
    </row>
    <row r="36" customFormat="1" spans="5:10">
      <c r="E36" s="41"/>
      <c r="F36" s="41"/>
      <c r="G36" s="25"/>
      <c r="H36" s="25"/>
      <c r="I36" s="25"/>
      <c r="J36" s="25"/>
    </row>
  </sheetData>
  <mergeCells count="1">
    <mergeCell ref="A1:G1"/>
  </mergeCells>
  <conditionalFormatting sqref="C2:C14">
    <cfRule type="duplicateValues" dxfId="0" priority="1"/>
  </conditionalFormatting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workbookViewId="0">
      <pane xSplit="2" ySplit="2" topLeftCell="C17" activePane="bottomRight" state="frozen"/>
      <selection/>
      <selection pane="topRight"/>
      <selection pane="bottomLeft"/>
      <selection pane="bottomRight" activeCell="G35" sqref="G35"/>
    </sheetView>
  </sheetViews>
  <sheetFormatPr defaultColWidth="9.14285714285714" defaultRowHeight="12"/>
  <cols>
    <col min="1" max="1" width="8.14285714285714" customWidth="1"/>
    <col min="2" max="2" width="12.4285714285714" customWidth="1"/>
    <col min="3" max="3" width="16.8571428571429" customWidth="1"/>
    <col min="4" max="6" width="12.1428571428571" customWidth="1"/>
    <col min="7" max="7" width="33.1428571428571" customWidth="1"/>
  </cols>
  <sheetData>
    <row r="1" ht="38" customHeight="1" spans="1:9">
      <c r="A1" s="2" t="s">
        <v>61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50</v>
      </c>
      <c r="C2" s="5" t="s">
        <v>3</v>
      </c>
      <c r="D2" s="6" t="s">
        <v>62</v>
      </c>
      <c r="E2" s="7" t="s">
        <v>63</v>
      </c>
      <c r="F2" s="7" t="s">
        <v>64</v>
      </c>
      <c r="G2" s="7" t="s">
        <v>7</v>
      </c>
    </row>
    <row r="3" ht="22" customHeight="1" spans="1:9">
      <c r="A3" s="8">
        <v>1</v>
      </c>
      <c r="B3" s="9">
        <v>46142</v>
      </c>
      <c r="C3" s="10" t="s">
        <v>13</v>
      </c>
      <c r="D3" s="11" t="s">
        <v>66</v>
      </c>
      <c r="E3" s="12"/>
      <c r="F3" s="10">
        <v>4</v>
      </c>
      <c r="G3" s="13"/>
      <c r="I3">
        <f t="shared" ref="I3:I27" si="0">SUM(E3:F3)</f>
        <v>4</v>
      </c>
    </row>
    <row r="4" ht="22" customHeight="1" spans="1:9">
      <c r="A4" s="8">
        <v>2</v>
      </c>
      <c r="B4" s="9">
        <v>46142</v>
      </c>
      <c r="C4" s="10" t="s">
        <v>15</v>
      </c>
      <c r="D4" s="11" t="s">
        <v>66</v>
      </c>
      <c r="E4" s="12"/>
      <c r="F4" s="10">
        <v>4</v>
      </c>
      <c r="G4" s="14"/>
      <c r="I4">
        <f t="shared" si="0"/>
        <v>4</v>
      </c>
    </row>
    <row r="5" ht="22" customHeight="1" spans="1:9">
      <c r="A5" s="8">
        <v>3</v>
      </c>
      <c r="B5" s="9">
        <v>46142</v>
      </c>
      <c r="C5" s="10" t="s">
        <v>16</v>
      </c>
      <c r="D5" s="11" t="s">
        <v>66</v>
      </c>
      <c r="E5" s="10">
        <v>2</v>
      </c>
      <c r="F5" s="10">
        <v>2</v>
      </c>
      <c r="G5" s="14"/>
      <c r="I5">
        <f t="shared" si="0"/>
        <v>4</v>
      </c>
    </row>
    <row r="6" ht="22" customHeight="1" spans="1:9">
      <c r="A6" s="8">
        <v>4</v>
      </c>
      <c r="B6" s="9">
        <v>46142</v>
      </c>
      <c r="C6" s="10" t="s">
        <v>18</v>
      </c>
      <c r="D6" s="11" t="s">
        <v>66</v>
      </c>
      <c r="E6" s="12"/>
      <c r="F6" s="10">
        <v>4</v>
      </c>
      <c r="G6" s="14"/>
      <c r="I6">
        <f t="shared" si="0"/>
        <v>4</v>
      </c>
    </row>
    <row r="7" ht="22" customHeight="1" spans="1:9">
      <c r="A7" s="8">
        <v>5</v>
      </c>
      <c r="B7" s="9">
        <v>46142</v>
      </c>
      <c r="C7" s="10" t="s">
        <v>19</v>
      </c>
      <c r="D7" s="11" t="s">
        <v>66</v>
      </c>
      <c r="E7" s="10">
        <v>2</v>
      </c>
      <c r="F7" s="10">
        <v>2</v>
      </c>
      <c r="G7" s="10" t="s">
        <v>20</v>
      </c>
      <c r="I7">
        <f t="shared" si="0"/>
        <v>4</v>
      </c>
    </row>
    <row r="8" ht="22" customHeight="1" spans="1:9">
      <c r="A8" s="8">
        <v>6</v>
      </c>
      <c r="B8" s="9">
        <v>46142</v>
      </c>
      <c r="C8" s="10" t="s">
        <v>21</v>
      </c>
      <c r="D8" s="11" t="s">
        <v>66</v>
      </c>
      <c r="E8" s="10">
        <v>4</v>
      </c>
      <c r="F8" s="12"/>
      <c r="G8" s="12"/>
      <c r="I8">
        <f t="shared" si="0"/>
        <v>4</v>
      </c>
    </row>
    <row r="9" ht="22" customHeight="1" spans="1:9">
      <c r="A9" s="8">
        <v>7</v>
      </c>
      <c r="B9" s="9">
        <v>46142</v>
      </c>
      <c r="C9" s="10" t="s">
        <v>22</v>
      </c>
      <c r="D9" s="11" t="s">
        <v>66</v>
      </c>
      <c r="E9" s="12"/>
      <c r="F9" s="10">
        <v>4</v>
      </c>
      <c r="G9" s="12"/>
      <c r="I9">
        <f t="shared" si="0"/>
        <v>4</v>
      </c>
    </row>
    <row r="10" ht="22" customHeight="1" spans="1:9">
      <c r="A10" s="8">
        <v>8</v>
      </c>
      <c r="B10" s="9">
        <v>46142</v>
      </c>
      <c r="C10" s="10" t="s">
        <v>23</v>
      </c>
      <c r="D10" s="11" t="s">
        <v>66</v>
      </c>
      <c r="E10" s="12"/>
      <c r="F10" s="10">
        <v>4</v>
      </c>
      <c r="G10" s="12"/>
      <c r="I10">
        <f t="shared" si="0"/>
        <v>4</v>
      </c>
    </row>
    <row r="11" customFormat="1" ht="22" customHeight="1" spans="1:9">
      <c r="A11" s="8">
        <v>9</v>
      </c>
      <c r="B11" s="9">
        <v>46142</v>
      </c>
      <c r="C11" s="10" t="s">
        <v>24</v>
      </c>
      <c r="D11" s="11" t="s">
        <v>66</v>
      </c>
      <c r="E11" s="10">
        <v>4</v>
      </c>
      <c r="F11" s="12"/>
      <c r="G11" s="12"/>
      <c r="I11">
        <f t="shared" si="0"/>
        <v>4</v>
      </c>
    </row>
    <row r="12" customFormat="1" ht="22" customHeight="1" spans="1:9">
      <c r="A12" s="8">
        <v>10</v>
      </c>
      <c r="B12" s="9">
        <v>46142</v>
      </c>
      <c r="C12" s="10" t="s">
        <v>25</v>
      </c>
      <c r="D12" s="11" t="s">
        <v>66</v>
      </c>
      <c r="E12" s="10">
        <v>4</v>
      </c>
      <c r="F12" s="12"/>
      <c r="G12" s="12"/>
      <c r="I12">
        <f t="shared" si="0"/>
        <v>4</v>
      </c>
    </row>
    <row r="13" customFormat="1" ht="22" customHeight="1" spans="1:9">
      <c r="A13" s="8">
        <v>11</v>
      </c>
      <c r="B13" s="9">
        <v>46142</v>
      </c>
      <c r="C13" s="10" t="s">
        <v>26</v>
      </c>
      <c r="D13" s="11" t="s">
        <v>66</v>
      </c>
      <c r="E13" s="10">
        <v>2</v>
      </c>
      <c r="F13" s="10">
        <v>2</v>
      </c>
      <c r="G13" s="15" t="s">
        <v>20</v>
      </c>
      <c r="I13">
        <f t="shared" si="0"/>
        <v>4</v>
      </c>
    </row>
    <row r="14" customFormat="1" ht="22" customHeight="1" spans="1:9">
      <c r="A14" s="8">
        <v>12</v>
      </c>
      <c r="B14" s="9">
        <v>46142</v>
      </c>
      <c r="C14" s="10" t="s">
        <v>28</v>
      </c>
      <c r="D14" s="11" t="s">
        <v>66</v>
      </c>
      <c r="E14" s="12"/>
      <c r="F14" s="10">
        <v>4</v>
      </c>
      <c r="G14" s="12"/>
      <c r="I14">
        <f t="shared" si="0"/>
        <v>4</v>
      </c>
    </row>
    <row r="15" customFormat="1" ht="22" customHeight="1" spans="1:9">
      <c r="A15" s="8">
        <v>13</v>
      </c>
      <c r="B15" s="9">
        <v>46142</v>
      </c>
      <c r="C15" s="10" t="s">
        <v>29</v>
      </c>
      <c r="D15" s="11" t="s">
        <v>66</v>
      </c>
      <c r="E15" s="12"/>
      <c r="F15" s="10">
        <v>4</v>
      </c>
      <c r="G15" s="12"/>
      <c r="I15">
        <f t="shared" si="0"/>
        <v>4</v>
      </c>
    </row>
    <row r="16" customFormat="1" ht="22" customHeight="1" spans="1:9">
      <c r="A16" s="8">
        <v>14</v>
      </c>
      <c r="B16" s="9">
        <v>46142</v>
      </c>
      <c r="C16" s="10" t="s">
        <v>30</v>
      </c>
      <c r="D16" s="11" t="s">
        <v>66</v>
      </c>
      <c r="E16" s="10">
        <v>2</v>
      </c>
      <c r="F16" s="10">
        <v>2</v>
      </c>
      <c r="G16" s="12"/>
      <c r="I16">
        <f t="shared" si="0"/>
        <v>4</v>
      </c>
    </row>
    <row r="17" customFormat="1" ht="22" customHeight="1" spans="1:9">
      <c r="A17" s="8">
        <v>15</v>
      </c>
      <c r="B17" s="9">
        <v>46142</v>
      </c>
      <c r="C17" s="10" t="s">
        <v>31</v>
      </c>
      <c r="D17" s="11" t="s">
        <v>66</v>
      </c>
      <c r="E17" s="10"/>
      <c r="F17" s="10">
        <v>4</v>
      </c>
      <c r="G17" s="12" t="s">
        <v>70</v>
      </c>
      <c r="I17">
        <f t="shared" si="0"/>
        <v>4</v>
      </c>
    </row>
    <row r="18" customFormat="1" ht="22" customHeight="1" spans="1:9">
      <c r="A18" s="8">
        <v>16</v>
      </c>
      <c r="B18" s="9">
        <v>46142</v>
      </c>
      <c r="C18" s="10" t="s">
        <v>33</v>
      </c>
      <c r="D18" s="11" t="s">
        <v>66</v>
      </c>
      <c r="E18" s="10">
        <v>4</v>
      </c>
      <c r="F18" s="12"/>
      <c r="G18" s="10" t="s">
        <v>34</v>
      </c>
      <c r="I18">
        <f t="shared" si="0"/>
        <v>4</v>
      </c>
    </row>
    <row r="19" customFormat="1" ht="22" customHeight="1" spans="1:9">
      <c r="A19" s="8">
        <v>17</v>
      </c>
      <c r="B19" s="9">
        <v>46142</v>
      </c>
      <c r="C19" s="10" t="s">
        <v>40</v>
      </c>
      <c r="D19" s="11" t="s">
        <v>66</v>
      </c>
      <c r="E19" s="12"/>
      <c r="F19" s="10">
        <v>4</v>
      </c>
      <c r="G19" s="16"/>
      <c r="I19">
        <f t="shared" si="0"/>
        <v>4</v>
      </c>
    </row>
    <row r="20" customFormat="1" ht="22" customHeight="1" spans="1:9">
      <c r="A20" s="8">
        <v>18</v>
      </c>
      <c r="B20" s="9">
        <v>46142</v>
      </c>
      <c r="C20" s="10" t="s">
        <v>35</v>
      </c>
      <c r="D20" s="11" t="s">
        <v>66</v>
      </c>
      <c r="E20" s="12"/>
      <c r="F20" s="10">
        <v>4</v>
      </c>
      <c r="G20" s="16"/>
      <c r="I20">
        <f t="shared" si="0"/>
        <v>4</v>
      </c>
    </row>
    <row r="21" customFormat="1" ht="22" customHeight="1" spans="1:9">
      <c r="A21" s="8">
        <v>19</v>
      </c>
      <c r="B21" s="9">
        <v>46142</v>
      </c>
      <c r="C21" s="15" t="s">
        <v>36</v>
      </c>
      <c r="D21" s="11" t="s">
        <v>66</v>
      </c>
      <c r="E21" s="12"/>
      <c r="F21" s="10">
        <v>4</v>
      </c>
      <c r="G21" s="16"/>
      <c r="I21">
        <f t="shared" si="0"/>
        <v>4</v>
      </c>
    </row>
    <row r="22" customFormat="1" ht="22" customHeight="1" spans="1:9">
      <c r="A22" s="8">
        <v>20</v>
      </c>
      <c r="B22" s="9">
        <v>46142</v>
      </c>
      <c r="C22" s="10" t="s">
        <v>58</v>
      </c>
      <c r="D22" s="11" t="s">
        <v>66</v>
      </c>
      <c r="E22" s="10"/>
      <c r="F22" s="10">
        <v>4</v>
      </c>
      <c r="G22" s="16"/>
      <c r="H22" s="17" t="s">
        <v>73</v>
      </c>
      <c r="I22">
        <f t="shared" si="0"/>
        <v>4</v>
      </c>
    </row>
    <row r="23" customFormat="1" ht="22" customHeight="1" spans="1:9">
      <c r="A23" s="8">
        <v>21</v>
      </c>
      <c r="B23" s="9">
        <v>46142</v>
      </c>
      <c r="C23" s="10" t="s">
        <v>42</v>
      </c>
      <c r="D23" s="11" t="s">
        <v>66</v>
      </c>
      <c r="E23" s="10">
        <v>4</v>
      </c>
      <c r="F23" s="11"/>
      <c r="G23" s="11"/>
      <c r="I23">
        <f t="shared" si="0"/>
        <v>4</v>
      </c>
    </row>
    <row r="24" customFormat="1" ht="22" customHeight="1" spans="1:9">
      <c r="A24" s="8">
        <v>22</v>
      </c>
      <c r="B24" s="9">
        <v>46142</v>
      </c>
      <c r="C24" s="10" t="s">
        <v>38</v>
      </c>
      <c r="D24" s="11" t="s">
        <v>66</v>
      </c>
      <c r="E24" s="12"/>
      <c r="F24" s="10">
        <v>4</v>
      </c>
      <c r="G24" s="16"/>
      <c r="I24">
        <f t="shared" si="0"/>
        <v>4</v>
      </c>
    </row>
    <row r="25" customFormat="1" ht="22" customHeight="1" spans="1:9">
      <c r="A25" s="8">
        <v>23</v>
      </c>
      <c r="B25" s="9">
        <v>46142</v>
      </c>
      <c r="C25" s="10" t="s">
        <v>39</v>
      </c>
      <c r="D25" s="11" t="s">
        <v>66</v>
      </c>
      <c r="E25" s="12"/>
      <c r="F25" s="10">
        <v>4</v>
      </c>
      <c r="G25" s="16"/>
      <c r="I25">
        <f t="shared" si="0"/>
        <v>4</v>
      </c>
    </row>
    <row r="26" customFormat="1" ht="22" customHeight="1" spans="1:9">
      <c r="A26" s="8">
        <v>24</v>
      </c>
      <c r="B26" s="9">
        <v>46142</v>
      </c>
      <c r="C26" s="10" t="s">
        <v>41</v>
      </c>
      <c r="D26" s="11" t="s">
        <v>66</v>
      </c>
      <c r="E26" s="12"/>
      <c r="F26" s="10">
        <v>4</v>
      </c>
      <c r="G26" s="10"/>
      <c r="I26">
        <f t="shared" si="0"/>
        <v>4</v>
      </c>
    </row>
    <row r="27" customFormat="1" ht="22" customHeight="1" spans="1:9">
      <c r="A27" s="8">
        <v>25</v>
      </c>
      <c r="B27" s="9">
        <v>46142</v>
      </c>
      <c r="C27" s="11" t="s">
        <v>44</v>
      </c>
      <c r="D27" s="11" t="s">
        <v>66</v>
      </c>
      <c r="E27" s="10">
        <v>4</v>
      </c>
      <c r="F27" s="11"/>
      <c r="G27" s="11"/>
      <c r="I27">
        <f t="shared" si="0"/>
        <v>4</v>
      </c>
    </row>
    <row r="28" customFormat="1" ht="22" customHeight="1" spans="1:9">
      <c r="A28" s="8">
        <v>26</v>
      </c>
      <c r="B28" s="9">
        <v>46142</v>
      </c>
      <c r="C28" s="11" t="s">
        <v>59</v>
      </c>
      <c r="D28" s="11" t="s">
        <v>66</v>
      </c>
      <c r="E28" s="18"/>
      <c r="F28" s="19">
        <v>4</v>
      </c>
      <c r="G28" s="20" t="s">
        <v>75</v>
      </c>
    </row>
    <row r="29" customFormat="1" ht="22" customHeight="1" spans="1:9">
      <c r="A29" s="8">
        <v>27</v>
      </c>
      <c r="B29" s="9">
        <v>46142</v>
      </c>
      <c r="C29" s="11" t="s">
        <v>59</v>
      </c>
      <c r="D29" s="11" t="s">
        <v>66</v>
      </c>
      <c r="E29" s="18"/>
      <c r="F29" s="19">
        <f>28-4</f>
        <v>24</v>
      </c>
      <c r="G29" s="20" t="s">
        <v>77</v>
      </c>
      <c r="H29" s="21" t="s">
        <v>78</v>
      </c>
    </row>
    <row r="30" customFormat="1" ht="22" customHeight="1" spans="1:9">
      <c r="A30" s="8">
        <v>28</v>
      </c>
      <c r="B30" s="9">
        <v>46142</v>
      </c>
      <c r="C30" s="11" t="s">
        <v>79</v>
      </c>
      <c r="D30" s="11" t="s">
        <v>66</v>
      </c>
      <c r="E30" s="18"/>
      <c r="F30" s="19">
        <v>10</v>
      </c>
      <c r="G30" s="20" t="s">
        <v>80</v>
      </c>
      <c r="H30" s="21" t="s">
        <v>81</v>
      </c>
    </row>
    <row r="31" customFormat="1" ht="22" customHeight="1" spans="1:9">
      <c r="A31" s="8"/>
      <c r="B31" s="22"/>
      <c r="C31" s="11"/>
      <c r="D31" s="11"/>
      <c r="E31" s="23"/>
      <c r="F31" s="11"/>
      <c r="G31" s="16"/>
    </row>
    <row r="32" customFormat="1" spans="1:9">
      <c r="E32" s="24">
        <f>SUM(E3:E31)</f>
        <v>32</v>
      </c>
      <c r="F32" s="24">
        <f>SUM(F3:F31)</f>
        <v>106</v>
      </c>
    </row>
    <row r="34" customFormat="1" spans="5:6">
      <c r="E34" s="24"/>
      <c r="F34" s="24"/>
    </row>
    <row r="36" customFormat="1" spans="5:6">
      <c r="E36" s="24"/>
      <c r="F36" s="24"/>
    </row>
    <row r="37" customFormat="1" spans="5:6">
      <c r="E37" s="24"/>
      <c r="F37" s="24"/>
    </row>
  </sheetData>
  <mergeCells count="1">
    <mergeCell ref="A1:G1"/>
  </mergeCells>
  <conditionalFormatting sqref="C2:C14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老师</vt:lpstr>
      <vt:lpstr>领奶表</vt:lpstr>
      <vt:lpstr>签收</vt:lpstr>
      <vt:lpstr>配送汇总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  <vt:lpstr>4.27</vt:lpstr>
      <vt:lpstr>4.30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2026-04-17T08:43:33Z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A5E5FF03DC3344B6AB7B0804B0AAA305_13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