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1535" tabRatio="895" activeTab="17"/>
  </bookViews>
  <sheets>
    <sheet name="老师" sheetId="1" r:id="rId1"/>
    <sheet name="领奶表" sheetId="5" r:id="rId2"/>
    <sheet name="签收" sheetId="8" r:id="rId3"/>
    <sheet name="配送汇总" sheetId="6" r:id="rId4"/>
    <sheet name="3.9" sheetId="2" r:id="rId5"/>
    <sheet name="3.12" sheetId="7" r:id="rId6"/>
    <sheet name="3.16" sheetId="9" r:id="rId7"/>
    <sheet name="3.19" sheetId="10" r:id="rId8"/>
    <sheet name="3.23" sheetId="11" r:id="rId9"/>
    <sheet name="3.26" sheetId="12" r:id="rId10"/>
    <sheet name="3.30" sheetId="13" r:id="rId11"/>
    <sheet name="4.2" sheetId="14" r:id="rId12"/>
    <sheet name="4.7" sheetId="15" r:id="rId13"/>
    <sheet name="4.9" sheetId="16" r:id="rId14"/>
    <sheet name="4.13" sheetId="17" r:id="rId15"/>
    <sheet name="4.16" sheetId="18" r:id="rId16"/>
    <sheet name="4.20" sheetId="19" r:id="rId17"/>
    <sheet name="4.23" sheetId="20" r:id="rId18"/>
  </sheets>
  <definedNames>
    <definedName name="_xlnm._FilterDatabase" localSheetId="3" hidden="1">配送汇总!$A$1:$Z$33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<sst xmlns="http://schemas.openxmlformats.org/spreadsheetml/2006/main" count="592" uniqueCount="59">
  <si>
    <t>2026春季大湾中学教职工巴氏鲜奶补贴订购申请表（20份起送，特殊申请除外</t>
  </si>
  <si>
    <t>本学期订购一份赠送1本笔记本+1支花梨木圆珠笔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</si>
  <si>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</si>
  <si>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</si>
  <si>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</si>
  <si>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</si>
  <si>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</si>
  <si>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</si>
  <si>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</si>
  <si>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</si>
  <si>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</si>
  <si>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</si>
  <si>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</si>
  <si>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吴丽玲</t>
  </si>
  <si>
    <t>√</t>
  </si>
  <si>
    <t>已收费</t>
  </si>
  <si>
    <t>李春燕</t>
  </si>
  <si>
    <t>陈苑梅</t>
  </si>
  <si>
    <t>苏井辉</t>
  </si>
  <si>
    <t>植鹏</t>
  </si>
  <si>
    <t>毛有锦</t>
  </si>
  <si>
    <t>刘晓旭</t>
  </si>
  <si>
    <t>林四妹</t>
  </si>
  <si>
    <t>朱小燕</t>
  </si>
  <si>
    <t>张石红</t>
  </si>
  <si>
    <t>✔</t>
  </si>
  <si>
    <t>罗建国</t>
  </si>
  <si>
    <t>3.27新增</t>
  </si>
  <si>
    <t>英德市大湾中学教师鲜奶领奶表</t>
  </si>
  <si>
    <t>（ ）月份（填写领取数量/盒）</t>
  </si>
  <si>
    <t>姓名</t>
  </si>
  <si>
    <t>大湾中学教师鲜奶赠品领取表</t>
  </si>
  <si>
    <t>配送日期</t>
  </si>
  <si>
    <t>礼品份数
（笔记本+笔）</t>
  </si>
  <si>
    <t>签名</t>
  </si>
  <si>
    <t xml:space="preserve">                                                   英德市大湾中学教师鲜奶领奶表</t>
  </si>
  <si>
    <t>订购份数</t>
  </si>
  <si>
    <t>总计</t>
  </si>
  <si>
    <t>剩余</t>
  </si>
  <si>
    <t>林四妹1</t>
  </si>
  <si>
    <t>林四妹2</t>
  </si>
  <si>
    <t>黄海婷</t>
  </si>
  <si>
    <t>100支+5支散单 合计105支。4.17下单4.23开始配送</t>
  </si>
  <si>
    <t>大湾中学教师鲜奶领奶表</t>
  </si>
  <si>
    <t>配送天数</t>
  </si>
  <si>
    <t>鲜</t>
  </si>
  <si>
    <t>酸</t>
  </si>
  <si>
    <t>3天</t>
  </si>
  <si>
    <t>4天</t>
  </si>
  <si>
    <t>改为鲜酸各一半</t>
  </si>
  <si>
    <t>补发</t>
  </si>
  <si>
    <t>3.30第一次发，补到与其他老师一致</t>
  </si>
  <si>
    <t>漏了没补到，4.7补</t>
  </si>
  <si>
    <t>漏2支酸奶，4.7补</t>
  </si>
  <si>
    <t>4.23号开始3酸4鲜</t>
  </si>
  <si>
    <t>周一3鲜，周四4酸</t>
  </si>
  <si>
    <t>4.27号记得录数据</t>
  </si>
  <si>
    <t>5月开始不用补</t>
  </si>
  <si>
    <t>4.23号开始送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</si>
</sst>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3">
    <font>
      <sz val="10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10"/>
      <color rgb="FFFF0000"/>
      <name val="宋体"/>
      <charset val="134"/>
      <scheme val="minor"/>
    </font>
    <font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0"/>
      <color rgb="FF000000"/>
      <name val="宋体"/>
      <charset val="134"/>
    </font>
    <font>
      <sz val="10"/>
      <name val="宋体"/>
      <charset val="134"/>
      <scheme val="minor"/>
    </font>
    <font>
      <sz val="8"/>
      <name val="宋体"/>
      <charset val="134"/>
      <scheme val="minor"/>
    </font>
    <font>
      <b/>
      <sz val="14"/>
      <name val="宋体"/>
      <charset val="134"/>
    </font>
    <font>
      <sz val="8"/>
      <name val="宋体"/>
      <charset val="134"/>
    </font>
    <font>
      <sz val="11"/>
      <color theme="1"/>
      <name val="宋体"/>
      <charset val="134"/>
    </font>
    <font>
      <b/>
      <sz val="12"/>
      <color theme="1"/>
      <name val="宋体"/>
      <charset val="134"/>
    </font>
    <font>
      <sz val="10"/>
      <color rgb="FF000000"/>
      <name val="宋体"/>
      <charset val="134"/>
      <scheme val="minor"/>
    </font>
    <font>
      <b/>
      <sz val="16"/>
      <color rgb="FF000000"/>
      <name val="宋体"/>
      <charset val="134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0" fillId="4" borderId="10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5" borderId="13" applyNumberFormat="0" applyAlignment="0" applyProtection="0">
      <alignment vertical="center"/>
    </xf>
    <xf numFmtId="0" fontId="33" fillId="6" borderId="14" applyNumberFormat="0" applyAlignment="0" applyProtection="0">
      <alignment vertical="center"/>
    </xf>
    <xf numFmtId="0" fontId="34" fillId="6" borderId="13" applyNumberFormat="0" applyAlignment="0" applyProtection="0">
      <alignment vertical="center"/>
    </xf>
    <xf numFmtId="0" fontId="35" fillId="7" borderId="15" applyNumberFormat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0" fontId="3" fillId="0" borderId="4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58" fontId="4" fillId="0" borderId="5" xfId="0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 wrapText="1"/>
    </xf>
    <xf numFmtId="0" fontId="0" fillId="0" borderId="4" xfId="0" applyBorder="1">
      <alignment vertical="center"/>
    </xf>
    <xf numFmtId="0" fontId="6" fillId="0" borderId="5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5" xfId="0" applyFont="1" applyFill="1" applyBorder="1" applyAlignment="1">
      <alignment horizontal="center" vertical="center"/>
    </xf>
    <xf numFmtId="58" fontId="4" fillId="0" borderId="5" xfId="0" applyNumberFormat="1" applyFont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5" fillId="2" borderId="7" xfId="0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3" fillId="0" borderId="0" xfId="0" applyNumberFormat="1" applyFont="1" applyFill="1" applyBorder="1" applyAlignment="1">
      <alignment horizontal="center" vertical="center"/>
    </xf>
    <xf numFmtId="0" fontId="14" fillId="0" borderId="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0" borderId="2" xfId="0" applyNumberFormat="1" applyFont="1" applyFill="1" applyBorder="1" applyAlignment="1">
      <alignment horizontal="center" vertical="center" wrapText="1"/>
    </xf>
    <xf numFmtId="0" fontId="15" fillId="0" borderId="0" xfId="0" applyNumberFormat="1" applyFont="1" applyFill="1" applyBorder="1" applyAlignment="1">
      <alignment horizontal="center" vertical="center" wrapText="1"/>
    </xf>
    <xf numFmtId="0" fontId="16" fillId="0" borderId="5" xfId="0" applyNumberFormat="1" applyFont="1" applyFill="1" applyBorder="1" applyAlignment="1">
      <alignment horizontal="center" vertical="center"/>
    </xf>
    <xf numFmtId="0" fontId="16" fillId="0" borderId="5" xfId="0" applyNumberFormat="1" applyFont="1" applyFill="1" applyBorder="1" applyAlignment="1">
      <alignment horizontal="center" vertical="center" wrapText="1"/>
    </xf>
    <xf numFmtId="58" fontId="16" fillId="0" borderId="5" xfId="0" applyNumberFormat="1" applyFont="1" applyFill="1" applyBorder="1" applyAlignment="1">
      <alignment horizontal="center" vertical="center" wrapText="1"/>
    </xf>
    <xf numFmtId="58" fontId="16" fillId="0" borderId="5" xfId="0" applyNumberFormat="1" applyFont="1" applyFill="1" applyBorder="1" applyAlignment="1">
      <alignment horizontal="center" vertical="center"/>
    </xf>
    <xf numFmtId="0" fontId="14" fillId="0" borderId="5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right" vertical="center"/>
    </xf>
    <xf numFmtId="0" fontId="5" fillId="0" borderId="5" xfId="0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2" fillId="0" borderId="5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 wrapText="1"/>
    </xf>
    <xf numFmtId="0" fontId="17" fillId="0" borderId="0" xfId="0" applyNumberFormat="1" applyFont="1" applyFill="1" applyBorder="1" applyAlignment="1">
      <alignment vertical="center"/>
    </xf>
    <xf numFmtId="0" fontId="18" fillId="0" borderId="0" xfId="0" applyNumberFormat="1" applyFont="1" applyFill="1" applyBorder="1" applyAlignment="1">
      <alignment horizontal="center" vertical="center" wrapText="1"/>
    </xf>
    <xf numFmtId="0" fontId="17" fillId="0" borderId="0" xfId="0" applyNumberFormat="1" applyFont="1" applyFill="1" applyBorder="1" applyAlignment="1">
      <alignment horizontal="center" vertical="center"/>
    </xf>
    <xf numFmtId="0" fontId="5" fillId="0" borderId="5" xfId="0" applyNumberFormat="1" applyFont="1" applyFill="1" applyBorder="1" applyAlignment="1">
      <alignment horizontal="center" vertical="center"/>
    </xf>
    <xf numFmtId="0" fontId="18" fillId="0" borderId="5" xfId="0" applyNumberFormat="1" applyFont="1" applyFill="1" applyBorder="1" applyAlignment="1">
      <alignment horizontal="center" vertical="center" wrapText="1"/>
    </xf>
    <xf numFmtId="0" fontId="7" fillId="0" borderId="5" xfId="0" applyNumberFormat="1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17" fillId="0" borderId="5" xfId="0" applyNumberFormat="1" applyFont="1" applyFill="1" applyBorder="1" applyAlignment="1">
      <alignment vertical="center"/>
    </xf>
    <xf numFmtId="0" fontId="19" fillId="0" borderId="5" xfId="0" applyNumberFormat="1" applyFont="1" applyFill="1" applyBorder="1" applyAlignment="1">
      <alignment horizontal="lef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9"/>
  <sheetViews>
    <sheetView workbookViewId="0">
      <selection activeCell="J14" sqref="J14"/>
    </sheetView>
  </sheetViews>
  <sheetFormatPr defaultColWidth="14" defaultRowHeight="18" customHeight="1"/>
  <cols>
    <col min="1" max="1" width="5.14285714285714" customWidth="1"/>
    <col min="2" max="2" width="10.7142857142857" customWidth="1"/>
    <col min="4" max="5" width="8.14285714285714" customWidth="1"/>
    <col min="6" max="7" width="10.5714285714286" customWidth="1"/>
  </cols>
  <sheetData>
    <row r="1" ht="20.25" customHeight="1" spans="1:25">
      <c r="A1" s="63" t="s">
        <v>0</v>
      </c>
      <c r="B1" s="63"/>
      <c r="C1" s="63"/>
      <c r="D1" s="63"/>
      <c r="E1" s="63"/>
      <c r="F1" s="63"/>
      <c r="G1" s="63"/>
      <c r="H1" s="63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</row>
    <row r="2" ht="20.25" customHeight="1" spans="1:25">
      <c r="A2" s="65" t="s">
        <v>1</v>
      </c>
      <c r="B2" s="65"/>
      <c r="C2" s="65"/>
      <c r="D2" s="65"/>
      <c r="E2" s="65"/>
      <c r="F2" s="65"/>
      <c r="G2" s="65"/>
      <c r="H2" s="65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</row>
    <row r="3" customHeight="1" spans="1:25">
      <c r="A3" s="66" t="s">
        <v>2</v>
      </c>
      <c r="B3" s="66" t="s">
        <v>3</v>
      </c>
      <c r="C3" s="66" t="s">
        <v>4</v>
      </c>
      <c r="D3" s="67" t="s">
        <v>5</v>
      </c>
      <c r="E3" s="67"/>
      <c r="F3" s="67" t="s">
        <v>6</v>
      </c>
      <c r="G3" s="67"/>
      <c r="H3" s="66" t="s">
        <v>7</v>
      </c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</row>
    <row r="4" ht="54" spans="1:25">
      <c r="A4" s="66"/>
      <c r="B4" s="66"/>
      <c r="C4" s="66"/>
      <c r="D4" s="68" t="s">
        <v>8</v>
      </c>
      <c r="E4" s="68" t="s">
        <v>9</v>
      </c>
      <c r="F4" s="68" t="s">
        <v>10</v>
      </c>
      <c r="G4" s="68" t="s">
        <v>11</v>
      </c>
      <c r="H4" s="69" t="s">
        <v>12</v>
      </c>
      <c r="I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</row>
    <row r="5" customHeight="1" spans="1:25">
      <c r="A5" s="29">
        <v>1</v>
      </c>
      <c r="B5" s="29" t="s">
        <v>13</v>
      </c>
      <c r="C5" s="29">
        <v>13620583527</v>
      </c>
      <c r="D5" s="29" t="s">
        <v>14</v>
      </c>
      <c r="E5" s="29" t="s">
        <v>14</v>
      </c>
      <c r="F5" s="29">
        <v>350</v>
      </c>
      <c r="G5" s="29">
        <v>210</v>
      </c>
      <c r="H5" s="70"/>
      <c r="I5" s="71" t="s">
        <v>15</v>
      </c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</row>
    <row r="6" customHeight="1" spans="1:25">
      <c r="A6" s="29">
        <v>2</v>
      </c>
      <c r="B6" s="29" t="s">
        <v>16</v>
      </c>
      <c r="C6" s="29">
        <v>13729609208</v>
      </c>
      <c r="D6" s="29" t="s">
        <v>14</v>
      </c>
      <c r="E6" s="70"/>
      <c r="F6" s="29">
        <v>350</v>
      </c>
      <c r="G6" s="29">
        <v>210</v>
      </c>
      <c r="H6" s="70"/>
      <c r="I6" s="71" t="s">
        <v>15</v>
      </c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</row>
    <row r="7" customHeight="1" spans="1:25">
      <c r="A7" s="29">
        <v>3</v>
      </c>
      <c r="B7" s="29" t="s">
        <v>17</v>
      </c>
      <c r="C7" s="29">
        <v>18219087141</v>
      </c>
      <c r="D7" s="29" t="s">
        <v>14</v>
      </c>
      <c r="E7" s="70"/>
      <c r="F7" s="29">
        <v>350</v>
      </c>
      <c r="G7" s="29">
        <v>210</v>
      </c>
      <c r="H7" s="70"/>
      <c r="I7" s="71" t="s">
        <v>15</v>
      </c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</row>
    <row r="8" customHeight="1" spans="1:25">
      <c r="A8" s="29">
        <v>4</v>
      </c>
      <c r="B8" s="29" t="s">
        <v>18</v>
      </c>
      <c r="C8" s="29">
        <v>13631056250</v>
      </c>
      <c r="D8" s="29" t="s">
        <v>14</v>
      </c>
      <c r="E8" s="70"/>
      <c r="F8" s="29">
        <v>350</v>
      </c>
      <c r="G8" s="29">
        <v>210</v>
      </c>
      <c r="H8" s="70"/>
      <c r="I8" s="71" t="s">
        <v>15</v>
      </c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</row>
    <row r="9" customHeight="1" spans="1:25">
      <c r="A9" s="29">
        <v>5</v>
      </c>
      <c r="B9" s="29" t="s">
        <v>19</v>
      </c>
      <c r="C9" s="29">
        <v>13416511608</v>
      </c>
      <c r="D9" s="29" t="s">
        <v>14</v>
      </c>
      <c r="E9" s="29" t="s">
        <v>14</v>
      </c>
      <c r="F9" s="29">
        <v>350</v>
      </c>
      <c r="G9" s="29">
        <v>210</v>
      </c>
      <c r="H9" s="70"/>
      <c r="I9" s="71" t="s">
        <v>15</v>
      </c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</row>
    <row r="10" customHeight="1" spans="1:25">
      <c r="A10" s="29">
        <v>6</v>
      </c>
      <c r="B10" s="29" t="s">
        <v>20</v>
      </c>
      <c r="C10" s="29">
        <v>13542493875</v>
      </c>
      <c r="D10" s="29" t="s">
        <v>14</v>
      </c>
      <c r="E10" s="70"/>
      <c r="F10" s="29">
        <v>350</v>
      </c>
      <c r="G10" s="29">
        <v>210</v>
      </c>
      <c r="H10" s="70"/>
      <c r="I10" s="71" t="s">
        <v>15</v>
      </c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</row>
    <row r="11" customHeight="1" spans="1:25">
      <c r="A11" s="29">
        <v>7</v>
      </c>
      <c r="B11" s="29" t="s">
        <v>21</v>
      </c>
      <c r="C11" s="29">
        <v>13415271155</v>
      </c>
      <c r="D11" s="29" t="s">
        <v>14</v>
      </c>
      <c r="E11" s="29" t="s">
        <v>14</v>
      </c>
      <c r="F11" s="29">
        <v>350</v>
      </c>
      <c r="G11" s="29">
        <v>210</v>
      </c>
      <c r="H11" s="70"/>
      <c r="I11" s="71" t="s">
        <v>15</v>
      </c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</row>
    <row r="12" customHeight="1" spans="1:25">
      <c r="A12" s="29">
        <v>8</v>
      </c>
      <c r="B12" s="29" t="s">
        <v>22</v>
      </c>
      <c r="C12" s="29">
        <v>13729615572</v>
      </c>
      <c r="D12" s="29" t="s">
        <v>14</v>
      </c>
      <c r="E12" s="29" t="s">
        <v>14</v>
      </c>
      <c r="F12" s="29">
        <v>350</v>
      </c>
      <c r="G12" s="29">
        <v>210</v>
      </c>
      <c r="H12" s="70"/>
      <c r="I12" s="71" t="s">
        <v>15</v>
      </c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</row>
    <row r="13" customHeight="1" spans="1:25">
      <c r="A13" s="29">
        <v>9</v>
      </c>
      <c r="B13" s="29" t="s">
        <v>23</v>
      </c>
      <c r="C13" s="29">
        <v>13415289393</v>
      </c>
      <c r="D13" s="29" t="s">
        <v>14</v>
      </c>
      <c r="E13" s="70"/>
      <c r="F13" s="29">
        <v>350</v>
      </c>
      <c r="G13" s="29">
        <v>210</v>
      </c>
      <c r="H13" s="70"/>
      <c r="I13" s="71" t="s">
        <v>15</v>
      </c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</row>
    <row r="14" customHeight="1" spans="1:25">
      <c r="A14" s="29">
        <v>10</v>
      </c>
      <c r="B14" s="29" t="s">
        <v>24</v>
      </c>
      <c r="C14" s="29">
        <v>13631090897</v>
      </c>
      <c r="D14" s="29" t="s">
        <v>25</v>
      </c>
      <c r="E14" s="29" t="s">
        <v>25</v>
      </c>
      <c r="F14" s="29">
        <v>350</v>
      </c>
      <c r="G14" s="29">
        <v>210</v>
      </c>
      <c r="H14" s="70"/>
      <c r="I14" s="71" t="s">
        <v>15</v>
      </c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</row>
    <row r="15" customHeight="1" spans="1:25">
      <c r="A15" s="29">
        <v>11</v>
      </c>
      <c r="B15" s="29" t="s">
        <v>26</v>
      </c>
      <c r="C15" s="29">
        <v>15089714868</v>
      </c>
      <c r="D15" s="29" t="s">
        <v>14</v>
      </c>
      <c r="E15" s="70"/>
      <c r="F15" s="29">
        <v>350</v>
      </c>
      <c r="G15" s="29">
        <v>210</v>
      </c>
      <c r="H15" s="70"/>
      <c r="I15" s="71" t="s">
        <v>15</v>
      </c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</row>
    <row r="16" customHeight="1" spans="1:25">
      <c r="A16" s="29">
        <v>12</v>
      </c>
      <c r="B16" s="70" t="s">
        <v>22</v>
      </c>
      <c r="C16" s="70">
        <v>13729615572</v>
      </c>
      <c r="D16" s="70"/>
      <c r="E16" s="29" t="s">
        <v>25</v>
      </c>
      <c r="F16" s="29">
        <v>350</v>
      </c>
      <c r="G16" s="29">
        <v>210</v>
      </c>
      <c r="H16" s="70" t="s">
        <v>27</v>
      </c>
      <c r="I16" s="71" t="s">
        <v>15</v>
      </c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</row>
    <row r="17" customHeight="1" spans="1:25">
      <c r="A17" s="29">
        <v>13</v>
      </c>
      <c r="B17" s="70"/>
      <c r="C17" s="70"/>
      <c r="D17" s="70"/>
      <c r="E17" s="70"/>
      <c r="F17" s="29">
        <v>350</v>
      </c>
      <c r="G17" s="29">
        <v>210</v>
      </c>
      <c r="H17" s="70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</row>
    <row r="18" customHeight="1" spans="1:25">
      <c r="A18" s="29">
        <v>14</v>
      </c>
      <c r="B18" s="70"/>
      <c r="C18" s="70"/>
      <c r="D18" s="70"/>
      <c r="E18" s="70"/>
      <c r="F18" s="29">
        <v>350</v>
      </c>
      <c r="G18" s="29">
        <v>210</v>
      </c>
      <c r="H18" s="70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</row>
    <row r="19" customHeight="1" spans="1:25">
      <c r="A19" s="29">
        <v>15</v>
      </c>
      <c r="B19" s="70"/>
      <c r="C19" s="70"/>
      <c r="D19" s="70"/>
      <c r="E19" s="70"/>
      <c r="F19" s="29">
        <v>350</v>
      </c>
      <c r="G19" s="29">
        <v>210</v>
      </c>
      <c r="H19" s="70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</row>
    <row r="20" customHeight="1" spans="1:25">
      <c r="A20" s="29">
        <v>16</v>
      </c>
      <c r="B20" s="70"/>
      <c r="C20" s="70"/>
      <c r="D20" s="70"/>
      <c r="E20" s="70"/>
      <c r="F20" s="29">
        <v>350</v>
      </c>
      <c r="G20" s="29">
        <v>210</v>
      </c>
      <c r="H20" s="70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</row>
    <row r="21" customHeight="1" spans="1:25">
      <c r="A21" s="29">
        <v>17</v>
      </c>
      <c r="B21" s="70"/>
      <c r="C21" s="70"/>
      <c r="D21" s="70"/>
      <c r="E21" s="72"/>
      <c r="F21" s="29">
        <v>350</v>
      </c>
      <c r="G21" s="29">
        <v>210</v>
      </c>
      <c r="H21" s="70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</row>
    <row r="22" customHeight="1" spans="1:25">
      <c r="A22" s="29">
        <v>18</v>
      </c>
      <c r="B22" s="70"/>
      <c r="C22" s="70"/>
      <c r="D22" s="70"/>
      <c r="E22" s="70"/>
      <c r="F22" s="29">
        <v>350</v>
      </c>
      <c r="G22" s="29">
        <v>210</v>
      </c>
      <c r="H22" s="70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</row>
    <row r="23" customHeight="1" spans="1:25">
      <c r="A23" s="29">
        <v>19</v>
      </c>
      <c r="B23" s="70"/>
      <c r="C23" s="70"/>
      <c r="D23" s="70"/>
      <c r="E23" s="70"/>
      <c r="F23" s="29">
        <v>350</v>
      </c>
      <c r="G23" s="29">
        <v>210</v>
      </c>
      <c r="H23" s="70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</row>
    <row r="24" customHeight="1" spans="1:25">
      <c r="A24" s="29">
        <v>20</v>
      </c>
      <c r="B24" s="70"/>
      <c r="C24" s="70"/>
      <c r="D24" s="70"/>
      <c r="E24" s="70"/>
      <c r="F24" s="29">
        <v>350</v>
      </c>
      <c r="G24" s="29">
        <v>210</v>
      </c>
      <c r="H24" s="70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</row>
    <row r="25" customHeight="1" spans="1:25">
      <c r="A25" s="29">
        <v>21</v>
      </c>
      <c r="B25" s="70"/>
      <c r="C25" s="70"/>
      <c r="D25" s="70"/>
      <c r="E25" s="70"/>
      <c r="F25" s="29">
        <v>350</v>
      </c>
      <c r="G25" s="29">
        <v>210</v>
      </c>
      <c r="H25" s="70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</row>
    <row r="26" customHeight="1" spans="1:25">
      <c r="A26" s="29">
        <v>22</v>
      </c>
      <c r="B26" s="70"/>
      <c r="C26" s="70"/>
      <c r="D26" s="70"/>
      <c r="E26" s="70"/>
      <c r="F26" s="29">
        <v>350</v>
      </c>
      <c r="G26" s="29">
        <v>210</v>
      </c>
      <c r="H26" s="70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</row>
    <row r="27" customHeight="1" spans="1:25">
      <c r="A27" s="29">
        <v>23</v>
      </c>
      <c r="B27" s="70"/>
      <c r="C27" s="70"/>
      <c r="D27" s="70"/>
      <c r="E27" s="70"/>
      <c r="F27" s="29">
        <v>350</v>
      </c>
      <c r="G27" s="29">
        <v>210</v>
      </c>
      <c r="H27" s="70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</row>
    <row r="28" customHeight="1" spans="1:25">
      <c r="A28" s="29">
        <v>24</v>
      </c>
      <c r="B28" s="70"/>
      <c r="C28" s="70"/>
      <c r="D28" s="70"/>
      <c r="E28" s="70"/>
      <c r="F28" s="29">
        <v>350</v>
      </c>
      <c r="G28" s="29">
        <v>210</v>
      </c>
      <c r="H28" s="70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</row>
    <row r="29" customHeight="1" spans="1:25">
      <c r="A29" s="29">
        <v>31</v>
      </c>
      <c r="B29" s="70"/>
      <c r="C29" s="70"/>
      <c r="D29" s="70"/>
      <c r="E29" s="70"/>
      <c r="F29" s="29">
        <v>350</v>
      </c>
      <c r="G29" s="29">
        <v>210</v>
      </c>
      <c r="H29" s="70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</row>
    <row r="30" customHeight="1" spans="1:25">
      <c r="A30" s="29">
        <v>32</v>
      </c>
      <c r="B30" s="70"/>
      <c r="C30" s="70"/>
      <c r="D30" s="70"/>
      <c r="E30" s="70"/>
      <c r="F30" s="29">
        <v>350</v>
      </c>
      <c r="G30" s="29">
        <v>210</v>
      </c>
      <c r="H30" s="70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</row>
    <row r="31" customHeight="1" spans="1:25">
      <c r="A31" s="29">
        <v>33</v>
      </c>
      <c r="B31" s="70"/>
      <c r="C31" s="70"/>
      <c r="D31" s="70"/>
      <c r="E31" s="70"/>
      <c r="F31" s="29">
        <v>350</v>
      </c>
      <c r="G31" s="29">
        <v>210</v>
      </c>
      <c r="H31" s="70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</row>
    <row r="32" customHeight="1" spans="1:25">
      <c r="A32" s="29">
        <v>34</v>
      </c>
      <c r="B32" s="70"/>
      <c r="C32" s="70"/>
      <c r="D32" s="70"/>
      <c r="E32" s="70"/>
      <c r="F32" s="29">
        <v>350</v>
      </c>
      <c r="G32" s="29">
        <v>210</v>
      </c>
      <c r="H32" s="70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</row>
    <row r="33" customHeight="1" spans="1:25">
      <c r="A33" s="29">
        <v>35</v>
      </c>
      <c r="B33" s="70"/>
      <c r="C33" s="70"/>
      <c r="D33" s="70"/>
      <c r="E33" s="70"/>
      <c r="F33" s="29">
        <v>350</v>
      </c>
      <c r="G33" s="29">
        <v>210</v>
      </c>
      <c r="H33" s="70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</row>
    <row r="34" customHeight="1" spans="1:25">
      <c r="A34" s="29">
        <v>36</v>
      </c>
      <c r="B34" s="70"/>
      <c r="C34" s="70"/>
      <c r="D34" s="70"/>
      <c r="E34" s="70"/>
      <c r="F34" s="29">
        <v>350</v>
      </c>
      <c r="G34" s="29">
        <v>210</v>
      </c>
      <c r="H34" s="70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</row>
    <row r="35" customHeight="1" spans="1:25">
      <c r="A35" s="29">
        <v>37</v>
      </c>
      <c r="B35" s="70"/>
      <c r="C35" s="70"/>
      <c r="D35" s="70"/>
      <c r="E35" s="70"/>
      <c r="F35" s="29">
        <v>350</v>
      </c>
      <c r="G35" s="29">
        <v>210</v>
      </c>
      <c r="H35" s="70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</row>
    <row r="36" customHeight="1" spans="1:25">
      <c r="A36" s="29">
        <v>38</v>
      </c>
      <c r="B36" s="70"/>
      <c r="C36" s="70"/>
      <c r="D36" s="70"/>
      <c r="E36" s="70"/>
      <c r="F36" s="29">
        <v>350</v>
      </c>
      <c r="G36" s="29">
        <v>210</v>
      </c>
      <c r="H36" s="70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</row>
    <row r="37" customHeight="1" spans="1:25">
      <c r="A37" s="29">
        <v>39</v>
      </c>
      <c r="B37" s="70"/>
      <c r="C37" s="70"/>
      <c r="D37" s="70"/>
      <c r="E37" s="70"/>
      <c r="F37" s="29">
        <v>350</v>
      </c>
      <c r="G37" s="29">
        <v>210</v>
      </c>
      <c r="H37" s="70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</row>
    <row r="38" customHeight="1" spans="1:25">
      <c r="A38" s="29">
        <v>40</v>
      </c>
      <c r="B38" s="70"/>
      <c r="C38" s="70"/>
      <c r="D38" s="70"/>
      <c r="E38" s="70"/>
      <c r="F38" s="29">
        <v>350</v>
      </c>
      <c r="G38" s="29">
        <v>210</v>
      </c>
      <c r="H38" s="70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</row>
    <row r="39" customHeight="1" spans="1:25">
      <c r="A39" s="29">
        <v>41</v>
      </c>
      <c r="B39" s="70"/>
      <c r="C39" s="70"/>
      <c r="D39" s="70"/>
      <c r="E39" s="70"/>
      <c r="F39" s="29">
        <v>350</v>
      </c>
      <c r="G39" s="29">
        <v>210</v>
      </c>
      <c r="H39" s="70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</row>
    <row r="40" customHeight="1" spans="1:25">
      <c r="A40" s="29">
        <v>42</v>
      </c>
      <c r="B40" s="70"/>
      <c r="C40" s="70"/>
      <c r="D40" s="70"/>
      <c r="E40" s="70"/>
      <c r="F40" s="29">
        <v>350</v>
      </c>
      <c r="G40" s="29">
        <v>210</v>
      </c>
      <c r="H40" s="70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</row>
    <row r="41" customHeight="1" spans="1:25">
      <c r="A41" s="29">
        <v>43</v>
      </c>
      <c r="B41" s="70"/>
      <c r="C41" s="70"/>
      <c r="D41" s="70"/>
      <c r="E41" s="70"/>
      <c r="F41" s="29">
        <v>350</v>
      </c>
      <c r="G41" s="29">
        <v>210</v>
      </c>
      <c r="H41" s="70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</row>
    <row r="42" customHeight="1" spans="1:25">
      <c r="A42" s="29">
        <v>44</v>
      </c>
      <c r="B42" s="70"/>
      <c r="C42" s="70"/>
      <c r="D42" s="70"/>
      <c r="E42" s="70"/>
      <c r="F42" s="29">
        <v>350</v>
      </c>
      <c r="G42" s="29">
        <v>210</v>
      </c>
      <c r="H42" s="70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</row>
    <row r="43" customHeight="1" spans="1:25">
      <c r="A43" s="29">
        <v>45</v>
      </c>
      <c r="B43" s="70"/>
      <c r="C43" s="70"/>
      <c r="D43" s="70"/>
      <c r="E43" s="70"/>
      <c r="F43" s="29">
        <v>350</v>
      </c>
      <c r="G43" s="29">
        <v>210</v>
      </c>
      <c r="H43" s="70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</row>
    <row r="44" customHeight="1" spans="1:25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</row>
    <row r="45" customHeight="1" spans="1:25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</row>
    <row r="46" customHeight="1" spans="1:25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</row>
    <row r="47" customHeight="1" spans="1:25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</row>
    <row r="48" customHeight="1" spans="1:25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</row>
    <row r="49" customHeight="1" spans="1:25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</row>
    <row r="50" customHeight="1" spans="1:25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</row>
    <row r="51" customHeight="1" spans="1:25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</row>
    <row r="52" customHeight="1" spans="1:25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</row>
    <row r="53" customHeight="1" spans="1:25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</row>
    <row r="54" customHeight="1" spans="1:25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</row>
    <row r="55" customHeight="1" spans="1:25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</row>
    <row r="56" customHeight="1" spans="1:25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</row>
    <row r="57" customHeight="1" spans="1:25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</row>
    <row r="58" customHeight="1" spans="1:25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</row>
    <row r="59" customHeight="1" spans="1:2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</row>
    <row r="60" customHeight="1" spans="1:25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</row>
    <row r="61" customHeight="1" spans="1:2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</row>
    <row r="62" customHeight="1" spans="1:25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</row>
    <row r="63" customHeight="1" spans="1:25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</row>
    <row r="64" customHeight="1" spans="1:25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</row>
    <row r="65" customHeight="1" spans="1:25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</row>
    <row r="66" customHeight="1" spans="1:25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</row>
    <row r="67" customHeight="1" spans="1:25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</row>
    <row r="68" customHeight="1" spans="1:25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</row>
    <row r="69" customHeight="1" spans="1:25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</row>
    <row r="70" customHeight="1" spans="1:25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</row>
    <row r="71" customHeight="1" spans="1:25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</row>
    <row r="72" customHeight="1" spans="1:25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</row>
    <row r="73" customHeight="1" spans="1:25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</row>
    <row r="74" customHeight="1" spans="1:25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</row>
    <row r="75" customHeight="1" spans="1:25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</row>
    <row r="76" customHeight="1" spans="1:25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</row>
    <row r="77" customHeight="1" spans="1:25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</row>
    <row r="78" customHeight="1" spans="1:25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</row>
    <row r="79" customHeight="1" spans="1:25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</row>
    <row r="80" customHeight="1" spans="1:25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</row>
    <row r="81" customHeight="1" spans="1:25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</row>
    <row r="82" customHeight="1" spans="1:25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</row>
    <row r="83" customHeight="1" spans="1:25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</row>
    <row r="84" customHeight="1" spans="1:25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</row>
    <row r="85" customHeight="1" spans="1:25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</row>
    <row r="86" customHeight="1" spans="1:25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</row>
    <row r="87" customHeight="1" spans="1:25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</row>
    <row r="88" customHeight="1" spans="1:2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</row>
    <row r="89" customHeight="1" spans="1:25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</row>
    <row r="90" customHeight="1" spans="1:2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</row>
    <row r="91" customHeight="1" spans="1:25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</row>
    <row r="92" customHeight="1" spans="1:25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</row>
    <row r="93" customHeight="1" spans="1:25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</row>
    <row r="94" customHeight="1" spans="1:25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</row>
    <row r="95" customHeight="1" spans="1:25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</row>
    <row r="96" customHeight="1" spans="1:25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</row>
    <row r="97" customHeight="1" spans="1:25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</row>
    <row r="98" customHeight="1" spans="1:25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</row>
    <row r="99" customHeight="1" spans="1:25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</row>
    <row r="100" customHeight="1" spans="1:25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</row>
    <row r="101" customHeight="1" spans="1:25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</row>
    <row r="102" customHeight="1" spans="1:25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</row>
    <row r="103" customHeight="1" spans="1:25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</row>
    <row r="104" customHeight="1" spans="1:25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</row>
    <row r="105" customHeight="1" spans="1:25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</row>
    <row r="106" customHeight="1" spans="1:25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</row>
    <row r="107" customHeight="1" spans="1:25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</row>
    <row r="108" customHeight="1" spans="1:25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</row>
    <row r="109" customHeight="1" spans="1:25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</row>
    <row r="110" customHeight="1" spans="1:25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</row>
    <row r="111" customHeight="1" spans="1:25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</row>
    <row r="112" customHeight="1" spans="1:25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</row>
    <row r="113" customHeight="1" spans="1:25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</row>
    <row r="114" customHeight="1" spans="1:25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</row>
    <row r="115" customHeight="1" spans="1:25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</row>
    <row r="116" customHeight="1" spans="1:25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</row>
    <row r="117" customHeight="1" spans="1:2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</row>
    <row r="118" customHeight="1" spans="1:25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</row>
    <row r="119" customHeight="1" spans="1:2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</row>
    <row r="120" customHeight="1" spans="1:25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</row>
    <row r="121" customHeight="1" spans="1:25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</row>
    <row r="122" customHeight="1" spans="1:25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</row>
    <row r="123" customHeight="1" spans="1:25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</row>
    <row r="124" customHeight="1" spans="1:25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</row>
    <row r="125" customHeight="1" spans="1:25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</row>
    <row r="126" customHeight="1" spans="1:25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</row>
    <row r="127" customHeight="1" spans="1:25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</row>
    <row r="128" customHeight="1" spans="1:25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</row>
    <row r="129" customHeight="1" spans="1:25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</row>
    <row r="130" customHeight="1" spans="1:25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</row>
    <row r="131" customHeight="1" spans="1:25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</row>
    <row r="132" customHeight="1" spans="1:25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</row>
    <row r="133" customHeight="1" spans="1:25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</row>
    <row r="134" customHeight="1" spans="1:25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</row>
    <row r="135" customHeight="1" spans="1:25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</row>
    <row r="136" customHeight="1" spans="1:25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</row>
    <row r="137" customHeight="1" spans="1:25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</row>
    <row r="138" customHeight="1" spans="1:25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</row>
    <row r="139" customHeight="1" spans="1:25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</row>
    <row r="140" customHeight="1" spans="1:25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</row>
    <row r="141" customHeight="1" spans="1:25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</row>
    <row r="142" customHeight="1" spans="1:25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</row>
    <row r="143" customHeight="1" spans="1:25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</row>
    <row r="144" customHeight="1" spans="1:25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</row>
    <row r="145" customHeight="1" spans="1:25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</row>
    <row r="146" customHeight="1" spans="1:2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</row>
    <row r="147" customHeight="1" spans="1:25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</row>
    <row r="148" customHeight="1" spans="1:2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</row>
    <row r="149" customHeight="1" spans="1:25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</row>
    <row r="150" customHeight="1" spans="1:25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</row>
    <row r="151" customHeight="1" spans="1:25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</row>
    <row r="152" customHeight="1" spans="1:25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</row>
    <row r="153" customHeight="1" spans="1:25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</row>
    <row r="154" customHeight="1" spans="1:25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</row>
    <row r="155" customHeight="1" spans="1:25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</row>
    <row r="156" customHeight="1" spans="1:25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</row>
    <row r="157" customHeight="1" spans="1:25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</row>
    <row r="158" customHeight="1" spans="1:25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</row>
    <row r="159" customHeight="1" spans="1:25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</row>
    <row r="160" customHeight="1" spans="1:25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</row>
    <row r="161" customHeight="1" spans="1:25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</row>
    <row r="162" customHeight="1" spans="1:25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</row>
    <row r="163" customHeight="1" spans="1:25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</row>
    <row r="164" customHeight="1" spans="1:25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</row>
    <row r="165" customHeight="1" spans="1:25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</row>
    <row r="166" customHeight="1" spans="1:25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</row>
    <row r="167" customHeight="1" spans="1:25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</row>
    <row r="168" customHeight="1" spans="1:25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</row>
    <row r="169" customHeight="1" spans="1:25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</row>
    <row r="170" customHeight="1" spans="1:25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</row>
    <row r="171" customHeight="1" spans="1:25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</row>
    <row r="172" customHeight="1" spans="1:25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</row>
    <row r="173" customHeight="1" spans="1:25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</row>
    <row r="174" customHeight="1" spans="1:25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</row>
    <row r="175" customHeight="1" spans="1:2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</row>
    <row r="176" customHeight="1" spans="1:25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</row>
    <row r="177" customHeight="1" spans="1:2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</row>
    <row r="178" customHeight="1" spans="1:25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</row>
    <row r="179" customHeight="1" spans="1:25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</row>
    <row r="180" customHeight="1" spans="1:25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</row>
    <row r="181" customHeight="1" spans="1:25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</row>
    <row r="182" customHeight="1" spans="1:25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</row>
    <row r="183" customHeight="1" spans="1:25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</row>
    <row r="184" customHeight="1" spans="1:25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</row>
    <row r="185" customHeight="1" spans="1:2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</row>
    <row r="186" customHeight="1" spans="1:25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</row>
    <row r="187" customHeight="1" spans="1:25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</row>
    <row r="188" customHeight="1" spans="1:25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</row>
    <row r="189" customHeight="1" spans="1:25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</row>
  </sheetData>
  <mergeCells count="7">
    <mergeCell ref="A1:H1"/>
    <mergeCell ref="A2:H2"/>
    <mergeCell ref="D3:E3"/>
    <mergeCell ref="F3:G3"/>
    <mergeCell ref="A3:A4"/>
    <mergeCell ref="B3:B4"/>
    <mergeCell ref="C3:C4"/>
  </mergeCells>
  <pageMargins left="0.75" right="0.75" top="1" bottom="1" header="0.5" footer="0.5"/>
  <pageSetup paperSize="256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1"/>
  <sheetViews>
    <sheetView workbookViewId="0">
      <selection activeCell="A1" sqref="A1:AL1"/>
    </sheetView>
  </sheetViews>
  <sheetFormatPr defaultColWidth="10.2857142857143" defaultRowHeight="13.5"/>
  <cols>
    <col min="1" max="1" width="3.88571428571429" style="55" customWidth="1"/>
    <col min="2" max="2" width="13.7142857142857" style="55" customWidth="1"/>
    <col min="3" max="3" width="4.42857142857143" style="53" customWidth="1"/>
    <col min="4" max="6" width="4" style="53" customWidth="1"/>
    <col min="7" max="7" width="3.87619047619048" style="53" customWidth="1"/>
    <col min="8" max="12" width="4.28571428571429" style="53" customWidth="1"/>
    <col min="13" max="13" width="4.00952380952381" style="53" customWidth="1"/>
    <col min="14" max="14" width="4.28571428571429" style="53" customWidth="1"/>
    <col min="15" max="15" width="4.00952380952381" style="53" customWidth="1"/>
    <col min="16" max="16" width="3.87619047619048" style="53" customWidth="1"/>
    <col min="17" max="17" width="4.28571428571429" style="53" customWidth="1"/>
    <col min="18" max="19" width="4.14285714285714" style="53" customWidth="1"/>
    <col min="20" max="20" width="4.57142857142857" style="53" customWidth="1"/>
    <col min="21" max="25" width="4.14285714285714" style="53" customWidth="1"/>
    <col min="26" max="27" width="4.57142857142857" style="53" customWidth="1"/>
    <col min="28" max="28" width="4.16190476190476" style="53" customWidth="1"/>
    <col min="29" max="30" width="4.28571428571429" style="53" customWidth="1"/>
    <col min="31" max="31" width="4.00952380952381" style="53" customWidth="1"/>
    <col min="32" max="32" width="3.85714285714286" style="53" customWidth="1"/>
    <col min="33" max="34" width="4.28571428571429" style="53" customWidth="1"/>
    <col min="35" max="36" width="4.57142857142857" style="53" customWidth="1"/>
    <col min="37" max="37" width="4.28571428571429" style="53" customWidth="1"/>
    <col min="38" max="38" width="3.85714285714286" style="53" customWidth="1"/>
    <col min="39" max="16384" width="10.2857142857143" style="53"/>
  </cols>
  <sheetData>
    <row r="1" s="53" customFormat="1" ht="26" customHeight="1" spans="1:38">
      <c r="A1" s="51" t="s">
        <v>28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</row>
    <row r="2" s="53" customFormat="1" ht="26" customHeight="1" spans="1:38">
      <c r="A2" s="56" t="s">
        <v>29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</row>
    <row r="3" s="54" customFormat="1" ht="40" customHeight="1" spans="1:38">
      <c r="A3" s="57" t="s">
        <v>2</v>
      </c>
      <c r="B3" s="57" t="s">
        <v>30</v>
      </c>
      <c r="C3" s="52">
        <v>1</v>
      </c>
      <c r="D3" s="52">
        <v>2</v>
      </c>
      <c r="E3" s="52">
        <v>3</v>
      </c>
      <c r="F3" s="52">
        <v>4</v>
      </c>
      <c r="G3" s="52">
        <v>5</v>
      </c>
      <c r="H3" s="52">
        <v>6</v>
      </c>
      <c r="I3" s="52">
        <v>7</v>
      </c>
      <c r="J3" s="52">
        <v>8</v>
      </c>
      <c r="K3" s="52">
        <v>9</v>
      </c>
      <c r="L3" s="52">
        <v>10</v>
      </c>
      <c r="M3" s="52">
        <v>11</v>
      </c>
      <c r="N3" s="52">
        <v>12</v>
      </c>
      <c r="O3" s="52">
        <v>13</v>
      </c>
      <c r="P3" s="52">
        <v>14</v>
      </c>
      <c r="Q3" s="52">
        <v>15</v>
      </c>
      <c r="R3" s="52">
        <v>16</v>
      </c>
      <c r="S3" s="52">
        <v>17</v>
      </c>
      <c r="T3" s="52">
        <v>18</v>
      </c>
      <c r="U3" s="52">
        <v>19</v>
      </c>
      <c r="V3" s="52">
        <v>20</v>
      </c>
      <c r="W3" s="52">
        <v>21</v>
      </c>
      <c r="X3" s="52">
        <v>22</v>
      </c>
      <c r="Y3" s="52">
        <v>23</v>
      </c>
      <c r="Z3" s="52">
        <v>24</v>
      </c>
      <c r="AA3" s="52">
        <v>25</v>
      </c>
      <c r="AB3" s="52">
        <v>26</v>
      </c>
      <c r="AC3" s="52">
        <v>27</v>
      </c>
      <c r="AD3" s="52">
        <v>28</v>
      </c>
      <c r="AE3" s="52">
        <v>29</v>
      </c>
      <c r="AF3" s="52">
        <v>30</v>
      </c>
      <c r="AG3" s="52"/>
      <c r="AH3" s="52"/>
      <c r="AI3" s="52"/>
      <c r="AJ3" s="52"/>
      <c r="AK3" s="52"/>
      <c r="AL3" s="52"/>
    </row>
    <row r="4" s="53" customFormat="1" ht="25" customHeight="1" spans="1:38">
      <c r="A4" s="58">
        <v>1</v>
      </c>
      <c r="B4" s="59"/>
      <c r="C4" s="58"/>
      <c r="D4" s="58"/>
      <c r="E4" s="58"/>
      <c r="F4" s="58"/>
      <c r="G4" s="58"/>
      <c r="H4" s="58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</row>
    <row r="5" s="53" customFormat="1" ht="25" customHeight="1" spans="1:38">
      <c r="A5" s="58">
        <v>2</v>
      </c>
      <c r="B5" s="59"/>
      <c r="C5" s="58"/>
      <c r="D5" s="58"/>
      <c r="E5" s="58"/>
      <c r="F5" s="58"/>
      <c r="G5" s="58"/>
      <c r="H5" s="58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</row>
    <row r="6" s="53" customFormat="1" ht="25" customHeight="1" spans="1:38">
      <c r="A6" s="58">
        <v>3</v>
      </c>
      <c r="B6" s="59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</row>
    <row r="7" s="53" customFormat="1" ht="25" customHeight="1" spans="1:38">
      <c r="A7" s="58">
        <v>13</v>
      </c>
      <c r="B7" s="59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</row>
    <row r="8" s="53" customFormat="1" ht="25" customHeight="1" spans="1:38">
      <c r="A8" s="58">
        <v>14</v>
      </c>
      <c r="B8" s="59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</row>
    <row r="9" s="53" customFormat="1" ht="25" customHeight="1" spans="1:38">
      <c r="A9" s="58">
        <v>15</v>
      </c>
      <c r="B9" s="59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</row>
    <row r="10" s="53" customFormat="1" ht="25" customHeight="1" spans="1:38">
      <c r="A10" s="58">
        <v>16</v>
      </c>
      <c r="B10" s="59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</row>
    <row r="11" s="53" customFormat="1" ht="25" customHeight="1" spans="1:38">
      <c r="A11" s="58">
        <v>17</v>
      </c>
      <c r="B11" s="61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</row>
    <row r="12" s="53" customFormat="1" ht="25" customHeight="1" spans="1:38">
      <c r="A12" s="58">
        <v>18</v>
      </c>
      <c r="B12" s="61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</row>
    <row r="13" s="53" customFormat="1" ht="15" customHeight="1" spans="1:38">
      <c r="A13" s="62"/>
      <c r="B13" s="62"/>
    </row>
    <row r="14" s="53" customFormat="1" ht="15" customHeight="1" spans="1:38">
      <c r="A14" s="62"/>
      <c r="B14" s="62"/>
    </row>
    <row r="15" s="53" customFormat="1" ht="15" customHeight="1" spans="1:38">
      <c r="A15" s="62"/>
      <c r="B15" s="62"/>
    </row>
    <row r="16" s="53" customFormat="1" ht="15" customHeight="1" spans="1:38">
      <c r="A16" s="62"/>
      <c r="B16" s="62"/>
    </row>
    <row r="17" s="53" customFormat="1" ht="15" customHeight="1" spans="1:2">
      <c r="A17" s="62"/>
      <c r="B17" s="62"/>
    </row>
    <row r="18" s="53" customFormat="1" ht="15" customHeight="1" spans="1:2">
      <c r="A18" s="62"/>
      <c r="B18" s="62"/>
    </row>
    <row r="19" s="53" customFormat="1" ht="15" customHeight="1" spans="1:2">
      <c r="A19" s="62"/>
      <c r="B19" s="62"/>
    </row>
    <row r="20" s="53" customFormat="1" ht="15" customHeight="1" spans="1:2">
      <c r="A20" s="62"/>
      <c r="B20" s="62"/>
    </row>
    <row r="21" s="53" customFormat="1" ht="15" customHeight="1" spans="1:2">
      <c r="A21" s="62"/>
      <c r="B21" s="62"/>
    </row>
    <row r="22" s="53" customFormat="1" ht="15" customHeight="1" spans="1:2">
      <c r="A22" s="62"/>
      <c r="B22" s="62"/>
    </row>
    <row r="23" s="53" customFormat="1" ht="15" customHeight="1" spans="1:2">
      <c r="A23" s="62"/>
      <c r="B23" s="62"/>
    </row>
    <row r="24" s="53" customFormat="1" ht="15" customHeight="1" spans="1:2">
      <c r="A24" s="62"/>
      <c r="B24" s="62"/>
    </row>
    <row r="25" s="53" customFormat="1" ht="15" customHeight="1" spans="1:2">
      <c r="A25" s="62"/>
      <c r="B25" s="62"/>
    </row>
    <row r="26" s="53" customFormat="1" ht="15" customHeight="1" spans="1:2">
      <c r="A26" s="62"/>
      <c r="B26" s="62"/>
    </row>
    <row r="27" s="53" customFormat="1" ht="15" customHeight="1" spans="1:2">
      <c r="A27" s="62"/>
      <c r="B27" s="62"/>
    </row>
    <row r="28" s="53" customFormat="1" ht="15" customHeight="1" spans="1:2">
      <c r="A28" s="62"/>
      <c r="B28" s="62"/>
    </row>
    <row r="29" s="53" customFormat="1" ht="15" customHeight="1" spans="1:2">
      <c r="A29" s="62"/>
      <c r="B29" s="62"/>
    </row>
    <row r="30" s="53" customFormat="1" ht="15" customHeight="1" spans="1:2">
      <c r="A30" s="62"/>
      <c r="B30" s="62"/>
    </row>
    <row r="31" s="53" customFormat="1" ht="15" customHeight="1" spans="1:2">
      <c r="A31" s="62"/>
      <c r="B31" s="62"/>
    </row>
    <row r="32" s="53" customFormat="1" ht="15" customHeight="1" spans="1:2">
      <c r="A32" s="62"/>
      <c r="B32" s="62"/>
    </row>
    <row r="33" s="53" customFormat="1" ht="15" customHeight="1" spans="1:2">
      <c r="A33" s="62"/>
      <c r="B33" s="62"/>
    </row>
    <row r="34" s="53" customFormat="1" ht="15" customHeight="1" spans="1:2">
      <c r="A34" s="62"/>
      <c r="B34" s="62"/>
    </row>
    <row r="35" s="53" customFormat="1" ht="15" customHeight="1" spans="1:2">
      <c r="A35" s="62"/>
      <c r="B35" s="62"/>
    </row>
    <row r="36" s="53" customFormat="1" ht="15" customHeight="1" spans="1:2">
      <c r="A36" s="62"/>
      <c r="B36" s="62"/>
    </row>
    <row r="37" s="53" customFormat="1" ht="15" customHeight="1" spans="1:2">
      <c r="A37" s="62"/>
      <c r="B37" s="62"/>
    </row>
    <row r="38" s="53" customFormat="1" ht="15" customHeight="1" spans="1:2">
      <c r="A38" s="62"/>
      <c r="B38" s="62"/>
    </row>
    <row r="39" s="53" customFormat="1" ht="15" customHeight="1" spans="1:2">
      <c r="A39" s="62"/>
      <c r="B39" s="62"/>
    </row>
    <row r="40" s="53" customFormat="1" ht="15" customHeight="1" spans="1:2">
      <c r="A40" s="62"/>
      <c r="B40" s="62"/>
    </row>
    <row r="41" s="53" customFormat="1" ht="15" customHeight="1" spans="1:2">
      <c r="A41" s="62"/>
      <c r="B41" s="62"/>
    </row>
    <row r="42" s="53" customFormat="1" ht="15" customHeight="1" spans="1:2">
      <c r="A42" s="62"/>
      <c r="B42" s="62"/>
    </row>
    <row r="43" s="53" customFormat="1" ht="15" customHeight="1" spans="1:2">
      <c r="A43" s="62"/>
      <c r="B43" s="62"/>
    </row>
    <row r="44" s="53" customFormat="1" ht="15" customHeight="1" spans="1:2">
      <c r="A44" s="62"/>
      <c r="B44" s="62"/>
    </row>
    <row r="45" s="53" customFormat="1" ht="15" customHeight="1" spans="1:2">
      <c r="A45" s="62"/>
      <c r="B45" s="62"/>
    </row>
    <row r="46" s="53" customFormat="1" ht="15" customHeight="1" spans="1:2">
      <c r="A46" s="62"/>
      <c r="B46" s="62"/>
    </row>
    <row r="47" s="53" customFormat="1" ht="15" customHeight="1" spans="1:2">
      <c r="A47" s="62"/>
      <c r="B47" s="62"/>
    </row>
    <row r="48" s="53" customFormat="1" ht="15" customHeight="1" spans="1:2">
      <c r="A48" s="62"/>
      <c r="B48" s="62"/>
    </row>
    <row r="49" s="53" customFormat="1" ht="15" customHeight="1" spans="1:2">
      <c r="A49" s="62"/>
      <c r="B49" s="62"/>
    </row>
    <row r="50" s="53" customFormat="1" ht="15" customHeight="1" spans="1:2">
      <c r="A50" s="62"/>
      <c r="B50" s="62"/>
    </row>
    <row r="51" s="53" customFormat="1" ht="15" customHeight="1" spans="1:2">
      <c r="A51" s="62"/>
      <c r="B51" s="62"/>
    </row>
    <row r="52" s="53" customFormat="1" ht="15" customHeight="1" spans="1:2">
      <c r="A52" s="62"/>
      <c r="B52" s="62"/>
    </row>
    <row r="53" s="53" customFormat="1" ht="15" customHeight="1" spans="1:2">
      <c r="A53" s="62"/>
      <c r="B53" s="62"/>
    </row>
    <row r="54" s="53" customFormat="1" ht="15" customHeight="1" spans="1:2">
      <c r="A54" s="62"/>
      <c r="B54" s="62"/>
    </row>
    <row r="55" s="53" customFormat="1" ht="15" customHeight="1" spans="1:2">
      <c r="A55" s="62"/>
      <c r="B55" s="62"/>
    </row>
    <row r="56" s="53" customFormat="1" ht="15" customHeight="1" spans="1:2">
      <c r="A56" s="62"/>
      <c r="B56" s="62"/>
    </row>
    <row r="57" s="53" customFormat="1" ht="15" customHeight="1" spans="1:2">
      <c r="A57" s="62"/>
      <c r="B57" s="62"/>
    </row>
    <row r="58" s="53" customFormat="1" ht="15" customHeight="1" spans="1:2">
      <c r="A58" s="62"/>
      <c r="B58" s="62"/>
    </row>
    <row r="59" s="53" customFormat="1" ht="15" customHeight="1" spans="1:2">
      <c r="A59" s="62"/>
      <c r="B59" s="62"/>
    </row>
    <row r="60" s="53" customFormat="1" ht="15" customHeight="1" spans="1:2">
      <c r="A60" s="62"/>
      <c r="B60" s="62"/>
    </row>
    <row r="61" s="53" customFormat="1" ht="15" customHeight="1" spans="1:2">
      <c r="A61" s="62"/>
      <c r="B61" s="62"/>
    </row>
    <row r="62" s="53" customFormat="1" ht="15" customHeight="1" spans="1:2">
      <c r="A62" s="62"/>
      <c r="B62" s="62"/>
    </row>
    <row r="63" s="53" customFormat="1" ht="15" customHeight="1" spans="1:2">
      <c r="A63" s="62"/>
      <c r="B63" s="62"/>
    </row>
    <row r="64" s="53" customFormat="1" ht="15" customHeight="1" spans="1:2">
      <c r="A64" s="62"/>
      <c r="B64" s="62"/>
    </row>
    <row r="65" s="53" customFormat="1" ht="15" customHeight="1" spans="1:2">
      <c r="A65" s="62"/>
      <c r="B65" s="62"/>
    </row>
    <row r="66" s="53" customFormat="1" ht="15" customHeight="1" spans="1:2">
      <c r="A66" s="62"/>
      <c r="B66" s="62"/>
    </row>
    <row r="67" s="53" customFormat="1" ht="15" customHeight="1" spans="1:2">
      <c r="A67" s="62"/>
      <c r="B67" s="62"/>
    </row>
    <row r="68" s="53" customFormat="1" ht="15" customHeight="1" spans="1:2">
      <c r="A68" s="62"/>
      <c r="B68" s="62"/>
    </row>
    <row r="69" s="53" customFormat="1" ht="15" customHeight="1" spans="1:2">
      <c r="A69" s="62"/>
      <c r="B69" s="62"/>
    </row>
    <row r="70" s="53" customFormat="1" ht="15" customHeight="1" spans="1:2">
      <c r="A70" s="62"/>
      <c r="B70" s="62"/>
    </row>
    <row r="71" s="53" customFormat="1" spans="1:2">
      <c r="A71" s="55"/>
      <c r="B71" s="55"/>
    </row>
  </sheetData>
  <mergeCells count="2">
    <mergeCell ref="A1:AL1"/>
    <mergeCell ref="A2:AL2"/>
  </mergeCells>
  <pageMargins left="0.196527777777778" right="0.156944444444444" top="0.472222222222222" bottom="0.196527777777778" header="0.354166666666667" footer="0.156944444444444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N11" sqref="N11"/>
    </sheetView>
  </sheetViews>
  <sheetFormatPr defaultColWidth="9.14285714285714" defaultRowHeight="12" outlineLevelCol="5"/>
  <cols>
    <col min="1" max="1" width="8.71428571428571" customWidth="1"/>
    <col min="2" max="2" width="14.4285714285714" customWidth="1"/>
    <col min="3" max="3" width="17" customWidth="1"/>
    <col min="4" max="4" width="20.8571428571429" customWidth="1"/>
    <col min="5" max="5" width="19.4285714285714" customWidth="1"/>
    <col min="6" max="6" width="20.8571428571429" customWidth="1"/>
  </cols>
  <sheetData>
    <row r="1" ht="38" customHeight="1" spans="1:6">
      <c r="A1" s="51" t="s">
        <v>31</v>
      </c>
      <c r="B1" s="51"/>
      <c r="C1" s="51"/>
      <c r="D1" s="51"/>
      <c r="E1" s="51"/>
      <c r="F1" s="51"/>
    </row>
    <row r="2" s="1" customFormat="1" ht="39" customHeight="1" spans="1:6">
      <c r="A2" s="7" t="s">
        <v>2</v>
      </c>
      <c r="B2" s="7" t="s">
        <v>32</v>
      </c>
      <c r="C2" s="7" t="s">
        <v>3</v>
      </c>
      <c r="D2" s="52" t="s">
        <v>33</v>
      </c>
      <c r="E2" s="7" t="s">
        <v>34</v>
      </c>
      <c r="F2" s="7" t="s">
        <v>7</v>
      </c>
    </row>
    <row r="3" ht="28" customHeight="1" spans="1:6">
      <c r="A3" s="41">
        <v>1</v>
      </c>
      <c r="B3" s="9">
        <v>46093</v>
      </c>
      <c r="C3" s="10" t="s">
        <v>13</v>
      </c>
      <c r="D3" s="17">
        <v>1</v>
      </c>
      <c r="E3" s="18"/>
      <c r="F3" s="12"/>
    </row>
    <row r="4" ht="28" customHeight="1" spans="1:6">
      <c r="A4" s="41">
        <v>2</v>
      </c>
      <c r="B4" s="9">
        <v>46093</v>
      </c>
      <c r="C4" s="10" t="s">
        <v>16</v>
      </c>
      <c r="D4" s="17">
        <v>1</v>
      </c>
      <c r="E4" s="18"/>
      <c r="F4" s="14"/>
    </row>
    <row r="5" ht="28" customHeight="1" spans="1:6">
      <c r="A5" s="41">
        <v>3</v>
      </c>
      <c r="B5" s="9">
        <v>46093</v>
      </c>
      <c r="C5" s="10" t="s">
        <v>17</v>
      </c>
      <c r="D5" s="17">
        <v>1</v>
      </c>
      <c r="E5" s="18"/>
      <c r="F5" s="14"/>
    </row>
    <row r="6" ht="28" customHeight="1" spans="1:6">
      <c r="A6" s="41">
        <v>4</v>
      </c>
      <c r="B6" s="9">
        <v>46093</v>
      </c>
      <c r="C6" s="10" t="s">
        <v>18</v>
      </c>
      <c r="D6" s="17">
        <v>1</v>
      </c>
      <c r="E6" s="18"/>
      <c r="F6" s="14"/>
    </row>
    <row r="7" ht="28" customHeight="1" spans="1:6">
      <c r="A7" s="41">
        <v>5</v>
      </c>
      <c r="B7" s="9">
        <v>46093</v>
      </c>
      <c r="C7" s="10" t="s">
        <v>19</v>
      </c>
      <c r="D7" s="17">
        <v>1</v>
      </c>
      <c r="E7" s="18"/>
      <c r="F7" s="14"/>
    </row>
    <row r="8" ht="28" customHeight="1" spans="1:6">
      <c r="A8" s="41">
        <v>6</v>
      </c>
      <c r="B8" s="9">
        <v>46093</v>
      </c>
      <c r="C8" s="10" t="s">
        <v>20</v>
      </c>
      <c r="D8" s="17">
        <v>1</v>
      </c>
      <c r="E8" s="18"/>
      <c r="F8" s="14"/>
    </row>
    <row r="9" ht="28" customHeight="1" spans="1:6">
      <c r="A9" s="41">
        <v>7</v>
      </c>
      <c r="B9" s="9">
        <v>46093</v>
      </c>
      <c r="C9" s="10" t="s">
        <v>21</v>
      </c>
      <c r="D9" s="17">
        <v>1</v>
      </c>
      <c r="E9" s="17"/>
      <c r="F9" s="16"/>
    </row>
    <row r="10" customFormat="1" ht="28" customHeight="1" spans="1:6">
      <c r="A10" s="41">
        <v>8</v>
      </c>
      <c r="B10" s="9">
        <v>46093</v>
      </c>
      <c r="C10" s="10" t="s">
        <v>22</v>
      </c>
      <c r="D10" s="17">
        <v>1</v>
      </c>
      <c r="E10" s="17"/>
      <c r="F10" s="16"/>
    </row>
    <row r="11" ht="28" customHeight="1" spans="1:6">
      <c r="A11" s="41">
        <v>9</v>
      </c>
      <c r="B11" s="9">
        <v>46093</v>
      </c>
      <c r="C11" s="10" t="s">
        <v>23</v>
      </c>
      <c r="D11" s="17">
        <v>1</v>
      </c>
      <c r="E11" s="17"/>
      <c r="F11" s="16"/>
    </row>
    <row r="12" ht="28" customHeight="1" spans="1:6">
      <c r="A12" s="41">
        <v>10</v>
      </c>
      <c r="B12" s="9">
        <v>46093</v>
      </c>
      <c r="C12" s="10" t="s">
        <v>24</v>
      </c>
      <c r="D12" s="17">
        <v>1</v>
      </c>
      <c r="E12" s="17"/>
      <c r="F12" s="16"/>
    </row>
    <row r="13" ht="28" customHeight="1" spans="1:6">
      <c r="A13" s="41">
        <v>11</v>
      </c>
      <c r="B13" s="9">
        <v>46093</v>
      </c>
      <c r="C13" s="10" t="s">
        <v>26</v>
      </c>
      <c r="D13" s="17">
        <v>1</v>
      </c>
      <c r="E13" s="17"/>
      <c r="F13" s="16"/>
    </row>
    <row r="14" ht="18" customHeight="1" spans="1:6">
      <c r="D14" s="33">
        <f>SUM(D3:D13)</f>
        <v>11</v>
      </c>
    </row>
  </sheetData>
  <mergeCells count="1">
    <mergeCell ref="A1:F1"/>
  </mergeCells>
  <pageMargins left="0.393055555555556" right="0.393055555555556" top="1" bottom="1" header="0.5" footer="0.5"/>
  <pageSetup paperSize="9" orientation="portrait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6"/>
  <sheetViews>
    <sheetView workbookViewId="0">
      <pane xSplit="2" ySplit="2" topLeftCell="C3" activePane="bottomRight" state="frozen"/>
      <selection/>
      <selection pane="topRight"/>
      <selection pane="bottomLeft"/>
      <selection pane="bottomRight" activeCell="J21" sqref="J21"/>
    </sheetView>
  </sheetViews>
  <sheetFormatPr defaultColWidth="9.14285714285714" defaultRowHeight="23" customHeight="1"/>
  <cols>
    <col min="1" max="1" width="9.14285714285714" style="33"/>
    <col min="2" max="2" width="10.7142857142857" style="33" customWidth="1"/>
    <col min="3" max="3" width="10" style="33" customWidth="1"/>
    <col min="4" max="17" width="7.42857142857143" style="33" customWidth="1"/>
    <col min="18" max="23" width="7" style="33" customWidth="1"/>
    <col min="24" max="16384" width="9.14285714285714" style="33"/>
  </cols>
  <sheetData>
    <row r="1" s="30" customFormat="1" customHeight="1" spans="1:26">
      <c r="A1" s="34" t="s">
        <v>35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</row>
    <row r="2" s="31" customFormat="1" ht="20" customHeight="1" spans="1:26">
      <c r="A2" s="36" t="s">
        <v>2</v>
      </c>
      <c r="B2" s="36" t="s">
        <v>30</v>
      </c>
      <c r="C2" s="37" t="s">
        <v>36</v>
      </c>
      <c r="D2" s="38">
        <v>46090</v>
      </c>
      <c r="E2" s="38">
        <v>46093</v>
      </c>
      <c r="F2" s="38">
        <v>46097</v>
      </c>
      <c r="G2" s="39">
        <v>46100</v>
      </c>
      <c r="H2" s="39">
        <v>46104</v>
      </c>
      <c r="I2" s="39">
        <v>46107</v>
      </c>
      <c r="J2" s="39">
        <v>46111</v>
      </c>
      <c r="K2" s="39">
        <v>46114</v>
      </c>
      <c r="L2" s="39">
        <v>46119</v>
      </c>
      <c r="M2" s="39">
        <v>46121</v>
      </c>
      <c r="N2" s="39">
        <v>46125</v>
      </c>
      <c r="O2" s="39">
        <v>46128</v>
      </c>
      <c r="P2" s="39">
        <v>46132</v>
      </c>
      <c r="Q2" s="39">
        <v>46135</v>
      </c>
      <c r="R2" s="39"/>
      <c r="S2" s="39"/>
      <c r="T2" s="39"/>
      <c r="U2" s="39"/>
      <c r="V2" s="39"/>
      <c r="W2" s="39"/>
      <c r="X2" s="40" t="s">
        <v>37</v>
      </c>
      <c r="Y2" s="31" t="s">
        <v>38</v>
      </c>
    </row>
    <row r="3" s="32" customFormat="1" customHeight="1" spans="1:26">
      <c r="A3" s="41">
        <v>1</v>
      </c>
      <c r="B3" s="10" t="s">
        <v>13</v>
      </c>
      <c r="C3" s="42">
        <v>100</v>
      </c>
      <c r="D3" s="42">
        <v>3</v>
      </c>
      <c r="E3" s="42">
        <v>4</v>
      </c>
      <c r="F3" s="42">
        <v>3</v>
      </c>
      <c r="G3" s="42">
        <v>4</v>
      </c>
      <c r="H3" s="42">
        <v>3</v>
      </c>
      <c r="I3" s="42">
        <v>4</v>
      </c>
      <c r="J3" s="42">
        <v>3</v>
      </c>
      <c r="K3" s="42">
        <v>4</v>
      </c>
      <c r="L3" s="42">
        <v>3</v>
      </c>
      <c r="M3" s="42">
        <v>4</v>
      </c>
      <c r="N3" s="42">
        <f>SUMIF('4.13'!$C$3:C15,B3,'4.13'!$I$3:I15)</f>
        <v>3</v>
      </c>
      <c r="O3" s="42">
        <f>SUMIF('4.16'!$C$3:D15,B3,'4.16'!$I$3:J15)</f>
        <v>4</v>
      </c>
      <c r="P3" s="42">
        <v>3</v>
      </c>
      <c r="Q3" s="42">
        <v>4</v>
      </c>
      <c r="R3" s="42"/>
      <c r="S3" s="42"/>
      <c r="T3" s="42"/>
      <c r="U3" s="42"/>
      <c r="V3" s="42"/>
      <c r="W3" s="42"/>
      <c r="X3" s="41">
        <f t="shared" ref="X3:X14" si="0">SUM(D3:W3)</f>
        <v>49</v>
      </c>
      <c r="Y3" s="32">
        <f t="shared" ref="Y3:Y14" si="1">C3-X3</f>
        <v>51</v>
      </c>
    </row>
    <row r="4" s="32" customFormat="1" customHeight="1" spans="1:26">
      <c r="A4" s="41">
        <v>2</v>
      </c>
      <c r="B4" s="10" t="s">
        <v>16</v>
      </c>
      <c r="C4" s="42">
        <v>100</v>
      </c>
      <c r="D4" s="42">
        <v>3</v>
      </c>
      <c r="E4" s="42">
        <v>4</v>
      </c>
      <c r="F4" s="42">
        <v>3</v>
      </c>
      <c r="G4" s="42">
        <v>4</v>
      </c>
      <c r="H4" s="42">
        <v>3</v>
      </c>
      <c r="I4" s="42">
        <v>4</v>
      </c>
      <c r="J4" s="42">
        <v>3</v>
      </c>
      <c r="K4" s="42">
        <v>4</v>
      </c>
      <c r="L4" s="42">
        <v>3</v>
      </c>
      <c r="M4" s="42">
        <v>4</v>
      </c>
      <c r="N4" s="42">
        <f>SUMIF('4.13'!$C$3:C16,B4,'4.13'!$I$3:I16)</f>
        <v>3</v>
      </c>
      <c r="O4" s="42">
        <f>SUMIF('4.16'!$C$3:D16,B4,'4.16'!$I$3:J16)</f>
        <v>4</v>
      </c>
      <c r="P4" s="42">
        <v>3</v>
      </c>
      <c r="Q4" s="42">
        <v>4</v>
      </c>
      <c r="R4" s="42"/>
      <c r="S4" s="42"/>
      <c r="T4" s="42"/>
      <c r="U4" s="42"/>
      <c r="V4" s="42"/>
      <c r="W4" s="42"/>
      <c r="X4" s="41">
        <f t="shared" si="0"/>
        <v>49</v>
      </c>
      <c r="Y4" s="32">
        <f t="shared" si="1"/>
        <v>51</v>
      </c>
      <c r="Z4" s="33"/>
    </row>
    <row r="5" s="32" customFormat="1" customHeight="1" spans="1:26">
      <c r="A5" s="41">
        <v>3</v>
      </c>
      <c r="B5" s="10" t="s">
        <v>17</v>
      </c>
      <c r="C5" s="42">
        <v>100</v>
      </c>
      <c r="D5" s="42">
        <v>3</v>
      </c>
      <c r="E5" s="42">
        <v>4</v>
      </c>
      <c r="F5" s="42">
        <v>3</v>
      </c>
      <c r="G5" s="42">
        <v>4</v>
      </c>
      <c r="H5" s="42">
        <v>3</v>
      </c>
      <c r="I5" s="42">
        <v>4</v>
      </c>
      <c r="J5" s="42">
        <v>3</v>
      </c>
      <c r="K5" s="42">
        <v>4</v>
      </c>
      <c r="L5" s="42">
        <v>3</v>
      </c>
      <c r="M5" s="42">
        <v>4</v>
      </c>
      <c r="N5" s="42">
        <f>SUMIF('4.13'!$C$3:C17,B5,'4.13'!$I$3:I17)</f>
        <v>3</v>
      </c>
      <c r="O5" s="42">
        <f>SUMIF('4.16'!$C$3:D17,B5,'4.16'!$I$3:J17)</f>
        <v>4</v>
      </c>
      <c r="P5" s="42">
        <v>3</v>
      </c>
      <c r="Q5" s="42">
        <v>4</v>
      </c>
      <c r="R5" s="42"/>
      <c r="S5" s="42"/>
      <c r="T5" s="42"/>
      <c r="U5" s="42"/>
      <c r="V5" s="42"/>
      <c r="W5" s="42"/>
      <c r="X5" s="41">
        <f t="shared" si="0"/>
        <v>49</v>
      </c>
      <c r="Y5" s="32">
        <f t="shared" si="1"/>
        <v>51</v>
      </c>
      <c r="Z5" s="33"/>
    </row>
    <row r="6" s="32" customFormat="1" customHeight="1" spans="1:26">
      <c r="A6" s="41">
        <v>4</v>
      </c>
      <c r="B6" s="10" t="s">
        <v>18</v>
      </c>
      <c r="C6" s="42">
        <v>100</v>
      </c>
      <c r="D6" s="42">
        <v>3</v>
      </c>
      <c r="E6" s="42">
        <v>4</v>
      </c>
      <c r="F6" s="42">
        <v>3</v>
      </c>
      <c r="G6" s="42">
        <v>4</v>
      </c>
      <c r="H6" s="42">
        <v>3</v>
      </c>
      <c r="I6" s="42">
        <v>4</v>
      </c>
      <c r="J6" s="42">
        <v>3</v>
      </c>
      <c r="K6" s="42">
        <v>4</v>
      </c>
      <c r="L6" s="42">
        <v>3</v>
      </c>
      <c r="M6" s="42">
        <v>4</v>
      </c>
      <c r="N6" s="42">
        <f>SUMIF('4.13'!$C$3:C18,B6,'4.13'!$I$3:I18)</f>
        <v>3</v>
      </c>
      <c r="O6" s="42">
        <f>SUMIF('4.16'!$C$3:D18,B6,'4.16'!$I$3:J18)</f>
        <v>4</v>
      </c>
      <c r="P6" s="42">
        <v>3</v>
      </c>
      <c r="Q6" s="42">
        <v>4</v>
      </c>
      <c r="R6" s="42"/>
      <c r="S6" s="42"/>
      <c r="T6" s="42"/>
      <c r="U6" s="42"/>
      <c r="V6" s="42"/>
      <c r="W6" s="42"/>
      <c r="X6" s="41">
        <f t="shared" si="0"/>
        <v>49</v>
      </c>
      <c r="Y6" s="32">
        <f t="shared" si="1"/>
        <v>51</v>
      </c>
    </row>
    <row r="7" s="32" customFormat="1" customHeight="1" spans="1:26">
      <c r="A7" s="41">
        <v>5</v>
      </c>
      <c r="B7" s="10" t="s">
        <v>19</v>
      </c>
      <c r="C7" s="42">
        <v>100</v>
      </c>
      <c r="D7" s="42">
        <v>3</v>
      </c>
      <c r="E7" s="42">
        <v>4</v>
      </c>
      <c r="F7" s="42">
        <v>3</v>
      </c>
      <c r="G7" s="42">
        <v>4</v>
      </c>
      <c r="H7" s="42">
        <v>3</v>
      </c>
      <c r="I7" s="42">
        <v>4</v>
      </c>
      <c r="J7" s="42">
        <v>3</v>
      </c>
      <c r="K7" s="42">
        <v>4</v>
      </c>
      <c r="L7" s="42">
        <v>3</v>
      </c>
      <c r="M7" s="42">
        <v>4</v>
      </c>
      <c r="N7" s="42">
        <f>SUMIF('4.13'!$C$3:C19,B7,'4.13'!$I$3:I19)</f>
        <v>3</v>
      </c>
      <c r="O7" s="42">
        <f>SUMIF('4.16'!$C$3:D19,B7,'4.16'!$I$3:J19)</f>
        <v>4</v>
      </c>
      <c r="P7" s="42">
        <v>3</v>
      </c>
      <c r="Q7" s="42">
        <v>4</v>
      </c>
      <c r="R7" s="42"/>
      <c r="S7" s="42"/>
      <c r="T7" s="42"/>
      <c r="U7" s="42"/>
      <c r="V7" s="42"/>
      <c r="W7" s="42"/>
      <c r="X7" s="41">
        <f t="shared" si="0"/>
        <v>49</v>
      </c>
      <c r="Y7" s="32">
        <f t="shared" si="1"/>
        <v>51</v>
      </c>
    </row>
    <row r="8" s="32" customFormat="1" customHeight="1" spans="1:26">
      <c r="A8" s="41">
        <v>6</v>
      </c>
      <c r="B8" s="10" t="s">
        <v>20</v>
      </c>
      <c r="C8" s="42">
        <v>100</v>
      </c>
      <c r="D8" s="42">
        <v>3</v>
      </c>
      <c r="E8" s="42">
        <v>4</v>
      </c>
      <c r="F8" s="42">
        <v>3</v>
      </c>
      <c r="G8" s="42">
        <v>4</v>
      </c>
      <c r="H8" s="42">
        <v>3</v>
      </c>
      <c r="I8" s="42">
        <v>4</v>
      </c>
      <c r="J8" s="42">
        <v>3</v>
      </c>
      <c r="K8" s="42">
        <v>4</v>
      </c>
      <c r="L8" s="42">
        <v>3</v>
      </c>
      <c r="M8" s="42">
        <v>4</v>
      </c>
      <c r="N8" s="42">
        <f>SUMIF('4.13'!$C$3:C20,B8,'4.13'!$I$3:I20)</f>
        <v>3</v>
      </c>
      <c r="O8" s="42">
        <f>SUMIF('4.16'!$C$3:D20,B8,'4.16'!$I$3:J20)</f>
        <v>4</v>
      </c>
      <c r="P8" s="42">
        <v>3</v>
      </c>
      <c r="Q8" s="42">
        <v>4</v>
      </c>
      <c r="R8" s="42"/>
      <c r="S8" s="42"/>
      <c r="T8" s="42"/>
      <c r="U8" s="42"/>
      <c r="V8" s="42"/>
      <c r="W8" s="42"/>
      <c r="X8" s="41">
        <f t="shared" si="0"/>
        <v>49</v>
      </c>
      <c r="Y8" s="32">
        <f t="shared" si="1"/>
        <v>51</v>
      </c>
    </row>
    <row r="9" s="32" customFormat="1" customHeight="1" spans="1:26">
      <c r="A9" s="41">
        <v>7</v>
      </c>
      <c r="B9" s="10" t="s">
        <v>21</v>
      </c>
      <c r="C9" s="42">
        <v>100</v>
      </c>
      <c r="D9" s="42">
        <v>3</v>
      </c>
      <c r="E9" s="42">
        <v>4</v>
      </c>
      <c r="F9" s="42">
        <v>3</v>
      </c>
      <c r="G9" s="42">
        <v>4</v>
      </c>
      <c r="H9" s="42">
        <v>3</v>
      </c>
      <c r="I9" s="42">
        <v>4</v>
      </c>
      <c r="J9" s="42">
        <v>3</v>
      </c>
      <c r="K9" s="42">
        <v>4</v>
      </c>
      <c r="L9" s="42">
        <v>3</v>
      </c>
      <c r="M9" s="42">
        <v>4</v>
      </c>
      <c r="N9" s="42">
        <f>SUMIF('4.13'!$C$3:C21,B9,'4.13'!$I$3:I21)</f>
        <v>3</v>
      </c>
      <c r="O9" s="42">
        <f>SUMIF('4.16'!$C$3:D21,B9,'4.16'!$I$3:J21)</f>
        <v>4</v>
      </c>
      <c r="P9" s="42">
        <v>3</v>
      </c>
      <c r="Q9" s="42">
        <v>4</v>
      </c>
      <c r="R9" s="42"/>
      <c r="S9" s="42"/>
      <c r="T9" s="42"/>
      <c r="U9" s="42"/>
      <c r="V9" s="42"/>
      <c r="W9" s="42"/>
      <c r="X9" s="41">
        <f t="shared" si="0"/>
        <v>49</v>
      </c>
      <c r="Y9" s="32">
        <f t="shared" si="1"/>
        <v>51</v>
      </c>
    </row>
    <row r="10" customHeight="1" spans="1:26">
      <c r="A10" s="41">
        <v>8</v>
      </c>
      <c r="B10" s="10" t="s">
        <v>39</v>
      </c>
      <c r="C10" s="42">
        <v>100</v>
      </c>
      <c r="D10" s="42">
        <v>3</v>
      </c>
      <c r="E10" s="42">
        <v>4</v>
      </c>
      <c r="F10" s="42">
        <v>3</v>
      </c>
      <c r="G10" s="42">
        <v>4</v>
      </c>
      <c r="H10" s="42">
        <v>3</v>
      </c>
      <c r="I10" s="42">
        <v>4</v>
      </c>
      <c r="J10" s="42">
        <v>3</v>
      </c>
      <c r="K10" s="42">
        <v>2</v>
      </c>
      <c r="L10" s="42">
        <v>5</v>
      </c>
      <c r="M10" s="42">
        <v>4</v>
      </c>
      <c r="N10" s="42">
        <f>SUMIF('4.13'!$C$3:C22,B10,'4.13'!$I$3:I22)</f>
        <v>3</v>
      </c>
      <c r="O10" s="42">
        <f>SUMIF('4.16'!$C$3:D22,B10,'4.16'!$I$3:J22)</f>
        <v>4</v>
      </c>
      <c r="P10" s="42">
        <v>3</v>
      </c>
      <c r="Q10" s="42">
        <v>4</v>
      </c>
      <c r="R10" s="42"/>
      <c r="S10" s="42"/>
      <c r="T10" s="42"/>
      <c r="U10" s="42"/>
      <c r="V10" s="42"/>
      <c r="W10" s="42"/>
      <c r="X10" s="41">
        <f t="shared" si="0"/>
        <v>49</v>
      </c>
      <c r="Y10" s="32">
        <f t="shared" si="1"/>
        <v>51</v>
      </c>
    </row>
    <row r="11" customHeight="1" spans="1:26">
      <c r="A11" s="41">
        <v>9</v>
      </c>
      <c r="B11" s="19" t="s">
        <v>40</v>
      </c>
      <c r="C11" s="42">
        <v>100</v>
      </c>
      <c r="D11" s="42"/>
      <c r="E11" s="42"/>
      <c r="F11" s="42"/>
      <c r="G11" s="42"/>
      <c r="H11" s="42"/>
      <c r="I11" s="42"/>
      <c r="J11" s="42">
        <v>3</v>
      </c>
      <c r="K11" s="42">
        <v>8</v>
      </c>
      <c r="L11" s="42">
        <v>6</v>
      </c>
      <c r="M11" s="42">
        <v>8</v>
      </c>
      <c r="N11" s="42">
        <f>SUMIF('4.13'!$C$3:C23,B11,'4.13'!$I$3:I23)</f>
        <v>6</v>
      </c>
      <c r="O11" s="42">
        <f>SUMIF('4.16'!$C$3:D23,B11,'4.16'!$I$3:J23)</f>
        <v>4</v>
      </c>
      <c r="P11" s="42">
        <v>6</v>
      </c>
      <c r="Q11" s="42">
        <v>8</v>
      </c>
      <c r="R11" s="42"/>
      <c r="S11" s="42"/>
      <c r="T11" s="42"/>
      <c r="U11" s="42"/>
      <c r="V11" s="42"/>
      <c r="W11" s="42"/>
      <c r="X11" s="41">
        <f t="shared" si="0"/>
        <v>49</v>
      </c>
      <c r="Y11" s="32">
        <f t="shared" si="1"/>
        <v>51</v>
      </c>
    </row>
    <row r="12" customHeight="1" spans="1:26">
      <c r="A12" s="41">
        <v>10</v>
      </c>
      <c r="B12" s="10" t="s">
        <v>23</v>
      </c>
      <c r="C12" s="42">
        <v>100</v>
      </c>
      <c r="D12" s="42">
        <v>3</v>
      </c>
      <c r="E12" s="42">
        <v>4</v>
      </c>
      <c r="F12" s="42">
        <v>3</v>
      </c>
      <c r="G12" s="42">
        <v>4</v>
      </c>
      <c r="H12" s="42">
        <v>3</v>
      </c>
      <c r="I12" s="42">
        <v>4</v>
      </c>
      <c r="J12" s="42">
        <v>3</v>
      </c>
      <c r="K12" s="42">
        <v>4</v>
      </c>
      <c r="L12" s="42">
        <v>3</v>
      </c>
      <c r="M12" s="42">
        <v>4</v>
      </c>
      <c r="N12" s="42">
        <f>SUMIF('4.13'!$C$3:C24,B12,'4.13'!$I$3:I24)</f>
        <v>3</v>
      </c>
      <c r="O12" s="42">
        <f>SUMIF('4.16'!$C$3:D24,B12,'4.16'!$I$3:J24)</f>
        <v>4</v>
      </c>
      <c r="P12" s="42">
        <v>3</v>
      </c>
      <c r="Q12" s="42">
        <v>4</v>
      </c>
      <c r="R12" s="42"/>
      <c r="S12" s="42"/>
      <c r="T12" s="42"/>
      <c r="U12" s="42"/>
      <c r="V12" s="42"/>
      <c r="W12" s="42"/>
      <c r="X12" s="41">
        <f t="shared" si="0"/>
        <v>49</v>
      </c>
      <c r="Y12" s="32">
        <f t="shared" si="1"/>
        <v>51</v>
      </c>
    </row>
    <row r="13" customHeight="1" spans="1:26">
      <c r="A13" s="41">
        <v>11</v>
      </c>
      <c r="B13" s="10" t="s">
        <v>24</v>
      </c>
      <c r="C13" s="42">
        <v>100</v>
      </c>
      <c r="D13" s="42">
        <v>3</v>
      </c>
      <c r="E13" s="42">
        <v>4</v>
      </c>
      <c r="F13" s="42">
        <v>3</v>
      </c>
      <c r="G13" s="42">
        <v>4</v>
      </c>
      <c r="H13" s="42">
        <v>3</v>
      </c>
      <c r="I13" s="42">
        <v>4</v>
      </c>
      <c r="J13" s="42">
        <v>3</v>
      </c>
      <c r="K13" s="42">
        <v>4</v>
      </c>
      <c r="L13" s="42">
        <v>3</v>
      </c>
      <c r="M13" s="42">
        <v>4</v>
      </c>
      <c r="N13" s="42">
        <f>SUMIF('4.13'!$C$3:C25,B13,'4.13'!$I$3:I25)</f>
        <v>3</v>
      </c>
      <c r="O13" s="42">
        <f>SUMIF('4.16'!$C$3:D25,B13,'4.16'!$I$3:J25)</f>
        <v>4</v>
      </c>
      <c r="P13" s="42">
        <v>3</v>
      </c>
      <c r="Q13" s="42">
        <v>4</v>
      </c>
      <c r="R13" s="42"/>
      <c r="S13" s="42"/>
      <c r="T13" s="42"/>
      <c r="U13" s="42"/>
      <c r="V13" s="42"/>
      <c r="W13" s="42"/>
      <c r="X13" s="41">
        <f t="shared" si="0"/>
        <v>49</v>
      </c>
      <c r="Y13" s="32">
        <f t="shared" si="1"/>
        <v>51</v>
      </c>
    </row>
    <row r="14" customHeight="1" spans="1:26">
      <c r="A14" s="41">
        <v>12</v>
      </c>
      <c r="B14" s="10" t="s">
        <v>26</v>
      </c>
      <c r="C14" s="42">
        <v>100</v>
      </c>
      <c r="D14" s="42">
        <v>3</v>
      </c>
      <c r="E14" s="42">
        <v>4</v>
      </c>
      <c r="F14" s="42">
        <v>3</v>
      </c>
      <c r="G14" s="42">
        <v>4</v>
      </c>
      <c r="H14" s="42">
        <v>3</v>
      </c>
      <c r="I14" s="42">
        <v>4</v>
      </c>
      <c r="J14" s="42">
        <v>3</v>
      </c>
      <c r="K14" s="42">
        <v>4</v>
      </c>
      <c r="L14" s="42">
        <v>3</v>
      </c>
      <c r="M14" s="42">
        <v>4</v>
      </c>
      <c r="N14" s="42">
        <f>SUMIF('4.13'!$C$3:C26,B14,'4.13'!$I$3:I26)</f>
        <v>3</v>
      </c>
      <c r="O14" s="42">
        <f>SUMIF('4.16'!$C$3:D26,B14,'4.16'!$I$3:J26)</f>
        <v>4</v>
      </c>
      <c r="P14" s="42">
        <v>3</v>
      </c>
      <c r="Q14" s="42">
        <v>4</v>
      </c>
      <c r="R14" s="42"/>
      <c r="S14" s="42"/>
      <c r="T14" s="42"/>
      <c r="U14" s="42"/>
      <c r="V14" s="42"/>
      <c r="W14" s="42"/>
      <c r="X14" s="41">
        <f t="shared" si="0"/>
        <v>49</v>
      </c>
      <c r="Y14" s="32">
        <f t="shared" si="1"/>
        <v>51</v>
      </c>
    </row>
    <row r="15" customHeight="1" spans="1:26">
      <c r="A15" s="41">
        <v>13</v>
      </c>
      <c r="B15" s="17" t="s">
        <v>41</v>
      </c>
      <c r="C15" s="42">
        <v>105</v>
      </c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3" t="s">
        <v>42</v>
      </c>
      <c r="Q15" s="28">
        <v>4</v>
      </c>
      <c r="R15" s="42"/>
      <c r="S15" s="42"/>
      <c r="T15" s="42"/>
      <c r="U15" s="42"/>
      <c r="V15" s="42"/>
      <c r="W15" s="42"/>
      <c r="X15" s="41">
        <f>SUM(D15:W15)</f>
        <v>4</v>
      </c>
      <c r="Y15" s="32">
        <f>C15-X15</f>
        <v>101</v>
      </c>
    </row>
    <row r="16" customHeight="1" spans="1:26">
      <c r="A16" s="41">
        <v>14</v>
      </c>
      <c r="B16" s="44"/>
      <c r="C16" s="42"/>
      <c r="D16" s="42">
        <f t="shared" ref="D16:O16" si="2">SUM(D3:D14)</f>
        <v>33</v>
      </c>
      <c r="E16" s="42">
        <f t="shared" si="2"/>
        <v>44</v>
      </c>
      <c r="F16" s="42">
        <f t="shared" si="2"/>
        <v>33</v>
      </c>
      <c r="G16" s="42">
        <f t="shared" si="2"/>
        <v>44</v>
      </c>
      <c r="H16" s="42">
        <f t="shared" si="2"/>
        <v>33</v>
      </c>
      <c r="I16" s="42">
        <f t="shared" si="2"/>
        <v>44</v>
      </c>
      <c r="J16" s="42">
        <f t="shared" si="2"/>
        <v>36</v>
      </c>
      <c r="K16" s="42">
        <f t="shared" si="2"/>
        <v>50</v>
      </c>
      <c r="L16" s="42">
        <f t="shared" si="2"/>
        <v>41</v>
      </c>
      <c r="M16" s="42">
        <f t="shared" si="2"/>
        <v>52</v>
      </c>
      <c r="N16" s="42">
        <f t="shared" si="2"/>
        <v>39</v>
      </c>
      <c r="O16" s="42">
        <f t="shared" si="2"/>
        <v>48</v>
      </c>
      <c r="P16" s="42">
        <f>SUM(P3:P14)</f>
        <v>39</v>
      </c>
      <c r="Q16" s="42">
        <f>SUM(Q3:Q14)</f>
        <v>52</v>
      </c>
      <c r="R16" s="42">
        <f>SUM(R3:R14)</f>
        <v>0</v>
      </c>
      <c r="S16" s="42">
        <f>SUM(S3:S14)</f>
        <v>0</v>
      </c>
      <c r="T16" s="42">
        <f>SUM(T3:T14)</f>
        <v>0</v>
      </c>
      <c r="U16" s="42">
        <f>SUM(U3:U14)</f>
        <v>0</v>
      </c>
      <c r="V16" s="42">
        <f>SUM(V3:V14)</f>
        <v>0</v>
      </c>
      <c r="W16" s="42">
        <f>SUM(W3:W14)</f>
        <v>0</v>
      </c>
      <c r="X16" s="41"/>
      <c r="Y16" s="32"/>
    </row>
    <row r="17" customHeight="1" spans="1:25">
      <c r="A17" s="41">
        <v>15</v>
      </c>
      <c r="B17" s="44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1">
        <f t="shared" ref="X16:X36" si="3">SUM(D17:W17)</f>
        <v>0</v>
      </c>
      <c r="Y17" s="32">
        <f t="shared" ref="Y17:Y36" si="4">C17-X17</f>
        <v>0</v>
      </c>
    </row>
    <row r="18" customHeight="1" spans="1:25">
      <c r="A18" s="41">
        <v>16</v>
      </c>
      <c r="B18" s="44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1">
        <f t="shared" si="3"/>
        <v>0</v>
      </c>
      <c r="Y18" s="32">
        <f t="shared" si="4"/>
        <v>0</v>
      </c>
    </row>
    <row r="19" customHeight="1" spans="1:25">
      <c r="A19" s="41">
        <v>17</v>
      </c>
      <c r="B19" s="44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1">
        <f t="shared" si="3"/>
        <v>0</v>
      </c>
      <c r="Y19" s="32">
        <f t="shared" si="4"/>
        <v>0</v>
      </c>
    </row>
    <row r="20" customHeight="1" spans="1:25">
      <c r="A20" s="41">
        <v>18</v>
      </c>
      <c r="B20" s="44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1">
        <f t="shared" si="3"/>
        <v>0</v>
      </c>
      <c r="Y20" s="32">
        <f t="shared" si="4"/>
        <v>0</v>
      </c>
    </row>
    <row r="21" customHeight="1" spans="1:25">
      <c r="A21" s="41">
        <v>19</v>
      </c>
      <c r="B21" s="44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1">
        <f t="shared" si="3"/>
        <v>0</v>
      </c>
      <c r="Y21" s="32">
        <f t="shared" si="4"/>
        <v>0</v>
      </c>
    </row>
    <row r="22" customHeight="1" spans="1:25">
      <c r="A22" s="41">
        <v>20</v>
      </c>
      <c r="B22" s="44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1">
        <f t="shared" si="3"/>
        <v>0</v>
      </c>
      <c r="Y22" s="32">
        <f t="shared" si="4"/>
        <v>0</v>
      </c>
    </row>
    <row r="23" customHeight="1" spans="1:25">
      <c r="A23" s="41">
        <v>21</v>
      </c>
      <c r="B23" s="44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1">
        <f t="shared" si="3"/>
        <v>0</v>
      </c>
      <c r="Y23" s="32">
        <f t="shared" si="4"/>
        <v>0</v>
      </c>
    </row>
    <row r="24" customHeight="1" spans="1:25">
      <c r="A24" s="41">
        <v>22</v>
      </c>
      <c r="B24" s="44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1">
        <f t="shared" si="3"/>
        <v>0</v>
      </c>
      <c r="Y24" s="32">
        <f t="shared" si="4"/>
        <v>0</v>
      </c>
    </row>
    <row r="25" customHeight="1" spans="1:25">
      <c r="A25" s="41">
        <v>22</v>
      </c>
      <c r="B25" s="44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1">
        <f t="shared" si="3"/>
        <v>0</v>
      </c>
      <c r="Y25" s="32">
        <f t="shared" si="4"/>
        <v>0</v>
      </c>
    </row>
    <row r="26" customHeight="1" spans="1:25">
      <c r="A26" s="41">
        <v>23</v>
      </c>
      <c r="B26" s="45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1">
        <f t="shared" si="3"/>
        <v>0</v>
      </c>
      <c r="Y26" s="32">
        <f t="shared" si="4"/>
        <v>0</v>
      </c>
    </row>
    <row r="27" customHeight="1" spans="1:25">
      <c r="A27" s="41">
        <v>24</v>
      </c>
      <c r="B27" s="45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1">
        <f t="shared" si="3"/>
        <v>0</v>
      </c>
      <c r="Y27" s="32">
        <f t="shared" si="4"/>
        <v>0</v>
      </c>
    </row>
    <row r="28" customHeight="1" spans="1:25">
      <c r="A28" s="41">
        <v>25</v>
      </c>
      <c r="B28" s="46"/>
      <c r="C28" s="47"/>
      <c r="D28" s="48"/>
      <c r="E28" s="48"/>
      <c r="F28" s="48"/>
      <c r="G28" s="48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1">
        <f t="shared" si="3"/>
        <v>0</v>
      </c>
      <c r="Y28" s="32">
        <f t="shared" si="4"/>
        <v>0</v>
      </c>
    </row>
    <row r="29" customHeight="1" spans="1:25">
      <c r="A29" s="41">
        <v>26</v>
      </c>
      <c r="B29" s="45"/>
      <c r="C29" s="42"/>
      <c r="D29" s="49"/>
      <c r="E29" s="49"/>
      <c r="F29" s="49"/>
      <c r="G29" s="49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1">
        <f t="shared" si="3"/>
        <v>0</v>
      </c>
      <c r="Y29" s="32">
        <f t="shared" si="4"/>
        <v>0</v>
      </c>
    </row>
    <row r="30" customHeight="1" spans="1:25">
      <c r="A30" s="41">
        <v>27</v>
      </c>
      <c r="B30" s="45"/>
      <c r="C30" s="42"/>
      <c r="D30" s="49"/>
      <c r="E30" s="49"/>
      <c r="F30" s="49"/>
      <c r="G30" s="49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1">
        <f t="shared" si="3"/>
        <v>0</v>
      </c>
      <c r="Y30" s="32">
        <f t="shared" si="4"/>
        <v>0</v>
      </c>
    </row>
    <row r="31" customHeight="1" spans="1:25">
      <c r="A31" s="41">
        <v>28</v>
      </c>
      <c r="B31" s="45"/>
      <c r="C31" s="42"/>
      <c r="D31" s="49"/>
      <c r="E31" s="49"/>
      <c r="F31" s="49"/>
      <c r="G31" s="49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1">
        <f t="shared" si="3"/>
        <v>0</v>
      </c>
      <c r="Y31" s="32">
        <f t="shared" si="4"/>
        <v>0</v>
      </c>
    </row>
    <row r="32" customHeight="1" spans="1:25">
      <c r="A32" s="41">
        <v>29</v>
      </c>
      <c r="B32" s="45"/>
      <c r="C32" s="42"/>
      <c r="D32" s="49"/>
      <c r="E32" s="49"/>
      <c r="F32" s="49"/>
      <c r="G32" s="49"/>
      <c r="H32" s="49"/>
      <c r="I32" s="49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1">
        <f t="shared" si="3"/>
        <v>0</v>
      </c>
      <c r="Y32" s="32">
        <f t="shared" si="4"/>
        <v>0</v>
      </c>
    </row>
    <row r="33" customHeight="1" spans="1:25">
      <c r="A33" s="41">
        <v>30</v>
      </c>
      <c r="B33" s="45"/>
      <c r="C33" s="42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1">
        <f t="shared" si="3"/>
        <v>0</v>
      </c>
      <c r="Y33" s="32">
        <f t="shared" si="4"/>
        <v>0</v>
      </c>
    </row>
    <row r="34" customHeight="1" spans="1:25">
      <c r="A34" s="49"/>
      <c r="B34" s="50"/>
      <c r="C34" s="50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1">
        <f t="shared" si="3"/>
        <v>0</v>
      </c>
      <c r="Y34" s="32">
        <f t="shared" si="4"/>
        <v>0</v>
      </c>
    </row>
    <row r="35" customHeight="1" spans="1:25">
      <c r="A35" s="49"/>
      <c r="B35" s="50"/>
      <c r="C35" s="50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1">
        <f t="shared" si="3"/>
        <v>0</v>
      </c>
      <c r="Y35" s="32">
        <f t="shared" si="4"/>
        <v>0</v>
      </c>
    </row>
    <row r="36" customHeight="1" spans="1:25">
      <c r="A36" s="49"/>
      <c r="B36" s="50"/>
      <c r="C36" s="50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1">
        <f t="shared" si="3"/>
        <v>0</v>
      </c>
      <c r="Y36" s="32">
        <f t="shared" si="4"/>
        <v>0</v>
      </c>
    </row>
  </sheetData>
  <mergeCells count="1">
    <mergeCell ref="A1:X1"/>
  </mergeCells>
  <pageMargins left="0.75" right="0.75" top="1" bottom="1" header="0.5" footer="0.5"/>
  <pageSetup paperSize="256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topLeftCell="A2" workbookViewId="0">
      <selection activeCell="C12" sqref="C12:C13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7">
      <c r="A1" s="2" t="s">
        <v>43</v>
      </c>
      <c r="B1" s="2"/>
      <c r="C1" s="2"/>
      <c r="D1" s="2"/>
      <c r="E1" s="2"/>
      <c r="F1" s="3"/>
      <c r="G1" s="4"/>
    </row>
    <row r="2" s="1" customFormat="1" ht="32" customHeight="1" spans="1:7">
      <c r="A2" s="5" t="s">
        <v>2</v>
      </c>
      <c r="B2" s="5" t="s">
        <v>32</v>
      </c>
      <c r="C2" s="5" t="s">
        <v>3</v>
      </c>
      <c r="D2" s="6" t="s">
        <v>44</v>
      </c>
      <c r="E2" s="7" t="s">
        <v>45</v>
      </c>
      <c r="F2" s="7" t="s">
        <v>46</v>
      </c>
      <c r="G2" s="7" t="s">
        <v>7</v>
      </c>
    </row>
    <row r="3" ht="22" customHeight="1" spans="1:7">
      <c r="A3" s="8">
        <v>1</v>
      </c>
      <c r="B3" s="9">
        <v>46090</v>
      </c>
      <c r="C3" s="10" t="s">
        <v>13</v>
      </c>
      <c r="D3" s="11" t="s">
        <v>47</v>
      </c>
      <c r="E3" s="10">
        <v>2</v>
      </c>
      <c r="F3" s="10">
        <v>1</v>
      </c>
      <c r="G3" s="12"/>
    </row>
    <row r="4" ht="22" customHeight="1" spans="1:7">
      <c r="A4" s="8">
        <v>2</v>
      </c>
      <c r="B4" s="9">
        <v>46090</v>
      </c>
      <c r="C4" s="10" t="s">
        <v>16</v>
      </c>
      <c r="D4" s="11" t="s">
        <v>47</v>
      </c>
      <c r="E4" s="10">
        <v>3</v>
      </c>
      <c r="F4" s="13"/>
      <c r="G4" s="14"/>
    </row>
    <row r="5" ht="22" customHeight="1" spans="1:7">
      <c r="A5" s="8">
        <v>3</v>
      </c>
      <c r="B5" s="9">
        <v>46090</v>
      </c>
      <c r="C5" s="10" t="s">
        <v>17</v>
      </c>
      <c r="D5" s="11" t="s">
        <v>47</v>
      </c>
      <c r="E5" s="10">
        <v>3</v>
      </c>
      <c r="F5" s="13"/>
      <c r="G5" s="14"/>
    </row>
    <row r="6" ht="22" customHeight="1" spans="1:7">
      <c r="A6" s="8">
        <v>4</v>
      </c>
      <c r="B6" s="9">
        <v>46090</v>
      </c>
      <c r="C6" s="10" t="s">
        <v>18</v>
      </c>
      <c r="D6" s="11" t="s">
        <v>47</v>
      </c>
      <c r="E6" s="10">
        <v>3</v>
      </c>
      <c r="F6" s="13"/>
      <c r="G6" s="14"/>
    </row>
    <row r="7" ht="22" customHeight="1" spans="1:7">
      <c r="A7" s="8">
        <v>5</v>
      </c>
      <c r="B7" s="9">
        <v>46090</v>
      </c>
      <c r="C7" s="10" t="s">
        <v>19</v>
      </c>
      <c r="D7" s="11" t="s">
        <v>47</v>
      </c>
      <c r="E7" s="10">
        <v>2</v>
      </c>
      <c r="F7" s="10">
        <v>1</v>
      </c>
      <c r="G7" s="14"/>
    </row>
    <row r="8" ht="22" customHeight="1" spans="1:7">
      <c r="A8" s="8">
        <v>6</v>
      </c>
      <c r="B8" s="9">
        <v>46090</v>
      </c>
      <c r="C8" s="10" t="s">
        <v>20</v>
      </c>
      <c r="D8" s="11" t="s">
        <v>47</v>
      </c>
      <c r="E8" s="10">
        <v>3</v>
      </c>
      <c r="F8" s="13"/>
      <c r="G8" s="14"/>
    </row>
    <row r="9" ht="22" customHeight="1" spans="1:7">
      <c r="A9" s="8">
        <v>7</v>
      </c>
      <c r="B9" s="9">
        <v>46090</v>
      </c>
      <c r="C9" s="10" t="s">
        <v>21</v>
      </c>
      <c r="D9" s="11" t="s">
        <v>47</v>
      </c>
      <c r="E9" s="10">
        <v>3</v>
      </c>
      <c r="F9" s="13"/>
      <c r="G9" s="16"/>
    </row>
    <row r="10" ht="22" customHeight="1" spans="1:7">
      <c r="A10" s="8">
        <v>8</v>
      </c>
      <c r="B10" s="9">
        <v>46090</v>
      </c>
      <c r="C10" s="10" t="s">
        <v>22</v>
      </c>
      <c r="D10" s="11" t="s">
        <v>47</v>
      </c>
      <c r="E10" s="10">
        <v>2</v>
      </c>
      <c r="F10" s="10">
        <v>1</v>
      </c>
      <c r="G10" s="16"/>
    </row>
    <row r="11" customFormat="1" ht="22" customHeight="1" spans="1:7">
      <c r="A11" s="8">
        <v>9</v>
      </c>
      <c r="B11" s="9">
        <v>46090</v>
      </c>
      <c r="C11" s="10" t="s">
        <v>23</v>
      </c>
      <c r="D11" s="11" t="s">
        <v>47</v>
      </c>
      <c r="E11" s="10">
        <v>3</v>
      </c>
      <c r="F11" s="13"/>
      <c r="G11" s="16"/>
    </row>
    <row r="12" customFormat="1" ht="22" customHeight="1" spans="1:7">
      <c r="A12" s="8">
        <v>10</v>
      </c>
      <c r="B12" s="9">
        <v>46090</v>
      </c>
      <c r="C12" s="29" t="s">
        <v>24</v>
      </c>
      <c r="D12" s="11" t="s">
        <v>47</v>
      </c>
      <c r="E12" s="10">
        <v>3</v>
      </c>
      <c r="F12" s="16"/>
      <c r="G12" s="16"/>
    </row>
    <row r="13" customFormat="1" ht="22" customHeight="1" spans="1:7">
      <c r="A13" s="8">
        <v>11</v>
      </c>
      <c r="B13" s="9">
        <v>46090</v>
      </c>
      <c r="C13" s="29" t="s">
        <v>26</v>
      </c>
      <c r="D13" s="11" t="s">
        <v>47</v>
      </c>
      <c r="E13" s="12">
        <v>3</v>
      </c>
      <c r="F13" s="16"/>
      <c r="G13" s="16"/>
    </row>
    <row r="14" customFormat="1" ht="22" customHeight="1" spans="1:7">
      <c r="A14" s="8">
        <v>12</v>
      </c>
      <c r="B14" s="9"/>
      <c r="C14" s="23"/>
      <c r="D14" s="11"/>
      <c r="E14" s="12"/>
      <c r="F14" s="16"/>
      <c r="G14" s="16"/>
    </row>
    <row r="15" customFormat="1" ht="22" customHeight="1" spans="1:7">
      <c r="A15" s="8">
        <v>13</v>
      </c>
      <c r="B15" s="9"/>
      <c r="C15" s="23"/>
      <c r="D15" s="11"/>
      <c r="E15" s="12"/>
      <c r="F15" s="16"/>
      <c r="G15" s="16"/>
    </row>
    <row r="16" customFormat="1" ht="22" customHeight="1" spans="1:7">
      <c r="A16" s="8">
        <v>14</v>
      </c>
      <c r="B16" s="9"/>
      <c r="C16" s="23"/>
      <c r="D16" s="11"/>
      <c r="E16" s="12"/>
      <c r="F16" s="16"/>
      <c r="G16" s="16"/>
    </row>
    <row r="17" customFormat="1" ht="22" customHeight="1" spans="1:7">
      <c r="A17" s="8">
        <v>15</v>
      </c>
      <c r="B17" s="9"/>
      <c r="C17" s="23"/>
      <c r="D17" s="11"/>
      <c r="E17" s="12"/>
      <c r="F17" s="16"/>
      <c r="G17" s="16"/>
    </row>
    <row r="18" customFormat="1" ht="22" customHeight="1" spans="1:7">
      <c r="A18" s="8">
        <v>16</v>
      </c>
      <c r="B18" s="9"/>
      <c r="C18" s="23"/>
      <c r="D18" s="11"/>
      <c r="E18" s="12"/>
      <c r="F18" s="16"/>
      <c r="G18" s="16"/>
    </row>
    <row r="19" customFormat="1" ht="22" customHeight="1" spans="1:7">
      <c r="A19" s="8">
        <v>17</v>
      </c>
      <c r="B19" s="9"/>
      <c r="C19" s="23"/>
      <c r="D19" s="11"/>
      <c r="E19" s="12"/>
      <c r="F19" s="16"/>
      <c r="G19" s="16"/>
    </row>
    <row r="20" customFormat="1" ht="22" customHeight="1" spans="1:7">
      <c r="A20" s="8">
        <v>18</v>
      </c>
      <c r="B20" s="9"/>
      <c r="C20" s="23"/>
      <c r="D20" s="11"/>
      <c r="E20" s="12"/>
      <c r="F20" s="16"/>
      <c r="G20" s="16"/>
    </row>
    <row r="21" customFormat="1" ht="22" customHeight="1" spans="1:7">
      <c r="A21" s="8">
        <v>19</v>
      </c>
      <c r="B21" s="9"/>
      <c r="C21" s="23"/>
      <c r="D21" s="11"/>
      <c r="E21" s="12"/>
      <c r="F21" s="16"/>
      <c r="G21" s="16"/>
    </row>
    <row r="22" customFormat="1" ht="22" customHeight="1" spans="1:7">
      <c r="A22" s="8">
        <v>20</v>
      </c>
      <c r="B22" s="9"/>
      <c r="C22" s="23"/>
      <c r="D22" s="11"/>
      <c r="E22" s="12"/>
      <c r="F22" s="16"/>
      <c r="G22" s="16"/>
    </row>
    <row r="23" customFormat="1" ht="22" customHeight="1" spans="1:7">
      <c r="A23" s="8">
        <v>21</v>
      </c>
      <c r="B23" s="9"/>
      <c r="C23" s="23"/>
      <c r="D23" s="11"/>
      <c r="E23" s="12"/>
      <c r="F23" s="16"/>
      <c r="G23" s="16"/>
    </row>
    <row r="24" customFormat="1" ht="22" customHeight="1" spans="1:7">
      <c r="A24" s="8"/>
      <c r="B24" s="9"/>
      <c r="C24" s="23"/>
      <c r="D24" s="11"/>
      <c r="E24" s="12"/>
      <c r="F24" s="16"/>
      <c r="G24" s="16"/>
    </row>
    <row r="25" customFormat="1" ht="22" customHeight="1" spans="1:7">
      <c r="A25" s="8"/>
      <c r="B25" s="22"/>
      <c r="C25" s="23"/>
      <c r="D25" s="24"/>
      <c r="E25" s="25"/>
      <c r="F25" s="18"/>
      <c r="G25" s="18"/>
    </row>
    <row r="26" ht="13.5" spans="1:7">
      <c r="E26" s="26">
        <f>SUM(E3:E25)</f>
        <v>30</v>
      </c>
      <c r="F26" s="26">
        <f>SUM(F3:F25)</f>
        <v>3</v>
      </c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A1" sqref="$A1:$XFD1048576"/>
    </sheetView>
  </sheetViews>
  <sheetFormatPr defaultColWidth="9.14285714285714" defaultRowHeight="12" outlineLevelCol="7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8">
      <c r="A1" s="2" t="s">
        <v>43</v>
      </c>
      <c r="B1" s="2"/>
      <c r="C1" s="2"/>
      <c r="D1" s="2"/>
      <c r="E1" s="2"/>
      <c r="F1" s="3"/>
      <c r="G1" s="4"/>
    </row>
    <row r="2" s="1" customFormat="1" ht="32" customHeight="1" spans="1:8">
      <c r="A2" s="5" t="s">
        <v>2</v>
      </c>
      <c r="B2" s="5" t="s">
        <v>32</v>
      </c>
      <c r="C2" s="5" t="s">
        <v>3</v>
      </c>
      <c r="D2" s="6" t="s">
        <v>44</v>
      </c>
      <c r="E2" s="7" t="s">
        <v>45</v>
      </c>
      <c r="F2" s="7" t="s">
        <v>46</v>
      </c>
      <c r="G2" s="7" t="s">
        <v>7</v>
      </c>
    </row>
    <row r="3" ht="22" customHeight="1" spans="1:8">
      <c r="A3" s="8">
        <v>1</v>
      </c>
      <c r="B3" s="9">
        <v>46093</v>
      </c>
      <c r="C3" s="10" t="s">
        <v>13</v>
      </c>
      <c r="D3" s="11" t="s">
        <v>48</v>
      </c>
      <c r="E3" s="10">
        <v>2</v>
      </c>
      <c r="F3" s="10">
        <v>2</v>
      </c>
      <c r="G3" s="12"/>
    </row>
    <row r="4" ht="22" customHeight="1" spans="1:8">
      <c r="A4" s="8">
        <v>2</v>
      </c>
      <c r="B4" s="9">
        <v>46093</v>
      </c>
      <c r="C4" s="10" t="s">
        <v>16</v>
      </c>
      <c r="D4" s="11" t="s">
        <v>48</v>
      </c>
      <c r="E4" s="10">
        <v>4</v>
      </c>
      <c r="F4" s="13"/>
      <c r="G4" s="14"/>
    </row>
    <row r="5" ht="22" customHeight="1" spans="1:8">
      <c r="A5" s="8">
        <v>3</v>
      </c>
      <c r="B5" s="9">
        <v>46093</v>
      </c>
      <c r="C5" s="10" t="s">
        <v>17</v>
      </c>
      <c r="D5" s="11" t="s">
        <v>48</v>
      </c>
      <c r="E5" s="10">
        <v>4</v>
      </c>
      <c r="F5" s="13"/>
      <c r="G5" s="14"/>
    </row>
    <row r="6" ht="22" customHeight="1" spans="1:8">
      <c r="A6" s="8">
        <v>4</v>
      </c>
      <c r="B6" s="9">
        <v>46093</v>
      </c>
      <c r="C6" s="10" t="s">
        <v>18</v>
      </c>
      <c r="D6" s="11" t="s">
        <v>48</v>
      </c>
      <c r="E6" s="10">
        <v>4</v>
      </c>
      <c r="F6" s="13"/>
      <c r="G6" s="14"/>
    </row>
    <row r="7" ht="22" customHeight="1" spans="1:8">
      <c r="A7" s="8">
        <v>5</v>
      </c>
      <c r="B7" s="9">
        <v>46093</v>
      </c>
      <c r="C7" s="10" t="s">
        <v>19</v>
      </c>
      <c r="D7" s="11" t="s">
        <v>48</v>
      </c>
      <c r="E7" s="10">
        <v>2</v>
      </c>
      <c r="F7" s="10">
        <v>2</v>
      </c>
      <c r="G7" s="14"/>
    </row>
    <row r="8" ht="22" customHeight="1" spans="1:8">
      <c r="A8" s="8">
        <v>6</v>
      </c>
      <c r="B8" s="9">
        <v>46093</v>
      </c>
      <c r="C8" s="10" t="s">
        <v>20</v>
      </c>
      <c r="D8" s="11" t="s">
        <v>48</v>
      </c>
      <c r="E8" s="10">
        <v>4</v>
      </c>
      <c r="F8" s="13"/>
      <c r="G8" s="14"/>
    </row>
    <row r="9" ht="22" customHeight="1" spans="1:8">
      <c r="A9" s="8">
        <v>7</v>
      </c>
      <c r="B9" s="9">
        <v>46093</v>
      </c>
      <c r="C9" s="10" t="s">
        <v>21</v>
      </c>
      <c r="D9" s="11" t="s">
        <v>48</v>
      </c>
      <c r="E9" s="10">
        <v>4</v>
      </c>
      <c r="F9" s="13"/>
      <c r="G9" s="16"/>
      <c r="H9" t="s">
        <v>49</v>
      </c>
    </row>
    <row r="10" ht="22" customHeight="1" spans="1:8">
      <c r="A10" s="8">
        <v>8</v>
      </c>
      <c r="B10" s="9">
        <v>46093</v>
      </c>
      <c r="C10" s="10" t="s">
        <v>22</v>
      </c>
      <c r="D10" s="11" t="s">
        <v>48</v>
      </c>
      <c r="E10" s="10">
        <v>2</v>
      </c>
      <c r="F10" s="10">
        <v>2</v>
      </c>
      <c r="G10" s="16"/>
    </row>
    <row r="11" customFormat="1" ht="22" customHeight="1" spans="1:8">
      <c r="A11" s="8">
        <v>9</v>
      </c>
      <c r="B11" s="9">
        <v>46093</v>
      </c>
      <c r="C11" s="10" t="s">
        <v>23</v>
      </c>
      <c r="D11" s="11" t="s">
        <v>48</v>
      </c>
      <c r="E11" s="10">
        <v>4</v>
      </c>
      <c r="F11" s="13"/>
      <c r="G11" s="16"/>
    </row>
    <row r="12" customFormat="1" ht="22" customHeight="1" spans="1:8">
      <c r="A12" s="8">
        <v>10</v>
      </c>
      <c r="B12" s="9">
        <v>46093</v>
      </c>
      <c r="C12" s="10" t="s">
        <v>24</v>
      </c>
      <c r="D12" s="11" t="s">
        <v>48</v>
      </c>
      <c r="E12" s="17">
        <v>2</v>
      </c>
      <c r="F12" s="18">
        <v>2</v>
      </c>
      <c r="G12" s="16"/>
    </row>
    <row r="13" customFormat="1" ht="22" customHeight="1" spans="1:8">
      <c r="A13" s="8">
        <v>11</v>
      </c>
      <c r="B13" s="9">
        <v>46093</v>
      </c>
      <c r="C13" s="10" t="s">
        <v>26</v>
      </c>
      <c r="D13" s="11" t="s">
        <v>48</v>
      </c>
      <c r="E13" s="12">
        <v>4</v>
      </c>
      <c r="F13" s="16"/>
      <c r="G13" s="16"/>
    </row>
    <row r="14" customFormat="1" ht="22" customHeight="1" spans="1:8">
      <c r="A14" s="8"/>
      <c r="B14" s="22"/>
      <c r="C14" s="23"/>
      <c r="D14" s="24"/>
      <c r="E14" s="25"/>
      <c r="F14" s="18"/>
      <c r="G14" s="18"/>
    </row>
    <row r="15" ht="13.5" spans="1:8">
      <c r="E15" s="26">
        <f>SUM(E3:E14)</f>
        <v>36</v>
      </c>
      <c r="F15" s="26">
        <f>SUM(F3:F14)</f>
        <v>8</v>
      </c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workbookViewId="0">
      <selection activeCell="A1" sqref="$A1:$XFD1048576"/>
    </sheetView>
  </sheetViews>
  <sheetFormatPr defaultColWidth="9.14285714285714" defaultRowHeight="12" outlineLevelCol="7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8">
      <c r="A1" s="2" t="s">
        <v>43</v>
      </c>
      <c r="B1" s="2"/>
      <c r="C1" s="2"/>
      <c r="D1" s="2"/>
      <c r="E1" s="2"/>
      <c r="F1" s="3"/>
      <c r="G1" s="4"/>
    </row>
    <row r="2" s="1" customFormat="1" ht="32" customHeight="1" spans="1:8">
      <c r="A2" s="5" t="s">
        <v>2</v>
      </c>
      <c r="B2" s="5" t="s">
        <v>32</v>
      </c>
      <c r="C2" s="5" t="s">
        <v>3</v>
      </c>
      <c r="D2" s="6" t="s">
        <v>44</v>
      </c>
      <c r="E2" s="7" t="s">
        <v>45</v>
      </c>
      <c r="F2" s="7" t="s">
        <v>46</v>
      </c>
      <c r="G2" s="7" t="s">
        <v>7</v>
      </c>
    </row>
    <row r="3" ht="22" customHeight="1" spans="1:8">
      <c r="A3" s="8">
        <v>1</v>
      </c>
      <c r="B3" s="9">
        <v>46097</v>
      </c>
      <c r="C3" s="10" t="s">
        <v>13</v>
      </c>
      <c r="D3" s="11" t="s">
        <v>47</v>
      </c>
      <c r="E3" s="10">
        <v>2</v>
      </c>
      <c r="F3" s="10">
        <v>1</v>
      </c>
      <c r="G3" s="12"/>
    </row>
    <row r="4" ht="22" customHeight="1" spans="1:8">
      <c r="A4" s="8">
        <v>2</v>
      </c>
      <c r="B4" s="9">
        <v>46097</v>
      </c>
      <c r="C4" s="10" t="s">
        <v>16</v>
      </c>
      <c r="D4" s="11" t="s">
        <v>47</v>
      </c>
      <c r="E4" s="10">
        <v>3</v>
      </c>
      <c r="F4" s="13"/>
      <c r="G4" s="14"/>
    </row>
    <row r="5" ht="22" customHeight="1" spans="1:8">
      <c r="A5" s="8">
        <v>3</v>
      </c>
      <c r="B5" s="9">
        <v>46097</v>
      </c>
      <c r="C5" s="10" t="s">
        <v>17</v>
      </c>
      <c r="D5" s="11" t="s">
        <v>47</v>
      </c>
      <c r="E5" s="10">
        <v>3</v>
      </c>
      <c r="F5" s="13"/>
      <c r="G5" s="14"/>
    </row>
    <row r="6" ht="22" customHeight="1" spans="1:8">
      <c r="A6" s="8">
        <v>4</v>
      </c>
      <c r="B6" s="9">
        <v>46097</v>
      </c>
      <c r="C6" s="10" t="s">
        <v>18</v>
      </c>
      <c r="D6" s="11" t="s">
        <v>47</v>
      </c>
      <c r="E6" s="10">
        <v>3</v>
      </c>
      <c r="F6" s="13"/>
      <c r="G6" s="14"/>
    </row>
    <row r="7" ht="22" customHeight="1" spans="1:8">
      <c r="A7" s="8">
        <v>5</v>
      </c>
      <c r="B7" s="9">
        <v>46097</v>
      </c>
      <c r="C7" s="10" t="s">
        <v>19</v>
      </c>
      <c r="D7" s="11" t="s">
        <v>47</v>
      </c>
      <c r="E7" s="10">
        <v>2</v>
      </c>
      <c r="F7" s="10">
        <v>1</v>
      </c>
      <c r="G7" s="14"/>
    </row>
    <row r="8" ht="22" customHeight="1" spans="1:8">
      <c r="A8" s="8">
        <v>6</v>
      </c>
      <c r="B8" s="9">
        <v>46097</v>
      </c>
      <c r="C8" s="10" t="s">
        <v>20</v>
      </c>
      <c r="D8" s="11" t="s">
        <v>47</v>
      </c>
      <c r="E8" s="10">
        <v>3</v>
      </c>
      <c r="F8" s="13"/>
      <c r="G8" s="14"/>
    </row>
    <row r="9" ht="22" customHeight="1" spans="1:8">
      <c r="A9" s="8">
        <v>7</v>
      </c>
      <c r="B9" s="9">
        <v>46097</v>
      </c>
      <c r="C9" s="10" t="s">
        <v>21</v>
      </c>
      <c r="D9" s="11" t="s">
        <v>47</v>
      </c>
      <c r="E9" s="10">
        <v>2</v>
      </c>
      <c r="F9" s="13">
        <v>1</v>
      </c>
      <c r="G9" s="16"/>
      <c r="H9" t="s">
        <v>49</v>
      </c>
    </row>
    <row r="10" ht="22" customHeight="1" spans="1:8">
      <c r="A10" s="8">
        <v>8</v>
      </c>
      <c r="B10" s="9">
        <v>46097</v>
      </c>
      <c r="C10" s="10" t="s">
        <v>22</v>
      </c>
      <c r="D10" s="11" t="s">
        <v>47</v>
      </c>
      <c r="E10" s="10">
        <v>2</v>
      </c>
      <c r="F10" s="10">
        <v>1</v>
      </c>
      <c r="G10" s="16"/>
    </row>
    <row r="11" customFormat="1" ht="22" customHeight="1" spans="1:8">
      <c r="A11" s="8">
        <v>9</v>
      </c>
      <c r="B11" s="9">
        <v>46097</v>
      </c>
      <c r="C11" s="10" t="s">
        <v>23</v>
      </c>
      <c r="D11" s="11" t="s">
        <v>47</v>
      </c>
      <c r="E11" s="10">
        <v>3</v>
      </c>
      <c r="F11" s="13"/>
      <c r="G11" s="16"/>
    </row>
    <row r="12" customFormat="1" ht="22" customHeight="1" spans="1:8">
      <c r="A12" s="8">
        <v>10</v>
      </c>
      <c r="B12" s="9">
        <v>46097</v>
      </c>
      <c r="C12" s="19" t="s">
        <v>24</v>
      </c>
      <c r="D12" s="11" t="s">
        <v>47</v>
      </c>
      <c r="E12" s="10">
        <v>3</v>
      </c>
      <c r="F12" s="16"/>
      <c r="G12" s="16"/>
    </row>
    <row r="13" customFormat="1" ht="22" customHeight="1" spans="1:8">
      <c r="A13" s="8">
        <v>11</v>
      </c>
      <c r="B13" s="9">
        <v>46097</v>
      </c>
      <c r="C13" s="19" t="s">
        <v>26</v>
      </c>
      <c r="D13" s="11" t="s">
        <v>47</v>
      </c>
      <c r="E13" s="12">
        <v>3</v>
      </c>
      <c r="F13" s="16"/>
      <c r="G13" s="16"/>
    </row>
    <row r="14" customFormat="1" ht="22" customHeight="1" spans="1:8">
      <c r="A14" s="8">
        <v>12</v>
      </c>
      <c r="B14" s="9">
        <v>46097</v>
      </c>
      <c r="C14" s="23"/>
      <c r="D14" s="11"/>
      <c r="E14" s="12">
        <v>7</v>
      </c>
      <c r="F14" s="16"/>
      <c r="G14" s="16" t="s">
        <v>50</v>
      </c>
    </row>
    <row r="15" customFormat="1" ht="22" customHeight="1" spans="1:8">
      <c r="A15" s="8">
        <v>13</v>
      </c>
      <c r="B15" s="9"/>
      <c r="C15" s="23"/>
      <c r="D15" s="11"/>
      <c r="E15" s="12"/>
      <c r="F15" s="16"/>
      <c r="G15" s="16"/>
    </row>
    <row r="16" customFormat="1" ht="22" customHeight="1" spans="1:8">
      <c r="A16" s="8">
        <v>14</v>
      </c>
      <c r="B16" s="9"/>
      <c r="C16" s="23"/>
      <c r="D16" s="11"/>
      <c r="E16" s="12"/>
      <c r="F16" s="16"/>
      <c r="G16" s="16"/>
    </row>
    <row r="17" customFormat="1" ht="22" customHeight="1" spans="1:7">
      <c r="A17" s="8">
        <v>15</v>
      </c>
      <c r="B17" s="9"/>
      <c r="C17" s="23"/>
      <c r="D17" s="11"/>
      <c r="E17" s="12"/>
      <c r="F17" s="16"/>
      <c r="G17" s="16"/>
    </row>
    <row r="18" customFormat="1" ht="22" customHeight="1" spans="1:7">
      <c r="A18" s="8"/>
      <c r="B18" s="9"/>
      <c r="C18" s="23"/>
      <c r="D18" s="11"/>
      <c r="E18" s="12"/>
      <c r="F18" s="16"/>
      <c r="G18" s="16"/>
    </row>
    <row r="19" customFormat="1" ht="22" customHeight="1" spans="1:7">
      <c r="A19" s="8"/>
      <c r="B19" s="22"/>
      <c r="C19" s="23"/>
      <c r="D19" s="24"/>
      <c r="E19" s="25"/>
      <c r="F19" s="18"/>
      <c r="G19" s="18"/>
    </row>
    <row r="20" ht="13.5" spans="1:7">
      <c r="E20" s="26">
        <f>SUM(E3:E19)</f>
        <v>36</v>
      </c>
      <c r="F20" s="26">
        <f>SUM(F3:F19)</f>
        <v>4</v>
      </c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A1" sqref="$A1:$XFD1048576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7">
      <c r="A1" s="2" t="s">
        <v>43</v>
      </c>
      <c r="B1" s="2"/>
      <c r="C1" s="2"/>
      <c r="D1" s="2"/>
      <c r="E1" s="2"/>
      <c r="F1" s="3"/>
      <c r="G1" s="4"/>
    </row>
    <row r="2" s="1" customFormat="1" ht="32" customHeight="1" spans="1:7">
      <c r="A2" s="5" t="s">
        <v>2</v>
      </c>
      <c r="B2" s="5" t="s">
        <v>32</v>
      </c>
      <c r="C2" s="5" t="s">
        <v>3</v>
      </c>
      <c r="D2" s="6" t="s">
        <v>44</v>
      </c>
      <c r="E2" s="7" t="s">
        <v>45</v>
      </c>
      <c r="F2" s="7" t="s">
        <v>46</v>
      </c>
      <c r="G2" s="7" t="s">
        <v>7</v>
      </c>
    </row>
    <row r="3" ht="22" customHeight="1" spans="1:7">
      <c r="A3" s="8">
        <v>1</v>
      </c>
      <c r="B3" s="9">
        <v>46100</v>
      </c>
      <c r="C3" s="10" t="s">
        <v>13</v>
      </c>
      <c r="D3" s="11" t="s">
        <v>48</v>
      </c>
      <c r="E3" s="10">
        <v>2</v>
      </c>
      <c r="F3" s="10">
        <v>2</v>
      </c>
      <c r="G3" s="12"/>
    </row>
    <row r="4" ht="22" customHeight="1" spans="1:7">
      <c r="A4" s="8">
        <v>2</v>
      </c>
      <c r="B4" s="9">
        <v>46100</v>
      </c>
      <c r="C4" s="10" t="s">
        <v>16</v>
      </c>
      <c r="D4" s="11" t="s">
        <v>48</v>
      </c>
      <c r="E4" s="10">
        <v>4</v>
      </c>
      <c r="F4" s="13"/>
      <c r="G4" s="14"/>
    </row>
    <row r="5" ht="22" customHeight="1" spans="1:7">
      <c r="A5" s="8">
        <v>3</v>
      </c>
      <c r="B5" s="9">
        <v>46100</v>
      </c>
      <c r="C5" s="10" t="s">
        <v>17</v>
      </c>
      <c r="D5" s="11" t="s">
        <v>48</v>
      </c>
      <c r="E5" s="10">
        <v>4</v>
      </c>
      <c r="F5" s="13"/>
      <c r="G5" s="14"/>
    </row>
    <row r="6" ht="22" customHeight="1" spans="1:7">
      <c r="A6" s="8">
        <v>4</v>
      </c>
      <c r="B6" s="9">
        <v>46100</v>
      </c>
      <c r="C6" s="10" t="s">
        <v>18</v>
      </c>
      <c r="D6" s="11" t="s">
        <v>48</v>
      </c>
      <c r="E6" s="10">
        <v>4</v>
      </c>
      <c r="F6" s="13"/>
      <c r="G6" s="14"/>
    </row>
    <row r="7" ht="22" customHeight="1" spans="1:7">
      <c r="A7" s="8">
        <v>5</v>
      </c>
      <c r="B7" s="9">
        <v>46100</v>
      </c>
      <c r="C7" s="10" t="s">
        <v>19</v>
      </c>
      <c r="D7" s="11" t="s">
        <v>48</v>
      </c>
      <c r="E7" s="10">
        <v>2</v>
      </c>
      <c r="F7" s="10">
        <v>2</v>
      </c>
      <c r="G7" s="14"/>
    </row>
    <row r="8" ht="22" customHeight="1" spans="1:7">
      <c r="A8" s="8">
        <v>6</v>
      </c>
      <c r="B8" s="9">
        <v>46100</v>
      </c>
      <c r="C8" s="10" t="s">
        <v>20</v>
      </c>
      <c r="D8" s="11" t="s">
        <v>48</v>
      </c>
      <c r="E8" s="10">
        <v>4</v>
      </c>
      <c r="F8" s="13"/>
      <c r="G8" s="14"/>
    </row>
    <row r="9" ht="22" customHeight="1" spans="1:7">
      <c r="A9" s="8">
        <v>7</v>
      </c>
      <c r="B9" s="9">
        <v>46100</v>
      </c>
      <c r="C9" s="10" t="s">
        <v>21</v>
      </c>
      <c r="D9" s="11" t="s">
        <v>48</v>
      </c>
      <c r="E9" s="10">
        <v>4</v>
      </c>
      <c r="F9" s="13"/>
      <c r="G9" s="15" t="s">
        <v>49</v>
      </c>
    </row>
    <row r="10" ht="22" customHeight="1" spans="1:7">
      <c r="A10" s="8">
        <v>8</v>
      </c>
      <c r="B10" s="9">
        <v>46100</v>
      </c>
      <c r="C10" s="10" t="s">
        <v>22</v>
      </c>
      <c r="D10" s="11" t="s">
        <v>48</v>
      </c>
      <c r="E10" s="10">
        <v>2</v>
      </c>
      <c r="F10" s="10">
        <v>2</v>
      </c>
      <c r="G10" s="16"/>
    </row>
    <row r="11" customFormat="1" ht="22" customHeight="1" spans="1:7">
      <c r="A11" s="8">
        <v>9</v>
      </c>
      <c r="B11" s="9">
        <v>46100</v>
      </c>
      <c r="C11" s="10" t="s">
        <v>23</v>
      </c>
      <c r="D11" s="11" t="s">
        <v>48</v>
      </c>
      <c r="E11" s="10">
        <v>4</v>
      </c>
      <c r="F11" s="13"/>
      <c r="G11" s="16"/>
    </row>
    <row r="12" customFormat="1" ht="22" customHeight="1" spans="1:7">
      <c r="A12" s="8">
        <v>10</v>
      </c>
      <c r="B12" s="9">
        <v>46100</v>
      </c>
      <c r="C12" s="10" t="s">
        <v>24</v>
      </c>
      <c r="D12" s="11" t="s">
        <v>48</v>
      </c>
      <c r="E12" s="17">
        <v>2</v>
      </c>
      <c r="F12" s="18">
        <v>2</v>
      </c>
      <c r="G12" s="16"/>
    </row>
    <row r="13" customFormat="1" ht="22" customHeight="1" spans="1:7">
      <c r="A13" s="8">
        <v>11</v>
      </c>
      <c r="B13" s="9">
        <v>46100</v>
      </c>
      <c r="C13" s="10" t="s">
        <v>26</v>
      </c>
      <c r="D13" s="11" t="s">
        <v>48</v>
      </c>
      <c r="E13" s="12">
        <v>4</v>
      </c>
      <c r="F13" s="16"/>
      <c r="G13" s="16"/>
    </row>
    <row r="14" customFormat="1" ht="22" customHeight="1" spans="1:7">
      <c r="A14" s="8"/>
      <c r="B14" s="22"/>
      <c r="C14" s="23"/>
      <c r="D14" s="24"/>
      <c r="E14" s="25"/>
      <c r="F14" s="18"/>
      <c r="G14" s="18"/>
    </row>
    <row r="15" customFormat="1" ht="13.5" spans="1:7">
      <c r="E15" s="26">
        <f>SUM(E3:E14)</f>
        <v>36</v>
      </c>
      <c r="F15" s="26">
        <f>SUM(F3:F14)</f>
        <v>8</v>
      </c>
    </row>
  </sheetData>
  <mergeCells count="1">
    <mergeCell ref="A1:G1"/>
  </mergeCells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workbookViewId="0">
      <selection activeCell="C13" sqref="C13"/>
    </sheetView>
  </sheetViews>
  <sheetFormatPr defaultColWidth="9.14285714285714" defaultRowHeight="12" outlineLevelCol="7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8">
      <c r="A1" s="2" t="s">
        <v>43</v>
      </c>
      <c r="B1" s="2"/>
      <c r="C1" s="2"/>
      <c r="D1" s="2"/>
      <c r="E1" s="2"/>
      <c r="F1" s="3"/>
      <c r="G1" s="4"/>
    </row>
    <row r="2" s="1" customFormat="1" ht="32" customHeight="1" spans="1:8">
      <c r="A2" s="5" t="s">
        <v>2</v>
      </c>
      <c r="B2" s="5" t="s">
        <v>32</v>
      </c>
      <c r="C2" s="5" t="s">
        <v>3</v>
      </c>
      <c r="D2" s="6" t="s">
        <v>44</v>
      </c>
      <c r="E2" s="7" t="s">
        <v>45</v>
      </c>
      <c r="F2" s="7" t="s">
        <v>46</v>
      </c>
      <c r="G2" s="7" t="s">
        <v>7</v>
      </c>
    </row>
    <row r="3" ht="22" customHeight="1" spans="1:8">
      <c r="A3" s="8">
        <v>1</v>
      </c>
      <c r="B3" s="9">
        <v>46104</v>
      </c>
      <c r="C3" s="10" t="s">
        <v>13</v>
      </c>
      <c r="D3" s="11" t="s">
        <v>47</v>
      </c>
      <c r="E3" s="10">
        <v>2</v>
      </c>
      <c r="F3" s="10">
        <v>1</v>
      </c>
      <c r="G3" s="12"/>
    </row>
    <row r="4" ht="22" customHeight="1" spans="1:8">
      <c r="A4" s="8">
        <v>2</v>
      </c>
      <c r="B4" s="9">
        <v>46104</v>
      </c>
      <c r="C4" s="10" t="s">
        <v>16</v>
      </c>
      <c r="D4" s="11" t="s">
        <v>47</v>
      </c>
      <c r="E4" s="10">
        <v>3</v>
      </c>
      <c r="F4" s="13"/>
      <c r="G4" s="14"/>
    </row>
    <row r="5" ht="22" customHeight="1" spans="1:8">
      <c r="A5" s="8">
        <v>3</v>
      </c>
      <c r="B5" s="9">
        <v>46104</v>
      </c>
      <c r="C5" s="10" t="s">
        <v>17</v>
      </c>
      <c r="D5" s="11" t="s">
        <v>47</v>
      </c>
      <c r="E5" s="10">
        <v>3</v>
      </c>
      <c r="F5" s="13"/>
      <c r="G5" s="14"/>
    </row>
    <row r="6" ht="22" customHeight="1" spans="1:8">
      <c r="A6" s="8">
        <v>4</v>
      </c>
      <c r="B6" s="9">
        <v>46104</v>
      </c>
      <c r="C6" s="10" t="s">
        <v>18</v>
      </c>
      <c r="D6" s="11" t="s">
        <v>47</v>
      </c>
      <c r="E6" s="10">
        <v>3</v>
      </c>
      <c r="F6" s="13"/>
      <c r="G6" s="14"/>
    </row>
    <row r="7" ht="22" customHeight="1" spans="1:8">
      <c r="A7" s="8">
        <v>5</v>
      </c>
      <c r="B7" s="9">
        <v>46104</v>
      </c>
      <c r="C7" s="10" t="s">
        <v>19</v>
      </c>
      <c r="D7" s="11" t="s">
        <v>47</v>
      </c>
      <c r="E7" s="10">
        <v>2</v>
      </c>
      <c r="F7" s="10">
        <v>1</v>
      </c>
      <c r="G7" s="14"/>
    </row>
    <row r="8" ht="22" customHeight="1" spans="1:8">
      <c r="A8" s="8">
        <v>6</v>
      </c>
      <c r="B8" s="9">
        <v>46104</v>
      </c>
      <c r="C8" s="10" t="s">
        <v>20</v>
      </c>
      <c r="D8" s="11" t="s">
        <v>47</v>
      </c>
      <c r="E8" s="10">
        <v>3</v>
      </c>
      <c r="F8" s="13"/>
      <c r="G8" s="14"/>
    </row>
    <row r="9" ht="22" customHeight="1" spans="1:8">
      <c r="A9" s="8">
        <v>7</v>
      </c>
      <c r="B9" s="9">
        <v>46104</v>
      </c>
      <c r="C9" s="10" t="s">
        <v>21</v>
      </c>
      <c r="D9" s="11" t="s">
        <v>47</v>
      </c>
      <c r="E9" s="10">
        <v>2</v>
      </c>
      <c r="F9" s="13">
        <v>1</v>
      </c>
      <c r="G9" s="16"/>
      <c r="H9" t="s">
        <v>49</v>
      </c>
    </row>
    <row r="10" ht="22" customHeight="1" spans="1:8">
      <c r="A10" s="8">
        <v>8</v>
      </c>
      <c r="B10" s="9">
        <v>46104</v>
      </c>
      <c r="C10" s="10" t="s">
        <v>22</v>
      </c>
      <c r="D10" s="11" t="s">
        <v>47</v>
      </c>
      <c r="E10" s="10">
        <v>2</v>
      </c>
      <c r="F10" s="10">
        <v>1</v>
      </c>
      <c r="G10" s="16"/>
    </row>
    <row r="11" customFormat="1" ht="22" customHeight="1" spans="1:8">
      <c r="A11" s="8">
        <v>9</v>
      </c>
      <c r="B11" s="9">
        <v>46104</v>
      </c>
      <c r="C11" s="10" t="s">
        <v>23</v>
      </c>
      <c r="D11" s="11" t="s">
        <v>47</v>
      </c>
      <c r="E11" s="10">
        <v>3</v>
      </c>
      <c r="F11" s="13"/>
      <c r="G11" s="16"/>
    </row>
    <row r="12" customFormat="1" ht="22" customHeight="1" spans="1:8">
      <c r="A12" s="8">
        <v>10</v>
      </c>
      <c r="B12" s="9">
        <v>46104</v>
      </c>
      <c r="C12" s="19" t="s">
        <v>24</v>
      </c>
      <c r="D12" s="11" t="s">
        <v>47</v>
      </c>
      <c r="E12" s="10">
        <v>2</v>
      </c>
      <c r="F12" s="16">
        <v>1</v>
      </c>
      <c r="G12" s="16"/>
    </row>
    <row r="13" customFormat="1" ht="22" customHeight="1" spans="1:8">
      <c r="A13" s="8">
        <v>11</v>
      </c>
      <c r="B13" s="9">
        <v>46104</v>
      </c>
      <c r="C13" s="19" t="s">
        <v>26</v>
      </c>
      <c r="D13" s="11" t="s">
        <v>47</v>
      </c>
      <c r="E13" s="12">
        <v>3</v>
      </c>
      <c r="F13" s="16"/>
      <c r="G13" s="16"/>
    </row>
    <row r="14" customFormat="1" ht="22" customHeight="1" spans="1:8">
      <c r="A14" s="8"/>
      <c r="B14" s="9"/>
      <c r="C14" s="23"/>
      <c r="D14" s="11"/>
      <c r="E14" s="12"/>
      <c r="F14" s="16"/>
      <c r="G14" s="16"/>
    </row>
    <row r="15" customFormat="1" ht="22" customHeight="1" spans="1:8">
      <c r="A15" s="8"/>
      <c r="B15" s="9"/>
      <c r="C15" s="23"/>
      <c r="D15" s="11"/>
      <c r="E15" s="12"/>
      <c r="F15" s="16"/>
      <c r="G15" s="16"/>
    </row>
    <row r="16" customFormat="1" ht="22" customHeight="1" spans="1:8">
      <c r="A16" s="8"/>
      <c r="B16" s="9"/>
      <c r="C16" s="23"/>
      <c r="D16" s="11"/>
      <c r="E16" s="12"/>
      <c r="F16" s="16"/>
      <c r="G16" s="16"/>
    </row>
    <row r="17" customFormat="1" ht="22" customHeight="1" spans="1:7">
      <c r="A17" s="8"/>
      <c r="B17" s="9"/>
      <c r="C17" s="23"/>
      <c r="D17" s="11"/>
      <c r="E17" s="12"/>
      <c r="F17" s="16"/>
      <c r="G17" s="16"/>
    </row>
    <row r="18" customFormat="1" ht="22" customHeight="1" spans="1:7">
      <c r="A18" s="8"/>
      <c r="B18" s="9"/>
      <c r="C18" s="23"/>
      <c r="D18" s="11"/>
      <c r="E18" s="12"/>
      <c r="F18" s="16"/>
      <c r="G18" s="16"/>
    </row>
    <row r="19" customFormat="1" ht="22" customHeight="1" spans="1:7">
      <c r="A19" s="8"/>
      <c r="B19" s="22"/>
      <c r="C19" s="23"/>
      <c r="D19" s="24"/>
      <c r="E19" s="25"/>
      <c r="F19" s="18"/>
      <c r="G19" s="18"/>
    </row>
    <row r="20" customFormat="1" ht="13.5" spans="1:7">
      <c r="E20" s="26">
        <f>SUM(E3:E19)</f>
        <v>28</v>
      </c>
      <c r="F20" s="26">
        <f>SUM(F3:F19)</f>
        <v>5</v>
      </c>
    </row>
  </sheetData>
  <mergeCells count="1">
    <mergeCell ref="A1:G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F29" sqref="F29"/>
    </sheetView>
  </sheetViews>
  <sheetFormatPr defaultColWidth="9.14285714285714" defaultRowHeight="12" outlineLevelCol="7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8">
      <c r="A1" s="2" t="s">
        <v>43</v>
      </c>
      <c r="B1" s="2"/>
      <c r="C1" s="2"/>
      <c r="D1" s="2"/>
      <c r="E1" s="2"/>
      <c r="F1" s="3"/>
      <c r="G1" s="4"/>
    </row>
    <row r="2" s="1" customFormat="1" ht="32" customHeight="1" spans="1:8">
      <c r="A2" s="5" t="s">
        <v>2</v>
      </c>
      <c r="B2" s="5" t="s">
        <v>32</v>
      </c>
      <c r="C2" s="5" t="s">
        <v>3</v>
      </c>
      <c r="D2" s="6" t="s">
        <v>44</v>
      </c>
      <c r="E2" s="7" t="s">
        <v>45</v>
      </c>
      <c r="F2" s="7" t="s">
        <v>46</v>
      </c>
      <c r="G2" s="7" t="s">
        <v>7</v>
      </c>
    </row>
    <row r="3" ht="22" customHeight="1" spans="1:8">
      <c r="A3" s="8">
        <v>1</v>
      </c>
      <c r="B3" s="9">
        <v>46107</v>
      </c>
      <c r="C3" s="10" t="s">
        <v>13</v>
      </c>
      <c r="D3" s="11" t="s">
        <v>48</v>
      </c>
      <c r="E3" s="10">
        <v>2</v>
      </c>
      <c r="F3" s="10">
        <v>2</v>
      </c>
      <c r="G3" s="12"/>
      <c r="H3">
        <f t="shared" ref="H3:H13" si="0">SUM(E3:F3)</f>
        <v>4</v>
      </c>
    </row>
    <row r="4" ht="22" customHeight="1" spans="1:8">
      <c r="A4" s="8">
        <v>2</v>
      </c>
      <c r="B4" s="9">
        <v>46107</v>
      </c>
      <c r="C4" s="10" t="s">
        <v>16</v>
      </c>
      <c r="D4" s="11" t="s">
        <v>48</v>
      </c>
      <c r="E4" s="10">
        <v>4</v>
      </c>
      <c r="F4" s="13"/>
      <c r="G4" s="14"/>
      <c r="H4">
        <f t="shared" si="0"/>
        <v>4</v>
      </c>
    </row>
    <row r="5" ht="22" customHeight="1" spans="1:8">
      <c r="A5" s="8">
        <v>3</v>
      </c>
      <c r="B5" s="9">
        <v>46107</v>
      </c>
      <c r="C5" s="10" t="s">
        <v>17</v>
      </c>
      <c r="D5" s="11" t="s">
        <v>48</v>
      </c>
      <c r="E5" s="10">
        <v>4</v>
      </c>
      <c r="F5" s="13"/>
      <c r="G5" s="14"/>
      <c r="H5">
        <f t="shared" si="0"/>
        <v>4</v>
      </c>
    </row>
    <row r="6" ht="22" customHeight="1" spans="1:8">
      <c r="A6" s="8">
        <v>4</v>
      </c>
      <c r="B6" s="9">
        <v>46107</v>
      </c>
      <c r="C6" s="10" t="s">
        <v>18</v>
      </c>
      <c r="D6" s="11" t="s">
        <v>48</v>
      </c>
      <c r="E6" s="10">
        <v>4</v>
      </c>
      <c r="F6" s="13"/>
      <c r="G6" s="14"/>
      <c r="H6">
        <f t="shared" si="0"/>
        <v>4</v>
      </c>
    </row>
    <row r="7" ht="22" customHeight="1" spans="1:8">
      <c r="A7" s="8">
        <v>5</v>
      </c>
      <c r="B7" s="9">
        <v>46107</v>
      </c>
      <c r="C7" s="10" t="s">
        <v>19</v>
      </c>
      <c r="D7" s="11" t="s">
        <v>48</v>
      </c>
      <c r="E7" s="10">
        <v>2</v>
      </c>
      <c r="F7" s="10">
        <v>2</v>
      </c>
      <c r="G7" s="14"/>
      <c r="H7">
        <f t="shared" si="0"/>
        <v>4</v>
      </c>
    </row>
    <row r="8" ht="22" customHeight="1" spans="1:8">
      <c r="A8" s="8">
        <v>6</v>
      </c>
      <c r="B8" s="9">
        <v>46107</v>
      </c>
      <c r="C8" s="10" t="s">
        <v>20</v>
      </c>
      <c r="D8" s="11" t="s">
        <v>48</v>
      </c>
      <c r="E8" s="10">
        <v>4</v>
      </c>
      <c r="F8" s="13"/>
      <c r="G8" s="14"/>
      <c r="H8">
        <f t="shared" si="0"/>
        <v>4</v>
      </c>
    </row>
    <row r="9" ht="22" customHeight="1" spans="1:8">
      <c r="A9" s="8">
        <v>7</v>
      </c>
      <c r="B9" s="9">
        <v>46107</v>
      </c>
      <c r="C9" s="10" t="s">
        <v>21</v>
      </c>
      <c r="D9" s="11" t="s">
        <v>48</v>
      </c>
      <c r="E9" s="10">
        <v>2</v>
      </c>
      <c r="F9" s="13">
        <v>2</v>
      </c>
      <c r="G9" s="15" t="s">
        <v>49</v>
      </c>
      <c r="H9">
        <f t="shared" si="0"/>
        <v>4</v>
      </c>
    </row>
    <row r="10" ht="22" customHeight="1" spans="1:8">
      <c r="A10" s="8">
        <v>8</v>
      </c>
      <c r="B10" s="9">
        <v>46107</v>
      </c>
      <c r="C10" s="10" t="s">
        <v>22</v>
      </c>
      <c r="D10" s="11" t="s">
        <v>48</v>
      </c>
      <c r="E10" s="10">
        <v>2</v>
      </c>
      <c r="F10" s="10">
        <v>2</v>
      </c>
      <c r="G10" s="16"/>
      <c r="H10">
        <f t="shared" si="0"/>
        <v>4</v>
      </c>
    </row>
    <row r="11" customFormat="1" ht="22" customHeight="1" spans="1:8">
      <c r="A11" s="8">
        <v>9</v>
      </c>
      <c r="B11" s="9">
        <v>46107</v>
      </c>
      <c r="C11" s="10" t="s">
        <v>23</v>
      </c>
      <c r="D11" s="11" t="s">
        <v>48</v>
      </c>
      <c r="E11" s="10">
        <v>4</v>
      </c>
      <c r="F11" s="13"/>
      <c r="G11" s="16"/>
      <c r="H11">
        <f t="shared" si="0"/>
        <v>4</v>
      </c>
    </row>
    <row r="12" customFormat="1" ht="22" customHeight="1" spans="1:8">
      <c r="A12" s="8">
        <v>10</v>
      </c>
      <c r="B12" s="9">
        <v>46107</v>
      </c>
      <c r="C12" s="10" t="s">
        <v>24</v>
      </c>
      <c r="D12" s="11" t="s">
        <v>48</v>
      </c>
      <c r="E12" s="17">
        <v>2</v>
      </c>
      <c r="F12" s="18">
        <v>2</v>
      </c>
      <c r="G12" s="16"/>
      <c r="H12">
        <f t="shared" si="0"/>
        <v>4</v>
      </c>
    </row>
    <row r="13" customFormat="1" ht="22" customHeight="1" spans="1:8">
      <c r="A13" s="8">
        <v>11</v>
      </c>
      <c r="B13" s="9">
        <v>46107</v>
      </c>
      <c r="C13" s="10" t="s">
        <v>26</v>
      </c>
      <c r="D13" s="11" t="s">
        <v>48</v>
      </c>
      <c r="E13" s="12">
        <v>4</v>
      </c>
      <c r="F13" s="16"/>
      <c r="G13" s="16"/>
      <c r="H13">
        <f t="shared" si="0"/>
        <v>4</v>
      </c>
    </row>
    <row r="14" customFormat="1" ht="22" customHeight="1" spans="1:8">
      <c r="A14" s="8"/>
      <c r="B14" s="22"/>
      <c r="C14" s="23"/>
      <c r="D14" s="24"/>
      <c r="E14" s="25"/>
      <c r="F14" s="18"/>
      <c r="G14" s="18"/>
    </row>
    <row r="15" customFormat="1" ht="13.5" spans="1:8">
      <c r="E15" s="26">
        <f>SUM(E3:E14)</f>
        <v>34</v>
      </c>
      <c r="F15" s="26">
        <f>SUM(F3:F14)</f>
        <v>10</v>
      </c>
    </row>
  </sheetData>
  <mergeCells count="1">
    <mergeCell ref="A1:G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workbookViewId="0">
      <selection activeCell="L12" sqref="L12"/>
    </sheetView>
  </sheetViews>
  <sheetFormatPr defaultColWidth="9.14285714285714" defaultRowHeight="12"/>
  <cols>
    <col min="1" max="1" width="7" customWidth="1"/>
    <col min="2" max="2" width="12" customWidth="1"/>
    <col min="3" max="3" width="17.1428571428571" customWidth="1"/>
    <col min="4" max="6" width="12.1428571428571" customWidth="1"/>
    <col min="7" max="7" width="25.2857142857143" customWidth="1"/>
  </cols>
  <sheetData>
    <row r="1" ht="38" customHeight="1" spans="1:11">
      <c r="A1" s="2" t="s">
        <v>43</v>
      </c>
      <c r="B1" s="2"/>
      <c r="C1" s="2"/>
      <c r="D1" s="2"/>
      <c r="E1" s="2"/>
      <c r="F1" s="3"/>
      <c r="G1" s="4"/>
    </row>
    <row r="2" s="1" customFormat="1" ht="32" customHeight="1" spans="1:11">
      <c r="A2" s="5" t="s">
        <v>2</v>
      </c>
      <c r="B2" s="5" t="s">
        <v>32</v>
      </c>
      <c r="C2" s="5" t="s">
        <v>3</v>
      </c>
      <c r="D2" s="6" t="s">
        <v>44</v>
      </c>
      <c r="E2" s="7" t="s">
        <v>45</v>
      </c>
      <c r="F2" s="7" t="s">
        <v>46</v>
      </c>
      <c r="G2" s="7" t="s">
        <v>7</v>
      </c>
    </row>
    <row r="3" ht="22" customHeight="1" spans="1:11">
      <c r="A3" s="8">
        <v>1</v>
      </c>
      <c r="B3" s="9">
        <v>46111</v>
      </c>
      <c r="C3" s="10" t="s">
        <v>13</v>
      </c>
      <c r="D3" s="11" t="s">
        <v>47</v>
      </c>
      <c r="E3" s="10">
        <v>2</v>
      </c>
      <c r="F3" s="10">
        <v>1</v>
      </c>
      <c r="G3" s="12"/>
    </row>
    <row r="4" ht="22" customHeight="1" spans="1:11">
      <c r="A4" s="8">
        <v>2</v>
      </c>
      <c r="B4" s="9">
        <v>46111</v>
      </c>
      <c r="C4" s="10" t="s">
        <v>16</v>
      </c>
      <c r="D4" s="11" t="s">
        <v>47</v>
      </c>
      <c r="E4" s="10">
        <v>3</v>
      </c>
      <c r="F4" s="13"/>
      <c r="G4" s="14"/>
    </row>
    <row r="5" ht="22" customHeight="1" spans="1:11">
      <c r="A5" s="8">
        <v>3</v>
      </c>
      <c r="B5" s="9">
        <v>46111</v>
      </c>
      <c r="C5" s="10" t="s">
        <v>17</v>
      </c>
      <c r="D5" s="11" t="s">
        <v>47</v>
      </c>
      <c r="E5" s="10">
        <v>3</v>
      </c>
      <c r="F5" s="13"/>
      <c r="G5" s="14"/>
    </row>
    <row r="6" ht="22" customHeight="1" spans="1:11">
      <c r="A6" s="8">
        <v>4</v>
      </c>
      <c r="B6" s="9">
        <v>46111</v>
      </c>
      <c r="C6" s="10" t="s">
        <v>18</v>
      </c>
      <c r="D6" s="11" t="s">
        <v>47</v>
      </c>
      <c r="E6" s="10">
        <v>3</v>
      </c>
      <c r="F6" s="13"/>
      <c r="G6" s="14"/>
    </row>
    <row r="7" ht="22" customHeight="1" spans="1:11">
      <c r="A7" s="8">
        <v>5</v>
      </c>
      <c r="B7" s="9">
        <v>46111</v>
      </c>
      <c r="C7" s="10" t="s">
        <v>19</v>
      </c>
      <c r="D7" s="11" t="s">
        <v>47</v>
      </c>
      <c r="E7" s="10">
        <v>2</v>
      </c>
      <c r="F7" s="10">
        <v>1</v>
      </c>
      <c r="G7" s="14"/>
    </row>
    <row r="8" ht="22" customHeight="1" spans="1:11">
      <c r="A8" s="8">
        <v>6</v>
      </c>
      <c r="B8" s="9">
        <v>46111</v>
      </c>
      <c r="C8" s="10" t="s">
        <v>20</v>
      </c>
      <c r="D8" s="11" t="s">
        <v>47</v>
      </c>
      <c r="E8" s="10">
        <v>3</v>
      </c>
      <c r="F8" s="13"/>
      <c r="G8" s="14"/>
    </row>
    <row r="9" ht="22" customHeight="1" spans="1:11">
      <c r="A9" s="8">
        <v>7</v>
      </c>
      <c r="B9" s="9">
        <v>46111</v>
      </c>
      <c r="C9" s="10" t="s">
        <v>21</v>
      </c>
      <c r="D9" s="11" t="s">
        <v>47</v>
      </c>
      <c r="E9" s="10">
        <v>2</v>
      </c>
      <c r="F9" s="13">
        <v>1</v>
      </c>
      <c r="G9" s="16"/>
      <c r="H9" t="s">
        <v>49</v>
      </c>
    </row>
    <row r="10" ht="22" customHeight="1" spans="1:11">
      <c r="A10" s="8">
        <v>8</v>
      </c>
      <c r="B10" s="9">
        <v>46111</v>
      </c>
      <c r="C10" s="10" t="s">
        <v>22</v>
      </c>
      <c r="D10" s="11" t="s">
        <v>47</v>
      </c>
      <c r="E10" s="10">
        <v>2</v>
      </c>
      <c r="F10" s="10">
        <v>1</v>
      </c>
      <c r="G10" s="16"/>
    </row>
    <row r="11" customFormat="1" ht="22" customHeight="1" spans="1:11">
      <c r="A11" s="8">
        <v>9</v>
      </c>
      <c r="B11" s="9">
        <v>46111</v>
      </c>
      <c r="C11" s="10" t="s">
        <v>23</v>
      </c>
      <c r="D11" s="11" t="s">
        <v>47</v>
      </c>
      <c r="E11" s="10">
        <v>3</v>
      </c>
      <c r="F11" s="13"/>
      <c r="G11" s="16"/>
    </row>
    <row r="12" customFormat="1" ht="22" customHeight="1" spans="1:11">
      <c r="A12" s="8">
        <v>10</v>
      </c>
      <c r="B12" s="9">
        <v>46111</v>
      </c>
      <c r="C12" s="19" t="s">
        <v>24</v>
      </c>
      <c r="D12" s="11" t="s">
        <v>47</v>
      </c>
      <c r="E12" s="10">
        <v>2</v>
      </c>
      <c r="F12" s="16">
        <v>1</v>
      </c>
      <c r="G12" s="16"/>
    </row>
    <row r="13" customFormat="1" ht="22" customHeight="1" spans="1:11">
      <c r="A13" s="8">
        <v>11</v>
      </c>
      <c r="B13" s="9">
        <v>46111</v>
      </c>
      <c r="C13" s="19" t="s">
        <v>26</v>
      </c>
      <c r="D13" s="11" t="s">
        <v>47</v>
      </c>
      <c r="E13" s="12">
        <v>3</v>
      </c>
      <c r="F13" s="16"/>
      <c r="G13" s="16"/>
    </row>
    <row r="14" customFormat="1" ht="22" customHeight="1" spans="1:11">
      <c r="A14" s="8">
        <v>12</v>
      </c>
      <c r="B14" s="9">
        <v>46111</v>
      </c>
      <c r="C14" s="19" t="s">
        <v>22</v>
      </c>
      <c r="D14" s="11" t="s">
        <v>47</v>
      </c>
      <c r="E14" s="12"/>
      <c r="F14" s="16">
        <v>3</v>
      </c>
      <c r="G14" s="16"/>
    </row>
    <row r="15" customFormat="1" ht="22" customHeight="1" spans="1:11">
      <c r="A15" s="8">
        <v>13</v>
      </c>
      <c r="B15" s="9">
        <v>46111</v>
      </c>
      <c r="C15" s="19" t="s">
        <v>22</v>
      </c>
      <c r="D15" s="11" t="s">
        <v>47</v>
      </c>
      <c r="E15" s="12"/>
      <c r="F15" s="28">
        <v>0</v>
      </c>
      <c r="G15" s="28" t="s">
        <v>50</v>
      </c>
      <c r="H15" s="20" t="s">
        <v>51</v>
      </c>
      <c r="K15" s="20" t="s">
        <v>52</v>
      </c>
    </row>
    <row r="16" customFormat="1" ht="22" customHeight="1" spans="1:11">
      <c r="A16" s="8"/>
      <c r="B16" s="9"/>
      <c r="C16" s="23"/>
      <c r="D16" s="11"/>
      <c r="E16" s="12"/>
      <c r="F16" s="16"/>
      <c r="G16" s="16"/>
    </row>
    <row r="17" customFormat="1" ht="22" customHeight="1" spans="1:7">
      <c r="A17" s="8"/>
      <c r="B17" s="9"/>
      <c r="C17" s="23"/>
      <c r="D17" s="11"/>
      <c r="E17" s="12"/>
      <c r="F17" s="16"/>
      <c r="G17" s="16"/>
    </row>
    <row r="18" customFormat="1" ht="22" customHeight="1" spans="1:7">
      <c r="A18" s="8"/>
      <c r="B18" s="9"/>
      <c r="C18" s="23"/>
      <c r="D18" s="11"/>
      <c r="E18" s="12"/>
      <c r="F18" s="16"/>
      <c r="G18" s="16"/>
    </row>
    <row r="19" customFormat="1" ht="22" customHeight="1" spans="1:7">
      <c r="A19" s="8"/>
      <c r="B19" s="22"/>
      <c r="C19" s="23"/>
      <c r="D19" s="24"/>
      <c r="E19" s="25"/>
      <c r="F19" s="18"/>
      <c r="G19" s="18"/>
    </row>
    <row r="20" customFormat="1" ht="13.5" spans="1:7">
      <c r="E20" s="26">
        <f>SUM(E3:E19)</f>
        <v>28</v>
      </c>
      <c r="F20" s="26">
        <f>SUM(F3:F19)</f>
        <v>8</v>
      </c>
    </row>
  </sheetData>
  <mergeCells count="1">
    <mergeCell ref="A1:G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workbookViewId="0">
      <selection activeCell="E10" sqref="E10"/>
    </sheetView>
  </sheetViews>
  <sheetFormatPr defaultColWidth="9.14285714285714" defaultRowHeight="12"/>
  <cols>
    <col min="1" max="1" width="6.85714285714286" customWidth="1"/>
    <col min="2" max="2" width="11.2857142857143" customWidth="1"/>
    <col min="3" max="3" width="14.5714285714286" customWidth="1"/>
    <col min="4" max="6" width="12.1428571428571" customWidth="1"/>
    <col min="7" max="7" width="25.2857142857143" customWidth="1"/>
  </cols>
  <sheetData>
    <row r="1" ht="38" customHeight="1" spans="1:11">
      <c r="A1" s="2" t="s">
        <v>43</v>
      </c>
      <c r="B1" s="2"/>
      <c r="C1" s="2"/>
      <c r="D1" s="2"/>
      <c r="E1" s="2"/>
      <c r="F1" s="3"/>
      <c r="G1" s="4"/>
    </row>
    <row r="2" s="1" customFormat="1" ht="32" customHeight="1" spans="1:11">
      <c r="A2" s="5" t="s">
        <v>2</v>
      </c>
      <c r="B2" s="5" t="s">
        <v>32</v>
      </c>
      <c r="C2" s="5" t="s">
        <v>3</v>
      </c>
      <c r="D2" s="6" t="s">
        <v>44</v>
      </c>
      <c r="E2" s="7" t="s">
        <v>45</v>
      </c>
      <c r="F2" s="7" t="s">
        <v>46</v>
      </c>
      <c r="G2" s="7" t="s">
        <v>7</v>
      </c>
    </row>
    <row r="3" ht="22" customHeight="1" spans="1:11">
      <c r="A3" s="8">
        <v>1</v>
      </c>
      <c r="B3" s="9">
        <v>46114</v>
      </c>
      <c r="C3" s="10" t="s">
        <v>13</v>
      </c>
      <c r="D3" s="11" t="s">
        <v>48</v>
      </c>
      <c r="E3" s="10">
        <v>2</v>
      </c>
      <c r="F3" s="10">
        <v>2</v>
      </c>
      <c r="G3" s="12"/>
      <c r="H3">
        <f t="shared" ref="H3:H13" si="0">SUM(E3:F3)</f>
        <v>4</v>
      </c>
    </row>
    <row r="4" ht="22" customHeight="1" spans="1:11">
      <c r="A4" s="8">
        <v>2</v>
      </c>
      <c r="B4" s="9">
        <v>46114</v>
      </c>
      <c r="C4" s="10" t="s">
        <v>16</v>
      </c>
      <c r="D4" s="11" t="s">
        <v>48</v>
      </c>
      <c r="E4" s="10">
        <v>4</v>
      </c>
      <c r="F4" s="13"/>
      <c r="G4" s="14"/>
      <c r="H4">
        <f t="shared" si="0"/>
        <v>4</v>
      </c>
    </row>
    <row r="5" ht="22" customHeight="1" spans="1:11">
      <c r="A5" s="8">
        <v>3</v>
      </c>
      <c r="B5" s="9">
        <v>46114</v>
      </c>
      <c r="C5" s="10" t="s">
        <v>17</v>
      </c>
      <c r="D5" s="11" t="s">
        <v>48</v>
      </c>
      <c r="E5" s="10">
        <v>4</v>
      </c>
      <c r="F5" s="13"/>
      <c r="G5" s="14"/>
      <c r="H5">
        <f t="shared" si="0"/>
        <v>4</v>
      </c>
    </row>
    <row r="6" ht="22" customHeight="1" spans="1:11">
      <c r="A6" s="8">
        <v>4</v>
      </c>
      <c r="B6" s="9">
        <v>46114</v>
      </c>
      <c r="C6" s="10" t="s">
        <v>18</v>
      </c>
      <c r="D6" s="11" t="s">
        <v>48</v>
      </c>
      <c r="E6" s="10">
        <v>4</v>
      </c>
      <c r="F6" s="13"/>
      <c r="G6" s="14"/>
      <c r="H6">
        <f t="shared" si="0"/>
        <v>4</v>
      </c>
    </row>
    <row r="7" ht="22" customHeight="1" spans="1:11">
      <c r="A7" s="8">
        <v>5</v>
      </c>
      <c r="B7" s="9">
        <v>46114</v>
      </c>
      <c r="C7" s="10" t="s">
        <v>19</v>
      </c>
      <c r="D7" s="11" t="s">
        <v>48</v>
      </c>
      <c r="E7" s="10">
        <v>2</v>
      </c>
      <c r="F7" s="10">
        <v>2</v>
      </c>
      <c r="G7" s="14"/>
      <c r="H7">
        <f t="shared" si="0"/>
        <v>4</v>
      </c>
    </row>
    <row r="8" ht="22" customHeight="1" spans="1:11">
      <c r="A8" s="8">
        <v>6</v>
      </c>
      <c r="B8" s="9">
        <v>46114</v>
      </c>
      <c r="C8" s="10" t="s">
        <v>20</v>
      </c>
      <c r="D8" s="11" t="s">
        <v>48</v>
      </c>
      <c r="E8" s="10">
        <v>4</v>
      </c>
      <c r="F8" s="13"/>
      <c r="G8" s="14"/>
      <c r="H8">
        <f t="shared" si="0"/>
        <v>4</v>
      </c>
    </row>
    <row r="9" ht="22" customHeight="1" spans="1:11">
      <c r="A9" s="8">
        <v>7</v>
      </c>
      <c r="B9" s="9">
        <v>46114</v>
      </c>
      <c r="C9" s="10" t="s">
        <v>21</v>
      </c>
      <c r="D9" s="11" t="s">
        <v>48</v>
      </c>
      <c r="E9" s="10">
        <v>2</v>
      </c>
      <c r="F9" s="13">
        <v>2</v>
      </c>
      <c r="G9" s="15" t="s">
        <v>49</v>
      </c>
      <c r="H9">
        <f t="shared" si="0"/>
        <v>4</v>
      </c>
    </row>
    <row r="10" ht="22" customHeight="1" spans="1:11">
      <c r="A10" s="8">
        <v>8</v>
      </c>
      <c r="B10" s="9">
        <v>46114</v>
      </c>
      <c r="C10" s="10" t="s">
        <v>39</v>
      </c>
      <c r="D10" s="11" t="s">
        <v>48</v>
      </c>
      <c r="E10" s="27">
        <v>2</v>
      </c>
      <c r="F10" s="10"/>
      <c r="G10" s="16"/>
      <c r="H10">
        <f t="shared" si="0"/>
        <v>2</v>
      </c>
      <c r="I10" t="s">
        <v>53</v>
      </c>
    </row>
    <row r="11" customFormat="1" ht="22" customHeight="1" spans="1:11">
      <c r="A11" s="8">
        <v>9</v>
      </c>
      <c r="B11" s="9">
        <v>46114</v>
      </c>
      <c r="C11" s="10" t="s">
        <v>23</v>
      </c>
      <c r="D11" s="11" t="s">
        <v>48</v>
      </c>
      <c r="E11" s="10">
        <v>4</v>
      </c>
      <c r="F11" s="13"/>
      <c r="G11" s="16"/>
      <c r="H11">
        <f t="shared" si="0"/>
        <v>4</v>
      </c>
    </row>
    <row r="12" customFormat="1" ht="22" customHeight="1" spans="1:11">
      <c r="A12" s="8">
        <v>10</v>
      </c>
      <c r="B12" s="9">
        <v>46114</v>
      </c>
      <c r="C12" s="10" t="s">
        <v>24</v>
      </c>
      <c r="D12" s="11" t="s">
        <v>48</v>
      </c>
      <c r="E12" s="17">
        <v>2</v>
      </c>
      <c r="F12" s="18">
        <v>2</v>
      </c>
      <c r="G12" s="16"/>
      <c r="H12">
        <f t="shared" si="0"/>
        <v>4</v>
      </c>
    </row>
    <row r="13" customFormat="1" ht="22" customHeight="1" spans="1:11">
      <c r="A13" s="8">
        <v>11</v>
      </c>
      <c r="B13" s="9">
        <v>46114</v>
      </c>
      <c r="C13" s="10" t="s">
        <v>26</v>
      </c>
      <c r="D13" s="11" t="s">
        <v>48</v>
      </c>
      <c r="E13" s="12">
        <v>4</v>
      </c>
      <c r="F13" s="16"/>
      <c r="G13" s="16"/>
      <c r="H13">
        <f t="shared" si="0"/>
        <v>4</v>
      </c>
    </row>
    <row r="14" customFormat="1" ht="22" customHeight="1" spans="1:11">
      <c r="A14" s="8">
        <v>12</v>
      </c>
      <c r="B14" s="9">
        <v>46114</v>
      </c>
      <c r="C14" s="19" t="s">
        <v>40</v>
      </c>
      <c r="D14" s="11" t="s">
        <v>47</v>
      </c>
      <c r="E14" s="12"/>
      <c r="F14" s="16">
        <v>4</v>
      </c>
      <c r="G14" s="16"/>
    </row>
    <row r="15" customFormat="1" ht="22" customHeight="1" spans="1:11">
      <c r="A15" s="8">
        <v>13</v>
      </c>
      <c r="B15" s="9">
        <v>46114</v>
      </c>
      <c r="C15" s="19" t="s">
        <v>40</v>
      </c>
      <c r="D15" s="11" t="s">
        <v>47</v>
      </c>
      <c r="E15" s="12"/>
      <c r="F15" s="21">
        <v>4</v>
      </c>
      <c r="G15" s="21" t="s">
        <v>50</v>
      </c>
      <c r="H15" s="20" t="s">
        <v>51</v>
      </c>
      <c r="K15" s="20"/>
    </row>
    <row r="16" customFormat="1" ht="22" customHeight="1" spans="1:11">
      <c r="A16" s="8"/>
      <c r="B16" s="22"/>
      <c r="C16" s="23"/>
      <c r="D16" s="24"/>
      <c r="E16" s="25"/>
      <c r="F16" s="18"/>
      <c r="G16" s="18"/>
    </row>
    <row r="17" customFormat="1" ht="13.5" spans="5:6">
      <c r="E17" s="26">
        <f>SUM(E3:E16)</f>
        <v>34</v>
      </c>
      <c r="F17" s="26">
        <f>SUM(F3:F16)</f>
        <v>16</v>
      </c>
    </row>
  </sheetData>
  <mergeCells count="1">
    <mergeCell ref="A1:G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workbookViewId="0">
      <selection activeCell="K15" sqref="K15"/>
    </sheetView>
  </sheetViews>
  <sheetFormatPr defaultColWidth="9.14285714285714" defaultRowHeight="12"/>
  <cols>
    <col min="1" max="1" width="7" customWidth="1"/>
    <col min="2" max="2" width="12" customWidth="1"/>
    <col min="3" max="3" width="17.1428571428571" customWidth="1"/>
    <col min="4" max="6" width="12.1428571428571" customWidth="1"/>
    <col min="7" max="7" width="25.2857142857143" customWidth="1"/>
  </cols>
  <sheetData>
    <row r="1" ht="38" customHeight="1" spans="1:11">
      <c r="A1" s="2" t="s">
        <v>43</v>
      </c>
      <c r="B1" s="2"/>
      <c r="C1" s="2"/>
      <c r="D1" s="2"/>
      <c r="E1" s="2"/>
      <c r="F1" s="3"/>
      <c r="G1" s="4"/>
    </row>
    <row r="2" s="1" customFormat="1" ht="32" customHeight="1" spans="1:11">
      <c r="A2" s="5" t="s">
        <v>2</v>
      </c>
      <c r="B2" s="5" t="s">
        <v>32</v>
      </c>
      <c r="C2" s="5" t="s">
        <v>3</v>
      </c>
      <c r="D2" s="6" t="s">
        <v>44</v>
      </c>
      <c r="E2" s="7" t="s">
        <v>45</v>
      </c>
      <c r="F2" s="7" t="s">
        <v>46</v>
      </c>
      <c r="G2" s="7" t="s">
        <v>7</v>
      </c>
    </row>
    <row r="3" ht="22" customHeight="1" spans="1:11">
      <c r="A3" s="8">
        <v>1</v>
      </c>
      <c r="B3" s="9">
        <v>46119</v>
      </c>
      <c r="C3" s="10" t="s">
        <v>13</v>
      </c>
      <c r="D3" s="11" t="s">
        <v>47</v>
      </c>
      <c r="E3" s="10">
        <v>2</v>
      </c>
      <c r="F3" s="10">
        <v>1</v>
      </c>
      <c r="G3" s="12"/>
    </row>
    <row r="4" ht="22" customHeight="1" spans="1:11">
      <c r="A4" s="8">
        <v>2</v>
      </c>
      <c r="B4" s="9">
        <v>46119</v>
      </c>
      <c r="C4" s="10" t="s">
        <v>16</v>
      </c>
      <c r="D4" s="11" t="s">
        <v>47</v>
      </c>
      <c r="E4" s="10">
        <v>3</v>
      </c>
      <c r="F4" s="13"/>
      <c r="G4" s="14"/>
    </row>
    <row r="5" ht="22" customHeight="1" spans="1:11">
      <c r="A5" s="8">
        <v>3</v>
      </c>
      <c r="B5" s="9">
        <v>46119</v>
      </c>
      <c r="C5" s="10" t="s">
        <v>17</v>
      </c>
      <c r="D5" s="11" t="s">
        <v>47</v>
      </c>
      <c r="E5" s="10">
        <v>3</v>
      </c>
      <c r="F5" s="13"/>
      <c r="G5" s="14"/>
    </row>
    <row r="6" ht="22" customHeight="1" spans="1:11">
      <c r="A6" s="8">
        <v>4</v>
      </c>
      <c r="B6" s="9">
        <v>46119</v>
      </c>
      <c r="C6" s="10" t="s">
        <v>18</v>
      </c>
      <c r="D6" s="11" t="s">
        <v>47</v>
      </c>
      <c r="E6" s="10">
        <v>3</v>
      </c>
      <c r="F6" s="13"/>
      <c r="G6" s="14"/>
    </row>
    <row r="7" ht="22" customHeight="1" spans="1:11">
      <c r="A7" s="8">
        <v>5</v>
      </c>
      <c r="B7" s="9">
        <v>46119</v>
      </c>
      <c r="C7" s="10" t="s">
        <v>19</v>
      </c>
      <c r="D7" s="11" t="s">
        <v>47</v>
      </c>
      <c r="E7" s="10">
        <v>2</v>
      </c>
      <c r="F7" s="10">
        <v>1</v>
      </c>
      <c r="G7" s="14"/>
    </row>
    <row r="8" ht="22" customHeight="1" spans="1:11">
      <c r="A8" s="8">
        <v>6</v>
      </c>
      <c r="B8" s="9">
        <v>46119</v>
      </c>
      <c r="C8" s="10" t="s">
        <v>20</v>
      </c>
      <c r="D8" s="11" t="s">
        <v>47</v>
      </c>
      <c r="E8" s="10">
        <v>3</v>
      </c>
      <c r="F8" s="13"/>
      <c r="G8" s="14"/>
    </row>
    <row r="9" ht="22" customHeight="1" spans="1:11">
      <c r="A9" s="8">
        <v>7</v>
      </c>
      <c r="B9" s="9">
        <v>46119</v>
      </c>
      <c r="C9" s="10" t="s">
        <v>21</v>
      </c>
      <c r="D9" s="11" t="s">
        <v>47</v>
      </c>
      <c r="E9" s="10">
        <v>2</v>
      </c>
      <c r="F9" s="13">
        <v>1</v>
      </c>
      <c r="G9" s="16"/>
      <c r="H9" t="s">
        <v>49</v>
      </c>
    </row>
    <row r="10" ht="22" customHeight="1" spans="1:11">
      <c r="A10" s="8">
        <v>8</v>
      </c>
      <c r="B10" s="9">
        <v>46119</v>
      </c>
      <c r="C10" s="10" t="s">
        <v>39</v>
      </c>
      <c r="D10" s="11" t="s">
        <v>47</v>
      </c>
      <c r="E10" s="10">
        <v>2</v>
      </c>
      <c r="F10" s="10">
        <v>1</v>
      </c>
      <c r="G10" s="16"/>
    </row>
    <row r="11" customFormat="1" ht="22" customHeight="1" spans="1:11">
      <c r="A11" s="8">
        <v>9</v>
      </c>
      <c r="B11" s="9">
        <v>46119</v>
      </c>
      <c r="C11" s="19" t="s">
        <v>40</v>
      </c>
      <c r="D11" s="11" t="s">
        <v>47</v>
      </c>
      <c r="E11" s="12"/>
      <c r="F11" s="16">
        <v>3</v>
      </c>
      <c r="G11" s="16"/>
    </row>
    <row r="12" customFormat="1" ht="22" customHeight="1" spans="1:11">
      <c r="A12" s="8">
        <v>10</v>
      </c>
      <c r="B12" s="9">
        <v>46119</v>
      </c>
      <c r="C12" s="10" t="s">
        <v>23</v>
      </c>
      <c r="D12" s="11" t="s">
        <v>47</v>
      </c>
      <c r="E12" s="10">
        <v>3</v>
      </c>
      <c r="F12" s="13"/>
      <c r="G12" s="16"/>
    </row>
    <row r="13" customFormat="1" ht="22" customHeight="1" spans="1:11">
      <c r="A13" s="8">
        <v>11</v>
      </c>
      <c r="B13" s="9">
        <v>46119</v>
      </c>
      <c r="C13" s="19" t="s">
        <v>24</v>
      </c>
      <c r="D13" s="11" t="s">
        <v>47</v>
      </c>
      <c r="E13" s="10">
        <v>2</v>
      </c>
      <c r="F13" s="16">
        <v>1</v>
      </c>
      <c r="G13" s="16"/>
    </row>
    <row r="14" customFormat="1" ht="22" customHeight="1" spans="1:11">
      <c r="A14" s="8">
        <v>12</v>
      </c>
      <c r="B14" s="9">
        <v>46119</v>
      </c>
      <c r="C14" s="19" t="s">
        <v>26</v>
      </c>
      <c r="D14" s="11" t="s">
        <v>47</v>
      </c>
      <c r="E14" s="12">
        <v>3</v>
      </c>
      <c r="F14" s="16"/>
      <c r="G14" s="16"/>
    </row>
    <row r="15" customFormat="1" ht="22" customHeight="1" spans="1:11">
      <c r="A15" s="8">
        <v>13</v>
      </c>
      <c r="B15" s="9">
        <v>46119</v>
      </c>
      <c r="C15" s="19" t="s">
        <v>40</v>
      </c>
      <c r="D15" s="11" t="s">
        <v>47</v>
      </c>
      <c r="E15" s="12"/>
      <c r="F15" s="21">
        <v>5</v>
      </c>
      <c r="G15" s="21" t="s">
        <v>50</v>
      </c>
      <c r="H15" s="20" t="s">
        <v>51</v>
      </c>
      <c r="K15" s="20"/>
    </row>
    <row r="16" customFormat="1" ht="22" customHeight="1" spans="1:11">
      <c r="A16" s="8"/>
      <c r="B16" s="9"/>
      <c r="C16" s="23"/>
      <c r="D16" s="11"/>
      <c r="E16" s="12"/>
      <c r="F16" s="16"/>
      <c r="G16" s="16"/>
    </row>
    <row r="17" customFormat="1" ht="22" customHeight="1" spans="1:7">
      <c r="A17" s="8"/>
      <c r="B17" s="9"/>
      <c r="C17" s="23"/>
      <c r="D17" s="11"/>
      <c r="E17" s="12"/>
      <c r="F17" s="16"/>
      <c r="G17" s="16"/>
    </row>
    <row r="18" customFormat="1" ht="22" customHeight="1" spans="1:7">
      <c r="A18" s="8"/>
      <c r="B18" s="9"/>
      <c r="C18" s="23"/>
      <c r="D18" s="11"/>
      <c r="E18" s="12"/>
      <c r="F18" s="16"/>
      <c r="G18" s="16"/>
    </row>
    <row r="19" customFormat="1" ht="22" customHeight="1" spans="1:7">
      <c r="A19" s="8"/>
      <c r="B19" s="22"/>
      <c r="C19" s="23"/>
      <c r="D19" s="24"/>
      <c r="E19" s="25"/>
      <c r="F19" s="18"/>
      <c r="G19" s="18"/>
    </row>
    <row r="20" customFormat="1" ht="13.5" spans="1:7">
      <c r="E20" s="26">
        <f>SUM(E3:E19)</f>
        <v>28</v>
      </c>
      <c r="F20" s="26">
        <f>SUM(F3:F19)</f>
        <v>13</v>
      </c>
    </row>
  </sheetData>
  <mergeCells count="1">
    <mergeCell ref="A1:G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workbookViewId="0">
      <selection activeCell="H18" sqref="H18"/>
    </sheetView>
  </sheetViews>
  <sheetFormatPr defaultColWidth="9.14285714285714" defaultRowHeight="12"/>
  <cols>
    <col min="1" max="1" width="6.85714285714286" customWidth="1"/>
    <col min="2" max="2" width="11.2857142857143" customWidth="1"/>
    <col min="3" max="3" width="14.5714285714286" customWidth="1"/>
    <col min="4" max="6" width="12.1428571428571" customWidth="1"/>
    <col min="7" max="7" width="25.2857142857143" customWidth="1"/>
  </cols>
  <sheetData>
    <row r="1" ht="38" customHeight="1" spans="1:11">
      <c r="A1" s="2" t="s">
        <v>43</v>
      </c>
      <c r="B1" s="2"/>
      <c r="C1" s="2"/>
      <c r="D1" s="2"/>
      <c r="E1" s="2"/>
      <c r="F1" s="3"/>
      <c r="G1" s="4"/>
    </row>
    <row r="2" s="1" customFormat="1" ht="32" customHeight="1" spans="1:11">
      <c r="A2" s="5" t="s">
        <v>2</v>
      </c>
      <c r="B2" s="5" t="s">
        <v>32</v>
      </c>
      <c r="C2" s="5" t="s">
        <v>3</v>
      </c>
      <c r="D2" s="6" t="s">
        <v>44</v>
      </c>
      <c r="E2" s="7" t="s">
        <v>45</v>
      </c>
      <c r="F2" s="7" t="s">
        <v>46</v>
      </c>
      <c r="G2" s="7" t="s">
        <v>7</v>
      </c>
    </row>
    <row r="3" ht="22" customHeight="1" spans="1:11">
      <c r="A3" s="8">
        <v>1</v>
      </c>
      <c r="B3" s="9">
        <v>46121</v>
      </c>
      <c r="C3" s="10" t="s">
        <v>13</v>
      </c>
      <c r="D3" s="11" t="s">
        <v>48</v>
      </c>
      <c r="E3" s="10">
        <v>2</v>
      </c>
      <c r="F3" s="10">
        <v>2</v>
      </c>
      <c r="G3" s="12"/>
      <c r="H3">
        <f t="shared" ref="H3:H15" si="0">SUM(E3:F3)</f>
        <v>4</v>
      </c>
    </row>
    <row r="4" ht="22" customHeight="1" spans="1:11">
      <c r="A4" s="8">
        <v>2</v>
      </c>
      <c r="B4" s="9">
        <v>46121</v>
      </c>
      <c r="C4" s="10" t="s">
        <v>16</v>
      </c>
      <c r="D4" s="11" t="s">
        <v>48</v>
      </c>
      <c r="E4" s="10">
        <v>4</v>
      </c>
      <c r="F4" s="13"/>
      <c r="G4" s="14"/>
      <c r="H4">
        <f t="shared" si="0"/>
        <v>4</v>
      </c>
    </row>
    <row r="5" ht="22" customHeight="1" spans="1:11">
      <c r="A5" s="8">
        <v>3</v>
      </c>
      <c r="B5" s="9">
        <v>46121</v>
      </c>
      <c r="C5" s="10" t="s">
        <v>17</v>
      </c>
      <c r="D5" s="11" t="s">
        <v>48</v>
      </c>
      <c r="E5" s="10">
        <v>4</v>
      </c>
      <c r="F5" s="13"/>
      <c r="G5" s="14"/>
      <c r="H5">
        <f t="shared" si="0"/>
        <v>4</v>
      </c>
    </row>
    <row r="6" ht="22" customHeight="1" spans="1:11">
      <c r="A6" s="8">
        <v>4</v>
      </c>
      <c r="B6" s="9">
        <v>46121</v>
      </c>
      <c r="C6" s="10" t="s">
        <v>18</v>
      </c>
      <c r="D6" s="11" t="s">
        <v>48</v>
      </c>
      <c r="E6" s="10">
        <v>4</v>
      </c>
      <c r="F6" s="13"/>
      <c r="G6" s="14"/>
      <c r="H6">
        <f t="shared" si="0"/>
        <v>4</v>
      </c>
    </row>
    <row r="7" ht="22" customHeight="1" spans="1:11">
      <c r="A7" s="8">
        <v>5</v>
      </c>
      <c r="B7" s="9">
        <v>46121</v>
      </c>
      <c r="C7" s="10" t="s">
        <v>19</v>
      </c>
      <c r="D7" s="11" t="s">
        <v>48</v>
      </c>
      <c r="E7" s="10">
        <v>2</v>
      </c>
      <c r="F7" s="10">
        <v>2</v>
      </c>
      <c r="G7" s="14"/>
      <c r="H7">
        <f t="shared" si="0"/>
        <v>4</v>
      </c>
    </row>
    <row r="8" ht="22" customHeight="1" spans="1:11">
      <c r="A8" s="8">
        <v>6</v>
      </c>
      <c r="B8" s="9">
        <v>46121</v>
      </c>
      <c r="C8" s="10" t="s">
        <v>20</v>
      </c>
      <c r="D8" s="11" t="s">
        <v>48</v>
      </c>
      <c r="E8" s="10">
        <v>4</v>
      </c>
      <c r="F8" s="13"/>
      <c r="G8" s="14"/>
      <c r="H8">
        <f t="shared" si="0"/>
        <v>4</v>
      </c>
    </row>
    <row r="9" ht="22" customHeight="1" spans="1:11">
      <c r="A9" s="8">
        <v>7</v>
      </c>
      <c r="B9" s="9">
        <v>46121</v>
      </c>
      <c r="C9" s="10" t="s">
        <v>21</v>
      </c>
      <c r="D9" s="11" t="s">
        <v>48</v>
      </c>
      <c r="E9" s="10">
        <v>2</v>
      </c>
      <c r="F9" s="13">
        <v>2</v>
      </c>
      <c r="G9" s="15" t="s">
        <v>49</v>
      </c>
      <c r="H9">
        <f t="shared" si="0"/>
        <v>4</v>
      </c>
    </row>
    <row r="10" ht="22" customHeight="1" spans="1:11">
      <c r="A10" s="8">
        <v>8</v>
      </c>
      <c r="B10" s="9">
        <v>46121</v>
      </c>
      <c r="C10" s="10" t="s">
        <v>39</v>
      </c>
      <c r="D10" s="11" t="s">
        <v>48</v>
      </c>
      <c r="E10" s="10">
        <v>4</v>
      </c>
      <c r="F10" s="10"/>
      <c r="G10" s="16"/>
      <c r="H10">
        <f t="shared" si="0"/>
        <v>4</v>
      </c>
      <c r="I10" t="s">
        <v>53</v>
      </c>
    </row>
    <row r="11" customFormat="1" ht="22" customHeight="1" spans="1:11">
      <c r="A11" s="8">
        <v>9</v>
      </c>
      <c r="B11" s="9">
        <v>46121</v>
      </c>
      <c r="C11" s="10" t="s">
        <v>23</v>
      </c>
      <c r="D11" s="11" t="s">
        <v>48</v>
      </c>
      <c r="E11" s="10">
        <v>4</v>
      </c>
      <c r="F11" s="13"/>
      <c r="G11" s="16"/>
      <c r="H11">
        <f t="shared" si="0"/>
        <v>4</v>
      </c>
    </row>
    <row r="12" customFormat="1" ht="22" customHeight="1" spans="1:11">
      <c r="A12" s="8">
        <v>10</v>
      </c>
      <c r="B12" s="9">
        <v>46121</v>
      </c>
      <c r="C12" s="10" t="s">
        <v>24</v>
      </c>
      <c r="D12" s="11" t="s">
        <v>48</v>
      </c>
      <c r="E12" s="17">
        <v>2</v>
      </c>
      <c r="F12" s="18">
        <v>2</v>
      </c>
      <c r="G12" s="16"/>
      <c r="H12">
        <f t="shared" si="0"/>
        <v>4</v>
      </c>
    </row>
    <row r="13" customFormat="1" ht="22" customHeight="1" spans="1:11">
      <c r="A13" s="8">
        <v>11</v>
      </c>
      <c r="B13" s="9">
        <v>46121</v>
      </c>
      <c r="C13" s="10" t="s">
        <v>26</v>
      </c>
      <c r="D13" s="11" t="s">
        <v>48</v>
      </c>
      <c r="E13" s="12">
        <v>4</v>
      </c>
      <c r="F13" s="16"/>
      <c r="G13" s="16"/>
      <c r="H13">
        <f t="shared" si="0"/>
        <v>4</v>
      </c>
    </row>
    <row r="14" customFormat="1" ht="22" customHeight="1" spans="1:11">
      <c r="A14" s="8">
        <v>12</v>
      </c>
      <c r="B14" s="9">
        <v>46121</v>
      </c>
      <c r="C14" s="19" t="s">
        <v>40</v>
      </c>
      <c r="D14" s="11" t="s">
        <v>47</v>
      </c>
      <c r="E14" s="12"/>
      <c r="F14" s="16">
        <v>4</v>
      </c>
      <c r="G14" s="16"/>
      <c r="H14">
        <f t="shared" si="0"/>
        <v>4</v>
      </c>
    </row>
    <row r="15" customFormat="1" ht="22" customHeight="1" spans="1:11">
      <c r="A15" s="8">
        <v>13</v>
      </c>
      <c r="B15" s="9">
        <v>46121</v>
      </c>
      <c r="C15" s="19" t="s">
        <v>40</v>
      </c>
      <c r="D15" s="11" t="s">
        <v>47</v>
      </c>
      <c r="E15" s="12"/>
      <c r="F15" s="21">
        <v>4</v>
      </c>
      <c r="G15" s="21" t="s">
        <v>50</v>
      </c>
      <c r="H15">
        <f t="shared" si="0"/>
        <v>4</v>
      </c>
      <c r="I15" s="20" t="s">
        <v>51</v>
      </c>
      <c r="K15" s="20"/>
    </row>
    <row r="16" customFormat="1" ht="22" customHeight="1" spans="1:11">
      <c r="A16" s="8"/>
      <c r="B16" s="22"/>
      <c r="C16" s="23"/>
      <c r="D16" s="24"/>
      <c r="E16" s="25"/>
      <c r="F16" s="18"/>
      <c r="G16" s="18"/>
    </row>
    <row r="17" customFormat="1" ht="13.5" spans="5:8">
      <c r="E17" s="26">
        <f t="shared" ref="E17:H17" si="1">SUM(E3:E16)</f>
        <v>36</v>
      </c>
      <c r="F17" s="26">
        <f t="shared" si="1"/>
        <v>16</v>
      </c>
      <c r="H17" s="26">
        <f>SUM(H3:H16)</f>
        <v>52</v>
      </c>
    </row>
  </sheetData>
  <mergeCells count="1">
    <mergeCell ref="A1:G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workbookViewId="0">
      <selection activeCell="F15" sqref="F15"/>
    </sheetView>
  </sheetViews>
  <sheetFormatPr defaultColWidth="9.14285714285714" defaultRowHeight="12"/>
  <cols>
    <col min="1" max="1" width="7" customWidth="1"/>
    <col min="2" max="2" width="12" customWidth="1"/>
    <col min="3" max="3" width="17.1428571428571" customWidth="1"/>
    <col min="4" max="6" width="12.1428571428571" customWidth="1"/>
    <col min="7" max="7" width="25.2857142857143" customWidth="1"/>
  </cols>
  <sheetData>
    <row r="1" ht="38" customHeight="1" spans="1:11">
      <c r="A1" s="2" t="s">
        <v>43</v>
      </c>
      <c r="B1" s="2"/>
      <c r="C1" s="2"/>
      <c r="D1" s="2"/>
      <c r="E1" s="2"/>
      <c r="F1" s="3"/>
      <c r="G1" s="4"/>
    </row>
    <row r="2" s="1" customFormat="1" ht="32" customHeight="1" spans="1:11">
      <c r="A2" s="5" t="s">
        <v>2</v>
      </c>
      <c r="B2" s="5" t="s">
        <v>32</v>
      </c>
      <c r="C2" s="5" t="s">
        <v>3</v>
      </c>
      <c r="D2" s="6" t="s">
        <v>44</v>
      </c>
      <c r="E2" s="7" t="s">
        <v>45</v>
      </c>
      <c r="F2" s="7" t="s">
        <v>46</v>
      </c>
      <c r="G2" s="7" t="s">
        <v>7</v>
      </c>
    </row>
    <row r="3" ht="22" customHeight="1" spans="1:11">
      <c r="A3" s="8">
        <v>1</v>
      </c>
      <c r="B3" s="9">
        <v>46125</v>
      </c>
      <c r="C3" s="10" t="s">
        <v>13</v>
      </c>
      <c r="D3" s="11" t="s">
        <v>47</v>
      </c>
      <c r="E3" s="10">
        <v>2</v>
      </c>
      <c r="F3" s="10">
        <v>1</v>
      </c>
      <c r="G3" s="12"/>
      <c r="I3">
        <f>SUM(E3:F3)</f>
        <v>3</v>
      </c>
    </row>
    <row r="4" ht="22" customHeight="1" spans="1:11">
      <c r="A4" s="8">
        <v>2</v>
      </c>
      <c r="B4" s="9">
        <v>46125</v>
      </c>
      <c r="C4" s="10" t="s">
        <v>16</v>
      </c>
      <c r="D4" s="11" t="s">
        <v>47</v>
      </c>
      <c r="E4" s="10">
        <v>3</v>
      </c>
      <c r="F4" s="13"/>
      <c r="G4" s="14"/>
      <c r="I4">
        <f t="shared" ref="I3:I15" si="0">SUM(E4:F4)</f>
        <v>3</v>
      </c>
    </row>
    <row r="5" ht="22" customHeight="1" spans="1:11">
      <c r="A5" s="8">
        <v>3</v>
      </c>
      <c r="B5" s="9">
        <v>46125</v>
      </c>
      <c r="C5" s="10" t="s">
        <v>17</v>
      </c>
      <c r="D5" s="11" t="s">
        <v>47</v>
      </c>
      <c r="E5" s="10">
        <v>3</v>
      </c>
      <c r="F5" s="13"/>
      <c r="G5" s="14"/>
      <c r="I5">
        <f t="shared" si="0"/>
        <v>3</v>
      </c>
    </row>
    <row r="6" ht="22" customHeight="1" spans="1:11">
      <c r="A6" s="8">
        <v>4</v>
      </c>
      <c r="B6" s="9">
        <v>46125</v>
      </c>
      <c r="C6" s="10" t="s">
        <v>18</v>
      </c>
      <c r="D6" s="11" t="s">
        <v>47</v>
      </c>
      <c r="E6" s="10">
        <v>3</v>
      </c>
      <c r="F6" s="13"/>
      <c r="G6" s="14"/>
      <c r="I6">
        <f t="shared" si="0"/>
        <v>3</v>
      </c>
    </row>
    <row r="7" ht="22" customHeight="1" spans="1:11">
      <c r="A7" s="8">
        <v>5</v>
      </c>
      <c r="B7" s="9">
        <v>46125</v>
      </c>
      <c r="C7" s="10" t="s">
        <v>19</v>
      </c>
      <c r="D7" s="11" t="s">
        <v>47</v>
      </c>
      <c r="E7" s="10">
        <v>2</v>
      </c>
      <c r="F7" s="10">
        <v>1</v>
      </c>
      <c r="G7" s="14"/>
      <c r="I7">
        <f t="shared" si="0"/>
        <v>3</v>
      </c>
    </row>
    <row r="8" ht="22" customHeight="1" spans="1:11">
      <c r="A8" s="8">
        <v>6</v>
      </c>
      <c r="B8" s="9">
        <v>46125</v>
      </c>
      <c r="C8" s="10" t="s">
        <v>20</v>
      </c>
      <c r="D8" s="11" t="s">
        <v>47</v>
      </c>
      <c r="E8" s="10">
        <v>3</v>
      </c>
      <c r="F8" s="13"/>
      <c r="G8" s="14"/>
      <c r="I8">
        <f t="shared" si="0"/>
        <v>3</v>
      </c>
    </row>
    <row r="9" ht="22" customHeight="1" spans="1:11">
      <c r="A9" s="8">
        <v>7</v>
      </c>
      <c r="B9" s="9">
        <v>46125</v>
      </c>
      <c r="C9" s="10" t="s">
        <v>21</v>
      </c>
      <c r="D9" s="11" t="s">
        <v>47</v>
      </c>
      <c r="E9" s="10">
        <v>2</v>
      </c>
      <c r="F9" s="13">
        <v>1</v>
      </c>
      <c r="G9" t="s">
        <v>49</v>
      </c>
      <c r="I9">
        <f t="shared" si="0"/>
        <v>3</v>
      </c>
    </row>
    <row r="10" ht="22" customHeight="1" spans="1:11">
      <c r="A10" s="8">
        <v>8</v>
      </c>
      <c r="B10" s="9">
        <v>46125</v>
      </c>
      <c r="C10" s="10" t="s">
        <v>39</v>
      </c>
      <c r="D10" s="11" t="s">
        <v>47</v>
      </c>
      <c r="E10" s="10">
        <v>2</v>
      </c>
      <c r="F10" s="10">
        <v>1</v>
      </c>
      <c r="G10" s="16"/>
      <c r="I10">
        <f t="shared" si="0"/>
        <v>3</v>
      </c>
    </row>
    <row r="11" customFormat="1" ht="22" customHeight="1" spans="1:11">
      <c r="A11" s="8">
        <v>9</v>
      </c>
      <c r="B11" s="9">
        <v>46125</v>
      </c>
      <c r="C11" s="19" t="s">
        <v>40</v>
      </c>
      <c r="D11" s="11" t="s">
        <v>47</v>
      </c>
      <c r="E11" s="12"/>
      <c r="F11" s="16">
        <v>3</v>
      </c>
      <c r="G11" s="16"/>
      <c r="I11">
        <f t="shared" si="0"/>
        <v>3</v>
      </c>
    </row>
    <row r="12" customFormat="1" ht="22" customHeight="1" spans="1:11">
      <c r="A12" s="8">
        <v>10</v>
      </c>
      <c r="B12" s="9">
        <v>46125</v>
      </c>
      <c r="C12" s="10" t="s">
        <v>23</v>
      </c>
      <c r="D12" s="11" t="s">
        <v>47</v>
      </c>
      <c r="E12" s="10">
        <v>3</v>
      </c>
      <c r="F12" s="13"/>
      <c r="G12" s="16"/>
      <c r="I12">
        <f t="shared" si="0"/>
        <v>3</v>
      </c>
    </row>
    <row r="13" customFormat="1" ht="22" customHeight="1" spans="1:11">
      <c r="A13" s="8">
        <v>11</v>
      </c>
      <c r="B13" s="9">
        <v>46125</v>
      </c>
      <c r="C13" s="19" t="s">
        <v>24</v>
      </c>
      <c r="D13" s="11" t="s">
        <v>47</v>
      </c>
      <c r="E13" s="10">
        <v>2</v>
      </c>
      <c r="F13" s="16">
        <v>1</v>
      </c>
      <c r="G13" s="16"/>
      <c r="I13">
        <f t="shared" si="0"/>
        <v>3</v>
      </c>
    </row>
    <row r="14" customFormat="1" ht="22" customHeight="1" spans="1:11">
      <c r="A14" s="8">
        <v>12</v>
      </c>
      <c r="B14" s="9">
        <v>46125</v>
      </c>
      <c r="C14" s="19" t="s">
        <v>26</v>
      </c>
      <c r="D14" s="11" t="s">
        <v>47</v>
      </c>
      <c r="E14" s="12">
        <v>3</v>
      </c>
      <c r="F14" s="16"/>
      <c r="G14" s="16"/>
      <c r="I14">
        <f t="shared" si="0"/>
        <v>3</v>
      </c>
    </row>
    <row r="15" customFormat="1" ht="22" customHeight="1" spans="1:11">
      <c r="A15" s="8">
        <v>13</v>
      </c>
      <c r="B15" s="9">
        <v>46125</v>
      </c>
      <c r="C15" s="19" t="s">
        <v>40</v>
      </c>
      <c r="D15" s="11" t="s">
        <v>47</v>
      </c>
      <c r="E15" s="12"/>
      <c r="F15" s="21">
        <v>3</v>
      </c>
      <c r="G15" s="21" t="s">
        <v>50</v>
      </c>
      <c r="I15">
        <f t="shared" si="0"/>
        <v>3</v>
      </c>
      <c r="J15" s="20" t="s">
        <v>51</v>
      </c>
      <c r="K15" s="20"/>
    </row>
    <row r="16" customFormat="1" ht="22" customHeight="1" spans="1:11">
      <c r="A16" s="8"/>
      <c r="B16" s="9"/>
      <c r="C16" s="23"/>
      <c r="D16" s="11"/>
      <c r="E16" s="12"/>
      <c r="F16" s="16"/>
      <c r="G16" s="16"/>
    </row>
    <row r="17" customFormat="1" ht="22" customHeight="1" spans="1:9">
      <c r="A17" s="8"/>
      <c r="B17" s="9"/>
      <c r="C17" s="23"/>
      <c r="D17" s="11"/>
      <c r="E17" s="12"/>
      <c r="F17" s="16"/>
      <c r="G17" s="16"/>
    </row>
    <row r="18" customFormat="1" ht="22" customHeight="1" spans="1:9">
      <c r="A18" s="8"/>
      <c r="B18" s="9"/>
      <c r="C18" s="23"/>
      <c r="D18" s="11"/>
      <c r="E18" s="12"/>
      <c r="F18" s="16"/>
      <c r="G18" s="16"/>
    </row>
    <row r="19" customFormat="1" ht="22" customHeight="1" spans="1:9">
      <c r="A19" s="8"/>
      <c r="B19" s="22"/>
      <c r="C19" s="23"/>
      <c r="D19" s="24"/>
      <c r="E19" s="25"/>
      <c r="F19" s="18"/>
      <c r="G19" s="18"/>
    </row>
    <row r="20" customFormat="1" ht="13.5" spans="1:9">
      <c r="E20" s="26">
        <f>SUM(E3:E19)</f>
        <v>28</v>
      </c>
      <c r="F20" s="26">
        <f>SUM(F3:F19)</f>
        <v>11</v>
      </c>
      <c r="I20" s="26">
        <f>SUM(I3:I19)</f>
        <v>39</v>
      </c>
    </row>
  </sheetData>
  <mergeCells count="1">
    <mergeCell ref="A1:G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workbookViewId="0">
      <selection activeCell="J25" sqref="J25"/>
    </sheetView>
  </sheetViews>
  <sheetFormatPr defaultColWidth="9.14285714285714" defaultRowHeight="12"/>
  <cols>
    <col min="1" max="1" width="6.85714285714286" customWidth="1"/>
    <col min="2" max="2" width="11.2857142857143" customWidth="1"/>
    <col min="3" max="3" width="14.5714285714286" customWidth="1"/>
    <col min="4" max="6" width="12.1428571428571" customWidth="1"/>
    <col min="7" max="7" width="25.2857142857143" customWidth="1"/>
  </cols>
  <sheetData>
    <row r="1" ht="38" customHeight="1" spans="1:11">
      <c r="A1" s="2" t="s">
        <v>43</v>
      </c>
      <c r="B1" s="2"/>
      <c r="C1" s="2"/>
      <c r="D1" s="2"/>
      <c r="E1" s="2"/>
      <c r="F1" s="3"/>
      <c r="G1" s="4"/>
    </row>
    <row r="2" s="1" customFormat="1" ht="32" customHeight="1" spans="1:11">
      <c r="A2" s="5" t="s">
        <v>2</v>
      </c>
      <c r="B2" s="5" t="s">
        <v>32</v>
      </c>
      <c r="C2" s="5" t="s">
        <v>3</v>
      </c>
      <c r="D2" s="6" t="s">
        <v>44</v>
      </c>
      <c r="E2" s="7" t="s">
        <v>45</v>
      </c>
      <c r="F2" s="7" t="s">
        <v>46</v>
      </c>
      <c r="G2" s="7" t="s">
        <v>7</v>
      </c>
    </row>
    <row r="3" ht="22" customHeight="1" spans="1:11">
      <c r="A3" s="8">
        <v>1</v>
      </c>
      <c r="B3" s="9">
        <v>46128</v>
      </c>
      <c r="C3" s="10" t="s">
        <v>13</v>
      </c>
      <c r="D3" s="11" t="s">
        <v>48</v>
      </c>
      <c r="E3" s="10">
        <v>2</v>
      </c>
      <c r="F3" s="10">
        <v>2</v>
      </c>
      <c r="G3" s="12"/>
      <c r="I3">
        <f t="shared" ref="I3:I15" si="0">SUM(E3:F3)</f>
        <v>4</v>
      </c>
    </row>
    <row r="4" ht="22" customHeight="1" spans="1:11">
      <c r="A4" s="8">
        <v>2</v>
      </c>
      <c r="B4" s="9">
        <v>46128</v>
      </c>
      <c r="C4" s="10" t="s">
        <v>16</v>
      </c>
      <c r="D4" s="11" t="s">
        <v>48</v>
      </c>
      <c r="E4" s="10">
        <v>4</v>
      </c>
      <c r="F4" s="13"/>
      <c r="G4" s="14"/>
      <c r="I4">
        <f t="shared" si="0"/>
        <v>4</v>
      </c>
    </row>
    <row r="5" ht="22" customHeight="1" spans="1:11">
      <c r="A5" s="8">
        <v>3</v>
      </c>
      <c r="B5" s="9">
        <v>46128</v>
      </c>
      <c r="C5" s="10" t="s">
        <v>17</v>
      </c>
      <c r="D5" s="11" t="s">
        <v>48</v>
      </c>
      <c r="E5" s="10">
        <v>4</v>
      </c>
      <c r="F5" s="13"/>
      <c r="G5" s="14"/>
      <c r="I5">
        <f t="shared" si="0"/>
        <v>4</v>
      </c>
    </row>
    <row r="6" ht="22" customHeight="1" spans="1:11">
      <c r="A6" s="8">
        <v>4</v>
      </c>
      <c r="B6" s="9">
        <v>46128</v>
      </c>
      <c r="C6" s="10" t="s">
        <v>18</v>
      </c>
      <c r="D6" s="11" t="s">
        <v>48</v>
      </c>
      <c r="E6" s="10">
        <v>4</v>
      </c>
      <c r="F6" s="13"/>
      <c r="G6" s="14"/>
      <c r="I6">
        <f t="shared" si="0"/>
        <v>4</v>
      </c>
    </row>
    <row r="7" ht="22" customHeight="1" spans="1:11">
      <c r="A7" s="8">
        <v>5</v>
      </c>
      <c r="B7" s="9">
        <v>46128</v>
      </c>
      <c r="C7" s="10" t="s">
        <v>19</v>
      </c>
      <c r="D7" s="11" t="s">
        <v>48</v>
      </c>
      <c r="E7" s="10">
        <v>2</v>
      </c>
      <c r="F7" s="10">
        <v>2</v>
      </c>
      <c r="G7" s="14"/>
      <c r="I7">
        <f t="shared" si="0"/>
        <v>4</v>
      </c>
    </row>
    <row r="8" ht="22" customHeight="1" spans="1:11">
      <c r="A8" s="8">
        <v>6</v>
      </c>
      <c r="B8" s="9">
        <v>46128</v>
      </c>
      <c r="C8" s="10" t="s">
        <v>20</v>
      </c>
      <c r="D8" s="11" t="s">
        <v>48</v>
      </c>
      <c r="E8" s="10">
        <v>4</v>
      </c>
      <c r="F8" s="13"/>
      <c r="G8" s="14"/>
      <c r="I8">
        <f t="shared" si="0"/>
        <v>4</v>
      </c>
    </row>
    <row r="9" ht="22" customHeight="1" spans="1:11">
      <c r="A9" s="8">
        <v>7</v>
      </c>
      <c r="B9" s="9">
        <v>46128</v>
      </c>
      <c r="C9" s="10" t="s">
        <v>21</v>
      </c>
      <c r="D9" s="11" t="s">
        <v>48</v>
      </c>
      <c r="E9" s="10">
        <v>2</v>
      </c>
      <c r="F9" s="13">
        <v>2</v>
      </c>
      <c r="G9" s="15" t="s">
        <v>49</v>
      </c>
      <c r="I9">
        <f t="shared" si="0"/>
        <v>4</v>
      </c>
    </row>
    <row r="10" ht="22" customHeight="1" spans="1:11">
      <c r="A10" s="8">
        <v>8</v>
      </c>
      <c r="B10" s="9">
        <v>46128</v>
      </c>
      <c r="C10" s="10" t="s">
        <v>39</v>
      </c>
      <c r="D10" s="11" t="s">
        <v>48</v>
      </c>
      <c r="E10" s="10">
        <v>4</v>
      </c>
      <c r="F10" s="10"/>
      <c r="G10" s="16"/>
      <c r="I10">
        <f t="shared" si="0"/>
        <v>4</v>
      </c>
    </row>
    <row r="11" customFormat="1" ht="22" customHeight="1" spans="1:11">
      <c r="A11" s="8">
        <v>9</v>
      </c>
      <c r="B11" s="9">
        <v>46128</v>
      </c>
      <c r="C11" s="10" t="s">
        <v>23</v>
      </c>
      <c r="D11" s="11" t="s">
        <v>48</v>
      </c>
      <c r="E11" s="10">
        <v>4</v>
      </c>
      <c r="F11" s="13"/>
      <c r="G11" s="16"/>
      <c r="I11">
        <f t="shared" si="0"/>
        <v>4</v>
      </c>
    </row>
    <row r="12" customFormat="1" ht="22" customHeight="1" spans="1:11">
      <c r="A12" s="8">
        <v>10</v>
      </c>
      <c r="B12" s="9">
        <v>46128</v>
      </c>
      <c r="C12" s="10" t="s">
        <v>24</v>
      </c>
      <c r="D12" s="11" t="s">
        <v>48</v>
      </c>
      <c r="E12" s="17">
        <v>2</v>
      </c>
      <c r="F12" s="18">
        <v>2</v>
      </c>
      <c r="G12" s="16"/>
      <c r="I12">
        <f t="shared" si="0"/>
        <v>4</v>
      </c>
    </row>
    <row r="13" customFormat="1" ht="22" customHeight="1" spans="1:11">
      <c r="A13" s="8">
        <v>11</v>
      </c>
      <c r="B13" s="9">
        <v>46128</v>
      </c>
      <c r="C13" s="10" t="s">
        <v>26</v>
      </c>
      <c r="D13" s="11" t="s">
        <v>48</v>
      </c>
      <c r="E13" s="12">
        <v>4</v>
      </c>
      <c r="F13" s="16"/>
      <c r="G13" s="16"/>
      <c r="I13">
        <f t="shared" si="0"/>
        <v>4</v>
      </c>
    </row>
    <row r="14" customFormat="1" ht="22" customHeight="1" spans="1:11">
      <c r="A14" s="8">
        <v>12</v>
      </c>
      <c r="B14" s="9">
        <v>46128</v>
      </c>
      <c r="C14" s="19" t="s">
        <v>40</v>
      </c>
      <c r="D14" s="11" t="s">
        <v>47</v>
      </c>
      <c r="E14" s="12"/>
      <c r="F14" s="16">
        <v>4</v>
      </c>
      <c r="G14" s="16"/>
      <c r="I14">
        <f t="shared" si="0"/>
        <v>4</v>
      </c>
    </row>
    <row r="15" customFormat="1" ht="22" customHeight="1" spans="1:11">
      <c r="A15" s="8"/>
      <c r="B15" s="9"/>
      <c r="C15" s="19"/>
      <c r="D15" s="11"/>
      <c r="E15" s="12"/>
      <c r="F15" s="21"/>
      <c r="G15" s="21"/>
      <c r="J15" s="20"/>
      <c r="K15" s="20"/>
    </row>
    <row r="16" customFormat="1" ht="22" customHeight="1" spans="1:11">
      <c r="A16" s="8"/>
      <c r="B16" s="22"/>
      <c r="C16" s="23"/>
      <c r="D16" s="24"/>
      <c r="E16" s="25"/>
      <c r="F16" s="18"/>
      <c r="G16" s="18"/>
    </row>
    <row r="17" customFormat="1" ht="13.5" spans="5:9">
      <c r="E17" s="26">
        <f>SUM(E3:E16)</f>
        <v>36</v>
      </c>
      <c r="F17" s="26">
        <f>SUM(F3:F16)</f>
        <v>12</v>
      </c>
      <c r="I17" s="26">
        <f>SUM(I3:I16)</f>
        <v>48</v>
      </c>
    </row>
  </sheetData>
  <mergeCells count="1">
    <mergeCell ref="A1:G1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workbookViewId="0">
      <selection activeCell="H23" sqref="H23"/>
    </sheetView>
  </sheetViews>
  <sheetFormatPr defaultColWidth="9.14285714285714" defaultRowHeight="12"/>
  <cols>
    <col min="1" max="1" width="7" customWidth="1"/>
    <col min="2" max="2" width="12" customWidth="1"/>
    <col min="3" max="3" width="17.1428571428571" customWidth="1"/>
    <col min="4" max="6" width="12.1428571428571" customWidth="1"/>
    <col min="7" max="7" width="25.2857142857143" customWidth="1"/>
  </cols>
  <sheetData>
    <row r="1" ht="38" customHeight="1" spans="1:11">
      <c r="A1" s="2" t="s">
        <v>43</v>
      </c>
      <c r="B1" s="2"/>
      <c r="C1" s="2"/>
      <c r="D1" s="2"/>
      <c r="E1" s="2"/>
      <c r="F1" s="3"/>
      <c r="G1" s="4"/>
    </row>
    <row r="2" s="1" customFormat="1" ht="32" customHeight="1" spans="1:11">
      <c r="A2" s="5" t="s">
        <v>2</v>
      </c>
      <c r="B2" s="5" t="s">
        <v>32</v>
      </c>
      <c r="C2" s="5" t="s">
        <v>3</v>
      </c>
      <c r="D2" s="6" t="s">
        <v>44</v>
      </c>
      <c r="E2" s="7" t="s">
        <v>45</v>
      </c>
      <c r="F2" s="7" t="s">
        <v>46</v>
      </c>
      <c r="G2" s="7" t="s">
        <v>7</v>
      </c>
    </row>
    <row r="3" ht="22" customHeight="1" spans="1:11">
      <c r="A3" s="8">
        <v>1</v>
      </c>
      <c r="B3" s="9">
        <v>46132</v>
      </c>
      <c r="C3" s="10" t="s">
        <v>13</v>
      </c>
      <c r="D3" s="11" t="s">
        <v>47</v>
      </c>
      <c r="E3" s="10">
        <v>2</v>
      </c>
      <c r="F3" s="10">
        <v>1</v>
      </c>
      <c r="G3" s="12"/>
      <c r="I3">
        <f t="shared" ref="I3:I15" si="0">SUM(E3:F3)</f>
        <v>3</v>
      </c>
    </row>
    <row r="4" ht="22" customHeight="1" spans="1:11">
      <c r="A4" s="8">
        <v>2</v>
      </c>
      <c r="B4" s="9">
        <v>46132</v>
      </c>
      <c r="C4" s="10" t="s">
        <v>16</v>
      </c>
      <c r="D4" s="11" t="s">
        <v>47</v>
      </c>
      <c r="E4" s="10">
        <v>3</v>
      </c>
      <c r="F4" s="13"/>
      <c r="G4" s="14" t="s">
        <v>54</v>
      </c>
      <c r="I4">
        <f t="shared" si="0"/>
        <v>3</v>
      </c>
    </row>
    <row r="5" ht="22" customHeight="1" spans="1:11">
      <c r="A5" s="8">
        <v>3</v>
      </c>
      <c r="B5" s="9">
        <v>46132</v>
      </c>
      <c r="C5" s="10" t="s">
        <v>17</v>
      </c>
      <c r="D5" s="11" t="s">
        <v>47</v>
      </c>
      <c r="E5" s="10">
        <v>3</v>
      </c>
      <c r="F5" s="13"/>
      <c r="G5" s="14" t="s">
        <v>54</v>
      </c>
      <c r="I5">
        <f t="shared" si="0"/>
        <v>3</v>
      </c>
    </row>
    <row r="6" ht="22" customHeight="1" spans="1:11">
      <c r="A6" s="8">
        <v>4</v>
      </c>
      <c r="B6" s="9">
        <v>46132</v>
      </c>
      <c r="C6" s="10" t="s">
        <v>18</v>
      </c>
      <c r="D6" s="11" t="s">
        <v>47</v>
      </c>
      <c r="E6" s="10">
        <v>3</v>
      </c>
      <c r="F6" s="13"/>
      <c r="G6" s="14"/>
      <c r="I6">
        <f t="shared" si="0"/>
        <v>3</v>
      </c>
    </row>
    <row r="7" ht="22" customHeight="1" spans="1:11">
      <c r="A7" s="8">
        <v>5</v>
      </c>
      <c r="B7" s="9">
        <v>46132</v>
      </c>
      <c r="C7" s="10" t="s">
        <v>19</v>
      </c>
      <c r="D7" s="11" t="s">
        <v>47</v>
      </c>
      <c r="E7" s="10">
        <v>2</v>
      </c>
      <c r="F7" s="10">
        <v>1</v>
      </c>
      <c r="G7" s="14"/>
      <c r="I7">
        <f t="shared" si="0"/>
        <v>3</v>
      </c>
    </row>
    <row r="8" ht="22" customHeight="1" spans="1:11">
      <c r="A8" s="8">
        <v>6</v>
      </c>
      <c r="B8" s="9">
        <v>46132</v>
      </c>
      <c r="C8" s="10" t="s">
        <v>20</v>
      </c>
      <c r="D8" s="11" t="s">
        <v>47</v>
      </c>
      <c r="E8" s="10">
        <v>3</v>
      </c>
      <c r="F8" s="13"/>
      <c r="G8" s="14"/>
      <c r="I8">
        <f t="shared" si="0"/>
        <v>3</v>
      </c>
    </row>
    <row r="9" ht="22" customHeight="1" spans="1:11">
      <c r="A9" s="8">
        <v>7</v>
      </c>
      <c r="B9" s="9">
        <v>46132</v>
      </c>
      <c r="C9" s="10" t="s">
        <v>21</v>
      </c>
      <c r="D9" s="11" t="s">
        <v>47</v>
      </c>
      <c r="E9" s="10">
        <v>2</v>
      </c>
      <c r="F9" s="13">
        <v>1</v>
      </c>
      <c r="G9" t="s">
        <v>49</v>
      </c>
      <c r="I9">
        <f t="shared" si="0"/>
        <v>3</v>
      </c>
    </row>
    <row r="10" ht="22" customHeight="1" spans="1:11">
      <c r="A10" s="8">
        <v>8</v>
      </c>
      <c r="B10" s="9">
        <v>46132</v>
      </c>
      <c r="C10" s="10" t="s">
        <v>39</v>
      </c>
      <c r="D10" s="11" t="s">
        <v>47</v>
      </c>
      <c r="E10" s="10">
        <v>2</v>
      </c>
      <c r="F10" s="10">
        <v>1</v>
      </c>
      <c r="G10" s="16"/>
      <c r="I10">
        <f t="shared" si="0"/>
        <v>3</v>
      </c>
    </row>
    <row r="11" customFormat="1" ht="22" customHeight="1" spans="1:11">
      <c r="A11" s="8">
        <v>9</v>
      </c>
      <c r="B11" s="9">
        <v>46132</v>
      </c>
      <c r="C11" s="19" t="s">
        <v>40</v>
      </c>
      <c r="D11" s="11" t="s">
        <v>47</v>
      </c>
      <c r="E11" s="12"/>
      <c r="F11" s="16">
        <v>3</v>
      </c>
      <c r="G11" s="16"/>
      <c r="I11">
        <f t="shared" si="0"/>
        <v>3</v>
      </c>
    </row>
    <row r="12" customFormat="1" ht="22" customHeight="1" spans="1:11">
      <c r="A12" s="8">
        <v>10</v>
      </c>
      <c r="B12" s="9">
        <v>46132</v>
      </c>
      <c r="C12" s="10" t="s">
        <v>23</v>
      </c>
      <c r="D12" s="11" t="s">
        <v>47</v>
      </c>
      <c r="E12" s="10">
        <v>3</v>
      </c>
      <c r="F12" s="13"/>
      <c r="G12" s="16"/>
      <c r="I12">
        <f t="shared" si="0"/>
        <v>3</v>
      </c>
    </row>
    <row r="13" customFormat="1" ht="22" customHeight="1" spans="1:11">
      <c r="A13" s="8">
        <v>11</v>
      </c>
      <c r="B13" s="9">
        <v>46132</v>
      </c>
      <c r="C13" s="19" t="s">
        <v>24</v>
      </c>
      <c r="D13" s="11" t="s">
        <v>47</v>
      </c>
      <c r="E13" s="10">
        <v>2</v>
      </c>
      <c r="F13" s="16">
        <v>1</v>
      </c>
      <c r="G13" s="16"/>
      <c r="I13">
        <f t="shared" si="0"/>
        <v>3</v>
      </c>
    </row>
    <row r="14" customFormat="1" ht="22" customHeight="1" spans="1:11">
      <c r="A14" s="8">
        <v>12</v>
      </c>
      <c r="B14" s="9">
        <v>46132</v>
      </c>
      <c r="C14" s="19" t="s">
        <v>26</v>
      </c>
      <c r="D14" s="11" t="s">
        <v>47</v>
      </c>
      <c r="E14" s="12">
        <v>3</v>
      </c>
      <c r="F14" s="16"/>
      <c r="G14" s="16"/>
      <c r="I14">
        <f t="shared" si="0"/>
        <v>3</v>
      </c>
    </row>
    <row r="15" customFormat="1" ht="22" customHeight="1" spans="1:11">
      <c r="A15" s="8">
        <v>13</v>
      </c>
      <c r="B15" s="9">
        <v>46132</v>
      </c>
      <c r="C15" s="19" t="s">
        <v>40</v>
      </c>
      <c r="D15" s="11" t="s">
        <v>47</v>
      </c>
      <c r="E15" s="12"/>
      <c r="F15" s="21">
        <v>3</v>
      </c>
      <c r="G15" s="21" t="s">
        <v>50</v>
      </c>
      <c r="I15">
        <f t="shared" si="0"/>
        <v>3</v>
      </c>
      <c r="J15" s="20" t="s">
        <v>51</v>
      </c>
      <c r="K15" s="20"/>
    </row>
    <row r="16" customFormat="1" ht="22" customHeight="1" spans="1:11">
      <c r="A16" s="8"/>
      <c r="B16" s="9">
        <v>46132</v>
      </c>
      <c r="C16" s="19" t="s">
        <v>41</v>
      </c>
      <c r="D16" s="11" t="s">
        <v>47</v>
      </c>
      <c r="E16" s="12"/>
      <c r="F16" s="16"/>
      <c r="G16" s="21" t="s">
        <v>55</v>
      </c>
      <c r="H16" t="s">
        <v>56</v>
      </c>
    </row>
    <row r="17" customFormat="1" ht="22" customHeight="1" spans="1:9">
      <c r="A17" s="8"/>
      <c r="B17" s="9"/>
      <c r="C17" s="9"/>
      <c r="D17" s="9"/>
      <c r="E17" s="9"/>
      <c r="F17" s="9"/>
      <c r="G17" s="9"/>
      <c r="H17" s="9"/>
    </row>
    <row r="18" customFormat="1" ht="22" customHeight="1" spans="1:9">
      <c r="A18" s="8"/>
      <c r="B18" s="9"/>
      <c r="C18" s="23"/>
      <c r="D18" s="11"/>
      <c r="E18" s="12"/>
      <c r="F18" s="16"/>
      <c r="G18" s="16"/>
    </row>
    <row r="19" customFormat="1" ht="22" customHeight="1" spans="1:9">
      <c r="A19" s="8"/>
      <c r="B19" s="22"/>
      <c r="C19" s="23"/>
      <c r="D19" s="24"/>
      <c r="E19" s="25"/>
      <c r="F19" s="18"/>
      <c r="G19" s="18"/>
    </row>
    <row r="20" customFormat="1" ht="13.5" spans="1:9">
      <c r="E20" s="26">
        <f t="shared" ref="E20:I20" si="1">SUM(E3:E19)</f>
        <v>28</v>
      </c>
      <c r="F20" s="26">
        <f t="shared" si="1"/>
        <v>11</v>
      </c>
      <c r="I20" s="26">
        <f t="shared" si="1"/>
        <v>39</v>
      </c>
    </row>
  </sheetData>
  <mergeCells count="1">
    <mergeCell ref="A1:G1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tabSelected="1" workbookViewId="0">
      <selection activeCell="H11" sqref="H11"/>
    </sheetView>
  </sheetViews>
  <sheetFormatPr defaultColWidth="9.14285714285714" defaultRowHeight="12"/>
  <cols>
    <col min="1" max="1" width="6.85714285714286" customWidth="1"/>
    <col min="2" max="2" width="11.2857142857143" customWidth="1"/>
    <col min="3" max="3" width="14.5714285714286" customWidth="1"/>
    <col min="4" max="6" width="12.1428571428571" customWidth="1"/>
    <col min="7" max="7" width="25.2857142857143" customWidth="1"/>
    <col min="8" max="8" width="15" customWidth="1"/>
  </cols>
  <sheetData>
    <row r="1" ht="38" customHeight="1" spans="1:11">
      <c r="A1" s="2" t="s">
        <v>43</v>
      </c>
      <c r="B1" s="2"/>
      <c r="C1" s="2"/>
      <c r="D1" s="2"/>
      <c r="E1" s="2"/>
      <c r="F1" s="3"/>
      <c r="G1" s="4"/>
    </row>
    <row r="2" s="1" customFormat="1" ht="32" customHeight="1" spans="1:11">
      <c r="A2" s="5" t="s">
        <v>2</v>
      </c>
      <c r="B2" s="5" t="s">
        <v>32</v>
      </c>
      <c r="C2" s="5" t="s">
        <v>3</v>
      </c>
      <c r="D2" s="6" t="s">
        <v>44</v>
      </c>
      <c r="E2" s="7" t="s">
        <v>45</v>
      </c>
      <c r="F2" s="7" t="s">
        <v>46</v>
      </c>
      <c r="G2" s="7" t="s">
        <v>7</v>
      </c>
    </row>
    <row r="3" ht="22" customHeight="1" spans="1:11">
      <c r="A3" s="8">
        <v>1</v>
      </c>
      <c r="B3" s="9">
        <v>46135</v>
      </c>
      <c r="C3" s="10" t="s">
        <v>13</v>
      </c>
      <c r="D3" s="11" t="s">
        <v>48</v>
      </c>
      <c r="E3" s="10">
        <v>2</v>
      </c>
      <c r="F3" s="10">
        <v>2</v>
      </c>
      <c r="G3" s="12"/>
      <c r="I3">
        <f t="shared" ref="I3:I15" si="0">SUM(E3:F3)</f>
        <v>4</v>
      </c>
    </row>
    <row r="4" ht="22" customHeight="1" spans="1:11">
      <c r="A4" s="8">
        <v>2</v>
      </c>
      <c r="B4" s="9">
        <v>46135</v>
      </c>
      <c r="C4" s="10" t="s">
        <v>16</v>
      </c>
      <c r="D4" s="11" t="s">
        <v>48</v>
      </c>
      <c r="E4" s="10">
        <v>4</v>
      </c>
      <c r="F4" s="13"/>
      <c r="G4" s="14" t="s">
        <v>54</v>
      </c>
      <c r="I4">
        <f t="shared" si="0"/>
        <v>4</v>
      </c>
    </row>
    <row r="5" ht="22" customHeight="1" spans="1:11">
      <c r="A5" s="8">
        <v>3</v>
      </c>
      <c r="B5" s="9">
        <v>46135</v>
      </c>
      <c r="C5" s="10" t="s">
        <v>17</v>
      </c>
      <c r="D5" s="11" t="s">
        <v>48</v>
      </c>
      <c r="E5" s="10">
        <v>4</v>
      </c>
      <c r="F5" s="13"/>
      <c r="G5" s="14" t="s">
        <v>54</v>
      </c>
      <c r="I5">
        <f t="shared" si="0"/>
        <v>4</v>
      </c>
    </row>
    <row r="6" ht="22" customHeight="1" spans="1:11">
      <c r="A6" s="8">
        <v>4</v>
      </c>
      <c r="B6" s="9">
        <v>46135</v>
      </c>
      <c r="C6" s="10" t="s">
        <v>18</v>
      </c>
      <c r="D6" s="11" t="s">
        <v>48</v>
      </c>
      <c r="E6" s="10">
        <v>4</v>
      </c>
      <c r="F6" s="13"/>
      <c r="G6" s="14"/>
      <c r="I6">
        <f t="shared" si="0"/>
        <v>4</v>
      </c>
    </row>
    <row r="7" ht="22" customHeight="1" spans="1:11">
      <c r="A7" s="8">
        <v>5</v>
      </c>
      <c r="B7" s="9">
        <v>46135</v>
      </c>
      <c r="C7" s="10" t="s">
        <v>19</v>
      </c>
      <c r="D7" s="11" t="s">
        <v>48</v>
      </c>
      <c r="E7" s="10">
        <v>2</v>
      </c>
      <c r="F7" s="10">
        <v>2</v>
      </c>
      <c r="G7" s="14"/>
      <c r="I7">
        <f t="shared" si="0"/>
        <v>4</v>
      </c>
    </row>
    <row r="8" ht="22" customHeight="1" spans="1:11">
      <c r="A8" s="8">
        <v>6</v>
      </c>
      <c r="B8" s="9">
        <v>46135</v>
      </c>
      <c r="C8" s="10" t="s">
        <v>20</v>
      </c>
      <c r="D8" s="11" t="s">
        <v>48</v>
      </c>
      <c r="E8" s="10">
        <v>4</v>
      </c>
      <c r="F8" s="13"/>
      <c r="G8" s="14"/>
      <c r="I8">
        <f t="shared" si="0"/>
        <v>4</v>
      </c>
    </row>
    <row r="9" ht="22" customHeight="1" spans="1:11">
      <c r="A9" s="8">
        <v>7</v>
      </c>
      <c r="B9" s="9">
        <v>46135</v>
      </c>
      <c r="C9" s="10" t="s">
        <v>21</v>
      </c>
      <c r="D9" s="11" t="s">
        <v>48</v>
      </c>
      <c r="E9" s="10">
        <v>2</v>
      </c>
      <c r="F9" s="13">
        <v>2</v>
      </c>
      <c r="G9" s="15" t="s">
        <v>49</v>
      </c>
      <c r="I9">
        <f t="shared" si="0"/>
        <v>4</v>
      </c>
    </row>
    <row r="10" ht="22" customHeight="1" spans="1:11">
      <c r="A10" s="8">
        <v>8</v>
      </c>
      <c r="B10" s="9">
        <v>46135</v>
      </c>
      <c r="C10" s="10" t="s">
        <v>39</v>
      </c>
      <c r="D10" s="11" t="s">
        <v>48</v>
      </c>
      <c r="E10" s="10">
        <v>4</v>
      </c>
      <c r="F10" s="10"/>
      <c r="G10" s="16"/>
      <c r="I10">
        <f t="shared" si="0"/>
        <v>4</v>
      </c>
    </row>
    <row r="11" customFormat="1" ht="22" customHeight="1" spans="1:11">
      <c r="A11" s="8">
        <v>9</v>
      </c>
      <c r="B11" s="9">
        <v>46135</v>
      </c>
      <c r="C11" s="10" t="s">
        <v>23</v>
      </c>
      <c r="D11" s="11" t="s">
        <v>48</v>
      </c>
      <c r="E11" s="10">
        <v>4</v>
      </c>
      <c r="F11" s="13"/>
      <c r="G11" s="16"/>
      <c r="I11">
        <f t="shared" si="0"/>
        <v>4</v>
      </c>
    </row>
    <row r="12" customFormat="1" ht="22" customHeight="1" spans="1:11">
      <c r="A12" s="8">
        <v>10</v>
      </c>
      <c r="B12" s="9">
        <v>46135</v>
      </c>
      <c r="C12" s="10" t="s">
        <v>24</v>
      </c>
      <c r="D12" s="11" t="s">
        <v>48</v>
      </c>
      <c r="E12" s="17">
        <v>2</v>
      </c>
      <c r="F12" s="18">
        <v>2</v>
      </c>
      <c r="G12" s="16"/>
      <c r="I12">
        <f t="shared" si="0"/>
        <v>4</v>
      </c>
    </row>
    <row r="13" customFormat="1" ht="22" customHeight="1" spans="1:11">
      <c r="A13" s="8">
        <v>11</v>
      </c>
      <c r="B13" s="9">
        <v>46135</v>
      </c>
      <c r="C13" s="10" t="s">
        <v>26</v>
      </c>
      <c r="D13" s="11" t="s">
        <v>48</v>
      </c>
      <c r="E13" s="12">
        <v>4</v>
      </c>
      <c r="F13" s="16"/>
      <c r="G13" s="16"/>
      <c r="I13">
        <f t="shared" si="0"/>
        <v>4</v>
      </c>
    </row>
    <row r="14" customFormat="1" ht="22" customHeight="1" spans="1:11">
      <c r="A14" s="8">
        <v>12</v>
      </c>
      <c r="B14" s="9">
        <v>46135</v>
      </c>
      <c r="C14" s="19" t="s">
        <v>40</v>
      </c>
      <c r="D14" s="11" t="s">
        <v>48</v>
      </c>
      <c r="E14" s="12"/>
      <c r="F14" s="16">
        <v>4</v>
      </c>
      <c r="G14" s="16"/>
      <c r="I14">
        <f t="shared" si="0"/>
        <v>4</v>
      </c>
      <c r="J14" s="20" t="s">
        <v>51</v>
      </c>
    </row>
    <row r="15" customFormat="1" ht="22" customHeight="1" spans="1:11">
      <c r="A15" s="8">
        <v>13</v>
      </c>
      <c r="B15" s="9">
        <v>46135</v>
      </c>
      <c r="C15" s="19" t="s">
        <v>40</v>
      </c>
      <c r="D15" s="11" t="s">
        <v>47</v>
      </c>
      <c r="E15" s="12"/>
      <c r="F15" s="21">
        <v>4</v>
      </c>
      <c r="G15" s="21" t="s">
        <v>50</v>
      </c>
      <c r="H15" t="s">
        <v>57</v>
      </c>
      <c r="I15">
        <f t="shared" si="0"/>
        <v>4</v>
      </c>
      <c r="J15" s="20" t="s">
        <v>51</v>
      </c>
      <c r="K15" s="20"/>
    </row>
    <row r="16" customFormat="1" ht="22" customHeight="1" spans="1:11">
      <c r="A16" s="8">
        <v>14</v>
      </c>
      <c r="B16" s="9">
        <v>46135</v>
      </c>
      <c r="C16" s="19" t="s">
        <v>41</v>
      </c>
      <c r="D16" s="11" t="s">
        <v>48</v>
      </c>
      <c r="E16" s="12"/>
      <c r="F16" s="21">
        <v>4</v>
      </c>
      <c r="G16" s="21" t="s">
        <v>55</v>
      </c>
      <c r="H16" t="s">
        <v>58</v>
      </c>
      <c r="J16" s="20"/>
      <c r="K16" s="20"/>
    </row>
    <row r="17" customFormat="1" ht="22" customHeight="1" spans="1:11">
      <c r="A17" s="8"/>
      <c r="B17" s="8"/>
      <c r="C17" s="8"/>
      <c r="D17" s="8"/>
      <c r="E17" s="8"/>
      <c r="F17" s="8"/>
      <c r="G17" s="8"/>
      <c r="H17"/>
      <c r="J17" s="20"/>
      <c r="K17" s="20"/>
    </row>
    <row r="18" customFormat="1" ht="22" customHeight="1" spans="1:11">
      <c r="A18" s="8"/>
      <c r="B18" s="22"/>
      <c r="C18" s="23"/>
      <c r="D18" s="24"/>
      <c r="E18" s="25"/>
      <c r="F18" s="18"/>
      <c r="G18" s="18"/>
    </row>
    <row r="19" customFormat="1" ht="13.5" spans="1:11">
      <c r="E19" s="26">
        <f>SUM(E3:E18)</f>
        <v>36</v>
      </c>
      <c r="F19" s="26">
        <f>SUM(F3:F18)</f>
        <v>20</v>
      </c>
      <c r="I19" s="26">
        <f>SUM(I3:I18)</f>
        <v>52</v>
      </c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老师</vt:lpstr>
      <vt:lpstr>领奶表</vt:lpstr>
      <vt:lpstr>签收</vt:lpstr>
      <vt:lpstr>配送汇总</vt:lpstr>
      <vt:lpstr>3.9</vt:lpstr>
      <vt:lpstr>3.12</vt:lpstr>
      <vt:lpstr>3.16</vt:lpstr>
      <vt:lpstr>3.19</vt:lpstr>
      <vt:lpstr>3.23</vt:lpstr>
      <vt:lpstr>3.26</vt:lpstr>
      <vt:lpstr>3.30</vt:lpstr>
      <vt:lpstr>4.2</vt:lpstr>
      <vt:lpstr>4.7</vt:lpstr>
      <vt:lpstr>4.9</vt:lpstr>
      <vt:lpstr>4.13</vt:lpstr>
      <vt:lpstr>4.16</vt:lpstr>
      <vt:lpstr>4.20</vt:lpstr>
      <vt:lpstr>4.23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張榮強</cp:lastModifiedBy>
  <dcterms:created xsi:type="dcterms:W3CDTF">2025-02-18T07:47:00Z</dcterms:created>
  <dcterms:modified xsi:type="dcterms:W3CDTF">2026-04-17T09:41:59Z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A5E5FF03DC3344B6AB7B0804B0AAA305_13</vt:lpwstr>
  </property>
  <property fmtid="{D5CDD505-2E9C-101B-9397-08002B2CF9AE}" pid="3" name="KSOProductBuildVer">
    <vt:lpwstr>2052-12.1.0.25865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