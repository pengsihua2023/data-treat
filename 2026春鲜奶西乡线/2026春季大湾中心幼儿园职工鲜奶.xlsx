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925" firstSheet="1" activeTab="17"/>
  </bookViews>
  <sheets>
    <sheet name="老师" sheetId="1" r:id="rId1"/>
    <sheet name="学生" sheetId="8" r:id="rId2"/>
    <sheet name="领奶表" sheetId="5" r:id="rId3"/>
    <sheet name="签收" sheetId="9" r:id="rId4"/>
    <sheet name="配送汇总" sheetId="6" r:id="rId5"/>
    <sheet name="3.9" sheetId="2" r:id="rId6"/>
    <sheet name="3.12" sheetId="7" r:id="rId7"/>
    <sheet name="3.16" sheetId="10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4" hidden="1">配送汇总!$A$1:$X$32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<sst xmlns="http://schemas.openxmlformats.org/spreadsheetml/2006/main" count="955" uniqueCount="90">
  <si>
    <t>2026春季大湾镇中心幼儿园教职工巴氏鲜奶补贴订购申请表（20份起送，特殊申请除外</t>
  </si>
  <si>
    <t>本学期2月15日前订购一份赠送1本笔记本+1支花梨木圆珠笔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</si>
  <si>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</si>
  <si>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</si>
  <si>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</si>
  <si>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</si>
  <si>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</si>
  <si>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</si>
  <si>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</si>
  <si>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</si>
  <si>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</si>
  <si>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</si>
  <si>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</si>
  <si>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梁少眉1</t>
  </si>
  <si>
    <t>√</t>
  </si>
  <si>
    <t>已收款</t>
  </si>
  <si>
    <t>梁少眉2</t>
  </si>
  <si>
    <t>伍嘉慈</t>
  </si>
  <si>
    <t>毛雪梅</t>
  </si>
  <si>
    <t>王金琼</t>
  </si>
  <si>
    <t>潘启嫦1</t>
  </si>
  <si>
    <t>潘启嫦2</t>
  </si>
  <si>
    <t>赖雪霞</t>
  </si>
  <si>
    <t>✔</t>
  </si>
  <si>
    <t>邓锦容</t>
  </si>
  <si>
    <t>✓</t>
  </si>
  <si>
    <t>叶金燕</t>
  </si>
  <si>
    <t>伍超平</t>
  </si>
  <si>
    <t>温素菁</t>
  </si>
  <si>
    <t>✔️</t>
  </si>
  <si>
    <t>梁少眉3</t>
  </si>
  <si>
    <t>叶金燕2</t>
  </si>
  <si>
    <t>3/12增加</t>
  </si>
  <si>
    <t>伍乐婷</t>
  </si>
  <si>
    <t>3/12已交费，19号开始配送</t>
  </si>
  <si>
    <t>伍超平2</t>
  </si>
  <si>
    <t>3/17新增</t>
  </si>
  <si>
    <t>线上订单汇总表</t>
  </si>
  <si>
    <t>导出时间2026-03-06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</si>
  <si>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</si>
  <si>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</si>
  <si>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</si>
  <si>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</si>
  <si>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</si>
  <si>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</si>
  <si>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</si>
  <si>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收款账户</t>
  </si>
  <si>
    <t>家长备注</t>
  </si>
  <si>
    <t>商户备注</t>
  </si>
  <si>
    <t>李思睿</t>
  </si>
  <si>
    <t>英德市 | 大湾中心幼儿园 | 大班 | 大1班</t>
  </si>
  <si>
    <t>2026年春季幼儿园巴氏低温鲜奶套餐（100盒）</t>
  </si>
  <si>
    <t>0006010F3900007 | 安鑫配送（清远市）有限公司</t>
  </si>
  <si>
    <t>邹屿珩</t>
  </si>
  <si>
    <t>英德市 | 大湾中心幼儿园 | 小班 | 小2班</t>
  </si>
  <si>
    <t>英德市大湾镇中心幼儿园教师鲜奶领奶表</t>
  </si>
  <si>
    <t>（ ）月份（填写领取数量/盒）</t>
  </si>
  <si>
    <t>姓名</t>
  </si>
  <si>
    <t>大湾镇中心幼儿园教师鲜奶赠品领取表</t>
  </si>
  <si>
    <t>配送日期</t>
  </si>
  <si>
    <t>礼品份数
（笔记本+笔）</t>
  </si>
  <si>
    <t>签名</t>
  </si>
  <si>
    <t>3.19送</t>
  </si>
  <si>
    <t xml:space="preserve">                                                   英德市大湾镇中心幼儿园教师鲜奶领奶表</t>
  </si>
  <si>
    <t>订购份数</t>
  </si>
  <si>
    <t>总计</t>
  </si>
  <si>
    <t>剩余</t>
  </si>
  <si>
    <t>叶金燕1</t>
  </si>
  <si>
    <t>李思睿（学）</t>
  </si>
  <si>
    <t>邹屿珩（学）</t>
  </si>
  <si>
    <t>黎芷言（学）</t>
  </si>
  <si>
    <t>谭梓彤（学）</t>
  </si>
  <si>
    <t>大湾镇中心幼儿园教师鲜奶领奶表</t>
  </si>
  <si>
    <t>大湾镇中心幼儿园学生鲜奶领奶表</t>
  </si>
  <si>
    <t>配送天数</t>
  </si>
  <si>
    <t>鲜</t>
  </si>
  <si>
    <t>酸</t>
  </si>
  <si>
    <t>3天</t>
  </si>
  <si>
    <t>2天</t>
  </si>
  <si>
    <t>学生</t>
  </si>
  <si>
    <t>酸奶</t>
  </si>
  <si>
    <t>黎芷言</t>
  </si>
  <si>
    <t>改酸奶</t>
  </si>
  <si>
    <t>补发</t>
  </si>
  <si>
    <t>谭梓彤</t>
  </si>
  <si>
    <t>没补到，3.26继续补</t>
  </si>
  <si>
    <t>周一3天，周四配2天</t>
  </si>
  <si>
    <t>伍超平1</t>
  </si>
  <si>
    <t>补至与其他学生一致</t>
  </si>
  <si>
    <t>4.20开始补送周一补送3瓶，周四补送2瓶，5月开始不用补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</si>
</sst>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134"/>
      <scheme val="minor"/>
    </font>
    <font>
      <sz val="9"/>
      <color rgb="FF000000"/>
      <name val="宋体"/>
      <charset val="134"/>
    </font>
    <font>
      <sz val="9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2" borderId="1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3" borderId="14" applyNumberFormat="0" applyAlignment="0" applyProtection="0">
      <alignment vertical="center"/>
    </xf>
    <xf numFmtId="0" fontId="42" fillId="4" borderId="15" applyNumberFormat="0" applyAlignment="0" applyProtection="0">
      <alignment vertical="center"/>
    </xf>
    <xf numFmtId="0" fontId="43" fillId="4" borderId="14" applyNumberFormat="0" applyAlignment="0" applyProtection="0">
      <alignment vertical="center"/>
    </xf>
    <xf numFmtId="0" fontId="44" fillId="5" borderId="16" applyNumberFormat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5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0" borderId="2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center" vertical="center" wrapText="1"/>
    </xf>
    <xf numFmtId="0" fontId="20" fillId="0" borderId="5" xfId="0" applyNumberFormat="1" applyFont="1" applyFill="1" applyBorder="1" applyAlignment="1">
      <alignment horizontal="center" vertical="center"/>
    </xf>
    <xf numFmtId="0" fontId="20" fillId="0" borderId="5" xfId="0" applyNumberFormat="1" applyFont="1" applyFill="1" applyBorder="1" applyAlignment="1">
      <alignment horizontal="center" vertical="center" wrapText="1"/>
    </xf>
    <xf numFmtId="58" fontId="20" fillId="0" borderId="5" xfId="0" applyNumberFormat="1" applyFont="1" applyFill="1" applyBorder="1" applyAlignment="1">
      <alignment horizontal="center" vertical="center" wrapText="1"/>
    </xf>
    <xf numFmtId="58" fontId="20" fillId="0" borderId="5" xfId="0" applyNumberFormat="1" applyFont="1" applyFill="1" applyBorder="1" applyAlignment="1">
      <alignment horizontal="center" vertical="center"/>
    </xf>
    <xf numFmtId="58" fontId="21" fillId="0" borderId="5" xfId="0" applyNumberFormat="1" applyFont="1" applyFill="1" applyBorder="1" applyAlignment="1">
      <alignment vertical="center"/>
    </xf>
    <xf numFmtId="0" fontId="18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vertical="center"/>
    </xf>
    <xf numFmtId="0" fontId="27" fillId="0" borderId="0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27" fillId="0" borderId="5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6" fillId="0" borderId="5" xfId="0" applyNumberFormat="1" applyFont="1" applyFill="1" applyBorder="1" applyAlignment="1">
      <alignment vertical="center"/>
    </xf>
    <xf numFmtId="0" fontId="16" fillId="0" borderId="5" xfId="0" applyNumberFormat="1" applyFont="1" applyFill="1" applyBorder="1" applyAlignment="1">
      <alignment horizontal="left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22" fontId="28" fillId="0" borderId="9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A19" sqref="$A19:$XFD19"/>
    </sheetView>
  </sheetViews>
  <sheetFormatPr defaultColWidth="14" defaultRowHeight="18" customHeight="1"/>
  <cols>
    <col min="8" max="8" width="26" customWidth="1"/>
  </cols>
  <sheetData>
    <row r="1" ht="20.25" customHeight="1" spans="1:25">
      <c r="A1" s="75" t="s">
        <v>0</v>
      </c>
      <c r="B1" s="75"/>
      <c r="C1" s="75"/>
      <c r="D1" s="75"/>
      <c r="E1" s="75"/>
      <c r="F1" s="75"/>
      <c r="G1" s="75"/>
      <c r="H1" s="75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ht="20.25" customHeight="1" spans="1:25">
      <c r="A2" s="77" t="s">
        <v>1</v>
      </c>
      <c r="B2" s="77"/>
      <c r="C2" s="77"/>
      <c r="D2" s="77"/>
      <c r="E2" s="77"/>
      <c r="F2" s="77"/>
      <c r="G2" s="77"/>
      <c r="H2" s="77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customHeight="1" spans="1:25">
      <c r="A3" s="78" t="s">
        <v>2</v>
      </c>
      <c r="B3" s="78" t="s">
        <v>3</v>
      </c>
      <c r="C3" s="78" t="s">
        <v>4</v>
      </c>
      <c r="D3" s="79" t="s">
        <v>5</v>
      </c>
      <c r="E3" s="79"/>
      <c r="F3" s="79" t="s">
        <v>6</v>
      </c>
      <c r="G3" s="79"/>
      <c r="H3" s="78" t="s">
        <v>7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</row>
    <row r="4" ht="54" spans="1:25">
      <c r="A4" s="78"/>
      <c r="B4" s="78"/>
      <c r="C4" s="78"/>
      <c r="D4" s="80" t="s">
        <v>8</v>
      </c>
      <c r="E4" s="80" t="s">
        <v>9</v>
      </c>
      <c r="F4" s="80" t="s">
        <v>10</v>
      </c>
      <c r="G4" s="80" t="s">
        <v>11</v>
      </c>
      <c r="H4" s="81" t="s">
        <v>12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customHeight="1" spans="1:25">
      <c r="A5" s="82">
        <v>1</v>
      </c>
      <c r="B5" s="82" t="s">
        <v>13</v>
      </c>
      <c r="C5" s="82">
        <v>13431966475</v>
      </c>
      <c r="D5" s="82" t="s">
        <v>14</v>
      </c>
      <c r="E5" s="36"/>
      <c r="F5" s="82">
        <v>350</v>
      </c>
      <c r="G5" s="82">
        <v>210</v>
      </c>
      <c r="H5" s="36"/>
      <c r="I5" s="76" t="s">
        <v>15</v>
      </c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</row>
    <row r="6" customHeight="1" spans="1:25">
      <c r="A6" s="82">
        <v>2</v>
      </c>
      <c r="B6" s="82" t="s">
        <v>16</v>
      </c>
      <c r="C6" s="82">
        <v>13431966475</v>
      </c>
      <c r="D6" s="82" t="s">
        <v>14</v>
      </c>
      <c r="E6" s="36"/>
      <c r="F6" s="82">
        <v>350</v>
      </c>
      <c r="G6" s="82">
        <v>210</v>
      </c>
      <c r="H6" s="36"/>
      <c r="I6" s="76" t="s">
        <v>15</v>
      </c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</row>
    <row r="7" customHeight="1" spans="1:25">
      <c r="A7" s="82">
        <v>3</v>
      </c>
      <c r="B7" s="82" t="s">
        <v>17</v>
      </c>
      <c r="C7" s="82">
        <v>15207649773</v>
      </c>
      <c r="D7" s="36"/>
      <c r="E7" s="82" t="s">
        <v>14</v>
      </c>
      <c r="F7" s="82">
        <v>350</v>
      </c>
      <c r="G7" s="82">
        <v>210</v>
      </c>
      <c r="H7" s="36"/>
      <c r="I7" s="76" t="s">
        <v>15</v>
      </c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</row>
    <row r="8" customHeight="1" spans="1:25">
      <c r="A8" s="82">
        <v>4</v>
      </c>
      <c r="B8" s="82" t="s">
        <v>18</v>
      </c>
      <c r="C8" s="82">
        <v>15011999225</v>
      </c>
      <c r="D8" s="36"/>
      <c r="E8" s="82" t="s">
        <v>14</v>
      </c>
      <c r="F8" s="82">
        <v>350</v>
      </c>
      <c r="G8" s="82">
        <v>210</v>
      </c>
      <c r="H8" s="36"/>
      <c r="I8" s="76" t="s">
        <v>15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 customHeight="1" spans="1:25">
      <c r="A9" s="82">
        <v>5</v>
      </c>
      <c r="B9" s="82" t="s">
        <v>19</v>
      </c>
      <c r="C9" s="82">
        <v>13542491334</v>
      </c>
      <c r="D9" s="82" t="s">
        <v>14</v>
      </c>
      <c r="E9" s="82" t="s">
        <v>14</v>
      </c>
      <c r="F9" s="82">
        <v>350</v>
      </c>
      <c r="G9" s="82">
        <v>210</v>
      </c>
      <c r="H9" s="36"/>
      <c r="I9" s="76" t="s">
        <v>15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</row>
    <row r="10" customHeight="1" spans="1:25">
      <c r="A10" s="82">
        <v>6</v>
      </c>
      <c r="B10" s="82" t="s">
        <v>20</v>
      </c>
      <c r="C10" s="82">
        <v>18029737451</v>
      </c>
      <c r="D10" s="82" t="s">
        <v>14</v>
      </c>
      <c r="E10" s="36"/>
      <c r="F10" s="82">
        <v>350</v>
      </c>
      <c r="G10" s="82">
        <v>210</v>
      </c>
      <c r="H10" s="36"/>
      <c r="I10" s="76" t="s">
        <v>15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 customHeight="1" spans="1:25">
      <c r="A11" s="82">
        <v>7</v>
      </c>
      <c r="B11" s="82" t="s">
        <v>21</v>
      </c>
      <c r="C11" s="82">
        <v>18029737451</v>
      </c>
      <c r="D11" s="82" t="s">
        <v>14</v>
      </c>
      <c r="E11" s="36"/>
      <c r="F11" s="82">
        <v>350</v>
      </c>
      <c r="G11" s="82">
        <v>210</v>
      </c>
      <c r="H11" s="36"/>
      <c r="I11" s="76" t="s">
        <v>15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</row>
    <row r="12" customHeight="1" spans="1:25">
      <c r="A12" s="82">
        <v>8</v>
      </c>
      <c r="B12" s="82" t="s">
        <v>22</v>
      </c>
      <c r="C12" s="82">
        <v>13416574535</v>
      </c>
      <c r="D12" s="82" t="s">
        <v>23</v>
      </c>
      <c r="E12" s="36"/>
      <c r="F12" s="82">
        <v>350</v>
      </c>
      <c r="G12" s="82">
        <v>210</v>
      </c>
      <c r="H12" s="36"/>
      <c r="I12" s="76" t="s">
        <v>15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</row>
    <row r="13" customHeight="1" spans="1:25">
      <c r="A13" s="82">
        <v>9</v>
      </c>
      <c r="B13" s="82" t="s">
        <v>24</v>
      </c>
      <c r="C13" s="82">
        <v>15113709114</v>
      </c>
      <c r="D13" s="82" t="s">
        <v>25</v>
      </c>
      <c r="E13" s="82" t="s">
        <v>25</v>
      </c>
      <c r="F13" s="82">
        <v>350</v>
      </c>
      <c r="G13" s="82">
        <v>210</v>
      </c>
      <c r="H13" s="36"/>
      <c r="I13" s="76" t="s">
        <v>15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</row>
    <row r="14" customHeight="1" spans="1:25">
      <c r="A14" s="82">
        <v>10</v>
      </c>
      <c r="B14" s="82" t="s">
        <v>26</v>
      </c>
      <c r="C14" s="82">
        <v>15218484908</v>
      </c>
      <c r="D14" s="36"/>
      <c r="E14" s="82" t="s">
        <v>14</v>
      </c>
      <c r="F14" s="82">
        <v>350</v>
      </c>
      <c r="G14" s="82">
        <v>210</v>
      </c>
      <c r="H14" s="36"/>
      <c r="I14" s="76" t="s">
        <v>15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</row>
    <row r="15" customHeight="1" spans="1:25">
      <c r="A15" s="82">
        <v>11</v>
      </c>
      <c r="B15" s="82" t="s">
        <v>27</v>
      </c>
      <c r="C15" s="82">
        <v>13425252563</v>
      </c>
      <c r="D15" s="36"/>
      <c r="E15" s="82" t="s">
        <v>14</v>
      </c>
      <c r="F15" s="82">
        <v>350</v>
      </c>
      <c r="G15" s="82">
        <v>210</v>
      </c>
      <c r="H15" s="36"/>
      <c r="I15" s="76" t="s">
        <v>15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</row>
    <row r="16" customHeight="1" spans="1:25">
      <c r="A16" s="82">
        <v>12</v>
      </c>
      <c r="B16" s="82" t="s">
        <v>28</v>
      </c>
      <c r="C16" s="82">
        <v>15107658405</v>
      </c>
      <c r="D16" s="82" t="s">
        <v>29</v>
      </c>
      <c r="E16" s="36"/>
      <c r="F16" s="82">
        <v>350</v>
      </c>
      <c r="G16" s="82">
        <v>210</v>
      </c>
      <c r="H16" s="36"/>
      <c r="I16" s="76" t="s">
        <v>15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</row>
    <row r="17" customHeight="1" spans="1:25">
      <c r="A17" s="82">
        <v>13</v>
      </c>
      <c r="B17" s="82" t="s">
        <v>30</v>
      </c>
      <c r="C17" s="82">
        <v>13431966475</v>
      </c>
      <c r="D17" s="36"/>
      <c r="E17" s="82" t="s">
        <v>14</v>
      </c>
      <c r="F17" s="82">
        <v>350</v>
      </c>
      <c r="G17" s="82">
        <v>210</v>
      </c>
      <c r="H17" s="36"/>
      <c r="I17" s="76" t="s">
        <v>15</v>
      </c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</row>
    <row r="18" customHeight="1" spans="1:25">
      <c r="A18" s="82">
        <v>14</v>
      </c>
      <c r="B18" s="36" t="s">
        <v>31</v>
      </c>
      <c r="C18" s="82">
        <v>15218484908</v>
      </c>
      <c r="D18" s="36"/>
      <c r="E18" s="82" t="s">
        <v>14</v>
      </c>
      <c r="F18" s="82">
        <v>350</v>
      </c>
      <c r="G18" s="82">
        <v>210</v>
      </c>
      <c r="H18" s="36" t="s">
        <v>32</v>
      </c>
      <c r="I18" s="76" t="s">
        <v>15</v>
      </c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</row>
    <row r="19" customHeight="1" spans="1:25">
      <c r="A19" s="82">
        <v>15</v>
      </c>
      <c r="B19" s="36" t="s">
        <v>33</v>
      </c>
      <c r="C19" s="36"/>
      <c r="D19" s="82" t="s">
        <v>14</v>
      </c>
      <c r="E19" s="82" t="s">
        <v>14</v>
      </c>
      <c r="F19" s="82">
        <v>350</v>
      </c>
      <c r="G19" s="82">
        <v>210</v>
      </c>
      <c r="H19" s="36" t="s">
        <v>34</v>
      </c>
      <c r="I19" s="76" t="s">
        <v>15</v>
      </c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</row>
    <row r="20" customHeight="1" spans="1:25">
      <c r="A20" s="82">
        <v>16</v>
      </c>
      <c r="B20" s="82" t="s">
        <v>35</v>
      </c>
      <c r="C20" s="82">
        <v>13425252563</v>
      </c>
      <c r="D20" s="36"/>
      <c r="E20" s="82" t="s">
        <v>14</v>
      </c>
      <c r="F20" s="82">
        <v>350</v>
      </c>
      <c r="G20" s="82">
        <v>210</v>
      </c>
      <c r="H20" s="36" t="s">
        <v>36</v>
      </c>
      <c r="I20" s="76" t="s">
        <v>15</v>
      </c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</row>
    <row r="21" customHeight="1" spans="1:25">
      <c r="A21" s="82">
        <v>17</v>
      </c>
      <c r="B21" s="36"/>
      <c r="C21" s="36"/>
      <c r="D21" s="36"/>
      <c r="E21" s="83"/>
      <c r="F21" s="82">
        <v>350</v>
      </c>
      <c r="G21" s="82">
        <v>210</v>
      </c>
      <c r="H21" s="3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</row>
    <row r="22" customHeight="1" spans="1:25">
      <c r="A22" s="82">
        <v>18</v>
      </c>
      <c r="B22" s="36"/>
      <c r="C22" s="36"/>
      <c r="D22" s="36"/>
      <c r="E22" s="36"/>
      <c r="F22" s="82">
        <v>350</v>
      </c>
      <c r="G22" s="82">
        <v>210</v>
      </c>
      <c r="H22" s="3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 customHeight="1" spans="1:25">
      <c r="A23" s="82">
        <v>19</v>
      </c>
      <c r="B23" s="36"/>
      <c r="C23" s="36"/>
      <c r="D23" s="36"/>
      <c r="E23" s="36"/>
      <c r="F23" s="82">
        <v>350</v>
      </c>
      <c r="G23" s="82">
        <v>210</v>
      </c>
      <c r="H23" s="3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</row>
    <row r="24" customHeight="1" spans="1:25">
      <c r="A24" s="82">
        <v>20</v>
      </c>
      <c r="B24" s="36"/>
      <c r="C24" s="36"/>
      <c r="D24" s="36"/>
      <c r="E24" s="36"/>
      <c r="F24" s="82">
        <v>350</v>
      </c>
      <c r="G24" s="82">
        <v>210</v>
      </c>
      <c r="H24" s="3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</row>
    <row r="25" customHeight="1" spans="1:25">
      <c r="A25" s="82">
        <v>21</v>
      </c>
      <c r="B25" s="36"/>
      <c r="C25" s="36"/>
      <c r="D25" s="36"/>
      <c r="E25" s="36"/>
      <c r="F25" s="82">
        <v>350</v>
      </c>
      <c r="G25" s="82">
        <v>210</v>
      </c>
      <c r="H25" s="3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</row>
    <row r="26" customHeight="1" spans="1:25">
      <c r="A26" s="82">
        <v>22</v>
      </c>
      <c r="B26" s="36"/>
      <c r="C26" s="36"/>
      <c r="D26" s="36"/>
      <c r="E26" s="36"/>
      <c r="F26" s="82">
        <v>350</v>
      </c>
      <c r="G26" s="82">
        <v>210</v>
      </c>
      <c r="H26" s="3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 customHeight="1" spans="1:25">
      <c r="A27" s="82">
        <v>23</v>
      </c>
      <c r="B27" s="36"/>
      <c r="C27" s="36"/>
      <c r="D27" s="36"/>
      <c r="E27" s="36"/>
      <c r="F27" s="82">
        <v>350</v>
      </c>
      <c r="G27" s="82">
        <v>210</v>
      </c>
      <c r="H27" s="3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</row>
    <row r="28" customHeight="1" spans="1:25">
      <c r="A28" s="82">
        <v>24</v>
      </c>
      <c r="B28" s="36"/>
      <c r="C28" s="36"/>
      <c r="D28" s="36"/>
      <c r="E28" s="36"/>
      <c r="F28" s="82">
        <v>350</v>
      </c>
      <c r="G28" s="82">
        <v>210</v>
      </c>
      <c r="H28" s="3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</row>
    <row r="29" customHeight="1" spans="1:25">
      <c r="A29" s="82">
        <v>31</v>
      </c>
      <c r="B29" s="36"/>
      <c r="C29" s="36"/>
      <c r="D29" s="36"/>
      <c r="E29" s="36"/>
      <c r="F29" s="82">
        <v>350</v>
      </c>
      <c r="G29" s="82">
        <v>210</v>
      </c>
      <c r="H29" s="3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</row>
    <row r="30" customHeight="1" spans="1:25">
      <c r="A30" s="82">
        <v>32</v>
      </c>
      <c r="B30" s="36"/>
      <c r="C30" s="36"/>
      <c r="D30" s="36"/>
      <c r="E30" s="36"/>
      <c r="F30" s="82">
        <v>350</v>
      </c>
      <c r="G30" s="82">
        <v>210</v>
      </c>
      <c r="H30" s="3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 customHeight="1" spans="1:25">
      <c r="A31" s="82">
        <v>33</v>
      </c>
      <c r="B31" s="36"/>
      <c r="C31" s="36"/>
      <c r="D31" s="36"/>
      <c r="E31" s="36"/>
      <c r="F31" s="82">
        <v>350</v>
      </c>
      <c r="G31" s="82">
        <v>210</v>
      </c>
      <c r="H31" s="3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customHeight="1" spans="1:25">
      <c r="A32" s="82">
        <v>34</v>
      </c>
      <c r="B32" s="36"/>
      <c r="C32" s="36"/>
      <c r="D32" s="36"/>
      <c r="E32" s="36"/>
      <c r="F32" s="82">
        <v>350</v>
      </c>
      <c r="G32" s="82">
        <v>210</v>
      </c>
      <c r="H32" s="3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customHeight="1" spans="1:25">
      <c r="A33" s="82">
        <v>35</v>
      </c>
      <c r="B33" s="36"/>
      <c r="C33" s="36"/>
      <c r="D33" s="36"/>
      <c r="E33" s="36"/>
      <c r="F33" s="82">
        <v>350</v>
      </c>
      <c r="G33" s="82">
        <v>210</v>
      </c>
      <c r="H33" s="3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customHeight="1" spans="1:25">
      <c r="A34" s="82">
        <v>36</v>
      </c>
      <c r="B34" s="36"/>
      <c r="C34" s="36"/>
      <c r="D34" s="36"/>
      <c r="E34" s="36"/>
      <c r="F34" s="82">
        <v>350</v>
      </c>
      <c r="G34" s="82">
        <v>210</v>
      </c>
      <c r="H34" s="3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customHeight="1" spans="1:25">
      <c r="A35" s="82">
        <v>37</v>
      </c>
      <c r="B35" s="36"/>
      <c r="C35" s="36"/>
      <c r="D35" s="36"/>
      <c r="E35" s="36"/>
      <c r="F35" s="82">
        <v>350</v>
      </c>
      <c r="G35" s="82">
        <v>210</v>
      </c>
      <c r="H35" s="3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customHeight="1" spans="1:25">
      <c r="A36" s="82">
        <v>38</v>
      </c>
      <c r="B36" s="36"/>
      <c r="C36" s="36"/>
      <c r="D36" s="36"/>
      <c r="E36" s="36"/>
      <c r="F36" s="82">
        <v>350</v>
      </c>
      <c r="G36" s="82">
        <v>210</v>
      </c>
      <c r="H36" s="3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customHeight="1" spans="1:25">
      <c r="A37" s="82">
        <v>39</v>
      </c>
      <c r="B37" s="36"/>
      <c r="C37" s="36"/>
      <c r="D37" s="36"/>
      <c r="E37" s="36"/>
      <c r="F37" s="82">
        <v>350</v>
      </c>
      <c r="G37" s="82">
        <v>210</v>
      </c>
      <c r="H37" s="3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customHeight="1" spans="1:25">
      <c r="A38" s="82">
        <v>40</v>
      </c>
      <c r="B38" s="36"/>
      <c r="C38" s="36"/>
      <c r="D38" s="36"/>
      <c r="E38" s="36"/>
      <c r="F38" s="82">
        <v>350</v>
      </c>
      <c r="G38" s="82">
        <v>210</v>
      </c>
      <c r="H38" s="3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customHeight="1" spans="1:25">
      <c r="A39" s="82">
        <v>41</v>
      </c>
      <c r="B39" s="36"/>
      <c r="C39" s="36"/>
      <c r="D39" s="36"/>
      <c r="E39" s="36"/>
      <c r="F39" s="82">
        <v>350</v>
      </c>
      <c r="G39" s="82">
        <v>210</v>
      </c>
      <c r="H39" s="3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customHeight="1" spans="1:25">
      <c r="A40" s="82">
        <v>42</v>
      </c>
      <c r="B40" s="36"/>
      <c r="C40" s="36"/>
      <c r="D40" s="36"/>
      <c r="E40" s="36"/>
      <c r="F40" s="82">
        <v>350</v>
      </c>
      <c r="G40" s="82">
        <v>210</v>
      </c>
      <c r="H40" s="3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</row>
    <row r="41" customHeight="1" spans="1:25">
      <c r="A41" s="82">
        <v>43</v>
      </c>
      <c r="B41" s="36"/>
      <c r="C41" s="36"/>
      <c r="D41" s="36"/>
      <c r="E41" s="36"/>
      <c r="F41" s="82">
        <v>350</v>
      </c>
      <c r="G41" s="82">
        <v>210</v>
      </c>
      <c r="H41" s="3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</row>
    <row r="42" customHeight="1" spans="1:25">
      <c r="A42" s="82">
        <v>44</v>
      </c>
      <c r="B42" s="36"/>
      <c r="C42" s="36"/>
      <c r="D42" s="36"/>
      <c r="E42" s="36"/>
      <c r="F42" s="82">
        <v>350</v>
      </c>
      <c r="G42" s="82">
        <v>210</v>
      </c>
      <c r="H42" s="3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</row>
    <row r="43" customHeight="1" spans="1:25">
      <c r="A43" s="82">
        <v>45</v>
      </c>
      <c r="B43" s="36"/>
      <c r="C43" s="36"/>
      <c r="D43" s="36"/>
      <c r="E43" s="36"/>
      <c r="F43" s="82">
        <v>350</v>
      </c>
      <c r="G43" s="82">
        <v>210</v>
      </c>
      <c r="H43" s="3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</row>
    <row r="44" customHeight="1" spans="1:25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</row>
    <row r="45" customHeight="1" spans="1:2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 customHeight="1" spans="1:25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</row>
    <row r="47" customHeight="1" spans="1:25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</row>
    <row r="48" customHeight="1" spans="1:2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</row>
    <row r="49" customHeight="1" spans="1:2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</row>
    <row r="50" customHeight="1" spans="1:2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</row>
    <row r="51" customHeight="1" spans="1:2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</row>
    <row r="52" customHeight="1" spans="1:2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</row>
    <row r="53" customHeight="1" spans="1:25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</row>
    <row r="54" customHeight="1" spans="1:2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</row>
    <row r="55" customHeight="1" spans="1:2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</row>
    <row r="56" customHeight="1" spans="1:25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</row>
    <row r="57" customHeight="1" spans="1:2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</row>
    <row r="58" customHeight="1" spans="1:2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</row>
    <row r="59" customHeight="1" spans="1:2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</row>
    <row r="60" customHeight="1" spans="1:2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</row>
    <row r="61" customHeight="1" spans="1: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</row>
    <row r="62" customHeight="1" spans="1: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</row>
    <row r="63" customHeight="1" spans="1:2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</row>
    <row r="64" customHeight="1" spans="1: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 customHeight="1" spans="1: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</row>
    <row r="66" customHeight="1" spans="1:2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</row>
    <row r="67" customHeight="1" spans="1:2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</row>
    <row r="68" customHeight="1" spans="1:2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</row>
    <row r="69" customHeight="1" spans="1:2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</row>
    <row r="70" customHeight="1" spans="1: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</row>
    <row r="71" customHeight="1" spans="1: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</row>
    <row r="72" customHeight="1" spans="1: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</row>
    <row r="73" customHeight="1" spans="1: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</row>
    <row r="74" customHeight="1" spans="1: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</row>
    <row r="75" customHeight="1" spans="1: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</row>
    <row r="76" customHeight="1" spans="1: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</row>
    <row r="77" customHeight="1" spans="1:2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</row>
    <row r="78" customHeight="1" spans="1:2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</row>
    <row r="79" customHeight="1" spans="1:2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</row>
    <row r="80" customHeight="1" spans="1:2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</row>
    <row r="81" customHeight="1" spans="1:2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</row>
    <row r="82" customHeight="1" spans="1:2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</row>
    <row r="83" customHeight="1" spans="1:2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</row>
    <row r="84" customHeight="1" spans="1: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</row>
    <row r="85" customHeight="1" spans="1:2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</row>
    <row r="86" customHeight="1" spans="1:2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</row>
    <row r="87" customHeight="1" spans="1:2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</row>
    <row r="88" customHeight="1" spans="1:2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</row>
    <row r="89" customHeight="1" spans="1:2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</row>
    <row r="90" customHeight="1" spans="1:2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</row>
    <row r="91" customHeight="1" spans="1:2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</row>
    <row r="92" customHeight="1" spans="1: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</row>
    <row r="93" customHeight="1" spans="1: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</row>
    <row r="94" customHeight="1" spans="1:2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</row>
    <row r="95" customHeight="1" spans="1: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</row>
    <row r="96" customHeight="1" spans="1: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</row>
    <row r="97" customHeight="1" spans="1: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</row>
    <row r="98" customHeight="1" spans="1: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</row>
    <row r="99" customHeight="1" spans="1:2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</row>
    <row r="100" customHeight="1" spans="1: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</row>
    <row r="101" customHeight="1" spans="1:2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</row>
    <row r="102" customHeight="1" spans="1:2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</row>
    <row r="103" customHeight="1" spans="1:2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</row>
    <row r="104" customHeight="1" spans="1:2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</row>
    <row r="105" customHeight="1" spans="1:2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</row>
    <row r="106" customHeight="1" spans="1: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</row>
    <row r="107" customHeight="1" spans="1:2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</row>
    <row r="108" customHeight="1" spans="1: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</row>
    <row r="109" customHeight="1" spans="1: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</row>
    <row r="110" customHeight="1" spans="1: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</row>
    <row r="111" customHeight="1" spans="1:2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</row>
    <row r="112" customHeight="1" spans="1:2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</row>
    <row r="113" customHeight="1" spans="1:2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</row>
    <row r="114" customHeight="1" spans="1:2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</row>
    <row r="115" customHeight="1" spans="1:2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</row>
    <row r="116" customHeight="1" spans="1:2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</row>
    <row r="117" customHeight="1" spans="1:2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</row>
    <row r="118" customHeight="1" spans="1:2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</row>
    <row r="119" customHeight="1" spans="1:2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</row>
    <row r="120" customHeight="1" spans="1:2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</row>
    <row r="121" customHeight="1" spans="1:2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</row>
    <row r="122" customHeight="1" spans="1:2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</row>
    <row r="123" customHeight="1" spans="1:2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</row>
    <row r="124" customHeight="1" spans="1:2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</row>
    <row r="125" customHeight="1" spans="1: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</row>
    <row r="126" customHeight="1" spans="1:2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</row>
    <row r="127" customHeight="1" spans="1:2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</row>
    <row r="128" customHeight="1" spans="1:2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</row>
    <row r="129" customHeight="1" spans="1:2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</row>
    <row r="130" customHeight="1" spans="1:2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</row>
    <row r="131" customHeight="1" spans="1:2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</row>
    <row r="132" customHeight="1" spans="1:2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</row>
    <row r="133" customHeight="1" spans="1:2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</row>
    <row r="134" customHeight="1" spans="1:2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</row>
    <row r="135" customHeight="1" spans="1:2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</row>
    <row r="136" customHeight="1" spans="1:2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</row>
    <row r="137" customHeight="1" spans="1:2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</row>
    <row r="138" customHeight="1" spans="1:2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</row>
    <row r="139" customHeight="1" spans="1:2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</row>
    <row r="140" customHeight="1" spans="1:2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</row>
    <row r="141" customHeight="1" spans="1:2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</row>
    <row r="142" customHeight="1" spans="1:2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</row>
    <row r="143" customHeight="1" spans="1:2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</row>
    <row r="144" customHeight="1" spans="1:2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</row>
    <row r="145" customHeight="1" spans="1:2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</row>
    <row r="146" customHeight="1" spans="1:2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</row>
    <row r="147" customHeight="1" spans="1:2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</row>
    <row r="148" customHeight="1" spans="1:2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</row>
    <row r="149" customHeight="1" spans="1:2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</row>
    <row r="150" customHeight="1" spans="1:2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</row>
    <row r="151" customHeight="1" spans="1:2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</row>
    <row r="152" customHeight="1" spans="1:2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</row>
    <row r="153" customHeight="1" spans="1:2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</row>
    <row r="154" customHeight="1" spans="1:2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</row>
    <row r="155" customHeight="1" spans="1:2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</row>
    <row r="156" customHeight="1" spans="1:2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</row>
    <row r="157" customHeight="1" spans="1:2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</row>
    <row r="158" customHeight="1" spans="1:2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</row>
    <row r="159" customHeight="1" spans="1:2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</row>
    <row r="160" customHeight="1" spans="1:2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</row>
    <row r="161" customHeight="1" spans="1:2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</row>
    <row r="162" customHeight="1" spans="1:2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</row>
    <row r="163" customHeight="1" spans="1:2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</row>
    <row r="164" customHeight="1" spans="1:2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</row>
    <row r="165" customHeight="1" spans="1:2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</row>
    <row r="166" customHeight="1" spans="1:2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</row>
    <row r="167" customHeight="1" spans="1:2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</row>
    <row r="168" customHeight="1" spans="1:2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</row>
    <row r="169" customHeight="1" spans="1:2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</row>
    <row r="170" customHeight="1" spans="1:2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</row>
    <row r="171" customHeight="1" spans="1:2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</row>
    <row r="172" customHeight="1" spans="1:2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</row>
    <row r="173" customHeight="1" spans="1:2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</row>
    <row r="174" customHeight="1" spans="1:2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</row>
    <row r="175" customHeight="1" spans="1:2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</row>
    <row r="176" customHeight="1" spans="1:2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</row>
    <row r="177" customHeight="1" spans="1:2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</row>
    <row r="178" customHeight="1" spans="1:2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</row>
    <row r="179" customHeight="1" spans="1:2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</row>
    <row r="180" customHeight="1" spans="1:2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</row>
    <row r="181" customHeight="1" spans="1:2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</row>
    <row r="182" customHeight="1" spans="1:2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</row>
    <row r="183" customHeight="1" spans="1:2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</row>
    <row r="184" customHeight="1" spans="1:2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</row>
    <row r="185" customHeight="1" spans="1:2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</row>
    <row r="186" customHeight="1" spans="1:2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</row>
    <row r="187" customHeight="1" spans="1:2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</row>
    <row r="188" customHeight="1" spans="1:2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</row>
    <row r="189" customHeight="1" spans="1:2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D40" sqref="D40"/>
    </sheetView>
  </sheetViews>
  <sheetFormatPr defaultColWidth="9.14285714285714" defaultRowHeight="12" outlineLevelRow="4"/>
  <cols>
    <col min="2" max="2" width="11.7142857142857" customWidth="1"/>
    <col min="3" max="3" width="10.1428571428571" customWidth="1"/>
    <col min="4" max="4" width="41.7142857142857" customWidth="1"/>
    <col min="5" max="5" width="12.8571428571429" customWidth="1"/>
    <col min="6" max="6" width="49.4285714285714" customWidth="1"/>
    <col min="7" max="7" width="10.1428571428571" customWidth="1"/>
    <col min="8" max="8" width="16" customWidth="1"/>
    <col min="9" max="9" width="50.8571428571429" customWidth="1"/>
    <col min="10" max="11" width="10.1428571428571" customWidth="1"/>
  </cols>
  <sheetData>
    <row r="1" ht="16.5" customHeight="1" spans="1:11">
      <c r="A1" s="73" t="s">
        <v>37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ht="16.5" customHeight="1" spans="1:11">
      <c r="A2" s="73" t="s">
        <v>38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ht="15.75" spans="1:11">
      <c r="A3" s="73" t="s">
        <v>2</v>
      </c>
      <c r="B3" s="73" t="s">
        <v>39</v>
      </c>
      <c r="C3" s="73" t="s">
        <v>40</v>
      </c>
      <c r="D3" s="73" t="s">
        <v>41</v>
      </c>
      <c r="E3" s="73" t="s">
        <v>42</v>
      </c>
      <c r="F3" s="73" t="s">
        <v>43</v>
      </c>
      <c r="G3" s="73" t="s">
        <v>44</v>
      </c>
      <c r="H3" s="73" t="s">
        <v>45</v>
      </c>
      <c r="I3" s="73" t="s">
        <v>46</v>
      </c>
      <c r="J3" s="73" t="s">
        <v>47</v>
      </c>
      <c r="K3" s="73" t="s">
        <v>48</v>
      </c>
    </row>
    <row r="4" ht="15.75" spans="1:11">
      <c r="A4" s="73">
        <v>1</v>
      </c>
      <c r="B4" s="73">
        <v>1.53020260301091e+22</v>
      </c>
      <c r="C4" s="73" t="s">
        <v>49</v>
      </c>
      <c r="D4" s="73" t="s">
        <v>50</v>
      </c>
      <c r="E4" s="73">
        <v>13413497374</v>
      </c>
      <c r="F4" s="73" t="s">
        <v>51</v>
      </c>
      <c r="G4" s="73">
        <v>350</v>
      </c>
      <c r="H4" s="74">
        <v>46082.3855439815</v>
      </c>
      <c r="I4" s="73" t="s">
        <v>52</v>
      </c>
      <c r="J4" s="73"/>
      <c r="K4" s="73"/>
    </row>
    <row r="5" ht="15.75" spans="1:11">
      <c r="A5" s="73">
        <v>2</v>
      </c>
      <c r="B5" s="73">
        <v>1.53020260227204e+22</v>
      </c>
      <c r="C5" s="73" t="s">
        <v>53</v>
      </c>
      <c r="D5" s="73" t="s">
        <v>54</v>
      </c>
      <c r="E5" s="73">
        <v>13726975693</v>
      </c>
      <c r="F5" s="73" t="s">
        <v>51</v>
      </c>
      <c r="G5" s="73">
        <v>350</v>
      </c>
      <c r="H5" s="74">
        <v>46080.8674074074</v>
      </c>
      <c r="I5" s="73" t="s">
        <v>52</v>
      </c>
      <c r="J5" s="73"/>
      <c r="K5" s="73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65" customWidth="1"/>
    <col min="2" max="2" width="13.7142857142857" style="65" customWidth="1"/>
    <col min="3" max="3" width="4.42857142857143" style="63" customWidth="1"/>
    <col min="4" max="6" width="4" style="63" customWidth="1"/>
    <col min="7" max="7" width="3.87619047619048" style="63" customWidth="1"/>
    <col min="8" max="12" width="4.28571428571429" style="63" customWidth="1"/>
    <col min="13" max="13" width="4.00952380952381" style="63" customWidth="1"/>
    <col min="14" max="14" width="4.28571428571429" style="63" customWidth="1"/>
    <col min="15" max="15" width="4.00952380952381" style="63" customWidth="1"/>
    <col min="16" max="16" width="3.87619047619048" style="63" customWidth="1"/>
    <col min="17" max="17" width="4.28571428571429" style="63" customWidth="1"/>
    <col min="18" max="19" width="4.14285714285714" style="63" customWidth="1"/>
    <col min="20" max="20" width="4.57142857142857" style="63" customWidth="1"/>
    <col min="21" max="25" width="4.14285714285714" style="63" customWidth="1"/>
    <col min="26" max="27" width="4.57142857142857" style="63" customWidth="1"/>
    <col min="28" max="28" width="4.16190476190476" style="63" customWidth="1"/>
    <col min="29" max="30" width="4.28571428571429" style="63" customWidth="1"/>
    <col min="31" max="31" width="4.00952380952381" style="63" customWidth="1"/>
    <col min="32" max="32" width="3.85714285714286" style="63" customWidth="1"/>
    <col min="33" max="34" width="4.28571428571429" style="63" customWidth="1"/>
    <col min="35" max="36" width="4.57142857142857" style="63" customWidth="1"/>
    <col min="37" max="37" width="4.28571428571429" style="63" customWidth="1"/>
    <col min="38" max="38" width="3.85714285714286" style="63" customWidth="1"/>
    <col min="39" max="16384" width="10.2857142857143" style="63"/>
  </cols>
  <sheetData>
    <row r="1" s="63" customFormat="1" ht="26" customHeight="1" spans="1:38">
      <c r="A1" s="61" t="s">
        <v>55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</row>
    <row r="2" s="63" customFormat="1" ht="26" customHeight="1" spans="1:38">
      <c r="A2" s="66" t="s">
        <v>56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</row>
    <row r="3" s="64" customFormat="1" ht="40" customHeight="1" spans="1:38">
      <c r="A3" s="67" t="s">
        <v>2</v>
      </c>
      <c r="B3" s="67" t="s">
        <v>57</v>
      </c>
      <c r="C3" s="62">
        <v>1</v>
      </c>
      <c r="D3" s="62">
        <v>2</v>
      </c>
      <c r="E3" s="62">
        <v>3</v>
      </c>
      <c r="F3" s="62">
        <v>4</v>
      </c>
      <c r="G3" s="62">
        <v>5</v>
      </c>
      <c r="H3" s="62">
        <v>6</v>
      </c>
      <c r="I3" s="62">
        <v>7</v>
      </c>
      <c r="J3" s="62">
        <v>8</v>
      </c>
      <c r="K3" s="62">
        <v>9</v>
      </c>
      <c r="L3" s="62">
        <v>10</v>
      </c>
      <c r="M3" s="62">
        <v>11</v>
      </c>
      <c r="N3" s="62">
        <v>12</v>
      </c>
      <c r="O3" s="62">
        <v>13</v>
      </c>
      <c r="P3" s="62">
        <v>14</v>
      </c>
      <c r="Q3" s="62">
        <v>15</v>
      </c>
      <c r="R3" s="62">
        <v>16</v>
      </c>
      <c r="S3" s="62">
        <v>17</v>
      </c>
      <c r="T3" s="62">
        <v>18</v>
      </c>
      <c r="U3" s="62">
        <v>19</v>
      </c>
      <c r="V3" s="62">
        <v>20</v>
      </c>
      <c r="W3" s="62">
        <v>21</v>
      </c>
      <c r="X3" s="62">
        <v>22</v>
      </c>
      <c r="Y3" s="62">
        <v>23</v>
      </c>
      <c r="Z3" s="62">
        <v>24</v>
      </c>
      <c r="AA3" s="62">
        <v>25</v>
      </c>
      <c r="AB3" s="62">
        <v>26</v>
      </c>
      <c r="AC3" s="62">
        <v>27</v>
      </c>
      <c r="AD3" s="62">
        <v>28</v>
      </c>
      <c r="AE3" s="62">
        <v>29</v>
      </c>
      <c r="AF3" s="62">
        <v>30</v>
      </c>
      <c r="AG3" s="62"/>
      <c r="AH3" s="62"/>
      <c r="AI3" s="62"/>
      <c r="AJ3" s="62"/>
      <c r="AK3" s="62"/>
      <c r="AL3" s="62"/>
    </row>
    <row r="4" s="63" customFormat="1" ht="25" customHeight="1" spans="1:38">
      <c r="A4" s="68">
        <v>1</v>
      </c>
      <c r="B4" s="69"/>
      <c r="C4" s="68"/>
      <c r="D4" s="68"/>
      <c r="E4" s="68"/>
      <c r="F4" s="68"/>
      <c r="G4" s="68"/>
      <c r="H4" s="68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</row>
    <row r="5" s="63" customFormat="1" ht="25" customHeight="1" spans="1:38">
      <c r="A5" s="68">
        <v>2</v>
      </c>
      <c r="B5" s="69"/>
      <c r="C5" s="68"/>
      <c r="D5" s="68"/>
      <c r="E5" s="68"/>
      <c r="F5" s="68"/>
      <c r="G5" s="68"/>
      <c r="H5" s="68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</row>
    <row r="6" s="63" customFormat="1" ht="25" customHeight="1" spans="1:38">
      <c r="A6" s="68">
        <v>3</v>
      </c>
      <c r="B6" s="69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</row>
    <row r="7" s="63" customFormat="1" ht="25" customHeight="1" spans="1:38">
      <c r="A7" s="68">
        <v>13</v>
      </c>
      <c r="B7" s="69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</row>
    <row r="8" s="63" customFormat="1" ht="25" customHeight="1" spans="1:38">
      <c r="A8" s="68">
        <v>14</v>
      </c>
      <c r="B8" s="69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</row>
    <row r="9" s="63" customFormat="1" ht="25" customHeight="1" spans="1:38">
      <c r="A9" s="68">
        <v>15</v>
      </c>
      <c r="B9" s="69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</row>
    <row r="10" s="63" customFormat="1" ht="25" customHeight="1" spans="1:38">
      <c r="A10" s="68">
        <v>16</v>
      </c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</row>
    <row r="11" s="63" customFormat="1" ht="25" customHeight="1" spans="1:38">
      <c r="A11" s="68">
        <v>17</v>
      </c>
      <c r="B11" s="71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</row>
    <row r="12" s="63" customFormat="1" ht="25" customHeight="1" spans="1:38">
      <c r="A12" s="68">
        <v>18</v>
      </c>
      <c r="B12" s="71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</row>
    <row r="13" s="63" customFormat="1" ht="15" customHeight="1" spans="1:38">
      <c r="A13" s="72"/>
      <c r="B13" s="72"/>
    </row>
    <row r="14" s="63" customFormat="1" ht="15" customHeight="1" spans="1:38">
      <c r="A14" s="72"/>
      <c r="B14" s="72"/>
    </row>
    <row r="15" s="63" customFormat="1" ht="15" customHeight="1" spans="1:38">
      <c r="A15" s="72"/>
      <c r="B15" s="72"/>
    </row>
    <row r="16" s="63" customFormat="1" ht="15" customHeight="1" spans="1:38">
      <c r="A16" s="72"/>
      <c r="B16" s="72"/>
    </row>
    <row r="17" s="63" customFormat="1" ht="15" customHeight="1" spans="1:2">
      <c r="A17" s="72"/>
      <c r="B17" s="72"/>
    </row>
    <row r="18" s="63" customFormat="1" ht="15" customHeight="1" spans="1:2">
      <c r="A18" s="72"/>
      <c r="B18" s="72"/>
    </row>
    <row r="19" s="63" customFormat="1" ht="15" customHeight="1" spans="1:2">
      <c r="A19" s="72"/>
      <c r="B19" s="72"/>
    </row>
    <row r="20" s="63" customFormat="1" ht="15" customHeight="1" spans="1:2">
      <c r="A20" s="72"/>
      <c r="B20" s="72"/>
    </row>
    <row r="21" s="63" customFormat="1" ht="15" customHeight="1" spans="1:2">
      <c r="A21" s="72"/>
      <c r="B21" s="72"/>
    </row>
    <row r="22" s="63" customFormat="1" ht="15" customHeight="1" spans="1:2">
      <c r="A22" s="72"/>
      <c r="B22" s="72"/>
    </row>
    <row r="23" s="63" customFormat="1" ht="15" customHeight="1" spans="1:2">
      <c r="A23" s="72"/>
      <c r="B23" s="72"/>
    </row>
    <row r="24" s="63" customFormat="1" ht="15" customHeight="1" spans="1:2">
      <c r="A24" s="72"/>
      <c r="B24" s="72"/>
    </row>
    <row r="25" s="63" customFormat="1" ht="15" customHeight="1" spans="1:2">
      <c r="A25" s="72"/>
      <c r="B25" s="72"/>
    </row>
    <row r="26" s="63" customFormat="1" ht="15" customHeight="1" spans="1:2">
      <c r="A26" s="72"/>
      <c r="B26" s="72"/>
    </row>
    <row r="27" s="63" customFormat="1" ht="15" customHeight="1" spans="1:2">
      <c r="A27" s="72"/>
      <c r="B27" s="72"/>
    </row>
    <row r="28" s="63" customFormat="1" ht="15" customHeight="1" spans="1:2">
      <c r="A28" s="72"/>
      <c r="B28" s="72"/>
    </row>
    <row r="29" s="63" customFormat="1" ht="15" customHeight="1" spans="1:2">
      <c r="A29" s="72"/>
      <c r="B29" s="72"/>
    </row>
    <row r="30" s="63" customFormat="1" ht="15" customHeight="1" spans="1:2">
      <c r="A30" s="72"/>
      <c r="B30" s="72"/>
    </row>
    <row r="31" s="63" customFormat="1" ht="15" customHeight="1" spans="1:2">
      <c r="A31" s="72"/>
      <c r="B31" s="72"/>
    </row>
    <row r="32" s="63" customFormat="1" ht="15" customHeight="1" spans="1:2">
      <c r="A32" s="72"/>
      <c r="B32" s="72"/>
    </row>
    <row r="33" s="63" customFormat="1" ht="15" customHeight="1" spans="1:2">
      <c r="A33" s="72"/>
      <c r="B33" s="72"/>
    </row>
    <row r="34" s="63" customFormat="1" ht="15" customHeight="1" spans="1:2">
      <c r="A34" s="72"/>
      <c r="B34" s="72"/>
    </row>
    <row r="35" s="63" customFormat="1" ht="15" customHeight="1" spans="1:2">
      <c r="A35" s="72"/>
      <c r="B35" s="72"/>
    </row>
    <row r="36" s="63" customFormat="1" ht="15" customHeight="1" spans="1:2">
      <c r="A36" s="72"/>
      <c r="B36" s="72"/>
    </row>
    <row r="37" s="63" customFormat="1" ht="15" customHeight="1" spans="1:2">
      <c r="A37" s="72"/>
      <c r="B37" s="72"/>
    </row>
    <row r="38" s="63" customFormat="1" ht="15" customHeight="1" spans="1:2">
      <c r="A38" s="72"/>
      <c r="B38" s="72"/>
    </row>
    <row r="39" s="63" customFormat="1" ht="15" customHeight="1" spans="1:2">
      <c r="A39" s="72"/>
      <c r="B39" s="72"/>
    </row>
    <row r="40" s="63" customFormat="1" ht="15" customHeight="1" spans="1:2">
      <c r="A40" s="72"/>
      <c r="B40" s="72"/>
    </row>
    <row r="41" s="63" customFormat="1" ht="15" customHeight="1" spans="1:2">
      <c r="A41" s="72"/>
      <c r="B41" s="72"/>
    </row>
    <row r="42" s="63" customFormat="1" ht="15" customHeight="1" spans="1:2">
      <c r="A42" s="72"/>
      <c r="B42" s="72"/>
    </row>
    <row r="43" s="63" customFormat="1" ht="15" customHeight="1" spans="1:2">
      <c r="A43" s="72"/>
      <c r="B43" s="72"/>
    </row>
    <row r="44" s="63" customFormat="1" ht="15" customHeight="1" spans="1:2">
      <c r="A44" s="72"/>
      <c r="B44" s="72"/>
    </row>
    <row r="45" s="63" customFormat="1" ht="15" customHeight="1" spans="1:2">
      <c r="A45" s="72"/>
      <c r="B45" s="72"/>
    </row>
    <row r="46" s="63" customFormat="1" ht="15" customHeight="1" spans="1:2">
      <c r="A46" s="72"/>
      <c r="B46" s="72"/>
    </row>
    <row r="47" s="63" customFormat="1" ht="15" customHeight="1" spans="1:2">
      <c r="A47" s="72"/>
      <c r="B47" s="72"/>
    </row>
    <row r="48" s="63" customFormat="1" ht="15" customHeight="1" spans="1:2">
      <c r="A48" s="72"/>
      <c r="B48" s="72"/>
    </row>
    <row r="49" s="63" customFormat="1" ht="15" customHeight="1" spans="1:2">
      <c r="A49" s="72"/>
      <c r="B49" s="72"/>
    </row>
    <row r="50" s="63" customFormat="1" ht="15" customHeight="1" spans="1:2">
      <c r="A50" s="72"/>
      <c r="B50" s="72"/>
    </row>
    <row r="51" s="63" customFormat="1" ht="15" customHeight="1" spans="1:2">
      <c r="A51" s="72"/>
      <c r="B51" s="72"/>
    </row>
    <row r="52" s="63" customFormat="1" ht="15" customHeight="1" spans="1:2">
      <c r="A52" s="72"/>
      <c r="B52" s="72"/>
    </row>
    <row r="53" s="63" customFormat="1" ht="15" customHeight="1" spans="1:2">
      <c r="A53" s="72"/>
      <c r="B53" s="72"/>
    </row>
    <row r="54" s="63" customFormat="1" ht="15" customHeight="1" spans="1:2">
      <c r="A54" s="72"/>
      <c r="B54" s="72"/>
    </row>
    <row r="55" s="63" customFormat="1" ht="15" customHeight="1" spans="1:2">
      <c r="A55" s="72"/>
      <c r="B55" s="72"/>
    </row>
    <row r="56" s="63" customFormat="1" ht="15" customHeight="1" spans="1:2">
      <c r="A56" s="72"/>
      <c r="B56" s="72"/>
    </row>
    <row r="57" s="63" customFormat="1" ht="15" customHeight="1" spans="1:2">
      <c r="A57" s="72"/>
      <c r="B57" s="72"/>
    </row>
    <row r="58" s="63" customFormat="1" ht="15" customHeight="1" spans="1:2">
      <c r="A58" s="72"/>
      <c r="B58" s="72"/>
    </row>
    <row r="59" s="63" customFormat="1" ht="15" customHeight="1" spans="1:2">
      <c r="A59" s="72"/>
      <c r="B59" s="72"/>
    </row>
    <row r="60" s="63" customFormat="1" ht="15" customHeight="1" spans="1:2">
      <c r="A60" s="72"/>
      <c r="B60" s="72"/>
    </row>
    <row r="61" s="63" customFormat="1" ht="15" customHeight="1" spans="1:2">
      <c r="A61" s="72"/>
      <c r="B61" s="72"/>
    </row>
    <row r="62" s="63" customFormat="1" ht="15" customHeight="1" spans="1:2">
      <c r="A62" s="72"/>
      <c r="B62" s="72"/>
    </row>
    <row r="63" s="63" customFormat="1" ht="15" customHeight="1" spans="1:2">
      <c r="A63" s="72"/>
      <c r="B63" s="72"/>
    </row>
    <row r="64" s="63" customFormat="1" ht="15" customHeight="1" spans="1:2">
      <c r="A64" s="72"/>
      <c r="B64" s="72"/>
    </row>
    <row r="65" s="63" customFormat="1" ht="15" customHeight="1" spans="1:2">
      <c r="A65" s="72"/>
      <c r="B65" s="72"/>
    </row>
    <row r="66" s="63" customFormat="1" ht="15" customHeight="1" spans="1:2">
      <c r="A66" s="72"/>
      <c r="B66" s="72"/>
    </row>
    <row r="67" s="63" customFormat="1" ht="15" customHeight="1" spans="1:2">
      <c r="A67" s="72"/>
      <c r="B67" s="72"/>
    </row>
    <row r="68" s="63" customFormat="1" ht="15" customHeight="1" spans="1:2">
      <c r="A68" s="72"/>
      <c r="B68" s="72"/>
    </row>
    <row r="69" s="63" customFormat="1" ht="15" customHeight="1" spans="1:2">
      <c r="A69" s="72"/>
      <c r="B69" s="72"/>
    </row>
    <row r="70" s="63" customFormat="1" ht="15" customHeight="1" spans="1:2">
      <c r="A70" s="72"/>
      <c r="B70" s="72"/>
    </row>
    <row r="71" s="63" customFormat="1" spans="1:2">
      <c r="A71" s="65"/>
      <c r="B71" s="65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C14" sqref="C14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38" customHeight="1" spans="1:6">
      <c r="A1" s="61" t="s">
        <v>58</v>
      </c>
      <c r="B1" s="61"/>
      <c r="C1" s="61"/>
      <c r="D1" s="61"/>
      <c r="E1" s="61"/>
      <c r="F1" s="61"/>
    </row>
    <row r="2" s="1" customFormat="1" ht="39" customHeight="1" spans="1:6">
      <c r="A2" s="7" t="s">
        <v>2</v>
      </c>
      <c r="B2" s="7" t="s">
        <v>59</v>
      </c>
      <c r="C2" s="7" t="s">
        <v>3</v>
      </c>
      <c r="D2" s="62" t="s">
        <v>60</v>
      </c>
      <c r="E2" s="7" t="s">
        <v>61</v>
      </c>
      <c r="F2" s="7" t="s">
        <v>7</v>
      </c>
    </row>
    <row r="3" ht="28" customHeight="1" spans="1:6">
      <c r="A3" s="13">
        <v>1</v>
      </c>
      <c r="B3" s="9">
        <v>46093</v>
      </c>
      <c r="C3" s="10" t="s">
        <v>13</v>
      </c>
      <c r="D3" s="28">
        <v>1</v>
      </c>
      <c r="E3" s="22"/>
      <c r="F3" s="12"/>
    </row>
    <row r="4" ht="28" customHeight="1" spans="1:6">
      <c r="A4" s="13">
        <v>2</v>
      </c>
      <c r="B4" s="9">
        <v>46093</v>
      </c>
      <c r="C4" s="10" t="s">
        <v>16</v>
      </c>
      <c r="D4" s="28">
        <v>1</v>
      </c>
      <c r="E4" s="22"/>
      <c r="F4" s="15"/>
    </row>
    <row r="5" ht="28" customHeight="1" spans="1:6">
      <c r="A5" s="13">
        <v>3</v>
      </c>
      <c r="B5" s="9">
        <v>46093</v>
      </c>
      <c r="C5" s="10" t="s">
        <v>30</v>
      </c>
      <c r="D5" s="28">
        <v>1</v>
      </c>
      <c r="E5" s="22"/>
      <c r="F5" s="15"/>
    </row>
    <row r="6" ht="28" customHeight="1" spans="1:6">
      <c r="A6" s="13">
        <v>4</v>
      </c>
      <c r="B6" s="9">
        <v>46093</v>
      </c>
      <c r="C6" s="10" t="s">
        <v>17</v>
      </c>
      <c r="D6" s="28">
        <v>1</v>
      </c>
      <c r="E6" s="22"/>
      <c r="F6" s="15"/>
    </row>
    <row r="7" ht="28" customHeight="1" spans="1:6">
      <c r="A7" s="13">
        <v>5</v>
      </c>
      <c r="B7" s="9">
        <v>46093</v>
      </c>
      <c r="C7" s="10" t="s">
        <v>18</v>
      </c>
      <c r="D7" s="28">
        <v>1</v>
      </c>
      <c r="E7" s="22"/>
      <c r="F7" s="15"/>
    </row>
    <row r="8" ht="28" customHeight="1" spans="1:6">
      <c r="A8" s="13">
        <v>6</v>
      </c>
      <c r="B8" s="9">
        <v>46093</v>
      </c>
      <c r="C8" s="10" t="s">
        <v>19</v>
      </c>
      <c r="D8" s="28">
        <v>1</v>
      </c>
      <c r="E8" s="22"/>
      <c r="F8" s="15"/>
    </row>
    <row r="9" ht="28" customHeight="1" spans="1:6">
      <c r="A9" s="13">
        <v>7</v>
      </c>
      <c r="B9" s="9">
        <v>46093</v>
      </c>
      <c r="C9" s="10" t="s">
        <v>20</v>
      </c>
      <c r="D9" s="28">
        <v>1</v>
      </c>
      <c r="E9" s="28"/>
      <c r="F9" s="14"/>
    </row>
    <row r="10" customFormat="1" ht="28" customHeight="1" spans="1:6">
      <c r="A10" s="13">
        <v>8</v>
      </c>
      <c r="B10" s="9">
        <v>46093</v>
      </c>
      <c r="C10" s="10" t="s">
        <v>21</v>
      </c>
      <c r="D10" s="28">
        <v>1</v>
      </c>
      <c r="E10" s="28"/>
      <c r="F10" s="14"/>
    </row>
    <row r="11" ht="28" customHeight="1" spans="1:6">
      <c r="A11" s="13">
        <v>9</v>
      </c>
      <c r="B11" s="9">
        <v>46093</v>
      </c>
      <c r="C11" s="10" t="s">
        <v>22</v>
      </c>
      <c r="D11" s="28">
        <v>1</v>
      </c>
      <c r="E11" s="28"/>
      <c r="F11" s="14"/>
    </row>
    <row r="12" ht="28" customHeight="1" spans="1:6">
      <c r="A12" s="13">
        <v>10</v>
      </c>
      <c r="B12" s="9">
        <v>46093</v>
      </c>
      <c r="C12" s="10" t="s">
        <v>24</v>
      </c>
      <c r="D12" s="28">
        <v>1</v>
      </c>
      <c r="E12" s="28"/>
      <c r="F12" s="14"/>
    </row>
    <row r="13" ht="28" customHeight="1" spans="1:6">
      <c r="A13" s="13">
        <v>11</v>
      </c>
      <c r="B13" s="9">
        <v>46093</v>
      </c>
      <c r="C13" s="10" t="s">
        <v>26</v>
      </c>
      <c r="D13" s="28">
        <v>1</v>
      </c>
      <c r="E13" s="28"/>
      <c r="F13" s="14"/>
    </row>
    <row r="14" ht="28" customHeight="1" spans="1:6">
      <c r="A14" s="13">
        <v>12</v>
      </c>
      <c r="B14" s="9">
        <v>46093</v>
      </c>
      <c r="C14" s="10" t="s">
        <v>27</v>
      </c>
      <c r="D14" s="28">
        <v>1</v>
      </c>
      <c r="E14" s="28"/>
      <c r="F14" s="14"/>
    </row>
    <row r="15" ht="28" customHeight="1" spans="1:6">
      <c r="A15" s="13">
        <v>13</v>
      </c>
      <c r="B15" s="9">
        <v>46093</v>
      </c>
      <c r="C15" s="10" t="s">
        <v>28</v>
      </c>
      <c r="D15" s="28">
        <v>1</v>
      </c>
      <c r="E15" s="28"/>
      <c r="F15" s="14"/>
    </row>
    <row r="16" ht="18" customHeight="1" spans="1:6">
      <c r="D16" s="26">
        <f>SUM(D3:D15)</f>
        <v>13</v>
      </c>
    </row>
    <row r="18" ht="14.25" spans="3:6">
      <c r="C18" s="11" t="s">
        <v>31</v>
      </c>
      <c r="D18">
        <v>1</v>
      </c>
      <c r="F18" t="s">
        <v>62</v>
      </c>
    </row>
    <row r="19" ht="14.25" spans="3:6">
      <c r="C19" s="11" t="s">
        <v>33</v>
      </c>
      <c r="D19">
        <v>1</v>
      </c>
      <c r="F19" t="s">
        <v>62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workbookViewId="0">
      <pane xSplit="3" ySplit="2" topLeftCell="H11" activePane="bottomRight" state="frozen"/>
      <selection/>
      <selection pane="topRight"/>
      <selection pane="bottomLeft"/>
      <selection pane="bottomRight" activeCell="Q27" sqref="Q27"/>
    </sheetView>
  </sheetViews>
  <sheetFormatPr defaultColWidth="9.14285714285714" defaultRowHeight="23" customHeight="1"/>
  <cols>
    <col min="1" max="1" width="9.14285714285714" style="26"/>
    <col min="2" max="2" width="10.7142857142857" style="26" customWidth="1"/>
    <col min="3" max="3" width="10" style="26" customWidth="1"/>
    <col min="4" max="13" width="7.42857142857143" style="26" customWidth="1"/>
    <col min="14" max="21" width="7" style="26" customWidth="1"/>
    <col min="22" max="16384" width="9.14285714285714" style="26"/>
  </cols>
  <sheetData>
    <row r="1" s="37" customFormat="1" customHeight="1" spans="1:24">
      <c r="A1" s="40" t="s">
        <v>63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="38" customFormat="1" ht="20" customHeight="1" spans="1:24">
      <c r="A2" s="42" t="s">
        <v>2</v>
      </c>
      <c r="B2" s="42" t="s">
        <v>57</v>
      </c>
      <c r="C2" s="43" t="s">
        <v>64</v>
      </c>
      <c r="D2" s="44">
        <v>46090</v>
      </c>
      <c r="E2" s="44">
        <v>46093</v>
      </c>
      <c r="F2" s="44">
        <v>46097</v>
      </c>
      <c r="G2" s="45">
        <v>46100</v>
      </c>
      <c r="H2" s="45">
        <v>46104</v>
      </c>
      <c r="I2" s="45">
        <v>46107</v>
      </c>
      <c r="J2" s="45">
        <v>46111</v>
      </c>
      <c r="K2" s="45">
        <v>46114</v>
      </c>
      <c r="L2" s="45">
        <v>46119</v>
      </c>
      <c r="M2" s="45">
        <v>46121</v>
      </c>
      <c r="N2" s="45">
        <v>46125</v>
      </c>
      <c r="O2" s="45">
        <v>46128</v>
      </c>
      <c r="P2" s="46">
        <v>46132</v>
      </c>
      <c r="Q2" s="46">
        <v>46135</v>
      </c>
      <c r="R2" s="45">
        <v>46139</v>
      </c>
      <c r="S2" s="45">
        <v>46142</v>
      </c>
      <c r="T2" s="45"/>
      <c r="U2" s="45"/>
      <c r="V2" s="47" t="s">
        <v>65</v>
      </c>
      <c r="W2" s="38" t="s">
        <v>66</v>
      </c>
    </row>
    <row r="3" s="39" customFormat="1" customHeight="1" spans="1:24">
      <c r="A3" s="13">
        <v>1</v>
      </c>
      <c r="B3" s="10" t="s">
        <v>13</v>
      </c>
      <c r="C3" s="48">
        <v>100</v>
      </c>
      <c r="D3" s="48">
        <v>3</v>
      </c>
      <c r="E3" s="48">
        <v>2</v>
      </c>
      <c r="F3" s="48">
        <v>3</v>
      </c>
      <c r="G3" s="48">
        <v>2</v>
      </c>
      <c r="H3" s="48">
        <v>3</v>
      </c>
      <c r="I3" s="48">
        <v>3</v>
      </c>
      <c r="J3" s="48">
        <v>3</v>
      </c>
      <c r="K3" s="48">
        <v>2</v>
      </c>
      <c r="L3" s="48">
        <v>3</v>
      </c>
      <c r="M3" s="48">
        <v>2</v>
      </c>
      <c r="N3" s="48">
        <v>3</v>
      </c>
      <c r="O3" s="48">
        <v>2</v>
      </c>
      <c r="P3" s="48">
        <v>3</v>
      </c>
      <c r="Q3" s="48">
        <v>2</v>
      </c>
      <c r="R3" s="48">
        <v>3</v>
      </c>
      <c r="S3" s="48">
        <v>2</v>
      </c>
      <c r="T3" s="48"/>
      <c r="U3" s="13"/>
      <c r="V3" s="13">
        <f>SUM(D3:U3)</f>
        <v>41</v>
      </c>
      <c r="W3" s="39">
        <f t="shared" ref="W3:W30" si="0">C3-V3</f>
        <v>59</v>
      </c>
    </row>
    <row r="4" s="39" customFormat="1" customHeight="1" spans="1:24">
      <c r="A4" s="13">
        <v>2</v>
      </c>
      <c r="B4" s="10" t="s">
        <v>16</v>
      </c>
      <c r="C4" s="48">
        <v>100</v>
      </c>
      <c r="D4" s="48">
        <v>3</v>
      </c>
      <c r="E4" s="48">
        <v>2</v>
      </c>
      <c r="F4" s="48">
        <v>3</v>
      </c>
      <c r="G4" s="48">
        <v>2</v>
      </c>
      <c r="H4" s="48">
        <v>3</v>
      </c>
      <c r="I4" s="48">
        <v>3</v>
      </c>
      <c r="J4" s="48">
        <v>3</v>
      </c>
      <c r="K4" s="48">
        <v>2</v>
      </c>
      <c r="L4" s="48">
        <v>3</v>
      </c>
      <c r="M4" s="48">
        <v>2</v>
      </c>
      <c r="N4" s="48">
        <v>3</v>
      </c>
      <c r="O4" s="48">
        <v>2</v>
      </c>
      <c r="P4" s="48">
        <v>3</v>
      </c>
      <c r="Q4" s="48">
        <v>2</v>
      </c>
      <c r="R4" s="48">
        <v>3</v>
      </c>
      <c r="S4" s="48">
        <v>2</v>
      </c>
      <c r="T4" s="48"/>
      <c r="U4" s="13"/>
      <c r="V4" s="13">
        <f>SUM(D4:U4)</f>
        <v>41</v>
      </c>
      <c r="W4" s="39">
        <f t="shared" si="0"/>
        <v>59</v>
      </c>
      <c r="X4" s="26"/>
    </row>
    <row r="5" s="39" customFormat="1" customHeight="1" spans="1:24">
      <c r="A5" s="13">
        <v>3</v>
      </c>
      <c r="B5" s="10" t="s">
        <v>30</v>
      </c>
      <c r="C5" s="48">
        <v>100</v>
      </c>
      <c r="D5" s="48">
        <v>3</v>
      </c>
      <c r="E5" s="48">
        <v>2</v>
      </c>
      <c r="F5" s="48">
        <v>3</v>
      </c>
      <c r="G5" s="48">
        <v>2</v>
      </c>
      <c r="H5" s="48">
        <v>3</v>
      </c>
      <c r="I5" s="48">
        <v>3</v>
      </c>
      <c r="J5" s="48">
        <v>3</v>
      </c>
      <c r="K5" s="48">
        <v>2</v>
      </c>
      <c r="L5" s="48">
        <v>3</v>
      </c>
      <c r="M5" s="48">
        <v>2</v>
      </c>
      <c r="N5" s="48">
        <v>3</v>
      </c>
      <c r="O5" s="48">
        <v>2</v>
      </c>
      <c r="P5" s="48">
        <v>3</v>
      </c>
      <c r="Q5" s="48">
        <v>2</v>
      </c>
      <c r="R5" s="48">
        <v>3</v>
      </c>
      <c r="S5" s="48">
        <v>2</v>
      </c>
      <c r="T5" s="48"/>
      <c r="U5" s="13"/>
      <c r="V5" s="13">
        <f>SUM(D5:U5)</f>
        <v>41</v>
      </c>
      <c r="W5" s="39">
        <f t="shared" si="0"/>
        <v>59</v>
      </c>
      <c r="X5" s="26"/>
    </row>
    <row r="6" s="39" customFormat="1" customHeight="1" spans="1:24">
      <c r="A6" s="13">
        <v>4</v>
      </c>
      <c r="B6" s="10" t="s">
        <v>17</v>
      </c>
      <c r="C6" s="48">
        <v>100</v>
      </c>
      <c r="D6" s="48">
        <v>3</v>
      </c>
      <c r="E6" s="48">
        <v>2</v>
      </c>
      <c r="F6" s="48">
        <v>3</v>
      </c>
      <c r="G6" s="48">
        <v>2</v>
      </c>
      <c r="H6" s="48">
        <v>3</v>
      </c>
      <c r="I6" s="48">
        <v>3</v>
      </c>
      <c r="J6" s="48">
        <v>3</v>
      </c>
      <c r="K6" s="48">
        <v>2</v>
      </c>
      <c r="L6" s="48">
        <v>3</v>
      </c>
      <c r="M6" s="48">
        <v>2</v>
      </c>
      <c r="N6" s="48">
        <v>3</v>
      </c>
      <c r="O6" s="48">
        <v>2</v>
      </c>
      <c r="P6" s="48">
        <v>3</v>
      </c>
      <c r="Q6" s="48">
        <v>2</v>
      </c>
      <c r="R6" s="48">
        <v>3</v>
      </c>
      <c r="S6" s="48">
        <v>2</v>
      </c>
      <c r="T6" s="48"/>
      <c r="U6" s="13"/>
      <c r="V6" s="13">
        <f t="shared" ref="V6:V32" si="1">SUM(D6:U6)</f>
        <v>41</v>
      </c>
      <c r="W6" s="39">
        <f t="shared" si="0"/>
        <v>59</v>
      </c>
    </row>
    <row r="7" s="39" customFormat="1" customHeight="1" spans="1:24">
      <c r="A7" s="13">
        <v>5</v>
      </c>
      <c r="B7" s="10" t="s">
        <v>18</v>
      </c>
      <c r="C7" s="48">
        <v>100</v>
      </c>
      <c r="D7" s="48">
        <v>3</v>
      </c>
      <c r="E7" s="48">
        <v>2</v>
      </c>
      <c r="F7" s="48">
        <v>3</v>
      </c>
      <c r="G7" s="48">
        <v>2</v>
      </c>
      <c r="H7" s="48">
        <v>3</v>
      </c>
      <c r="I7" s="48">
        <v>3</v>
      </c>
      <c r="J7" s="48">
        <v>3</v>
      </c>
      <c r="K7" s="48">
        <v>2</v>
      </c>
      <c r="L7" s="48">
        <v>3</v>
      </c>
      <c r="M7" s="48">
        <v>2</v>
      </c>
      <c r="N7" s="48">
        <v>3</v>
      </c>
      <c r="O7" s="48">
        <v>2</v>
      </c>
      <c r="P7" s="48">
        <v>3</v>
      </c>
      <c r="Q7" s="48">
        <v>2</v>
      </c>
      <c r="R7" s="48">
        <v>3</v>
      </c>
      <c r="S7" s="48">
        <v>2</v>
      </c>
      <c r="T7" s="48"/>
      <c r="U7" s="13"/>
      <c r="V7" s="13">
        <f t="shared" si="1"/>
        <v>41</v>
      </c>
      <c r="W7" s="39">
        <f t="shared" si="0"/>
        <v>59</v>
      </c>
    </row>
    <row r="8" s="39" customFormat="1" customHeight="1" spans="1:24">
      <c r="A8" s="13">
        <v>6</v>
      </c>
      <c r="B8" s="10" t="s">
        <v>19</v>
      </c>
      <c r="C8" s="48">
        <v>100</v>
      </c>
      <c r="D8" s="48">
        <v>3</v>
      </c>
      <c r="E8" s="48">
        <v>2</v>
      </c>
      <c r="F8" s="48">
        <v>3</v>
      </c>
      <c r="G8" s="48">
        <v>2</v>
      </c>
      <c r="H8" s="48">
        <v>3</v>
      </c>
      <c r="I8" s="48">
        <v>3</v>
      </c>
      <c r="J8" s="48">
        <v>3</v>
      </c>
      <c r="K8" s="48">
        <v>2</v>
      </c>
      <c r="L8" s="48">
        <v>3</v>
      </c>
      <c r="M8" s="48">
        <v>2</v>
      </c>
      <c r="N8" s="48">
        <v>3</v>
      </c>
      <c r="O8" s="48">
        <v>2</v>
      </c>
      <c r="P8" s="48">
        <v>3</v>
      </c>
      <c r="Q8" s="48">
        <v>2</v>
      </c>
      <c r="R8" s="48">
        <v>3</v>
      </c>
      <c r="S8" s="48">
        <v>2</v>
      </c>
      <c r="T8" s="48"/>
      <c r="U8" s="13"/>
      <c r="V8" s="13">
        <f t="shared" si="1"/>
        <v>41</v>
      </c>
      <c r="W8" s="39">
        <f t="shared" si="0"/>
        <v>59</v>
      </c>
    </row>
    <row r="9" s="39" customFormat="1" customHeight="1" spans="1:24">
      <c r="A9" s="13">
        <v>7</v>
      </c>
      <c r="B9" s="10" t="s">
        <v>20</v>
      </c>
      <c r="C9" s="48">
        <v>100</v>
      </c>
      <c r="D9" s="48">
        <v>3</v>
      </c>
      <c r="E9" s="48">
        <v>2</v>
      </c>
      <c r="F9" s="48">
        <v>3</v>
      </c>
      <c r="G9" s="48">
        <v>2</v>
      </c>
      <c r="H9" s="48">
        <v>3</v>
      </c>
      <c r="I9" s="48">
        <v>3</v>
      </c>
      <c r="J9" s="48">
        <v>3</v>
      </c>
      <c r="K9" s="48">
        <v>2</v>
      </c>
      <c r="L9" s="48">
        <v>3</v>
      </c>
      <c r="M9" s="48">
        <v>2</v>
      </c>
      <c r="N9" s="48">
        <v>3</v>
      </c>
      <c r="O9" s="48">
        <v>2</v>
      </c>
      <c r="P9" s="48">
        <v>3</v>
      </c>
      <c r="Q9" s="48">
        <v>2</v>
      </c>
      <c r="R9" s="48">
        <v>3</v>
      </c>
      <c r="S9" s="48">
        <v>2</v>
      </c>
      <c r="T9" s="48"/>
      <c r="U9" s="13"/>
      <c r="V9" s="13">
        <f t="shared" si="1"/>
        <v>41</v>
      </c>
      <c r="W9" s="39">
        <f t="shared" si="0"/>
        <v>59</v>
      </c>
    </row>
    <row r="10" customHeight="1" spans="1:24">
      <c r="A10" s="13">
        <v>8</v>
      </c>
      <c r="B10" s="10" t="s">
        <v>21</v>
      </c>
      <c r="C10" s="48">
        <v>100</v>
      </c>
      <c r="D10" s="48">
        <v>3</v>
      </c>
      <c r="E10" s="48">
        <v>2</v>
      </c>
      <c r="F10" s="48">
        <v>3</v>
      </c>
      <c r="G10" s="48">
        <v>2</v>
      </c>
      <c r="H10" s="48">
        <v>3</v>
      </c>
      <c r="I10" s="48">
        <v>3</v>
      </c>
      <c r="J10" s="48">
        <v>3</v>
      </c>
      <c r="K10" s="48">
        <v>2</v>
      </c>
      <c r="L10" s="48">
        <v>3</v>
      </c>
      <c r="M10" s="48">
        <v>2</v>
      </c>
      <c r="N10" s="48">
        <v>3</v>
      </c>
      <c r="O10" s="48">
        <v>2</v>
      </c>
      <c r="P10" s="48">
        <v>3</v>
      </c>
      <c r="Q10" s="48">
        <v>2</v>
      </c>
      <c r="R10" s="48">
        <v>3</v>
      </c>
      <c r="S10" s="48">
        <v>2</v>
      </c>
      <c r="T10" s="48"/>
      <c r="U10" s="49"/>
      <c r="V10" s="13">
        <f t="shared" si="1"/>
        <v>41</v>
      </c>
      <c r="W10" s="39">
        <f t="shared" si="0"/>
        <v>59</v>
      </c>
    </row>
    <row r="11" customHeight="1" spans="1:24">
      <c r="A11" s="13">
        <v>9</v>
      </c>
      <c r="B11" s="10" t="s">
        <v>22</v>
      </c>
      <c r="C11" s="48">
        <v>100</v>
      </c>
      <c r="D11" s="48">
        <v>3</v>
      </c>
      <c r="E11" s="48">
        <v>2</v>
      </c>
      <c r="F11" s="48">
        <v>3</v>
      </c>
      <c r="G11" s="48">
        <v>2</v>
      </c>
      <c r="H11" s="48">
        <v>3</v>
      </c>
      <c r="I11" s="48">
        <v>3</v>
      </c>
      <c r="J11" s="48">
        <v>3</v>
      </c>
      <c r="K11" s="48">
        <v>2</v>
      </c>
      <c r="L11" s="48">
        <v>3</v>
      </c>
      <c r="M11" s="48">
        <v>2</v>
      </c>
      <c r="N11" s="48">
        <v>3</v>
      </c>
      <c r="O11" s="48">
        <v>2</v>
      </c>
      <c r="P11" s="48">
        <v>3</v>
      </c>
      <c r="Q11" s="48">
        <v>2</v>
      </c>
      <c r="R11" s="48">
        <v>3</v>
      </c>
      <c r="S11" s="48">
        <v>2</v>
      </c>
      <c r="T11" s="48"/>
      <c r="U11" s="49"/>
      <c r="V11" s="13">
        <f t="shared" si="1"/>
        <v>41</v>
      </c>
      <c r="W11" s="39">
        <f t="shared" si="0"/>
        <v>59</v>
      </c>
    </row>
    <row r="12" customHeight="1" spans="1:24">
      <c r="A12" s="13">
        <v>10</v>
      </c>
      <c r="B12" s="10" t="s">
        <v>24</v>
      </c>
      <c r="C12" s="48">
        <v>100</v>
      </c>
      <c r="D12" s="48">
        <v>3</v>
      </c>
      <c r="E12" s="48">
        <v>2</v>
      </c>
      <c r="F12" s="48">
        <v>3</v>
      </c>
      <c r="G12" s="48">
        <v>2</v>
      </c>
      <c r="H12" s="48">
        <v>3</v>
      </c>
      <c r="I12" s="48">
        <v>3</v>
      </c>
      <c r="J12" s="48">
        <v>3</v>
      </c>
      <c r="K12" s="48">
        <v>2</v>
      </c>
      <c r="L12" s="48">
        <v>3</v>
      </c>
      <c r="M12" s="48">
        <v>2</v>
      </c>
      <c r="N12" s="48">
        <v>3</v>
      </c>
      <c r="O12" s="48">
        <v>2</v>
      </c>
      <c r="P12" s="48">
        <v>3</v>
      </c>
      <c r="Q12" s="48">
        <v>2</v>
      </c>
      <c r="R12" s="48">
        <v>3</v>
      </c>
      <c r="S12" s="48">
        <v>2</v>
      </c>
      <c r="T12" s="48"/>
      <c r="U12" s="49"/>
      <c r="V12" s="13">
        <f t="shared" si="1"/>
        <v>41</v>
      </c>
      <c r="W12" s="39">
        <f t="shared" si="0"/>
        <v>59</v>
      </c>
    </row>
    <row r="13" customHeight="1" spans="1:24">
      <c r="A13" s="13">
        <v>11</v>
      </c>
      <c r="B13" s="10" t="s">
        <v>67</v>
      </c>
      <c r="C13" s="48">
        <v>100</v>
      </c>
      <c r="D13" s="48">
        <v>3</v>
      </c>
      <c r="E13" s="48">
        <v>2</v>
      </c>
      <c r="F13" s="48">
        <v>3</v>
      </c>
      <c r="G13" s="48">
        <v>2</v>
      </c>
      <c r="H13" s="48">
        <v>3</v>
      </c>
      <c r="I13" s="48">
        <v>3</v>
      </c>
      <c r="J13" s="48">
        <v>3</v>
      </c>
      <c r="K13" s="48">
        <v>2</v>
      </c>
      <c r="L13" s="48">
        <v>3</v>
      </c>
      <c r="M13" s="48">
        <v>2</v>
      </c>
      <c r="N13" s="48">
        <v>3</v>
      </c>
      <c r="O13" s="48">
        <v>2</v>
      </c>
      <c r="P13" s="48">
        <v>3</v>
      </c>
      <c r="Q13" s="48">
        <v>2</v>
      </c>
      <c r="R13" s="48">
        <v>3</v>
      </c>
      <c r="S13" s="48">
        <v>2</v>
      </c>
      <c r="T13" s="48"/>
      <c r="U13" s="49"/>
      <c r="V13" s="13">
        <f t="shared" si="1"/>
        <v>41</v>
      </c>
      <c r="W13" s="39">
        <f t="shared" si="0"/>
        <v>59</v>
      </c>
    </row>
    <row r="14" customHeight="1" spans="1:24">
      <c r="A14" s="13">
        <v>12</v>
      </c>
      <c r="B14" s="10" t="s">
        <v>27</v>
      </c>
      <c r="C14" s="48">
        <v>100</v>
      </c>
      <c r="D14" s="48">
        <v>3</v>
      </c>
      <c r="E14" s="48">
        <v>2</v>
      </c>
      <c r="F14" s="48">
        <v>3</v>
      </c>
      <c r="G14" s="48">
        <v>2</v>
      </c>
      <c r="H14" s="48">
        <v>3</v>
      </c>
      <c r="I14" s="48">
        <v>3</v>
      </c>
      <c r="J14" s="48">
        <v>3</v>
      </c>
      <c r="K14" s="48">
        <v>2</v>
      </c>
      <c r="L14" s="48">
        <v>3</v>
      </c>
      <c r="M14" s="48">
        <v>2</v>
      </c>
      <c r="N14" s="48">
        <v>3</v>
      </c>
      <c r="O14" s="48">
        <v>2</v>
      </c>
      <c r="P14" s="48">
        <v>3</v>
      </c>
      <c r="Q14" s="48">
        <v>2</v>
      </c>
      <c r="R14" s="48">
        <v>3</v>
      </c>
      <c r="S14" s="48">
        <v>2</v>
      </c>
      <c r="T14" s="48"/>
      <c r="U14" s="49"/>
      <c r="V14" s="13">
        <f t="shared" si="1"/>
        <v>41</v>
      </c>
      <c r="W14" s="39">
        <f t="shared" si="0"/>
        <v>59</v>
      </c>
    </row>
    <row r="15" customHeight="1" spans="1:24">
      <c r="A15" s="13">
        <v>13</v>
      </c>
      <c r="B15" s="10" t="s">
        <v>28</v>
      </c>
      <c r="C15" s="48">
        <v>100</v>
      </c>
      <c r="D15" s="48">
        <v>3</v>
      </c>
      <c r="E15" s="48">
        <v>2</v>
      </c>
      <c r="F15" s="48">
        <v>3</v>
      </c>
      <c r="G15" s="48">
        <v>2</v>
      </c>
      <c r="H15" s="48">
        <v>3</v>
      </c>
      <c r="I15" s="48">
        <v>3</v>
      </c>
      <c r="J15" s="48">
        <v>3</v>
      </c>
      <c r="K15" s="48">
        <v>2</v>
      </c>
      <c r="L15" s="48">
        <v>3</v>
      </c>
      <c r="M15" s="48">
        <v>2</v>
      </c>
      <c r="N15" s="48">
        <v>3</v>
      </c>
      <c r="O15" s="48">
        <v>2</v>
      </c>
      <c r="P15" s="48">
        <v>3</v>
      </c>
      <c r="Q15" s="48">
        <v>2</v>
      </c>
      <c r="R15" s="48">
        <v>3</v>
      </c>
      <c r="S15" s="48">
        <v>2</v>
      </c>
      <c r="T15" s="48"/>
      <c r="U15" s="49"/>
      <c r="V15" s="13">
        <f t="shared" si="1"/>
        <v>41</v>
      </c>
      <c r="W15" s="39">
        <f t="shared" si="0"/>
        <v>59</v>
      </c>
    </row>
    <row r="16" customHeight="1" spans="1:24">
      <c r="A16" s="13">
        <v>16</v>
      </c>
      <c r="B16" s="10" t="s">
        <v>31</v>
      </c>
      <c r="C16" s="48">
        <v>100</v>
      </c>
      <c r="D16" s="48">
        <v>0</v>
      </c>
      <c r="E16" s="48">
        <v>0</v>
      </c>
      <c r="F16" s="48">
        <v>6</v>
      </c>
      <c r="G16" s="48">
        <v>4</v>
      </c>
      <c r="H16" s="48">
        <v>3</v>
      </c>
      <c r="I16" s="48">
        <v>3</v>
      </c>
      <c r="J16" s="48">
        <v>3</v>
      </c>
      <c r="K16" s="48">
        <v>2</v>
      </c>
      <c r="L16" s="48">
        <v>3</v>
      </c>
      <c r="M16" s="48">
        <v>2</v>
      </c>
      <c r="N16" s="48">
        <v>3</v>
      </c>
      <c r="O16" s="48">
        <v>2</v>
      </c>
      <c r="P16" s="48">
        <v>3</v>
      </c>
      <c r="Q16" s="48">
        <v>2</v>
      </c>
      <c r="R16" s="48">
        <v>3</v>
      </c>
      <c r="S16" s="48">
        <v>2</v>
      </c>
      <c r="T16" s="48"/>
      <c r="U16" s="49"/>
      <c r="V16" s="13">
        <f t="shared" si="1"/>
        <v>41</v>
      </c>
      <c r="W16" s="39">
        <f t="shared" si="0"/>
        <v>59</v>
      </c>
    </row>
    <row r="17" customHeight="1" spans="1:23">
      <c r="A17" s="13">
        <v>17</v>
      </c>
      <c r="B17" s="10" t="s">
        <v>35</v>
      </c>
      <c r="C17" s="48">
        <v>100</v>
      </c>
      <c r="D17" s="48">
        <v>0</v>
      </c>
      <c r="E17" s="48">
        <v>0</v>
      </c>
      <c r="F17" s="48">
        <v>0</v>
      </c>
      <c r="G17" s="48">
        <v>0</v>
      </c>
      <c r="H17" s="48">
        <v>3</v>
      </c>
      <c r="I17" s="48">
        <v>3</v>
      </c>
      <c r="J17" s="48">
        <v>3</v>
      </c>
      <c r="K17" s="48">
        <v>2</v>
      </c>
      <c r="L17" s="48">
        <v>3</v>
      </c>
      <c r="M17" s="48">
        <v>2</v>
      </c>
      <c r="N17" s="48">
        <v>3</v>
      </c>
      <c r="O17" s="48">
        <v>2</v>
      </c>
      <c r="P17" s="48">
        <v>6</v>
      </c>
      <c r="Q17" s="48">
        <v>4</v>
      </c>
      <c r="R17" s="48">
        <v>6</v>
      </c>
      <c r="S17" s="48">
        <v>4</v>
      </c>
      <c r="T17" s="48"/>
      <c r="U17" s="49"/>
      <c r="V17" s="13">
        <f t="shared" si="1"/>
        <v>41</v>
      </c>
      <c r="W17" s="39">
        <f t="shared" si="0"/>
        <v>59</v>
      </c>
    </row>
    <row r="18" customHeight="1" spans="1:23">
      <c r="A18" s="13">
        <v>18</v>
      </c>
      <c r="B18" s="50" t="s">
        <v>33</v>
      </c>
      <c r="C18" s="48">
        <v>100</v>
      </c>
      <c r="D18" s="48"/>
      <c r="E18" s="48"/>
      <c r="F18" s="48"/>
      <c r="G18" s="48">
        <v>4</v>
      </c>
      <c r="H18" s="48">
        <v>0</v>
      </c>
      <c r="I18" s="48">
        <v>6</v>
      </c>
      <c r="J18" s="35">
        <v>6</v>
      </c>
      <c r="K18" s="48">
        <v>4</v>
      </c>
      <c r="L18" s="48">
        <v>4</v>
      </c>
      <c r="M18" s="48">
        <v>4</v>
      </c>
      <c r="N18" s="48">
        <v>3</v>
      </c>
      <c r="O18" s="48">
        <v>4</v>
      </c>
      <c r="P18" s="48">
        <v>3</v>
      </c>
      <c r="Q18" s="48">
        <v>4</v>
      </c>
      <c r="R18" s="48">
        <v>3</v>
      </c>
      <c r="S18" s="48">
        <v>4</v>
      </c>
      <c r="T18" s="48"/>
      <c r="U18" s="49"/>
      <c r="V18" s="13">
        <f t="shared" si="1"/>
        <v>49</v>
      </c>
      <c r="W18" s="39">
        <f t="shared" si="0"/>
        <v>51</v>
      </c>
    </row>
    <row r="19" customHeight="1" spans="1:23">
      <c r="A19" s="13">
        <v>19</v>
      </c>
      <c r="B19" s="51"/>
      <c r="C19" s="48"/>
      <c r="D19" s="48"/>
      <c r="E19" s="48"/>
      <c r="F19" s="48"/>
      <c r="G19" s="48"/>
      <c r="H19" s="48"/>
      <c r="I19" s="48"/>
      <c r="J19" s="35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9"/>
      <c r="V19" s="13">
        <f t="shared" si="1"/>
        <v>0</v>
      </c>
      <c r="W19" s="39">
        <f t="shared" si="0"/>
        <v>0</v>
      </c>
    </row>
    <row r="20" customHeight="1" spans="1:23">
      <c r="A20" s="13">
        <v>14</v>
      </c>
      <c r="B20" s="52" t="s">
        <v>68</v>
      </c>
      <c r="C20" s="48">
        <v>100</v>
      </c>
      <c r="D20" s="48">
        <v>3</v>
      </c>
      <c r="E20" s="48">
        <v>2</v>
      </c>
      <c r="F20" s="48">
        <v>3</v>
      </c>
      <c r="G20" s="48">
        <v>2</v>
      </c>
      <c r="H20" s="48">
        <v>3</v>
      </c>
      <c r="I20" s="48">
        <v>3</v>
      </c>
      <c r="J20" s="48">
        <v>3</v>
      </c>
      <c r="K20" s="48">
        <v>2</v>
      </c>
      <c r="L20" s="48">
        <v>3</v>
      </c>
      <c r="M20" s="48">
        <v>2</v>
      </c>
      <c r="N20" s="48">
        <v>3</v>
      </c>
      <c r="O20" s="48">
        <v>2</v>
      </c>
      <c r="P20" s="48">
        <v>3</v>
      </c>
      <c r="Q20" s="48">
        <v>2</v>
      </c>
      <c r="R20" s="48">
        <v>3</v>
      </c>
      <c r="S20" s="48">
        <v>2</v>
      </c>
      <c r="T20" s="48"/>
      <c r="U20" s="49"/>
      <c r="V20" s="13">
        <f t="shared" si="1"/>
        <v>41</v>
      </c>
      <c r="W20" s="39">
        <f t="shared" si="0"/>
        <v>59</v>
      </c>
    </row>
    <row r="21" customHeight="1" spans="1:23">
      <c r="A21" s="13">
        <v>15</v>
      </c>
      <c r="B21" s="52" t="s">
        <v>69</v>
      </c>
      <c r="C21" s="48">
        <v>100</v>
      </c>
      <c r="D21" s="48">
        <v>3</v>
      </c>
      <c r="E21" s="48">
        <v>2</v>
      </c>
      <c r="F21" s="48">
        <v>3</v>
      </c>
      <c r="G21" s="48">
        <v>2</v>
      </c>
      <c r="H21" s="48">
        <v>3</v>
      </c>
      <c r="I21" s="48">
        <v>3</v>
      </c>
      <c r="J21" s="48">
        <v>3</v>
      </c>
      <c r="K21" s="48">
        <v>2</v>
      </c>
      <c r="L21" s="48">
        <v>3</v>
      </c>
      <c r="M21" s="48">
        <v>2</v>
      </c>
      <c r="N21" s="48">
        <v>3</v>
      </c>
      <c r="O21" s="48">
        <v>2</v>
      </c>
      <c r="P21" s="48">
        <v>3</v>
      </c>
      <c r="Q21" s="48">
        <v>2</v>
      </c>
      <c r="R21" s="48">
        <v>3</v>
      </c>
      <c r="S21" s="48">
        <v>2</v>
      </c>
      <c r="T21" s="48"/>
      <c r="U21" s="49"/>
      <c r="V21" s="13">
        <f t="shared" si="1"/>
        <v>41</v>
      </c>
      <c r="W21" s="39">
        <f t="shared" si="0"/>
        <v>59</v>
      </c>
    </row>
    <row r="22" customHeight="1" spans="1:23">
      <c r="A22" s="13">
        <v>20</v>
      </c>
      <c r="B22" s="53" t="s">
        <v>70</v>
      </c>
      <c r="C22" s="48">
        <v>100</v>
      </c>
      <c r="D22" s="48"/>
      <c r="E22" s="48"/>
      <c r="F22" s="48">
        <v>3</v>
      </c>
      <c r="G22" s="48">
        <v>2</v>
      </c>
      <c r="H22" s="48">
        <v>3</v>
      </c>
      <c r="I22" s="48">
        <v>3</v>
      </c>
      <c r="J22" s="48">
        <v>3</v>
      </c>
      <c r="K22" s="48">
        <v>2</v>
      </c>
      <c r="L22" s="48">
        <v>3</v>
      </c>
      <c r="M22" s="48">
        <v>2</v>
      </c>
      <c r="N22" s="48">
        <v>3</v>
      </c>
      <c r="O22" s="48">
        <v>2</v>
      </c>
      <c r="P22" s="48">
        <v>3</v>
      </c>
      <c r="Q22" s="48">
        <v>2</v>
      </c>
      <c r="R22" s="48">
        <v>3</v>
      </c>
      <c r="S22" s="48">
        <v>2</v>
      </c>
      <c r="T22" s="48"/>
      <c r="U22" s="49"/>
      <c r="V22" s="13">
        <f t="shared" si="1"/>
        <v>36</v>
      </c>
      <c r="W22" s="39">
        <f t="shared" si="0"/>
        <v>64</v>
      </c>
    </row>
    <row r="23" customHeight="1" spans="1:23">
      <c r="A23" s="13">
        <v>21</v>
      </c>
      <c r="B23" s="54" t="s">
        <v>71</v>
      </c>
      <c r="C23" s="48">
        <v>100</v>
      </c>
      <c r="D23" s="48"/>
      <c r="E23" s="48"/>
      <c r="F23" s="48"/>
      <c r="G23" s="48"/>
      <c r="H23" s="48">
        <v>3</v>
      </c>
      <c r="I23" s="48">
        <v>3</v>
      </c>
      <c r="J23" s="48">
        <v>3</v>
      </c>
      <c r="K23" s="48">
        <v>2</v>
      </c>
      <c r="L23" s="48">
        <v>3</v>
      </c>
      <c r="M23" s="48">
        <v>2</v>
      </c>
      <c r="N23" s="48">
        <v>6</v>
      </c>
      <c r="O23" s="48">
        <v>2</v>
      </c>
      <c r="P23" s="48">
        <v>6</v>
      </c>
      <c r="Q23" s="48">
        <v>2</v>
      </c>
      <c r="R23" s="48">
        <v>6</v>
      </c>
      <c r="S23" s="48">
        <v>2</v>
      </c>
      <c r="T23" s="48"/>
      <c r="U23" s="49"/>
      <c r="V23" s="13">
        <f t="shared" si="1"/>
        <v>40</v>
      </c>
      <c r="W23" s="39">
        <f t="shared" si="0"/>
        <v>60</v>
      </c>
    </row>
    <row r="24" customHeight="1" spans="1:23">
      <c r="A24" s="13">
        <v>22</v>
      </c>
      <c r="B24" s="51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9"/>
      <c r="V24" s="13">
        <f t="shared" si="1"/>
        <v>0</v>
      </c>
      <c r="W24" s="39">
        <f t="shared" si="0"/>
        <v>0</v>
      </c>
    </row>
    <row r="25" customHeight="1" spans="1:23">
      <c r="A25" s="13">
        <v>23</v>
      </c>
      <c r="B25" s="55"/>
      <c r="C25" s="48"/>
      <c r="D25" s="48">
        <f t="shared" ref="D25:R25" si="2">SUM(D3:D24)</f>
        <v>45</v>
      </c>
      <c r="E25" s="48">
        <f t="shared" si="2"/>
        <v>30</v>
      </c>
      <c r="F25" s="48">
        <f t="shared" si="2"/>
        <v>54</v>
      </c>
      <c r="G25" s="48">
        <f t="shared" si="2"/>
        <v>40</v>
      </c>
      <c r="H25" s="48">
        <f t="shared" si="2"/>
        <v>57</v>
      </c>
      <c r="I25" s="48">
        <f t="shared" si="2"/>
        <v>63</v>
      </c>
      <c r="J25" s="48">
        <f t="shared" si="2"/>
        <v>63</v>
      </c>
      <c r="K25" s="48">
        <f t="shared" si="2"/>
        <v>42</v>
      </c>
      <c r="L25" s="48">
        <f t="shared" si="2"/>
        <v>61</v>
      </c>
      <c r="M25" s="48">
        <f t="shared" si="2"/>
        <v>42</v>
      </c>
      <c r="N25" s="48">
        <f t="shared" si="2"/>
        <v>63</v>
      </c>
      <c r="O25" s="48">
        <f t="shared" si="2"/>
        <v>42</v>
      </c>
      <c r="P25" s="48">
        <f t="shared" si="2"/>
        <v>66</v>
      </c>
      <c r="Q25" s="48">
        <f t="shared" si="2"/>
        <v>44</v>
      </c>
      <c r="R25" s="48">
        <f t="shared" si="2"/>
        <v>66</v>
      </c>
      <c r="S25" s="48"/>
      <c r="T25" s="48"/>
      <c r="U25" s="49"/>
      <c r="V25" s="13"/>
      <c r="W25" s="39"/>
    </row>
    <row r="26" customHeight="1" spans="1:23">
      <c r="A26" s="13">
        <v>24</v>
      </c>
      <c r="B26" s="55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9"/>
      <c r="V26" s="13">
        <f t="shared" si="1"/>
        <v>0</v>
      </c>
      <c r="W26" s="39">
        <f t="shared" si="0"/>
        <v>0</v>
      </c>
    </row>
    <row r="27" customHeight="1" spans="1:23">
      <c r="A27" s="56">
        <v>25</v>
      </c>
      <c r="B27" s="57"/>
      <c r="C27" s="58"/>
      <c r="D27" s="59"/>
      <c r="E27" s="59"/>
      <c r="F27" s="59"/>
      <c r="G27" s="59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9"/>
      <c r="V27" s="56">
        <f t="shared" si="1"/>
        <v>0</v>
      </c>
      <c r="W27" s="39">
        <f t="shared" si="0"/>
        <v>0</v>
      </c>
    </row>
    <row r="28" customHeight="1" spans="1:23">
      <c r="A28" s="13">
        <v>26</v>
      </c>
      <c r="B28" s="55"/>
      <c r="C28" s="48"/>
      <c r="D28" s="49"/>
      <c r="E28" s="49"/>
      <c r="F28" s="49"/>
      <c r="G28" s="49"/>
      <c r="H28" s="48"/>
      <c r="I28" s="48"/>
      <c r="J28" s="48"/>
      <c r="K28" s="48"/>
      <c r="L28" s="48"/>
      <c r="M28" s="48"/>
      <c r="N28" s="58"/>
      <c r="O28" s="58"/>
      <c r="P28" s="58"/>
      <c r="Q28" s="58"/>
      <c r="R28" s="58"/>
      <c r="S28" s="58"/>
      <c r="T28" s="58"/>
      <c r="U28" s="49"/>
      <c r="V28" s="13">
        <f t="shared" si="1"/>
        <v>0</v>
      </c>
      <c r="W28" s="39">
        <f t="shared" si="0"/>
        <v>0</v>
      </c>
    </row>
    <row r="29" customHeight="1" spans="1:23">
      <c r="A29" s="13">
        <v>27</v>
      </c>
      <c r="B29" s="55"/>
      <c r="C29" s="48"/>
      <c r="D29" s="49"/>
      <c r="E29" s="49"/>
      <c r="F29" s="49"/>
      <c r="G29" s="49"/>
      <c r="H29" s="48"/>
      <c r="I29" s="48"/>
      <c r="J29" s="48"/>
      <c r="K29" s="48"/>
      <c r="L29" s="48"/>
      <c r="M29" s="48"/>
      <c r="N29" s="58"/>
      <c r="O29" s="58"/>
      <c r="P29" s="58"/>
      <c r="Q29" s="58"/>
      <c r="R29" s="58"/>
      <c r="S29" s="58"/>
      <c r="T29" s="58"/>
      <c r="U29" s="49"/>
      <c r="V29" s="13">
        <f t="shared" si="1"/>
        <v>0</v>
      </c>
      <c r="W29" s="39">
        <f t="shared" si="0"/>
        <v>0</v>
      </c>
    </row>
    <row r="30" customHeight="1" spans="1:23">
      <c r="A30" s="13">
        <v>28</v>
      </c>
      <c r="B30" s="55"/>
      <c r="C30" s="48"/>
      <c r="D30" s="49"/>
      <c r="E30" s="49"/>
      <c r="F30" s="49"/>
      <c r="G30" s="49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9"/>
      <c r="V30" s="13">
        <f t="shared" si="1"/>
        <v>0</v>
      </c>
      <c r="W30" s="39">
        <f t="shared" si="0"/>
        <v>0</v>
      </c>
    </row>
    <row r="31" customHeight="1" spans="1:23">
      <c r="A31" s="13">
        <v>29</v>
      </c>
      <c r="B31" s="55"/>
      <c r="C31" s="48"/>
      <c r="D31" s="49"/>
      <c r="E31" s="49"/>
      <c r="F31" s="49"/>
      <c r="G31" s="49"/>
      <c r="H31" s="49"/>
      <c r="I31" s="49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  <c r="V31" s="13">
        <f t="shared" si="1"/>
        <v>0</v>
      </c>
      <c r="W31" s="39"/>
    </row>
    <row r="32" customHeight="1" spans="1:23">
      <c r="A32" s="13">
        <v>30</v>
      </c>
      <c r="B32" s="55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>
        <f t="shared" si="1"/>
        <v>0</v>
      </c>
      <c r="W32" s="39"/>
    </row>
    <row r="33" customHeight="1" spans="1:22">
      <c r="A33" s="49"/>
      <c r="B33" s="60"/>
      <c r="C33" s="60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</row>
    <row r="34" customHeight="1" spans="1:22">
      <c r="A34" s="49"/>
      <c r="B34" s="60"/>
      <c r="C34" s="60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</row>
    <row r="35" customHeight="1" spans="1:22">
      <c r="A35" s="49"/>
      <c r="B35" s="60"/>
      <c r="C35" s="60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</row>
  </sheetData>
  <mergeCells count="1">
    <mergeCell ref="A1:V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C16" sqref="C1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ht="38" customHeight="1" spans="1:15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ht="22" customHeight="1" spans="1:15">
      <c r="A3" s="8">
        <v>1</v>
      </c>
      <c r="B3" s="9">
        <v>46090</v>
      </c>
      <c r="C3" s="10" t="s">
        <v>13</v>
      </c>
      <c r="D3" s="10" t="s">
        <v>77</v>
      </c>
      <c r="E3" s="10">
        <v>3</v>
      </c>
      <c r="F3" s="11"/>
      <c r="G3" s="12"/>
      <c r="I3" s="13">
        <v>1</v>
      </c>
      <c r="J3" s="9">
        <v>46090</v>
      </c>
      <c r="K3" s="10" t="s">
        <v>49</v>
      </c>
      <c r="L3" s="10" t="s">
        <v>77</v>
      </c>
      <c r="M3" s="11">
        <v>3</v>
      </c>
      <c r="N3" s="10"/>
      <c r="O3" s="14"/>
    </row>
    <row r="4" ht="22" customHeight="1" spans="1:15">
      <c r="A4" s="8">
        <v>2</v>
      </c>
      <c r="B4" s="9">
        <v>46090</v>
      </c>
      <c r="C4" s="10" t="s">
        <v>16</v>
      </c>
      <c r="D4" s="10" t="s">
        <v>77</v>
      </c>
      <c r="E4" s="10">
        <v>3</v>
      </c>
      <c r="F4" s="11"/>
      <c r="G4" s="15"/>
      <c r="I4" s="13">
        <v>2</v>
      </c>
      <c r="J4" s="9">
        <v>46090</v>
      </c>
      <c r="K4" s="10" t="s">
        <v>53</v>
      </c>
      <c r="L4" s="10" t="s">
        <v>77</v>
      </c>
      <c r="M4" s="11">
        <v>3</v>
      </c>
      <c r="N4" s="10"/>
      <c r="O4" s="14"/>
    </row>
    <row r="5" customFormat="1" ht="22" customHeight="1" spans="1:15">
      <c r="A5" s="8">
        <v>3</v>
      </c>
      <c r="B5" s="9">
        <v>46090</v>
      </c>
      <c r="C5" s="10" t="s">
        <v>30</v>
      </c>
      <c r="D5" s="10" t="s">
        <v>77</v>
      </c>
      <c r="E5" s="11"/>
      <c r="F5" s="10">
        <v>3</v>
      </c>
      <c r="G5" s="14"/>
      <c r="I5" s="13">
        <v>3</v>
      </c>
      <c r="J5" s="9"/>
      <c r="K5" s="17"/>
      <c r="L5" s="18"/>
      <c r="M5" s="12"/>
      <c r="N5" s="14"/>
      <c r="O5" s="14"/>
    </row>
    <row r="6" ht="22" customHeight="1" spans="1:15">
      <c r="A6" s="8">
        <v>4</v>
      </c>
      <c r="B6" s="9">
        <v>46090</v>
      </c>
      <c r="C6" s="10" t="s">
        <v>17</v>
      </c>
      <c r="D6" s="10" t="s">
        <v>77</v>
      </c>
      <c r="E6" s="11"/>
      <c r="F6" s="10">
        <v>3</v>
      </c>
      <c r="G6" s="15"/>
      <c r="I6" s="13">
        <v>4</v>
      </c>
      <c r="J6" s="9"/>
      <c r="K6" s="17"/>
      <c r="L6" s="18"/>
      <c r="M6" s="12"/>
      <c r="N6" s="14"/>
      <c r="O6" s="14"/>
    </row>
    <row r="7" ht="22" customHeight="1" spans="1:15">
      <c r="A7" s="8">
        <v>5</v>
      </c>
      <c r="B7" s="9">
        <v>46090</v>
      </c>
      <c r="C7" s="10" t="s">
        <v>18</v>
      </c>
      <c r="D7" s="10" t="s">
        <v>77</v>
      </c>
      <c r="E7" s="11"/>
      <c r="F7" s="10">
        <v>3</v>
      </c>
      <c r="G7" s="15"/>
      <c r="I7" s="13">
        <v>5</v>
      </c>
      <c r="J7" s="9"/>
      <c r="K7" s="17"/>
      <c r="L7" s="18"/>
      <c r="M7" s="12"/>
      <c r="N7" s="14"/>
      <c r="O7" s="14"/>
    </row>
    <row r="8" ht="22" customHeight="1" spans="1:15">
      <c r="A8" s="8">
        <v>6</v>
      </c>
      <c r="B8" s="9">
        <v>46090</v>
      </c>
      <c r="C8" s="10" t="s">
        <v>19</v>
      </c>
      <c r="D8" s="10" t="s">
        <v>77</v>
      </c>
      <c r="E8" s="10">
        <v>2</v>
      </c>
      <c r="F8" s="10">
        <v>1</v>
      </c>
      <c r="G8" s="15"/>
      <c r="I8" s="13">
        <v>6</v>
      </c>
      <c r="J8" s="9"/>
      <c r="K8" s="17"/>
      <c r="L8" s="18"/>
      <c r="M8" s="12"/>
      <c r="N8" s="14"/>
      <c r="O8" s="14"/>
    </row>
    <row r="9" ht="22" customHeight="1" spans="1:15">
      <c r="A9" s="8">
        <v>7</v>
      </c>
      <c r="B9" s="9">
        <v>46090</v>
      </c>
      <c r="C9" s="10" t="s">
        <v>20</v>
      </c>
      <c r="D9" s="10" t="s">
        <v>77</v>
      </c>
      <c r="E9" s="10">
        <v>3</v>
      </c>
      <c r="F9" s="11"/>
      <c r="G9" s="15"/>
      <c r="I9" s="13">
        <v>7</v>
      </c>
      <c r="J9" s="9"/>
      <c r="K9" s="17"/>
      <c r="L9" s="18"/>
      <c r="M9" s="12"/>
      <c r="N9" s="14"/>
      <c r="O9" s="14"/>
    </row>
    <row r="10" ht="22" customHeight="1" spans="1:15">
      <c r="A10" s="8">
        <v>8</v>
      </c>
      <c r="B10" s="9">
        <v>46090</v>
      </c>
      <c r="C10" s="10" t="s">
        <v>21</v>
      </c>
      <c r="D10" s="10" t="s">
        <v>77</v>
      </c>
      <c r="E10" s="10">
        <v>3</v>
      </c>
      <c r="F10" s="11"/>
      <c r="G10" s="14"/>
      <c r="I10" s="13">
        <v>8</v>
      </c>
      <c r="J10" s="9"/>
      <c r="K10" s="17"/>
      <c r="L10" s="18"/>
      <c r="M10" s="12"/>
      <c r="N10" s="14"/>
      <c r="O10" s="14"/>
    </row>
    <row r="11" ht="22" customHeight="1" spans="1:15">
      <c r="A11" s="8">
        <v>9</v>
      </c>
      <c r="B11" s="9">
        <v>46090</v>
      </c>
      <c r="C11" s="10" t="s">
        <v>22</v>
      </c>
      <c r="D11" s="10" t="s">
        <v>77</v>
      </c>
      <c r="E11" s="10">
        <v>3</v>
      </c>
      <c r="F11" s="11"/>
      <c r="G11" s="14"/>
      <c r="I11" s="13"/>
      <c r="J11" s="9"/>
      <c r="K11" s="17"/>
      <c r="L11" s="18"/>
      <c r="M11" s="12"/>
      <c r="N11" s="14"/>
      <c r="O11" s="14"/>
    </row>
    <row r="12" customFormat="1" ht="22" customHeight="1" spans="1:15">
      <c r="A12" s="8">
        <v>10</v>
      </c>
      <c r="B12" s="9">
        <v>46090</v>
      </c>
      <c r="C12" s="10" t="s">
        <v>24</v>
      </c>
      <c r="D12" s="10" t="s">
        <v>77</v>
      </c>
      <c r="E12" s="10">
        <v>2</v>
      </c>
      <c r="F12" s="10">
        <v>1</v>
      </c>
      <c r="G12" s="14"/>
      <c r="I12" s="13"/>
      <c r="J12" s="19"/>
      <c r="K12" s="17"/>
      <c r="L12" s="20"/>
      <c r="M12" s="21"/>
      <c r="N12" s="22"/>
      <c r="O12" s="22"/>
    </row>
    <row r="13" customFormat="1" ht="22" customHeight="1" spans="1:15">
      <c r="A13" s="8">
        <v>11</v>
      </c>
      <c r="B13" s="9">
        <v>46090</v>
      </c>
      <c r="C13" s="10" t="s">
        <v>26</v>
      </c>
      <c r="D13" s="10" t="s">
        <v>77</v>
      </c>
      <c r="E13" s="11"/>
      <c r="F13" s="10">
        <v>3</v>
      </c>
      <c r="G13" s="14"/>
      <c r="M13" s="23">
        <f>SUM(M3:M12)</f>
        <v>6</v>
      </c>
      <c r="N13" s="23">
        <f>SUM(N3:N12)</f>
        <v>0</v>
      </c>
    </row>
    <row r="14" customFormat="1" ht="22" customHeight="1" spans="1:15">
      <c r="A14" s="8">
        <v>12</v>
      </c>
      <c r="B14" s="9">
        <v>46090</v>
      </c>
      <c r="C14" s="10" t="s">
        <v>27</v>
      </c>
      <c r="D14" s="10" t="s">
        <v>77</v>
      </c>
      <c r="E14" s="11"/>
      <c r="F14" s="10">
        <v>3</v>
      </c>
      <c r="G14" s="14"/>
    </row>
    <row r="15" customFormat="1" ht="22" customHeight="1" spans="1:15">
      <c r="A15" s="8">
        <v>13</v>
      </c>
      <c r="B15" s="9">
        <v>46090</v>
      </c>
      <c r="C15" s="10" t="s">
        <v>28</v>
      </c>
      <c r="D15" s="10" t="s">
        <v>77</v>
      </c>
      <c r="E15" s="11">
        <v>3</v>
      </c>
      <c r="F15" s="10"/>
      <c r="G15" s="14"/>
    </row>
    <row r="16" customFormat="1" ht="22" customHeight="1" spans="1:15">
      <c r="A16" s="8"/>
      <c r="B16" s="9"/>
      <c r="C16" s="36" t="s">
        <v>31</v>
      </c>
      <c r="D16" s="18"/>
      <c r="E16" s="12"/>
      <c r="F16" s="14"/>
      <c r="G16" s="14"/>
    </row>
    <row r="17" customFormat="1" ht="22" customHeight="1" spans="1:7">
      <c r="A17" s="8"/>
      <c r="B17" s="9"/>
      <c r="C17" s="17"/>
      <c r="D17" s="18"/>
      <c r="E17" s="12"/>
      <c r="F17" s="14"/>
      <c r="G17" s="14"/>
    </row>
    <row r="18" customFormat="1" ht="22" customHeight="1" spans="1:7">
      <c r="A18" s="8"/>
      <c r="B18" s="9"/>
      <c r="C18" s="17"/>
      <c r="D18" s="18"/>
      <c r="E18" s="12"/>
      <c r="F18" s="14"/>
      <c r="G18" s="14"/>
    </row>
    <row r="19" customFormat="1" ht="22" customHeight="1" spans="1:7">
      <c r="A19" s="8"/>
      <c r="B19" s="19"/>
      <c r="C19" s="17"/>
      <c r="D19" s="20"/>
      <c r="E19" s="21"/>
      <c r="F19" s="22"/>
      <c r="G19" s="22"/>
    </row>
    <row r="20" ht="13.5" spans="1:7">
      <c r="E20" s="23">
        <f>SUM(E3:E19)</f>
        <v>22</v>
      </c>
      <c r="F20" s="23">
        <f>SUM(F3:F19)</f>
        <v>17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D30" sqref="D3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ht="38" customHeight="1" spans="1:16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ht="22" customHeight="1" spans="1:16">
      <c r="A3" s="8">
        <v>1</v>
      </c>
      <c r="B3" s="9">
        <v>46093</v>
      </c>
      <c r="C3" s="10" t="s">
        <v>13</v>
      </c>
      <c r="D3" s="10" t="s">
        <v>78</v>
      </c>
      <c r="E3" s="10">
        <v>2</v>
      </c>
      <c r="F3" s="11"/>
      <c r="G3" s="12"/>
      <c r="I3" s="13">
        <v>1</v>
      </c>
      <c r="J3" s="9">
        <v>46093</v>
      </c>
      <c r="K3" s="10" t="s">
        <v>49</v>
      </c>
      <c r="L3" s="10" t="s">
        <v>78</v>
      </c>
      <c r="M3" s="10">
        <v>2</v>
      </c>
      <c r="N3" s="14"/>
      <c r="O3" s="14"/>
      <c r="P3" t="s">
        <v>79</v>
      </c>
    </row>
    <row r="4" ht="22" customHeight="1" spans="1:16">
      <c r="A4" s="8">
        <v>2</v>
      </c>
      <c r="B4" s="9">
        <v>46093</v>
      </c>
      <c r="C4" s="10" t="s">
        <v>16</v>
      </c>
      <c r="D4" s="10" t="s">
        <v>78</v>
      </c>
      <c r="E4" s="10">
        <v>2</v>
      </c>
      <c r="F4" s="11"/>
      <c r="G4" s="15"/>
      <c r="I4" s="13">
        <v>2</v>
      </c>
      <c r="J4" s="9">
        <v>46093</v>
      </c>
      <c r="K4" s="10" t="s">
        <v>53</v>
      </c>
      <c r="L4" s="10" t="s">
        <v>78</v>
      </c>
      <c r="M4" s="10">
        <v>2</v>
      </c>
      <c r="N4" s="14"/>
      <c r="O4" s="14"/>
    </row>
    <row r="5" customFormat="1" ht="22" customHeight="1" spans="1:16">
      <c r="A5" s="8">
        <v>3</v>
      </c>
      <c r="B5" s="9">
        <v>46093</v>
      </c>
      <c r="C5" s="10" t="s">
        <v>30</v>
      </c>
      <c r="D5" s="10" t="s">
        <v>78</v>
      </c>
      <c r="E5" s="11"/>
      <c r="F5" s="10">
        <v>2</v>
      </c>
      <c r="G5" s="14"/>
      <c r="I5" s="13">
        <v>3</v>
      </c>
      <c r="J5" s="9"/>
      <c r="K5" s="17"/>
      <c r="L5" s="18"/>
      <c r="M5" s="12"/>
      <c r="N5" s="14"/>
      <c r="O5" s="14"/>
    </row>
    <row r="6" ht="22" customHeight="1" spans="1:16">
      <c r="A6" s="8">
        <v>4</v>
      </c>
      <c r="B6" s="9">
        <v>46093</v>
      </c>
      <c r="C6" s="10" t="s">
        <v>17</v>
      </c>
      <c r="D6" s="10" t="s">
        <v>78</v>
      </c>
      <c r="E6" s="11"/>
      <c r="F6" s="10">
        <v>2</v>
      </c>
      <c r="G6" s="15"/>
      <c r="I6" s="13">
        <v>4</v>
      </c>
      <c r="J6" s="9"/>
      <c r="K6" s="17"/>
      <c r="L6" s="18"/>
      <c r="M6" s="12"/>
      <c r="N6" s="14"/>
      <c r="O6" s="14"/>
    </row>
    <row r="7" ht="22" customHeight="1" spans="1:16">
      <c r="A7" s="8">
        <v>5</v>
      </c>
      <c r="B7" s="9">
        <v>46093</v>
      </c>
      <c r="C7" s="10" t="s">
        <v>18</v>
      </c>
      <c r="D7" s="10" t="s">
        <v>78</v>
      </c>
      <c r="E7" s="11"/>
      <c r="F7" s="10">
        <v>2</v>
      </c>
      <c r="G7" s="15"/>
      <c r="I7" s="13">
        <v>5</v>
      </c>
      <c r="J7" s="9"/>
      <c r="K7" s="17"/>
      <c r="L7" s="18"/>
      <c r="M7" s="12"/>
      <c r="N7" s="14"/>
      <c r="O7" s="14"/>
    </row>
    <row r="8" ht="22" customHeight="1" spans="1:16">
      <c r="A8" s="8">
        <v>6</v>
      </c>
      <c r="B8" s="9">
        <v>46093</v>
      </c>
      <c r="C8" s="10" t="s">
        <v>19</v>
      </c>
      <c r="D8" s="10" t="s">
        <v>78</v>
      </c>
      <c r="E8" s="10">
        <v>1</v>
      </c>
      <c r="F8" s="10">
        <v>1</v>
      </c>
      <c r="G8" s="15"/>
      <c r="I8" s="13">
        <v>6</v>
      </c>
      <c r="J8" s="9"/>
      <c r="K8" s="17"/>
      <c r="L8" s="18"/>
      <c r="M8" s="12"/>
      <c r="N8" s="14"/>
      <c r="O8" s="14"/>
    </row>
    <row r="9" ht="22" customHeight="1" spans="1:16">
      <c r="A9" s="8">
        <v>7</v>
      </c>
      <c r="B9" s="9">
        <v>46093</v>
      </c>
      <c r="C9" s="10" t="s">
        <v>20</v>
      </c>
      <c r="D9" s="10" t="s">
        <v>78</v>
      </c>
      <c r="E9" s="10">
        <v>2</v>
      </c>
      <c r="F9" s="11"/>
      <c r="G9" s="15"/>
      <c r="I9" s="13">
        <v>7</v>
      </c>
      <c r="J9" s="9"/>
      <c r="K9" s="17"/>
      <c r="L9" s="18"/>
      <c r="M9" s="12"/>
      <c r="N9" s="14"/>
      <c r="O9" s="14"/>
    </row>
    <row r="10" ht="22" customHeight="1" spans="1:16">
      <c r="A10" s="8">
        <v>8</v>
      </c>
      <c r="B10" s="9">
        <v>46093</v>
      </c>
      <c r="C10" s="10" t="s">
        <v>21</v>
      </c>
      <c r="D10" s="10" t="s">
        <v>78</v>
      </c>
      <c r="E10" s="10">
        <v>2</v>
      </c>
      <c r="F10" s="11"/>
      <c r="G10" s="14"/>
      <c r="I10" s="13">
        <v>8</v>
      </c>
      <c r="J10" s="9"/>
      <c r="K10" s="17"/>
      <c r="L10" s="18"/>
      <c r="M10" s="12"/>
      <c r="N10" s="14"/>
      <c r="O10" s="14"/>
    </row>
    <row r="11" ht="22" customHeight="1" spans="1:16">
      <c r="A11" s="8">
        <v>9</v>
      </c>
      <c r="B11" s="9">
        <v>46093</v>
      </c>
      <c r="C11" s="10" t="s">
        <v>22</v>
      </c>
      <c r="D11" s="10" t="s">
        <v>78</v>
      </c>
      <c r="E11" s="10">
        <v>2</v>
      </c>
      <c r="F11" s="11"/>
      <c r="G11" s="14"/>
      <c r="I11" s="13"/>
      <c r="J11" s="9"/>
      <c r="K11" s="17"/>
      <c r="L11" s="18"/>
      <c r="M11" s="12"/>
      <c r="N11" s="14"/>
      <c r="O11" s="14"/>
    </row>
    <row r="12" customFormat="1" ht="22" customHeight="1" spans="1:16">
      <c r="A12" s="8">
        <v>10</v>
      </c>
      <c r="B12" s="9">
        <v>46093</v>
      </c>
      <c r="C12" s="10" t="s">
        <v>24</v>
      </c>
      <c r="D12" s="10" t="s">
        <v>78</v>
      </c>
      <c r="E12" s="10">
        <v>1</v>
      </c>
      <c r="F12" s="10">
        <v>1</v>
      </c>
      <c r="G12" s="14"/>
      <c r="I12" s="13"/>
      <c r="J12" s="19"/>
      <c r="K12" s="17"/>
      <c r="L12" s="20"/>
      <c r="M12" s="21"/>
      <c r="N12" s="22"/>
      <c r="O12" s="22"/>
    </row>
    <row r="13" customFormat="1" ht="22" customHeight="1" spans="1:16">
      <c r="A13" s="8">
        <v>11</v>
      </c>
      <c r="B13" s="9">
        <v>46093</v>
      </c>
      <c r="C13" s="10" t="s">
        <v>26</v>
      </c>
      <c r="D13" s="10" t="s">
        <v>78</v>
      </c>
      <c r="E13" s="11"/>
      <c r="F13" s="10">
        <v>2</v>
      </c>
      <c r="G13" s="14"/>
      <c r="M13" s="23">
        <f>SUM(M3:M12)</f>
        <v>4</v>
      </c>
      <c r="N13" s="23">
        <f>SUM(N3:N12)</f>
        <v>0</v>
      </c>
    </row>
    <row r="14" customFormat="1" ht="22" customHeight="1" spans="1:16">
      <c r="A14" s="8">
        <v>12</v>
      </c>
      <c r="B14" s="9">
        <v>46093</v>
      </c>
      <c r="C14" s="10" t="s">
        <v>27</v>
      </c>
      <c r="D14" s="10" t="s">
        <v>78</v>
      </c>
      <c r="E14" s="11"/>
      <c r="F14" s="10">
        <v>2</v>
      </c>
      <c r="G14" s="14"/>
    </row>
    <row r="15" customFormat="1" ht="22" customHeight="1" spans="1:16">
      <c r="A15" s="8">
        <v>13</v>
      </c>
      <c r="B15" s="9">
        <v>46093</v>
      </c>
      <c r="C15" s="10" t="s">
        <v>28</v>
      </c>
      <c r="D15" s="10" t="s">
        <v>78</v>
      </c>
      <c r="E15" s="10">
        <v>2</v>
      </c>
      <c r="F15" s="11"/>
      <c r="G15" s="14"/>
    </row>
    <row r="16" customFormat="1" ht="22" customHeight="1" spans="1:16">
      <c r="A16" s="8"/>
      <c r="B16" s="9"/>
      <c r="C16" s="17"/>
      <c r="D16" s="18"/>
      <c r="E16" s="12"/>
      <c r="F16" s="14"/>
      <c r="G16" s="14"/>
    </row>
    <row r="17" customFormat="1" ht="22" customHeight="1" spans="1:7">
      <c r="A17" s="8"/>
      <c r="B17" s="19"/>
      <c r="C17" s="17"/>
      <c r="D17" s="20"/>
      <c r="E17" s="21"/>
      <c r="F17" s="22"/>
      <c r="G17" s="22"/>
    </row>
    <row r="18" ht="13.5" spans="1:7">
      <c r="E18" s="23">
        <f>SUM(E3:E17)</f>
        <v>14</v>
      </c>
      <c r="F18" s="23">
        <f>SUM(F3:F17)</f>
        <v>12</v>
      </c>
    </row>
    <row r="20" spans="1:7">
      <c r="C20" s="36" t="s">
        <v>31</v>
      </c>
      <c r="F20" t="s">
        <v>80</v>
      </c>
      <c r="G20" t="s">
        <v>32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C16" sqref="C1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ht="38" customHeight="1" spans="1:15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ht="22" customHeight="1" spans="1:15">
      <c r="A3" s="8">
        <v>1</v>
      </c>
      <c r="B3" s="9">
        <v>46097</v>
      </c>
      <c r="C3" s="10" t="s">
        <v>13</v>
      </c>
      <c r="D3" s="10" t="s">
        <v>77</v>
      </c>
      <c r="E3" s="10">
        <v>3</v>
      </c>
      <c r="F3" s="11"/>
      <c r="G3" s="12"/>
      <c r="I3" s="13">
        <v>1</v>
      </c>
      <c r="J3" s="9">
        <v>46097</v>
      </c>
      <c r="K3" s="10" t="s">
        <v>49</v>
      </c>
      <c r="L3" s="10" t="s">
        <v>77</v>
      </c>
      <c r="M3" s="11">
        <v>3</v>
      </c>
      <c r="N3" s="10"/>
      <c r="O3" s="14"/>
    </row>
    <row r="4" ht="22" customHeight="1" spans="1:15">
      <c r="A4" s="8">
        <v>2</v>
      </c>
      <c r="B4" s="9">
        <v>46097</v>
      </c>
      <c r="C4" s="10" t="s">
        <v>16</v>
      </c>
      <c r="D4" s="10" t="s">
        <v>77</v>
      </c>
      <c r="E4" s="10">
        <v>3</v>
      </c>
      <c r="F4" s="11"/>
      <c r="G4" s="15"/>
      <c r="I4" s="13">
        <v>2</v>
      </c>
      <c r="J4" s="9">
        <v>46097</v>
      </c>
      <c r="K4" s="10" t="s">
        <v>53</v>
      </c>
      <c r="L4" s="10" t="s">
        <v>77</v>
      </c>
      <c r="M4" s="11">
        <v>3</v>
      </c>
      <c r="N4" s="10"/>
      <c r="O4" s="14"/>
    </row>
    <row r="5" customFormat="1" ht="22" customHeight="1" spans="1:15">
      <c r="A5" s="8">
        <v>3</v>
      </c>
      <c r="B5" s="9">
        <v>46097</v>
      </c>
      <c r="C5" s="10" t="s">
        <v>30</v>
      </c>
      <c r="D5" s="10" t="s">
        <v>77</v>
      </c>
      <c r="E5" s="11"/>
      <c r="F5" s="10">
        <v>3</v>
      </c>
      <c r="G5" s="14"/>
      <c r="I5" s="13">
        <v>3</v>
      </c>
      <c r="J5" s="9">
        <v>46097</v>
      </c>
      <c r="K5" s="16" t="s">
        <v>81</v>
      </c>
      <c r="L5" s="10" t="s">
        <v>77</v>
      </c>
      <c r="M5" s="12">
        <v>3</v>
      </c>
      <c r="N5" s="14"/>
      <c r="O5" s="14"/>
    </row>
    <row r="6" ht="22" customHeight="1" spans="1:15">
      <c r="A6" s="8">
        <v>4</v>
      </c>
      <c r="B6" s="9">
        <v>46097</v>
      </c>
      <c r="C6" s="10" t="s">
        <v>17</v>
      </c>
      <c r="D6" s="10" t="s">
        <v>77</v>
      </c>
      <c r="E6" s="11"/>
      <c r="F6" s="10">
        <v>3</v>
      </c>
      <c r="G6" s="15"/>
      <c r="I6" s="13">
        <v>4</v>
      </c>
      <c r="J6" s="9"/>
      <c r="K6" s="17"/>
      <c r="L6" s="18"/>
      <c r="M6" s="12"/>
      <c r="N6" s="14"/>
      <c r="O6" s="14"/>
    </row>
    <row r="7" ht="22" customHeight="1" spans="1:15">
      <c r="A7" s="8">
        <v>5</v>
      </c>
      <c r="B7" s="9">
        <v>46097</v>
      </c>
      <c r="C7" s="10" t="s">
        <v>18</v>
      </c>
      <c r="D7" s="10" t="s">
        <v>77</v>
      </c>
      <c r="E7" s="11"/>
      <c r="F7" s="10">
        <v>3</v>
      </c>
      <c r="G7" s="15"/>
      <c r="I7" s="13">
        <v>5</v>
      </c>
      <c r="J7" s="9"/>
      <c r="K7" s="17"/>
      <c r="L7" s="18"/>
      <c r="M7" s="12"/>
      <c r="N7" s="14"/>
      <c r="O7" s="14"/>
    </row>
    <row r="8" ht="22" customHeight="1" spans="1:15">
      <c r="A8" s="8">
        <v>6</v>
      </c>
      <c r="B8" s="9">
        <v>46097</v>
      </c>
      <c r="C8" s="10" t="s">
        <v>19</v>
      </c>
      <c r="D8" s="10" t="s">
        <v>77</v>
      </c>
      <c r="E8" s="10">
        <v>2</v>
      </c>
      <c r="F8" s="10">
        <v>1</v>
      </c>
      <c r="G8" s="15"/>
      <c r="I8" s="13">
        <v>6</v>
      </c>
      <c r="J8" s="9"/>
      <c r="K8" s="17"/>
      <c r="L8" s="18"/>
      <c r="M8" s="12"/>
      <c r="N8" s="14"/>
      <c r="O8" s="14"/>
    </row>
    <row r="9" ht="22" customHeight="1" spans="1:15">
      <c r="A9" s="8">
        <v>7</v>
      </c>
      <c r="B9" s="9">
        <v>46097</v>
      </c>
      <c r="C9" s="10" t="s">
        <v>20</v>
      </c>
      <c r="D9" s="10" t="s">
        <v>77</v>
      </c>
      <c r="E9" s="10">
        <v>3</v>
      </c>
      <c r="F9" s="11"/>
      <c r="G9" s="15"/>
      <c r="I9" s="13">
        <v>7</v>
      </c>
      <c r="J9" s="9"/>
      <c r="K9" s="17"/>
      <c r="L9" s="18"/>
      <c r="M9" s="12"/>
      <c r="N9" s="14"/>
      <c r="O9" s="14"/>
    </row>
    <row r="10" ht="22" customHeight="1" spans="1:15">
      <c r="A10" s="8">
        <v>8</v>
      </c>
      <c r="B10" s="9">
        <v>46097</v>
      </c>
      <c r="C10" s="10" t="s">
        <v>21</v>
      </c>
      <c r="D10" s="10" t="s">
        <v>77</v>
      </c>
      <c r="E10" s="10">
        <v>3</v>
      </c>
      <c r="F10" s="11"/>
      <c r="G10" s="14"/>
      <c r="I10" s="13">
        <v>8</v>
      </c>
      <c r="J10" s="9"/>
      <c r="K10" s="17"/>
      <c r="L10" s="18"/>
      <c r="M10" s="12"/>
      <c r="N10" s="14"/>
      <c r="O10" s="14"/>
    </row>
    <row r="11" ht="22" customHeight="1" spans="1:15">
      <c r="A11" s="8">
        <v>9</v>
      </c>
      <c r="B11" s="9">
        <v>46097</v>
      </c>
      <c r="C11" s="10" t="s">
        <v>22</v>
      </c>
      <c r="D11" s="10" t="s">
        <v>77</v>
      </c>
      <c r="E11" s="10">
        <v>3</v>
      </c>
      <c r="F11" s="11"/>
      <c r="G11" s="14"/>
      <c r="I11" s="13"/>
      <c r="J11" s="9"/>
      <c r="K11" s="17"/>
      <c r="L11" s="18"/>
      <c r="M11" s="12"/>
      <c r="N11" s="14"/>
      <c r="O11" s="14"/>
    </row>
    <row r="12" customFormat="1" ht="22" customHeight="1" spans="1:15">
      <c r="A12" s="8">
        <v>10</v>
      </c>
      <c r="B12" s="9">
        <v>46097</v>
      </c>
      <c r="C12" s="10" t="s">
        <v>24</v>
      </c>
      <c r="D12" s="10" t="s">
        <v>77</v>
      </c>
      <c r="E12" s="10">
        <v>2</v>
      </c>
      <c r="F12" s="10">
        <v>1</v>
      </c>
      <c r="G12" s="14"/>
      <c r="I12" s="13"/>
      <c r="J12" s="19"/>
      <c r="K12" s="17"/>
      <c r="L12" s="20"/>
      <c r="M12" s="21"/>
      <c r="N12" s="22"/>
      <c r="O12" s="22"/>
    </row>
    <row r="13" customFormat="1" ht="22" customHeight="1" spans="1:15">
      <c r="A13" s="8">
        <v>11</v>
      </c>
      <c r="B13" s="9">
        <v>46097</v>
      </c>
      <c r="C13" s="10" t="s">
        <v>26</v>
      </c>
      <c r="D13" s="10" t="s">
        <v>77</v>
      </c>
      <c r="E13" s="11"/>
      <c r="F13" s="10">
        <v>3</v>
      </c>
      <c r="G13" s="14"/>
      <c r="M13" s="23">
        <f>SUM(M3:M12)</f>
        <v>9</v>
      </c>
      <c r="N13" s="23">
        <f>SUM(N3:N12)</f>
        <v>0</v>
      </c>
    </row>
    <row r="14" customFormat="1" ht="22" customHeight="1" spans="1:15">
      <c r="A14" s="8">
        <v>12</v>
      </c>
      <c r="B14" s="9">
        <v>46097</v>
      </c>
      <c r="C14" s="10" t="s">
        <v>27</v>
      </c>
      <c r="D14" s="10" t="s">
        <v>77</v>
      </c>
      <c r="E14" s="11"/>
      <c r="F14" s="10">
        <v>3</v>
      </c>
      <c r="G14" s="14"/>
    </row>
    <row r="15" customFormat="1" ht="22" customHeight="1" spans="1:15">
      <c r="A15" s="8">
        <v>13</v>
      </c>
      <c r="B15" s="9">
        <v>46097</v>
      </c>
      <c r="C15" s="10" t="s">
        <v>28</v>
      </c>
      <c r="D15" s="10" t="s">
        <v>77</v>
      </c>
      <c r="E15" s="11">
        <v>3</v>
      </c>
      <c r="F15" s="10"/>
      <c r="G15" s="14"/>
    </row>
    <row r="16" customFormat="1" ht="22" customHeight="1" spans="1:15">
      <c r="A16" s="8">
        <v>14</v>
      </c>
      <c r="B16" s="9">
        <v>46097</v>
      </c>
      <c r="C16" s="34" t="s">
        <v>31</v>
      </c>
      <c r="D16" s="35" t="s">
        <v>77</v>
      </c>
      <c r="E16" s="24">
        <v>3</v>
      </c>
      <c r="F16" s="24"/>
      <c r="G16" s="24"/>
      <c r="H16" t="s">
        <v>82</v>
      </c>
    </row>
    <row r="17" customFormat="1" ht="22" customHeight="1" spans="1:8">
      <c r="A17" s="8">
        <v>15</v>
      </c>
      <c r="B17" s="9">
        <v>46097</v>
      </c>
      <c r="C17" s="34" t="s">
        <v>31</v>
      </c>
      <c r="D17" s="35" t="s">
        <v>77</v>
      </c>
      <c r="E17" s="24">
        <v>3</v>
      </c>
      <c r="F17" s="24"/>
      <c r="G17" s="24" t="s">
        <v>83</v>
      </c>
      <c r="H17" t="s">
        <v>82</v>
      </c>
    </row>
    <row r="18" customFormat="1" ht="22" customHeight="1" spans="1:8">
      <c r="A18" s="8"/>
      <c r="B18" s="9"/>
      <c r="C18" s="17"/>
      <c r="D18" s="18"/>
      <c r="E18" s="12"/>
      <c r="F18" s="14"/>
      <c r="G18" s="14"/>
    </row>
    <row r="19" customFormat="1" ht="22" customHeight="1" spans="1:8">
      <c r="A19" s="8"/>
      <c r="B19" s="19"/>
      <c r="C19" s="17"/>
      <c r="D19" s="20"/>
      <c r="E19" s="21"/>
      <c r="F19" s="22"/>
      <c r="G19" s="22"/>
    </row>
    <row r="20" ht="13.5" spans="1:8">
      <c r="E20" s="23">
        <f>SUM(E3:E19)</f>
        <v>28</v>
      </c>
      <c r="F20" s="23">
        <f>SUM(F3:F19)</f>
        <v>17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E18" sqref="E18:F1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customFormat="1" ht="38" customHeight="1" spans="1:16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6">
      <c r="A3" s="8">
        <v>1</v>
      </c>
      <c r="B3" s="9">
        <v>46100</v>
      </c>
      <c r="C3" s="10" t="s">
        <v>13</v>
      </c>
      <c r="D3" s="10" t="s">
        <v>78</v>
      </c>
      <c r="E3" s="10">
        <v>2</v>
      </c>
      <c r="F3" s="11"/>
      <c r="G3" s="12"/>
      <c r="I3" s="13">
        <v>1</v>
      </c>
      <c r="J3" s="9">
        <v>46100</v>
      </c>
      <c r="K3" s="10" t="s">
        <v>49</v>
      </c>
      <c r="L3" s="10" t="s">
        <v>78</v>
      </c>
      <c r="M3" s="10">
        <v>2</v>
      </c>
      <c r="N3" s="14"/>
      <c r="O3" s="14"/>
      <c r="P3" t="s">
        <v>79</v>
      </c>
    </row>
    <row r="4" customFormat="1" ht="22" customHeight="1" spans="1:16">
      <c r="A4" s="8">
        <v>2</v>
      </c>
      <c r="B4" s="9">
        <v>46100</v>
      </c>
      <c r="C4" s="10" t="s">
        <v>16</v>
      </c>
      <c r="D4" s="10" t="s">
        <v>78</v>
      </c>
      <c r="E4" s="10">
        <v>2</v>
      </c>
      <c r="F4" s="11"/>
      <c r="G4" s="15"/>
      <c r="I4" s="13">
        <v>2</v>
      </c>
      <c r="J4" s="9">
        <v>46100</v>
      </c>
      <c r="K4" s="10" t="s">
        <v>53</v>
      </c>
      <c r="L4" s="10" t="s">
        <v>78</v>
      </c>
      <c r="M4" s="10">
        <v>2</v>
      </c>
      <c r="N4" s="14"/>
      <c r="O4" s="14"/>
    </row>
    <row r="5" customFormat="1" ht="22" customHeight="1" spans="1:16">
      <c r="A5" s="8">
        <v>3</v>
      </c>
      <c r="B5" s="9">
        <v>46100</v>
      </c>
      <c r="C5" s="10" t="s">
        <v>30</v>
      </c>
      <c r="D5" s="10" t="s">
        <v>78</v>
      </c>
      <c r="E5" s="11"/>
      <c r="F5" s="10">
        <v>2</v>
      </c>
      <c r="G5" s="14"/>
      <c r="I5" s="13">
        <v>3</v>
      </c>
      <c r="J5" s="9">
        <v>46100</v>
      </c>
      <c r="K5" s="16" t="s">
        <v>81</v>
      </c>
      <c r="L5" s="10" t="s">
        <v>78</v>
      </c>
      <c r="M5" s="12">
        <v>2</v>
      </c>
      <c r="N5" s="14"/>
      <c r="O5" s="14"/>
    </row>
    <row r="6" customFormat="1" ht="22" customHeight="1" spans="1:16">
      <c r="A6" s="8">
        <v>4</v>
      </c>
      <c r="B6" s="9">
        <v>46100</v>
      </c>
      <c r="C6" s="10" t="s">
        <v>17</v>
      </c>
      <c r="D6" s="10" t="s">
        <v>78</v>
      </c>
      <c r="E6" s="11"/>
      <c r="F6" s="10">
        <v>2</v>
      </c>
      <c r="G6" s="15"/>
      <c r="I6" s="13">
        <v>4</v>
      </c>
      <c r="J6" s="9"/>
      <c r="K6" s="17"/>
      <c r="L6" s="18"/>
      <c r="M6" s="12"/>
      <c r="N6" s="14"/>
      <c r="O6" s="14"/>
    </row>
    <row r="7" customFormat="1" ht="22" customHeight="1" spans="1:16">
      <c r="A7" s="8">
        <v>5</v>
      </c>
      <c r="B7" s="9">
        <v>46100</v>
      </c>
      <c r="C7" s="10" t="s">
        <v>18</v>
      </c>
      <c r="D7" s="10" t="s">
        <v>78</v>
      </c>
      <c r="E7" s="11"/>
      <c r="F7" s="10">
        <v>2</v>
      </c>
      <c r="G7" s="15"/>
      <c r="I7" s="13">
        <v>5</v>
      </c>
      <c r="J7" s="9"/>
      <c r="K7" s="17"/>
      <c r="L7" s="18"/>
      <c r="M7" s="12"/>
      <c r="N7" s="14"/>
      <c r="O7" s="14"/>
    </row>
    <row r="8" customFormat="1" ht="22" customHeight="1" spans="1:16">
      <c r="A8" s="8">
        <v>6</v>
      </c>
      <c r="B8" s="9">
        <v>46100</v>
      </c>
      <c r="C8" s="10" t="s">
        <v>19</v>
      </c>
      <c r="D8" s="10" t="s">
        <v>78</v>
      </c>
      <c r="E8" s="10">
        <v>1</v>
      </c>
      <c r="F8" s="10">
        <v>1</v>
      </c>
      <c r="G8" s="15"/>
      <c r="I8" s="13">
        <v>6</v>
      </c>
      <c r="J8" s="9"/>
      <c r="K8" s="17"/>
      <c r="L8" s="18"/>
      <c r="M8" s="12"/>
      <c r="N8" s="14"/>
      <c r="O8" s="14"/>
    </row>
    <row r="9" customFormat="1" ht="22" customHeight="1" spans="1:16">
      <c r="A9" s="8">
        <v>7</v>
      </c>
      <c r="B9" s="9">
        <v>46100</v>
      </c>
      <c r="C9" s="10" t="s">
        <v>20</v>
      </c>
      <c r="D9" s="10" t="s">
        <v>78</v>
      </c>
      <c r="E9" s="10">
        <v>2</v>
      </c>
      <c r="F9" s="11"/>
      <c r="G9" s="15"/>
      <c r="I9" s="13">
        <v>7</v>
      </c>
      <c r="J9" s="9"/>
      <c r="K9" s="17"/>
      <c r="L9" s="18"/>
      <c r="M9" s="12"/>
      <c r="N9" s="14"/>
      <c r="O9" s="14"/>
    </row>
    <row r="10" customFormat="1" ht="22" customHeight="1" spans="1:16">
      <c r="A10" s="8">
        <v>8</v>
      </c>
      <c r="B10" s="9">
        <v>46100</v>
      </c>
      <c r="C10" s="10" t="s">
        <v>21</v>
      </c>
      <c r="D10" s="10" t="s">
        <v>78</v>
      </c>
      <c r="E10" s="10">
        <v>2</v>
      </c>
      <c r="F10" s="11"/>
      <c r="G10" s="14"/>
      <c r="I10" s="13">
        <v>8</v>
      </c>
      <c r="J10" s="9"/>
      <c r="K10" s="17"/>
      <c r="L10" s="18"/>
      <c r="M10" s="12"/>
      <c r="N10" s="14"/>
      <c r="O10" s="14"/>
    </row>
    <row r="11" customFormat="1" ht="22" customHeight="1" spans="1:16">
      <c r="A11" s="8">
        <v>9</v>
      </c>
      <c r="B11" s="9">
        <v>46100</v>
      </c>
      <c r="C11" s="10" t="s">
        <v>22</v>
      </c>
      <c r="D11" s="10" t="s">
        <v>78</v>
      </c>
      <c r="E11" s="10">
        <v>2</v>
      </c>
      <c r="F11" s="11"/>
      <c r="G11" s="14"/>
      <c r="I11" s="13"/>
      <c r="J11" s="9"/>
      <c r="K11" s="17"/>
      <c r="L11" s="18"/>
      <c r="M11" s="12"/>
      <c r="N11" s="14"/>
      <c r="O11" s="14"/>
    </row>
    <row r="12" customFormat="1" ht="22" customHeight="1" spans="1:16">
      <c r="A12" s="8">
        <v>10</v>
      </c>
      <c r="B12" s="9">
        <v>46100</v>
      </c>
      <c r="C12" s="10" t="s">
        <v>24</v>
      </c>
      <c r="D12" s="10" t="s">
        <v>78</v>
      </c>
      <c r="E12" s="10">
        <v>1</v>
      </c>
      <c r="F12" s="10">
        <v>1</v>
      </c>
      <c r="G12" s="14"/>
      <c r="I12" s="13"/>
      <c r="J12" s="19"/>
      <c r="K12" s="17"/>
      <c r="L12" s="20"/>
      <c r="M12" s="21"/>
      <c r="N12" s="22"/>
      <c r="O12" s="22"/>
    </row>
    <row r="13" customFormat="1" ht="22" customHeight="1" spans="1:16">
      <c r="A13" s="8">
        <v>11</v>
      </c>
      <c r="B13" s="9">
        <v>46100</v>
      </c>
      <c r="C13" s="10" t="s">
        <v>26</v>
      </c>
      <c r="D13" s="10" t="s">
        <v>78</v>
      </c>
      <c r="E13" s="11"/>
      <c r="F13" s="10">
        <v>2</v>
      </c>
      <c r="G13" s="14"/>
      <c r="M13" s="23">
        <f>SUM(M3:M12)</f>
        <v>6</v>
      </c>
      <c r="N13" s="23">
        <f>SUM(N3:N12)</f>
        <v>0</v>
      </c>
    </row>
    <row r="14" customFormat="1" ht="22" customHeight="1" spans="1:16">
      <c r="A14" s="8">
        <v>12</v>
      </c>
      <c r="B14" s="9">
        <v>46100</v>
      </c>
      <c r="C14" s="10" t="s">
        <v>27</v>
      </c>
      <c r="D14" s="10" t="s">
        <v>78</v>
      </c>
      <c r="E14" s="11"/>
      <c r="F14" s="10">
        <v>2</v>
      </c>
      <c r="G14" s="14"/>
    </row>
    <row r="15" customFormat="1" ht="22" customHeight="1" spans="1:16">
      <c r="A15" s="8">
        <v>13</v>
      </c>
      <c r="B15" s="9">
        <v>46100</v>
      </c>
      <c r="C15" s="10" t="s">
        <v>28</v>
      </c>
      <c r="D15" s="10" t="s">
        <v>78</v>
      </c>
      <c r="E15" s="10">
        <v>2</v>
      </c>
      <c r="F15" s="11"/>
      <c r="G15" s="14"/>
    </row>
    <row r="16" customFormat="1" ht="22" customHeight="1" spans="1:16">
      <c r="A16" s="8">
        <v>14</v>
      </c>
      <c r="B16" s="9">
        <v>46100</v>
      </c>
      <c r="C16" s="11" t="s">
        <v>31</v>
      </c>
      <c r="D16" s="10" t="s">
        <v>78</v>
      </c>
      <c r="E16" s="11"/>
      <c r="F16" s="11">
        <v>2</v>
      </c>
      <c r="G16" s="14"/>
    </row>
    <row r="17" customFormat="1" ht="22" customHeight="1" spans="1:7">
      <c r="A17" s="8">
        <v>15</v>
      </c>
      <c r="B17" s="9">
        <v>46100</v>
      </c>
      <c r="C17" s="11" t="s">
        <v>31</v>
      </c>
      <c r="D17" s="10" t="s">
        <v>78</v>
      </c>
      <c r="E17" s="11"/>
      <c r="F17" s="11">
        <v>2</v>
      </c>
      <c r="G17" s="14" t="s">
        <v>83</v>
      </c>
    </row>
    <row r="18" customFormat="1" ht="22" customHeight="1" spans="1:7">
      <c r="A18" s="8">
        <v>16</v>
      </c>
      <c r="B18" s="9">
        <v>46100</v>
      </c>
      <c r="C18" s="11" t="s">
        <v>33</v>
      </c>
      <c r="D18" s="10" t="s">
        <v>78</v>
      </c>
      <c r="E18" s="12">
        <v>1</v>
      </c>
      <c r="F18" s="14">
        <v>1</v>
      </c>
      <c r="G18" s="14"/>
    </row>
    <row r="19" customFormat="1" ht="22" customHeight="1" spans="1:7">
      <c r="A19" s="8">
        <v>17</v>
      </c>
      <c r="B19" s="9">
        <v>46100</v>
      </c>
      <c r="C19" s="11" t="s">
        <v>33</v>
      </c>
      <c r="D19" s="10" t="s">
        <v>78</v>
      </c>
      <c r="E19" s="12">
        <v>1</v>
      </c>
      <c r="F19" s="14">
        <v>1</v>
      </c>
      <c r="G19" s="14" t="s">
        <v>83</v>
      </c>
    </row>
    <row r="20" customFormat="1" ht="22" customHeight="1" spans="1:7">
      <c r="A20" s="8"/>
      <c r="B20" s="19"/>
      <c r="C20" s="17"/>
      <c r="D20" s="20"/>
      <c r="E20" s="21"/>
      <c r="F20" s="22"/>
      <c r="G20" s="22"/>
    </row>
    <row r="21" customFormat="1" ht="13.5" spans="1:7">
      <c r="E21" s="23">
        <f>SUM(E3:E20)</f>
        <v>16</v>
      </c>
      <c r="F21" s="23">
        <f>SUM(F3:F20)</f>
        <v>18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opLeftCell="B1" workbookViewId="0">
      <selection activeCell="M13" sqref="E20:F20 M1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customFormat="1" ht="38" customHeight="1" spans="1:15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5">
      <c r="A3" s="8">
        <v>1</v>
      </c>
      <c r="B3" s="9">
        <v>46104</v>
      </c>
      <c r="C3" s="10" t="s">
        <v>13</v>
      </c>
      <c r="D3" s="10" t="s">
        <v>77</v>
      </c>
      <c r="E3" s="10">
        <v>3</v>
      </c>
      <c r="F3" s="11"/>
      <c r="G3" s="12"/>
      <c r="I3" s="13">
        <v>1</v>
      </c>
      <c r="J3" s="9">
        <v>46104</v>
      </c>
      <c r="K3" s="10" t="s">
        <v>49</v>
      </c>
      <c r="L3" s="10" t="s">
        <v>77</v>
      </c>
      <c r="M3" s="11">
        <v>3</v>
      </c>
      <c r="N3" s="10"/>
      <c r="O3" s="14"/>
    </row>
    <row r="4" customFormat="1" ht="22" customHeight="1" spans="1:15">
      <c r="A4" s="8">
        <v>2</v>
      </c>
      <c r="B4" s="9">
        <v>46104</v>
      </c>
      <c r="C4" s="10" t="s">
        <v>16</v>
      </c>
      <c r="D4" s="10" t="s">
        <v>77</v>
      </c>
      <c r="E4" s="10">
        <v>3</v>
      </c>
      <c r="F4" s="11"/>
      <c r="G4" s="15"/>
      <c r="I4" s="13">
        <v>2</v>
      </c>
      <c r="J4" s="9">
        <v>46104</v>
      </c>
      <c r="K4" s="10" t="s">
        <v>53</v>
      </c>
      <c r="L4" s="10" t="s">
        <v>77</v>
      </c>
      <c r="M4" s="11">
        <v>3</v>
      </c>
      <c r="N4" s="10"/>
      <c r="O4" s="14"/>
    </row>
    <row r="5" customFormat="1" ht="22" customHeight="1" spans="1:15">
      <c r="A5" s="8">
        <v>3</v>
      </c>
      <c r="B5" s="9">
        <v>46104</v>
      </c>
      <c r="C5" s="10" t="s">
        <v>30</v>
      </c>
      <c r="D5" s="10" t="s">
        <v>77</v>
      </c>
      <c r="E5" s="11"/>
      <c r="F5" s="10">
        <v>3</v>
      </c>
      <c r="G5" s="14"/>
      <c r="I5" s="13">
        <v>3</v>
      </c>
      <c r="J5" s="9">
        <v>46104</v>
      </c>
      <c r="K5" s="16" t="s">
        <v>81</v>
      </c>
      <c r="L5" s="10" t="s">
        <v>77</v>
      </c>
      <c r="M5" s="12">
        <v>3</v>
      </c>
      <c r="N5" s="14"/>
      <c r="O5" s="14"/>
    </row>
    <row r="6" customFormat="1" ht="22" customHeight="1" spans="1:15">
      <c r="A6" s="8">
        <v>4</v>
      </c>
      <c r="B6" s="9">
        <v>46104</v>
      </c>
      <c r="C6" s="10" t="s">
        <v>17</v>
      </c>
      <c r="D6" s="10" t="s">
        <v>77</v>
      </c>
      <c r="E6" s="11"/>
      <c r="F6" s="10">
        <v>3</v>
      </c>
      <c r="G6" s="15"/>
      <c r="I6" s="13">
        <v>4</v>
      </c>
      <c r="J6" s="9">
        <v>46104</v>
      </c>
      <c r="K6" s="17" t="s">
        <v>84</v>
      </c>
      <c r="L6" s="10" t="s">
        <v>77</v>
      </c>
      <c r="M6" s="12">
        <v>3</v>
      </c>
      <c r="N6" s="14"/>
      <c r="O6" s="14"/>
    </row>
    <row r="7" customFormat="1" ht="22" customHeight="1" spans="1:15">
      <c r="A7" s="8">
        <v>5</v>
      </c>
      <c r="B7" s="9">
        <v>46104</v>
      </c>
      <c r="C7" s="10" t="s">
        <v>18</v>
      </c>
      <c r="D7" s="10" t="s">
        <v>77</v>
      </c>
      <c r="E7" s="11"/>
      <c r="F7" s="10">
        <v>3</v>
      </c>
      <c r="G7" s="15"/>
      <c r="I7" s="13">
        <v>5</v>
      </c>
      <c r="J7" s="9"/>
      <c r="K7" s="17"/>
      <c r="L7" s="18"/>
      <c r="M7" s="12"/>
      <c r="N7" s="14"/>
      <c r="O7" s="14"/>
    </row>
    <row r="8" customFormat="1" ht="22" customHeight="1" spans="1:15">
      <c r="A8" s="8">
        <v>6</v>
      </c>
      <c r="B8" s="9">
        <v>46104</v>
      </c>
      <c r="C8" s="10" t="s">
        <v>19</v>
      </c>
      <c r="D8" s="10" t="s">
        <v>77</v>
      </c>
      <c r="E8" s="10">
        <v>1</v>
      </c>
      <c r="F8" s="10">
        <v>2</v>
      </c>
      <c r="G8" s="15"/>
      <c r="I8" s="13">
        <v>6</v>
      </c>
      <c r="J8" s="9"/>
      <c r="K8" s="17"/>
      <c r="L8" s="18"/>
      <c r="M8" s="12"/>
      <c r="N8" s="14"/>
      <c r="O8" s="14"/>
    </row>
    <row r="9" customFormat="1" ht="22" customHeight="1" spans="1:15">
      <c r="A9" s="8">
        <v>7</v>
      </c>
      <c r="B9" s="9">
        <v>46104</v>
      </c>
      <c r="C9" s="10" t="s">
        <v>20</v>
      </c>
      <c r="D9" s="10" t="s">
        <v>77</v>
      </c>
      <c r="E9" s="10">
        <v>3</v>
      </c>
      <c r="F9" s="11"/>
      <c r="G9" s="15"/>
      <c r="I9" s="13">
        <v>7</v>
      </c>
      <c r="J9" s="9"/>
      <c r="K9" s="17"/>
      <c r="L9" s="18"/>
      <c r="M9" s="12"/>
      <c r="N9" s="14"/>
      <c r="O9" s="14"/>
    </row>
    <row r="10" customFormat="1" ht="22" customHeight="1" spans="1:15">
      <c r="A10" s="8">
        <v>8</v>
      </c>
      <c r="B10" s="9">
        <v>46104</v>
      </c>
      <c r="C10" s="10" t="s">
        <v>21</v>
      </c>
      <c r="D10" s="10" t="s">
        <v>77</v>
      </c>
      <c r="E10" s="10">
        <v>3</v>
      </c>
      <c r="F10" s="11"/>
      <c r="G10" s="14"/>
      <c r="I10" s="13">
        <v>8</v>
      </c>
      <c r="J10" s="9"/>
      <c r="K10" s="17"/>
      <c r="L10" s="18"/>
      <c r="M10" s="12"/>
      <c r="N10" s="14"/>
      <c r="O10" s="14"/>
    </row>
    <row r="11" customFormat="1" ht="22" customHeight="1" spans="1:15">
      <c r="A11" s="8">
        <v>9</v>
      </c>
      <c r="B11" s="9">
        <v>46104</v>
      </c>
      <c r="C11" s="10" t="s">
        <v>22</v>
      </c>
      <c r="D11" s="10" t="s">
        <v>77</v>
      </c>
      <c r="E11" s="10">
        <v>3</v>
      </c>
      <c r="F11" s="11"/>
      <c r="G11" s="14"/>
      <c r="I11" s="13"/>
      <c r="J11" s="9"/>
      <c r="K11" s="17"/>
      <c r="L11" s="18"/>
      <c r="M11" s="12"/>
      <c r="N11" s="14"/>
      <c r="O11" s="14"/>
    </row>
    <row r="12" customFormat="1" ht="22" customHeight="1" spans="1:15">
      <c r="A12" s="8">
        <v>10</v>
      </c>
      <c r="B12" s="9">
        <v>46104</v>
      </c>
      <c r="C12" s="10" t="s">
        <v>24</v>
      </c>
      <c r="D12" s="10" t="s">
        <v>77</v>
      </c>
      <c r="E12" s="10">
        <v>1</v>
      </c>
      <c r="F12" s="10">
        <v>2</v>
      </c>
      <c r="G12" s="14"/>
      <c r="I12" s="13"/>
      <c r="J12" s="19"/>
      <c r="K12" s="17"/>
      <c r="L12" s="20"/>
      <c r="M12" s="21"/>
      <c r="N12" s="22"/>
      <c r="O12" s="22"/>
    </row>
    <row r="13" customFormat="1" ht="22" customHeight="1" spans="1:15">
      <c r="A13" s="8">
        <v>11</v>
      </c>
      <c r="B13" s="9">
        <v>46104</v>
      </c>
      <c r="C13" s="10" t="s">
        <v>26</v>
      </c>
      <c r="D13" s="10" t="s">
        <v>77</v>
      </c>
      <c r="E13" s="11"/>
      <c r="F13" s="10">
        <v>3</v>
      </c>
      <c r="G13" s="14"/>
      <c r="M13" s="23">
        <f>SUM(M3:M12)</f>
        <v>12</v>
      </c>
      <c r="N13" s="23">
        <f>SUM(N3:N12)</f>
        <v>0</v>
      </c>
    </row>
    <row r="14" customFormat="1" ht="22" customHeight="1" spans="1:15">
      <c r="A14" s="8">
        <v>12</v>
      </c>
      <c r="B14" s="9">
        <v>46104</v>
      </c>
      <c r="C14" s="10" t="s">
        <v>27</v>
      </c>
      <c r="D14" s="10" t="s">
        <v>77</v>
      </c>
      <c r="E14" s="11"/>
      <c r="F14" s="10">
        <v>3</v>
      </c>
      <c r="G14" s="14"/>
    </row>
    <row r="15" customFormat="1" ht="22" customHeight="1" spans="1:15">
      <c r="A15" s="8">
        <v>13</v>
      </c>
      <c r="B15" s="9">
        <v>46104</v>
      </c>
      <c r="C15" s="10" t="s">
        <v>28</v>
      </c>
      <c r="D15" s="10" t="s">
        <v>77</v>
      </c>
      <c r="E15" s="11">
        <v>3</v>
      </c>
      <c r="F15" s="10"/>
      <c r="G15" s="14"/>
    </row>
    <row r="16" customFormat="1" ht="22" customHeight="1" spans="1:15">
      <c r="A16" s="8">
        <v>14</v>
      </c>
      <c r="B16" s="9">
        <v>46104</v>
      </c>
      <c r="C16" s="11" t="s">
        <v>31</v>
      </c>
      <c r="D16" s="10" t="s">
        <v>77</v>
      </c>
      <c r="E16" s="22"/>
      <c r="F16" s="28">
        <v>3</v>
      </c>
      <c r="G16" s="14"/>
    </row>
    <row r="17" customFormat="1" ht="22" customHeight="1" spans="1:8">
      <c r="A17" s="8">
        <v>15</v>
      </c>
      <c r="B17" s="9">
        <v>46104</v>
      </c>
      <c r="C17" s="10" t="s">
        <v>35</v>
      </c>
      <c r="D17" s="10" t="s">
        <v>77</v>
      </c>
      <c r="E17" s="24"/>
      <c r="F17" s="24">
        <v>3</v>
      </c>
      <c r="G17" s="24"/>
    </row>
    <row r="18" customFormat="1" ht="22" customHeight="1" spans="1:8">
      <c r="A18" s="8">
        <v>16</v>
      </c>
      <c r="B18" s="9">
        <v>46104</v>
      </c>
      <c r="C18" s="10"/>
      <c r="D18" s="10"/>
      <c r="E18" s="12"/>
      <c r="F18" s="31">
        <v>4</v>
      </c>
      <c r="G18" s="32" t="s">
        <v>83</v>
      </c>
      <c r="H18" s="29" t="s">
        <v>85</v>
      </c>
    </row>
    <row r="19" customFormat="1" ht="22" customHeight="1" spans="1:8">
      <c r="A19" s="8"/>
      <c r="B19" s="19"/>
      <c r="C19" s="17"/>
      <c r="D19" s="20"/>
      <c r="E19" s="21"/>
      <c r="F19" s="22"/>
      <c r="G19" s="22"/>
    </row>
    <row r="20" customFormat="1" ht="13.5" spans="1:8">
      <c r="E20" s="23">
        <f>SUM(E3:E19)</f>
        <v>20</v>
      </c>
      <c r="F20" s="23">
        <f>SUM(F3:F19)</f>
        <v>29</v>
      </c>
    </row>
    <row r="21" spans="1:8">
      <c r="C21" s="29"/>
      <c r="D21" s="29"/>
      <c r="E21" s="29"/>
      <c r="F21" s="29"/>
      <c r="G21" s="29"/>
    </row>
    <row r="22" ht="14.25" spans="1:8">
      <c r="C22" s="33" t="s">
        <v>33</v>
      </c>
      <c r="D22" s="29"/>
      <c r="E22" s="29">
        <v>2</v>
      </c>
      <c r="F22" s="29">
        <v>2</v>
      </c>
      <c r="G22" s="32" t="s">
        <v>83</v>
      </c>
      <c r="H22" s="29">
        <v>3.26</v>
      </c>
    </row>
    <row r="23" ht="14.25" spans="1:8">
      <c r="C23" s="33" t="s">
        <v>33</v>
      </c>
      <c r="D23" s="29"/>
      <c r="E23" s="29">
        <v>2</v>
      </c>
      <c r="F23" s="29">
        <v>1</v>
      </c>
      <c r="G23" s="32"/>
      <c r="H23" s="29">
        <v>3.26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opLeftCell="D1" workbookViewId="0">
      <selection activeCell="J6" sqref="J6:M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customFormat="1" ht="38" customHeight="1" spans="1:15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5">
      <c r="A3" s="8">
        <v>1</v>
      </c>
      <c r="B3" s="9">
        <v>46107</v>
      </c>
      <c r="C3" s="10" t="s">
        <v>13</v>
      </c>
      <c r="D3" s="10" t="s">
        <v>77</v>
      </c>
      <c r="E3" s="10">
        <v>3</v>
      </c>
      <c r="F3" s="11"/>
      <c r="G3" s="12"/>
      <c r="I3" s="13">
        <v>1</v>
      </c>
      <c r="J3" s="9">
        <v>46107</v>
      </c>
      <c r="K3" s="10" t="s">
        <v>49</v>
      </c>
      <c r="L3" s="10" t="s">
        <v>77</v>
      </c>
      <c r="M3" s="11">
        <v>3</v>
      </c>
      <c r="N3" s="10"/>
      <c r="O3" s="14"/>
    </row>
    <row r="4" customFormat="1" ht="22" customHeight="1" spans="1:15">
      <c r="A4" s="8">
        <v>2</v>
      </c>
      <c r="B4" s="9">
        <v>46107</v>
      </c>
      <c r="C4" s="10" t="s">
        <v>16</v>
      </c>
      <c r="D4" s="10" t="s">
        <v>77</v>
      </c>
      <c r="E4" s="10">
        <v>3</v>
      </c>
      <c r="F4" s="11"/>
      <c r="G4" s="15"/>
      <c r="I4" s="13">
        <v>2</v>
      </c>
      <c r="J4" s="9">
        <v>46107</v>
      </c>
      <c r="K4" s="10" t="s">
        <v>53</v>
      </c>
      <c r="L4" s="10" t="s">
        <v>77</v>
      </c>
      <c r="M4" s="11">
        <v>3</v>
      </c>
      <c r="N4" s="10"/>
      <c r="O4" s="14"/>
    </row>
    <row r="5" customFormat="1" ht="22" customHeight="1" spans="1:15">
      <c r="A5" s="8">
        <v>3</v>
      </c>
      <c r="B5" s="9">
        <v>46107</v>
      </c>
      <c r="C5" s="10" t="s">
        <v>30</v>
      </c>
      <c r="D5" s="10" t="s">
        <v>77</v>
      </c>
      <c r="E5" s="11"/>
      <c r="F5" s="10">
        <v>3</v>
      </c>
      <c r="G5" s="14"/>
      <c r="I5" s="13">
        <v>3</v>
      </c>
      <c r="J5" s="9">
        <v>46107</v>
      </c>
      <c r="K5" s="16" t="s">
        <v>81</v>
      </c>
      <c r="L5" s="10" t="s">
        <v>77</v>
      </c>
      <c r="M5" s="12">
        <v>3</v>
      </c>
      <c r="N5" s="14"/>
      <c r="O5" s="14"/>
    </row>
    <row r="6" customFormat="1" ht="22" customHeight="1" spans="1:15">
      <c r="A6" s="8">
        <v>4</v>
      </c>
      <c r="B6" s="9">
        <v>46107</v>
      </c>
      <c r="C6" s="10" t="s">
        <v>17</v>
      </c>
      <c r="D6" s="10" t="s">
        <v>77</v>
      </c>
      <c r="E6" s="11"/>
      <c r="F6" s="10">
        <v>3</v>
      </c>
      <c r="G6" s="15"/>
      <c r="I6" s="13">
        <v>4</v>
      </c>
      <c r="J6" s="9">
        <v>46107</v>
      </c>
      <c r="K6" s="17" t="s">
        <v>84</v>
      </c>
      <c r="L6" s="10" t="s">
        <v>77</v>
      </c>
      <c r="M6" s="12">
        <v>3</v>
      </c>
      <c r="N6" s="14"/>
      <c r="O6" s="14"/>
    </row>
    <row r="7" customFormat="1" ht="22" customHeight="1" spans="1:15">
      <c r="A7" s="8">
        <v>5</v>
      </c>
      <c r="B7" s="9">
        <v>46107</v>
      </c>
      <c r="C7" s="10" t="s">
        <v>18</v>
      </c>
      <c r="D7" s="10" t="s">
        <v>77</v>
      </c>
      <c r="E7" s="11"/>
      <c r="F7" s="10">
        <v>3</v>
      </c>
      <c r="G7" s="15"/>
      <c r="I7" s="13">
        <v>5</v>
      </c>
      <c r="J7" s="9"/>
      <c r="K7" s="17"/>
      <c r="L7" s="18"/>
      <c r="M7" s="12"/>
      <c r="N7" s="14"/>
      <c r="O7" s="14"/>
    </row>
    <row r="8" customFormat="1" ht="22" customHeight="1" spans="1:15">
      <c r="A8" s="8">
        <v>6</v>
      </c>
      <c r="B8" s="9">
        <v>46107</v>
      </c>
      <c r="C8" s="10" t="s">
        <v>19</v>
      </c>
      <c r="D8" s="10" t="s">
        <v>77</v>
      </c>
      <c r="E8" s="10">
        <v>1</v>
      </c>
      <c r="F8" s="10">
        <v>2</v>
      </c>
      <c r="G8" s="15"/>
      <c r="I8" s="13">
        <v>6</v>
      </c>
      <c r="J8" s="9"/>
      <c r="K8" s="17"/>
      <c r="L8" s="18"/>
      <c r="M8" s="12"/>
      <c r="N8" s="14"/>
      <c r="O8" s="14"/>
    </row>
    <row r="9" customFormat="1" ht="22" customHeight="1" spans="1:15">
      <c r="A9" s="8">
        <v>7</v>
      </c>
      <c r="B9" s="9">
        <v>46107</v>
      </c>
      <c r="C9" s="10" t="s">
        <v>20</v>
      </c>
      <c r="D9" s="10" t="s">
        <v>77</v>
      </c>
      <c r="E9" s="10">
        <v>3</v>
      </c>
      <c r="F9" s="11"/>
      <c r="G9" s="15"/>
      <c r="I9" s="13">
        <v>7</v>
      </c>
      <c r="J9" s="9"/>
      <c r="K9" s="17"/>
      <c r="L9" s="18"/>
      <c r="M9" s="12"/>
      <c r="N9" s="14"/>
      <c r="O9" s="14"/>
    </row>
    <row r="10" customFormat="1" ht="22" customHeight="1" spans="1:15">
      <c r="A10" s="8">
        <v>8</v>
      </c>
      <c r="B10" s="9">
        <v>46107</v>
      </c>
      <c r="C10" s="10" t="s">
        <v>21</v>
      </c>
      <c r="D10" s="10" t="s">
        <v>77</v>
      </c>
      <c r="E10" s="10">
        <v>3</v>
      </c>
      <c r="F10" s="11"/>
      <c r="G10" s="14"/>
      <c r="I10" s="13">
        <v>8</v>
      </c>
      <c r="J10" s="9"/>
      <c r="K10" s="17"/>
      <c r="L10" s="18"/>
      <c r="M10" s="12"/>
      <c r="N10" s="14"/>
      <c r="O10" s="14"/>
    </row>
    <row r="11" customFormat="1" ht="22" customHeight="1" spans="1:15">
      <c r="A11" s="8">
        <v>9</v>
      </c>
      <c r="B11" s="9">
        <v>46107</v>
      </c>
      <c r="C11" s="10" t="s">
        <v>22</v>
      </c>
      <c r="D11" s="10" t="s">
        <v>77</v>
      </c>
      <c r="E11" s="10">
        <v>3</v>
      </c>
      <c r="F11" s="11"/>
      <c r="G11" s="14"/>
      <c r="I11" s="13"/>
      <c r="J11" s="9"/>
      <c r="K11" s="17"/>
      <c r="L11" s="18"/>
      <c r="M11" s="12"/>
      <c r="N11" s="14"/>
      <c r="O11" s="14"/>
    </row>
    <row r="12" customFormat="1" ht="22" customHeight="1" spans="1:15">
      <c r="A12" s="8">
        <v>10</v>
      </c>
      <c r="B12" s="9">
        <v>46107</v>
      </c>
      <c r="C12" s="10" t="s">
        <v>24</v>
      </c>
      <c r="D12" s="10" t="s">
        <v>77</v>
      </c>
      <c r="E12" s="10">
        <v>1</v>
      </c>
      <c r="F12" s="10">
        <v>2</v>
      </c>
      <c r="G12" s="14"/>
      <c r="I12" s="13"/>
      <c r="J12" s="19"/>
      <c r="K12" s="17"/>
      <c r="L12" s="20"/>
      <c r="M12" s="21"/>
      <c r="N12" s="22"/>
      <c r="O12" s="22"/>
    </row>
    <row r="13" customFormat="1" ht="22" customHeight="1" spans="1:15">
      <c r="A13" s="8">
        <v>11</v>
      </c>
      <c r="B13" s="9">
        <v>46107</v>
      </c>
      <c r="C13" s="10" t="s">
        <v>26</v>
      </c>
      <c r="D13" s="10" t="s">
        <v>77</v>
      </c>
      <c r="E13" s="11"/>
      <c r="F13" s="10">
        <v>3</v>
      </c>
      <c r="G13" s="14"/>
      <c r="M13" s="23">
        <f>SUM(M3:M12)</f>
        <v>12</v>
      </c>
      <c r="N13" s="23">
        <f>SUM(N3:N12)</f>
        <v>0</v>
      </c>
    </row>
    <row r="14" customFormat="1" ht="22" customHeight="1" spans="1:15">
      <c r="A14" s="8">
        <v>12</v>
      </c>
      <c r="B14" s="9">
        <v>46107</v>
      </c>
      <c r="C14" s="10" t="s">
        <v>27</v>
      </c>
      <c r="D14" s="10" t="s">
        <v>77</v>
      </c>
      <c r="E14" s="11"/>
      <c r="F14" s="10">
        <v>3</v>
      </c>
      <c r="G14" s="14"/>
    </row>
    <row r="15" customFormat="1" ht="22" customHeight="1" spans="1:15">
      <c r="A15" s="8">
        <v>13</v>
      </c>
      <c r="B15" s="9">
        <v>46107</v>
      </c>
      <c r="C15" s="10" t="s">
        <v>28</v>
      </c>
      <c r="D15" s="10" t="s">
        <v>77</v>
      </c>
      <c r="E15" s="11">
        <v>3</v>
      </c>
      <c r="F15" s="10"/>
      <c r="G15" s="14"/>
    </row>
    <row r="16" customFormat="1" ht="22" customHeight="1" spans="1:15">
      <c r="A16" s="8">
        <v>14</v>
      </c>
      <c r="B16" s="9">
        <v>46107</v>
      </c>
      <c r="C16" s="11" t="s">
        <v>31</v>
      </c>
      <c r="D16" s="10" t="s">
        <v>77</v>
      </c>
      <c r="E16" s="22"/>
      <c r="F16" s="28">
        <v>3</v>
      </c>
      <c r="G16" s="14"/>
      <c r="J16" s="29" t="s">
        <v>86</v>
      </c>
    </row>
    <row r="17" customFormat="1" ht="22" customHeight="1" spans="1:8">
      <c r="A17" s="8">
        <v>15</v>
      </c>
      <c r="B17" s="9">
        <v>46107</v>
      </c>
      <c r="C17" s="10" t="s">
        <v>35</v>
      </c>
      <c r="D17" s="10" t="s">
        <v>77</v>
      </c>
      <c r="E17" s="24"/>
      <c r="F17" s="24">
        <v>3</v>
      </c>
      <c r="G17" s="24"/>
    </row>
    <row r="18" customFormat="1" ht="22" customHeight="1" spans="1:8">
      <c r="A18" s="8">
        <v>16</v>
      </c>
      <c r="B18" s="9">
        <v>46107</v>
      </c>
      <c r="C18" s="10" t="s">
        <v>33</v>
      </c>
      <c r="D18" s="10"/>
      <c r="E18" s="24">
        <v>2</v>
      </c>
      <c r="F18" s="24">
        <v>2</v>
      </c>
      <c r="G18" s="24" t="s">
        <v>83</v>
      </c>
    </row>
    <row r="19" customFormat="1" ht="22" customHeight="1" spans="1:8">
      <c r="A19" s="8">
        <v>17</v>
      </c>
      <c r="B19" s="9">
        <v>46107</v>
      </c>
      <c r="C19" s="10" t="s">
        <v>33</v>
      </c>
      <c r="D19" s="10" t="s">
        <v>77</v>
      </c>
      <c r="E19" s="24">
        <v>2</v>
      </c>
      <c r="F19" s="24">
        <v>1</v>
      </c>
      <c r="G19" s="24"/>
    </row>
    <row r="20" customFormat="1" ht="22" customHeight="1" spans="1:8">
      <c r="A20" s="8">
        <v>18</v>
      </c>
      <c r="B20" s="9">
        <v>46107</v>
      </c>
      <c r="C20" s="10"/>
      <c r="D20" s="10"/>
      <c r="E20" s="24"/>
      <c r="F20" s="24">
        <v>4</v>
      </c>
      <c r="G20" s="24" t="s">
        <v>83</v>
      </c>
      <c r="H20" t="s">
        <v>85</v>
      </c>
    </row>
    <row r="21" customFormat="1" ht="22" customHeight="1" spans="1:8">
      <c r="A21" s="8"/>
      <c r="B21" s="19"/>
      <c r="C21" s="17"/>
      <c r="D21" s="20"/>
      <c r="E21" s="21"/>
      <c r="F21" s="22"/>
      <c r="G21" s="22"/>
    </row>
    <row r="22" customFormat="1" ht="13.5" spans="1:8">
      <c r="E22" s="23">
        <f>SUM(E3:E21)</f>
        <v>24</v>
      </c>
      <c r="F22" s="23">
        <f>SUM(F3:F21)</f>
        <v>32</v>
      </c>
    </row>
    <row r="23" spans="1:8">
      <c r="C23" s="29"/>
      <c r="D23" s="29"/>
      <c r="E23" s="29"/>
      <c r="F23" s="29"/>
      <c r="G23" s="29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E24" sqref="E24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5" customWidth="1"/>
    <col min="4" max="4" width="12.1428571428571" customWidth="1"/>
    <col min="5" max="6" width="7.71428571428571" customWidth="1"/>
    <col min="7" max="7" width="25.2857142857143" customWidth="1"/>
    <col min="9" max="9" width="7.14285714285714" customWidth="1"/>
    <col min="10" max="10" width="10.2857142857143" customWidth="1"/>
    <col min="11" max="12" width="12.1428571428571" customWidth="1"/>
    <col min="13" max="14" width="6.57142857142857" customWidth="1"/>
    <col min="15" max="15" width="12.4285714285714" customWidth="1"/>
  </cols>
  <sheetData>
    <row r="1" customFormat="1" ht="38" customHeight="1" spans="1:15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5">
      <c r="A3" s="8">
        <v>1</v>
      </c>
      <c r="B3" s="9">
        <v>46111</v>
      </c>
      <c r="C3" s="10" t="s">
        <v>13</v>
      </c>
      <c r="D3" s="10" t="s">
        <v>77</v>
      </c>
      <c r="E3" s="10">
        <v>3</v>
      </c>
      <c r="F3" s="11"/>
      <c r="G3" s="12"/>
      <c r="H3">
        <f t="shared" ref="H3:H19" si="0">SUM(E3:F3)</f>
        <v>3</v>
      </c>
      <c r="I3" s="13">
        <v>1</v>
      </c>
      <c r="J3" s="9">
        <v>46111</v>
      </c>
      <c r="K3" s="10" t="s">
        <v>49</v>
      </c>
      <c r="L3" s="10" t="s">
        <v>77</v>
      </c>
      <c r="M3" s="11">
        <v>3</v>
      </c>
      <c r="N3" s="10"/>
      <c r="O3" s="14"/>
    </row>
    <row r="4" customFormat="1" ht="22" customHeight="1" spans="1:15">
      <c r="A4" s="8">
        <v>2</v>
      </c>
      <c r="B4" s="9">
        <v>46111</v>
      </c>
      <c r="C4" s="10" t="s">
        <v>16</v>
      </c>
      <c r="D4" s="10" t="s">
        <v>77</v>
      </c>
      <c r="E4" s="10">
        <v>3</v>
      </c>
      <c r="F4" s="11"/>
      <c r="G4" s="15"/>
      <c r="H4">
        <f t="shared" si="0"/>
        <v>3</v>
      </c>
      <c r="I4" s="13">
        <v>2</v>
      </c>
      <c r="J4" s="9">
        <v>46111</v>
      </c>
      <c r="K4" s="10" t="s">
        <v>53</v>
      </c>
      <c r="L4" s="10" t="s">
        <v>77</v>
      </c>
      <c r="M4" s="11">
        <v>3</v>
      </c>
      <c r="N4" s="10"/>
      <c r="O4" s="14"/>
    </row>
    <row r="5" customFormat="1" ht="22" customHeight="1" spans="1:15">
      <c r="A5" s="8">
        <v>3</v>
      </c>
      <c r="B5" s="9">
        <v>46111</v>
      </c>
      <c r="C5" s="10" t="s">
        <v>30</v>
      </c>
      <c r="D5" s="10" t="s">
        <v>77</v>
      </c>
      <c r="E5" s="11"/>
      <c r="F5" s="10">
        <v>3</v>
      </c>
      <c r="G5" s="14"/>
      <c r="H5">
        <f t="shared" si="0"/>
        <v>3</v>
      </c>
      <c r="I5" s="13">
        <v>3</v>
      </c>
      <c r="J5" s="9">
        <v>46111</v>
      </c>
      <c r="K5" s="16" t="s">
        <v>81</v>
      </c>
      <c r="L5" s="10" t="s">
        <v>77</v>
      </c>
      <c r="M5" s="12">
        <v>3</v>
      </c>
      <c r="N5" s="14"/>
      <c r="O5" s="14"/>
    </row>
    <row r="6" customFormat="1" ht="22" customHeight="1" spans="1:15">
      <c r="A6" s="8">
        <v>4</v>
      </c>
      <c r="B6" s="9">
        <v>46111</v>
      </c>
      <c r="C6" s="10" t="s">
        <v>17</v>
      </c>
      <c r="D6" s="10" t="s">
        <v>77</v>
      </c>
      <c r="E6" s="11"/>
      <c r="F6" s="10">
        <v>3</v>
      </c>
      <c r="G6" s="15"/>
      <c r="H6">
        <f t="shared" si="0"/>
        <v>3</v>
      </c>
      <c r="I6" s="13">
        <v>4</v>
      </c>
      <c r="J6" s="9">
        <v>46111</v>
      </c>
      <c r="K6" s="17" t="s">
        <v>84</v>
      </c>
      <c r="L6" s="10" t="s">
        <v>77</v>
      </c>
      <c r="M6" s="12">
        <v>3</v>
      </c>
      <c r="N6" s="14"/>
      <c r="O6" s="14"/>
    </row>
    <row r="7" customFormat="1" ht="22" customHeight="1" spans="1:15">
      <c r="A7" s="8">
        <v>5</v>
      </c>
      <c r="B7" s="9">
        <v>46111</v>
      </c>
      <c r="C7" s="10" t="s">
        <v>18</v>
      </c>
      <c r="D7" s="10" t="s">
        <v>77</v>
      </c>
      <c r="E7" s="11"/>
      <c r="F7" s="10">
        <v>3</v>
      </c>
      <c r="G7" s="15"/>
      <c r="H7">
        <f t="shared" si="0"/>
        <v>3</v>
      </c>
      <c r="I7" s="13">
        <v>5</v>
      </c>
      <c r="J7" s="9"/>
      <c r="K7" s="17"/>
      <c r="L7" s="18"/>
      <c r="M7" s="12"/>
      <c r="N7" s="14"/>
      <c r="O7" s="14"/>
    </row>
    <row r="8" customFormat="1" ht="22" customHeight="1" spans="1:15">
      <c r="A8" s="8">
        <v>6</v>
      </c>
      <c r="B8" s="9">
        <v>46111</v>
      </c>
      <c r="C8" s="10" t="s">
        <v>19</v>
      </c>
      <c r="D8" s="10" t="s">
        <v>77</v>
      </c>
      <c r="E8" s="10">
        <v>1</v>
      </c>
      <c r="F8" s="10">
        <v>2</v>
      </c>
      <c r="G8" s="15"/>
      <c r="H8">
        <f t="shared" si="0"/>
        <v>3</v>
      </c>
      <c r="I8" s="13">
        <v>6</v>
      </c>
      <c r="J8" s="9"/>
      <c r="K8" s="17"/>
      <c r="L8" s="18"/>
      <c r="M8" s="12"/>
      <c r="N8" s="14"/>
      <c r="O8" s="14"/>
    </row>
    <row r="9" customFormat="1" ht="22" customHeight="1" spans="1:15">
      <c r="A9" s="8">
        <v>7</v>
      </c>
      <c r="B9" s="9">
        <v>46111</v>
      </c>
      <c r="C9" s="10" t="s">
        <v>20</v>
      </c>
      <c r="D9" s="10" t="s">
        <v>77</v>
      </c>
      <c r="E9" s="10">
        <v>3</v>
      </c>
      <c r="F9" s="11"/>
      <c r="G9" s="15"/>
      <c r="H9">
        <f t="shared" si="0"/>
        <v>3</v>
      </c>
      <c r="I9" s="13">
        <v>7</v>
      </c>
      <c r="J9" s="9"/>
      <c r="K9" s="17"/>
      <c r="L9" s="18"/>
      <c r="M9" s="12"/>
      <c r="N9" s="14"/>
      <c r="O9" s="14"/>
    </row>
    <row r="10" customFormat="1" ht="22" customHeight="1" spans="1:15">
      <c r="A10" s="8">
        <v>8</v>
      </c>
      <c r="B10" s="9">
        <v>46111</v>
      </c>
      <c r="C10" s="10" t="s">
        <v>21</v>
      </c>
      <c r="D10" s="10" t="s">
        <v>77</v>
      </c>
      <c r="E10" s="10">
        <v>3</v>
      </c>
      <c r="F10" s="11"/>
      <c r="G10" s="14"/>
      <c r="H10">
        <f t="shared" si="0"/>
        <v>3</v>
      </c>
      <c r="I10" s="13">
        <v>8</v>
      </c>
      <c r="J10" s="9"/>
      <c r="K10" s="17"/>
      <c r="L10" s="18"/>
      <c r="M10" s="12"/>
      <c r="N10" s="14"/>
      <c r="O10" s="14"/>
    </row>
    <row r="11" customFormat="1" ht="22" customHeight="1" spans="1:15">
      <c r="A11" s="8">
        <v>9</v>
      </c>
      <c r="B11" s="9">
        <v>46111</v>
      </c>
      <c r="C11" s="10" t="s">
        <v>22</v>
      </c>
      <c r="D11" s="10" t="s">
        <v>77</v>
      </c>
      <c r="E11" s="10">
        <v>3</v>
      </c>
      <c r="F11" s="11"/>
      <c r="G11" s="14"/>
      <c r="H11">
        <f t="shared" si="0"/>
        <v>3</v>
      </c>
      <c r="I11" s="13"/>
      <c r="J11" s="9"/>
      <c r="K11" s="17"/>
      <c r="L11" s="18"/>
      <c r="M11" s="12"/>
      <c r="N11" s="14"/>
      <c r="O11" s="14"/>
    </row>
    <row r="12" customFormat="1" ht="22" customHeight="1" spans="1:15">
      <c r="A12" s="8">
        <v>10</v>
      </c>
      <c r="B12" s="9">
        <v>46111</v>
      </c>
      <c r="C12" s="10" t="s">
        <v>24</v>
      </c>
      <c r="D12" s="10" t="s">
        <v>77</v>
      </c>
      <c r="E12" s="10">
        <v>1</v>
      </c>
      <c r="F12" s="10">
        <v>2</v>
      </c>
      <c r="G12" s="14"/>
      <c r="H12">
        <f t="shared" si="0"/>
        <v>3</v>
      </c>
      <c r="I12" s="13"/>
      <c r="J12" s="19"/>
      <c r="K12" s="17"/>
      <c r="L12" s="20"/>
      <c r="M12" s="21"/>
      <c r="N12" s="22"/>
      <c r="O12" s="22"/>
    </row>
    <row r="13" customFormat="1" ht="22" customHeight="1" spans="1:15">
      <c r="A13" s="8">
        <v>11</v>
      </c>
      <c r="B13" s="9">
        <v>46111</v>
      </c>
      <c r="C13" s="10" t="s">
        <v>26</v>
      </c>
      <c r="D13" s="10" t="s">
        <v>77</v>
      </c>
      <c r="E13" s="11"/>
      <c r="F13" s="10">
        <v>3</v>
      </c>
      <c r="G13" s="14"/>
      <c r="H13">
        <f t="shared" si="0"/>
        <v>3</v>
      </c>
      <c r="M13" s="23">
        <f>SUM(M3:M12)</f>
        <v>12</v>
      </c>
      <c r="N13" s="23">
        <f>SUM(N3:N12)</f>
        <v>0</v>
      </c>
    </row>
    <row r="14" customFormat="1" ht="22" customHeight="1" spans="1:15">
      <c r="A14" s="8">
        <v>12</v>
      </c>
      <c r="B14" s="9">
        <v>46111</v>
      </c>
      <c r="C14" s="10" t="s">
        <v>27</v>
      </c>
      <c r="D14" s="10" t="s">
        <v>77</v>
      </c>
      <c r="E14" s="11"/>
      <c r="F14" s="10">
        <v>3</v>
      </c>
      <c r="G14" s="14"/>
      <c r="H14">
        <f t="shared" si="0"/>
        <v>3</v>
      </c>
    </row>
    <row r="15" customFormat="1" ht="22" customHeight="1" spans="1:15">
      <c r="A15" s="8">
        <v>13</v>
      </c>
      <c r="B15" s="9">
        <v>46111</v>
      </c>
      <c r="C15" s="10" t="s">
        <v>28</v>
      </c>
      <c r="D15" s="10" t="s">
        <v>77</v>
      </c>
      <c r="E15" s="11">
        <v>3</v>
      </c>
      <c r="F15" s="10"/>
      <c r="G15" s="14"/>
      <c r="H15">
        <f t="shared" si="0"/>
        <v>3</v>
      </c>
    </row>
    <row r="16" customFormat="1" ht="22" customHeight="1" spans="1:15">
      <c r="A16" s="8">
        <v>14</v>
      </c>
      <c r="B16" s="9">
        <v>46111</v>
      </c>
      <c r="C16" s="11" t="s">
        <v>31</v>
      </c>
      <c r="D16" s="10" t="s">
        <v>77</v>
      </c>
      <c r="E16" s="22"/>
      <c r="F16" s="28">
        <v>3</v>
      </c>
      <c r="G16" s="14"/>
      <c r="H16">
        <f t="shared" si="0"/>
        <v>3</v>
      </c>
      <c r="I16" s="30" t="s">
        <v>86</v>
      </c>
    </row>
    <row r="17" customFormat="1" ht="22" customHeight="1" spans="1:8">
      <c r="A17" s="8">
        <v>15</v>
      </c>
      <c r="B17" s="9">
        <v>46111</v>
      </c>
      <c r="C17" s="10" t="s">
        <v>35</v>
      </c>
      <c r="D17" s="10" t="s">
        <v>77</v>
      </c>
      <c r="E17" s="24"/>
      <c r="F17" s="24">
        <v>3</v>
      </c>
      <c r="G17" s="24"/>
      <c r="H17">
        <f t="shared" si="0"/>
        <v>3</v>
      </c>
    </row>
    <row r="18" customFormat="1" ht="22" customHeight="1" spans="1:8">
      <c r="A18" s="8">
        <v>16</v>
      </c>
      <c r="B18" s="9">
        <v>46111</v>
      </c>
      <c r="C18" s="10" t="s">
        <v>33</v>
      </c>
      <c r="D18" s="10"/>
      <c r="E18" s="24">
        <v>2</v>
      </c>
      <c r="F18" s="24">
        <v>1</v>
      </c>
      <c r="G18" s="24" t="s">
        <v>83</v>
      </c>
      <c r="H18">
        <f t="shared" si="0"/>
        <v>3</v>
      </c>
    </row>
    <row r="19" customFormat="1" ht="22" customHeight="1" spans="1:8">
      <c r="A19" s="8">
        <v>17</v>
      </c>
      <c r="B19" s="9">
        <v>46111</v>
      </c>
      <c r="C19" s="10" t="s">
        <v>33</v>
      </c>
      <c r="D19" s="10" t="s">
        <v>77</v>
      </c>
      <c r="E19" s="24">
        <v>2</v>
      </c>
      <c r="F19" s="24">
        <v>1</v>
      </c>
      <c r="G19" s="24"/>
      <c r="H19">
        <f t="shared" si="0"/>
        <v>3</v>
      </c>
    </row>
    <row r="20" customFormat="1" ht="22" customHeight="1" spans="1:8">
      <c r="A20" s="8"/>
      <c r="B20" s="19"/>
      <c r="C20" s="17"/>
      <c r="D20" s="20"/>
      <c r="E20" s="21"/>
      <c r="F20" s="22"/>
      <c r="G20" s="22"/>
    </row>
    <row r="21" customFormat="1" ht="13.5" spans="1:8">
      <c r="E21" s="23">
        <f>SUM(E3:E20)</f>
        <v>24</v>
      </c>
      <c r="F21" s="23">
        <f>SUM(F3:F20)</f>
        <v>27</v>
      </c>
    </row>
    <row r="22" spans="1:8">
      <c r="C22" s="29"/>
      <c r="D22" s="29"/>
      <c r="E22" s="29"/>
      <c r="F22" s="29"/>
      <c r="G22" s="29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F19" sqref="E18:F19"/>
    </sheetView>
  </sheetViews>
  <sheetFormatPr defaultColWidth="9.14285714285714" defaultRowHeight="12"/>
  <cols>
    <col min="1" max="1" width="8.71428571428571" customWidth="1"/>
    <col min="2" max="2" width="14.4285714285714" customWidth="1"/>
    <col min="3" max="3" width="13.8571428571429" customWidth="1"/>
    <col min="4" max="4" width="12.1428571428571" customWidth="1"/>
    <col min="5" max="6" width="8.28571428571429" customWidth="1"/>
    <col min="7" max="7" width="16.8571428571429" customWidth="1"/>
    <col min="9" max="9" width="6.7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customFormat="1" ht="38" customHeight="1" spans="1:16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6">
      <c r="A3" s="8">
        <v>1</v>
      </c>
      <c r="B3" s="9">
        <v>46114</v>
      </c>
      <c r="C3" s="10" t="s">
        <v>13</v>
      </c>
      <c r="D3" s="10" t="s">
        <v>78</v>
      </c>
      <c r="E3" s="10">
        <v>2</v>
      </c>
      <c r="F3" s="11"/>
      <c r="G3" s="12"/>
      <c r="H3" s="1"/>
      <c r="I3" s="13">
        <v>1</v>
      </c>
      <c r="J3" s="9">
        <v>46114</v>
      </c>
      <c r="K3" s="10" t="s">
        <v>49</v>
      </c>
      <c r="L3" s="10" t="s">
        <v>78</v>
      </c>
      <c r="M3" s="10">
        <v>2</v>
      </c>
      <c r="N3" s="14"/>
      <c r="O3" s="14"/>
      <c r="P3" t="s">
        <v>79</v>
      </c>
    </row>
    <row r="4" customFormat="1" ht="22" customHeight="1" spans="1:16">
      <c r="A4" s="8">
        <v>2</v>
      </c>
      <c r="B4" s="9">
        <v>46114</v>
      </c>
      <c r="C4" s="10" t="s">
        <v>16</v>
      </c>
      <c r="D4" s="10" t="s">
        <v>78</v>
      </c>
      <c r="E4" s="10">
        <v>2</v>
      </c>
      <c r="F4" s="11"/>
      <c r="G4" s="15"/>
      <c r="H4" s="1"/>
      <c r="I4" s="13">
        <v>2</v>
      </c>
      <c r="J4" s="9">
        <v>46114</v>
      </c>
      <c r="K4" s="10" t="s">
        <v>53</v>
      </c>
      <c r="L4" s="10" t="s">
        <v>78</v>
      </c>
      <c r="M4" s="10">
        <v>2</v>
      </c>
      <c r="N4" s="14"/>
      <c r="O4" s="14"/>
    </row>
    <row r="5" customFormat="1" ht="22" customHeight="1" spans="1:16">
      <c r="A5" s="8">
        <v>3</v>
      </c>
      <c r="B5" s="9">
        <v>46114</v>
      </c>
      <c r="C5" s="10" t="s">
        <v>30</v>
      </c>
      <c r="D5" s="10" t="s">
        <v>78</v>
      </c>
      <c r="E5" s="11"/>
      <c r="F5" s="10">
        <v>2</v>
      </c>
      <c r="G5" s="14"/>
      <c r="H5" s="1"/>
      <c r="I5" s="13">
        <v>3</v>
      </c>
      <c r="J5" s="9">
        <v>46114</v>
      </c>
      <c r="K5" s="16" t="s">
        <v>81</v>
      </c>
      <c r="L5" s="10" t="s">
        <v>78</v>
      </c>
      <c r="M5" s="12">
        <v>2</v>
      </c>
      <c r="N5" s="14"/>
      <c r="O5" s="14"/>
    </row>
    <row r="6" customFormat="1" ht="22" customHeight="1" spans="1:16">
      <c r="A6" s="8">
        <v>4</v>
      </c>
      <c r="B6" s="9">
        <v>46114</v>
      </c>
      <c r="C6" s="10" t="s">
        <v>17</v>
      </c>
      <c r="D6" s="10" t="s">
        <v>78</v>
      </c>
      <c r="E6" s="11"/>
      <c r="F6" s="10">
        <v>2</v>
      </c>
      <c r="G6" s="15"/>
      <c r="H6" s="1"/>
      <c r="I6" s="13">
        <v>4</v>
      </c>
      <c r="J6" s="9">
        <v>46114</v>
      </c>
      <c r="K6" s="17" t="s">
        <v>84</v>
      </c>
      <c r="L6" s="10" t="s">
        <v>78</v>
      </c>
      <c r="M6" s="12">
        <v>2</v>
      </c>
      <c r="N6" s="14"/>
      <c r="O6" s="14"/>
    </row>
    <row r="7" customFormat="1" ht="22" customHeight="1" spans="1:16">
      <c r="A7" s="8">
        <v>5</v>
      </c>
      <c r="B7" s="9">
        <v>46114</v>
      </c>
      <c r="C7" s="10" t="s">
        <v>18</v>
      </c>
      <c r="D7" s="10" t="s">
        <v>78</v>
      </c>
      <c r="E7" s="11"/>
      <c r="F7" s="10">
        <v>2</v>
      </c>
      <c r="G7" s="15"/>
      <c r="H7" s="1"/>
      <c r="I7" s="13">
        <v>5</v>
      </c>
      <c r="J7" s="9"/>
      <c r="K7" s="17"/>
      <c r="L7" s="18"/>
      <c r="M7" s="12"/>
      <c r="N7" s="14"/>
      <c r="O7" s="14"/>
    </row>
    <row r="8" customFormat="1" ht="22" customHeight="1" spans="1:16">
      <c r="A8" s="8">
        <v>6</v>
      </c>
      <c r="B8" s="9">
        <v>46114</v>
      </c>
      <c r="C8" s="10" t="s">
        <v>19</v>
      </c>
      <c r="D8" s="10" t="s">
        <v>78</v>
      </c>
      <c r="E8" s="10">
        <v>1</v>
      </c>
      <c r="F8" s="10">
        <v>1</v>
      </c>
      <c r="G8" s="15"/>
      <c r="H8" s="1"/>
      <c r="I8" s="13">
        <v>6</v>
      </c>
      <c r="J8" s="9"/>
      <c r="K8" s="17"/>
      <c r="L8" s="18"/>
      <c r="M8" s="12"/>
      <c r="N8" s="14"/>
      <c r="O8" s="14"/>
    </row>
    <row r="9" customFormat="1" ht="22" customHeight="1" spans="1:16">
      <c r="A9" s="8">
        <v>7</v>
      </c>
      <c r="B9" s="9">
        <v>46114</v>
      </c>
      <c r="C9" s="10" t="s">
        <v>20</v>
      </c>
      <c r="D9" s="10" t="s">
        <v>78</v>
      </c>
      <c r="E9" s="10">
        <v>2</v>
      </c>
      <c r="F9" s="11"/>
      <c r="G9" s="15"/>
      <c r="H9" s="1"/>
      <c r="I9" s="13">
        <v>7</v>
      </c>
      <c r="J9" s="9"/>
      <c r="K9" s="17"/>
      <c r="L9" s="18"/>
      <c r="M9" s="12"/>
      <c r="N9" s="14"/>
      <c r="O9" s="14"/>
    </row>
    <row r="10" customFormat="1" ht="22" customHeight="1" spans="1:16">
      <c r="A10" s="8">
        <v>8</v>
      </c>
      <c r="B10" s="9">
        <v>46114</v>
      </c>
      <c r="C10" s="10" t="s">
        <v>21</v>
      </c>
      <c r="D10" s="10" t="s">
        <v>78</v>
      </c>
      <c r="E10" s="10">
        <v>2</v>
      </c>
      <c r="F10" s="11"/>
      <c r="G10" s="14"/>
      <c r="H10" s="1"/>
      <c r="I10" s="13">
        <v>8</v>
      </c>
      <c r="J10" s="9"/>
      <c r="K10" s="17"/>
      <c r="L10" s="18"/>
      <c r="M10" s="12"/>
      <c r="N10" s="14"/>
      <c r="O10" s="14"/>
    </row>
    <row r="11" customFormat="1" ht="22" customHeight="1" spans="1:16">
      <c r="A11" s="8">
        <v>9</v>
      </c>
      <c r="B11" s="9">
        <v>46114</v>
      </c>
      <c r="C11" s="10" t="s">
        <v>22</v>
      </c>
      <c r="D11" s="10" t="s">
        <v>78</v>
      </c>
      <c r="E11" s="10">
        <v>2</v>
      </c>
      <c r="F11" s="11"/>
      <c r="G11" s="14"/>
      <c r="H11" s="1"/>
      <c r="I11" s="13"/>
      <c r="J11" s="9"/>
      <c r="K11" s="17"/>
      <c r="L11" s="18"/>
      <c r="M11" s="12"/>
      <c r="N11" s="14"/>
      <c r="O11" s="14"/>
    </row>
    <row r="12" customFormat="1" ht="22" customHeight="1" spans="1:16">
      <c r="A12" s="8">
        <v>10</v>
      </c>
      <c r="B12" s="9">
        <v>46114</v>
      </c>
      <c r="C12" s="10" t="s">
        <v>24</v>
      </c>
      <c r="D12" s="10" t="s">
        <v>78</v>
      </c>
      <c r="E12" s="10">
        <v>1</v>
      </c>
      <c r="F12" s="10">
        <v>1</v>
      </c>
      <c r="G12" s="14"/>
      <c r="H12" s="1"/>
      <c r="I12" s="13"/>
      <c r="J12" s="19"/>
      <c r="K12" s="17"/>
      <c r="L12" s="20"/>
      <c r="M12" s="21"/>
      <c r="N12" s="22"/>
      <c r="O12" s="22"/>
    </row>
    <row r="13" customFormat="1" ht="22" customHeight="1" spans="1:16">
      <c r="A13" s="8">
        <v>11</v>
      </c>
      <c r="B13" s="9">
        <v>46114</v>
      </c>
      <c r="C13" s="10" t="s">
        <v>26</v>
      </c>
      <c r="D13" s="10" t="s">
        <v>78</v>
      </c>
      <c r="E13" s="11"/>
      <c r="F13" s="10">
        <v>2</v>
      </c>
      <c r="G13" s="14"/>
      <c r="H13" s="1"/>
      <c r="M13" s="23">
        <f>SUM(M3:M12)</f>
        <v>8</v>
      </c>
      <c r="N13" s="23">
        <f>SUM(N3:N12)</f>
        <v>0</v>
      </c>
    </row>
    <row r="14" customFormat="1" ht="22" customHeight="1" spans="1:16">
      <c r="A14" s="8">
        <v>12</v>
      </c>
      <c r="B14" s="9">
        <v>46114</v>
      </c>
      <c r="C14" s="10" t="s">
        <v>87</v>
      </c>
      <c r="D14" s="10" t="s">
        <v>78</v>
      </c>
      <c r="E14" s="11"/>
      <c r="F14" s="10">
        <v>2</v>
      </c>
      <c r="G14" s="14"/>
      <c r="H14" s="1"/>
    </row>
    <row r="15" customFormat="1" ht="22" customHeight="1" spans="1:16">
      <c r="A15" s="8">
        <v>13</v>
      </c>
      <c r="B15" s="9">
        <v>46114</v>
      </c>
      <c r="C15" s="10" t="s">
        <v>35</v>
      </c>
      <c r="D15" s="10" t="s">
        <v>78</v>
      </c>
      <c r="E15" s="24"/>
      <c r="F15" s="24">
        <v>2</v>
      </c>
      <c r="G15" s="24"/>
    </row>
    <row r="16" customFormat="1" ht="22" customHeight="1" spans="1:16">
      <c r="A16" s="8">
        <v>14</v>
      </c>
      <c r="B16" s="9">
        <v>46114</v>
      </c>
      <c r="C16" s="10" t="s">
        <v>28</v>
      </c>
      <c r="D16" s="10" t="s">
        <v>78</v>
      </c>
      <c r="E16" s="10">
        <v>2</v>
      </c>
      <c r="F16" s="11"/>
      <c r="G16" s="14"/>
      <c r="H16" s="1"/>
    </row>
    <row r="17" customFormat="1" ht="22" customHeight="1" spans="1:8">
      <c r="A17" s="8">
        <v>15</v>
      </c>
      <c r="B17" s="9">
        <v>46114</v>
      </c>
      <c r="C17" s="11" t="s">
        <v>31</v>
      </c>
      <c r="D17" s="10" t="s">
        <v>78</v>
      </c>
      <c r="E17" s="11"/>
      <c r="F17" s="11">
        <v>2</v>
      </c>
      <c r="G17" s="14"/>
      <c r="H17" s="1"/>
    </row>
    <row r="18" customFormat="1" ht="22" customHeight="1" spans="1:8">
      <c r="A18" s="8">
        <v>16</v>
      </c>
      <c r="B18" s="9">
        <v>46114</v>
      </c>
      <c r="C18" s="11" t="s">
        <v>33</v>
      </c>
      <c r="D18" s="10" t="s">
        <v>78</v>
      </c>
      <c r="E18" s="12">
        <v>1</v>
      </c>
      <c r="F18" s="14">
        <v>1</v>
      </c>
      <c r="G18" s="14"/>
      <c r="H18" s="1"/>
    </row>
    <row r="19" customFormat="1" ht="22" customHeight="1" spans="1:8">
      <c r="A19" s="8">
        <v>17</v>
      </c>
      <c r="B19" s="9">
        <v>46114</v>
      </c>
      <c r="C19" s="11" t="s">
        <v>33</v>
      </c>
      <c r="D19" s="10" t="s">
        <v>78</v>
      </c>
      <c r="E19" s="12">
        <v>1</v>
      </c>
      <c r="F19" s="14">
        <v>1</v>
      </c>
      <c r="G19" s="14" t="s">
        <v>83</v>
      </c>
      <c r="H19" s="1"/>
    </row>
    <row r="20" customFormat="1" ht="22" customHeight="1" spans="1:8">
      <c r="A20" s="8"/>
      <c r="B20" s="19"/>
      <c r="C20" s="17"/>
      <c r="D20" s="20"/>
      <c r="E20" s="21"/>
      <c r="F20" s="22"/>
      <c r="G20" s="22"/>
    </row>
    <row r="21" customFormat="1" ht="13.5" spans="1:8">
      <c r="E21" s="23">
        <f>SUM(E3:E20)</f>
        <v>16</v>
      </c>
      <c r="F21" s="23">
        <f>SUM(F3:F20)</f>
        <v>18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M13" sqref="E21:F21 M1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5" customWidth="1"/>
    <col min="4" max="4" width="12.1428571428571" customWidth="1"/>
    <col min="5" max="6" width="7.71428571428571" customWidth="1"/>
    <col min="7" max="7" width="25.2857142857143" customWidth="1"/>
    <col min="9" max="9" width="7.14285714285714" customWidth="1"/>
    <col min="10" max="10" width="10.2857142857143" customWidth="1"/>
    <col min="11" max="12" width="12.1428571428571" customWidth="1"/>
    <col min="13" max="14" width="6.57142857142857" customWidth="1"/>
    <col min="15" max="15" width="12.4285714285714" customWidth="1"/>
  </cols>
  <sheetData>
    <row r="1" customFormat="1" ht="38" customHeight="1" spans="1:15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5">
      <c r="A3" s="8">
        <v>1</v>
      </c>
      <c r="B3" s="9">
        <v>46119</v>
      </c>
      <c r="C3" s="10" t="s">
        <v>13</v>
      </c>
      <c r="D3" s="10" t="s">
        <v>77</v>
      </c>
      <c r="E3" s="10">
        <v>3</v>
      </c>
      <c r="F3" s="11"/>
      <c r="G3" s="12"/>
      <c r="I3" s="13">
        <v>1</v>
      </c>
      <c r="J3" s="9">
        <v>46119</v>
      </c>
      <c r="K3" s="10" t="s">
        <v>49</v>
      </c>
      <c r="L3" s="10" t="s">
        <v>77</v>
      </c>
      <c r="M3" s="11">
        <v>3</v>
      </c>
      <c r="N3" s="10"/>
      <c r="O3" s="14"/>
    </row>
    <row r="4" customFormat="1" ht="22" customHeight="1" spans="1:15">
      <c r="A4" s="8">
        <v>2</v>
      </c>
      <c r="B4" s="9">
        <v>46119</v>
      </c>
      <c r="C4" s="10" t="s">
        <v>16</v>
      </c>
      <c r="D4" s="10" t="s">
        <v>77</v>
      </c>
      <c r="E4" s="10">
        <v>3</v>
      </c>
      <c r="F4" s="11"/>
      <c r="G4" s="15"/>
      <c r="I4" s="13">
        <v>2</v>
      </c>
      <c r="J4" s="9">
        <v>46119</v>
      </c>
      <c r="K4" s="10" t="s">
        <v>53</v>
      </c>
      <c r="L4" s="10" t="s">
        <v>77</v>
      </c>
      <c r="M4" s="11">
        <v>3</v>
      </c>
      <c r="N4" s="10"/>
      <c r="O4" s="14"/>
    </row>
    <row r="5" customFormat="1" ht="22" customHeight="1" spans="1:15">
      <c r="A5" s="8">
        <v>3</v>
      </c>
      <c r="B5" s="9">
        <v>46119</v>
      </c>
      <c r="C5" s="10" t="s">
        <v>30</v>
      </c>
      <c r="D5" s="10" t="s">
        <v>77</v>
      </c>
      <c r="E5" s="11"/>
      <c r="F5" s="10">
        <v>3</v>
      </c>
      <c r="G5" s="14"/>
      <c r="I5" s="13">
        <v>3</v>
      </c>
      <c r="J5" s="9">
        <v>46119</v>
      </c>
      <c r="K5" s="16" t="s">
        <v>81</v>
      </c>
      <c r="L5" s="10" t="s">
        <v>77</v>
      </c>
      <c r="M5" s="12">
        <v>3</v>
      </c>
      <c r="N5" s="14"/>
      <c r="O5" s="14"/>
    </row>
    <row r="6" customFormat="1" ht="22" customHeight="1" spans="1:15">
      <c r="A6" s="8">
        <v>4</v>
      </c>
      <c r="B6" s="9">
        <v>46119</v>
      </c>
      <c r="C6" s="10" t="s">
        <v>17</v>
      </c>
      <c r="D6" s="10" t="s">
        <v>77</v>
      </c>
      <c r="E6" s="11"/>
      <c r="F6" s="10">
        <v>3</v>
      </c>
      <c r="G6" s="15"/>
      <c r="I6" s="13">
        <v>4</v>
      </c>
      <c r="J6" s="9">
        <v>46119</v>
      </c>
      <c r="K6" s="17" t="s">
        <v>84</v>
      </c>
      <c r="L6" s="10" t="s">
        <v>77</v>
      </c>
      <c r="M6" s="12">
        <v>3</v>
      </c>
      <c r="N6" s="14"/>
      <c r="O6" s="14"/>
    </row>
    <row r="7" customFormat="1" ht="22" customHeight="1" spans="1:15">
      <c r="A7" s="8">
        <v>5</v>
      </c>
      <c r="B7" s="9">
        <v>46119</v>
      </c>
      <c r="C7" s="10" t="s">
        <v>18</v>
      </c>
      <c r="D7" s="10" t="s">
        <v>77</v>
      </c>
      <c r="E7" s="11"/>
      <c r="F7" s="10">
        <v>3</v>
      </c>
      <c r="G7" s="15"/>
      <c r="I7" s="13">
        <v>5</v>
      </c>
      <c r="J7" s="9"/>
      <c r="K7" s="17"/>
      <c r="L7" s="18"/>
      <c r="M7" s="12"/>
      <c r="N7" s="14"/>
      <c r="O7" s="14"/>
    </row>
    <row r="8" customFormat="1" ht="22" customHeight="1" spans="1:15">
      <c r="A8" s="8">
        <v>6</v>
      </c>
      <c r="B8" s="9">
        <v>46119</v>
      </c>
      <c r="C8" s="10" t="s">
        <v>19</v>
      </c>
      <c r="D8" s="10" t="s">
        <v>77</v>
      </c>
      <c r="E8" s="10">
        <v>1</v>
      </c>
      <c r="F8" s="10">
        <v>2</v>
      </c>
      <c r="G8" s="15"/>
      <c r="I8" s="13">
        <v>6</v>
      </c>
      <c r="J8" s="9"/>
      <c r="K8" s="17"/>
      <c r="L8" s="18"/>
      <c r="M8" s="12"/>
      <c r="N8" s="14"/>
      <c r="O8" s="14"/>
    </row>
    <row r="9" customFormat="1" ht="22" customHeight="1" spans="1:15">
      <c r="A9" s="8">
        <v>7</v>
      </c>
      <c r="B9" s="9">
        <v>46119</v>
      </c>
      <c r="C9" s="10" t="s">
        <v>20</v>
      </c>
      <c r="D9" s="10" t="s">
        <v>77</v>
      </c>
      <c r="E9" s="10">
        <v>3</v>
      </c>
      <c r="F9" s="11"/>
      <c r="G9" s="15"/>
      <c r="I9" s="13">
        <v>7</v>
      </c>
      <c r="J9" s="9"/>
      <c r="K9" s="17"/>
      <c r="L9" s="18"/>
      <c r="M9" s="12"/>
      <c r="N9" s="14"/>
      <c r="O9" s="14"/>
    </row>
    <row r="10" customFormat="1" ht="22" customHeight="1" spans="1:15">
      <c r="A10" s="8">
        <v>8</v>
      </c>
      <c r="B10" s="9">
        <v>46119</v>
      </c>
      <c r="C10" s="10" t="s">
        <v>21</v>
      </c>
      <c r="D10" s="10" t="s">
        <v>77</v>
      </c>
      <c r="E10" s="10">
        <v>3</v>
      </c>
      <c r="F10" s="11"/>
      <c r="G10" s="14"/>
      <c r="I10" s="13">
        <v>8</v>
      </c>
      <c r="J10" s="9"/>
      <c r="K10" s="17"/>
      <c r="L10" s="18"/>
      <c r="M10" s="12"/>
      <c r="N10" s="14"/>
      <c r="O10" s="14"/>
    </row>
    <row r="11" customFormat="1" ht="22" customHeight="1" spans="1:15">
      <c r="A11" s="8">
        <v>9</v>
      </c>
      <c r="B11" s="9">
        <v>46119</v>
      </c>
      <c r="C11" s="10" t="s">
        <v>22</v>
      </c>
      <c r="D11" s="10" t="s">
        <v>77</v>
      </c>
      <c r="E11" s="10">
        <v>3</v>
      </c>
      <c r="F11" s="11"/>
      <c r="G11" s="14"/>
      <c r="I11" s="13"/>
      <c r="J11" s="9"/>
      <c r="K11" s="17"/>
      <c r="L11" s="18"/>
      <c r="M11" s="12"/>
      <c r="N11" s="14"/>
      <c r="O11" s="14"/>
    </row>
    <row r="12" customFormat="1" ht="22" customHeight="1" spans="1:15">
      <c r="A12" s="8">
        <v>10</v>
      </c>
      <c r="B12" s="9">
        <v>46119</v>
      </c>
      <c r="C12" s="10" t="s">
        <v>24</v>
      </c>
      <c r="D12" s="10" t="s">
        <v>77</v>
      </c>
      <c r="E12" s="10">
        <v>1</v>
      </c>
      <c r="F12" s="10">
        <v>2</v>
      </c>
      <c r="G12" s="14"/>
      <c r="I12" s="13"/>
      <c r="J12" s="19"/>
      <c r="K12" s="17"/>
      <c r="L12" s="20"/>
      <c r="M12" s="21"/>
      <c r="N12" s="22"/>
      <c r="O12" s="22"/>
    </row>
    <row r="13" customFormat="1" ht="22" customHeight="1" spans="1:15">
      <c r="A13" s="8">
        <v>11</v>
      </c>
      <c r="B13" s="9">
        <v>46119</v>
      </c>
      <c r="C13" s="10" t="s">
        <v>26</v>
      </c>
      <c r="D13" s="10" t="s">
        <v>77</v>
      </c>
      <c r="E13" s="11"/>
      <c r="F13" s="10">
        <v>3</v>
      </c>
      <c r="G13" s="14"/>
      <c r="M13" s="23">
        <f>SUM(M3:M12)</f>
        <v>12</v>
      </c>
      <c r="N13" s="23">
        <f>SUM(N3:N12)</f>
        <v>0</v>
      </c>
    </row>
    <row r="14" customFormat="1" ht="22" customHeight="1" spans="1:15">
      <c r="A14" s="8">
        <v>12</v>
      </c>
      <c r="B14" s="9">
        <v>46119</v>
      </c>
      <c r="C14" s="10" t="s">
        <v>27</v>
      </c>
      <c r="D14" s="10" t="s">
        <v>77</v>
      </c>
      <c r="E14" s="11"/>
      <c r="F14" s="10">
        <v>3</v>
      </c>
      <c r="G14" s="14"/>
    </row>
    <row r="15" customFormat="1" ht="22" customHeight="1" spans="1:15">
      <c r="A15" s="8">
        <v>13</v>
      </c>
      <c r="B15" s="9">
        <v>46119</v>
      </c>
      <c r="C15" s="10" t="s">
        <v>28</v>
      </c>
      <c r="D15" s="10" t="s">
        <v>77</v>
      </c>
      <c r="E15" s="11">
        <v>3</v>
      </c>
      <c r="F15" s="10"/>
      <c r="G15" s="14"/>
    </row>
    <row r="16" customFormat="1" ht="22" customHeight="1" spans="1:15">
      <c r="A16" s="8">
        <v>14</v>
      </c>
      <c r="B16" s="9">
        <v>46119</v>
      </c>
      <c r="C16" s="11" t="s">
        <v>31</v>
      </c>
      <c r="D16" s="10" t="s">
        <v>77</v>
      </c>
      <c r="E16" s="22"/>
      <c r="F16" s="28">
        <v>3</v>
      </c>
      <c r="G16" s="14"/>
      <c r="I16" s="30" t="s">
        <v>86</v>
      </c>
    </row>
    <row r="17" customFormat="1" ht="22" customHeight="1" spans="1:7">
      <c r="A17" s="8">
        <v>15</v>
      </c>
      <c r="B17" s="9">
        <v>46119</v>
      </c>
      <c r="C17" s="10" t="s">
        <v>35</v>
      </c>
      <c r="D17" s="10" t="s">
        <v>77</v>
      </c>
      <c r="E17" s="24"/>
      <c r="F17" s="24">
        <v>3</v>
      </c>
      <c r="G17" s="24"/>
    </row>
    <row r="18" customFormat="1" ht="22" customHeight="1" spans="1:7">
      <c r="A18" s="8">
        <v>16</v>
      </c>
      <c r="B18" s="9">
        <v>46119</v>
      </c>
      <c r="C18" s="10" t="s">
        <v>33</v>
      </c>
      <c r="D18" s="10" t="s">
        <v>77</v>
      </c>
      <c r="E18" s="24">
        <v>2</v>
      </c>
      <c r="F18" s="24">
        <v>1</v>
      </c>
      <c r="G18" s="24"/>
    </row>
    <row r="19" customFormat="1" ht="22" customHeight="1" spans="1:7">
      <c r="A19" s="8">
        <v>17</v>
      </c>
      <c r="B19" s="9">
        <v>46119</v>
      </c>
      <c r="C19" s="10" t="s">
        <v>33</v>
      </c>
      <c r="D19" s="10"/>
      <c r="E19" s="24"/>
      <c r="F19" s="24">
        <v>1</v>
      </c>
      <c r="G19" s="24" t="s">
        <v>83</v>
      </c>
    </row>
    <row r="20" customFormat="1" ht="22" customHeight="1" spans="1:7">
      <c r="A20" s="8"/>
      <c r="B20" s="19"/>
      <c r="C20" s="17"/>
      <c r="D20" s="20"/>
      <c r="E20" s="21"/>
      <c r="F20" s="22"/>
      <c r="G20" s="22"/>
    </row>
    <row r="21" customFormat="1" ht="13.5" spans="1:7">
      <c r="E21" s="23">
        <f>SUM(E3:E20)</f>
        <v>22</v>
      </c>
      <c r="F21" s="23">
        <f>SUM(F3:F20)</f>
        <v>27</v>
      </c>
    </row>
    <row r="22" spans="1:7">
      <c r="C22" s="29"/>
      <c r="D22" s="29"/>
      <c r="E22" s="29"/>
      <c r="F22" s="29"/>
      <c r="G22" s="29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J21" sqref="J21"/>
    </sheetView>
  </sheetViews>
  <sheetFormatPr defaultColWidth="9.14285714285714" defaultRowHeight="12"/>
  <cols>
    <col min="1" max="1" width="8.71428571428571" customWidth="1"/>
    <col min="2" max="2" width="14.4285714285714" customWidth="1"/>
    <col min="3" max="3" width="13.8571428571429" customWidth="1"/>
    <col min="4" max="4" width="12.1428571428571" customWidth="1"/>
    <col min="5" max="6" width="8.28571428571429" customWidth="1"/>
    <col min="7" max="7" width="16.8571428571429" customWidth="1"/>
    <col min="9" max="9" width="6.7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customFormat="1" ht="38" customHeight="1" spans="1:16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6">
      <c r="A3" s="8">
        <v>1</v>
      </c>
      <c r="B3" s="9">
        <v>46121</v>
      </c>
      <c r="C3" s="10" t="s">
        <v>13</v>
      </c>
      <c r="D3" s="10" t="s">
        <v>78</v>
      </c>
      <c r="E3" s="10">
        <v>2</v>
      </c>
      <c r="F3" s="11"/>
      <c r="G3" s="12"/>
      <c r="H3" s="1"/>
      <c r="I3" s="13">
        <v>1</v>
      </c>
      <c r="J3" s="9">
        <v>46121</v>
      </c>
      <c r="K3" s="10" t="s">
        <v>49</v>
      </c>
      <c r="L3" s="10" t="s">
        <v>78</v>
      </c>
      <c r="M3" s="10">
        <v>2</v>
      </c>
      <c r="N3" s="14"/>
      <c r="O3" s="14"/>
      <c r="P3" t="s">
        <v>79</v>
      </c>
    </row>
    <row r="4" customFormat="1" ht="22" customHeight="1" spans="1:16">
      <c r="A4" s="8">
        <v>2</v>
      </c>
      <c r="B4" s="9">
        <v>46121</v>
      </c>
      <c r="C4" s="10" t="s">
        <v>16</v>
      </c>
      <c r="D4" s="10" t="s">
        <v>78</v>
      </c>
      <c r="E4" s="10">
        <v>2</v>
      </c>
      <c r="F4" s="11"/>
      <c r="G4" s="15"/>
      <c r="H4" s="1"/>
      <c r="I4" s="13">
        <v>2</v>
      </c>
      <c r="J4" s="9">
        <v>46121</v>
      </c>
      <c r="K4" s="10" t="s">
        <v>53</v>
      </c>
      <c r="L4" s="10" t="s">
        <v>78</v>
      </c>
      <c r="M4" s="10">
        <v>2</v>
      </c>
      <c r="N4" s="14"/>
      <c r="O4" s="14"/>
    </row>
    <row r="5" customFormat="1" ht="22" customHeight="1" spans="1:16">
      <c r="A5" s="8">
        <v>3</v>
      </c>
      <c r="B5" s="9">
        <v>46121</v>
      </c>
      <c r="C5" s="10" t="s">
        <v>30</v>
      </c>
      <c r="D5" s="10" t="s">
        <v>78</v>
      </c>
      <c r="E5" s="11"/>
      <c r="F5" s="10">
        <v>2</v>
      </c>
      <c r="G5" s="14"/>
      <c r="H5" s="1"/>
      <c r="I5" s="13">
        <v>3</v>
      </c>
      <c r="J5" s="9">
        <v>46121</v>
      </c>
      <c r="K5" s="16" t="s">
        <v>81</v>
      </c>
      <c r="L5" s="10" t="s">
        <v>78</v>
      </c>
      <c r="M5" s="12">
        <v>2</v>
      </c>
      <c r="N5" s="14"/>
      <c r="O5" s="14"/>
    </row>
    <row r="6" customFormat="1" ht="22" customHeight="1" spans="1:16">
      <c r="A6" s="8">
        <v>4</v>
      </c>
      <c r="B6" s="9">
        <v>46121</v>
      </c>
      <c r="C6" s="10" t="s">
        <v>17</v>
      </c>
      <c r="D6" s="10" t="s">
        <v>78</v>
      </c>
      <c r="E6" s="11"/>
      <c r="F6" s="10">
        <v>2</v>
      </c>
      <c r="G6" s="15"/>
      <c r="H6" s="1"/>
      <c r="I6" s="13">
        <v>4</v>
      </c>
      <c r="J6" s="9">
        <v>46121</v>
      </c>
      <c r="K6" s="17" t="s">
        <v>84</v>
      </c>
      <c r="L6" s="10" t="s">
        <v>78</v>
      </c>
      <c r="M6" s="12">
        <v>2</v>
      </c>
      <c r="N6" s="14"/>
      <c r="O6" s="14"/>
    </row>
    <row r="7" customFormat="1" ht="22" customHeight="1" spans="1:16">
      <c r="A7" s="8">
        <v>5</v>
      </c>
      <c r="B7" s="9">
        <v>46121</v>
      </c>
      <c r="C7" s="10" t="s">
        <v>18</v>
      </c>
      <c r="D7" s="10" t="s">
        <v>78</v>
      </c>
      <c r="E7" s="11"/>
      <c r="F7" s="10">
        <v>2</v>
      </c>
      <c r="G7" s="15"/>
      <c r="H7" s="1"/>
      <c r="I7" s="13">
        <v>5</v>
      </c>
      <c r="J7" s="9"/>
      <c r="K7" s="17"/>
      <c r="L7" s="18"/>
      <c r="M7" s="12"/>
      <c r="N7" s="14"/>
      <c r="O7" s="14"/>
    </row>
    <row r="8" customFormat="1" ht="22" customHeight="1" spans="1:16">
      <c r="A8" s="8">
        <v>6</v>
      </c>
      <c r="B8" s="9">
        <v>46121</v>
      </c>
      <c r="C8" s="10" t="s">
        <v>19</v>
      </c>
      <c r="D8" s="10" t="s">
        <v>78</v>
      </c>
      <c r="E8" s="10">
        <v>1</v>
      </c>
      <c r="F8" s="10">
        <v>1</v>
      </c>
      <c r="G8" s="15"/>
      <c r="H8" s="1"/>
      <c r="I8" s="13">
        <v>6</v>
      </c>
      <c r="J8" s="9"/>
      <c r="K8" s="17"/>
      <c r="L8" s="18"/>
      <c r="M8" s="12"/>
      <c r="N8" s="14"/>
      <c r="O8" s="14"/>
    </row>
    <row r="9" customFormat="1" ht="22" customHeight="1" spans="1:16">
      <c r="A9" s="8">
        <v>7</v>
      </c>
      <c r="B9" s="9">
        <v>46121</v>
      </c>
      <c r="C9" s="10" t="s">
        <v>20</v>
      </c>
      <c r="D9" s="10" t="s">
        <v>78</v>
      </c>
      <c r="E9" s="10">
        <v>2</v>
      </c>
      <c r="F9" s="11"/>
      <c r="G9" s="15"/>
      <c r="H9" s="1"/>
      <c r="I9" s="13">
        <v>7</v>
      </c>
      <c r="J9" s="9"/>
      <c r="K9" s="17"/>
      <c r="L9" s="18"/>
      <c r="M9" s="12"/>
      <c r="N9" s="14"/>
      <c r="O9" s="14"/>
    </row>
    <row r="10" customFormat="1" ht="22" customHeight="1" spans="1:16">
      <c r="A10" s="8">
        <v>8</v>
      </c>
      <c r="B10" s="9">
        <v>46121</v>
      </c>
      <c r="C10" s="10" t="s">
        <v>21</v>
      </c>
      <c r="D10" s="10" t="s">
        <v>78</v>
      </c>
      <c r="E10" s="10">
        <v>2</v>
      </c>
      <c r="F10" s="11"/>
      <c r="G10" s="14"/>
      <c r="H10" s="1"/>
      <c r="I10" s="13">
        <v>8</v>
      </c>
      <c r="J10" s="9"/>
      <c r="K10" s="17"/>
      <c r="L10" s="18"/>
      <c r="M10" s="12"/>
      <c r="N10" s="14"/>
      <c r="O10" s="14"/>
    </row>
    <row r="11" customFormat="1" ht="22" customHeight="1" spans="1:16">
      <c r="A11" s="8">
        <v>9</v>
      </c>
      <c r="B11" s="9">
        <v>46121</v>
      </c>
      <c r="C11" s="10" t="s">
        <v>22</v>
      </c>
      <c r="D11" s="10" t="s">
        <v>78</v>
      </c>
      <c r="E11" s="10">
        <v>2</v>
      </c>
      <c r="F11" s="11"/>
      <c r="G11" s="14"/>
      <c r="H11" s="1"/>
      <c r="I11" s="13"/>
      <c r="J11" s="9"/>
      <c r="K11" s="17"/>
      <c r="L11" s="18"/>
      <c r="M11" s="12"/>
      <c r="N11" s="14"/>
      <c r="O11" s="14"/>
    </row>
    <row r="12" customFormat="1" ht="22" customHeight="1" spans="1:16">
      <c r="A12" s="8">
        <v>10</v>
      </c>
      <c r="B12" s="9">
        <v>46121</v>
      </c>
      <c r="C12" s="10" t="s">
        <v>24</v>
      </c>
      <c r="D12" s="10" t="s">
        <v>78</v>
      </c>
      <c r="E12" s="10">
        <v>1</v>
      </c>
      <c r="F12" s="10">
        <v>1</v>
      </c>
      <c r="G12" s="14"/>
      <c r="H12" s="1"/>
      <c r="I12" s="13"/>
      <c r="J12" s="19"/>
      <c r="K12" s="17"/>
      <c r="L12" s="20"/>
      <c r="M12" s="21"/>
      <c r="N12" s="22"/>
      <c r="O12" s="22"/>
    </row>
    <row r="13" customFormat="1" ht="22" customHeight="1" spans="1:16">
      <c r="A13" s="8">
        <v>11</v>
      </c>
      <c r="B13" s="9">
        <v>46121</v>
      </c>
      <c r="C13" s="10" t="s">
        <v>26</v>
      </c>
      <c r="D13" s="10" t="s">
        <v>78</v>
      </c>
      <c r="E13" s="11"/>
      <c r="F13" s="10">
        <v>2</v>
      </c>
      <c r="G13" s="14"/>
      <c r="H13" s="1"/>
      <c r="M13" s="23">
        <f>SUM(M3:M12)</f>
        <v>8</v>
      </c>
      <c r="N13" s="23">
        <f>SUM(N3:N12)</f>
        <v>0</v>
      </c>
    </row>
    <row r="14" customFormat="1" ht="22" customHeight="1" spans="1:16">
      <c r="A14" s="8">
        <v>12</v>
      </c>
      <c r="B14" s="9">
        <v>46121</v>
      </c>
      <c r="C14" s="10" t="s">
        <v>87</v>
      </c>
      <c r="D14" s="10" t="s">
        <v>78</v>
      </c>
      <c r="E14" s="11"/>
      <c r="F14" s="10">
        <v>2</v>
      </c>
      <c r="G14" s="14"/>
      <c r="H14" s="1"/>
    </row>
    <row r="15" customFormat="1" ht="22" customHeight="1" spans="1:16">
      <c r="A15" s="8">
        <v>13</v>
      </c>
      <c r="B15" s="9">
        <v>46121</v>
      </c>
      <c r="C15" s="10" t="s">
        <v>35</v>
      </c>
      <c r="D15" s="10" t="s">
        <v>78</v>
      </c>
      <c r="E15" s="24"/>
      <c r="F15" s="24">
        <v>2</v>
      </c>
      <c r="G15" s="24"/>
    </row>
    <row r="16" customFormat="1" ht="22" customHeight="1" spans="1:16">
      <c r="A16" s="8">
        <v>14</v>
      </c>
      <c r="B16" s="9">
        <v>46121</v>
      </c>
      <c r="C16" s="10" t="s">
        <v>28</v>
      </c>
      <c r="D16" s="10" t="s">
        <v>78</v>
      </c>
      <c r="E16" s="10">
        <v>2</v>
      </c>
      <c r="F16" s="11"/>
      <c r="G16" s="14"/>
      <c r="H16" s="1"/>
    </row>
    <row r="17" customFormat="1" ht="22" customHeight="1" spans="1:10">
      <c r="A17" s="8">
        <v>15</v>
      </c>
      <c r="B17" s="9">
        <v>46121</v>
      </c>
      <c r="C17" s="11" t="s">
        <v>31</v>
      </c>
      <c r="D17" s="10" t="s">
        <v>78</v>
      </c>
      <c r="E17" s="11"/>
      <c r="F17" s="11">
        <v>2</v>
      </c>
      <c r="G17" s="14"/>
      <c r="H17" s="1"/>
    </row>
    <row r="18" customFormat="1" ht="22" customHeight="1" spans="1:10">
      <c r="A18" s="8">
        <v>16</v>
      </c>
      <c r="B18" s="9">
        <v>46121</v>
      </c>
      <c r="C18" s="11" t="s">
        <v>33</v>
      </c>
      <c r="D18" s="10" t="s">
        <v>78</v>
      </c>
      <c r="E18" s="12">
        <v>1</v>
      </c>
      <c r="F18" s="14">
        <v>1</v>
      </c>
      <c r="G18" s="14"/>
      <c r="H18" s="1"/>
    </row>
    <row r="19" customFormat="1" ht="22" customHeight="1" spans="1:10">
      <c r="A19" s="8">
        <v>17</v>
      </c>
      <c r="B19" s="9">
        <v>46121</v>
      </c>
      <c r="C19" s="11" t="s">
        <v>33</v>
      </c>
      <c r="D19" s="10" t="s">
        <v>78</v>
      </c>
      <c r="E19" s="12">
        <v>1</v>
      </c>
      <c r="F19" s="14">
        <v>1</v>
      </c>
      <c r="G19" s="14" t="s">
        <v>83</v>
      </c>
      <c r="H19" s="1"/>
    </row>
    <row r="20" customFormat="1" ht="22" customHeight="1" spans="1:10">
      <c r="A20" s="8"/>
      <c r="B20" s="19"/>
      <c r="C20" s="17"/>
      <c r="D20" s="20"/>
      <c r="E20" s="21"/>
      <c r="F20" s="22"/>
      <c r="G20" s="22"/>
      <c r="J20">
        <f>E21+F21+M13+N13</f>
        <v>42</v>
      </c>
    </row>
    <row r="21" customFormat="1" ht="13.5" spans="1:10">
      <c r="E21" s="23">
        <f>SUM(E3:E20)</f>
        <v>16</v>
      </c>
      <c r="F21" s="23">
        <f>SUM(F3:F20)</f>
        <v>18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workbookViewId="0">
      <selection activeCell="K17" sqref="K17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5" customWidth="1"/>
    <col min="4" max="4" width="12.1428571428571" customWidth="1"/>
    <col min="5" max="6" width="7.71428571428571" customWidth="1"/>
    <col min="7" max="7" width="25.2857142857143" customWidth="1"/>
    <col min="8" max="8" width="9.14285714285714" style="26"/>
    <col min="9" max="9" width="7.14285714285714" customWidth="1"/>
    <col min="10" max="10" width="10.2857142857143" customWidth="1"/>
    <col min="11" max="12" width="12.1428571428571" customWidth="1"/>
    <col min="13" max="14" width="6.57142857142857" customWidth="1"/>
    <col min="15" max="15" width="12.4285714285714" customWidth="1"/>
  </cols>
  <sheetData>
    <row r="1" customFormat="1" ht="38" customHeight="1" spans="1:17">
      <c r="A1" s="2" t="s">
        <v>72</v>
      </c>
      <c r="B1" s="2"/>
      <c r="C1" s="2"/>
      <c r="D1" s="2"/>
      <c r="E1" s="2"/>
      <c r="F1" s="3"/>
      <c r="G1" s="4"/>
      <c r="H1" s="26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7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H2" s="27"/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7">
      <c r="A3" s="8">
        <v>1</v>
      </c>
      <c r="B3" s="9">
        <v>46125</v>
      </c>
      <c r="C3" s="10" t="s">
        <v>13</v>
      </c>
      <c r="D3" s="10" t="s">
        <v>77</v>
      </c>
      <c r="E3" s="10">
        <v>3</v>
      </c>
      <c r="F3" s="11"/>
      <c r="G3" s="12"/>
      <c r="H3" s="26">
        <f>E3+F3</f>
        <v>3</v>
      </c>
      <c r="I3" s="13">
        <v>1</v>
      </c>
      <c r="J3" s="9">
        <v>46125</v>
      </c>
      <c r="K3" s="10" t="s">
        <v>49</v>
      </c>
      <c r="L3" s="10" t="s">
        <v>77</v>
      </c>
      <c r="M3" s="11">
        <v>3</v>
      </c>
      <c r="N3" s="10"/>
      <c r="O3" s="14"/>
      <c r="Q3">
        <f>M3+N3</f>
        <v>3</v>
      </c>
    </row>
    <row r="4" customFormat="1" ht="22" customHeight="1" spans="1:17">
      <c r="A4" s="8">
        <v>2</v>
      </c>
      <c r="B4" s="9">
        <v>46125</v>
      </c>
      <c r="C4" s="10" t="s">
        <v>16</v>
      </c>
      <c r="D4" s="10" t="s">
        <v>77</v>
      </c>
      <c r="E4" s="10">
        <v>3</v>
      </c>
      <c r="F4" s="11"/>
      <c r="G4" s="15"/>
      <c r="H4" s="26">
        <f t="shared" ref="H4:H20" si="0">E4+F4</f>
        <v>3</v>
      </c>
      <c r="I4" s="13">
        <v>2</v>
      </c>
      <c r="J4" s="9">
        <v>46125</v>
      </c>
      <c r="K4" s="10" t="s">
        <v>53</v>
      </c>
      <c r="L4" s="10" t="s">
        <v>77</v>
      </c>
      <c r="M4" s="11">
        <v>3</v>
      </c>
      <c r="N4" s="10"/>
      <c r="O4" s="14"/>
      <c r="Q4">
        <f t="shared" ref="Q4:Q13" si="1">M4+N4</f>
        <v>3</v>
      </c>
    </row>
    <row r="5" customFormat="1" ht="22" customHeight="1" spans="1:17">
      <c r="A5" s="8">
        <v>3</v>
      </c>
      <c r="B5" s="9">
        <v>46125</v>
      </c>
      <c r="C5" s="10" t="s">
        <v>30</v>
      </c>
      <c r="D5" s="10" t="s">
        <v>77</v>
      </c>
      <c r="E5" s="11"/>
      <c r="F5" s="10">
        <v>3</v>
      </c>
      <c r="G5" s="14"/>
      <c r="H5" s="26">
        <f t="shared" si="0"/>
        <v>3</v>
      </c>
      <c r="I5" s="13">
        <v>3</v>
      </c>
      <c r="J5" s="9">
        <v>46125</v>
      </c>
      <c r="K5" s="16" t="s">
        <v>81</v>
      </c>
      <c r="L5" s="10" t="s">
        <v>77</v>
      </c>
      <c r="M5" s="12">
        <v>3</v>
      </c>
      <c r="N5" s="14"/>
      <c r="O5" s="14"/>
      <c r="Q5">
        <f t="shared" si="1"/>
        <v>3</v>
      </c>
    </row>
    <row r="6" customFormat="1" ht="22" customHeight="1" spans="1:17">
      <c r="A6" s="8">
        <v>4</v>
      </c>
      <c r="B6" s="9">
        <v>46125</v>
      </c>
      <c r="C6" s="10" t="s">
        <v>17</v>
      </c>
      <c r="D6" s="10" t="s">
        <v>77</v>
      </c>
      <c r="E6" s="11"/>
      <c r="F6" s="10">
        <v>3</v>
      </c>
      <c r="G6" s="15"/>
      <c r="H6" s="26">
        <f t="shared" si="0"/>
        <v>3</v>
      </c>
      <c r="I6" s="13">
        <v>4</v>
      </c>
      <c r="J6" s="9">
        <v>46125</v>
      </c>
      <c r="K6" s="17" t="s">
        <v>84</v>
      </c>
      <c r="L6" s="10" t="s">
        <v>77</v>
      </c>
      <c r="M6" s="12">
        <v>3</v>
      </c>
      <c r="N6" s="14"/>
      <c r="O6" s="14"/>
      <c r="Q6">
        <f t="shared" si="1"/>
        <v>3</v>
      </c>
    </row>
    <row r="7" customFormat="1" ht="22" customHeight="1" spans="1:17">
      <c r="A7" s="8">
        <v>5</v>
      </c>
      <c r="B7" s="9">
        <v>46125</v>
      </c>
      <c r="C7" s="10" t="s">
        <v>18</v>
      </c>
      <c r="D7" s="10" t="s">
        <v>77</v>
      </c>
      <c r="E7" s="11"/>
      <c r="F7" s="10">
        <v>3</v>
      </c>
      <c r="G7" s="15"/>
      <c r="H7" s="26">
        <f t="shared" si="0"/>
        <v>3</v>
      </c>
      <c r="I7" s="13">
        <v>5</v>
      </c>
      <c r="J7" s="9">
        <v>46125</v>
      </c>
      <c r="K7" s="17" t="s">
        <v>84</v>
      </c>
      <c r="L7" s="10" t="s">
        <v>77</v>
      </c>
      <c r="M7" s="12">
        <v>3</v>
      </c>
      <c r="N7" s="14"/>
      <c r="O7" s="14" t="s">
        <v>83</v>
      </c>
      <c r="P7" t="s">
        <v>88</v>
      </c>
      <c r="Q7">
        <f t="shared" si="1"/>
        <v>3</v>
      </c>
    </row>
    <row r="8" customFormat="1" ht="22" customHeight="1" spans="1:17">
      <c r="A8" s="8">
        <v>6</v>
      </c>
      <c r="B8" s="9">
        <v>46125</v>
      </c>
      <c r="C8" s="10" t="s">
        <v>19</v>
      </c>
      <c r="D8" s="10" t="s">
        <v>77</v>
      </c>
      <c r="E8" s="10">
        <v>1</v>
      </c>
      <c r="F8" s="10">
        <v>2</v>
      </c>
      <c r="G8" s="15"/>
      <c r="H8" s="26">
        <f t="shared" si="0"/>
        <v>3</v>
      </c>
      <c r="I8" s="13">
        <v>6</v>
      </c>
      <c r="J8" s="9"/>
      <c r="K8" s="17"/>
      <c r="L8" s="18"/>
      <c r="M8" s="12"/>
      <c r="N8" s="14"/>
      <c r="O8" s="14"/>
      <c r="Q8">
        <f t="shared" si="1"/>
        <v>0</v>
      </c>
    </row>
    <row r="9" customFormat="1" ht="22" customHeight="1" spans="1:17">
      <c r="A9" s="8">
        <v>7</v>
      </c>
      <c r="B9" s="9">
        <v>46125</v>
      </c>
      <c r="C9" s="10" t="s">
        <v>20</v>
      </c>
      <c r="D9" s="10" t="s">
        <v>77</v>
      </c>
      <c r="E9" s="10">
        <v>3</v>
      </c>
      <c r="F9" s="11"/>
      <c r="G9" s="15"/>
      <c r="H9" s="26">
        <f t="shared" si="0"/>
        <v>3</v>
      </c>
      <c r="I9" s="13">
        <v>7</v>
      </c>
      <c r="J9" s="9"/>
      <c r="K9" s="17"/>
      <c r="L9" s="18"/>
      <c r="M9" s="12"/>
      <c r="N9" s="14"/>
      <c r="O9" s="14"/>
      <c r="Q9">
        <f t="shared" si="1"/>
        <v>0</v>
      </c>
    </row>
    <row r="10" customFormat="1" ht="22" customHeight="1" spans="1:17">
      <c r="A10" s="8">
        <v>8</v>
      </c>
      <c r="B10" s="9">
        <v>46125</v>
      </c>
      <c r="C10" s="10" t="s">
        <v>21</v>
      </c>
      <c r="D10" s="10" t="s">
        <v>77</v>
      </c>
      <c r="E10" s="10">
        <v>3</v>
      </c>
      <c r="F10" s="11"/>
      <c r="G10" s="14"/>
      <c r="H10" s="26">
        <f t="shared" si="0"/>
        <v>3</v>
      </c>
      <c r="I10" s="13">
        <v>8</v>
      </c>
      <c r="J10" s="9"/>
      <c r="K10" s="17"/>
      <c r="L10" s="18"/>
      <c r="M10" s="12"/>
      <c r="N10" s="14"/>
      <c r="O10" s="14"/>
      <c r="Q10">
        <f t="shared" si="1"/>
        <v>0</v>
      </c>
    </row>
    <row r="11" customFormat="1" ht="22" customHeight="1" spans="1:17">
      <c r="A11" s="8">
        <v>9</v>
      </c>
      <c r="B11" s="9">
        <v>46125</v>
      </c>
      <c r="C11" s="10" t="s">
        <v>22</v>
      </c>
      <c r="D11" s="10" t="s">
        <v>77</v>
      </c>
      <c r="E11" s="10">
        <v>3</v>
      </c>
      <c r="F11" s="11"/>
      <c r="G11" s="14"/>
      <c r="H11" s="26">
        <f t="shared" si="0"/>
        <v>3</v>
      </c>
      <c r="I11" s="13"/>
      <c r="J11" s="9"/>
      <c r="K11" s="17"/>
      <c r="L11" s="18"/>
      <c r="M11" s="12"/>
      <c r="N11" s="14"/>
      <c r="O11" s="14"/>
      <c r="Q11">
        <f t="shared" si="1"/>
        <v>0</v>
      </c>
    </row>
    <row r="12" customFormat="1" ht="22" customHeight="1" spans="1:17">
      <c r="A12" s="8">
        <v>10</v>
      </c>
      <c r="B12" s="9">
        <v>46125</v>
      </c>
      <c r="C12" s="10" t="s">
        <v>24</v>
      </c>
      <c r="D12" s="10" t="s">
        <v>77</v>
      </c>
      <c r="E12" s="10">
        <v>1</v>
      </c>
      <c r="F12" s="10">
        <v>2</v>
      </c>
      <c r="G12" s="14"/>
      <c r="H12" s="26">
        <f t="shared" si="0"/>
        <v>3</v>
      </c>
      <c r="I12" s="13"/>
      <c r="J12" s="19"/>
      <c r="K12" s="17"/>
      <c r="L12" s="20"/>
      <c r="M12" s="21"/>
      <c r="N12" s="22"/>
      <c r="O12" s="22"/>
      <c r="Q12">
        <f t="shared" si="1"/>
        <v>0</v>
      </c>
    </row>
    <row r="13" customFormat="1" ht="22" customHeight="1" spans="1:17">
      <c r="A13" s="8">
        <v>11</v>
      </c>
      <c r="B13" s="9">
        <v>46125</v>
      </c>
      <c r="C13" s="10" t="s">
        <v>26</v>
      </c>
      <c r="D13" s="10" t="s">
        <v>77</v>
      </c>
      <c r="E13" s="11"/>
      <c r="F13" s="10">
        <v>3</v>
      </c>
      <c r="G13" s="14"/>
      <c r="H13" s="26">
        <f t="shared" si="0"/>
        <v>3</v>
      </c>
      <c r="M13" s="23">
        <f>SUM(M3:M12)</f>
        <v>15</v>
      </c>
      <c r="N13" s="23">
        <f>SUM(N3:N12)</f>
        <v>0</v>
      </c>
      <c r="Q13">
        <f t="shared" si="1"/>
        <v>15</v>
      </c>
    </row>
    <row r="14" customFormat="1" ht="22" customHeight="1" spans="1:17">
      <c r="A14" s="8">
        <v>12</v>
      </c>
      <c r="B14" s="9">
        <v>46125</v>
      </c>
      <c r="C14" s="10" t="s">
        <v>27</v>
      </c>
      <c r="D14" s="10" t="s">
        <v>77</v>
      </c>
      <c r="E14" s="11"/>
      <c r="F14" s="10">
        <v>3</v>
      </c>
      <c r="G14" s="14"/>
      <c r="H14" s="26">
        <f t="shared" si="0"/>
        <v>3</v>
      </c>
    </row>
    <row r="15" customFormat="1" ht="22" customHeight="1" spans="1:17">
      <c r="A15" s="8">
        <v>13</v>
      </c>
      <c r="B15" s="9">
        <v>46125</v>
      </c>
      <c r="C15" s="10" t="s">
        <v>28</v>
      </c>
      <c r="D15" s="10" t="s">
        <v>77</v>
      </c>
      <c r="E15" s="11">
        <v>3</v>
      </c>
      <c r="F15" s="10"/>
      <c r="G15" s="14"/>
      <c r="H15" s="26">
        <f t="shared" si="0"/>
        <v>3</v>
      </c>
    </row>
    <row r="16" customFormat="1" ht="22" customHeight="1" spans="1:17">
      <c r="A16" s="8">
        <v>14</v>
      </c>
      <c r="B16" s="9">
        <v>46125</v>
      </c>
      <c r="C16" s="11" t="s">
        <v>31</v>
      </c>
      <c r="D16" s="10" t="s">
        <v>77</v>
      </c>
      <c r="E16" s="22"/>
      <c r="F16" s="28">
        <v>3</v>
      </c>
      <c r="G16" s="14"/>
      <c r="H16" s="26">
        <f t="shared" si="0"/>
        <v>3</v>
      </c>
    </row>
    <row r="17" customFormat="1" ht="22" customHeight="1" spans="1:10">
      <c r="A17" s="8">
        <v>15</v>
      </c>
      <c r="B17" s="9">
        <v>46125</v>
      </c>
      <c r="C17" s="10" t="s">
        <v>35</v>
      </c>
      <c r="D17" s="10" t="s">
        <v>77</v>
      </c>
      <c r="E17" s="24"/>
      <c r="F17" s="24">
        <v>3</v>
      </c>
      <c r="G17" s="24"/>
      <c r="H17" s="26">
        <f t="shared" si="0"/>
        <v>3</v>
      </c>
    </row>
    <row r="18" customFormat="1" ht="22" customHeight="1" spans="1:10">
      <c r="A18" s="8">
        <v>16</v>
      </c>
      <c r="B18" s="9">
        <v>46125</v>
      </c>
      <c r="C18" s="10" t="s">
        <v>33</v>
      </c>
      <c r="D18" s="10" t="s">
        <v>77</v>
      </c>
      <c r="E18" s="24">
        <v>2</v>
      </c>
      <c r="F18" s="24">
        <v>1</v>
      </c>
      <c r="G18" s="24"/>
      <c r="H18" s="26">
        <f t="shared" si="0"/>
        <v>3</v>
      </c>
      <c r="J18">
        <f>E20+F20+M13+N13</f>
        <v>63</v>
      </c>
    </row>
    <row r="19" customFormat="1" ht="22" customHeight="1" spans="1:10">
      <c r="A19" s="8"/>
      <c r="B19" s="19"/>
      <c r="C19" s="17"/>
      <c r="D19" s="20"/>
      <c r="E19" s="21"/>
      <c r="F19" s="22"/>
      <c r="G19" s="22"/>
      <c r="H19" s="26">
        <f t="shared" si="0"/>
        <v>0</v>
      </c>
    </row>
    <row r="20" customFormat="1" ht="13.5" spans="1:10">
      <c r="E20" s="23">
        <f>SUM(E3:E19)</f>
        <v>22</v>
      </c>
      <c r="F20" s="23">
        <f>SUM(F3:F19)</f>
        <v>26</v>
      </c>
      <c r="H20" s="26">
        <f t="shared" si="0"/>
        <v>48</v>
      </c>
    </row>
    <row r="21" ht="18.75" spans="1:10">
      <c r="C21" s="29"/>
      <c r="D21" s="29"/>
      <c r="E21" s="29"/>
      <c r="F21" s="29"/>
      <c r="G21" s="29"/>
      <c r="I21" s="30" t="s">
        <v>86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I21" sqref="I21"/>
    </sheetView>
  </sheetViews>
  <sheetFormatPr defaultColWidth="9.14285714285714" defaultRowHeight="12"/>
  <cols>
    <col min="1" max="1" width="8.71428571428571" customWidth="1"/>
    <col min="2" max="2" width="14.4285714285714" customWidth="1"/>
    <col min="3" max="3" width="13.8571428571429" customWidth="1"/>
    <col min="4" max="4" width="12.1428571428571" customWidth="1"/>
    <col min="5" max="6" width="8.28571428571429" customWidth="1"/>
    <col min="7" max="7" width="16.8571428571429" customWidth="1"/>
    <col min="9" max="9" width="6.7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customFormat="1" ht="38" customHeight="1" spans="1:16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6">
      <c r="A3" s="8">
        <v>1</v>
      </c>
      <c r="B3" s="9">
        <v>46128</v>
      </c>
      <c r="C3" s="10" t="s">
        <v>13</v>
      </c>
      <c r="D3" s="10" t="s">
        <v>78</v>
      </c>
      <c r="E3" s="10">
        <v>2</v>
      </c>
      <c r="F3" s="11"/>
      <c r="G3" s="12"/>
      <c r="H3" s="1"/>
      <c r="I3" s="13">
        <v>1</v>
      </c>
      <c r="J3" s="9">
        <v>46128</v>
      </c>
      <c r="K3" s="10" t="s">
        <v>49</v>
      </c>
      <c r="L3" s="10" t="s">
        <v>78</v>
      </c>
      <c r="M3" s="10">
        <v>2</v>
      </c>
      <c r="N3" s="14"/>
      <c r="O3" s="14"/>
      <c r="P3" t="s">
        <v>79</v>
      </c>
    </row>
    <row r="4" customFormat="1" ht="22" customHeight="1" spans="1:16">
      <c r="A4" s="8">
        <v>2</v>
      </c>
      <c r="B4" s="9">
        <v>46128</v>
      </c>
      <c r="C4" s="10" t="s">
        <v>16</v>
      </c>
      <c r="D4" s="10" t="s">
        <v>78</v>
      </c>
      <c r="E4" s="10">
        <v>2</v>
      </c>
      <c r="F4" s="11"/>
      <c r="G4" s="15"/>
      <c r="H4" s="1"/>
      <c r="I4" s="13">
        <v>2</v>
      </c>
      <c r="J4" s="9">
        <v>46128</v>
      </c>
      <c r="K4" s="10" t="s">
        <v>53</v>
      </c>
      <c r="L4" s="10" t="s">
        <v>78</v>
      </c>
      <c r="M4" s="10">
        <v>2</v>
      </c>
      <c r="N4" s="14"/>
      <c r="O4" s="14"/>
    </row>
    <row r="5" customFormat="1" ht="22" customHeight="1" spans="1:16">
      <c r="A5" s="8">
        <v>3</v>
      </c>
      <c r="B5" s="9">
        <v>46128</v>
      </c>
      <c r="C5" s="10" t="s">
        <v>30</v>
      </c>
      <c r="D5" s="10" t="s">
        <v>78</v>
      </c>
      <c r="E5" s="11"/>
      <c r="F5" s="10">
        <v>2</v>
      </c>
      <c r="G5" s="14"/>
      <c r="H5" s="1"/>
      <c r="I5" s="13">
        <v>3</v>
      </c>
      <c r="J5" s="9">
        <v>46128</v>
      </c>
      <c r="K5" s="16" t="s">
        <v>81</v>
      </c>
      <c r="L5" s="10" t="s">
        <v>78</v>
      </c>
      <c r="M5" s="12">
        <v>2</v>
      </c>
      <c r="N5" s="14"/>
      <c r="O5" s="14"/>
    </row>
    <row r="6" customFormat="1" ht="22" customHeight="1" spans="1:16">
      <c r="A6" s="8">
        <v>4</v>
      </c>
      <c r="B6" s="9">
        <v>46128</v>
      </c>
      <c r="C6" s="10" t="s">
        <v>17</v>
      </c>
      <c r="D6" s="10" t="s">
        <v>78</v>
      </c>
      <c r="E6" s="11"/>
      <c r="F6" s="10">
        <v>2</v>
      </c>
      <c r="G6" s="15"/>
      <c r="H6" s="1"/>
      <c r="I6" s="13">
        <v>4</v>
      </c>
      <c r="J6" s="9">
        <v>46128</v>
      </c>
      <c r="K6" s="17" t="s">
        <v>84</v>
      </c>
      <c r="L6" s="10" t="s">
        <v>78</v>
      </c>
      <c r="M6" s="12">
        <v>2</v>
      </c>
      <c r="N6" s="14"/>
      <c r="O6" s="14"/>
    </row>
    <row r="7" customFormat="1" ht="22" customHeight="1" spans="1:16">
      <c r="A7" s="8">
        <v>5</v>
      </c>
      <c r="B7" s="9">
        <v>46128</v>
      </c>
      <c r="C7" s="10" t="s">
        <v>18</v>
      </c>
      <c r="D7" s="10" t="s">
        <v>78</v>
      </c>
      <c r="E7" s="11"/>
      <c r="F7" s="10">
        <v>2</v>
      </c>
      <c r="G7" s="15"/>
      <c r="H7" s="1"/>
      <c r="I7" s="13">
        <v>5</v>
      </c>
      <c r="J7" s="9"/>
      <c r="K7" s="17"/>
      <c r="L7" s="18"/>
      <c r="M7" s="12"/>
      <c r="N7" s="14"/>
      <c r="O7" s="14"/>
    </row>
    <row r="8" customFormat="1" ht="22" customHeight="1" spans="1:16">
      <c r="A8" s="8">
        <v>6</v>
      </c>
      <c r="B8" s="9">
        <v>46128</v>
      </c>
      <c r="C8" s="10" t="s">
        <v>19</v>
      </c>
      <c r="D8" s="10" t="s">
        <v>78</v>
      </c>
      <c r="E8" s="10">
        <v>1</v>
      </c>
      <c r="F8" s="10">
        <v>1</v>
      </c>
      <c r="G8" s="15"/>
      <c r="H8" s="1"/>
      <c r="I8" s="13">
        <v>6</v>
      </c>
      <c r="J8" s="9"/>
      <c r="K8" s="17"/>
      <c r="L8" s="18"/>
      <c r="M8" s="12"/>
      <c r="N8" s="14"/>
      <c r="O8" s="14"/>
    </row>
    <row r="9" customFormat="1" ht="22" customHeight="1" spans="1:16">
      <c r="A9" s="8">
        <v>7</v>
      </c>
      <c r="B9" s="9">
        <v>46128</v>
      </c>
      <c r="C9" s="10" t="s">
        <v>20</v>
      </c>
      <c r="D9" s="10" t="s">
        <v>78</v>
      </c>
      <c r="E9" s="10">
        <v>2</v>
      </c>
      <c r="F9" s="11"/>
      <c r="G9" s="15"/>
      <c r="H9" s="1"/>
      <c r="I9" s="13">
        <v>7</v>
      </c>
      <c r="J9" s="9"/>
      <c r="K9" s="17"/>
      <c r="L9" s="18"/>
      <c r="M9" s="12"/>
      <c r="N9" s="14"/>
      <c r="O9" s="14"/>
    </row>
    <row r="10" customFormat="1" ht="22" customHeight="1" spans="1:16">
      <c r="A10" s="8">
        <v>8</v>
      </c>
      <c r="B10" s="9">
        <v>46128</v>
      </c>
      <c r="C10" s="10" t="s">
        <v>21</v>
      </c>
      <c r="D10" s="10" t="s">
        <v>78</v>
      </c>
      <c r="E10" s="10">
        <v>2</v>
      </c>
      <c r="F10" s="11"/>
      <c r="G10" s="14"/>
      <c r="H10" s="1"/>
      <c r="I10" s="13">
        <v>8</v>
      </c>
      <c r="J10" s="9"/>
      <c r="K10" s="17"/>
      <c r="L10" s="18"/>
      <c r="M10" s="12"/>
      <c r="N10" s="14"/>
      <c r="O10" s="14"/>
    </row>
    <row r="11" customFormat="1" ht="22" customHeight="1" spans="1:16">
      <c r="A11" s="8">
        <v>9</v>
      </c>
      <c r="B11" s="9">
        <v>46128</v>
      </c>
      <c r="C11" s="10" t="s">
        <v>22</v>
      </c>
      <c r="D11" s="10" t="s">
        <v>78</v>
      </c>
      <c r="E11" s="10">
        <v>2</v>
      </c>
      <c r="F11" s="11"/>
      <c r="G11" s="14"/>
      <c r="H11" s="1"/>
      <c r="I11" s="13"/>
      <c r="J11" s="9"/>
      <c r="K11" s="17"/>
      <c r="L11" s="18"/>
      <c r="M11" s="12"/>
      <c r="N11" s="14"/>
      <c r="O11" s="14"/>
    </row>
    <row r="12" customFormat="1" ht="22" customHeight="1" spans="1:16">
      <c r="A12" s="8">
        <v>10</v>
      </c>
      <c r="B12" s="9">
        <v>46128</v>
      </c>
      <c r="C12" s="10" t="s">
        <v>24</v>
      </c>
      <c r="D12" s="10" t="s">
        <v>78</v>
      </c>
      <c r="E12" s="10">
        <v>1</v>
      </c>
      <c r="F12" s="10">
        <v>1</v>
      </c>
      <c r="G12" s="14"/>
      <c r="H12" s="1"/>
      <c r="I12" s="13"/>
      <c r="J12" s="19"/>
      <c r="K12" s="17"/>
      <c r="L12" s="20"/>
      <c r="M12" s="21"/>
      <c r="N12" s="22"/>
      <c r="O12" s="22"/>
    </row>
    <row r="13" customFormat="1" ht="22" customHeight="1" spans="1:16">
      <c r="A13" s="8">
        <v>11</v>
      </c>
      <c r="B13" s="9">
        <v>46128</v>
      </c>
      <c r="C13" s="10" t="s">
        <v>26</v>
      </c>
      <c r="D13" s="10" t="s">
        <v>78</v>
      </c>
      <c r="E13" s="11"/>
      <c r="F13" s="10">
        <v>2</v>
      </c>
      <c r="G13" s="14"/>
      <c r="H13" s="1"/>
      <c r="M13" s="23">
        <f>SUM(M3:M12)</f>
        <v>8</v>
      </c>
      <c r="N13" s="23">
        <f>SUM(N3:N12)</f>
        <v>0</v>
      </c>
    </row>
    <row r="14" customFormat="1" ht="22" customHeight="1" spans="1:16">
      <c r="A14" s="8">
        <v>12</v>
      </c>
      <c r="B14" s="9">
        <v>46128</v>
      </c>
      <c r="C14" s="10" t="s">
        <v>87</v>
      </c>
      <c r="D14" s="10" t="s">
        <v>78</v>
      </c>
      <c r="E14" s="11"/>
      <c r="F14" s="10">
        <v>2</v>
      </c>
      <c r="G14" s="14"/>
      <c r="H14" s="1"/>
    </row>
    <row r="15" customFormat="1" ht="22" customHeight="1" spans="1:16">
      <c r="A15" s="8">
        <v>13</v>
      </c>
      <c r="B15" s="9">
        <v>46128</v>
      </c>
      <c r="C15" s="10" t="s">
        <v>35</v>
      </c>
      <c r="D15" s="10" t="s">
        <v>78</v>
      </c>
      <c r="E15" s="24"/>
      <c r="F15" s="24">
        <v>2</v>
      </c>
      <c r="G15" s="24"/>
    </row>
    <row r="16" customFormat="1" ht="22" customHeight="1" spans="1:16">
      <c r="A16" s="8">
        <v>14</v>
      </c>
      <c r="B16" s="9">
        <v>46128</v>
      </c>
      <c r="C16" s="10" t="s">
        <v>28</v>
      </c>
      <c r="D16" s="10" t="s">
        <v>78</v>
      </c>
      <c r="E16" s="10">
        <v>2</v>
      </c>
      <c r="F16" s="11"/>
      <c r="G16" s="14"/>
      <c r="H16" s="1"/>
    </row>
    <row r="17" customFormat="1" ht="22" customHeight="1" spans="1:10">
      <c r="A17" s="8">
        <v>15</v>
      </c>
      <c r="B17" s="9">
        <v>46128</v>
      </c>
      <c r="C17" s="11" t="s">
        <v>31</v>
      </c>
      <c r="D17" s="10" t="s">
        <v>78</v>
      </c>
      <c r="E17" s="11"/>
      <c r="F17" s="11">
        <v>2</v>
      </c>
      <c r="G17" s="14"/>
      <c r="H17" s="1"/>
    </row>
    <row r="18" customFormat="1" ht="22" customHeight="1" spans="1:10">
      <c r="A18" s="8">
        <v>16</v>
      </c>
      <c r="B18" s="9">
        <v>46128</v>
      </c>
      <c r="C18" s="11" t="s">
        <v>33</v>
      </c>
      <c r="D18" s="10" t="s">
        <v>78</v>
      </c>
      <c r="E18" s="12">
        <v>1</v>
      </c>
      <c r="F18" s="14">
        <v>1</v>
      </c>
      <c r="G18" s="14"/>
      <c r="H18" s="1"/>
    </row>
    <row r="19" customFormat="1" ht="22" customHeight="1" spans="1:10">
      <c r="A19" s="8">
        <v>17</v>
      </c>
      <c r="B19" s="9">
        <v>46128</v>
      </c>
      <c r="C19" s="11" t="s">
        <v>33</v>
      </c>
      <c r="D19" s="10" t="s">
        <v>78</v>
      </c>
      <c r="E19" s="12">
        <v>1</v>
      </c>
      <c r="F19" s="14">
        <v>1</v>
      </c>
      <c r="G19" s="14" t="s">
        <v>83</v>
      </c>
      <c r="H19" s="1"/>
    </row>
    <row r="20" customFormat="1" ht="22" customHeight="1" spans="1:10">
      <c r="A20" s="8"/>
      <c r="B20" s="19"/>
      <c r="C20" s="17"/>
      <c r="D20" s="20"/>
      <c r="E20" s="21"/>
      <c r="F20" s="22"/>
      <c r="G20" s="22"/>
      <c r="J20">
        <f>E21+F21+M13+N13</f>
        <v>42</v>
      </c>
    </row>
    <row r="21" customFormat="1" ht="13.5" spans="1:10">
      <c r="E21" s="23">
        <f>SUM(E3:E20)</f>
        <v>16</v>
      </c>
      <c r="F21" s="23">
        <f>SUM(F3:F20)</f>
        <v>18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workbookViewId="0">
      <selection activeCell="G10" sqref="G10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5" customWidth="1"/>
    <col min="4" max="4" width="12.1428571428571" customWidth="1"/>
    <col min="5" max="6" width="7.71428571428571" customWidth="1"/>
    <col min="7" max="7" width="25.2857142857143" customWidth="1"/>
    <col min="8" max="8" width="9.14285714285714" style="26"/>
    <col min="9" max="9" width="7.14285714285714" customWidth="1"/>
    <col min="10" max="10" width="10.2857142857143" customWidth="1"/>
    <col min="11" max="12" width="12.1428571428571" customWidth="1"/>
    <col min="13" max="14" width="6.57142857142857" customWidth="1"/>
    <col min="15" max="15" width="12.4285714285714" customWidth="1"/>
  </cols>
  <sheetData>
    <row r="1" customFormat="1" ht="38" customHeight="1" spans="1:17">
      <c r="A1" s="2" t="s">
        <v>72</v>
      </c>
      <c r="B1" s="2"/>
      <c r="C1" s="2"/>
      <c r="D1" s="2"/>
      <c r="E1" s="2"/>
      <c r="F1" s="3"/>
      <c r="G1" s="4"/>
      <c r="H1" s="26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7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H2" s="27"/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7">
      <c r="A3" s="8">
        <v>1</v>
      </c>
      <c r="B3" s="9">
        <v>46132</v>
      </c>
      <c r="C3" s="10" t="s">
        <v>13</v>
      </c>
      <c r="D3" s="10" t="s">
        <v>77</v>
      </c>
      <c r="E3" s="10">
        <v>3</v>
      </c>
      <c r="F3" s="11"/>
      <c r="G3" s="12"/>
      <c r="H3" s="26">
        <f t="shared" ref="H3:H20" si="0">E3+F3</f>
        <v>3</v>
      </c>
      <c r="I3" s="13">
        <v>1</v>
      </c>
      <c r="J3" s="9">
        <v>46132</v>
      </c>
      <c r="K3" s="10" t="s">
        <v>49</v>
      </c>
      <c r="L3" s="10" t="s">
        <v>77</v>
      </c>
      <c r="M3" s="11">
        <v>3</v>
      </c>
      <c r="N3" s="10"/>
      <c r="O3" s="14"/>
      <c r="Q3">
        <f t="shared" ref="Q3:Q13" si="1">M3+N3</f>
        <v>3</v>
      </c>
    </row>
    <row r="4" customFormat="1" ht="22" customHeight="1" spans="1:17">
      <c r="A4" s="8">
        <v>2</v>
      </c>
      <c r="B4" s="9">
        <v>46132</v>
      </c>
      <c r="C4" s="10" t="s">
        <v>16</v>
      </c>
      <c r="D4" s="10" t="s">
        <v>77</v>
      </c>
      <c r="E4" s="10">
        <v>3</v>
      </c>
      <c r="F4" s="11"/>
      <c r="G4" s="15"/>
      <c r="H4" s="26">
        <f t="shared" si="0"/>
        <v>3</v>
      </c>
      <c r="I4" s="13">
        <v>2</v>
      </c>
      <c r="J4" s="9">
        <v>46132</v>
      </c>
      <c r="K4" s="10" t="s">
        <v>53</v>
      </c>
      <c r="L4" s="10" t="s">
        <v>77</v>
      </c>
      <c r="M4" s="11">
        <v>3</v>
      </c>
      <c r="N4" s="10"/>
      <c r="O4" s="14"/>
      <c r="Q4">
        <f t="shared" si="1"/>
        <v>3</v>
      </c>
    </row>
    <row r="5" customFormat="1" ht="22" customHeight="1" spans="1:17">
      <c r="A5" s="8">
        <v>3</v>
      </c>
      <c r="B5" s="9">
        <v>46132</v>
      </c>
      <c r="C5" s="10" t="s">
        <v>30</v>
      </c>
      <c r="D5" s="10" t="s">
        <v>77</v>
      </c>
      <c r="E5" s="11"/>
      <c r="F5" s="10">
        <v>3</v>
      </c>
      <c r="G5" s="14"/>
      <c r="H5" s="26">
        <f t="shared" si="0"/>
        <v>3</v>
      </c>
      <c r="I5" s="13">
        <v>3</v>
      </c>
      <c r="J5" s="9">
        <v>46132</v>
      </c>
      <c r="K5" s="16" t="s">
        <v>81</v>
      </c>
      <c r="L5" s="10" t="s">
        <v>77</v>
      </c>
      <c r="M5" s="12">
        <v>3</v>
      </c>
      <c r="N5" s="14"/>
      <c r="O5" s="14"/>
      <c r="Q5">
        <f t="shared" si="1"/>
        <v>3</v>
      </c>
    </row>
    <row r="6" customFormat="1" ht="22" customHeight="1" spans="1:17">
      <c r="A6" s="8">
        <v>4</v>
      </c>
      <c r="B6" s="9">
        <v>46132</v>
      </c>
      <c r="C6" s="10" t="s">
        <v>17</v>
      </c>
      <c r="D6" s="10" t="s">
        <v>77</v>
      </c>
      <c r="E6" s="11"/>
      <c r="F6" s="10">
        <v>3</v>
      </c>
      <c r="G6" s="15"/>
      <c r="H6" s="26">
        <f t="shared" si="0"/>
        <v>3</v>
      </c>
      <c r="I6" s="13">
        <v>4</v>
      </c>
      <c r="J6" s="9">
        <v>46132</v>
      </c>
      <c r="K6" s="17" t="s">
        <v>84</v>
      </c>
      <c r="L6" s="10" t="s">
        <v>77</v>
      </c>
      <c r="M6" s="12">
        <v>3</v>
      </c>
      <c r="N6" s="14"/>
      <c r="O6" s="14"/>
      <c r="Q6">
        <f t="shared" si="1"/>
        <v>3</v>
      </c>
    </row>
    <row r="7" customFormat="1" ht="22" customHeight="1" spans="1:17">
      <c r="A7" s="8">
        <v>5</v>
      </c>
      <c r="B7" s="9">
        <v>46132</v>
      </c>
      <c r="C7" s="10" t="s">
        <v>18</v>
      </c>
      <c r="D7" s="10" t="s">
        <v>77</v>
      </c>
      <c r="E7" s="11"/>
      <c r="F7" s="10">
        <v>3</v>
      </c>
      <c r="G7" s="15"/>
      <c r="H7" s="26">
        <f t="shared" si="0"/>
        <v>3</v>
      </c>
      <c r="I7" s="13">
        <v>5</v>
      </c>
      <c r="J7" s="9">
        <v>46132</v>
      </c>
      <c r="K7" s="17" t="s">
        <v>84</v>
      </c>
      <c r="L7" s="10" t="s">
        <v>77</v>
      </c>
      <c r="M7" s="12">
        <v>3</v>
      </c>
      <c r="N7" s="14"/>
      <c r="O7" s="14" t="s">
        <v>83</v>
      </c>
      <c r="P7" t="s">
        <v>88</v>
      </c>
      <c r="Q7">
        <f t="shared" si="1"/>
        <v>3</v>
      </c>
    </row>
    <row r="8" customFormat="1" ht="22" customHeight="1" spans="1:17">
      <c r="A8" s="8">
        <v>6</v>
      </c>
      <c r="B8" s="9">
        <v>46132</v>
      </c>
      <c r="C8" s="10" t="s">
        <v>19</v>
      </c>
      <c r="D8" s="10" t="s">
        <v>77</v>
      </c>
      <c r="E8" s="10">
        <v>1</v>
      </c>
      <c r="F8" s="10">
        <v>2</v>
      </c>
      <c r="G8" s="15"/>
      <c r="H8" s="26">
        <f t="shared" si="0"/>
        <v>3</v>
      </c>
      <c r="I8" s="13">
        <v>6</v>
      </c>
      <c r="J8" s="9"/>
      <c r="K8" s="17"/>
      <c r="L8" s="18"/>
      <c r="M8" s="12"/>
      <c r="N8" s="14"/>
      <c r="O8" s="14"/>
      <c r="Q8">
        <f t="shared" si="1"/>
        <v>0</v>
      </c>
    </row>
    <row r="9" customFormat="1" ht="22" customHeight="1" spans="1:17">
      <c r="A9" s="8">
        <v>7</v>
      </c>
      <c r="B9" s="9">
        <v>46132</v>
      </c>
      <c r="C9" s="10" t="s">
        <v>20</v>
      </c>
      <c r="D9" s="10" t="s">
        <v>77</v>
      </c>
      <c r="E9" s="10">
        <v>3</v>
      </c>
      <c r="F9" s="11"/>
      <c r="G9" s="15"/>
      <c r="H9" s="26">
        <f t="shared" si="0"/>
        <v>3</v>
      </c>
      <c r="I9" s="13">
        <v>7</v>
      </c>
      <c r="J9" s="9"/>
      <c r="K9" s="17"/>
      <c r="L9" s="18"/>
      <c r="M9" s="12"/>
      <c r="N9" s="14"/>
      <c r="O9" s="14"/>
      <c r="Q9">
        <f t="shared" si="1"/>
        <v>0</v>
      </c>
    </row>
    <row r="10" customFormat="1" ht="22" customHeight="1" spans="1:17">
      <c r="A10" s="8">
        <v>8</v>
      </c>
      <c r="B10" s="9">
        <v>46132</v>
      </c>
      <c r="C10" s="10" t="s">
        <v>21</v>
      </c>
      <c r="D10" s="10" t="s">
        <v>77</v>
      </c>
      <c r="E10" s="10">
        <v>3</v>
      </c>
      <c r="F10" s="11"/>
      <c r="G10" s="14"/>
      <c r="H10" s="26">
        <f t="shared" si="0"/>
        <v>3</v>
      </c>
      <c r="I10" s="13">
        <v>8</v>
      </c>
      <c r="J10" s="9"/>
      <c r="K10" s="17"/>
      <c r="L10" s="18"/>
      <c r="M10" s="12"/>
      <c r="N10" s="14"/>
      <c r="O10" s="14"/>
      <c r="Q10">
        <f t="shared" si="1"/>
        <v>0</v>
      </c>
    </row>
    <row r="11" customFormat="1" ht="22" customHeight="1" spans="1:17">
      <c r="A11" s="8">
        <v>9</v>
      </c>
      <c r="B11" s="9">
        <v>46132</v>
      </c>
      <c r="C11" s="10" t="s">
        <v>22</v>
      </c>
      <c r="D11" s="10" t="s">
        <v>77</v>
      </c>
      <c r="E11" s="10">
        <v>3</v>
      </c>
      <c r="F11" s="11"/>
      <c r="G11" s="14"/>
      <c r="H11" s="26">
        <f t="shared" si="0"/>
        <v>3</v>
      </c>
      <c r="I11" s="13"/>
      <c r="J11" s="9"/>
      <c r="K11" s="17"/>
      <c r="L11" s="18"/>
      <c r="M11" s="12"/>
      <c r="N11" s="14"/>
      <c r="O11" s="14"/>
      <c r="Q11">
        <f t="shared" si="1"/>
        <v>0</v>
      </c>
    </row>
    <row r="12" customFormat="1" ht="22" customHeight="1" spans="1:17">
      <c r="A12" s="8">
        <v>10</v>
      </c>
      <c r="B12" s="9">
        <v>46132</v>
      </c>
      <c r="C12" s="10" t="s">
        <v>24</v>
      </c>
      <c r="D12" s="10" t="s">
        <v>77</v>
      </c>
      <c r="E12" s="10">
        <v>1</v>
      </c>
      <c r="F12" s="10">
        <v>2</v>
      </c>
      <c r="G12" s="14"/>
      <c r="H12" s="26">
        <f t="shared" si="0"/>
        <v>3</v>
      </c>
      <c r="I12" s="13"/>
      <c r="J12" s="19"/>
      <c r="K12" s="17"/>
      <c r="L12" s="20"/>
      <c r="M12" s="21"/>
      <c r="N12" s="22"/>
      <c r="O12" s="22"/>
      <c r="Q12">
        <f t="shared" si="1"/>
        <v>0</v>
      </c>
    </row>
    <row r="13" customFormat="1" ht="22" customHeight="1" spans="1:17">
      <c r="A13" s="8">
        <v>11</v>
      </c>
      <c r="B13" s="9">
        <v>46132</v>
      </c>
      <c r="C13" s="10" t="s">
        <v>26</v>
      </c>
      <c r="D13" s="10" t="s">
        <v>77</v>
      </c>
      <c r="E13" s="11"/>
      <c r="F13" s="10">
        <v>3</v>
      </c>
      <c r="G13" s="14"/>
      <c r="H13" s="26">
        <f t="shared" si="0"/>
        <v>3</v>
      </c>
      <c r="M13" s="23">
        <f>SUM(M3:M12)</f>
        <v>15</v>
      </c>
      <c r="N13" s="23">
        <f>SUM(N3:N12)</f>
        <v>0</v>
      </c>
      <c r="Q13">
        <f t="shared" si="1"/>
        <v>15</v>
      </c>
    </row>
    <row r="14" customFormat="1" ht="25" customHeight="1" spans="1:17">
      <c r="A14" s="8">
        <v>12</v>
      </c>
      <c r="B14" s="9">
        <v>46132</v>
      </c>
      <c r="C14" s="10" t="s">
        <v>27</v>
      </c>
      <c r="D14" s="10" t="s">
        <v>77</v>
      </c>
      <c r="E14" s="11"/>
      <c r="F14" s="10">
        <v>3</v>
      </c>
      <c r="G14" s="25"/>
      <c r="H14" s="26">
        <f t="shared" si="0"/>
        <v>3</v>
      </c>
    </row>
    <row r="15" customFormat="1" ht="22" customHeight="1" spans="1:17">
      <c r="A15" s="8">
        <v>13</v>
      </c>
      <c r="B15" s="9">
        <v>46132</v>
      </c>
      <c r="C15" s="10" t="s">
        <v>28</v>
      </c>
      <c r="D15" s="10" t="s">
        <v>77</v>
      </c>
      <c r="E15" s="11">
        <v>3</v>
      </c>
      <c r="F15" s="10"/>
      <c r="G15" s="14"/>
      <c r="H15" s="26">
        <f t="shared" si="0"/>
        <v>3</v>
      </c>
    </row>
    <row r="16" customFormat="1" ht="22" customHeight="1" spans="1:17">
      <c r="A16" s="8">
        <v>14</v>
      </c>
      <c r="B16" s="9">
        <v>46132</v>
      </c>
      <c r="C16" s="11" t="s">
        <v>31</v>
      </c>
      <c r="D16" s="10" t="s">
        <v>77</v>
      </c>
      <c r="E16" s="22"/>
      <c r="F16" s="28">
        <v>3</v>
      </c>
      <c r="G16" s="14"/>
      <c r="H16" s="26">
        <f t="shared" si="0"/>
        <v>3</v>
      </c>
    </row>
    <row r="17" customFormat="1" ht="22" customHeight="1" spans="1:10">
      <c r="A17" s="8">
        <v>15</v>
      </c>
      <c r="B17" s="9">
        <v>46132</v>
      </c>
      <c r="C17" s="10" t="s">
        <v>35</v>
      </c>
      <c r="D17" s="10" t="s">
        <v>77</v>
      </c>
      <c r="E17" s="24"/>
      <c r="F17" s="24">
        <v>6</v>
      </c>
      <c r="G17" s="25" t="s">
        <v>89</v>
      </c>
      <c r="H17" s="26">
        <f t="shared" si="0"/>
        <v>6</v>
      </c>
    </row>
    <row r="18" customFormat="1" ht="22" customHeight="1" spans="1:10">
      <c r="A18" s="8">
        <v>16</v>
      </c>
      <c r="B18" s="9">
        <v>46132</v>
      </c>
      <c r="C18" s="10" t="s">
        <v>33</v>
      </c>
      <c r="D18" s="10" t="s">
        <v>77</v>
      </c>
      <c r="E18" s="24">
        <v>2</v>
      </c>
      <c r="F18" s="24">
        <v>1</v>
      </c>
      <c r="G18" s="24"/>
      <c r="H18" s="26">
        <f t="shared" si="0"/>
        <v>3</v>
      </c>
      <c r="J18">
        <f>E21+F21+M13+N13</f>
        <v>66</v>
      </c>
    </row>
    <row r="19" customFormat="1" ht="22" customHeight="1" spans="1:10">
      <c r="A19" s="8">
        <v>17</v>
      </c>
      <c r="B19" s="9"/>
      <c r="C19" s="10"/>
      <c r="D19" s="10"/>
      <c r="E19" s="24"/>
      <c r="F19" s="24"/>
      <c r="G19" s="24"/>
      <c r="H19" s="26"/>
    </row>
    <row r="20" customFormat="1" ht="22" customHeight="1" spans="1:10">
      <c r="A20" s="8"/>
      <c r="B20" s="19"/>
      <c r="C20" s="17"/>
      <c r="D20" s="20"/>
      <c r="E20" s="21"/>
      <c r="F20" s="22"/>
      <c r="G20" s="22"/>
      <c r="H20" s="26">
        <f>E20+F20</f>
        <v>0</v>
      </c>
    </row>
    <row r="21" customFormat="1" ht="13.5" spans="1:10">
      <c r="E21" s="23">
        <f>SUM(E3:E20)</f>
        <v>22</v>
      </c>
      <c r="F21" s="23">
        <f>SUM(F3:F20)</f>
        <v>29</v>
      </c>
      <c r="H21" s="26">
        <f>E21+F21</f>
        <v>51</v>
      </c>
    </row>
    <row r="22" ht="18.75" spans="1:10">
      <c r="C22" s="29"/>
      <c r="D22" s="29"/>
      <c r="E22" s="29"/>
      <c r="F22" s="29"/>
      <c r="G22" s="29"/>
      <c r="I22" s="30" t="s">
        <v>86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J20" sqref="J20"/>
    </sheetView>
  </sheetViews>
  <sheetFormatPr defaultColWidth="9.14285714285714" defaultRowHeight="12"/>
  <cols>
    <col min="1" max="1" width="8.71428571428571" customWidth="1"/>
    <col min="2" max="2" width="14.4285714285714" customWidth="1"/>
    <col min="3" max="3" width="13.8571428571429" customWidth="1"/>
    <col min="4" max="4" width="12.1428571428571" customWidth="1"/>
    <col min="5" max="6" width="8.28571428571429" customWidth="1"/>
    <col min="7" max="7" width="23.1428571428571" customWidth="1"/>
    <col min="9" max="9" width="6.7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customFormat="1" ht="38" customHeight="1" spans="1:16">
      <c r="A1" s="2" t="s">
        <v>72</v>
      </c>
      <c r="B1" s="2"/>
      <c r="C1" s="2"/>
      <c r="D1" s="2"/>
      <c r="E1" s="2"/>
      <c r="F1" s="3"/>
      <c r="G1" s="4"/>
      <c r="I1" s="2" t="s">
        <v>73</v>
      </c>
      <c r="J1" s="2"/>
      <c r="K1" s="2"/>
      <c r="L1" s="2"/>
      <c r="M1" s="2"/>
      <c r="N1" s="3"/>
      <c r="O1" s="4"/>
    </row>
    <row r="2" s="1" customFormat="1" ht="32" customHeight="1" spans="1:16">
      <c r="A2" s="5" t="s">
        <v>2</v>
      </c>
      <c r="B2" s="5" t="s">
        <v>59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59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6">
      <c r="A3" s="8">
        <v>1</v>
      </c>
      <c r="B3" s="9">
        <v>46135</v>
      </c>
      <c r="C3" s="10" t="s">
        <v>13</v>
      </c>
      <c r="D3" s="10" t="s">
        <v>78</v>
      </c>
      <c r="E3" s="10">
        <v>2</v>
      </c>
      <c r="F3" s="11"/>
      <c r="G3" s="12"/>
      <c r="H3" s="1"/>
      <c r="I3" s="13">
        <v>1</v>
      </c>
      <c r="J3" s="9">
        <v>46135</v>
      </c>
      <c r="K3" s="10" t="s">
        <v>49</v>
      </c>
      <c r="L3" s="10" t="s">
        <v>78</v>
      </c>
      <c r="M3" s="10">
        <v>2</v>
      </c>
      <c r="N3" s="14"/>
      <c r="O3" s="14"/>
      <c r="P3" t="s">
        <v>79</v>
      </c>
    </row>
    <row r="4" customFormat="1" ht="22" customHeight="1" spans="1:16">
      <c r="A4" s="8">
        <v>2</v>
      </c>
      <c r="B4" s="9">
        <v>46135</v>
      </c>
      <c r="C4" s="10" t="s">
        <v>16</v>
      </c>
      <c r="D4" s="10" t="s">
        <v>78</v>
      </c>
      <c r="E4" s="10">
        <v>2</v>
      </c>
      <c r="F4" s="11"/>
      <c r="G4" s="15"/>
      <c r="H4" s="1"/>
      <c r="I4" s="13">
        <v>2</v>
      </c>
      <c r="J4" s="9">
        <v>46135</v>
      </c>
      <c r="K4" s="10" t="s">
        <v>53</v>
      </c>
      <c r="L4" s="10" t="s">
        <v>78</v>
      </c>
      <c r="M4" s="10">
        <v>2</v>
      </c>
      <c r="N4" s="14"/>
      <c r="O4" s="14"/>
    </row>
    <row r="5" customFormat="1" ht="22" customHeight="1" spans="1:16">
      <c r="A5" s="8">
        <v>3</v>
      </c>
      <c r="B5" s="9">
        <v>46135</v>
      </c>
      <c r="C5" s="10" t="s">
        <v>30</v>
      </c>
      <c r="D5" s="10" t="s">
        <v>78</v>
      </c>
      <c r="E5" s="11"/>
      <c r="F5" s="10">
        <v>2</v>
      </c>
      <c r="G5" s="14"/>
      <c r="H5" s="1"/>
      <c r="I5" s="13">
        <v>3</v>
      </c>
      <c r="J5" s="9">
        <v>46135</v>
      </c>
      <c r="K5" s="16" t="s">
        <v>81</v>
      </c>
      <c r="L5" s="10" t="s">
        <v>78</v>
      </c>
      <c r="M5" s="12">
        <v>2</v>
      </c>
      <c r="N5" s="14"/>
      <c r="O5" s="14"/>
    </row>
    <row r="6" customFormat="1" ht="22" customHeight="1" spans="1:16">
      <c r="A6" s="8">
        <v>4</v>
      </c>
      <c r="B6" s="9">
        <v>46135</v>
      </c>
      <c r="C6" s="10" t="s">
        <v>17</v>
      </c>
      <c r="D6" s="10" t="s">
        <v>78</v>
      </c>
      <c r="E6" s="11"/>
      <c r="F6" s="10">
        <v>2</v>
      </c>
      <c r="G6" s="15"/>
      <c r="H6" s="1"/>
      <c r="I6" s="13">
        <v>4</v>
      </c>
      <c r="J6" s="9">
        <v>46135</v>
      </c>
      <c r="K6" s="17" t="s">
        <v>84</v>
      </c>
      <c r="L6" s="10" t="s">
        <v>78</v>
      </c>
      <c r="M6" s="12">
        <v>2</v>
      </c>
      <c r="N6" s="14"/>
      <c r="O6" s="14"/>
    </row>
    <row r="7" customFormat="1" ht="22" customHeight="1" spans="1:16">
      <c r="A7" s="8">
        <v>5</v>
      </c>
      <c r="B7" s="9">
        <v>46135</v>
      </c>
      <c r="C7" s="10" t="s">
        <v>18</v>
      </c>
      <c r="D7" s="10" t="s">
        <v>78</v>
      </c>
      <c r="E7" s="11"/>
      <c r="F7" s="10">
        <v>2</v>
      </c>
      <c r="G7" s="15"/>
      <c r="H7" s="1"/>
      <c r="I7" s="13">
        <v>5</v>
      </c>
      <c r="J7" s="9"/>
      <c r="K7" s="17"/>
      <c r="L7" s="18"/>
      <c r="M7" s="12"/>
      <c r="N7" s="14"/>
      <c r="O7" s="14"/>
    </row>
    <row r="8" customFormat="1" ht="22" customHeight="1" spans="1:16">
      <c r="A8" s="8">
        <v>6</v>
      </c>
      <c r="B8" s="9">
        <v>46135</v>
      </c>
      <c r="C8" s="10" t="s">
        <v>19</v>
      </c>
      <c r="D8" s="10" t="s">
        <v>78</v>
      </c>
      <c r="E8" s="10">
        <v>1</v>
      </c>
      <c r="F8" s="10">
        <v>1</v>
      </c>
      <c r="G8" s="15"/>
      <c r="H8" s="1"/>
      <c r="I8" s="13">
        <v>6</v>
      </c>
      <c r="J8" s="9"/>
      <c r="K8" s="17"/>
      <c r="L8" s="18"/>
      <c r="M8" s="12"/>
      <c r="N8" s="14"/>
      <c r="O8" s="14"/>
    </row>
    <row r="9" customFormat="1" ht="22" customHeight="1" spans="1:16">
      <c r="A9" s="8">
        <v>7</v>
      </c>
      <c r="B9" s="9">
        <v>46135</v>
      </c>
      <c r="C9" s="10" t="s">
        <v>20</v>
      </c>
      <c r="D9" s="10" t="s">
        <v>78</v>
      </c>
      <c r="E9" s="10">
        <v>2</v>
      </c>
      <c r="F9" s="11"/>
      <c r="G9" s="15"/>
      <c r="H9" s="1"/>
      <c r="I9" s="13">
        <v>7</v>
      </c>
      <c r="J9" s="9"/>
      <c r="K9" s="17"/>
      <c r="L9" s="18"/>
      <c r="M9" s="12"/>
      <c r="N9" s="14"/>
      <c r="O9" s="14"/>
    </row>
    <row r="10" customFormat="1" ht="22" customHeight="1" spans="1:16">
      <c r="A10" s="8">
        <v>8</v>
      </c>
      <c r="B10" s="9">
        <v>46135</v>
      </c>
      <c r="C10" s="10" t="s">
        <v>21</v>
      </c>
      <c r="D10" s="10" t="s">
        <v>78</v>
      </c>
      <c r="E10" s="10">
        <v>2</v>
      </c>
      <c r="F10" s="11"/>
      <c r="G10" s="14"/>
      <c r="H10" s="1"/>
      <c r="I10" s="13">
        <v>8</v>
      </c>
      <c r="J10" s="9"/>
      <c r="K10" s="17"/>
      <c r="L10" s="18"/>
      <c r="M10" s="12"/>
      <c r="N10" s="14"/>
      <c r="O10" s="14"/>
    </row>
    <row r="11" customFormat="1" ht="22" customHeight="1" spans="1:16">
      <c r="A11" s="8">
        <v>9</v>
      </c>
      <c r="B11" s="9">
        <v>46135</v>
      </c>
      <c r="C11" s="10" t="s">
        <v>22</v>
      </c>
      <c r="D11" s="10" t="s">
        <v>78</v>
      </c>
      <c r="E11" s="10">
        <v>2</v>
      </c>
      <c r="F11" s="11"/>
      <c r="G11" s="14"/>
      <c r="H11" s="1"/>
      <c r="I11" s="13"/>
      <c r="J11" s="9"/>
      <c r="K11" s="17"/>
      <c r="L11" s="18"/>
      <c r="M11" s="12"/>
      <c r="N11" s="14"/>
      <c r="O11" s="14"/>
    </row>
    <row r="12" customFormat="1" ht="22" customHeight="1" spans="1:16">
      <c r="A12" s="8">
        <v>10</v>
      </c>
      <c r="B12" s="9">
        <v>46135</v>
      </c>
      <c r="C12" s="10" t="s">
        <v>24</v>
      </c>
      <c r="D12" s="10" t="s">
        <v>78</v>
      </c>
      <c r="E12" s="10">
        <v>1</v>
      </c>
      <c r="F12" s="10">
        <v>1</v>
      </c>
      <c r="G12" s="14"/>
      <c r="H12" s="1"/>
      <c r="I12" s="13"/>
      <c r="J12" s="19"/>
      <c r="K12" s="17"/>
      <c r="L12" s="20"/>
      <c r="M12" s="21"/>
      <c r="N12" s="22"/>
      <c r="O12" s="22"/>
    </row>
    <row r="13" customFormat="1" ht="22" customHeight="1" spans="1:16">
      <c r="A13" s="8">
        <v>11</v>
      </c>
      <c r="B13" s="9">
        <v>46135</v>
      </c>
      <c r="C13" s="10" t="s">
        <v>26</v>
      </c>
      <c r="D13" s="10" t="s">
        <v>78</v>
      </c>
      <c r="E13" s="11"/>
      <c r="F13" s="10">
        <v>2</v>
      </c>
      <c r="G13" s="14"/>
      <c r="H13" s="1"/>
      <c r="M13" s="23">
        <f>SUM(M3:M12)</f>
        <v>8</v>
      </c>
      <c r="N13" s="23">
        <f>SUM(N3:N12)</f>
        <v>0</v>
      </c>
    </row>
    <row r="14" customFormat="1" ht="22" customHeight="1" spans="1:16">
      <c r="A14" s="8">
        <v>12</v>
      </c>
      <c r="B14" s="9">
        <v>46135</v>
      </c>
      <c r="C14" s="10" t="s">
        <v>87</v>
      </c>
      <c r="D14" s="10" t="s">
        <v>78</v>
      </c>
      <c r="E14" s="11"/>
      <c r="F14" s="10">
        <v>2</v>
      </c>
      <c r="G14" s="14"/>
      <c r="H14" s="1"/>
    </row>
    <row r="15" customFormat="1" ht="32" customHeight="1" spans="1:16">
      <c r="A15" s="8">
        <v>13</v>
      </c>
      <c r="B15" s="9">
        <v>46135</v>
      </c>
      <c r="C15" s="10" t="s">
        <v>35</v>
      </c>
      <c r="D15" s="10" t="s">
        <v>78</v>
      </c>
      <c r="E15" s="24"/>
      <c r="F15" s="24">
        <v>4</v>
      </c>
      <c r="G15" s="25" t="s">
        <v>89</v>
      </c>
    </row>
    <row r="16" customFormat="1" ht="22" customHeight="1" spans="1:16">
      <c r="A16" s="8">
        <v>14</v>
      </c>
      <c r="B16" s="9">
        <v>46135</v>
      </c>
      <c r="C16" s="10" t="s">
        <v>28</v>
      </c>
      <c r="D16" s="10" t="s">
        <v>78</v>
      </c>
      <c r="E16" s="10">
        <v>2</v>
      </c>
      <c r="F16" s="11"/>
      <c r="G16" s="14"/>
      <c r="H16" s="1"/>
    </row>
    <row r="17" customFormat="1" ht="22" customHeight="1" spans="1:10">
      <c r="A17" s="8">
        <v>15</v>
      </c>
      <c r="B17" s="9">
        <v>46135</v>
      </c>
      <c r="C17" s="11" t="s">
        <v>31</v>
      </c>
      <c r="D17" s="10" t="s">
        <v>78</v>
      </c>
      <c r="E17" s="11"/>
      <c r="F17" s="11">
        <v>2</v>
      </c>
      <c r="G17" s="14"/>
      <c r="H17" s="1"/>
    </row>
    <row r="18" customFormat="1" ht="22" customHeight="1" spans="1:10">
      <c r="A18" s="8">
        <v>16</v>
      </c>
      <c r="B18" s="9">
        <v>46135</v>
      </c>
      <c r="C18" s="11" t="s">
        <v>33</v>
      </c>
      <c r="D18" s="10" t="s">
        <v>78</v>
      </c>
      <c r="E18" s="12">
        <v>1</v>
      </c>
      <c r="F18" s="14">
        <v>1</v>
      </c>
      <c r="G18" s="14"/>
      <c r="H18" s="1"/>
    </row>
    <row r="19" customFormat="1" ht="22" customHeight="1" spans="1:10">
      <c r="A19" s="8">
        <v>17</v>
      </c>
      <c r="B19" s="9">
        <v>46135</v>
      </c>
      <c r="C19" s="11" t="s">
        <v>33</v>
      </c>
      <c r="D19" s="10" t="s">
        <v>78</v>
      </c>
      <c r="E19" s="12">
        <v>1</v>
      </c>
      <c r="F19" s="14">
        <v>1</v>
      </c>
      <c r="G19" s="14" t="s">
        <v>83</v>
      </c>
      <c r="H19" s="1"/>
    </row>
    <row r="20" customFormat="1" ht="22" customHeight="1" spans="1:10">
      <c r="A20" s="8"/>
      <c r="B20" s="19"/>
      <c r="C20" s="17"/>
      <c r="D20" s="20"/>
      <c r="E20" s="21"/>
      <c r="F20" s="22"/>
      <c r="G20" s="22"/>
      <c r="J20">
        <f>E21+F21+M13+N13</f>
        <v>44</v>
      </c>
    </row>
    <row r="21" customFormat="1" ht="13.5" spans="1:10">
      <c r="E21" s="23">
        <f>SUM(E3:E20)</f>
        <v>16</v>
      </c>
      <c r="F21" s="23">
        <f>SUM(F3:F20)</f>
        <v>20</v>
      </c>
    </row>
  </sheetData>
  <mergeCells count="2">
    <mergeCell ref="A1:G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学生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