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firstSheet="5" activeTab="15"/>
  </bookViews>
  <sheets>
    <sheet name="学生" sheetId="1" r:id="rId1"/>
    <sheet name="领奶表" sheetId="5" r:id="rId2"/>
    <sheet name="配送汇总" sheetId="6" r:id="rId3"/>
    <sheet name="3.9" sheetId="2" r:id="rId4"/>
    <sheet name="3.12" sheetId="7" r:id="rId5"/>
    <sheet name="3.16" sheetId="9" r:id="rId6"/>
    <sheet name="3.19" sheetId="10" r:id="rId7"/>
    <sheet name="3.23" sheetId="11" r:id="rId8"/>
    <sheet name="3.26" sheetId="13" r:id="rId9"/>
    <sheet name="3.30" sheetId="14" r:id="rId10"/>
    <sheet name="4.2" sheetId="15" r:id="rId11"/>
    <sheet name="4.7" sheetId="16" r:id="rId12"/>
    <sheet name="4.9" sheetId="17" r:id="rId13"/>
    <sheet name="4.13" sheetId="18" r:id="rId14"/>
    <sheet name="4.16" sheetId="19" r:id="rId15"/>
    <sheet name="4.20" sheetId="20" r:id="rId16"/>
    <sheet name="4.23" sheetId="21" r:id="rId17"/>
  </sheets>
  <definedNames>
    <definedName name="_xlnm._FilterDatabase" localSheetId="2" hidden="1">配送汇总!$A$1:$AE$32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<sst xmlns="http://schemas.openxmlformats.org/spreadsheetml/2006/main" count="628" uniqueCount="64">
  <si>
    <t>线上订单汇总表</t>
  </si>
  <si>
    <t>导出时间2026-03-06</t>
  </si>
  <si>
    <t>序号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</si>
  <si>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</si>
  <si>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</si>
  <si>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</si>
  <si>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</si>
  <si>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</si>
  <si>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</si>
  <si>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</si>
  <si>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收款账户</t>
  </si>
  <si>
    <t>家长备注</t>
  </si>
  <si>
    <t>商户备注</t>
  </si>
  <si>
    <t>李语彤</t>
  </si>
  <si>
    <r>
      <rPr>
        <sz val="11"/>
        <color rgb="FF000000"/>
        <rFont val="宋体"/>
        <charset val="134"/>
      </rPr>
      <t>英德市</t>
    </r>
    <r>
      <rPr>
        <sz val="11"/>
        <color rgb="FF000000"/>
        <rFont val="Calibri"/>
        <charset val="134"/>
      </rPr>
      <t xml:space="preserve"> | </t>
    </r>
    <r>
      <rPr>
        <sz val="11"/>
        <color rgb="FF000000"/>
        <rFont val="宋体"/>
        <charset val="134"/>
      </rPr>
      <t>大湾镇童心幼儿园</t>
    </r>
    <r>
      <rPr>
        <sz val="11"/>
        <color rgb="FF000000"/>
        <rFont val="Calibri"/>
        <charset val="134"/>
      </rPr>
      <t xml:space="preserve"> | </t>
    </r>
    <r>
      <rPr>
        <sz val="11"/>
        <color rgb="FF000000"/>
        <rFont val="宋体"/>
        <charset val="134"/>
      </rPr>
      <t>小</t>
    </r>
    <r>
      <rPr>
        <sz val="11"/>
        <color rgb="FF000000"/>
        <rFont val="Calibri"/>
        <charset val="134"/>
      </rPr>
      <t xml:space="preserve"> | B</t>
    </r>
    <r>
      <rPr>
        <sz val="11"/>
        <color rgb="FF000000"/>
        <rFont val="宋体"/>
        <charset val="134"/>
      </rPr>
      <t>班</t>
    </r>
  </si>
  <si>
    <t>2026年春季幼儿园巴氏低温鲜奶套餐（100盒）</t>
  </si>
  <si>
    <t>0006010F8463511 | 张荣强</t>
  </si>
  <si>
    <t>伍健霖</t>
  </si>
  <si>
    <t>英德市 | 大湾镇童心幼儿园 | 大 | C班</t>
  </si>
  <si>
    <t>谭曜</t>
  </si>
  <si>
    <t>英德市 | 大湾镇童心幼儿园 | 小 | B班</t>
  </si>
  <si>
    <t>李一铭</t>
  </si>
  <si>
    <t>酸奶酸奶酸奶</t>
  </si>
  <si>
    <t>麦明韬</t>
  </si>
  <si>
    <t>英德市 | 大湾镇童心幼儿园 | 中 | B班</t>
  </si>
  <si>
    <t>0006010F3900007 | 安鑫配送（清远市）有限公司</t>
  </si>
  <si>
    <t>全部要低温酸奶</t>
  </si>
  <si>
    <t>谭梦瑶</t>
  </si>
  <si>
    <t>韦子翎</t>
  </si>
  <si>
    <t>英德市 | 大湾镇童心幼儿园 | 小 | A班</t>
  </si>
  <si>
    <t>蓝诗瑶</t>
  </si>
  <si>
    <t>谭奕煊</t>
  </si>
  <si>
    <t>黄星玥</t>
  </si>
  <si>
    <t>酸奶饮品</t>
  </si>
  <si>
    <t>吴梓睿</t>
  </si>
  <si>
    <t>只要燕塘酸奶饮品</t>
  </si>
  <si>
    <t>伍俊乐</t>
  </si>
  <si>
    <t>中B</t>
  </si>
  <si>
    <t>鲜奶酸奶各半</t>
  </si>
  <si>
    <t>教职工子女，微信收款</t>
  </si>
  <si>
    <t>张子奕</t>
  </si>
  <si>
    <t>大B</t>
  </si>
  <si>
    <t>英德市大湾镇童心幼儿园教师鲜奶领奶表</t>
  </si>
  <si>
    <t>（ ）月份（填写领取数量/盒）</t>
  </si>
  <si>
    <t>姓名</t>
  </si>
  <si>
    <t xml:space="preserve">                                                   英德市大湾镇童心幼儿园教师鲜奶领奶表</t>
  </si>
  <si>
    <t>订购份数</t>
  </si>
  <si>
    <t>总计</t>
  </si>
  <si>
    <t>剩余</t>
  </si>
  <si>
    <t>续订已收款</t>
  </si>
  <si>
    <t>大湾镇童心幼儿园教师鲜奶领奶表</t>
  </si>
  <si>
    <t>配送日期</t>
  </si>
  <si>
    <t>职工姓名</t>
  </si>
  <si>
    <t>配送天数</t>
  </si>
  <si>
    <t>鲜</t>
  </si>
  <si>
    <t>酸</t>
  </si>
  <si>
    <t>备注</t>
  </si>
  <si>
    <t>3天</t>
  </si>
  <si>
    <t>教职工子女，中B班</t>
  </si>
  <si>
    <t>11号下单，下周一配送</t>
  </si>
  <si>
    <t>教职工子女，大B班</t>
  </si>
  <si>
    <t>2天</t>
  </si>
  <si>
    <t>礼品已领</t>
  </si>
  <si>
    <t>大湾镇童心幼儿园学生鲜奶领奶表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</si>
</sst>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2" borderId="10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13" applyNumberFormat="0" applyAlignment="0" applyProtection="0">
      <alignment vertical="center"/>
    </xf>
    <xf numFmtId="0" fontId="28" fillId="4" borderId="14" applyNumberFormat="0" applyAlignment="0" applyProtection="0">
      <alignment vertical="center"/>
    </xf>
    <xf numFmtId="0" fontId="29" fillId="4" borderId="13" applyNumberFormat="0" applyAlignment="0" applyProtection="0">
      <alignment vertical="center"/>
    </xf>
    <xf numFmtId="0" fontId="30" fillId="5" borderId="15" applyNumberFormat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center" vertical="center" wrapText="1"/>
    </xf>
    <xf numFmtId="58" fontId="11" fillId="0" borderId="5" xfId="0" applyNumberFormat="1" applyFont="1" applyFill="1" applyBorder="1" applyAlignment="1">
      <alignment horizontal="center" vertical="center" wrapText="1"/>
    </xf>
    <xf numFmtId="58" fontId="11" fillId="0" borderId="5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4" fillId="0" borderId="5" xfId="0" applyNumberFormat="1" applyFont="1" applyFill="1" applyBorder="1" applyAlignment="1">
      <alignment vertical="center"/>
    </xf>
    <xf numFmtId="0" fontId="17" fillId="0" borderId="5" xfId="0" applyNumberFormat="1" applyFont="1" applyFill="1" applyBorder="1" applyAlignment="1">
      <alignment horizontal="left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22" fontId="18" fillId="0" borderId="9" xfId="0" applyNumberFormat="1" applyFont="1" applyBorder="1" applyAlignment="1">
      <alignment horizontal="center" vertical="center"/>
    </xf>
    <xf numFmtId="58" fontId="18" fillId="0" borderId="9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D25" sqref="D25"/>
    </sheetView>
  </sheetViews>
  <sheetFormatPr defaultColWidth="14" defaultRowHeight="18" customHeight="1"/>
  <cols>
    <col min="1" max="1" width="5.85714285714286" customWidth="1"/>
    <col min="2" max="2" width="11.7142857142857" customWidth="1"/>
    <col min="3" max="3" width="10.1428571428571" customWidth="1"/>
    <col min="4" max="4" width="39.5714285714286" customWidth="1"/>
    <col min="5" max="5" width="12.8571428571429" customWidth="1"/>
    <col min="6" max="6" width="49.4285714285714" customWidth="1"/>
    <col min="7" max="7" width="10.1428571428571" customWidth="1"/>
    <col min="8" max="8" width="14.8571428571429" customWidth="1"/>
    <col min="9" max="9" width="50.8571428571429" customWidth="1"/>
    <col min="10" max="10" width="19.8571428571429" customWidth="1"/>
  </cols>
  <sheetData>
    <row r="1" ht="18.75" customHeight="1" spans="1:11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ht="18.75" customHeight="1" spans="1:11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customHeight="1" spans="1:11">
      <c r="A3" s="59" t="s">
        <v>2</v>
      </c>
      <c r="B3" s="59" t="s">
        <v>3</v>
      </c>
      <c r="C3" s="59" t="s">
        <v>4</v>
      </c>
      <c r="D3" s="59" t="s">
        <v>5</v>
      </c>
      <c r="E3" s="59" t="s">
        <v>6</v>
      </c>
      <c r="F3" s="59" t="s">
        <v>7</v>
      </c>
      <c r="G3" s="59" t="s">
        <v>8</v>
      </c>
      <c r="H3" s="59" t="s">
        <v>9</v>
      </c>
      <c r="I3" s="59" t="s">
        <v>10</v>
      </c>
      <c r="J3" s="59" t="s">
        <v>11</v>
      </c>
      <c r="K3" s="59" t="s">
        <v>12</v>
      </c>
    </row>
    <row r="4" customHeight="1" spans="1:11">
      <c r="A4" s="59">
        <v>1</v>
      </c>
      <c r="B4" s="59">
        <v>1.53020260306122e+22</v>
      </c>
      <c r="C4" s="59" t="s">
        <v>13</v>
      </c>
      <c r="D4" s="60" t="s">
        <v>14</v>
      </c>
      <c r="E4" s="59">
        <v>13418542480</v>
      </c>
      <c r="F4" s="59" t="s">
        <v>15</v>
      </c>
      <c r="G4" s="59">
        <v>350</v>
      </c>
      <c r="H4" s="61">
        <v>46087.5204976852</v>
      </c>
      <c r="I4" s="59" t="s">
        <v>16</v>
      </c>
      <c r="J4" s="59"/>
      <c r="K4" s="59"/>
    </row>
    <row r="5" customHeight="1" spans="1:11">
      <c r="A5" s="59">
        <v>2</v>
      </c>
      <c r="B5" s="59">
        <v>1.53020260304181e+22</v>
      </c>
      <c r="C5" s="59" t="s">
        <v>17</v>
      </c>
      <c r="D5" s="59" t="s">
        <v>18</v>
      </c>
      <c r="E5" s="59">
        <v>13415252150</v>
      </c>
      <c r="F5" s="59" t="s">
        <v>15</v>
      </c>
      <c r="G5" s="59">
        <v>350</v>
      </c>
      <c r="H5" s="61">
        <v>46085.7602777778</v>
      </c>
      <c r="I5" s="59" t="s">
        <v>16</v>
      </c>
      <c r="J5" s="59"/>
      <c r="K5" s="59"/>
    </row>
    <row r="6" customHeight="1" spans="1:11">
      <c r="A6" s="59">
        <v>3</v>
      </c>
      <c r="B6" s="59">
        <v>1.53020260303201e+22</v>
      </c>
      <c r="C6" s="59" t="s">
        <v>19</v>
      </c>
      <c r="D6" s="59" t="s">
        <v>20</v>
      </c>
      <c r="E6" s="59">
        <v>18924524431</v>
      </c>
      <c r="F6" s="59" t="s">
        <v>15</v>
      </c>
      <c r="G6" s="59">
        <v>350</v>
      </c>
      <c r="H6" s="61">
        <v>46084.8429861111</v>
      </c>
      <c r="I6" s="59" t="s">
        <v>16</v>
      </c>
      <c r="J6" s="59"/>
      <c r="K6" s="59"/>
    </row>
    <row r="7" customHeight="1" spans="1:11">
      <c r="A7" s="59">
        <v>4</v>
      </c>
      <c r="B7" s="59">
        <v>1.53020260303173e+22</v>
      </c>
      <c r="C7" s="59" t="s">
        <v>21</v>
      </c>
      <c r="D7" s="59" t="s">
        <v>20</v>
      </c>
      <c r="E7" s="59">
        <v>15113583371</v>
      </c>
      <c r="F7" s="59" t="s">
        <v>15</v>
      </c>
      <c r="G7" s="59">
        <v>350</v>
      </c>
      <c r="H7" s="61">
        <v>46084.7298958333</v>
      </c>
      <c r="I7" s="59" t="s">
        <v>16</v>
      </c>
      <c r="J7" s="59" t="s">
        <v>22</v>
      </c>
      <c r="K7" s="59"/>
    </row>
    <row r="8" customHeight="1" spans="1:11">
      <c r="A8" s="59">
        <v>5</v>
      </c>
      <c r="B8" s="59">
        <v>1.53020260302221e+22</v>
      </c>
      <c r="C8" s="59" t="s">
        <v>23</v>
      </c>
      <c r="D8" s="59" t="s">
        <v>24</v>
      </c>
      <c r="E8" s="59">
        <v>15019431520</v>
      </c>
      <c r="F8" s="59" t="s">
        <v>15</v>
      </c>
      <c r="G8" s="59">
        <v>350</v>
      </c>
      <c r="H8" s="61">
        <v>46083.9287152778</v>
      </c>
      <c r="I8" s="59" t="s">
        <v>25</v>
      </c>
      <c r="J8" s="59" t="s">
        <v>26</v>
      </c>
      <c r="K8" s="59"/>
    </row>
    <row r="9" customHeight="1" spans="1:11">
      <c r="A9" s="59">
        <v>6</v>
      </c>
      <c r="B9" s="59">
        <v>1.53020260301103e+22</v>
      </c>
      <c r="C9" s="59" t="s">
        <v>27</v>
      </c>
      <c r="D9" s="59" t="s">
        <v>20</v>
      </c>
      <c r="E9" s="59">
        <v>18300138786</v>
      </c>
      <c r="F9" s="59" t="s">
        <v>15</v>
      </c>
      <c r="G9" s="59">
        <v>350</v>
      </c>
      <c r="H9" s="61">
        <v>46082.438599537</v>
      </c>
      <c r="I9" s="59" t="s">
        <v>25</v>
      </c>
      <c r="J9" s="59"/>
      <c r="K9" s="59"/>
    </row>
    <row r="10" customHeight="1" spans="1:11">
      <c r="A10" s="59">
        <v>7</v>
      </c>
      <c r="B10" s="59">
        <v>1.53020260301103e+22</v>
      </c>
      <c r="C10" s="59" t="s">
        <v>28</v>
      </c>
      <c r="D10" s="59" t="s">
        <v>29</v>
      </c>
      <c r="E10" s="59">
        <v>15360854737</v>
      </c>
      <c r="F10" s="59" t="s">
        <v>15</v>
      </c>
      <c r="G10" s="59">
        <v>350</v>
      </c>
      <c r="H10" s="61">
        <v>46082.4379282407</v>
      </c>
      <c r="I10" s="59" t="s">
        <v>25</v>
      </c>
      <c r="J10" s="59"/>
      <c r="K10" s="59"/>
    </row>
    <row r="11" customHeight="1" spans="1:11">
      <c r="A11" s="59">
        <v>8</v>
      </c>
      <c r="B11" s="59">
        <v>1.53020260301101e+22</v>
      </c>
      <c r="C11" s="59" t="s">
        <v>30</v>
      </c>
      <c r="D11" s="59" t="s">
        <v>20</v>
      </c>
      <c r="E11" s="59">
        <v>13610323462</v>
      </c>
      <c r="F11" s="59" t="s">
        <v>15</v>
      </c>
      <c r="G11" s="59">
        <v>350</v>
      </c>
      <c r="H11" s="61">
        <v>46082.4281712963</v>
      </c>
      <c r="I11" s="59" t="s">
        <v>25</v>
      </c>
      <c r="J11" s="59"/>
      <c r="K11" s="59"/>
    </row>
    <row r="12" customHeight="1" spans="1:11">
      <c r="A12" s="59">
        <v>9</v>
      </c>
      <c r="B12" s="59">
        <v>1.530202603011e+22</v>
      </c>
      <c r="C12" s="59" t="s">
        <v>31</v>
      </c>
      <c r="D12" s="59" t="s">
        <v>20</v>
      </c>
      <c r="E12" s="59">
        <v>13502452900</v>
      </c>
      <c r="F12" s="59" t="s">
        <v>15</v>
      </c>
      <c r="G12" s="59">
        <v>350</v>
      </c>
      <c r="H12" s="61">
        <v>46082.4183449074</v>
      </c>
      <c r="I12" s="59" t="s">
        <v>25</v>
      </c>
      <c r="J12" s="59"/>
      <c r="K12" s="59"/>
    </row>
    <row r="13" customHeight="1" spans="1:11">
      <c r="A13" s="59">
        <v>10</v>
      </c>
      <c r="B13" s="59">
        <v>1.53020260301093e+22</v>
      </c>
      <c r="C13" s="59" t="s">
        <v>32</v>
      </c>
      <c r="D13" s="59" t="s">
        <v>20</v>
      </c>
      <c r="E13" s="59">
        <v>13711413189</v>
      </c>
      <c r="F13" s="59" t="s">
        <v>15</v>
      </c>
      <c r="G13" s="59">
        <v>350</v>
      </c>
      <c r="H13" s="61">
        <v>46082.4025</v>
      </c>
      <c r="I13" s="59" t="s">
        <v>25</v>
      </c>
      <c r="J13" s="59" t="s">
        <v>33</v>
      </c>
      <c r="K13" s="59"/>
    </row>
    <row r="14" customHeight="1" spans="1:11">
      <c r="A14" s="59">
        <v>11</v>
      </c>
      <c r="B14" s="59">
        <v>1.53020260301085e+22</v>
      </c>
      <c r="C14" s="59" t="s">
        <v>34</v>
      </c>
      <c r="D14" s="59" t="s">
        <v>20</v>
      </c>
      <c r="E14" s="59">
        <v>13710277732</v>
      </c>
      <c r="F14" s="59" t="s">
        <v>15</v>
      </c>
      <c r="G14" s="59">
        <v>350</v>
      </c>
      <c r="H14" s="61">
        <v>46082.3684722222</v>
      </c>
      <c r="I14" s="59" t="s">
        <v>25</v>
      </c>
      <c r="J14" s="59" t="s">
        <v>35</v>
      </c>
      <c r="K14" s="59"/>
    </row>
    <row r="15" customHeight="1" spans="1:11">
      <c r="A15" s="59"/>
      <c r="B15" s="59"/>
      <c r="C15" s="59" t="s">
        <v>36</v>
      </c>
      <c r="D15" s="59" t="s">
        <v>37</v>
      </c>
      <c r="E15" s="59">
        <v>15728860810</v>
      </c>
      <c r="F15" s="59" t="s">
        <v>15</v>
      </c>
      <c r="G15" s="59">
        <v>210</v>
      </c>
      <c r="H15" s="62">
        <v>46092</v>
      </c>
      <c r="I15" s="59"/>
      <c r="J15" s="59" t="s">
        <v>38</v>
      </c>
      <c r="K15" s="59" t="s">
        <v>39</v>
      </c>
    </row>
    <row r="16" customHeight="1" spans="1:11">
      <c r="A16" s="59"/>
      <c r="B16" s="59"/>
      <c r="C16" s="59" t="s">
        <v>40</v>
      </c>
      <c r="D16" s="59" t="s">
        <v>41</v>
      </c>
      <c r="E16" s="59">
        <v>18925010810</v>
      </c>
      <c r="F16" s="59" t="s">
        <v>15</v>
      </c>
      <c r="G16" s="59">
        <v>210</v>
      </c>
      <c r="H16" s="62">
        <v>46092</v>
      </c>
      <c r="I16" s="59"/>
      <c r="J16" s="59" t="s">
        <v>38</v>
      </c>
      <c r="K16" s="59" t="s">
        <v>39</v>
      </c>
    </row>
  </sheetData>
  <mergeCells count="2">
    <mergeCell ref="A1:K1"/>
    <mergeCell ref="A2:K2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49" customWidth="1"/>
    <col min="2" max="2" width="13.7142857142857" style="49" customWidth="1"/>
    <col min="3" max="3" width="4.42857142857143" style="47" customWidth="1"/>
    <col min="4" max="6" width="4" style="47" customWidth="1"/>
    <col min="7" max="7" width="3.87619047619048" style="47" customWidth="1"/>
    <col min="8" max="12" width="4.28571428571429" style="47" customWidth="1"/>
    <col min="13" max="13" width="4.00952380952381" style="47" customWidth="1"/>
    <col min="14" max="14" width="4.28571428571429" style="47" customWidth="1"/>
    <col min="15" max="15" width="4.00952380952381" style="47" customWidth="1"/>
    <col min="16" max="16" width="3.87619047619048" style="47" customWidth="1"/>
    <col min="17" max="17" width="4.28571428571429" style="47" customWidth="1"/>
    <col min="18" max="19" width="4.14285714285714" style="47" customWidth="1"/>
    <col min="20" max="20" width="4.57142857142857" style="47" customWidth="1"/>
    <col min="21" max="25" width="4.14285714285714" style="47" customWidth="1"/>
    <col min="26" max="27" width="4.57142857142857" style="47" customWidth="1"/>
    <col min="28" max="28" width="4.16190476190476" style="47" customWidth="1"/>
    <col min="29" max="30" width="4.28571428571429" style="47" customWidth="1"/>
    <col min="31" max="31" width="4.00952380952381" style="47" customWidth="1"/>
    <col min="32" max="32" width="3.85714285714286" style="47" customWidth="1"/>
    <col min="33" max="34" width="4.28571428571429" style="47" customWidth="1"/>
    <col min="35" max="36" width="4.57142857142857" style="47" customWidth="1"/>
    <col min="37" max="37" width="4.28571428571429" style="47" customWidth="1"/>
    <col min="38" max="38" width="3.85714285714286" style="47" customWidth="1"/>
    <col min="39" max="16384" width="10.2857142857143" style="47"/>
  </cols>
  <sheetData>
    <row r="1" s="47" customFormat="1" ht="26" customHeight="1" spans="1:38">
      <c r="A1" s="50" t="s">
        <v>42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="47" customFormat="1" ht="26" customHeight="1" spans="1:38">
      <c r="A2" s="51" t="s">
        <v>43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="48" customFormat="1" ht="40" customHeight="1" spans="1:38">
      <c r="A3" s="52" t="s">
        <v>2</v>
      </c>
      <c r="B3" s="52" t="s">
        <v>44</v>
      </c>
      <c r="C3" s="53">
        <v>1</v>
      </c>
      <c r="D3" s="53">
        <v>2</v>
      </c>
      <c r="E3" s="53">
        <v>3</v>
      </c>
      <c r="F3" s="53">
        <v>4</v>
      </c>
      <c r="G3" s="53">
        <v>5</v>
      </c>
      <c r="H3" s="53">
        <v>6</v>
      </c>
      <c r="I3" s="53">
        <v>7</v>
      </c>
      <c r="J3" s="53">
        <v>8</v>
      </c>
      <c r="K3" s="53">
        <v>9</v>
      </c>
      <c r="L3" s="53">
        <v>10</v>
      </c>
      <c r="M3" s="53">
        <v>11</v>
      </c>
      <c r="N3" s="53">
        <v>12</v>
      </c>
      <c r="O3" s="53">
        <v>13</v>
      </c>
      <c r="P3" s="53">
        <v>14</v>
      </c>
      <c r="Q3" s="53">
        <v>15</v>
      </c>
      <c r="R3" s="53">
        <v>16</v>
      </c>
      <c r="S3" s="53">
        <v>17</v>
      </c>
      <c r="T3" s="53">
        <v>18</v>
      </c>
      <c r="U3" s="53">
        <v>19</v>
      </c>
      <c r="V3" s="53">
        <v>20</v>
      </c>
      <c r="W3" s="53">
        <v>21</v>
      </c>
      <c r="X3" s="53">
        <v>22</v>
      </c>
      <c r="Y3" s="53">
        <v>23</v>
      </c>
      <c r="Z3" s="53">
        <v>24</v>
      </c>
      <c r="AA3" s="53">
        <v>25</v>
      </c>
      <c r="AB3" s="53">
        <v>26</v>
      </c>
      <c r="AC3" s="53">
        <v>27</v>
      </c>
      <c r="AD3" s="53">
        <v>28</v>
      </c>
      <c r="AE3" s="53">
        <v>29</v>
      </c>
      <c r="AF3" s="53">
        <v>30</v>
      </c>
      <c r="AG3" s="53"/>
      <c r="AH3" s="53"/>
      <c r="AI3" s="53"/>
      <c r="AJ3" s="53"/>
      <c r="AK3" s="53"/>
      <c r="AL3" s="53"/>
    </row>
    <row r="4" s="47" customFormat="1" ht="25" customHeight="1" spans="1:38">
      <c r="A4" s="54">
        <v>1</v>
      </c>
      <c r="B4" s="55"/>
      <c r="C4" s="54"/>
      <c r="D4" s="54"/>
      <c r="E4" s="54"/>
      <c r="F4" s="54"/>
      <c r="G4" s="54"/>
      <c r="H4" s="54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</row>
    <row r="5" s="47" customFormat="1" ht="25" customHeight="1" spans="1:38">
      <c r="A5" s="54">
        <v>2</v>
      </c>
      <c r="B5" s="55"/>
      <c r="C5" s="54"/>
      <c r="D5" s="54"/>
      <c r="E5" s="54"/>
      <c r="F5" s="54"/>
      <c r="G5" s="54"/>
      <c r="H5" s="54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</row>
    <row r="6" s="47" customFormat="1" ht="25" customHeight="1" spans="1:38">
      <c r="A6" s="54">
        <v>3</v>
      </c>
      <c r="B6" s="55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</row>
    <row r="7" s="47" customFormat="1" ht="25" customHeight="1" spans="1:38">
      <c r="A7" s="54">
        <v>13</v>
      </c>
      <c r="B7" s="5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</row>
    <row r="8" s="47" customFormat="1" ht="25" customHeight="1" spans="1:38">
      <c r="A8" s="54">
        <v>14</v>
      </c>
      <c r="B8" s="55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</row>
    <row r="9" s="47" customFormat="1" ht="25" customHeight="1" spans="1:38">
      <c r="A9" s="54">
        <v>15</v>
      </c>
      <c r="B9" s="55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</row>
    <row r="10" s="47" customFormat="1" ht="25" customHeight="1" spans="1:38">
      <c r="A10" s="54">
        <v>16</v>
      </c>
      <c r="B10" s="55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</row>
    <row r="11" s="47" customFormat="1" ht="25" customHeight="1" spans="1:38">
      <c r="A11" s="54">
        <v>17</v>
      </c>
      <c r="B11" s="57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</row>
    <row r="12" s="47" customFormat="1" ht="25" customHeight="1" spans="1:38">
      <c r="A12" s="54">
        <v>18</v>
      </c>
      <c r="B12" s="57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</row>
    <row r="13" s="47" customFormat="1" ht="15" customHeight="1" spans="1:38">
      <c r="A13" s="58"/>
      <c r="B13" s="58"/>
    </row>
    <row r="14" s="47" customFormat="1" ht="15" customHeight="1" spans="1:38">
      <c r="A14" s="58"/>
      <c r="B14" s="58"/>
    </row>
    <row r="15" s="47" customFormat="1" ht="15" customHeight="1" spans="1:38">
      <c r="A15" s="58"/>
      <c r="B15" s="58"/>
    </row>
    <row r="16" s="47" customFormat="1" ht="15" customHeight="1" spans="1:38">
      <c r="A16" s="58"/>
      <c r="B16" s="58"/>
    </row>
    <row r="17" s="47" customFormat="1" ht="15" customHeight="1" spans="1:2">
      <c r="A17" s="58"/>
      <c r="B17" s="58"/>
    </row>
    <row r="18" s="47" customFormat="1" ht="15" customHeight="1" spans="1:2">
      <c r="A18" s="58"/>
      <c r="B18" s="58"/>
    </row>
    <row r="19" s="47" customFormat="1" ht="15" customHeight="1" spans="1:2">
      <c r="A19" s="58"/>
      <c r="B19" s="58"/>
    </row>
    <row r="20" s="47" customFormat="1" ht="15" customHeight="1" spans="1:2">
      <c r="A20" s="58"/>
      <c r="B20" s="58"/>
    </row>
    <row r="21" s="47" customFormat="1" ht="15" customHeight="1" spans="1:2">
      <c r="A21" s="58"/>
      <c r="B21" s="58"/>
    </row>
    <row r="22" s="47" customFormat="1" ht="15" customHeight="1" spans="1:2">
      <c r="A22" s="58"/>
      <c r="B22" s="58"/>
    </row>
    <row r="23" s="47" customFormat="1" ht="15" customHeight="1" spans="1:2">
      <c r="A23" s="58"/>
      <c r="B23" s="58"/>
    </row>
    <row r="24" s="47" customFormat="1" ht="15" customHeight="1" spans="1:2">
      <c r="A24" s="58"/>
      <c r="B24" s="58"/>
    </row>
    <row r="25" s="47" customFormat="1" ht="15" customHeight="1" spans="1:2">
      <c r="A25" s="58"/>
      <c r="B25" s="58"/>
    </row>
    <row r="26" s="47" customFormat="1" ht="15" customHeight="1" spans="1:2">
      <c r="A26" s="58"/>
      <c r="B26" s="58"/>
    </row>
    <row r="27" s="47" customFormat="1" ht="15" customHeight="1" spans="1:2">
      <c r="A27" s="58"/>
      <c r="B27" s="58"/>
    </row>
    <row r="28" s="47" customFormat="1" ht="15" customHeight="1" spans="1:2">
      <c r="A28" s="58"/>
      <c r="B28" s="58"/>
    </row>
    <row r="29" s="47" customFormat="1" ht="15" customHeight="1" spans="1:2">
      <c r="A29" s="58"/>
      <c r="B29" s="58"/>
    </row>
    <row r="30" s="47" customFormat="1" ht="15" customHeight="1" spans="1:2">
      <c r="A30" s="58"/>
      <c r="B30" s="58"/>
    </row>
    <row r="31" s="47" customFormat="1" ht="15" customHeight="1" spans="1:2">
      <c r="A31" s="58"/>
      <c r="B31" s="58"/>
    </row>
    <row r="32" s="47" customFormat="1" ht="15" customHeight="1" spans="1:2">
      <c r="A32" s="58"/>
      <c r="B32" s="58"/>
    </row>
    <row r="33" s="47" customFormat="1" ht="15" customHeight="1" spans="1:2">
      <c r="A33" s="58"/>
      <c r="B33" s="58"/>
    </row>
    <row r="34" s="47" customFormat="1" ht="15" customHeight="1" spans="1:2">
      <c r="A34" s="58"/>
      <c r="B34" s="58"/>
    </row>
    <row r="35" s="47" customFormat="1" ht="15" customHeight="1" spans="1:2">
      <c r="A35" s="58"/>
      <c r="B35" s="58"/>
    </row>
    <row r="36" s="47" customFormat="1" ht="15" customHeight="1" spans="1:2">
      <c r="A36" s="58"/>
      <c r="B36" s="58"/>
    </row>
    <row r="37" s="47" customFormat="1" ht="15" customHeight="1" spans="1:2">
      <c r="A37" s="58"/>
      <c r="B37" s="58"/>
    </row>
    <row r="38" s="47" customFormat="1" ht="15" customHeight="1" spans="1:2">
      <c r="A38" s="58"/>
      <c r="B38" s="58"/>
    </row>
    <row r="39" s="47" customFormat="1" ht="15" customHeight="1" spans="1:2">
      <c r="A39" s="58"/>
      <c r="B39" s="58"/>
    </row>
    <row r="40" s="47" customFormat="1" ht="15" customHeight="1" spans="1:2">
      <c r="A40" s="58"/>
      <c r="B40" s="58"/>
    </row>
    <row r="41" s="47" customFormat="1" ht="15" customHeight="1" spans="1:2">
      <c r="A41" s="58"/>
      <c r="B41" s="58"/>
    </row>
    <row r="42" s="47" customFormat="1" ht="15" customHeight="1" spans="1:2">
      <c r="A42" s="58"/>
      <c r="B42" s="58"/>
    </row>
    <row r="43" s="47" customFormat="1" ht="15" customHeight="1" spans="1:2">
      <c r="A43" s="58"/>
      <c r="B43" s="58"/>
    </row>
    <row r="44" s="47" customFormat="1" ht="15" customHeight="1" spans="1:2">
      <c r="A44" s="58"/>
      <c r="B44" s="58"/>
    </row>
    <row r="45" s="47" customFormat="1" ht="15" customHeight="1" spans="1:2">
      <c r="A45" s="58"/>
      <c r="B45" s="58"/>
    </row>
    <row r="46" s="47" customFormat="1" ht="15" customHeight="1" spans="1:2">
      <c r="A46" s="58"/>
      <c r="B46" s="58"/>
    </row>
    <row r="47" s="47" customFormat="1" ht="15" customHeight="1" spans="1:2">
      <c r="A47" s="58"/>
      <c r="B47" s="58"/>
    </row>
    <row r="48" s="47" customFormat="1" ht="15" customHeight="1" spans="1:2">
      <c r="A48" s="58"/>
      <c r="B48" s="58"/>
    </row>
    <row r="49" s="47" customFormat="1" ht="15" customHeight="1" spans="1:2">
      <c r="A49" s="58"/>
      <c r="B49" s="58"/>
    </row>
    <row r="50" s="47" customFormat="1" ht="15" customHeight="1" spans="1:2">
      <c r="A50" s="58"/>
      <c r="B50" s="58"/>
    </row>
    <row r="51" s="47" customFormat="1" ht="15" customHeight="1" spans="1:2">
      <c r="A51" s="58"/>
      <c r="B51" s="58"/>
    </row>
    <row r="52" s="47" customFormat="1" ht="15" customHeight="1" spans="1:2">
      <c r="A52" s="58"/>
      <c r="B52" s="58"/>
    </row>
    <row r="53" s="47" customFormat="1" ht="15" customHeight="1" spans="1:2">
      <c r="A53" s="58"/>
      <c r="B53" s="58"/>
    </row>
    <row r="54" s="47" customFormat="1" ht="15" customHeight="1" spans="1:2">
      <c r="A54" s="58"/>
      <c r="B54" s="58"/>
    </row>
    <row r="55" s="47" customFormat="1" ht="15" customHeight="1" spans="1:2">
      <c r="A55" s="58"/>
      <c r="B55" s="58"/>
    </row>
    <row r="56" s="47" customFormat="1" ht="15" customHeight="1" spans="1:2">
      <c r="A56" s="58"/>
      <c r="B56" s="58"/>
    </row>
    <row r="57" s="47" customFormat="1" ht="15" customHeight="1" spans="1:2">
      <c r="A57" s="58"/>
      <c r="B57" s="58"/>
    </row>
    <row r="58" s="47" customFormat="1" ht="15" customHeight="1" spans="1:2">
      <c r="A58" s="58"/>
      <c r="B58" s="58"/>
    </row>
    <row r="59" s="47" customFormat="1" ht="15" customHeight="1" spans="1:2">
      <c r="A59" s="58"/>
      <c r="B59" s="58"/>
    </row>
    <row r="60" s="47" customFormat="1" ht="15" customHeight="1" spans="1:2">
      <c r="A60" s="58"/>
      <c r="B60" s="58"/>
    </row>
    <row r="61" s="47" customFormat="1" ht="15" customHeight="1" spans="1:2">
      <c r="A61" s="58"/>
      <c r="B61" s="58"/>
    </row>
    <row r="62" s="47" customFormat="1" ht="15" customHeight="1" spans="1:2">
      <c r="A62" s="58"/>
      <c r="B62" s="58"/>
    </row>
    <row r="63" s="47" customFormat="1" ht="15" customHeight="1" spans="1:2">
      <c r="A63" s="58"/>
      <c r="B63" s="58"/>
    </row>
    <row r="64" s="47" customFormat="1" ht="15" customHeight="1" spans="1:2">
      <c r="A64" s="58"/>
      <c r="B64" s="58"/>
    </row>
    <row r="65" s="47" customFormat="1" ht="15" customHeight="1" spans="1:2">
      <c r="A65" s="58"/>
      <c r="B65" s="58"/>
    </row>
    <row r="66" s="47" customFormat="1" ht="15" customHeight="1" spans="1:2">
      <c r="A66" s="58"/>
      <c r="B66" s="58"/>
    </row>
    <row r="67" s="47" customFormat="1" ht="15" customHeight="1" spans="1:2">
      <c r="A67" s="58"/>
      <c r="B67" s="58"/>
    </row>
    <row r="68" s="47" customFormat="1" ht="15" customHeight="1" spans="1:2">
      <c r="A68" s="58"/>
      <c r="B68" s="58"/>
    </row>
    <row r="69" s="47" customFormat="1" ht="15" customHeight="1" spans="1:2">
      <c r="A69" s="58"/>
      <c r="B69" s="58"/>
    </row>
    <row r="70" s="47" customFormat="1" ht="15" customHeight="1" spans="1:2">
      <c r="A70" s="58"/>
      <c r="B70" s="58"/>
    </row>
    <row r="71" s="47" customFormat="1" spans="1:2">
      <c r="A71" s="49"/>
      <c r="B71" s="49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5"/>
  <sheetViews>
    <sheetView workbookViewId="0">
      <selection activeCell="Q17" sqref="Q17"/>
    </sheetView>
  </sheetViews>
  <sheetFormatPr defaultColWidth="9.14285714285714" defaultRowHeight="23" customHeight="1"/>
  <cols>
    <col min="1" max="1" width="9.14285714285714" style="29"/>
    <col min="2" max="2" width="10.7142857142857" style="29" customWidth="1"/>
    <col min="3" max="3" width="10" style="29" customWidth="1"/>
    <col min="4" max="13" width="7.42857142857143" style="29" customWidth="1"/>
    <col min="14" max="28" width="7" style="29" customWidth="1"/>
    <col min="29" max="16384" width="9.14285714285714" style="29"/>
  </cols>
  <sheetData>
    <row r="1" s="26" customFormat="1" customHeight="1" spans="1:31">
      <c r="A1" s="30" t="s">
        <v>45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 s="27" customFormat="1" ht="20" customHeight="1" spans="1:31">
      <c r="A2" s="32" t="s">
        <v>2</v>
      </c>
      <c r="B2" s="32" t="s">
        <v>44</v>
      </c>
      <c r="C2" s="33" t="s">
        <v>46</v>
      </c>
      <c r="D2" s="34">
        <v>46090</v>
      </c>
      <c r="E2" s="34">
        <v>46093</v>
      </c>
      <c r="F2" s="34">
        <v>46097</v>
      </c>
      <c r="G2" s="35">
        <v>46100</v>
      </c>
      <c r="H2" s="35">
        <v>46104</v>
      </c>
      <c r="I2" s="35">
        <v>46107</v>
      </c>
      <c r="J2" s="35">
        <v>46111</v>
      </c>
      <c r="K2" s="35">
        <v>46114</v>
      </c>
      <c r="L2" s="35">
        <v>46119</v>
      </c>
      <c r="M2" s="35">
        <v>46121</v>
      </c>
      <c r="N2" s="35">
        <v>46125</v>
      </c>
      <c r="O2" s="35">
        <v>46128</v>
      </c>
      <c r="P2" s="35">
        <v>46132</v>
      </c>
      <c r="Q2" s="35">
        <v>46135</v>
      </c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6" t="s">
        <v>47</v>
      </c>
      <c r="AD2" s="27" t="s">
        <v>48</v>
      </c>
    </row>
    <row r="3" s="28" customFormat="1" customHeight="1" spans="1:31">
      <c r="A3" s="19">
        <v>1</v>
      </c>
      <c r="B3" s="12" t="s">
        <v>13</v>
      </c>
      <c r="C3" s="37">
        <v>100</v>
      </c>
      <c r="D3" s="37">
        <v>3</v>
      </c>
      <c r="E3" s="37">
        <v>2</v>
      </c>
      <c r="F3" s="37">
        <v>3</v>
      </c>
      <c r="G3" s="37">
        <v>2</v>
      </c>
      <c r="H3" s="37">
        <v>3</v>
      </c>
      <c r="I3" s="37">
        <v>2</v>
      </c>
      <c r="J3" s="37">
        <v>3</v>
      </c>
      <c r="K3" s="37">
        <v>2</v>
      </c>
      <c r="L3" s="37">
        <v>3</v>
      </c>
      <c r="M3" s="37">
        <v>2</v>
      </c>
      <c r="N3" s="37">
        <v>3</v>
      </c>
      <c r="O3" s="37">
        <f>SUMIF('4.16'!$C$3:C15,B3,'4.16'!$I$3:I18)</f>
        <v>2</v>
      </c>
      <c r="P3" s="37">
        <v>3</v>
      </c>
      <c r="Q3" s="37">
        <v>2</v>
      </c>
      <c r="R3" s="37"/>
      <c r="S3" s="37"/>
      <c r="T3" s="38"/>
      <c r="U3" s="37"/>
      <c r="V3" s="37"/>
      <c r="W3" s="37"/>
      <c r="X3" s="37"/>
      <c r="Y3" s="37"/>
      <c r="Z3" s="37"/>
      <c r="AA3" s="37"/>
      <c r="AB3" s="19"/>
      <c r="AC3" s="19">
        <f>SUM(D3:AB3)</f>
        <v>35</v>
      </c>
      <c r="AD3" s="28">
        <f>100-AC3</f>
        <v>65</v>
      </c>
    </row>
    <row r="4" s="28" customFormat="1" customHeight="1" spans="1:31">
      <c r="A4" s="19">
        <v>2</v>
      </c>
      <c r="B4" s="12" t="s">
        <v>17</v>
      </c>
      <c r="C4" s="37">
        <v>100</v>
      </c>
      <c r="D4" s="37">
        <v>3</v>
      </c>
      <c r="E4" s="37">
        <v>2</v>
      </c>
      <c r="F4" s="37">
        <v>3</v>
      </c>
      <c r="G4" s="37">
        <v>2</v>
      </c>
      <c r="H4" s="37">
        <v>3</v>
      </c>
      <c r="I4" s="37">
        <v>2</v>
      </c>
      <c r="J4" s="37">
        <v>3</v>
      </c>
      <c r="K4" s="37">
        <v>2</v>
      </c>
      <c r="L4" s="37">
        <v>3</v>
      </c>
      <c r="M4" s="37">
        <v>2</v>
      </c>
      <c r="N4" s="37">
        <v>3</v>
      </c>
      <c r="O4" s="37">
        <f>SUMIF('4.16'!$C$3:C16,B4,'4.16'!$I$3:I19)</f>
        <v>2</v>
      </c>
      <c r="P4" s="37">
        <v>3</v>
      </c>
      <c r="Q4" s="37">
        <v>2</v>
      </c>
      <c r="R4" s="37"/>
      <c r="S4" s="37"/>
      <c r="T4" s="37"/>
      <c r="U4" s="37"/>
      <c r="V4" s="37"/>
      <c r="W4" s="37"/>
      <c r="X4" s="37"/>
      <c r="Y4" s="37"/>
      <c r="Z4" s="37"/>
      <c r="AA4" s="37"/>
      <c r="AB4" s="19"/>
      <c r="AC4" s="19">
        <f>SUM(D4:AB4)</f>
        <v>35</v>
      </c>
      <c r="AD4" s="28">
        <f t="shared" ref="AD4:AD9" si="0">130-AC4</f>
        <v>95</v>
      </c>
      <c r="AE4" s="29" t="s">
        <v>49</v>
      </c>
    </row>
    <row r="5" s="28" customFormat="1" customHeight="1" spans="1:31">
      <c r="A5" s="19">
        <v>3</v>
      </c>
      <c r="B5" s="12" t="s">
        <v>19</v>
      </c>
      <c r="C5" s="37">
        <v>100</v>
      </c>
      <c r="D5" s="37">
        <v>3</v>
      </c>
      <c r="E5" s="37">
        <v>2</v>
      </c>
      <c r="F5" s="37">
        <v>3</v>
      </c>
      <c r="G5" s="37">
        <v>2</v>
      </c>
      <c r="H5" s="37">
        <v>3</v>
      </c>
      <c r="I5" s="37">
        <v>2</v>
      </c>
      <c r="J5" s="37">
        <v>3</v>
      </c>
      <c r="K5" s="37">
        <v>2</v>
      </c>
      <c r="L5" s="37">
        <v>3</v>
      </c>
      <c r="M5" s="37">
        <v>2</v>
      </c>
      <c r="N5" s="37">
        <v>3</v>
      </c>
      <c r="O5" s="37">
        <f>SUMIF('4.16'!$C$3:C17,B5,'4.16'!$I$3:I20)</f>
        <v>2</v>
      </c>
      <c r="P5" s="37">
        <v>3</v>
      </c>
      <c r="Q5" s="37">
        <v>2</v>
      </c>
      <c r="R5" s="37"/>
      <c r="S5" s="37"/>
      <c r="T5" s="37"/>
      <c r="U5" s="37"/>
      <c r="V5" s="37"/>
      <c r="W5" s="37"/>
      <c r="X5" s="37"/>
      <c r="Y5" s="37"/>
      <c r="Z5" s="37"/>
      <c r="AA5" s="37"/>
      <c r="AB5" s="19"/>
      <c r="AC5" s="19">
        <f>SUM(D5:AB5)</f>
        <v>35</v>
      </c>
      <c r="AD5" s="28">
        <f t="shared" si="0"/>
        <v>95</v>
      </c>
      <c r="AE5" s="29" t="s">
        <v>49</v>
      </c>
    </row>
    <row r="6" s="28" customFormat="1" customHeight="1" spans="1:31">
      <c r="A6" s="19">
        <v>4</v>
      </c>
      <c r="B6" s="12" t="s">
        <v>21</v>
      </c>
      <c r="C6" s="37">
        <v>100</v>
      </c>
      <c r="D6" s="37">
        <v>3</v>
      </c>
      <c r="E6" s="37">
        <v>2</v>
      </c>
      <c r="F6" s="37">
        <v>3</v>
      </c>
      <c r="G6" s="37">
        <v>2</v>
      </c>
      <c r="H6" s="37">
        <v>3</v>
      </c>
      <c r="I6" s="37">
        <v>2</v>
      </c>
      <c r="J6" s="37">
        <v>3</v>
      </c>
      <c r="K6" s="37">
        <v>2</v>
      </c>
      <c r="L6" s="37">
        <v>3</v>
      </c>
      <c r="M6" s="37">
        <v>2</v>
      </c>
      <c r="N6" s="37">
        <v>3</v>
      </c>
      <c r="O6" s="37">
        <f>SUMIF('4.16'!$C$3:C18,B6,'4.16'!$I$3:I21)</f>
        <v>2</v>
      </c>
      <c r="P6" s="37">
        <v>3</v>
      </c>
      <c r="Q6" s="37">
        <v>2</v>
      </c>
      <c r="R6" s="37"/>
      <c r="S6" s="37"/>
      <c r="T6" s="37"/>
      <c r="U6" s="37"/>
      <c r="V6" s="37"/>
      <c r="W6" s="37"/>
      <c r="X6" s="37"/>
      <c r="Y6" s="37"/>
      <c r="Z6" s="37"/>
      <c r="AA6" s="37"/>
      <c r="AB6" s="19"/>
      <c r="AC6" s="19">
        <f t="shared" ref="AC6:AC32" si="1">SUM(D6:AB6)</f>
        <v>35</v>
      </c>
      <c r="AD6" s="28">
        <f t="shared" ref="AD4:AD32" si="2">100-AC6</f>
        <v>65</v>
      </c>
    </row>
    <row r="7" s="28" customFormat="1" customHeight="1" spans="1:31">
      <c r="A7" s="19">
        <v>5</v>
      </c>
      <c r="B7" s="12" t="s">
        <v>23</v>
      </c>
      <c r="C7" s="37">
        <v>100</v>
      </c>
      <c r="D7" s="37">
        <v>3</v>
      </c>
      <c r="E7" s="37">
        <v>2</v>
      </c>
      <c r="F7" s="37">
        <v>3</v>
      </c>
      <c r="G7" s="37">
        <v>2</v>
      </c>
      <c r="H7" s="37">
        <v>3</v>
      </c>
      <c r="I7" s="37">
        <v>2</v>
      </c>
      <c r="J7" s="37">
        <v>3</v>
      </c>
      <c r="K7" s="37">
        <v>2</v>
      </c>
      <c r="L7" s="37">
        <v>3</v>
      </c>
      <c r="M7" s="37">
        <v>2</v>
      </c>
      <c r="N7" s="37">
        <v>3</v>
      </c>
      <c r="O7" s="37">
        <f>SUMIF('4.16'!$C$3:C19,B7,'4.16'!$I$3:I22)</f>
        <v>2</v>
      </c>
      <c r="P7" s="37">
        <v>3</v>
      </c>
      <c r="Q7" s="37">
        <v>2</v>
      </c>
      <c r="R7" s="37"/>
      <c r="S7" s="37"/>
      <c r="T7" s="37"/>
      <c r="U7" s="37"/>
      <c r="V7" s="37"/>
      <c r="W7" s="37"/>
      <c r="X7" s="37"/>
      <c r="Y7" s="37"/>
      <c r="Z7" s="37"/>
      <c r="AA7" s="37"/>
      <c r="AB7" s="19"/>
      <c r="AC7" s="19">
        <f t="shared" si="1"/>
        <v>35</v>
      </c>
      <c r="AD7" s="28">
        <f t="shared" si="2"/>
        <v>65</v>
      </c>
    </row>
    <row r="8" s="28" customFormat="1" customHeight="1" spans="1:31">
      <c r="A8" s="19">
        <v>6</v>
      </c>
      <c r="B8" s="12" t="s">
        <v>27</v>
      </c>
      <c r="C8" s="37">
        <v>100</v>
      </c>
      <c r="D8" s="37">
        <v>3</v>
      </c>
      <c r="E8" s="37">
        <v>2</v>
      </c>
      <c r="F8" s="37">
        <v>3</v>
      </c>
      <c r="G8" s="37">
        <v>2</v>
      </c>
      <c r="H8" s="37">
        <v>3</v>
      </c>
      <c r="I8" s="37">
        <v>2</v>
      </c>
      <c r="J8" s="37">
        <v>3</v>
      </c>
      <c r="K8" s="37">
        <v>2</v>
      </c>
      <c r="L8" s="37">
        <v>3</v>
      </c>
      <c r="M8" s="37">
        <v>2</v>
      </c>
      <c r="N8" s="37">
        <v>3</v>
      </c>
      <c r="O8" s="37">
        <f>SUMIF('4.16'!$C$3:C20,B8,'4.16'!$I$3:I23)</f>
        <v>2</v>
      </c>
      <c r="P8" s="37">
        <v>3</v>
      </c>
      <c r="Q8" s="37">
        <v>2</v>
      </c>
      <c r="R8" s="37"/>
      <c r="S8" s="37"/>
      <c r="T8" s="37"/>
      <c r="U8" s="37"/>
      <c r="V8" s="37"/>
      <c r="W8" s="37"/>
      <c r="X8" s="37"/>
      <c r="Y8" s="37"/>
      <c r="Z8" s="37"/>
      <c r="AA8" s="37"/>
      <c r="AB8" s="19"/>
      <c r="AC8" s="19">
        <f t="shared" si="1"/>
        <v>35</v>
      </c>
      <c r="AD8" s="28">
        <f t="shared" si="2"/>
        <v>65</v>
      </c>
    </row>
    <row r="9" s="28" customFormat="1" customHeight="1" spans="1:31">
      <c r="A9" s="19">
        <v>7</v>
      </c>
      <c r="B9" s="12" t="s">
        <v>28</v>
      </c>
      <c r="C9" s="37">
        <v>100</v>
      </c>
      <c r="D9" s="37">
        <v>3</v>
      </c>
      <c r="E9" s="37">
        <v>2</v>
      </c>
      <c r="F9" s="37">
        <v>3</v>
      </c>
      <c r="G9" s="37">
        <v>2</v>
      </c>
      <c r="H9" s="37">
        <v>3</v>
      </c>
      <c r="I9" s="37">
        <v>2</v>
      </c>
      <c r="J9" s="37">
        <v>3</v>
      </c>
      <c r="K9" s="37">
        <v>2</v>
      </c>
      <c r="L9" s="37">
        <v>3</v>
      </c>
      <c r="M9" s="37">
        <v>2</v>
      </c>
      <c r="N9" s="37">
        <v>3</v>
      </c>
      <c r="O9" s="37">
        <f>SUMIF('4.16'!$C$3:C21,B9,'4.16'!$I$3:I24)</f>
        <v>2</v>
      </c>
      <c r="P9" s="37">
        <v>3</v>
      </c>
      <c r="Q9" s="37">
        <v>2</v>
      </c>
      <c r="R9" s="37"/>
      <c r="S9" s="37"/>
      <c r="T9" s="37"/>
      <c r="U9" s="37"/>
      <c r="V9" s="37"/>
      <c r="W9" s="37"/>
      <c r="X9" s="37"/>
      <c r="Y9" s="37"/>
      <c r="Z9" s="37"/>
      <c r="AA9" s="37"/>
      <c r="AB9" s="19"/>
      <c r="AC9" s="19">
        <f t="shared" si="1"/>
        <v>35</v>
      </c>
      <c r="AD9" s="28">
        <f t="shared" si="0"/>
        <v>95</v>
      </c>
    </row>
    <row r="10" customHeight="1" spans="1:31">
      <c r="A10" s="19">
        <v>8</v>
      </c>
      <c r="B10" s="12" t="s">
        <v>30</v>
      </c>
      <c r="C10" s="37">
        <v>100</v>
      </c>
      <c r="D10" s="37">
        <v>3</v>
      </c>
      <c r="E10" s="37">
        <v>2</v>
      </c>
      <c r="F10" s="37">
        <v>3</v>
      </c>
      <c r="G10" s="37">
        <v>2</v>
      </c>
      <c r="H10" s="37">
        <v>3</v>
      </c>
      <c r="I10" s="37">
        <v>2</v>
      </c>
      <c r="J10" s="37">
        <v>3</v>
      </c>
      <c r="K10" s="37">
        <v>2</v>
      </c>
      <c r="L10" s="37">
        <v>3</v>
      </c>
      <c r="M10" s="37">
        <v>2</v>
      </c>
      <c r="N10" s="37">
        <v>3</v>
      </c>
      <c r="O10" s="37">
        <f>SUMIF('4.16'!$C$3:C22,B10,'4.16'!$I$3:I25)</f>
        <v>2</v>
      </c>
      <c r="P10" s="37">
        <v>3</v>
      </c>
      <c r="Q10" s="37">
        <v>2</v>
      </c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9"/>
      <c r="AC10" s="19">
        <f t="shared" si="1"/>
        <v>35</v>
      </c>
      <c r="AD10" s="28">
        <f t="shared" si="2"/>
        <v>65</v>
      </c>
    </row>
    <row r="11" customHeight="1" spans="1:31">
      <c r="A11" s="19">
        <v>9</v>
      </c>
      <c r="B11" s="12" t="s">
        <v>31</v>
      </c>
      <c r="C11" s="37">
        <v>100</v>
      </c>
      <c r="D11" s="37">
        <v>3</v>
      </c>
      <c r="E11" s="37">
        <v>2</v>
      </c>
      <c r="F11" s="37">
        <v>3</v>
      </c>
      <c r="G11" s="37">
        <v>2</v>
      </c>
      <c r="H11" s="37">
        <v>3</v>
      </c>
      <c r="I11" s="37">
        <v>2</v>
      </c>
      <c r="J11" s="37">
        <v>3</v>
      </c>
      <c r="K11" s="37">
        <v>2</v>
      </c>
      <c r="L11" s="37">
        <v>3</v>
      </c>
      <c r="M11" s="37">
        <v>2</v>
      </c>
      <c r="N11" s="37">
        <v>3</v>
      </c>
      <c r="O11" s="37">
        <f>SUMIF('4.16'!$C$3:C23,B11,'4.16'!$I$3:I26)</f>
        <v>2</v>
      </c>
      <c r="P11" s="37">
        <v>3</v>
      </c>
      <c r="Q11" s="37">
        <v>2</v>
      </c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9"/>
      <c r="AC11" s="19">
        <f t="shared" si="1"/>
        <v>35</v>
      </c>
      <c r="AD11" s="28">
        <f t="shared" si="2"/>
        <v>65</v>
      </c>
    </row>
    <row r="12" customHeight="1" spans="1:31">
      <c r="A12" s="19">
        <v>10</v>
      </c>
      <c r="B12" s="12" t="s">
        <v>32</v>
      </c>
      <c r="C12" s="37">
        <v>100</v>
      </c>
      <c r="D12" s="37">
        <v>3</v>
      </c>
      <c r="E12" s="37">
        <v>2</v>
      </c>
      <c r="F12" s="37">
        <v>3</v>
      </c>
      <c r="G12" s="37">
        <v>2</v>
      </c>
      <c r="H12" s="37">
        <v>3</v>
      </c>
      <c r="I12" s="37">
        <v>2</v>
      </c>
      <c r="J12" s="37">
        <v>3</v>
      </c>
      <c r="K12" s="37">
        <v>2</v>
      </c>
      <c r="L12" s="37">
        <v>3</v>
      </c>
      <c r="M12" s="37">
        <v>2</v>
      </c>
      <c r="N12" s="37">
        <v>3</v>
      </c>
      <c r="O12" s="37">
        <f>SUMIF('4.16'!$C$3:C24,B12,'4.16'!$I$3:I27)</f>
        <v>2</v>
      </c>
      <c r="P12" s="37">
        <v>3</v>
      </c>
      <c r="Q12" s="37">
        <v>2</v>
      </c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9"/>
      <c r="AC12" s="19">
        <f t="shared" si="1"/>
        <v>35</v>
      </c>
      <c r="AD12" s="28">
        <f>130-AC12</f>
        <v>95</v>
      </c>
      <c r="AE12" s="29" t="s">
        <v>49</v>
      </c>
    </row>
    <row r="13" customHeight="1" spans="1:31">
      <c r="A13" s="19">
        <v>11</v>
      </c>
      <c r="B13" s="12" t="s">
        <v>34</v>
      </c>
      <c r="C13" s="37">
        <v>100</v>
      </c>
      <c r="D13" s="37">
        <v>3</v>
      </c>
      <c r="E13" s="37">
        <v>2</v>
      </c>
      <c r="F13" s="37">
        <v>3</v>
      </c>
      <c r="G13" s="37">
        <v>2</v>
      </c>
      <c r="H13" s="37">
        <v>3</v>
      </c>
      <c r="I13" s="37">
        <v>2</v>
      </c>
      <c r="J13" s="37">
        <v>3</v>
      </c>
      <c r="K13" s="37">
        <v>2</v>
      </c>
      <c r="L13" s="37">
        <v>3</v>
      </c>
      <c r="M13" s="37">
        <v>2</v>
      </c>
      <c r="N13" s="37">
        <v>3</v>
      </c>
      <c r="O13" s="37">
        <f>SUMIF('4.16'!$C$3:C25,B13,'4.16'!$I$3:I28)</f>
        <v>2</v>
      </c>
      <c r="P13" s="37">
        <v>3</v>
      </c>
      <c r="Q13" s="37">
        <v>2</v>
      </c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9"/>
      <c r="AC13" s="19">
        <f t="shared" si="1"/>
        <v>35</v>
      </c>
      <c r="AD13" s="28">
        <f t="shared" si="2"/>
        <v>65</v>
      </c>
    </row>
    <row r="14" customHeight="1" spans="1:31">
      <c r="A14" s="19">
        <v>12</v>
      </c>
      <c r="B14" s="12" t="s">
        <v>36</v>
      </c>
      <c r="C14" s="37">
        <v>100</v>
      </c>
      <c r="D14" s="37">
        <v>0</v>
      </c>
      <c r="E14" s="37">
        <v>0</v>
      </c>
      <c r="F14" s="37">
        <v>6</v>
      </c>
      <c r="G14" s="37">
        <v>2</v>
      </c>
      <c r="H14" s="37">
        <v>3</v>
      </c>
      <c r="I14" s="37">
        <v>2</v>
      </c>
      <c r="J14" s="37">
        <v>3</v>
      </c>
      <c r="K14" s="37">
        <v>2</v>
      </c>
      <c r="L14" s="37">
        <v>3</v>
      </c>
      <c r="M14" s="37">
        <v>2</v>
      </c>
      <c r="N14" s="37">
        <v>3</v>
      </c>
      <c r="O14" s="37">
        <f>SUMIF('4.16'!$C$3:C26,B14,'4.16'!$I$3:I29)</f>
        <v>2</v>
      </c>
      <c r="P14" s="37">
        <v>3</v>
      </c>
      <c r="Q14" s="37">
        <v>2</v>
      </c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9"/>
      <c r="AC14" s="19">
        <f t="shared" si="1"/>
        <v>33</v>
      </c>
      <c r="AD14" s="28">
        <f t="shared" si="2"/>
        <v>67</v>
      </c>
    </row>
    <row r="15" customHeight="1" spans="1:31">
      <c r="A15" s="19">
        <v>13</v>
      </c>
      <c r="B15" s="12" t="s">
        <v>40</v>
      </c>
      <c r="C15" s="37">
        <v>100</v>
      </c>
      <c r="D15" s="37">
        <v>0</v>
      </c>
      <c r="E15" s="37">
        <v>0</v>
      </c>
      <c r="F15" s="37">
        <v>6</v>
      </c>
      <c r="G15" s="37">
        <v>2</v>
      </c>
      <c r="H15" s="37">
        <v>3</v>
      </c>
      <c r="I15" s="37">
        <v>2</v>
      </c>
      <c r="J15" s="37">
        <v>3</v>
      </c>
      <c r="K15" s="37">
        <v>2</v>
      </c>
      <c r="L15" s="37">
        <v>3</v>
      </c>
      <c r="M15" s="37">
        <v>2</v>
      </c>
      <c r="N15" s="37">
        <v>3</v>
      </c>
      <c r="O15" s="37">
        <f>SUMIF('4.16'!$C$3:C27,B15,'4.16'!$I$3:I30)</f>
        <v>2</v>
      </c>
      <c r="P15" s="37">
        <v>3</v>
      </c>
      <c r="Q15" s="37">
        <v>2</v>
      </c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9"/>
      <c r="AC15" s="19">
        <f t="shared" si="1"/>
        <v>33</v>
      </c>
      <c r="AD15" s="28">
        <f t="shared" si="2"/>
        <v>67</v>
      </c>
    </row>
    <row r="16" customHeight="1" spans="1:31">
      <c r="A16" s="19">
        <v>14</v>
      </c>
      <c r="B16" s="40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9"/>
      <c r="AC16" s="19">
        <f t="shared" si="1"/>
        <v>0</v>
      </c>
      <c r="AD16" s="28">
        <f t="shared" si="2"/>
        <v>100</v>
      </c>
    </row>
    <row r="17" customHeight="1" spans="1:31">
      <c r="A17" s="19">
        <v>15</v>
      </c>
      <c r="B17" s="40"/>
      <c r="C17" s="37"/>
      <c r="D17" s="37">
        <f t="shared" ref="D17:AB17" si="3">SUM(D3:D16)</f>
        <v>33</v>
      </c>
      <c r="E17" s="37">
        <f t="shared" si="3"/>
        <v>22</v>
      </c>
      <c r="F17" s="37">
        <f t="shared" si="3"/>
        <v>45</v>
      </c>
      <c r="G17" s="37">
        <f t="shared" si="3"/>
        <v>26</v>
      </c>
      <c r="H17" s="37">
        <f t="shared" si="3"/>
        <v>39</v>
      </c>
      <c r="I17" s="37">
        <f t="shared" si="3"/>
        <v>26</v>
      </c>
      <c r="J17" s="37">
        <f t="shared" si="3"/>
        <v>39</v>
      </c>
      <c r="K17" s="37">
        <f t="shared" si="3"/>
        <v>26</v>
      </c>
      <c r="L17" s="37">
        <f t="shared" si="3"/>
        <v>39</v>
      </c>
      <c r="M17" s="37">
        <f t="shared" si="3"/>
        <v>26</v>
      </c>
      <c r="N17" s="37">
        <f t="shared" si="3"/>
        <v>39</v>
      </c>
      <c r="O17" s="37">
        <f t="shared" si="3"/>
        <v>26</v>
      </c>
      <c r="P17" s="37">
        <f t="shared" si="3"/>
        <v>39</v>
      </c>
      <c r="Q17" s="37">
        <f t="shared" si="3"/>
        <v>26</v>
      </c>
      <c r="R17" s="37">
        <f t="shared" si="3"/>
        <v>0</v>
      </c>
      <c r="S17" s="37">
        <f t="shared" si="3"/>
        <v>0</v>
      </c>
      <c r="T17" s="37">
        <f t="shared" si="3"/>
        <v>0</v>
      </c>
      <c r="U17" s="37">
        <f t="shared" si="3"/>
        <v>0</v>
      </c>
      <c r="V17" s="37">
        <f t="shared" si="3"/>
        <v>0</v>
      </c>
      <c r="W17" s="37">
        <f t="shared" si="3"/>
        <v>0</v>
      </c>
      <c r="X17" s="37">
        <f t="shared" si="3"/>
        <v>0</v>
      </c>
      <c r="Y17" s="37">
        <f t="shared" si="3"/>
        <v>0</v>
      </c>
      <c r="Z17" s="37">
        <f t="shared" si="3"/>
        <v>0</v>
      </c>
      <c r="AA17" s="37">
        <f t="shared" si="3"/>
        <v>0</v>
      </c>
      <c r="AB17" s="37">
        <f t="shared" si="3"/>
        <v>0</v>
      </c>
      <c r="AC17" s="19">
        <f t="shared" si="1"/>
        <v>451</v>
      </c>
      <c r="AD17" s="28">
        <f t="shared" si="2"/>
        <v>-351</v>
      </c>
    </row>
    <row r="18" customHeight="1" spans="1:31">
      <c r="A18" s="19">
        <v>16</v>
      </c>
      <c r="B18" s="40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9"/>
      <c r="AC18" s="19">
        <f t="shared" si="1"/>
        <v>0</v>
      </c>
      <c r="AD18" s="28">
        <f t="shared" si="2"/>
        <v>100</v>
      </c>
    </row>
    <row r="19" customHeight="1" spans="1:31">
      <c r="A19" s="19">
        <v>17</v>
      </c>
      <c r="B19" s="40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9"/>
      <c r="AC19" s="19">
        <f t="shared" si="1"/>
        <v>0</v>
      </c>
      <c r="AD19" s="28">
        <f t="shared" si="2"/>
        <v>100</v>
      </c>
    </row>
    <row r="20" customHeight="1" spans="1:31">
      <c r="A20" s="19">
        <v>18</v>
      </c>
      <c r="B20" s="40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9"/>
      <c r="AC20" s="19">
        <f t="shared" si="1"/>
        <v>0</v>
      </c>
      <c r="AD20" s="28">
        <f>130-AC20</f>
        <v>130</v>
      </c>
      <c r="AE20" s="29" t="s">
        <v>49</v>
      </c>
    </row>
    <row r="21" customHeight="1" spans="1:31">
      <c r="A21" s="19">
        <v>19</v>
      </c>
      <c r="B21" s="40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9"/>
      <c r="AC21" s="19">
        <f t="shared" si="1"/>
        <v>0</v>
      </c>
      <c r="AD21" s="28">
        <f>130-AC21</f>
        <v>130</v>
      </c>
      <c r="AE21" s="29" t="s">
        <v>49</v>
      </c>
    </row>
    <row r="22" customHeight="1" spans="1:31">
      <c r="A22" s="19">
        <v>20</v>
      </c>
      <c r="B22" s="40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9"/>
      <c r="AC22" s="19">
        <f t="shared" si="1"/>
        <v>0</v>
      </c>
      <c r="AD22" s="28">
        <f t="shared" si="2"/>
        <v>100</v>
      </c>
    </row>
    <row r="23" customHeight="1" spans="1:31">
      <c r="A23" s="19">
        <v>21</v>
      </c>
      <c r="B23" s="40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9"/>
      <c r="AC23" s="19">
        <f t="shared" si="1"/>
        <v>0</v>
      </c>
      <c r="AD23" s="28">
        <f t="shared" si="2"/>
        <v>100</v>
      </c>
    </row>
    <row r="24" customHeight="1" spans="1:31">
      <c r="A24" s="19">
        <v>22</v>
      </c>
      <c r="B24" s="40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9"/>
      <c r="AC24" s="19">
        <f t="shared" si="1"/>
        <v>0</v>
      </c>
      <c r="AD24" s="28">
        <f t="shared" si="2"/>
        <v>100</v>
      </c>
    </row>
    <row r="25" customHeight="1" spans="1:31">
      <c r="A25" s="19">
        <v>23</v>
      </c>
      <c r="B25" s="41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9"/>
      <c r="AC25" s="19">
        <f t="shared" si="1"/>
        <v>0</v>
      </c>
      <c r="AD25" s="28">
        <f t="shared" si="2"/>
        <v>100</v>
      </c>
      <c r="AE25" s="29" t="s">
        <v>49</v>
      </c>
    </row>
    <row r="26" customHeight="1" spans="1:31">
      <c r="A26" s="19">
        <v>24</v>
      </c>
      <c r="B26" s="41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9"/>
      <c r="AC26" s="19">
        <f t="shared" si="1"/>
        <v>0</v>
      </c>
      <c r="AD26" s="28">
        <f t="shared" ref="AD26:AD32" si="4">130-AC26</f>
        <v>130</v>
      </c>
      <c r="AE26" s="29" t="s">
        <v>49</v>
      </c>
    </row>
    <row r="27" customHeight="1" spans="1:31">
      <c r="A27" s="42">
        <v>25</v>
      </c>
      <c r="B27" s="43"/>
      <c r="C27" s="44"/>
      <c r="D27" s="45"/>
      <c r="E27" s="45"/>
      <c r="F27" s="45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5"/>
      <c r="AC27" s="42">
        <f t="shared" si="1"/>
        <v>0</v>
      </c>
      <c r="AD27" s="28">
        <f t="shared" si="2"/>
        <v>100</v>
      </c>
    </row>
    <row r="28" customHeight="1" spans="1:31">
      <c r="A28" s="19">
        <v>26</v>
      </c>
      <c r="B28" s="41"/>
      <c r="C28" s="37"/>
      <c r="D28" s="39"/>
      <c r="E28" s="39"/>
      <c r="F28" s="39"/>
      <c r="G28" s="39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44"/>
      <c r="T28" s="44"/>
      <c r="U28" s="44"/>
      <c r="V28" s="44"/>
      <c r="W28" s="44"/>
      <c r="X28" s="44"/>
      <c r="Y28" s="44"/>
      <c r="Z28" s="44"/>
      <c r="AA28" s="44"/>
      <c r="AB28" s="39"/>
      <c r="AC28" s="19">
        <f t="shared" si="1"/>
        <v>0</v>
      </c>
      <c r="AD28" s="28">
        <f t="shared" si="2"/>
        <v>100</v>
      </c>
    </row>
    <row r="29" customHeight="1" spans="1:31">
      <c r="A29" s="19">
        <v>27</v>
      </c>
      <c r="B29" s="41"/>
      <c r="C29" s="37"/>
      <c r="D29" s="39"/>
      <c r="E29" s="39"/>
      <c r="F29" s="39"/>
      <c r="G29" s="39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44"/>
      <c r="T29" s="44"/>
      <c r="U29" s="44"/>
      <c r="V29" s="44"/>
      <c r="W29" s="44"/>
      <c r="X29" s="44"/>
      <c r="Y29" s="44"/>
      <c r="Z29" s="44"/>
      <c r="AA29" s="44"/>
      <c r="AB29" s="39"/>
      <c r="AC29" s="19">
        <f t="shared" si="1"/>
        <v>0</v>
      </c>
      <c r="AD29" s="28">
        <f t="shared" si="2"/>
        <v>100</v>
      </c>
    </row>
    <row r="30" customHeight="1" spans="1:31">
      <c r="A30" s="19">
        <v>28</v>
      </c>
      <c r="B30" s="41"/>
      <c r="C30" s="37"/>
      <c r="D30" s="39"/>
      <c r="E30" s="39"/>
      <c r="F30" s="39"/>
      <c r="G30" s="39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9"/>
      <c r="AC30" s="19">
        <f t="shared" si="1"/>
        <v>0</v>
      </c>
      <c r="AD30" s="28">
        <f t="shared" si="4"/>
        <v>130</v>
      </c>
      <c r="AE30" s="29" t="s">
        <v>49</v>
      </c>
    </row>
    <row r="31" customHeight="1" spans="1:31">
      <c r="A31" s="19">
        <v>29</v>
      </c>
      <c r="B31" s="41"/>
      <c r="C31" s="37"/>
      <c r="D31" s="39"/>
      <c r="E31" s="39"/>
      <c r="F31" s="39"/>
      <c r="G31" s="39"/>
      <c r="H31" s="39"/>
      <c r="I31" s="39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9"/>
      <c r="AC31" s="19">
        <f t="shared" si="1"/>
        <v>0</v>
      </c>
      <c r="AD31" s="28">
        <f t="shared" si="4"/>
        <v>130</v>
      </c>
      <c r="AE31" s="29" t="s">
        <v>49</v>
      </c>
    </row>
    <row r="32" customHeight="1" spans="1:31">
      <c r="A32" s="19">
        <v>30</v>
      </c>
      <c r="B32" s="41"/>
      <c r="C32" s="37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 t="shared" si="1"/>
        <v>0</v>
      </c>
      <c r="AD32" s="28">
        <f t="shared" si="4"/>
        <v>130</v>
      </c>
      <c r="AE32" s="29" t="s">
        <v>49</v>
      </c>
    </row>
    <row r="33" customHeight="1" spans="1:29">
      <c r="A33" s="39"/>
      <c r="B33" s="46"/>
      <c r="C33" s="46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</row>
    <row r="34" customHeight="1" spans="1:29">
      <c r="A34" s="39"/>
      <c r="B34" s="46"/>
      <c r="C34" s="46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</row>
    <row r="35" customHeight="1" spans="1:29">
      <c r="A35" s="39"/>
      <c r="B35" s="46"/>
      <c r="C35" s="46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</row>
  </sheetData>
  <mergeCells count="1">
    <mergeCell ref="A1:AC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C29" sqref="C29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8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8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</row>
    <row r="3" customFormat="1" ht="22" customHeight="1" spans="1:8">
      <c r="A3" s="10">
        <v>1</v>
      </c>
      <c r="B3" s="11">
        <v>46090</v>
      </c>
      <c r="C3" s="12" t="s">
        <v>13</v>
      </c>
      <c r="D3" s="13" t="s">
        <v>57</v>
      </c>
      <c r="E3" s="14">
        <v>3</v>
      </c>
      <c r="F3" s="15"/>
      <c r="G3" s="15"/>
    </row>
    <row r="4" customFormat="1" ht="22" customHeight="1" spans="1:8">
      <c r="A4" s="10">
        <v>2</v>
      </c>
      <c r="B4" s="11">
        <v>46090</v>
      </c>
      <c r="C4" s="12" t="s">
        <v>17</v>
      </c>
      <c r="D4" s="13" t="s">
        <v>57</v>
      </c>
      <c r="E4" s="14">
        <v>3</v>
      </c>
      <c r="F4" s="15"/>
      <c r="G4" s="15"/>
    </row>
    <row r="5" customFormat="1" ht="22" customHeight="1" spans="1:8">
      <c r="A5" s="10">
        <v>3</v>
      </c>
      <c r="B5" s="11">
        <v>46090</v>
      </c>
      <c r="C5" s="12" t="s">
        <v>19</v>
      </c>
      <c r="D5" s="13" t="s">
        <v>57</v>
      </c>
      <c r="E5" s="14">
        <v>3</v>
      </c>
      <c r="F5" s="15"/>
      <c r="G5" s="15"/>
    </row>
    <row r="6" customFormat="1" ht="22" customHeight="1" spans="1:8">
      <c r="A6" s="10">
        <v>4</v>
      </c>
      <c r="B6" s="11">
        <v>46090</v>
      </c>
      <c r="C6" s="12" t="s">
        <v>21</v>
      </c>
      <c r="D6" s="13" t="s">
        <v>57</v>
      </c>
      <c r="E6" s="14"/>
      <c r="F6" s="15">
        <v>3</v>
      </c>
      <c r="G6" s="15"/>
    </row>
    <row r="7" customFormat="1" ht="22" customHeight="1" spans="1:8">
      <c r="A7" s="10">
        <v>5</v>
      </c>
      <c r="B7" s="11">
        <v>46090</v>
      </c>
      <c r="C7" s="12" t="s">
        <v>23</v>
      </c>
      <c r="D7" s="13" t="s">
        <v>57</v>
      </c>
      <c r="E7" s="14"/>
      <c r="F7" s="15">
        <v>3</v>
      </c>
      <c r="G7" s="15"/>
    </row>
    <row r="8" customFormat="1" ht="22" customHeight="1" spans="1:8">
      <c r="A8" s="10">
        <v>6</v>
      </c>
      <c r="B8" s="11">
        <v>46090</v>
      </c>
      <c r="C8" s="12" t="s">
        <v>27</v>
      </c>
      <c r="D8" s="13" t="s">
        <v>57</v>
      </c>
      <c r="E8" s="14">
        <v>3</v>
      </c>
      <c r="F8" s="15"/>
      <c r="G8" s="15"/>
    </row>
    <row r="9" customFormat="1" ht="22" customHeight="1" spans="1:8">
      <c r="A9" s="10">
        <v>7</v>
      </c>
      <c r="B9" s="11">
        <v>46090</v>
      </c>
      <c r="C9" s="12" t="s">
        <v>28</v>
      </c>
      <c r="D9" s="13" t="s">
        <v>57</v>
      </c>
      <c r="E9" s="14">
        <v>3</v>
      </c>
      <c r="F9" s="15"/>
      <c r="G9" s="15"/>
    </row>
    <row r="10" customFormat="1" ht="22" customHeight="1" spans="1:8">
      <c r="A10" s="10">
        <v>8</v>
      </c>
      <c r="B10" s="11">
        <v>46090</v>
      </c>
      <c r="C10" s="12" t="s">
        <v>30</v>
      </c>
      <c r="D10" s="13" t="s">
        <v>57</v>
      </c>
      <c r="E10" s="14">
        <v>3</v>
      </c>
      <c r="F10" s="15"/>
      <c r="G10" s="15"/>
    </row>
    <row r="11" customFormat="1" ht="22" customHeight="1" spans="1:8">
      <c r="A11" s="10">
        <v>9</v>
      </c>
      <c r="B11" s="11">
        <v>46090</v>
      </c>
      <c r="C11" s="12" t="s">
        <v>31</v>
      </c>
      <c r="D11" s="13" t="s">
        <v>57</v>
      </c>
      <c r="E11" s="14">
        <v>3</v>
      </c>
      <c r="F11" s="15"/>
      <c r="G11" s="15"/>
    </row>
    <row r="12" customFormat="1" ht="22" customHeight="1" spans="1:8">
      <c r="A12" s="10">
        <v>10</v>
      </c>
      <c r="B12" s="11">
        <v>46090</v>
      </c>
      <c r="C12" s="12" t="s">
        <v>32</v>
      </c>
      <c r="D12" s="13" t="s">
        <v>57</v>
      </c>
      <c r="E12" s="14"/>
      <c r="F12" s="15">
        <v>3</v>
      </c>
      <c r="G12" s="15"/>
    </row>
    <row r="13" customFormat="1" ht="22" customHeight="1" spans="1:8">
      <c r="A13" s="10">
        <v>11</v>
      </c>
      <c r="B13" s="11">
        <v>46090</v>
      </c>
      <c r="C13" s="12" t="s">
        <v>34</v>
      </c>
      <c r="D13" s="13" t="s">
        <v>57</v>
      </c>
      <c r="E13" s="14"/>
      <c r="F13" s="15">
        <v>3</v>
      </c>
      <c r="G13" s="15"/>
    </row>
    <row r="14" customFormat="1" ht="22" customHeight="1" spans="1:8">
      <c r="A14" s="10"/>
      <c r="B14" s="11"/>
      <c r="C14" s="12" t="s">
        <v>36</v>
      </c>
      <c r="D14" s="13" t="s">
        <v>57</v>
      </c>
      <c r="E14" s="14">
        <v>1</v>
      </c>
      <c r="F14" s="15">
        <v>2</v>
      </c>
      <c r="G14" s="15" t="s">
        <v>58</v>
      </c>
      <c r="H14" t="s">
        <v>59</v>
      </c>
    </row>
    <row r="15" customFormat="1" ht="22" customHeight="1" spans="1:8">
      <c r="A15" s="10"/>
      <c r="B15" s="11"/>
      <c r="C15" s="12" t="s">
        <v>40</v>
      </c>
      <c r="D15" s="13" t="s">
        <v>57</v>
      </c>
      <c r="E15" s="14">
        <v>1</v>
      </c>
      <c r="F15" s="15">
        <v>2</v>
      </c>
      <c r="G15" s="15" t="s">
        <v>60</v>
      </c>
      <c r="H15" t="s">
        <v>59</v>
      </c>
    </row>
    <row r="16" customFormat="1" ht="22" customHeight="1" spans="1:8">
      <c r="A16" s="10"/>
      <c r="B16" s="11"/>
      <c r="C16" s="12"/>
      <c r="D16" s="13"/>
      <c r="E16" s="14"/>
      <c r="F16" s="15"/>
      <c r="G16" s="15"/>
    </row>
    <row r="17" customFormat="1" ht="22" customHeight="1" spans="1:7">
      <c r="A17" s="10"/>
      <c r="B17" s="20"/>
      <c r="C17" s="12"/>
      <c r="D17" s="21"/>
      <c r="E17" s="22"/>
      <c r="F17" s="23"/>
      <c r="G17" s="23"/>
    </row>
    <row r="18" ht="13.5" spans="1:7">
      <c r="E18" s="25">
        <f>SUM(E3:E17)</f>
        <v>23</v>
      </c>
      <c r="F18" s="25">
        <f>SUM(F3:F17)</f>
        <v>16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C22" sqref="C22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50</v>
      </c>
      <c r="B1" s="2"/>
      <c r="C1" s="2"/>
      <c r="D1" s="2"/>
      <c r="E1" s="2"/>
      <c r="F1" s="3"/>
      <c r="G1" s="4"/>
    </row>
    <row r="2" s="1" customFormat="1" ht="32" customHeight="1" spans="1:7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</row>
    <row r="3" customFormat="1" ht="22" customHeight="1" spans="1:7">
      <c r="A3" s="10">
        <v>1</v>
      </c>
      <c r="B3" s="11">
        <v>46093</v>
      </c>
      <c r="C3" s="12" t="s">
        <v>13</v>
      </c>
      <c r="D3" s="13" t="s">
        <v>61</v>
      </c>
      <c r="E3" s="14">
        <v>2</v>
      </c>
      <c r="F3" s="15"/>
      <c r="G3" s="15"/>
    </row>
    <row r="4" customFormat="1" ht="22" customHeight="1" spans="1:7">
      <c r="A4" s="10">
        <v>2</v>
      </c>
      <c r="B4" s="11">
        <v>46093</v>
      </c>
      <c r="C4" s="12" t="s">
        <v>17</v>
      </c>
      <c r="D4" s="13" t="s">
        <v>61</v>
      </c>
      <c r="E4" s="14">
        <v>2</v>
      </c>
      <c r="F4" s="15"/>
      <c r="G4" s="15"/>
    </row>
    <row r="5" customFormat="1" ht="22" customHeight="1" spans="1:7">
      <c r="A5" s="10">
        <v>3</v>
      </c>
      <c r="B5" s="11">
        <v>46093</v>
      </c>
      <c r="C5" s="12" t="s">
        <v>19</v>
      </c>
      <c r="D5" s="13" t="s">
        <v>61</v>
      </c>
      <c r="E5" s="14">
        <v>2</v>
      </c>
      <c r="F5" s="15"/>
      <c r="G5" s="15"/>
    </row>
    <row r="6" customFormat="1" ht="22" customHeight="1" spans="1:7">
      <c r="A6" s="10">
        <v>4</v>
      </c>
      <c r="B6" s="11">
        <v>46093</v>
      </c>
      <c r="C6" s="12" t="s">
        <v>21</v>
      </c>
      <c r="D6" s="13" t="s">
        <v>61</v>
      </c>
      <c r="E6" s="14"/>
      <c r="F6" s="15">
        <v>2</v>
      </c>
      <c r="G6" s="15"/>
    </row>
    <row r="7" customFormat="1" ht="22" customHeight="1" spans="1:7">
      <c r="A7" s="10">
        <v>5</v>
      </c>
      <c r="B7" s="11">
        <v>46093</v>
      </c>
      <c r="C7" s="12" t="s">
        <v>23</v>
      </c>
      <c r="D7" s="13" t="s">
        <v>61</v>
      </c>
      <c r="E7" s="14"/>
      <c r="F7" s="15">
        <v>2</v>
      </c>
      <c r="G7" s="15"/>
    </row>
    <row r="8" customFormat="1" ht="22" customHeight="1" spans="1:7">
      <c r="A8" s="10">
        <v>6</v>
      </c>
      <c r="B8" s="11">
        <v>46093</v>
      </c>
      <c r="C8" s="12" t="s">
        <v>27</v>
      </c>
      <c r="D8" s="13" t="s">
        <v>61</v>
      </c>
      <c r="E8" s="14">
        <v>2</v>
      </c>
      <c r="F8" s="15"/>
      <c r="G8" s="15"/>
    </row>
    <row r="9" customFormat="1" ht="22" customHeight="1" spans="1:7">
      <c r="A9" s="10">
        <v>7</v>
      </c>
      <c r="B9" s="11">
        <v>46093</v>
      </c>
      <c r="C9" s="12" t="s">
        <v>28</v>
      </c>
      <c r="D9" s="13" t="s">
        <v>61</v>
      </c>
      <c r="E9" s="14">
        <v>2</v>
      </c>
      <c r="F9" s="15"/>
      <c r="G9" s="15"/>
    </row>
    <row r="10" customFormat="1" ht="22" customHeight="1" spans="1:7">
      <c r="A10" s="10">
        <v>8</v>
      </c>
      <c r="B10" s="11">
        <v>46093</v>
      </c>
      <c r="C10" s="12" t="s">
        <v>30</v>
      </c>
      <c r="D10" s="13" t="s">
        <v>61</v>
      </c>
      <c r="E10" s="14">
        <v>2</v>
      </c>
      <c r="F10" s="15"/>
      <c r="G10" s="15"/>
    </row>
    <row r="11" customFormat="1" ht="22" customHeight="1" spans="1:7">
      <c r="A11" s="10">
        <v>9</v>
      </c>
      <c r="B11" s="11">
        <v>46093</v>
      </c>
      <c r="C11" s="12" t="s">
        <v>31</v>
      </c>
      <c r="D11" s="13" t="s">
        <v>61</v>
      </c>
      <c r="E11" s="14">
        <v>2</v>
      </c>
      <c r="F11" s="15"/>
      <c r="G11" s="15"/>
    </row>
    <row r="12" customFormat="1" ht="22" customHeight="1" spans="1:7">
      <c r="A12" s="10">
        <v>10</v>
      </c>
      <c r="B12" s="11">
        <v>46093</v>
      </c>
      <c r="C12" s="12" t="s">
        <v>32</v>
      </c>
      <c r="D12" s="13" t="s">
        <v>61</v>
      </c>
      <c r="E12" s="14"/>
      <c r="F12" s="15">
        <v>2</v>
      </c>
      <c r="G12" s="15"/>
    </row>
    <row r="13" customFormat="1" ht="22" customHeight="1" spans="1:7">
      <c r="A13" s="10">
        <v>11</v>
      </c>
      <c r="B13" s="11">
        <v>46093</v>
      </c>
      <c r="C13" s="12" t="s">
        <v>34</v>
      </c>
      <c r="D13" s="13" t="s">
        <v>61</v>
      </c>
      <c r="E13" s="14"/>
      <c r="F13" s="15">
        <v>2</v>
      </c>
      <c r="G13" s="15"/>
    </row>
    <row r="14" customFormat="1" ht="22" customHeight="1" spans="1:7">
      <c r="A14" s="10"/>
      <c r="B14" s="11"/>
      <c r="C14" s="12"/>
      <c r="D14" s="13"/>
      <c r="E14" s="14"/>
      <c r="F14" s="15"/>
      <c r="G14" s="15"/>
    </row>
    <row r="15" customFormat="1" ht="22" customHeight="1" spans="1:7">
      <c r="A15" s="10"/>
      <c r="B15" s="20"/>
      <c r="C15" s="12"/>
      <c r="D15" s="21"/>
      <c r="E15" s="22"/>
      <c r="F15" s="23"/>
      <c r="G15" s="23"/>
    </row>
    <row r="16" ht="13.5" spans="1:7">
      <c r="E16" s="25">
        <f>SUM(E3:E15)</f>
        <v>14</v>
      </c>
      <c r="F16" s="25">
        <f>SUM(F3:F15)</f>
        <v>8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$A1:$XFD1048576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8" width="25.2857142857143" customWidth="1"/>
  </cols>
  <sheetData>
    <row r="1" ht="38" customHeight="1" spans="1:8">
      <c r="A1" s="2" t="s">
        <v>50</v>
      </c>
      <c r="B1" s="2"/>
      <c r="C1" s="2"/>
      <c r="D1" s="2"/>
      <c r="E1" s="2"/>
      <c r="F1" s="3"/>
      <c r="G1" s="4"/>
      <c r="H1" s="5"/>
    </row>
    <row r="2" s="1" customFormat="1" ht="32" customHeight="1" spans="1:8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8">
      <c r="A3" s="10">
        <v>1</v>
      </c>
      <c r="B3" s="11">
        <v>46097</v>
      </c>
      <c r="C3" s="12" t="s">
        <v>36</v>
      </c>
      <c r="D3" s="13" t="s">
        <v>57</v>
      </c>
      <c r="E3" s="14">
        <v>1</v>
      </c>
      <c r="F3" s="15">
        <v>2</v>
      </c>
      <c r="G3" s="15" t="s">
        <v>58</v>
      </c>
      <c r="H3" s="16" t="s">
        <v>62</v>
      </c>
    </row>
    <row r="4" customFormat="1" ht="22" customHeight="1" spans="1:8">
      <c r="A4" s="10">
        <v>2</v>
      </c>
      <c r="B4" s="11">
        <v>46097</v>
      </c>
      <c r="C4" s="12" t="s">
        <v>40</v>
      </c>
      <c r="D4" s="13" t="s">
        <v>57</v>
      </c>
      <c r="E4" s="14">
        <v>1</v>
      </c>
      <c r="F4" s="15">
        <v>2</v>
      </c>
      <c r="G4" s="15" t="s">
        <v>60</v>
      </c>
      <c r="H4" s="16" t="s">
        <v>62</v>
      </c>
    </row>
    <row r="5" customFormat="1" ht="22" customHeight="1" spans="1:8">
      <c r="A5" s="19">
        <v>1</v>
      </c>
      <c r="B5" s="11">
        <v>46097</v>
      </c>
      <c r="C5" s="12" t="s">
        <v>13</v>
      </c>
      <c r="D5" s="13" t="s">
        <v>57</v>
      </c>
      <c r="E5" s="14">
        <v>3</v>
      </c>
      <c r="F5" s="15"/>
      <c r="G5" s="15"/>
      <c r="H5" s="17"/>
    </row>
    <row r="6" customFormat="1" ht="22" customHeight="1" spans="1:8">
      <c r="A6" s="19">
        <v>2</v>
      </c>
      <c r="B6" s="11">
        <v>46097</v>
      </c>
      <c r="C6" s="12" t="s">
        <v>17</v>
      </c>
      <c r="D6" s="13" t="s">
        <v>57</v>
      </c>
      <c r="E6" s="14">
        <v>3</v>
      </c>
      <c r="F6" s="15"/>
      <c r="G6" s="15"/>
      <c r="H6" s="18"/>
    </row>
    <row r="7" customFormat="1" ht="22" customHeight="1" spans="1:8">
      <c r="A7" s="19">
        <v>3</v>
      </c>
      <c r="B7" s="11">
        <v>46097</v>
      </c>
      <c r="C7" s="12" t="s">
        <v>19</v>
      </c>
      <c r="D7" s="13" t="s">
        <v>57</v>
      </c>
      <c r="E7" s="14">
        <v>3</v>
      </c>
      <c r="F7" s="15"/>
      <c r="G7" s="15"/>
    </row>
    <row r="8" customFormat="1" ht="22" customHeight="1" spans="1:8">
      <c r="A8" s="19">
        <v>4</v>
      </c>
      <c r="B8" s="11">
        <v>46097</v>
      </c>
      <c r="C8" s="12" t="s">
        <v>21</v>
      </c>
      <c r="D8" s="13" t="s">
        <v>57</v>
      </c>
      <c r="E8" s="14"/>
      <c r="F8" s="15">
        <v>3</v>
      </c>
      <c r="G8" s="15"/>
    </row>
    <row r="9" customFormat="1" ht="22" customHeight="1" spans="1:8">
      <c r="A9" s="19">
        <v>5</v>
      </c>
      <c r="B9" s="11">
        <v>46097</v>
      </c>
      <c r="C9" s="12" t="s">
        <v>23</v>
      </c>
      <c r="D9" s="13" t="s">
        <v>57</v>
      </c>
      <c r="E9" s="14"/>
      <c r="F9" s="15">
        <v>3</v>
      </c>
      <c r="G9" s="15"/>
    </row>
    <row r="10" customFormat="1" ht="22" customHeight="1" spans="1:8">
      <c r="A10" s="19">
        <v>6</v>
      </c>
      <c r="B10" s="11">
        <v>46097</v>
      </c>
      <c r="C10" s="12" t="s">
        <v>27</v>
      </c>
      <c r="D10" s="13" t="s">
        <v>57</v>
      </c>
      <c r="E10" s="14">
        <v>3</v>
      </c>
      <c r="F10" s="15"/>
      <c r="G10" s="15"/>
    </row>
    <row r="11" customFormat="1" ht="22" customHeight="1" spans="1:8">
      <c r="A11" s="19">
        <v>7</v>
      </c>
      <c r="B11" s="11">
        <v>46097</v>
      </c>
      <c r="C11" s="12" t="s">
        <v>28</v>
      </c>
      <c r="D11" s="13" t="s">
        <v>57</v>
      </c>
      <c r="E11" s="14">
        <v>3</v>
      </c>
      <c r="F11" s="15"/>
      <c r="G11" s="15"/>
    </row>
    <row r="12" customFormat="1" ht="22" customHeight="1" spans="1:8">
      <c r="A12" s="19">
        <v>8</v>
      </c>
      <c r="B12" s="11">
        <v>46097</v>
      </c>
      <c r="C12" s="12" t="s">
        <v>30</v>
      </c>
      <c r="D12" s="13" t="s">
        <v>57</v>
      </c>
      <c r="E12" s="14">
        <v>3</v>
      </c>
      <c r="F12" s="15"/>
      <c r="G12" s="15"/>
    </row>
    <row r="13" customFormat="1" ht="22" customHeight="1" spans="1:8">
      <c r="A13" s="19">
        <v>9</v>
      </c>
      <c r="B13" s="11">
        <v>46097</v>
      </c>
      <c r="C13" s="12" t="s">
        <v>31</v>
      </c>
      <c r="D13" s="13" t="s">
        <v>57</v>
      </c>
      <c r="E13" s="14">
        <v>3</v>
      </c>
      <c r="F13" s="15"/>
      <c r="G13" s="15"/>
    </row>
    <row r="14" customFormat="1" ht="22" customHeight="1" spans="1:8">
      <c r="A14" s="19">
        <v>10</v>
      </c>
      <c r="B14" s="11">
        <v>46097</v>
      </c>
      <c r="C14" s="12" t="s">
        <v>32</v>
      </c>
      <c r="D14" s="13" t="s">
        <v>57</v>
      </c>
      <c r="E14" s="14"/>
      <c r="F14" s="15">
        <v>3</v>
      </c>
      <c r="G14" s="15"/>
    </row>
    <row r="15" customFormat="1" ht="22" customHeight="1" spans="1:8">
      <c r="A15" s="19">
        <v>11</v>
      </c>
      <c r="B15" s="11">
        <v>46097</v>
      </c>
      <c r="C15" s="12" t="s">
        <v>34</v>
      </c>
      <c r="D15" s="13" t="s">
        <v>57</v>
      </c>
      <c r="E15" s="14"/>
      <c r="F15" s="15">
        <v>3</v>
      </c>
      <c r="G15" s="15"/>
    </row>
    <row r="16" customFormat="1" ht="22" customHeight="1" spans="1:8">
      <c r="A16" s="19"/>
      <c r="B16" s="11"/>
      <c r="C16" s="12"/>
      <c r="D16" s="13"/>
      <c r="E16" s="14"/>
      <c r="F16" s="15"/>
      <c r="G16" s="15"/>
    </row>
    <row r="17" ht="22" customHeight="1" spans="1:7">
      <c r="A17" s="10"/>
      <c r="B17" s="11"/>
      <c r="C17" s="12"/>
      <c r="D17" s="13"/>
      <c r="E17" s="14"/>
      <c r="F17" s="15"/>
      <c r="G17" s="15"/>
    </row>
    <row r="18" ht="14.25" spans="1:7">
      <c r="A18" s="10"/>
      <c r="B18" s="20"/>
      <c r="C18" s="12"/>
      <c r="D18" s="21"/>
      <c r="E18" s="22"/>
      <c r="F18" s="23"/>
      <c r="G18" s="23"/>
    </row>
    <row r="19" ht="13.5" spans="1:7">
      <c r="E19" s="24">
        <f>SUM(E3:E18)</f>
        <v>23</v>
      </c>
      <c r="F19" s="24">
        <f>SUM(F3:F18)</f>
        <v>16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E25" sqref="E2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1428571428571" customWidth="1"/>
    <col min="8" max="8" width="25.2857142857143" customWidth="1"/>
  </cols>
  <sheetData>
    <row r="1" ht="38" customHeight="1" spans="1:8">
      <c r="A1" s="2" t="s">
        <v>50</v>
      </c>
      <c r="B1" s="2"/>
      <c r="C1" s="2"/>
      <c r="D1" s="2"/>
      <c r="E1" s="2"/>
      <c r="F1" s="3"/>
      <c r="G1" s="4"/>
      <c r="H1" s="5"/>
    </row>
    <row r="2" s="1" customFormat="1" ht="32" customHeight="1" spans="1:8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8">
      <c r="A3" s="10">
        <v>1</v>
      </c>
      <c r="B3" s="11">
        <v>46100</v>
      </c>
      <c r="C3" s="12" t="s">
        <v>36</v>
      </c>
      <c r="D3" s="13" t="s">
        <v>61</v>
      </c>
      <c r="E3" s="14">
        <v>1</v>
      </c>
      <c r="F3" s="15">
        <v>1</v>
      </c>
      <c r="G3" s="15" t="s">
        <v>58</v>
      </c>
      <c r="H3" s="16" t="s">
        <v>62</v>
      </c>
    </row>
    <row r="4" customFormat="1" ht="22" customHeight="1" spans="1:8">
      <c r="A4" s="10">
        <v>2</v>
      </c>
      <c r="B4" s="11">
        <v>46100</v>
      </c>
      <c r="C4" s="12" t="s">
        <v>40</v>
      </c>
      <c r="D4" s="13" t="s">
        <v>61</v>
      </c>
      <c r="E4" s="14">
        <v>1</v>
      </c>
      <c r="F4" s="15">
        <v>1</v>
      </c>
      <c r="G4" s="15" t="s">
        <v>60</v>
      </c>
      <c r="H4" s="16" t="s">
        <v>62</v>
      </c>
    </row>
    <row r="5" customFormat="1" ht="22" customHeight="1" spans="1:8">
      <c r="A5" s="19">
        <v>1</v>
      </c>
      <c r="B5" s="11">
        <v>46100</v>
      </c>
      <c r="C5" s="12" t="s">
        <v>13</v>
      </c>
      <c r="D5" s="13" t="s">
        <v>61</v>
      </c>
      <c r="E5" s="14">
        <v>2</v>
      </c>
      <c r="F5" s="15"/>
      <c r="G5" s="15"/>
      <c r="H5" s="17"/>
    </row>
    <row r="6" customFormat="1" ht="22" customHeight="1" spans="1:8">
      <c r="A6" s="19">
        <v>2</v>
      </c>
      <c r="B6" s="11">
        <v>46100</v>
      </c>
      <c r="C6" s="12" t="s">
        <v>17</v>
      </c>
      <c r="D6" s="13" t="s">
        <v>61</v>
      </c>
      <c r="E6" s="14">
        <v>2</v>
      </c>
      <c r="F6" s="15"/>
      <c r="G6" s="15"/>
      <c r="H6" s="18"/>
    </row>
    <row r="7" customFormat="1" ht="22" customHeight="1" spans="1:8">
      <c r="A7" s="19">
        <v>3</v>
      </c>
      <c r="B7" s="11">
        <v>46100</v>
      </c>
      <c r="C7" s="12" t="s">
        <v>19</v>
      </c>
      <c r="D7" s="13" t="s">
        <v>61</v>
      </c>
      <c r="E7" s="14">
        <v>2</v>
      </c>
      <c r="F7" s="15"/>
      <c r="G7" s="15"/>
    </row>
    <row r="8" customFormat="1" ht="22" customHeight="1" spans="1:8">
      <c r="A8" s="19">
        <v>4</v>
      </c>
      <c r="B8" s="11">
        <v>46100</v>
      </c>
      <c r="C8" s="12" t="s">
        <v>21</v>
      </c>
      <c r="D8" s="13" t="s">
        <v>61</v>
      </c>
      <c r="E8" s="14"/>
      <c r="F8" s="15">
        <v>2</v>
      </c>
      <c r="G8" s="15"/>
    </row>
    <row r="9" customFormat="1" ht="22" customHeight="1" spans="1:8">
      <c r="A9" s="19">
        <v>5</v>
      </c>
      <c r="B9" s="11">
        <v>46100</v>
      </c>
      <c r="C9" s="12" t="s">
        <v>23</v>
      </c>
      <c r="D9" s="13" t="s">
        <v>61</v>
      </c>
      <c r="E9" s="14"/>
      <c r="F9" s="15">
        <v>2</v>
      </c>
      <c r="G9" s="15"/>
    </row>
    <row r="10" customFormat="1" ht="22" customHeight="1" spans="1:8">
      <c r="A10" s="19">
        <v>6</v>
      </c>
      <c r="B10" s="11">
        <v>46100</v>
      </c>
      <c r="C10" s="12" t="s">
        <v>27</v>
      </c>
      <c r="D10" s="13" t="s">
        <v>61</v>
      </c>
      <c r="E10" s="14">
        <v>2</v>
      </c>
      <c r="F10" s="15"/>
      <c r="G10" s="15"/>
    </row>
    <row r="11" customFormat="1" ht="22" customHeight="1" spans="1:8">
      <c r="A11" s="19">
        <v>7</v>
      </c>
      <c r="B11" s="11">
        <v>46100</v>
      </c>
      <c r="C11" s="12" t="s">
        <v>28</v>
      </c>
      <c r="D11" s="13" t="s">
        <v>61</v>
      </c>
      <c r="E11" s="14">
        <v>2</v>
      </c>
      <c r="F11" s="15"/>
      <c r="G11" s="15"/>
    </row>
    <row r="12" customFormat="1" ht="22" customHeight="1" spans="1:8">
      <c r="A12" s="19">
        <v>8</v>
      </c>
      <c r="B12" s="11">
        <v>46100</v>
      </c>
      <c r="C12" s="12" t="s">
        <v>30</v>
      </c>
      <c r="D12" s="13" t="s">
        <v>61</v>
      </c>
      <c r="E12" s="14">
        <v>2</v>
      </c>
      <c r="F12" s="15"/>
      <c r="G12" s="15"/>
    </row>
    <row r="13" customFormat="1" ht="22" customHeight="1" spans="1:8">
      <c r="A13" s="19">
        <v>9</v>
      </c>
      <c r="B13" s="11">
        <v>46100</v>
      </c>
      <c r="C13" s="12" t="s">
        <v>31</v>
      </c>
      <c r="D13" s="13" t="s">
        <v>61</v>
      </c>
      <c r="E13" s="14">
        <v>2</v>
      </c>
      <c r="F13" s="15"/>
      <c r="G13" s="15"/>
    </row>
    <row r="14" customFormat="1" ht="22" customHeight="1" spans="1:8">
      <c r="A14" s="19">
        <v>10</v>
      </c>
      <c r="B14" s="11">
        <v>46100</v>
      </c>
      <c r="C14" s="12" t="s">
        <v>32</v>
      </c>
      <c r="D14" s="13" t="s">
        <v>61</v>
      </c>
      <c r="E14" s="14"/>
      <c r="F14" s="15">
        <v>2</v>
      </c>
      <c r="G14" s="15"/>
    </row>
    <row r="15" customFormat="1" ht="22" customHeight="1" spans="1:8">
      <c r="A15" s="19">
        <v>11</v>
      </c>
      <c r="B15" s="11">
        <v>46100</v>
      </c>
      <c r="C15" s="12" t="s">
        <v>34</v>
      </c>
      <c r="D15" s="13" t="s">
        <v>61</v>
      </c>
      <c r="E15" s="14"/>
      <c r="F15" s="15">
        <v>2</v>
      </c>
      <c r="G15" s="15"/>
    </row>
    <row r="16" customFormat="1" ht="22" customHeight="1" spans="1:8">
      <c r="A16" s="19"/>
      <c r="B16" s="11"/>
      <c r="C16" s="12"/>
      <c r="D16" s="13"/>
      <c r="E16" s="14"/>
      <c r="F16" s="15"/>
      <c r="G16" s="15"/>
    </row>
    <row r="17" customFormat="1" ht="22" customHeight="1" spans="1:7">
      <c r="A17" s="10"/>
      <c r="B17" s="11"/>
      <c r="C17" s="12"/>
      <c r="D17" s="13"/>
      <c r="E17" s="14"/>
      <c r="F17" s="15"/>
      <c r="G17" s="15"/>
    </row>
    <row r="18" customFormat="1" ht="14.25" spans="1:7">
      <c r="A18" s="10"/>
      <c r="B18" s="20"/>
      <c r="C18" s="12"/>
      <c r="D18" s="21"/>
      <c r="E18" s="22"/>
      <c r="F18" s="23"/>
      <c r="G18" s="23"/>
    </row>
    <row r="19" customFormat="1" ht="24" customHeight="1" spans="1:7">
      <c r="E19" s="24">
        <f>SUM(E3:E18)</f>
        <v>16</v>
      </c>
      <c r="F19" s="24">
        <f>SUM(F3:F18)</f>
        <v>10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I19" sqref="I1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  <col min="8" max="8" width="11.7142857142857" customWidth="1"/>
  </cols>
  <sheetData>
    <row r="1" ht="38" customHeight="1" spans="1:9">
      <c r="A1" s="2" t="s">
        <v>50</v>
      </c>
      <c r="B1" s="2"/>
      <c r="C1" s="2"/>
      <c r="D1" s="2"/>
      <c r="E1" s="2"/>
      <c r="F1" s="3"/>
      <c r="G1" s="4"/>
      <c r="H1" s="5"/>
    </row>
    <row r="2" s="1" customFormat="1" ht="32" customHeight="1" spans="1:9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9">
      <c r="A3" s="10">
        <v>1</v>
      </c>
      <c r="B3" s="11">
        <v>46104</v>
      </c>
      <c r="C3" s="12" t="s">
        <v>36</v>
      </c>
      <c r="D3" s="13" t="s">
        <v>57</v>
      </c>
      <c r="E3" s="14">
        <v>1</v>
      </c>
      <c r="F3" s="15">
        <v>2</v>
      </c>
      <c r="G3" s="15" t="s">
        <v>58</v>
      </c>
      <c r="H3" s="16" t="s">
        <v>62</v>
      </c>
      <c r="I3">
        <f t="shared" ref="I3:I15" si="0">SUM(E3:F3)</f>
        <v>3</v>
      </c>
    </row>
    <row r="4" customFormat="1" ht="22" customHeight="1" spans="1:9">
      <c r="A4" s="10">
        <v>2</v>
      </c>
      <c r="B4" s="11">
        <v>46104</v>
      </c>
      <c r="C4" s="12" t="s">
        <v>40</v>
      </c>
      <c r="D4" s="13" t="s">
        <v>57</v>
      </c>
      <c r="E4" s="14">
        <v>1</v>
      </c>
      <c r="F4" s="15">
        <v>2</v>
      </c>
      <c r="G4" s="15" t="s">
        <v>60</v>
      </c>
      <c r="H4" s="16" t="s">
        <v>62</v>
      </c>
      <c r="I4">
        <f t="shared" si="0"/>
        <v>3</v>
      </c>
    </row>
    <row r="5" customFormat="1" ht="22" customHeight="1" spans="1:9">
      <c r="A5" s="10">
        <v>3</v>
      </c>
      <c r="B5" s="11">
        <v>46104</v>
      </c>
      <c r="C5" s="12" t="s">
        <v>13</v>
      </c>
      <c r="D5" s="13" t="s">
        <v>57</v>
      </c>
      <c r="E5" s="14">
        <v>3</v>
      </c>
      <c r="F5" s="15"/>
      <c r="G5" s="15"/>
      <c r="H5" s="17"/>
      <c r="I5">
        <f t="shared" si="0"/>
        <v>3</v>
      </c>
    </row>
    <row r="6" customFormat="1" ht="22" customHeight="1" spans="1:9">
      <c r="A6" s="10">
        <v>4</v>
      </c>
      <c r="B6" s="11">
        <v>46104</v>
      </c>
      <c r="C6" s="12" t="s">
        <v>17</v>
      </c>
      <c r="D6" s="13" t="s">
        <v>57</v>
      </c>
      <c r="E6" s="14">
        <v>3</v>
      </c>
      <c r="F6" s="15"/>
      <c r="G6" s="15"/>
      <c r="H6" s="18"/>
      <c r="I6">
        <f t="shared" si="0"/>
        <v>3</v>
      </c>
    </row>
    <row r="7" customFormat="1" ht="22" customHeight="1" spans="1:9">
      <c r="A7" s="10">
        <v>5</v>
      </c>
      <c r="B7" s="11">
        <v>46104</v>
      </c>
      <c r="C7" s="12" t="s">
        <v>19</v>
      </c>
      <c r="D7" s="13" t="s">
        <v>57</v>
      </c>
      <c r="E7" s="14">
        <v>3</v>
      </c>
      <c r="F7" s="15"/>
      <c r="G7" s="15"/>
      <c r="I7">
        <f t="shared" si="0"/>
        <v>3</v>
      </c>
    </row>
    <row r="8" customFormat="1" ht="22" customHeight="1" spans="1:9">
      <c r="A8" s="10">
        <v>6</v>
      </c>
      <c r="B8" s="11">
        <v>46104</v>
      </c>
      <c r="C8" s="12" t="s">
        <v>21</v>
      </c>
      <c r="D8" s="13" t="s">
        <v>57</v>
      </c>
      <c r="E8" s="14"/>
      <c r="F8" s="15">
        <v>3</v>
      </c>
      <c r="G8" s="15"/>
      <c r="I8">
        <f t="shared" si="0"/>
        <v>3</v>
      </c>
    </row>
    <row r="9" customFormat="1" ht="22" customHeight="1" spans="1:9">
      <c r="A9" s="10">
        <v>7</v>
      </c>
      <c r="B9" s="11">
        <v>46104</v>
      </c>
      <c r="C9" s="12" t="s">
        <v>23</v>
      </c>
      <c r="D9" s="13" t="s">
        <v>57</v>
      </c>
      <c r="E9" s="14"/>
      <c r="F9" s="15">
        <v>3</v>
      </c>
      <c r="G9" s="15"/>
      <c r="I9">
        <f t="shared" si="0"/>
        <v>3</v>
      </c>
    </row>
    <row r="10" customFormat="1" ht="22" customHeight="1" spans="1:9">
      <c r="A10" s="10">
        <v>8</v>
      </c>
      <c r="B10" s="11">
        <v>46104</v>
      </c>
      <c r="C10" s="12" t="s">
        <v>27</v>
      </c>
      <c r="D10" s="13" t="s">
        <v>57</v>
      </c>
      <c r="E10" s="14">
        <v>3</v>
      </c>
      <c r="F10" s="15"/>
      <c r="G10" s="15"/>
      <c r="I10">
        <f t="shared" si="0"/>
        <v>3</v>
      </c>
    </row>
    <row r="11" customFormat="1" ht="22" customHeight="1" spans="1:9">
      <c r="A11" s="10">
        <v>9</v>
      </c>
      <c r="B11" s="11">
        <v>46104</v>
      </c>
      <c r="C11" s="12" t="s">
        <v>28</v>
      </c>
      <c r="D11" s="13" t="s">
        <v>57</v>
      </c>
      <c r="E11" s="14">
        <v>3</v>
      </c>
      <c r="F11" s="15"/>
      <c r="G11" s="15"/>
      <c r="I11">
        <f t="shared" si="0"/>
        <v>3</v>
      </c>
    </row>
    <row r="12" customFormat="1" ht="22" customHeight="1" spans="1:9">
      <c r="A12" s="10">
        <v>10</v>
      </c>
      <c r="B12" s="11">
        <v>46104</v>
      </c>
      <c r="C12" s="12" t="s">
        <v>30</v>
      </c>
      <c r="D12" s="13" t="s">
        <v>57</v>
      </c>
      <c r="E12" s="14">
        <v>3</v>
      </c>
      <c r="F12" s="15"/>
      <c r="G12" s="15"/>
      <c r="I12">
        <f t="shared" si="0"/>
        <v>3</v>
      </c>
    </row>
    <row r="13" customFormat="1" ht="22" customHeight="1" spans="1:9">
      <c r="A13" s="10">
        <v>11</v>
      </c>
      <c r="B13" s="11">
        <v>46104</v>
      </c>
      <c r="C13" s="12" t="s">
        <v>31</v>
      </c>
      <c r="D13" s="13" t="s">
        <v>57</v>
      </c>
      <c r="E13" s="14">
        <v>3</v>
      </c>
      <c r="F13" s="15"/>
      <c r="G13" s="15"/>
      <c r="I13">
        <f t="shared" si="0"/>
        <v>3</v>
      </c>
    </row>
    <row r="14" customFormat="1" ht="22" customHeight="1" spans="1:9">
      <c r="A14" s="10">
        <v>12</v>
      </c>
      <c r="B14" s="11">
        <v>46104</v>
      </c>
      <c r="C14" s="12" t="s">
        <v>32</v>
      </c>
      <c r="D14" s="13" t="s">
        <v>57</v>
      </c>
      <c r="E14" s="14"/>
      <c r="F14" s="15">
        <v>3</v>
      </c>
      <c r="G14" s="15"/>
      <c r="I14">
        <f t="shared" si="0"/>
        <v>3</v>
      </c>
    </row>
    <row r="15" customFormat="1" ht="22" customHeight="1" spans="1:9">
      <c r="A15" s="10">
        <v>13</v>
      </c>
      <c r="B15" s="11">
        <v>46104</v>
      </c>
      <c r="C15" s="12" t="s">
        <v>34</v>
      </c>
      <c r="D15" s="13" t="s">
        <v>57</v>
      </c>
      <c r="E15" s="14"/>
      <c r="F15" s="15">
        <v>3</v>
      </c>
      <c r="G15" s="15"/>
      <c r="I15">
        <f t="shared" si="0"/>
        <v>3</v>
      </c>
    </row>
    <row r="16" customFormat="1" ht="22" customHeight="1" spans="1:9">
      <c r="A16" s="19"/>
      <c r="B16" s="11"/>
      <c r="C16" s="12"/>
      <c r="D16" s="13"/>
      <c r="E16" s="14"/>
      <c r="F16" s="15"/>
      <c r="G16" s="15"/>
    </row>
    <row r="17" customFormat="1" ht="22" customHeight="1" spans="1:9">
      <c r="A17" s="10"/>
      <c r="B17" s="11"/>
      <c r="C17" s="12"/>
      <c r="D17" s="13"/>
      <c r="E17" s="14"/>
      <c r="F17" s="15"/>
      <c r="G17" s="15"/>
    </row>
    <row r="18" customFormat="1" ht="14.25" spans="1:9">
      <c r="A18" s="10"/>
      <c r="B18" s="20"/>
      <c r="C18" s="12"/>
      <c r="D18" s="21"/>
      <c r="E18" s="22"/>
      <c r="F18" s="23"/>
      <c r="G18" s="23"/>
    </row>
    <row r="19" customFormat="1" ht="13.5" spans="1:9">
      <c r="E19" s="24">
        <f t="shared" ref="E19:I19" si="1">SUM(E3:E18)</f>
        <v>23</v>
      </c>
      <c r="F19" s="24">
        <f t="shared" si="1"/>
        <v>16</v>
      </c>
      <c r="I19" s="24">
        <f t="shared" si="1"/>
        <v>39</v>
      </c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3" sqref="A3:A1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1428571428571" customWidth="1"/>
    <col min="8" max="8" width="25.2857142857143" customWidth="1"/>
  </cols>
  <sheetData>
    <row r="1" ht="38" customHeight="1" spans="1:8">
      <c r="A1" s="2" t="s">
        <v>63</v>
      </c>
      <c r="B1" s="2"/>
      <c r="C1" s="2"/>
      <c r="D1" s="2"/>
      <c r="E1" s="2"/>
      <c r="F1" s="3"/>
      <c r="G1" s="4"/>
      <c r="H1" s="5"/>
    </row>
    <row r="2" s="1" customFormat="1" ht="32" customHeight="1" spans="1:8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8">
      <c r="A3" s="10">
        <v>1</v>
      </c>
      <c r="B3" s="11">
        <v>46107</v>
      </c>
      <c r="C3" s="12" t="s">
        <v>36</v>
      </c>
      <c r="D3" s="13" t="s">
        <v>61</v>
      </c>
      <c r="E3" s="14">
        <v>1</v>
      </c>
      <c r="F3" s="15">
        <v>1</v>
      </c>
      <c r="G3" s="15" t="s">
        <v>58</v>
      </c>
      <c r="H3" s="16" t="s">
        <v>62</v>
      </c>
    </row>
    <row r="4" customFormat="1" ht="22" customHeight="1" spans="1:8">
      <c r="A4" s="10">
        <v>2</v>
      </c>
      <c r="B4" s="11">
        <v>46107</v>
      </c>
      <c r="C4" s="12" t="s">
        <v>40</v>
      </c>
      <c r="D4" s="13" t="s">
        <v>61</v>
      </c>
      <c r="E4" s="14">
        <v>1</v>
      </c>
      <c r="F4" s="15">
        <v>1</v>
      </c>
      <c r="G4" s="15" t="s">
        <v>60</v>
      </c>
      <c r="H4" s="16" t="s">
        <v>62</v>
      </c>
    </row>
    <row r="5" customFormat="1" ht="22" customHeight="1" spans="1:8">
      <c r="A5" s="10">
        <v>3</v>
      </c>
      <c r="B5" s="11">
        <v>46107</v>
      </c>
      <c r="C5" s="12" t="s">
        <v>13</v>
      </c>
      <c r="D5" s="13" t="s">
        <v>61</v>
      </c>
      <c r="E5" s="14">
        <v>2</v>
      </c>
      <c r="F5" s="15"/>
      <c r="G5" s="15"/>
      <c r="H5" s="17"/>
    </row>
    <row r="6" customFormat="1" ht="22" customHeight="1" spans="1:8">
      <c r="A6" s="10">
        <v>4</v>
      </c>
      <c r="B6" s="11">
        <v>46107</v>
      </c>
      <c r="C6" s="12" t="s">
        <v>17</v>
      </c>
      <c r="D6" s="13" t="s">
        <v>61</v>
      </c>
      <c r="E6" s="14">
        <v>2</v>
      </c>
      <c r="F6" s="15"/>
      <c r="G6" s="15"/>
      <c r="H6" s="18"/>
    </row>
    <row r="7" customFormat="1" ht="22" customHeight="1" spans="1:8">
      <c r="A7" s="10">
        <v>5</v>
      </c>
      <c r="B7" s="11">
        <v>46107</v>
      </c>
      <c r="C7" s="12" t="s">
        <v>19</v>
      </c>
      <c r="D7" s="13" t="s">
        <v>61</v>
      </c>
      <c r="E7" s="14">
        <v>2</v>
      </c>
      <c r="F7" s="15"/>
      <c r="G7" s="15"/>
    </row>
    <row r="8" customFormat="1" ht="22" customHeight="1" spans="1:8">
      <c r="A8" s="10">
        <v>6</v>
      </c>
      <c r="B8" s="11">
        <v>46107</v>
      </c>
      <c r="C8" s="12" t="s">
        <v>21</v>
      </c>
      <c r="D8" s="13" t="s">
        <v>61</v>
      </c>
      <c r="E8" s="14"/>
      <c r="F8" s="15">
        <v>2</v>
      </c>
      <c r="G8" s="15"/>
    </row>
    <row r="9" customFormat="1" ht="22" customHeight="1" spans="1:8">
      <c r="A9" s="10">
        <v>7</v>
      </c>
      <c r="B9" s="11">
        <v>46107</v>
      </c>
      <c r="C9" s="12" t="s">
        <v>23</v>
      </c>
      <c r="D9" s="13" t="s">
        <v>61</v>
      </c>
      <c r="E9" s="14"/>
      <c r="F9" s="15">
        <v>2</v>
      </c>
      <c r="G9" s="15"/>
    </row>
    <row r="10" customFormat="1" ht="22" customHeight="1" spans="1:8">
      <c r="A10" s="10">
        <v>8</v>
      </c>
      <c r="B10" s="11">
        <v>46107</v>
      </c>
      <c r="C10" s="12" t="s">
        <v>27</v>
      </c>
      <c r="D10" s="13" t="s">
        <v>61</v>
      </c>
      <c r="E10" s="14">
        <v>2</v>
      </c>
      <c r="F10" s="15"/>
      <c r="G10" s="15"/>
    </row>
    <row r="11" customFormat="1" ht="22" customHeight="1" spans="1:8">
      <c r="A11" s="10">
        <v>9</v>
      </c>
      <c r="B11" s="11">
        <v>46107</v>
      </c>
      <c r="C11" s="12" t="s">
        <v>28</v>
      </c>
      <c r="D11" s="13" t="s">
        <v>61</v>
      </c>
      <c r="E11" s="14">
        <v>2</v>
      </c>
      <c r="F11" s="15"/>
      <c r="G11" s="15"/>
    </row>
    <row r="12" customFormat="1" ht="22" customHeight="1" spans="1:8">
      <c r="A12" s="10">
        <v>10</v>
      </c>
      <c r="B12" s="11">
        <v>46107</v>
      </c>
      <c r="C12" s="12" t="s">
        <v>30</v>
      </c>
      <c r="D12" s="13" t="s">
        <v>61</v>
      </c>
      <c r="E12" s="14">
        <v>2</v>
      </c>
      <c r="F12" s="15"/>
      <c r="G12" s="15"/>
    </row>
    <row r="13" customFormat="1" ht="22" customHeight="1" spans="1:8">
      <c r="A13" s="10">
        <v>11</v>
      </c>
      <c r="B13" s="11">
        <v>46107</v>
      </c>
      <c r="C13" s="12" t="s">
        <v>31</v>
      </c>
      <c r="D13" s="13" t="s">
        <v>61</v>
      </c>
      <c r="E13" s="14">
        <v>2</v>
      </c>
      <c r="F13" s="15"/>
      <c r="G13" s="15"/>
    </row>
    <row r="14" customFormat="1" ht="22" customHeight="1" spans="1:8">
      <c r="A14" s="10">
        <v>12</v>
      </c>
      <c r="B14" s="11">
        <v>46107</v>
      </c>
      <c r="C14" s="12" t="s">
        <v>32</v>
      </c>
      <c r="D14" s="13" t="s">
        <v>61</v>
      </c>
      <c r="E14" s="14"/>
      <c r="F14" s="15">
        <v>2</v>
      </c>
      <c r="G14" s="15"/>
    </row>
    <row r="15" customFormat="1" ht="22" customHeight="1" spans="1:8">
      <c r="A15" s="10">
        <v>13</v>
      </c>
      <c r="B15" s="11">
        <v>46107</v>
      </c>
      <c r="C15" s="12" t="s">
        <v>34</v>
      </c>
      <c r="D15" s="13" t="s">
        <v>61</v>
      </c>
      <c r="E15" s="14"/>
      <c r="F15" s="15">
        <v>2</v>
      </c>
      <c r="G15" s="15"/>
    </row>
    <row r="16" customFormat="1" ht="22" customHeight="1" spans="1:8">
      <c r="A16" s="19"/>
      <c r="B16" s="11"/>
      <c r="C16" s="12"/>
      <c r="D16" s="13"/>
      <c r="E16" s="14"/>
      <c r="F16" s="15"/>
      <c r="G16" s="15"/>
    </row>
    <row r="17" customFormat="1" ht="22" customHeight="1" spans="1:7">
      <c r="A17" s="10"/>
      <c r="B17" s="11"/>
      <c r="C17" s="12"/>
      <c r="D17" s="13"/>
      <c r="E17" s="14"/>
      <c r="F17" s="15"/>
      <c r="G17" s="15"/>
    </row>
    <row r="18" customFormat="1" ht="14.25" spans="1:7">
      <c r="A18" s="10"/>
      <c r="B18" s="20"/>
      <c r="C18" s="12"/>
      <c r="D18" s="21"/>
      <c r="E18" s="22"/>
      <c r="F18" s="23"/>
      <c r="G18" s="23"/>
    </row>
    <row r="19" customFormat="1" ht="24" customHeight="1" spans="1:7">
      <c r="E19" s="24">
        <f>SUM(E3:E18)</f>
        <v>16</v>
      </c>
      <c r="F19" s="24">
        <f>SUM(F3:F18)</f>
        <v>10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G20" sqref="G20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8" width="25.2857142857143" customWidth="1"/>
  </cols>
  <sheetData>
    <row r="1" ht="38" customHeight="1" spans="1:8">
      <c r="A1" s="2" t="s">
        <v>50</v>
      </c>
      <c r="B1" s="2"/>
      <c r="C1" s="2"/>
      <c r="D1" s="2"/>
      <c r="E1" s="2"/>
      <c r="F1" s="3"/>
      <c r="G1" s="4"/>
      <c r="H1" s="5"/>
    </row>
    <row r="2" s="1" customFormat="1" ht="32" customHeight="1" spans="1:8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8">
      <c r="A3" s="10">
        <v>1</v>
      </c>
      <c r="B3" s="11">
        <v>46111</v>
      </c>
      <c r="C3" s="12" t="s">
        <v>36</v>
      </c>
      <c r="D3" s="13" t="s">
        <v>57</v>
      </c>
      <c r="E3" s="14">
        <v>1</v>
      </c>
      <c r="F3" s="15">
        <v>2</v>
      </c>
      <c r="G3" s="15" t="s">
        <v>58</v>
      </c>
      <c r="H3" s="16" t="s">
        <v>62</v>
      </c>
    </row>
    <row r="4" customFormat="1" ht="22" customHeight="1" spans="1:8">
      <c r="A4" s="10">
        <v>2</v>
      </c>
      <c r="B4" s="11">
        <v>46111</v>
      </c>
      <c r="C4" s="12" t="s">
        <v>40</v>
      </c>
      <c r="D4" s="13" t="s">
        <v>57</v>
      </c>
      <c r="E4" s="14">
        <v>1</v>
      </c>
      <c r="F4" s="15">
        <v>2</v>
      </c>
      <c r="G4" s="15" t="s">
        <v>60</v>
      </c>
      <c r="H4" s="16" t="s">
        <v>62</v>
      </c>
    </row>
    <row r="5" customFormat="1" ht="22" customHeight="1" spans="1:8">
      <c r="A5" s="10">
        <v>3</v>
      </c>
      <c r="B5" s="11">
        <v>46111</v>
      </c>
      <c r="C5" s="12" t="s">
        <v>13</v>
      </c>
      <c r="D5" s="13" t="s">
        <v>57</v>
      </c>
      <c r="E5" s="14">
        <v>3</v>
      </c>
      <c r="F5" s="15"/>
      <c r="G5" s="15"/>
      <c r="H5" s="17"/>
    </row>
    <row r="6" customFormat="1" ht="22" customHeight="1" spans="1:8">
      <c r="A6" s="10">
        <v>4</v>
      </c>
      <c r="B6" s="11">
        <v>46111</v>
      </c>
      <c r="C6" s="12" t="s">
        <v>17</v>
      </c>
      <c r="D6" s="13" t="s">
        <v>57</v>
      </c>
      <c r="E6" s="14">
        <v>3</v>
      </c>
      <c r="F6" s="15"/>
      <c r="G6" s="15"/>
      <c r="H6" s="18"/>
    </row>
    <row r="7" customFormat="1" ht="22" customHeight="1" spans="1:8">
      <c r="A7" s="10">
        <v>5</v>
      </c>
      <c r="B7" s="11">
        <v>46111</v>
      </c>
      <c r="C7" s="12" t="s">
        <v>19</v>
      </c>
      <c r="D7" s="13" t="s">
        <v>57</v>
      </c>
      <c r="E7" s="14">
        <v>3</v>
      </c>
      <c r="F7" s="15"/>
      <c r="G7" s="15"/>
    </row>
    <row r="8" customFormat="1" ht="22" customHeight="1" spans="1:8">
      <c r="A8" s="10">
        <v>6</v>
      </c>
      <c r="B8" s="11">
        <v>46111</v>
      </c>
      <c r="C8" s="12" t="s">
        <v>21</v>
      </c>
      <c r="D8" s="13" t="s">
        <v>57</v>
      </c>
      <c r="E8" s="14"/>
      <c r="F8" s="15">
        <v>3</v>
      </c>
      <c r="G8" s="15"/>
    </row>
    <row r="9" customFormat="1" ht="22" customHeight="1" spans="1:8">
      <c r="A9" s="10">
        <v>7</v>
      </c>
      <c r="B9" s="11">
        <v>46111</v>
      </c>
      <c r="C9" s="12" t="s">
        <v>23</v>
      </c>
      <c r="D9" s="13" t="s">
        <v>57</v>
      </c>
      <c r="E9" s="14"/>
      <c r="F9" s="15">
        <v>3</v>
      </c>
      <c r="G9" s="15"/>
    </row>
    <row r="10" customFormat="1" ht="22" customHeight="1" spans="1:8">
      <c r="A10" s="10">
        <v>8</v>
      </c>
      <c r="B10" s="11">
        <v>46111</v>
      </c>
      <c r="C10" s="12" t="s">
        <v>27</v>
      </c>
      <c r="D10" s="13" t="s">
        <v>57</v>
      </c>
      <c r="E10" s="14">
        <v>3</v>
      </c>
      <c r="F10" s="15"/>
      <c r="G10" s="15"/>
    </row>
    <row r="11" customFormat="1" ht="22" customHeight="1" spans="1:8">
      <c r="A11" s="10">
        <v>9</v>
      </c>
      <c r="B11" s="11">
        <v>46111</v>
      </c>
      <c r="C11" s="12" t="s">
        <v>28</v>
      </c>
      <c r="D11" s="13" t="s">
        <v>57</v>
      </c>
      <c r="E11" s="14">
        <v>3</v>
      </c>
      <c r="F11" s="15"/>
      <c r="G11" s="15"/>
    </row>
    <row r="12" customFormat="1" ht="22" customHeight="1" spans="1:8">
      <c r="A12" s="10">
        <v>10</v>
      </c>
      <c r="B12" s="11">
        <v>46111</v>
      </c>
      <c r="C12" s="12" t="s">
        <v>30</v>
      </c>
      <c r="D12" s="13" t="s">
        <v>57</v>
      </c>
      <c r="E12" s="14">
        <v>3</v>
      </c>
      <c r="F12" s="15"/>
      <c r="G12" s="15"/>
    </row>
    <row r="13" customFormat="1" ht="22" customHeight="1" spans="1:8">
      <c r="A13" s="10">
        <v>11</v>
      </c>
      <c r="B13" s="11">
        <v>46111</v>
      </c>
      <c r="C13" s="12" t="s">
        <v>31</v>
      </c>
      <c r="D13" s="13" t="s">
        <v>57</v>
      </c>
      <c r="E13" s="14">
        <v>3</v>
      </c>
      <c r="F13" s="15"/>
      <c r="G13" s="15"/>
    </row>
    <row r="14" customFormat="1" ht="22" customHeight="1" spans="1:8">
      <c r="A14" s="10">
        <v>12</v>
      </c>
      <c r="B14" s="11">
        <v>46111</v>
      </c>
      <c r="C14" s="12" t="s">
        <v>32</v>
      </c>
      <c r="D14" s="13" t="s">
        <v>57</v>
      </c>
      <c r="E14" s="14"/>
      <c r="F14" s="15">
        <v>3</v>
      </c>
      <c r="G14" s="15"/>
    </row>
    <row r="15" customFormat="1" ht="22" customHeight="1" spans="1:8">
      <c r="A15" s="10">
        <v>13</v>
      </c>
      <c r="B15" s="11">
        <v>46111</v>
      </c>
      <c r="C15" s="12" t="s">
        <v>34</v>
      </c>
      <c r="D15" s="13" t="s">
        <v>57</v>
      </c>
      <c r="E15" s="14"/>
      <c r="F15" s="15">
        <v>3</v>
      </c>
      <c r="G15" s="15"/>
    </row>
    <row r="16" customFormat="1" ht="22" customHeight="1" spans="1:8">
      <c r="A16" s="19"/>
      <c r="B16" s="11"/>
      <c r="C16" s="12"/>
      <c r="D16" s="13"/>
      <c r="E16" s="14"/>
      <c r="F16" s="15"/>
      <c r="G16" s="15"/>
    </row>
    <row r="17" customFormat="1" ht="22" customHeight="1" spans="1:7">
      <c r="A17" s="10"/>
      <c r="B17" s="11"/>
      <c r="C17" s="12"/>
      <c r="D17" s="13"/>
      <c r="E17" s="14"/>
      <c r="F17" s="15"/>
      <c r="G17" s="15"/>
    </row>
    <row r="18" customFormat="1" ht="14.25" spans="1:7">
      <c r="A18" s="10"/>
      <c r="B18" s="20"/>
      <c r="C18" s="12"/>
      <c r="D18" s="21"/>
      <c r="E18" s="22"/>
      <c r="F18" s="23"/>
      <c r="G18" s="23"/>
    </row>
    <row r="19" customFormat="1" ht="13.5" spans="1:7">
      <c r="E19" s="24">
        <f>SUM(E3:E18)</f>
        <v>23</v>
      </c>
      <c r="F19" s="24">
        <f>SUM(F3:F18)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B4" sqref="B4:B15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1428571428571" customWidth="1"/>
    <col min="8" max="8" width="25.2857142857143" customWidth="1"/>
  </cols>
  <sheetData>
    <row r="1" ht="38" customHeight="1" spans="1:8">
      <c r="A1" s="2" t="s">
        <v>63</v>
      </c>
      <c r="B1" s="2"/>
      <c r="C1" s="2"/>
      <c r="D1" s="2"/>
      <c r="E1" s="2"/>
      <c r="F1" s="3"/>
      <c r="G1" s="4"/>
      <c r="H1" s="5"/>
    </row>
    <row r="2" s="1" customFormat="1" ht="32" customHeight="1" spans="1:8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8">
      <c r="A3" s="10">
        <v>1</v>
      </c>
      <c r="B3" s="11">
        <v>46114</v>
      </c>
      <c r="C3" s="12" t="s">
        <v>36</v>
      </c>
      <c r="D3" s="13" t="s">
        <v>61</v>
      </c>
      <c r="E3" s="14">
        <v>1</v>
      </c>
      <c r="F3" s="15">
        <v>1</v>
      </c>
      <c r="G3" s="15" t="s">
        <v>58</v>
      </c>
      <c r="H3" s="16" t="s">
        <v>62</v>
      </c>
    </row>
    <row r="4" customFormat="1" ht="22" customHeight="1" spans="1:8">
      <c r="A4" s="10">
        <v>2</v>
      </c>
      <c r="B4" s="11">
        <v>46114</v>
      </c>
      <c r="C4" s="12" t="s">
        <v>40</v>
      </c>
      <c r="D4" s="13" t="s">
        <v>61</v>
      </c>
      <c r="E4" s="14">
        <v>1</v>
      </c>
      <c r="F4" s="15">
        <v>1</v>
      </c>
      <c r="G4" s="15" t="s">
        <v>60</v>
      </c>
      <c r="H4" s="16" t="s">
        <v>62</v>
      </c>
    </row>
    <row r="5" customFormat="1" ht="22" customHeight="1" spans="1:8">
      <c r="A5" s="10">
        <v>3</v>
      </c>
      <c r="B5" s="11">
        <v>46114</v>
      </c>
      <c r="C5" s="12" t="s">
        <v>13</v>
      </c>
      <c r="D5" s="13" t="s">
        <v>61</v>
      </c>
      <c r="E5" s="14">
        <v>2</v>
      </c>
      <c r="F5" s="15"/>
      <c r="G5" s="15"/>
      <c r="H5" s="17"/>
    </row>
    <row r="6" customFormat="1" ht="22" customHeight="1" spans="1:8">
      <c r="A6" s="10">
        <v>4</v>
      </c>
      <c r="B6" s="11">
        <v>46114</v>
      </c>
      <c r="C6" s="12" t="s">
        <v>17</v>
      </c>
      <c r="D6" s="13" t="s">
        <v>61</v>
      </c>
      <c r="E6" s="14">
        <v>2</v>
      </c>
      <c r="F6" s="15"/>
      <c r="G6" s="15"/>
      <c r="H6" s="18"/>
    </row>
    <row r="7" customFormat="1" ht="22" customHeight="1" spans="1:8">
      <c r="A7" s="10">
        <v>5</v>
      </c>
      <c r="B7" s="11">
        <v>46114</v>
      </c>
      <c r="C7" s="12" t="s">
        <v>19</v>
      </c>
      <c r="D7" s="13" t="s">
        <v>61</v>
      </c>
      <c r="E7" s="14">
        <v>2</v>
      </c>
      <c r="F7" s="15"/>
      <c r="G7" s="15"/>
    </row>
    <row r="8" customFormat="1" ht="22" customHeight="1" spans="1:8">
      <c r="A8" s="10">
        <v>6</v>
      </c>
      <c r="B8" s="11">
        <v>46114</v>
      </c>
      <c r="C8" s="12" t="s">
        <v>21</v>
      </c>
      <c r="D8" s="13" t="s">
        <v>61</v>
      </c>
      <c r="E8" s="14"/>
      <c r="F8" s="15">
        <v>2</v>
      </c>
      <c r="G8" s="15"/>
    </row>
    <row r="9" customFormat="1" ht="22" customHeight="1" spans="1:8">
      <c r="A9" s="10">
        <v>7</v>
      </c>
      <c r="B9" s="11">
        <v>46114</v>
      </c>
      <c r="C9" s="12" t="s">
        <v>23</v>
      </c>
      <c r="D9" s="13" t="s">
        <v>61</v>
      </c>
      <c r="E9" s="14"/>
      <c r="F9" s="15">
        <v>2</v>
      </c>
      <c r="G9" s="15"/>
    </row>
    <row r="10" customFormat="1" ht="22" customHeight="1" spans="1:8">
      <c r="A10" s="10">
        <v>8</v>
      </c>
      <c r="B10" s="11">
        <v>46114</v>
      </c>
      <c r="C10" s="12" t="s">
        <v>27</v>
      </c>
      <c r="D10" s="13" t="s">
        <v>61</v>
      </c>
      <c r="E10" s="14">
        <v>2</v>
      </c>
      <c r="F10" s="15"/>
      <c r="G10" s="15"/>
    </row>
    <row r="11" customFormat="1" ht="22" customHeight="1" spans="1:8">
      <c r="A11" s="10">
        <v>9</v>
      </c>
      <c r="B11" s="11">
        <v>46114</v>
      </c>
      <c r="C11" s="12" t="s">
        <v>28</v>
      </c>
      <c r="D11" s="13" t="s">
        <v>61</v>
      </c>
      <c r="E11" s="14">
        <v>2</v>
      </c>
      <c r="F11" s="15"/>
      <c r="G11" s="15"/>
    </row>
    <row r="12" customFormat="1" ht="22" customHeight="1" spans="1:8">
      <c r="A12" s="10">
        <v>10</v>
      </c>
      <c r="B12" s="11">
        <v>46114</v>
      </c>
      <c r="C12" s="12" t="s">
        <v>30</v>
      </c>
      <c r="D12" s="13" t="s">
        <v>61</v>
      </c>
      <c r="E12" s="14">
        <v>2</v>
      </c>
      <c r="F12" s="15"/>
      <c r="G12" s="15"/>
    </row>
    <row r="13" customFormat="1" ht="22" customHeight="1" spans="1:8">
      <c r="A13" s="10">
        <v>11</v>
      </c>
      <c r="B13" s="11">
        <v>46114</v>
      </c>
      <c r="C13" s="12" t="s">
        <v>31</v>
      </c>
      <c r="D13" s="13" t="s">
        <v>61</v>
      </c>
      <c r="E13" s="14">
        <v>2</v>
      </c>
      <c r="F13" s="15"/>
      <c r="G13" s="15"/>
    </row>
    <row r="14" customFormat="1" ht="22" customHeight="1" spans="1:8">
      <c r="A14" s="10">
        <v>12</v>
      </c>
      <c r="B14" s="11">
        <v>46114</v>
      </c>
      <c r="C14" s="12" t="s">
        <v>32</v>
      </c>
      <c r="D14" s="13" t="s">
        <v>61</v>
      </c>
      <c r="E14" s="14"/>
      <c r="F14" s="15">
        <v>2</v>
      </c>
      <c r="G14" s="15"/>
    </row>
    <row r="15" customFormat="1" ht="22" customHeight="1" spans="1:8">
      <c r="A15" s="10">
        <v>13</v>
      </c>
      <c r="B15" s="11">
        <v>46114</v>
      </c>
      <c r="C15" s="12" t="s">
        <v>34</v>
      </c>
      <c r="D15" s="13" t="s">
        <v>61</v>
      </c>
      <c r="E15" s="14"/>
      <c r="F15" s="15">
        <v>2</v>
      </c>
      <c r="G15" s="15"/>
    </row>
    <row r="16" customFormat="1" ht="22" customHeight="1" spans="1:8">
      <c r="A16" s="19"/>
      <c r="B16" s="11"/>
      <c r="C16" s="12"/>
      <c r="D16" s="13"/>
      <c r="E16" s="14"/>
      <c r="F16" s="15"/>
      <c r="G16" s="15"/>
    </row>
    <row r="17" customFormat="1" ht="22" customHeight="1" spans="1:7">
      <c r="A17" s="10"/>
      <c r="B17" s="11"/>
      <c r="C17" s="12"/>
      <c r="D17" s="13"/>
      <c r="E17" s="14"/>
      <c r="F17" s="15"/>
      <c r="G17" s="15"/>
    </row>
    <row r="18" customFormat="1" ht="14.25" spans="1:7">
      <c r="A18" s="10"/>
      <c r="B18" s="20"/>
      <c r="C18" s="12"/>
      <c r="D18" s="21"/>
      <c r="E18" s="22"/>
      <c r="F18" s="23"/>
      <c r="G18" s="23"/>
    </row>
    <row r="19" customFormat="1" ht="24" customHeight="1" spans="1:7">
      <c r="E19" s="24">
        <f>SUM(E3:E18)</f>
        <v>16</v>
      </c>
      <c r="F19" s="24">
        <f>SUM(F3:F18)</f>
        <v>10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G13" sqref="G13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18.4285714285714" customWidth="1"/>
    <col min="4" max="6" width="12.1428571428571" customWidth="1"/>
    <col min="7" max="8" width="25.2857142857143" customWidth="1"/>
  </cols>
  <sheetData>
    <row r="1" ht="38" customHeight="1" spans="1:8">
      <c r="A1" s="2" t="s">
        <v>50</v>
      </c>
      <c r="B1" s="2"/>
      <c r="C1" s="2"/>
      <c r="D1" s="2"/>
      <c r="E1" s="2"/>
      <c r="F1" s="3"/>
      <c r="G1" s="4"/>
      <c r="H1" s="5"/>
    </row>
    <row r="2" s="1" customFormat="1" ht="32" customHeight="1" spans="1:8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8">
      <c r="A3" s="10">
        <v>1</v>
      </c>
      <c r="B3" s="11">
        <v>46119</v>
      </c>
      <c r="C3" s="12" t="s">
        <v>36</v>
      </c>
      <c r="D3" s="13" t="s">
        <v>57</v>
      </c>
      <c r="E3" s="14">
        <v>1</v>
      </c>
      <c r="F3" s="15">
        <v>2</v>
      </c>
      <c r="G3" s="15" t="s">
        <v>58</v>
      </c>
      <c r="H3" s="16" t="s">
        <v>62</v>
      </c>
    </row>
    <row r="4" customFormat="1" ht="22" customHeight="1" spans="1:8">
      <c r="A4" s="10">
        <v>2</v>
      </c>
      <c r="B4" s="11">
        <v>46119</v>
      </c>
      <c r="C4" s="12" t="s">
        <v>40</v>
      </c>
      <c r="D4" s="13" t="s">
        <v>57</v>
      </c>
      <c r="E4" s="14">
        <v>1</v>
      </c>
      <c r="F4" s="15">
        <v>2</v>
      </c>
      <c r="G4" s="15" t="s">
        <v>60</v>
      </c>
      <c r="H4" s="16" t="s">
        <v>62</v>
      </c>
    </row>
    <row r="5" customFormat="1" ht="22" customHeight="1" spans="1:8">
      <c r="A5" s="10">
        <v>3</v>
      </c>
      <c r="B5" s="11">
        <v>46119</v>
      </c>
      <c r="C5" s="12" t="s">
        <v>13</v>
      </c>
      <c r="D5" s="13" t="s">
        <v>57</v>
      </c>
      <c r="E5" s="14">
        <v>3</v>
      </c>
      <c r="F5" s="15"/>
      <c r="G5" s="15"/>
      <c r="H5" s="17"/>
    </row>
    <row r="6" customFormat="1" ht="22" customHeight="1" spans="1:8">
      <c r="A6" s="10">
        <v>4</v>
      </c>
      <c r="B6" s="11">
        <v>46119</v>
      </c>
      <c r="C6" s="12" t="s">
        <v>17</v>
      </c>
      <c r="D6" s="13" t="s">
        <v>57</v>
      </c>
      <c r="E6" s="14">
        <v>3</v>
      </c>
      <c r="F6" s="15"/>
      <c r="G6" s="15"/>
      <c r="H6" s="18"/>
    </row>
    <row r="7" customFormat="1" ht="22" customHeight="1" spans="1:8">
      <c r="A7" s="10">
        <v>5</v>
      </c>
      <c r="B7" s="11">
        <v>46119</v>
      </c>
      <c r="C7" s="12" t="s">
        <v>19</v>
      </c>
      <c r="D7" s="13" t="s">
        <v>57</v>
      </c>
      <c r="E7" s="14">
        <v>3</v>
      </c>
      <c r="F7" s="15"/>
      <c r="G7" s="15"/>
    </row>
    <row r="8" customFormat="1" ht="22" customHeight="1" spans="1:8">
      <c r="A8" s="10">
        <v>6</v>
      </c>
      <c r="B8" s="11">
        <v>46119</v>
      </c>
      <c r="C8" s="12" t="s">
        <v>21</v>
      </c>
      <c r="D8" s="13" t="s">
        <v>57</v>
      </c>
      <c r="E8" s="14"/>
      <c r="F8" s="15">
        <v>3</v>
      </c>
      <c r="G8" s="15"/>
    </row>
    <row r="9" customFormat="1" ht="22" customHeight="1" spans="1:8">
      <c r="A9" s="10">
        <v>7</v>
      </c>
      <c r="B9" s="11">
        <v>46119</v>
      </c>
      <c r="C9" s="12" t="s">
        <v>23</v>
      </c>
      <c r="D9" s="13" t="s">
        <v>57</v>
      </c>
      <c r="E9" s="14"/>
      <c r="F9" s="15">
        <v>3</v>
      </c>
      <c r="G9" s="15"/>
    </row>
    <row r="10" customFormat="1" ht="22" customHeight="1" spans="1:8">
      <c r="A10" s="10">
        <v>8</v>
      </c>
      <c r="B10" s="11">
        <v>46119</v>
      </c>
      <c r="C10" s="12" t="s">
        <v>27</v>
      </c>
      <c r="D10" s="13" t="s">
        <v>57</v>
      </c>
      <c r="E10" s="14">
        <v>3</v>
      </c>
      <c r="F10" s="15"/>
      <c r="G10" s="15"/>
    </row>
    <row r="11" customFormat="1" ht="22" customHeight="1" spans="1:8">
      <c r="A11" s="10">
        <v>9</v>
      </c>
      <c r="B11" s="11">
        <v>46119</v>
      </c>
      <c r="C11" s="12" t="s">
        <v>28</v>
      </c>
      <c r="D11" s="13" t="s">
        <v>57</v>
      </c>
      <c r="E11" s="14">
        <v>3</v>
      </c>
      <c r="F11" s="15"/>
      <c r="G11" s="15"/>
    </row>
    <row r="12" customFormat="1" ht="22" customHeight="1" spans="1:8">
      <c r="A12" s="10">
        <v>10</v>
      </c>
      <c r="B12" s="11">
        <v>46119</v>
      </c>
      <c r="C12" s="12" t="s">
        <v>30</v>
      </c>
      <c r="D12" s="13" t="s">
        <v>57</v>
      </c>
      <c r="E12" s="14">
        <v>3</v>
      </c>
      <c r="F12" s="15"/>
      <c r="G12" s="15"/>
    </row>
    <row r="13" customFormat="1" ht="22" customHeight="1" spans="1:8">
      <c r="A13" s="10">
        <v>11</v>
      </c>
      <c r="B13" s="11">
        <v>46119</v>
      </c>
      <c r="C13" s="12" t="s">
        <v>31</v>
      </c>
      <c r="D13" s="13" t="s">
        <v>57</v>
      </c>
      <c r="E13" s="14">
        <v>3</v>
      </c>
      <c r="F13" s="15"/>
      <c r="G13" s="15"/>
    </row>
    <row r="14" customFormat="1" ht="22" customHeight="1" spans="1:8">
      <c r="A14" s="10">
        <v>12</v>
      </c>
      <c r="B14" s="11">
        <v>46119</v>
      </c>
      <c r="C14" s="12" t="s">
        <v>32</v>
      </c>
      <c r="D14" s="13" t="s">
        <v>57</v>
      </c>
      <c r="E14" s="14"/>
      <c r="F14" s="15">
        <v>3</v>
      </c>
      <c r="G14" s="15"/>
    </row>
    <row r="15" customFormat="1" ht="22" customHeight="1" spans="1:8">
      <c r="A15" s="10">
        <v>13</v>
      </c>
      <c r="B15" s="11">
        <v>46119</v>
      </c>
      <c r="C15" s="12" t="s">
        <v>34</v>
      </c>
      <c r="D15" s="13" t="s">
        <v>57</v>
      </c>
      <c r="E15" s="14"/>
      <c r="F15" s="15">
        <v>3</v>
      </c>
      <c r="G15" s="15"/>
    </row>
    <row r="16" customFormat="1" ht="22" customHeight="1" spans="1:8">
      <c r="A16" s="19"/>
      <c r="B16" s="11"/>
      <c r="C16" s="12"/>
      <c r="D16" s="13"/>
      <c r="E16" s="14"/>
      <c r="F16" s="15"/>
      <c r="G16" s="15"/>
    </row>
    <row r="17" customFormat="1" ht="22" customHeight="1" spans="1:7">
      <c r="A17" s="10"/>
      <c r="B17" s="11"/>
      <c r="C17" s="12"/>
      <c r="D17" s="13"/>
      <c r="E17" s="14"/>
      <c r="F17" s="15"/>
      <c r="G17" s="15"/>
    </row>
    <row r="18" customFormat="1" ht="14.25" spans="1:7">
      <c r="A18" s="10"/>
      <c r="B18" s="20"/>
      <c r="C18" s="12"/>
      <c r="D18" s="21"/>
      <c r="E18" s="22"/>
      <c r="F18" s="23"/>
      <c r="G18" s="23"/>
    </row>
    <row r="19" customFormat="1" ht="13.5" spans="1:7">
      <c r="E19" s="24">
        <f>SUM(E3:E18)</f>
        <v>23</v>
      </c>
      <c r="F19" s="24">
        <f>SUM(F3:F18)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C10" sqref="C10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1428571428571" customWidth="1"/>
    <col min="8" max="8" width="25.2857142857143" customWidth="1"/>
  </cols>
  <sheetData>
    <row r="1" ht="38" customHeight="1" spans="1:8">
      <c r="A1" s="2" t="s">
        <v>63</v>
      </c>
      <c r="B1" s="2"/>
      <c r="C1" s="2"/>
      <c r="D1" s="2"/>
      <c r="E1" s="2"/>
      <c r="F1" s="3"/>
      <c r="G1" s="4"/>
      <c r="H1" s="5"/>
    </row>
    <row r="2" s="1" customFormat="1" ht="32" customHeight="1" spans="1:8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8">
      <c r="A3" s="10">
        <v>1</v>
      </c>
      <c r="B3" s="11">
        <v>46121</v>
      </c>
      <c r="C3" s="12" t="s">
        <v>36</v>
      </c>
      <c r="D3" s="13" t="s">
        <v>61</v>
      </c>
      <c r="E3" s="14">
        <v>1</v>
      </c>
      <c r="F3" s="15">
        <v>1</v>
      </c>
      <c r="G3" s="15" t="s">
        <v>58</v>
      </c>
      <c r="H3" s="16" t="s">
        <v>62</v>
      </c>
    </row>
    <row r="4" customFormat="1" ht="22" customHeight="1" spans="1:8">
      <c r="A4" s="10">
        <v>2</v>
      </c>
      <c r="B4" s="11">
        <v>46121</v>
      </c>
      <c r="C4" s="12" t="s">
        <v>40</v>
      </c>
      <c r="D4" s="13" t="s">
        <v>61</v>
      </c>
      <c r="E4" s="14">
        <v>1</v>
      </c>
      <c r="F4" s="15">
        <v>1</v>
      </c>
      <c r="G4" s="15" t="s">
        <v>60</v>
      </c>
      <c r="H4" s="16" t="s">
        <v>62</v>
      </c>
    </row>
    <row r="5" customFormat="1" ht="22" customHeight="1" spans="1:8">
      <c r="A5" s="10">
        <v>3</v>
      </c>
      <c r="B5" s="11">
        <v>46121</v>
      </c>
      <c r="C5" s="12" t="s">
        <v>13</v>
      </c>
      <c r="D5" s="13" t="s">
        <v>61</v>
      </c>
      <c r="E5" s="14">
        <v>2</v>
      </c>
      <c r="F5" s="15"/>
      <c r="G5" s="15"/>
      <c r="H5" s="17"/>
    </row>
    <row r="6" customFormat="1" ht="22" customHeight="1" spans="1:8">
      <c r="A6" s="10">
        <v>4</v>
      </c>
      <c r="B6" s="11">
        <v>46121</v>
      </c>
      <c r="C6" s="12" t="s">
        <v>17</v>
      </c>
      <c r="D6" s="13" t="s">
        <v>61</v>
      </c>
      <c r="E6" s="14">
        <v>2</v>
      </c>
      <c r="F6" s="15"/>
      <c r="G6" s="15"/>
      <c r="H6" s="18"/>
    </row>
    <row r="7" customFormat="1" ht="22" customHeight="1" spans="1:8">
      <c r="A7" s="10">
        <v>5</v>
      </c>
      <c r="B7" s="11">
        <v>46121</v>
      </c>
      <c r="C7" s="12" t="s">
        <v>19</v>
      </c>
      <c r="D7" s="13" t="s">
        <v>61</v>
      </c>
      <c r="E7" s="14">
        <v>2</v>
      </c>
      <c r="F7" s="15"/>
      <c r="G7" s="15"/>
    </row>
    <row r="8" customFormat="1" ht="22" customHeight="1" spans="1:8">
      <c r="A8" s="10">
        <v>6</v>
      </c>
      <c r="B8" s="11">
        <v>46121</v>
      </c>
      <c r="C8" s="12" t="s">
        <v>21</v>
      </c>
      <c r="D8" s="13" t="s">
        <v>61</v>
      </c>
      <c r="E8" s="14"/>
      <c r="F8" s="15">
        <v>2</v>
      </c>
      <c r="G8" s="15"/>
    </row>
    <row r="9" customFormat="1" ht="22" customHeight="1" spans="1:8">
      <c r="A9" s="10">
        <v>7</v>
      </c>
      <c r="B9" s="11">
        <v>46121</v>
      </c>
      <c r="C9" s="12" t="s">
        <v>23</v>
      </c>
      <c r="D9" s="13" t="s">
        <v>61</v>
      </c>
      <c r="E9" s="14"/>
      <c r="F9" s="15">
        <v>2</v>
      </c>
      <c r="G9" s="15"/>
    </row>
    <row r="10" customFormat="1" ht="22" customHeight="1" spans="1:8">
      <c r="A10" s="10">
        <v>8</v>
      </c>
      <c r="B10" s="11">
        <v>46121</v>
      </c>
      <c r="C10" s="12" t="s">
        <v>27</v>
      </c>
      <c r="D10" s="13" t="s">
        <v>61</v>
      </c>
      <c r="E10" s="14">
        <v>2</v>
      </c>
      <c r="F10" s="15"/>
      <c r="G10" s="15"/>
    </row>
    <row r="11" customFormat="1" ht="22" customHeight="1" spans="1:8">
      <c r="A11" s="10">
        <v>9</v>
      </c>
      <c r="B11" s="11">
        <v>46121</v>
      </c>
      <c r="C11" s="12" t="s">
        <v>28</v>
      </c>
      <c r="D11" s="13" t="s">
        <v>61</v>
      </c>
      <c r="E11" s="14">
        <v>2</v>
      </c>
      <c r="F11" s="15"/>
      <c r="G11" s="15"/>
    </row>
    <row r="12" customFormat="1" ht="22" customHeight="1" spans="1:8">
      <c r="A12" s="10">
        <v>10</v>
      </c>
      <c r="B12" s="11">
        <v>46121</v>
      </c>
      <c r="C12" s="12" t="s">
        <v>30</v>
      </c>
      <c r="D12" s="13" t="s">
        <v>61</v>
      </c>
      <c r="E12" s="14">
        <v>2</v>
      </c>
      <c r="F12" s="15"/>
      <c r="G12" s="15"/>
    </row>
    <row r="13" customFormat="1" ht="22" customHeight="1" spans="1:8">
      <c r="A13" s="10">
        <v>11</v>
      </c>
      <c r="B13" s="11">
        <v>46121</v>
      </c>
      <c r="C13" s="12" t="s">
        <v>31</v>
      </c>
      <c r="D13" s="13" t="s">
        <v>61</v>
      </c>
      <c r="E13" s="14">
        <v>2</v>
      </c>
      <c r="F13" s="15"/>
      <c r="G13" s="15"/>
    </row>
    <row r="14" customFormat="1" ht="22" customHeight="1" spans="1:8">
      <c r="A14" s="10">
        <v>12</v>
      </c>
      <c r="B14" s="11">
        <v>46121</v>
      </c>
      <c r="C14" s="12" t="s">
        <v>32</v>
      </c>
      <c r="D14" s="13" t="s">
        <v>61</v>
      </c>
      <c r="E14" s="14"/>
      <c r="F14" s="15">
        <v>2</v>
      </c>
      <c r="G14" s="15"/>
    </row>
    <row r="15" customFormat="1" ht="22" customHeight="1" spans="1:8">
      <c r="A15" s="10">
        <v>13</v>
      </c>
      <c r="B15" s="11">
        <v>46121</v>
      </c>
      <c r="C15" s="12" t="s">
        <v>34</v>
      </c>
      <c r="D15" s="13" t="s">
        <v>61</v>
      </c>
      <c r="E15" s="14"/>
      <c r="F15" s="15">
        <v>2</v>
      </c>
      <c r="G15" s="15"/>
    </row>
    <row r="16" customFormat="1" ht="22" customHeight="1" spans="1:8">
      <c r="A16" s="19"/>
      <c r="B16" s="11"/>
      <c r="C16" s="12"/>
      <c r="D16" s="13"/>
      <c r="E16" s="14"/>
      <c r="F16" s="15"/>
      <c r="G16" s="15"/>
    </row>
    <row r="17" customFormat="1" ht="22" customHeight="1" spans="1:7">
      <c r="A17" s="10"/>
      <c r="B17" s="11"/>
      <c r="C17" s="12"/>
      <c r="D17" s="13"/>
      <c r="E17" s="14"/>
      <c r="F17" s="15"/>
      <c r="G17" s="15"/>
    </row>
    <row r="18" customFormat="1" ht="14.25" spans="1:7">
      <c r="A18" s="10"/>
      <c r="B18" s="20"/>
      <c r="C18" s="12"/>
      <c r="D18" s="21"/>
      <c r="E18" s="22"/>
      <c r="F18" s="23"/>
      <c r="G18" s="23"/>
    </row>
    <row r="19" customFormat="1" ht="24" customHeight="1" spans="1:7">
      <c r="E19" s="24">
        <f>SUM(E3:E18)</f>
        <v>16</v>
      </c>
      <c r="F19" s="24">
        <f>SUM(F3:F18)</f>
        <v>10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F13" sqref="F13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18.4285714285714" customWidth="1"/>
    <col min="4" max="6" width="12.1428571428571" customWidth="1"/>
    <col min="7" max="8" width="25.2857142857143" customWidth="1"/>
  </cols>
  <sheetData>
    <row r="1" ht="38" customHeight="1" spans="1:8">
      <c r="A1" s="2" t="s">
        <v>50</v>
      </c>
      <c r="B1" s="2"/>
      <c r="C1" s="2"/>
      <c r="D1" s="2"/>
      <c r="E1" s="2"/>
      <c r="F1" s="3"/>
      <c r="G1" s="4"/>
      <c r="H1" s="5"/>
    </row>
    <row r="2" s="1" customFormat="1" ht="32" customHeight="1" spans="1:8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8">
      <c r="A3" s="10">
        <v>1</v>
      </c>
      <c r="B3" s="11">
        <v>46125</v>
      </c>
      <c r="C3" s="12" t="s">
        <v>36</v>
      </c>
      <c r="D3" s="13" t="s">
        <v>57</v>
      </c>
      <c r="E3" s="14">
        <v>1</v>
      </c>
      <c r="F3" s="15">
        <v>2</v>
      </c>
      <c r="G3" s="15" t="s">
        <v>58</v>
      </c>
      <c r="H3" s="16" t="s">
        <v>62</v>
      </c>
    </row>
    <row r="4" customFormat="1" ht="22" customHeight="1" spans="1:8">
      <c r="A4" s="10">
        <v>2</v>
      </c>
      <c r="B4" s="11">
        <v>46125</v>
      </c>
      <c r="C4" s="12" t="s">
        <v>40</v>
      </c>
      <c r="D4" s="13" t="s">
        <v>57</v>
      </c>
      <c r="E4" s="14">
        <v>1</v>
      </c>
      <c r="F4" s="15">
        <v>2</v>
      </c>
      <c r="G4" s="15" t="s">
        <v>60</v>
      </c>
      <c r="H4" s="16" t="s">
        <v>62</v>
      </c>
    </row>
    <row r="5" customFormat="1" ht="22" customHeight="1" spans="1:8">
      <c r="A5" s="10">
        <v>3</v>
      </c>
      <c r="B5" s="11">
        <v>46125</v>
      </c>
      <c r="C5" s="12" t="s">
        <v>13</v>
      </c>
      <c r="D5" s="13" t="s">
        <v>57</v>
      </c>
      <c r="E5" s="14">
        <v>3</v>
      </c>
      <c r="F5" s="15"/>
      <c r="G5" s="15"/>
      <c r="H5" s="17"/>
    </row>
    <row r="6" customFormat="1" ht="22" customHeight="1" spans="1:8">
      <c r="A6" s="10">
        <v>4</v>
      </c>
      <c r="B6" s="11">
        <v>46125</v>
      </c>
      <c r="C6" s="12" t="s">
        <v>17</v>
      </c>
      <c r="D6" s="13" t="s">
        <v>57</v>
      </c>
      <c r="E6" s="14">
        <v>3</v>
      </c>
      <c r="F6" s="15"/>
      <c r="G6" s="15"/>
      <c r="H6" s="18"/>
    </row>
    <row r="7" customFormat="1" ht="22" customHeight="1" spans="1:8">
      <c r="A7" s="10">
        <v>5</v>
      </c>
      <c r="B7" s="11">
        <v>46125</v>
      </c>
      <c r="C7" s="12" t="s">
        <v>19</v>
      </c>
      <c r="D7" s="13" t="s">
        <v>57</v>
      </c>
      <c r="E7" s="14">
        <v>3</v>
      </c>
      <c r="F7" s="15"/>
      <c r="G7" s="15"/>
    </row>
    <row r="8" customFormat="1" ht="22" customHeight="1" spans="1:8">
      <c r="A8" s="10">
        <v>6</v>
      </c>
      <c r="B8" s="11">
        <v>46125</v>
      </c>
      <c r="C8" s="12" t="s">
        <v>21</v>
      </c>
      <c r="D8" s="13" t="s">
        <v>57</v>
      </c>
      <c r="E8" s="14"/>
      <c r="F8" s="15">
        <v>3</v>
      </c>
      <c r="G8" s="15"/>
    </row>
    <row r="9" customFormat="1" ht="22" customHeight="1" spans="1:8">
      <c r="A9" s="10">
        <v>7</v>
      </c>
      <c r="B9" s="11">
        <v>46125</v>
      </c>
      <c r="C9" s="12" t="s">
        <v>23</v>
      </c>
      <c r="D9" s="13" t="s">
        <v>57</v>
      </c>
      <c r="E9" s="14"/>
      <c r="F9" s="15">
        <v>3</v>
      </c>
      <c r="G9" s="15"/>
    </row>
    <row r="10" customFormat="1" ht="22" customHeight="1" spans="1:8">
      <c r="A10" s="10">
        <v>8</v>
      </c>
      <c r="B10" s="11">
        <v>46125</v>
      </c>
      <c r="C10" s="12" t="s">
        <v>27</v>
      </c>
      <c r="D10" s="13" t="s">
        <v>57</v>
      </c>
      <c r="E10" s="14">
        <v>3</v>
      </c>
      <c r="F10" s="15"/>
      <c r="G10" s="15"/>
    </row>
    <row r="11" customFormat="1" ht="22" customHeight="1" spans="1:8">
      <c r="A11" s="10">
        <v>9</v>
      </c>
      <c r="B11" s="11">
        <v>46125</v>
      </c>
      <c r="C11" s="12" t="s">
        <v>28</v>
      </c>
      <c r="D11" s="13" t="s">
        <v>57</v>
      </c>
      <c r="E11" s="14">
        <v>3</v>
      </c>
      <c r="F11" s="15"/>
      <c r="G11" s="15"/>
    </row>
    <row r="12" customFormat="1" ht="22" customHeight="1" spans="1:8">
      <c r="A12" s="10">
        <v>10</v>
      </c>
      <c r="B12" s="11">
        <v>46125</v>
      </c>
      <c r="C12" s="12" t="s">
        <v>30</v>
      </c>
      <c r="D12" s="13" t="s">
        <v>57</v>
      </c>
      <c r="E12" s="14">
        <v>3</v>
      </c>
      <c r="F12" s="15"/>
      <c r="G12" s="15"/>
    </row>
    <row r="13" customFormat="1" ht="22" customHeight="1" spans="1:8">
      <c r="A13" s="10">
        <v>11</v>
      </c>
      <c r="B13" s="11">
        <v>46125</v>
      </c>
      <c r="C13" s="12" t="s">
        <v>31</v>
      </c>
      <c r="D13" s="13" t="s">
        <v>57</v>
      </c>
      <c r="E13" s="14">
        <v>3</v>
      </c>
      <c r="F13" s="15"/>
      <c r="G13" s="15"/>
    </row>
    <row r="14" customFormat="1" ht="22" customHeight="1" spans="1:8">
      <c r="A14" s="10">
        <v>12</v>
      </c>
      <c r="B14" s="11">
        <v>46125</v>
      </c>
      <c r="C14" s="12" t="s">
        <v>32</v>
      </c>
      <c r="D14" s="13" t="s">
        <v>57</v>
      </c>
      <c r="E14" s="14"/>
      <c r="F14" s="15">
        <v>3</v>
      </c>
      <c r="G14" s="15"/>
    </row>
    <row r="15" customFormat="1" ht="22" customHeight="1" spans="1:8">
      <c r="A15" s="10">
        <v>13</v>
      </c>
      <c r="B15" s="11">
        <v>46125</v>
      </c>
      <c r="C15" s="12" t="s">
        <v>34</v>
      </c>
      <c r="D15" s="13" t="s">
        <v>57</v>
      </c>
      <c r="E15" s="14"/>
      <c r="F15" s="15">
        <v>3</v>
      </c>
      <c r="G15" s="15"/>
    </row>
    <row r="16" customFormat="1" ht="22" customHeight="1" spans="1:8">
      <c r="A16" s="19"/>
      <c r="B16" s="11"/>
      <c r="C16" s="12"/>
      <c r="D16" s="13"/>
      <c r="E16" s="14"/>
      <c r="F16" s="15"/>
      <c r="G16" s="15"/>
    </row>
    <row r="17" customFormat="1" ht="22" customHeight="1" spans="1:7">
      <c r="A17" s="10"/>
      <c r="B17" s="11"/>
      <c r="C17" s="12"/>
      <c r="D17" s="13"/>
      <c r="E17" s="14"/>
      <c r="F17" s="15"/>
      <c r="G17" s="15"/>
    </row>
    <row r="18" customFormat="1" ht="14.25" spans="1:7">
      <c r="A18" s="10"/>
      <c r="B18" s="20"/>
      <c r="C18" s="12"/>
      <c r="D18" s="21"/>
      <c r="E18" s="22"/>
      <c r="F18" s="23"/>
      <c r="G18" s="23"/>
    </row>
    <row r="19" customFormat="1" ht="13.5" spans="1:7">
      <c r="E19" s="24">
        <f>SUM(E3:E18)</f>
        <v>23</v>
      </c>
      <c r="F19" s="24">
        <f>SUM(F3:F18)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F13" sqref="F1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1428571428571" customWidth="1"/>
    <col min="8" max="8" width="12.8571428571429" customWidth="1"/>
  </cols>
  <sheetData>
    <row r="1" ht="38" customHeight="1" spans="1:9">
      <c r="A1" s="2" t="s">
        <v>63</v>
      </c>
      <c r="B1" s="2"/>
      <c r="C1" s="2"/>
      <c r="D1" s="2"/>
      <c r="E1" s="2"/>
      <c r="F1" s="3"/>
      <c r="G1" s="4"/>
      <c r="H1" s="5"/>
    </row>
    <row r="2" s="1" customFormat="1" ht="32" customHeight="1" spans="1:9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9">
      <c r="A3" s="10">
        <v>1</v>
      </c>
      <c r="B3" s="11">
        <v>46128</v>
      </c>
      <c r="C3" s="12" t="s">
        <v>36</v>
      </c>
      <c r="D3" s="13" t="s">
        <v>61</v>
      </c>
      <c r="E3" s="14">
        <v>1</v>
      </c>
      <c r="F3" s="15">
        <v>1</v>
      </c>
      <c r="G3" s="15" t="s">
        <v>58</v>
      </c>
      <c r="H3" s="16" t="s">
        <v>62</v>
      </c>
      <c r="I3">
        <f>E3+F3</f>
        <v>2</v>
      </c>
    </row>
    <row r="4" customFormat="1" ht="22" customHeight="1" spans="1:9">
      <c r="A4" s="10">
        <v>2</v>
      </c>
      <c r="B4" s="11">
        <v>46128</v>
      </c>
      <c r="C4" s="12" t="s">
        <v>40</v>
      </c>
      <c r="D4" s="13" t="s">
        <v>61</v>
      </c>
      <c r="E4" s="14">
        <v>1</v>
      </c>
      <c r="F4" s="15">
        <v>1</v>
      </c>
      <c r="G4" s="15" t="s">
        <v>60</v>
      </c>
      <c r="H4" s="16" t="s">
        <v>62</v>
      </c>
      <c r="I4">
        <f t="shared" ref="I4:I19" si="0">E4+F4</f>
        <v>2</v>
      </c>
    </row>
    <row r="5" customFormat="1" ht="22" customHeight="1" spans="1:9">
      <c r="A5" s="10">
        <v>3</v>
      </c>
      <c r="B5" s="11">
        <v>46128</v>
      </c>
      <c r="C5" s="12" t="s">
        <v>13</v>
      </c>
      <c r="D5" s="13" t="s">
        <v>61</v>
      </c>
      <c r="E5" s="14">
        <v>2</v>
      </c>
      <c r="F5" s="15"/>
      <c r="G5" s="15"/>
      <c r="H5" s="17"/>
      <c r="I5">
        <f t="shared" si="0"/>
        <v>2</v>
      </c>
    </row>
    <row r="6" customFormat="1" ht="22" customHeight="1" spans="1:9">
      <c r="A6" s="10">
        <v>4</v>
      </c>
      <c r="B6" s="11">
        <v>46128</v>
      </c>
      <c r="C6" s="12" t="s">
        <v>17</v>
      </c>
      <c r="D6" s="13" t="s">
        <v>61</v>
      </c>
      <c r="E6" s="14">
        <v>2</v>
      </c>
      <c r="F6" s="15"/>
      <c r="G6" s="15"/>
      <c r="H6" s="18"/>
      <c r="I6">
        <f t="shared" si="0"/>
        <v>2</v>
      </c>
    </row>
    <row r="7" customFormat="1" ht="22" customHeight="1" spans="1:9">
      <c r="A7" s="10">
        <v>5</v>
      </c>
      <c r="B7" s="11">
        <v>46128</v>
      </c>
      <c r="C7" s="12" t="s">
        <v>19</v>
      </c>
      <c r="D7" s="13" t="s">
        <v>61</v>
      </c>
      <c r="E7" s="14">
        <v>2</v>
      </c>
      <c r="F7" s="15"/>
      <c r="G7" s="15"/>
      <c r="I7">
        <f t="shared" si="0"/>
        <v>2</v>
      </c>
    </row>
    <row r="8" customFormat="1" ht="22" customHeight="1" spans="1:9">
      <c r="A8" s="10">
        <v>6</v>
      </c>
      <c r="B8" s="11">
        <v>46128</v>
      </c>
      <c r="C8" s="12" t="s">
        <v>21</v>
      </c>
      <c r="D8" s="13" t="s">
        <v>61</v>
      </c>
      <c r="E8" s="14"/>
      <c r="F8" s="15">
        <v>2</v>
      </c>
      <c r="G8" s="15"/>
      <c r="I8">
        <f t="shared" si="0"/>
        <v>2</v>
      </c>
    </row>
    <row r="9" customFormat="1" ht="22" customHeight="1" spans="1:9">
      <c r="A9" s="10">
        <v>7</v>
      </c>
      <c r="B9" s="11">
        <v>46128</v>
      </c>
      <c r="C9" s="12" t="s">
        <v>23</v>
      </c>
      <c r="D9" s="13" t="s">
        <v>61</v>
      </c>
      <c r="E9" s="14"/>
      <c r="F9" s="15">
        <v>2</v>
      </c>
      <c r="G9" s="15"/>
      <c r="I9">
        <f t="shared" si="0"/>
        <v>2</v>
      </c>
    </row>
    <row r="10" customFormat="1" ht="22" customHeight="1" spans="1:9">
      <c r="A10" s="10">
        <v>8</v>
      </c>
      <c r="B10" s="11">
        <v>46128</v>
      </c>
      <c r="C10" s="12" t="s">
        <v>27</v>
      </c>
      <c r="D10" s="13" t="s">
        <v>61</v>
      </c>
      <c r="E10" s="14">
        <v>2</v>
      </c>
      <c r="F10" s="15"/>
      <c r="G10" s="15"/>
      <c r="I10">
        <f t="shared" si="0"/>
        <v>2</v>
      </c>
    </row>
    <row r="11" customFormat="1" ht="22" customHeight="1" spans="1:9">
      <c r="A11" s="10">
        <v>9</v>
      </c>
      <c r="B11" s="11">
        <v>46128</v>
      </c>
      <c r="C11" s="12" t="s">
        <v>28</v>
      </c>
      <c r="D11" s="13" t="s">
        <v>61</v>
      </c>
      <c r="E11" s="14">
        <v>2</v>
      </c>
      <c r="F11" s="15"/>
      <c r="G11" s="15"/>
      <c r="I11">
        <f t="shared" si="0"/>
        <v>2</v>
      </c>
    </row>
    <row r="12" customFormat="1" ht="22" customHeight="1" spans="1:9">
      <c r="A12" s="10">
        <v>10</v>
      </c>
      <c r="B12" s="11">
        <v>46128</v>
      </c>
      <c r="C12" s="12" t="s">
        <v>30</v>
      </c>
      <c r="D12" s="13" t="s">
        <v>61</v>
      </c>
      <c r="E12" s="14">
        <v>2</v>
      </c>
      <c r="F12" s="15"/>
      <c r="G12" s="15"/>
      <c r="I12">
        <f t="shared" si="0"/>
        <v>2</v>
      </c>
    </row>
    <row r="13" customFormat="1" ht="22" customHeight="1" spans="1:9">
      <c r="A13" s="10">
        <v>11</v>
      </c>
      <c r="B13" s="11">
        <v>46128</v>
      </c>
      <c r="C13" s="12" t="s">
        <v>31</v>
      </c>
      <c r="D13" s="13" t="s">
        <v>61</v>
      </c>
      <c r="E13" s="14">
        <v>2</v>
      </c>
      <c r="F13" s="15"/>
      <c r="G13" s="15"/>
      <c r="I13">
        <f t="shared" si="0"/>
        <v>2</v>
      </c>
    </row>
    <row r="14" customFormat="1" ht="22" customHeight="1" spans="1:9">
      <c r="A14" s="10">
        <v>12</v>
      </c>
      <c r="B14" s="11">
        <v>46128</v>
      </c>
      <c r="C14" s="12" t="s">
        <v>32</v>
      </c>
      <c r="D14" s="13" t="s">
        <v>61</v>
      </c>
      <c r="E14" s="14"/>
      <c r="F14" s="15">
        <v>2</v>
      </c>
      <c r="G14" s="15"/>
      <c r="I14">
        <f t="shared" si="0"/>
        <v>2</v>
      </c>
    </row>
    <row r="15" customFormat="1" ht="22" customHeight="1" spans="1:9">
      <c r="A15" s="10">
        <v>13</v>
      </c>
      <c r="B15" s="11">
        <v>46128</v>
      </c>
      <c r="C15" s="12" t="s">
        <v>34</v>
      </c>
      <c r="D15" s="13" t="s">
        <v>61</v>
      </c>
      <c r="E15" s="14"/>
      <c r="F15" s="15">
        <v>2</v>
      </c>
      <c r="G15" s="15"/>
      <c r="I15">
        <f t="shared" si="0"/>
        <v>2</v>
      </c>
    </row>
    <row r="16" customFormat="1" ht="22" customHeight="1" spans="1:9">
      <c r="A16" s="19"/>
      <c r="B16" s="11"/>
      <c r="C16" s="12"/>
      <c r="D16" s="13"/>
      <c r="E16" s="14"/>
      <c r="F16" s="15"/>
      <c r="G16" s="15"/>
      <c r="I16">
        <f t="shared" si="0"/>
        <v>0</v>
      </c>
    </row>
    <row r="17" customFormat="1" ht="22" customHeight="1" spans="1:9">
      <c r="A17" s="10"/>
      <c r="B17" s="11"/>
      <c r="C17" s="12"/>
      <c r="D17" s="13"/>
      <c r="E17" s="14"/>
      <c r="F17" s="15"/>
      <c r="G17" s="15"/>
      <c r="I17">
        <f t="shared" si="0"/>
        <v>0</v>
      </c>
    </row>
    <row r="18" customFormat="1" ht="14.25" spans="1:9">
      <c r="A18" s="10"/>
      <c r="B18" s="20"/>
      <c r="C18" s="12"/>
      <c r="D18" s="21"/>
      <c r="E18" s="22"/>
      <c r="F18" s="23"/>
      <c r="G18" s="23"/>
      <c r="I18">
        <f t="shared" si="0"/>
        <v>0</v>
      </c>
    </row>
    <row r="19" customFormat="1" ht="24" customHeight="1" spans="1:9">
      <c r="E19" s="24">
        <f>SUM(E3:E18)</f>
        <v>16</v>
      </c>
      <c r="F19" s="24">
        <f>SUM(F3:F18)</f>
        <v>10</v>
      </c>
      <c r="I19">
        <f t="shared" si="0"/>
        <v>26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E22" sqref="E22"/>
    </sheetView>
  </sheetViews>
  <sheetFormatPr defaultColWidth="9.14285714285714" defaultRowHeight="12" outlineLevelCol="7"/>
  <cols>
    <col min="1" max="1" width="12.1428571428571" customWidth="1"/>
    <col min="2" max="2" width="14.4285714285714" customWidth="1"/>
    <col min="3" max="3" width="18.4285714285714" customWidth="1"/>
    <col min="4" max="6" width="12.1428571428571" customWidth="1"/>
    <col min="7" max="8" width="25.2857142857143" customWidth="1"/>
  </cols>
  <sheetData>
    <row r="1" ht="38" customHeight="1" spans="1:8">
      <c r="A1" s="2" t="s">
        <v>50</v>
      </c>
      <c r="B1" s="2"/>
      <c r="C1" s="2"/>
      <c r="D1" s="2"/>
      <c r="E1" s="2"/>
      <c r="F1" s="3"/>
      <c r="G1" s="4"/>
      <c r="H1" s="5"/>
    </row>
    <row r="2" s="1" customFormat="1" ht="32" customHeight="1" spans="1:8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8">
      <c r="A3" s="10">
        <v>1</v>
      </c>
      <c r="B3" s="11">
        <v>46132</v>
      </c>
      <c r="C3" s="12" t="s">
        <v>36</v>
      </c>
      <c r="D3" s="13" t="s">
        <v>57</v>
      </c>
      <c r="E3" s="14">
        <v>1</v>
      </c>
      <c r="F3" s="15">
        <v>2</v>
      </c>
      <c r="G3" s="15" t="s">
        <v>58</v>
      </c>
      <c r="H3" s="16" t="s">
        <v>62</v>
      </c>
    </row>
    <row r="4" customFormat="1" ht="22" customHeight="1" spans="1:8">
      <c r="A4" s="10">
        <v>2</v>
      </c>
      <c r="B4" s="11">
        <v>46132</v>
      </c>
      <c r="C4" s="12" t="s">
        <v>40</v>
      </c>
      <c r="D4" s="13" t="s">
        <v>57</v>
      </c>
      <c r="E4" s="14">
        <v>1</v>
      </c>
      <c r="F4" s="15">
        <v>2</v>
      </c>
      <c r="G4" s="15" t="s">
        <v>60</v>
      </c>
      <c r="H4" s="16" t="s">
        <v>62</v>
      </c>
    </row>
    <row r="5" customFormat="1" ht="22" customHeight="1" spans="1:8">
      <c r="A5" s="10">
        <v>3</v>
      </c>
      <c r="B5" s="11">
        <v>46132</v>
      </c>
      <c r="C5" s="12" t="s">
        <v>13</v>
      </c>
      <c r="D5" s="13" t="s">
        <v>57</v>
      </c>
      <c r="E5" s="14">
        <v>3</v>
      </c>
      <c r="F5" s="15"/>
      <c r="G5" s="15"/>
      <c r="H5" s="17"/>
    </row>
    <row r="6" customFormat="1" ht="22" customHeight="1" spans="1:8">
      <c r="A6" s="10">
        <v>4</v>
      </c>
      <c r="B6" s="11">
        <v>46132</v>
      </c>
      <c r="C6" s="12" t="s">
        <v>17</v>
      </c>
      <c r="D6" s="13" t="s">
        <v>57</v>
      </c>
      <c r="E6" s="14">
        <v>3</v>
      </c>
      <c r="F6" s="15"/>
      <c r="G6" s="15"/>
      <c r="H6" s="18"/>
    </row>
    <row r="7" customFormat="1" ht="22" customHeight="1" spans="1:8">
      <c r="A7" s="10">
        <v>5</v>
      </c>
      <c r="B7" s="11">
        <v>46132</v>
      </c>
      <c r="C7" s="12" t="s">
        <v>19</v>
      </c>
      <c r="D7" s="13" t="s">
        <v>57</v>
      </c>
      <c r="E7" s="14">
        <v>3</v>
      </c>
      <c r="F7" s="15"/>
      <c r="G7" s="15"/>
    </row>
    <row r="8" customFormat="1" ht="22" customHeight="1" spans="1:8">
      <c r="A8" s="10">
        <v>6</v>
      </c>
      <c r="B8" s="11">
        <v>46132</v>
      </c>
      <c r="C8" s="12" t="s">
        <v>21</v>
      </c>
      <c r="D8" s="13" t="s">
        <v>57</v>
      </c>
      <c r="E8" s="14"/>
      <c r="F8" s="15">
        <v>3</v>
      </c>
      <c r="G8" s="15"/>
    </row>
    <row r="9" customFormat="1" ht="22" customHeight="1" spans="1:8">
      <c r="A9" s="10">
        <v>7</v>
      </c>
      <c r="B9" s="11">
        <v>46132</v>
      </c>
      <c r="C9" s="12" t="s">
        <v>23</v>
      </c>
      <c r="D9" s="13" t="s">
        <v>57</v>
      </c>
      <c r="E9" s="14"/>
      <c r="F9" s="15">
        <v>3</v>
      </c>
      <c r="G9" s="15"/>
    </row>
    <row r="10" customFormat="1" ht="22" customHeight="1" spans="1:8">
      <c r="A10" s="10">
        <v>8</v>
      </c>
      <c r="B10" s="11">
        <v>46132</v>
      </c>
      <c r="C10" s="12" t="s">
        <v>27</v>
      </c>
      <c r="D10" s="13" t="s">
        <v>57</v>
      </c>
      <c r="E10" s="14">
        <v>3</v>
      </c>
      <c r="F10" s="15"/>
      <c r="G10" s="15"/>
    </row>
    <row r="11" customFormat="1" ht="22" customHeight="1" spans="1:8">
      <c r="A11" s="10">
        <v>9</v>
      </c>
      <c r="B11" s="11">
        <v>46132</v>
      </c>
      <c r="C11" s="12" t="s">
        <v>28</v>
      </c>
      <c r="D11" s="13" t="s">
        <v>57</v>
      </c>
      <c r="E11" s="14">
        <v>3</v>
      </c>
      <c r="F11" s="15"/>
      <c r="G11" s="15"/>
    </row>
    <row r="12" customFormat="1" ht="22" customHeight="1" spans="1:8">
      <c r="A12" s="10">
        <v>10</v>
      </c>
      <c r="B12" s="11">
        <v>46132</v>
      </c>
      <c r="C12" s="12" t="s">
        <v>30</v>
      </c>
      <c r="D12" s="13" t="s">
        <v>57</v>
      </c>
      <c r="E12" s="14">
        <v>3</v>
      </c>
      <c r="F12" s="15"/>
      <c r="G12" s="15"/>
    </row>
    <row r="13" customFormat="1" ht="22" customHeight="1" spans="1:8">
      <c r="A13" s="10">
        <v>11</v>
      </c>
      <c r="B13" s="11">
        <v>46132</v>
      </c>
      <c r="C13" s="12" t="s">
        <v>31</v>
      </c>
      <c r="D13" s="13" t="s">
        <v>57</v>
      </c>
      <c r="E13" s="14">
        <v>3</v>
      </c>
      <c r="F13" s="15"/>
      <c r="G13" s="15"/>
    </row>
    <row r="14" customFormat="1" ht="22" customHeight="1" spans="1:8">
      <c r="A14" s="10">
        <v>12</v>
      </c>
      <c r="B14" s="11">
        <v>46132</v>
      </c>
      <c r="C14" s="12" t="s">
        <v>32</v>
      </c>
      <c r="D14" s="13" t="s">
        <v>57</v>
      </c>
      <c r="E14" s="14"/>
      <c r="F14" s="15">
        <v>3</v>
      </c>
      <c r="G14" s="15"/>
    </row>
    <row r="15" customFormat="1" ht="22" customHeight="1" spans="1:8">
      <c r="A15" s="10">
        <v>13</v>
      </c>
      <c r="B15" s="11">
        <v>46132</v>
      </c>
      <c r="C15" s="12" t="s">
        <v>34</v>
      </c>
      <c r="D15" s="13" t="s">
        <v>57</v>
      </c>
      <c r="E15" s="14"/>
      <c r="F15" s="15">
        <v>3</v>
      </c>
      <c r="G15" s="15"/>
    </row>
    <row r="16" customFormat="1" ht="22" customHeight="1" spans="1:8">
      <c r="A16" s="19"/>
      <c r="B16" s="11"/>
      <c r="C16" s="12"/>
      <c r="D16" s="13"/>
      <c r="E16" s="14"/>
      <c r="F16" s="15"/>
      <c r="G16" s="15"/>
    </row>
    <row r="17" customFormat="1" ht="22" customHeight="1" spans="1:7">
      <c r="A17" s="10"/>
      <c r="B17" s="11"/>
      <c r="C17" s="12"/>
      <c r="D17" s="13"/>
      <c r="E17" s="14"/>
      <c r="F17" s="15"/>
      <c r="G17" s="15"/>
    </row>
    <row r="18" customFormat="1" ht="14.25" spans="1:7">
      <c r="A18" s="10"/>
      <c r="B18" s="20"/>
      <c r="C18" s="12"/>
      <c r="D18" s="21"/>
      <c r="E18" s="22"/>
      <c r="F18" s="23"/>
      <c r="G18" s="23"/>
    </row>
    <row r="19" customFormat="1" ht="13.5" spans="1:7">
      <c r="E19" s="24">
        <f>SUM(E3:E18)</f>
        <v>23</v>
      </c>
      <c r="F19" s="24">
        <f>SUM(F3:F18)</f>
        <v>16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G9" sqref="G9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8.1428571428571" customWidth="1"/>
    <col min="8" max="8" width="12.8571428571429" customWidth="1"/>
  </cols>
  <sheetData>
    <row r="1" ht="38" customHeight="1" spans="1:9">
      <c r="A1" s="2" t="s">
        <v>63</v>
      </c>
      <c r="B1" s="2"/>
      <c r="C1" s="2"/>
      <c r="D1" s="2"/>
      <c r="E1" s="2"/>
      <c r="F1" s="3"/>
      <c r="G1" s="4"/>
      <c r="H1" s="5"/>
    </row>
    <row r="2" s="1" customFormat="1" ht="32" customHeight="1" spans="1:9">
      <c r="A2" s="6" t="s">
        <v>2</v>
      </c>
      <c r="B2" s="6" t="s">
        <v>51</v>
      </c>
      <c r="C2" s="6" t="s">
        <v>52</v>
      </c>
      <c r="D2" s="7" t="s">
        <v>53</v>
      </c>
      <c r="E2" s="8" t="s">
        <v>54</v>
      </c>
      <c r="F2" s="8" t="s">
        <v>55</v>
      </c>
      <c r="G2" s="8" t="s">
        <v>56</v>
      </c>
      <c r="H2" s="9"/>
    </row>
    <row r="3" customFormat="1" ht="22" customHeight="1" spans="1:9">
      <c r="A3" s="10">
        <v>1</v>
      </c>
      <c r="B3" s="11">
        <v>46135</v>
      </c>
      <c r="C3" s="12" t="s">
        <v>36</v>
      </c>
      <c r="D3" s="13" t="s">
        <v>61</v>
      </c>
      <c r="E3" s="14">
        <v>1</v>
      </c>
      <c r="F3" s="15">
        <v>1</v>
      </c>
      <c r="G3" s="15" t="s">
        <v>58</v>
      </c>
      <c r="H3" s="16" t="s">
        <v>62</v>
      </c>
      <c r="I3">
        <f t="shared" ref="I3:I19" si="0">E3+F3</f>
        <v>2</v>
      </c>
    </row>
    <row r="4" customFormat="1" ht="22" customHeight="1" spans="1:9">
      <c r="A4" s="10">
        <v>2</v>
      </c>
      <c r="B4" s="11">
        <v>46135</v>
      </c>
      <c r="C4" s="12" t="s">
        <v>40</v>
      </c>
      <c r="D4" s="13" t="s">
        <v>61</v>
      </c>
      <c r="E4" s="14">
        <v>1</v>
      </c>
      <c r="F4" s="15">
        <v>1</v>
      </c>
      <c r="G4" s="15" t="s">
        <v>60</v>
      </c>
      <c r="H4" s="16" t="s">
        <v>62</v>
      </c>
      <c r="I4">
        <f t="shared" si="0"/>
        <v>2</v>
      </c>
    </row>
    <row r="5" customFormat="1" ht="22" customHeight="1" spans="1:9">
      <c r="A5" s="10">
        <v>3</v>
      </c>
      <c r="B5" s="11">
        <v>46135</v>
      </c>
      <c r="C5" s="12" t="s">
        <v>13</v>
      </c>
      <c r="D5" s="13" t="s">
        <v>61</v>
      </c>
      <c r="E5" s="14">
        <v>2</v>
      </c>
      <c r="F5" s="15"/>
      <c r="G5" s="15"/>
      <c r="H5" s="17"/>
      <c r="I5">
        <f t="shared" si="0"/>
        <v>2</v>
      </c>
    </row>
    <row r="6" customFormat="1" ht="22" customHeight="1" spans="1:9">
      <c r="A6" s="10">
        <v>4</v>
      </c>
      <c r="B6" s="11">
        <v>46135</v>
      </c>
      <c r="C6" s="12" t="s">
        <v>17</v>
      </c>
      <c r="D6" s="13" t="s">
        <v>61</v>
      </c>
      <c r="E6" s="14">
        <v>2</v>
      </c>
      <c r="F6" s="15"/>
      <c r="G6" s="15"/>
      <c r="H6" s="18"/>
      <c r="I6">
        <f t="shared" si="0"/>
        <v>2</v>
      </c>
    </row>
    <row r="7" customFormat="1" ht="22" customHeight="1" spans="1:9">
      <c r="A7" s="10">
        <v>5</v>
      </c>
      <c r="B7" s="11">
        <v>46135</v>
      </c>
      <c r="C7" s="12" t="s">
        <v>19</v>
      </c>
      <c r="D7" s="13" t="s">
        <v>61</v>
      </c>
      <c r="E7" s="14">
        <v>2</v>
      </c>
      <c r="F7" s="15"/>
      <c r="G7" s="15"/>
      <c r="I7">
        <f t="shared" si="0"/>
        <v>2</v>
      </c>
    </row>
    <row r="8" customFormat="1" ht="22" customHeight="1" spans="1:9">
      <c r="A8" s="10">
        <v>6</v>
      </c>
      <c r="B8" s="11">
        <v>46135</v>
      </c>
      <c r="C8" s="12" t="s">
        <v>21</v>
      </c>
      <c r="D8" s="13" t="s">
        <v>61</v>
      </c>
      <c r="E8" s="14"/>
      <c r="F8" s="15">
        <v>2</v>
      </c>
      <c r="G8" s="15"/>
      <c r="I8">
        <f t="shared" si="0"/>
        <v>2</v>
      </c>
    </row>
    <row r="9" customFormat="1" ht="22" customHeight="1" spans="1:9">
      <c r="A9" s="10">
        <v>7</v>
      </c>
      <c r="B9" s="11">
        <v>46135</v>
      </c>
      <c r="C9" s="12" t="s">
        <v>23</v>
      </c>
      <c r="D9" s="13" t="s">
        <v>61</v>
      </c>
      <c r="E9" s="14"/>
      <c r="F9" s="15">
        <v>2</v>
      </c>
      <c r="G9" s="15"/>
      <c r="I9">
        <f t="shared" si="0"/>
        <v>2</v>
      </c>
    </row>
    <row r="10" customFormat="1" ht="22" customHeight="1" spans="1:9">
      <c r="A10" s="10">
        <v>8</v>
      </c>
      <c r="B10" s="11">
        <v>46135</v>
      </c>
      <c r="C10" s="12" t="s">
        <v>27</v>
      </c>
      <c r="D10" s="13" t="s">
        <v>61</v>
      </c>
      <c r="E10" s="14">
        <v>2</v>
      </c>
      <c r="F10" s="15"/>
      <c r="G10" s="15"/>
      <c r="I10">
        <f t="shared" si="0"/>
        <v>2</v>
      </c>
    </row>
    <row r="11" customFormat="1" ht="22" customHeight="1" spans="1:9">
      <c r="A11" s="10">
        <v>9</v>
      </c>
      <c r="B11" s="11">
        <v>46135</v>
      </c>
      <c r="C11" s="12" t="s">
        <v>28</v>
      </c>
      <c r="D11" s="13" t="s">
        <v>61</v>
      </c>
      <c r="E11" s="14">
        <v>2</v>
      </c>
      <c r="F11" s="15"/>
      <c r="G11" s="15"/>
      <c r="I11">
        <f t="shared" si="0"/>
        <v>2</v>
      </c>
    </row>
    <row r="12" customFormat="1" ht="22" customHeight="1" spans="1:9">
      <c r="A12" s="10">
        <v>10</v>
      </c>
      <c r="B12" s="11">
        <v>46135</v>
      </c>
      <c r="C12" s="12" t="s">
        <v>30</v>
      </c>
      <c r="D12" s="13" t="s">
        <v>61</v>
      </c>
      <c r="E12" s="14">
        <v>2</v>
      </c>
      <c r="F12" s="15"/>
      <c r="G12" s="15"/>
      <c r="I12">
        <f t="shared" si="0"/>
        <v>2</v>
      </c>
    </row>
    <row r="13" customFormat="1" ht="22" customHeight="1" spans="1:9">
      <c r="A13" s="10">
        <v>11</v>
      </c>
      <c r="B13" s="11">
        <v>46135</v>
      </c>
      <c r="C13" s="12" t="s">
        <v>31</v>
      </c>
      <c r="D13" s="13" t="s">
        <v>61</v>
      </c>
      <c r="E13" s="14">
        <v>2</v>
      </c>
      <c r="F13" s="15"/>
      <c r="G13" s="15"/>
      <c r="I13">
        <f t="shared" si="0"/>
        <v>2</v>
      </c>
    </row>
    <row r="14" customFormat="1" ht="22" customHeight="1" spans="1:9">
      <c r="A14" s="10">
        <v>12</v>
      </c>
      <c r="B14" s="11">
        <v>46135</v>
      </c>
      <c r="C14" s="12" t="s">
        <v>32</v>
      </c>
      <c r="D14" s="13" t="s">
        <v>61</v>
      </c>
      <c r="E14" s="14"/>
      <c r="F14" s="15">
        <v>2</v>
      </c>
      <c r="G14" s="15"/>
      <c r="I14">
        <f t="shared" si="0"/>
        <v>2</v>
      </c>
    </row>
    <row r="15" customFormat="1" ht="22" customHeight="1" spans="1:9">
      <c r="A15" s="10">
        <v>13</v>
      </c>
      <c r="B15" s="11">
        <v>46135</v>
      </c>
      <c r="C15" s="12" t="s">
        <v>34</v>
      </c>
      <c r="D15" s="13" t="s">
        <v>61</v>
      </c>
      <c r="E15" s="14"/>
      <c r="F15" s="15">
        <v>2</v>
      </c>
      <c r="G15" s="15"/>
      <c r="I15">
        <f t="shared" si="0"/>
        <v>2</v>
      </c>
    </row>
    <row r="16" customFormat="1" ht="22" customHeight="1" spans="1:9">
      <c r="A16" s="19"/>
      <c r="B16" s="11"/>
      <c r="C16" s="12"/>
      <c r="D16" s="13"/>
      <c r="E16" s="14"/>
      <c r="F16" s="15"/>
      <c r="G16" s="15"/>
      <c r="I16">
        <f t="shared" si="0"/>
        <v>0</v>
      </c>
    </row>
    <row r="17" customFormat="1" ht="22" customHeight="1" spans="1:9">
      <c r="A17" s="10"/>
      <c r="B17" s="11"/>
      <c r="C17" s="12"/>
      <c r="D17" s="13"/>
      <c r="E17" s="14"/>
      <c r="F17" s="15"/>
      <c r="G17" s="15"/>
      <c r="I17">
        <f t="shared" si="0"/>
        <v>0</v>
      </c>
    </row>
    <row r="18" customFormat="1" ht="14.25" spans="1:9">
      <c r="A18" s="10"/>
      <c r="B18" s="20"/>
      <c r="C18" s="12"/>
      <c r="D18" s="21"/>
      <c r="E18" s="22"/>
      <c r="F18" s="23"/>
      <c r="G18" s="23"/>
      <c r="I18">
        <f t="shared" si="0"/>
        <v>0</v>
      </c>
    </row>
    <row r="19" customFormat="1" ht="24" customHeight="1" spans="1:9">
      <c r="E19" s="24">
        <f>SUM(E3:E18)</f>
        <v>16</v>
      </c>
      <c r="F19" s="24">
        <f>SUM(F3:F18)</f>
        <v>10</v>
      </c>
      <c r="I19">
        <f t="shared" si="0"/>
        <v>26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学生</vt:lpstr>
      <vt:lpstr>领奶表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2026-04-17T04:06:51Z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