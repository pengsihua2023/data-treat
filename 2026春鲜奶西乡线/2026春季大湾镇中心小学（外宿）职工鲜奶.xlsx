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32" firstSheet="2" activeTab="17"/>
  </bookViews>
  <sheets>
    <sheet name="老师" sheetId="1" r:id="rId1"/>
    <sheet name="领奶表" sheetId="5" r:id="rId2"/>
    <sheet name="签收" sheetId="10" r:id="rId3"/>
    <sheet name="配送汇总" sheetId="6" r:id="rId4"/>
    <sheet name="3.9" sheetId="8" r:id="rId5"/>
    <sheet name="3.12" sheetId="7" r:id="rId6"/>
    <sheet name="3.16" sheetId="11" r:id="rId7"/>
    <sheet name="3.19" sheetId="12" r:id="rId8"/>
    <sheet name="3.23周一" sheetId="13" r:id="rId9"/>
    <sheet name="3.26周四" sheetId="15" r:id="rId10"/>
    <sheet name="3.30" sheetId="16" r:id="rId11"/>
    <sheet name="4.2" sheetId="17" r:id="rId12"/>
    <sheet name="4.7" sheetId="18" r:id="rId13"/>
    <sheet name="4.9" sheetId="19" r:id="rId14"/>
    <sheet name="4.13" sheetId="20" r:id="rId15"/>
    <sheet name="4.16" sheetId="21" r:id="rId16"/>
    <sheet name="4.20" sheetId="22" r:id="rId17"/>
    <sheet name="4.23" sheetId="23" r:id="rId18"/>
  </sheets>
  <definedNames>
    <definedName name="_xlnm._FilterDatabase" localSheetId="0" hidden="1">老师!$A$4:$W$43</definedName>
    <definedName name="_xlnm._FilterDatabase" localSheetId="3" hidden="1">配送汇总!$A$1:$AF$32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<sst xmlns="http://schemas.openxmlformats.org/spreadsheetml/2006/main" count="683" uniqueCount="79">
  <si>
    <t>2026春季大湾镇中心小学教职工巴氏鲜奶补贴订购申请表（20份起送，特殊申请除外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</si>
  <si>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</si>
  <si>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</si>
  <si>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</si>
  <si>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</si>
  <si>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</si>
  <si>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</si>
  <si>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</si>
  <si>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</si>
  <si>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</si>
  <si>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</si>
  <si>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</si>
  <si>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</si>
  <si>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叶小琼</t>
  </si>
  <si>
    <t>✔</t>
  </si>
  <si>
    <t>内宿</t>
  </si>
  <si>
    <t>已付款</t>
  </si>
  <si>
    <t>杨志平</t>
  </si>
  <si>
    <t>黄建霞</t>
  </si>
  <si>
    <t>外宿</t>
  </si>
  <si>
    <t>何秀芬</t>
  </si>
  <si>
    <t>罗秀坚</t>
  </si>
  <si>
    <t>√</t>
  </si>
  <si>
    <t>赖月珍</t>
  </si>
  <si>
    <t>外宿区</t>
  </si>
  <si>
    <t>何金葵</t>
  </si>
  <si>
    <t>高秀霞</t>
  </si>
  <si>
    <t>✓</t>
  </si>
  <si>
    <t>吴小燕</t>
  </si>
  <si>
    <t>陈石宁1</t>
  </si>
  <si>
    <t>邹土娇</t>
  </si>
  <si>
    <t>顾杏怡</t>
  </si>
  <si>
    <t>卢元芳</t>
  </si>
  <si>
    <t>李芷盼1</t>
  </si>
  <si>
    <t>✔️</t>
  </si>
  <si>
    <t>梁记娣</t>
  </si>
  <si>
    <t>陈善坚</t>
  </si>
  <si>
    <t>梁国球</t>
  </si>
  <si>
    <t>刘焕文</t>
  </si>
  <si>
    <t>李广羚</t>
  </si>
  <si>
    <t>吴惠莲</t>
  </si>
  <si>
    <t>陈成汉</t>
  </si>
  <si>
    <t>陈洁文</t>
  </si>
  <si>
    <t>3/12新增</t>
  </si>
  <si>
    <t>廖沛宜</t>
  </si>
  <si>
    <t>赖细奀</t>
  </si>
  <si>
    <t>外宿区，保安大叔</t>
  </si>
  <si>
    <t>李芷盼2</t>
  </si>
  <si>
    <t>3/17新增</t>
  </si>
  <si>
    <t>陈石宁2</t>
  </si>
  <si>
    <t>黄润英</t>
  </si>
  <si>
    <t>3/27新增</t>
  </si>
  <si>
    <t>英德市大湾镇中心小学教师鲜奶领奶表</t>
  </si>
  <si>
    <t>（ ）月份（填写领取数量/盒）</t>
  </si>
  <si>
    <t>姓名</t>
  </si>
  <si>
    <t>大湾镇中心小学教师鲜奶赠品领取表（外宿）</t>
  </si>
  <si>
    <t>配送日期</t>
  </si>
  <si>
    <t>礼品份数
（笔记本+笔）</t>
  </si>
  <si>
    <t>签名</t>
  </si>
  <si>
    <t>赖月珍1</t>
  </si>
  <si>
    <t>赖月珍2</t>
  </si>
  <si>
    <t>陈石宁</t>
  </si>
  <si>
    <t>李芷盼</t>
  </si>
  <si>
    <t>3.30送</t>
  </si>
  <si>
    <t xml:space="preserve">                                                   英德市大湾镇中心小学教师鲜奶领奶表（外宿）</t>
  </si>
  <si>
    <t>订购份数</t>
  </si>
  <si>
    <t>总计</t>
  </si>
  <si>
    <t>剩余</t>
  </si>
  <si>
    <t>大湾镇中心小学教师鲜奶领奶表（外宿）</t>
  </si>
  <si>
    <t>配送天数</t>
  </si>
  <si>
    <t>鲜</t>
  </si>
  <si>
    <t>酸</t>
  </si>
  <si>
    <t>3天</t>
  </si>
  <si>
    <t>鲜奶</t>
  </si>
  <si>
    <t>酸奶</t>
  </si>
  <si>
    <t>外宿区欠</t>
  </si>
  <si>
    <t>补发</t>
  </si>
  <si>
    <t>外宿区保安大叔</t>
  </si>
  <si>
    <t>补发到与其他老师数量一致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</si>
</sst>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15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6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 wrapText="1"/>
    </xf>
    <xf numFmtId="58" fontId="12" fillId="0" borderId="5" xfId="0" applyNumberFormat="1" applyFont="1" applyFill="1" applyBorder="1" applyAlignment="1">
      <alignment horizontal="center" vertical="center" wrapText="1"/>
    </xf>
    <xf numFmtId="58" fontId="12" fillId="0" borderId="5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5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5" fillId="0" borderId="5" xfId="0" applyNumberFormat="1" applyFont="1" applyFill="1" applyBorder="1" applyAlignment="1">
      <alignment vertical="center"/>
    </xf>
    <xf numFmtId="0" fontId="18" fillId="0" borderId="5" xfId="0" applyNumberFormat="1" applyFont="1" applyFill="1" applyBorder="1" applyAlignment="1">
      <alignment horizontal="left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9"/>
  <sheetViews>
    <sheetView workbookViewId="0">
      <pane ySplit="4" topLeftCell="A25" activePane="bottomLeft" state="frozen"/>
      <selection/>
      <selection pane="bottomLeft" activeCell="I29" sqref="I29"/>
    </sheetView>
  </sheetViews>
  <sheetFormatPr defaultColWidth="14" defaultRowHeight="18" customHeight="1"/>
  <cols>
    <col min="1" max="1" width="6.42857142857143" customWidth="1"/>
  </cols>
  <sheetData>
    <row r="1" customFormat="1" ht="20.25" customHeight="1" spans="1:23">
      <c r="A1" s="60" t="s">
        <v>0</v>
      </c>
      <c r="B1" s="60"/>
      <c r="C1" s="60"/>
      <c r="D1" s="60"/>
      <c r="E1" s="60"/>
      <c r="F1" s="60"/>
      <c r="G1" s="60"/>
      <c r="H1" s="60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customFormat="1" ht="20.25" customHeight="1" spans="1:23">
      <c r="A2" s="62" t="s">
        <v>1</v>
      </c>
      <c r="B2" s="62"/>
      <c r="C2" s="62"/>
      <c r="D2" s="62"/>
      <c r="E2" s="62"/>
      <c r="F2" s="62"/>
      <c r="G2" s="62"/>
      <c r="H2" s="62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customFormat="1" customHeight="1" spans="1:23">
      <c r="A3" s="63" t="s">
        <v>2</v>
      </c>
      <c r="B3" s="63" t="s">
        <v>3</v>
      </c>
      <c r="C3" s="63" t="s">
        <v>4</v>
      </c>
      <c r="D3" s="64" t="s">
        <v>5</v>
      </c>
      <c r="E3" s="64"/>
      <c r="F3" s="64" t="s">
        <v>6</v>
      </c>
      <c r="G3" s="64"/>
      <c r="H3" s="63" t="s">
        <v>7</v>
      </c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</row>
    <row r="4" customFormat="1" ht="54" spans="1:23">
      <c r="A4" s="63"/>
      <c r="B4" s="63"/>
      <c r="C4" s="63"/>
      <c r="D4" s="65" t="s">
        <v>8</v>
      </c>
      <c r="E4" s="65" t="s">
        <v>9</v>
      </c>
      <c r="F4" s="65" t="s">
        <v>10</v>
      </c>
      <c r="G4" s="65" t="s">
        <v>11</v>
      </c>
      <c r="H4" s="66" t="s">
        <v>12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customFormat="1" customHeight="1" spans="1:23">
      <c r="A5" s="67">
        <v>1</v>
      </c>
      <c r="B5" s="68" t="s">
        <v>13</v>
      </c>
      <c r="C5" s="67">
        <v>13431957462</v>
      </c>
      <c r="D5" s="67" t="s">
        <v>14</v>
      </c>
      <c r="E5" s="69"/>
      <c r="F5" s="67">
        <v>350</v>
      </c>
      <c r="G5" s="67">
        <v>210</v>
      </c>
      <c r="H5" s="67" t="s">
        <v>15</v>
      </c>
      <c r="I5" s="70" t="s">
        <v>16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</row>
    <row r="6" customFormat="1" customHeight="1" spans="1:23">
      <c r="A6" s="67">
        <v>2</v>
      </c>
      <c r="B6" s="68" t="s">
        <v>17</v>
      </c>
      <c r="C6" s="67">
        <v>15917601225</v>
      </c>
      <c r="D6" s="67" t="s">
        <v>14</v>
      </c>
      <c r="E6" s="69"/>
      <c r="F6" s="67">
        <v>350</v>
      </c>
      <c r="G6" s="67">
        <v>210</v>
      </c>
      <c r="H6" s="67" t="s">
        <v>15</v>
      </c>
      <c r="I6" s="70" t="s">
        <v>16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</row>
    <row r="7" customFormat="1" customHeight="1" spans="1:23">
      <c r="A7" s="67">
        <v>3</v>
      </c>
      <c r="B7" s="68" t="s">
        <v>18</v>
      </c>
      <c r="C7" s="67">
        <v>13729684320</v>
      </c>
      <c r="D7" s="67" t="s">
        <v>14</v>
      </c>
      <c r="E7" s="69"/>
      <c r="F7" s="67">
        <v>350</v>
      </c>
      <c r="G7" s="67">
        <v>210</v>
      </c>
      <c r="H7" s="67" t="s">
        <v>19</v>
      </c>
      <c r="I7" s="70" t="s">
        <v>16</v>
      </c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</row>
    <row r="8" customFormat="1" customHeight="1" spans="1:23">
      <c r="A8" s="67">
        <v>4</v>
      </c>
      <c r="B8" s="68" t="s">
        <v>20</v>
      </c>
      <c r="C8" s="67">
        <v>15975861397</v>
      </c>
      <c r="D8" s="67" t="s">
        <v>14</v>
      </c>
      <c r="E8" s="69"/>
      <c r="F8" s="67">
        <v>350</v>
      </c>
      <c r="G8" s="67">
        <v>210</v>
      </c>
      <c r="H8" s="67" t="s">
        <v>19</v>
      </c>
      <c r="I8" s="70" t="s">
        <v>16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</row>
    <row r="9" customFormat="1" customHeight="1" spans="1:23">
      <c r="A9" s="67">
        <v>5</v>
      </c>
      <c r="B9" s="68" t="s">
        <v>21</v>
      </c>
      <c r="C9" s="67">
        <v>13653012400</v>
      </c>
      <c r="D9" s="69"/>
      <c r="E9" s="67" t="s">
        <v>22</v>
      </c>
      <c r="F9" s="67">
        <v>350</v>
      </c>
      <c r="G9" s="67">
        <v>210</v>
      </c>
      <c r="H9" s="67" t="s">
        <v>15</v>
      </c>
      <c r="I9" s="70" t="s">
        <v>16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</row>
    <row r="10" customFormat="1" customHeight="1" spans="1:23">
      <c r="A10" s="67">
        <v>6</v>
      </c>
      <c r="B10" s="68" t="s">
        <v>23</v>
      </c>
      <c r="C10" s="67">
        <v>13631058001</v>
      </c>
      <c r="D10" s="69"/>
      <c r="E10" s="67" t="s">
        <v>22</v>
      </c>
      <c r="F10" s="67">
        <v>350</v>
      </c>
      <c r="G10" s="67">
        <v>210</v>
      </c>
      <c r="H10" s="67" t="s">
        <v>24</v>
      </c>
      <c r="I10" s="70" t="s">
        <v>16</v>
      </c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</row>
    <row r="11" customFormat="1" customHeight="1" spans="1:23">
      <c r="A11" s="67">
        <v>7</v>
      </c>
      <c r="B11" s="68" t="s">
        <v>23</v>
      </c>
      <c r="C11" s="67">
        <v>13631058001</v>
      </c>
      <c r="D11" s="67" t="s">
        <v>22</v>
      </c>
      <c r="E11" s="69"/>
      <c r="F11" s="67">
        <v>350</v>
      </c>
      <c r="G11" s="67">
        <v>210</v>
      </c>
      <c r="H11" s="67" t="s">
        <v>24</v>
      </c>
      <c r="I11" s="70" t="s">
        <v>16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</row>
    <row r="12" customFormat="1" customHeight="1" spans="1:23">
      <c r="A12" s="67">
        <v>8</v>
      </c>
      <c r="B12" s="68" t="s">
        <v>25</v>
      </c>
      <c r="C12" s="67">
        <v>15915170806</v>
      </c>
      <c r="D12" s="67" t="s">
        <v>14</v>
      </c>
      <c r="E12" s="67" t="s">
        <v>14</v>
      </c>
      <c r="F12" s="67">
        <v>350</v>
      </c>
      <c r="G12" s="67">
        <v>210</v>
      </c>
      <c r="H12" s="67" t="s">
        <v>15</v>
      </c>
      <c r="I12" s="70" t="s">
        <v>16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</row>
    <row r="13" customFormat="1" customHeight="1" spans="1:23">
      <c r="A13" s="67">
        <v>9</v>
      </c>
      <c r="B13" s="68" t="s">
        <v>26</v>
      </c>
      <c r="C13" s="67">
        <v>15917627409</v>
      </c>
      <c r="D13" s="67" t="s">
        <v>27</v>
      </c>
      <c r="E13" s="69"/>
      <c r="F13" s="67">
        <v>350</v>
      </c>
      <c r="G13" s="67">
        <v>210</v>
      </c>
      <c r="H13" s="67" t="s">
        <v>15</v>
      </c>
      <c r="I13" s="71" t="s">
        <v>16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</row>
    <row r="14" customFormat="1" customHeight="1" spans="1:23">
      <c r="A14" s="67">
        <v>10</v>
      </c>
      <c r="B14" s="68" t="s">
        <v>28</v>
      </c>
      <c r="C14" s="67">
        <v>15917613313</v>
      </c>
      <c r="D14" s="67" t="s">
        <v>27</v>
      </c>
      <c r="E14" s="69"/>
      <c r="F14" s="67">
        <v>350</v>
      </c>
      <c r="G14" s="67">
        <v>210</v>
      </c>
      <c r="H14" s="67" t="s">
        <v>15</v>
      </c>
      <c r="I14" s="70" t="s">
        <v>16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</row>
    <row r="15" customFormat="1" customHeight="1" spans="1:23">
      <c r="A15" s="67">
        <v>11</v>
      </c>
      <c r="B15" s="68" t="s">
        <v>29</v>
      </c>
      <c r="C15" s="67">
        <v>13539522446</v>
      </c>
      <c r="D15" s="67" t="s">
        <v>14</v>
      </c>
      <c r="F15" s="67">
        <v>350</v>
      </c>
      <c r="G15" s="67">
        <v>210</v>
      </c>
      <c r="H15" s="67" t="s">
        <v>19</v>
      </c>
      <c r="I15" s="71" t="s">
        <v>16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</row>
    <row r="16" customFormat="1" customHeight="1" spans="1:23">
      <c r="A16" s="67">
        <v>12</v>
      </c>
      <c r="B16" s="68" t="s">
        <v>30</v>
      </c>
      <c r="C16" s="67">
        <v>15915184804</v>
      </c>
      <c r="D16" s="69"/>
      <c r="E16" s="67" t="s">
        <v>14</v>
      </c>
      <c r="F16" s="67">
        <v>350</v>
      </c>
      <c r="G16" s="67">
        <v>210</v>
      </c>
      <c r="H16" s="67" t="s">
        <v>15</v>
      </c>
      <c r="I16" s="70" t="s">
        <v>16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</row>
    <row r="17" customFormat="1" customHeight="1" spans="1:23">
      <c r="A17" s="67">
        <v>13</v>
      </c>
      <c r="B17" s="68" t="s">
        <v>31</v>
      </c>
      <c r="C17" s="67">
        <v>13610590470</v>
      </c>
      <c r="D17" s="67" t="s">
        <v>14</v>
      </c>
      <c r="E17" s="69"/>
      <c r="F17" s="67">
        <v>350</v>
      </c>
      <c r="G17" s="67">
        <v>210</v>
      </c>
      <c r="H17" s="67" t="s">
        <v>15</v>
      </c>
      <c r="I17" s="70" t="s">
        <v>16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</row>
    <row r="18" customFormat="1" customHeight="1" spans="1:23">
      <c r="A18" s="67">
        <v>14</v>
      </c>
      <c r="B18" s="68" t="s">
        <v>31</v>
      </c>
      <c r="C18" s="67">
        <v>13610590470</v>
      </c>
      <c r="D18" s="69"/>
      <c r="E18" s="67" t="s">
        <v>14</v>
      </c>
      <c r="F18" s="67">
        <v>350</v>
      </c>
      <c r="G18" s="67">
        <v>210</v>
      </c>
      <c r="H18" s="67" t="s">
        <v>15</v>
      </c>
      <c r="I18" s="70" t="s">
        <v>16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</row>
    <row r="19" customFormat="1" customHeight="1" spans="1:23">
      <c r="A19" s="67">
        <v>15</v>
      </c>
      <c r="B19" s="68" t="s">
        <v>32</v>
      </c>
      <c r="C19" s="67">
        <v>13631077459</v>
      </c>
      <c r="D19" s="67" t="s">
        <v>22</v>
      </c>
      <c r="E19" s="67" t="s">
        <v>22</v>
      </c>
      <c r="F19" s="67">
        <v>350</v>
      </c>
      <c r="G19" s="67">
        <v>210</v>
      </c>
      <c r="H19" s="67" t="s">
        <v>24</v>
      </c>
      <c r="I19" s="70" t="s">
        <v>16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</row>
    <row r="20" customFormat="1" customHeight="1" spans="1:23">
      <c r="A20" s="67">
        <v>16</v>
      </c>
      <c r="B20" s="68" t="s">
        <v>33</v>
      </c>
      <c r="C20" s="67">
        <v>18900898321</v>
      </c>
      <c r="D20" s="67" t="s">
        <v>34</v>
      </c>
      <c r="E20" s="72"/>
      <c r="F20" s="67">
        <v>350</v>
      </c>
      <c r="G20" s="67">
        <v>210</v>
      </c>
      <c r="H20" s="67" t="s">
        <v>24</v>
      </c>
      <c r="I20" s="70" t="s">
        <v>16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</row>
    <row r="21" customFormat="1" customHeight="1" spans="1:23">
      <c r="A21" s="67">
        <v>17</v>
      </c>
      <c r="B21" s="68" t="s">
        <v>35</v>
      </c>
      <c r="C21" s="67">
        <v>13415264811</v>
      </c>
      <c r="D21" s="69"/>
      <c r="E21" s="67" t="s">
        <v>14</v>
      </c>
      <c r="F21" s="67">
        <v>350</v>
      </c>
      <c r="G21" s="67">
        <v>210</v>
      </c>
      <c r="H21" s="67" t="s">
        <v>15</v>
      </c>
      <c r="I21" s="71" t="s">
        <v>16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</row>
    <row r="22" customFormat="1" customHeight="1" spans="1:23">
      <c r="A22" s="67">
        <v>18</v>
      </c>
      <c r="B22" s="68" t="s">
        <v>36</v>
      </c>
      <c r="C22" s="67">
        <v>13631056586</v>
      </c>
      <c r="D22" s="69"/>
      <c r="E22" s="67" t="s">
        <v>14</v>
      </c>
      <c r="F22" s="67">
        <v>350</v>
      </c>
      <c r="G22" s="67">
        <v>210</v>
      </c>
      <c r="H22" s="67" t="s">
        <v>24</v>
      </c>
      <c r="I22" s="70" t="s">
        <v>16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</row>
    <row r="23" customFormat="1" customHeight="1" spans="1:23">
      <c r="A23" s="67">
        <v>19</v>
      </c>
      <c r="B23" s="68" t="s">
        <v>37</v>
      </c>
      <c r="C23" s="67">
        <v>13610537850</v>
      </c>
      <c r="D23" s="67" t="s">
        <v>22</v>
      </c>
      <c r="E23" s="69"/>
      <c r="F23" s="67">
        <v>350</v>
      </c>
      <c r="G23" s="67">
        <v>210</v>
      </c>
      <c r="H23" s="67" t="s">
        <v>15</v>
      </c>
      <c r="I23" s="70" t="s">
        <v>16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</row>
    <row r="24" customFormat="1" customHeight="1" spans="1:23">
      <c r="A24" s="67">
        <v>20</v>
      </c>
      <c r="B24" s="68" t="s">
        <v>38</v>
      </c>
      <c r="C24" s="67">
        <v>13413592703</v>
      </c>
      <c r="D24" s="69"/>
      <c r="E24" s="67" t="s">
        <v>14</v>
      </c>
      <c r="F24" s="67">
        <v>350</v>
      </c>
      <c r="G24" s="67">
        <v>210</v>
      </c>
      <c r="H24" s="67" t="s">
        <v>15</v>
      </c>
      <c r="I24" s="71" t="s">
        <v>16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</row>
    <row r="25" customFormat="1" customHeight="1" spans="1:23">
      <c r="A25" s="67">
        <v>21</v>
      </c>
      <c r="B25" s="68" t="s">
        <v>38</v>
      </c>
      <c r="C25" s="67">
        <v>13413592703</v>
      </c>
      <c r="D25" s="69"/>
      <c r="E25" s="67" t="s">
        <v>14</v>
      </c>
      <c r="F25" s="67">
        <v>350</v>
      </c>
      <c r="G25" s="67">
        <v>210</v>
      </c>
      <c r="H25" s="67" t="s">
        <v>15</v>
      </c>
      <c r="I25" s="71" t="s">
        <v>16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</row>
    <row r="26" customFormat="1" customHeight="1" spans="1:23">
      <c r="A26" s="67">
        <v>22</v>
      </c>
      <c r="B26" s="68" t="s">
        <v>39</v>
      </c>
      <c r="C26" s="67">
        <v>13416582336</v>
      </c>
      <c r="D26" s="67" t="s">
        <v>14</v>
      </c>
      <c r="E26" s="67" t="s">
        <v>14</v>
      </c>
      <c r="F26" s="67">
        <v>350</v>
      </c>
      <c r="G26" s="67">
        <v>210</v>
      </c>
      <c r="H26" s="67" t="s">
        <v>15</v>
      </c>
      <c r="I26" s="70" t="s">
        <v>16</v>
      </c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</row>
    <row r="27" customFormat="1" customHeight="1" spans="1:23">
      <c r="A27" s="67">
        <v>23</v>
      </c>
      <c r="B27" s="68" t="s">
        <v>40</v>
      </c>
      <c r="C27" s="67">
        <v>13729600552</v>
      </c>
      <c r="D27" s="69"/>
      <c r="E27" s="67" t="s">
        <v>22</v>
      </c>
      <c r="F27" s="67">
        <v>350</v>
      </c>
      <c r="G27" s="67">
        <v>210</v>
      </c>
      <c r="H27" s="67" t="s">
        <v>15</v>
      </c>
      <c r="I27" s="70" t="s">
        <v>16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</row>
    <row r="28" customFormat="1" customHeight="1" spans="1:23">
      <c r="A28" s="67">
        <v>24</v>
      </c>
      <c r="B28" s="69" t="s">
        <v>41</v>
      </c>
      <c r="C28" s="69">
        <v>13610569686</v>
      </c>
      <c r="D28" s="67" t="s">
        <v>27</v>
      </c>
      <c r="E28" s="69"/>
      <c r="F28" s="67">
        <v>350</v>
      </c>
      <c r="G28" s="67">
        <v>210</v>
      </c>
      <c r="H28" s="67" t="s">
        <v>15</v>
      </c>
      <c r="I28" s="70" t="s">
        <v>16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</row>
    <row r="29" customFormat="1" customHeight="1" spans="1:23">
      <c r="A29" s="67">
        <v>25</v>
      </c>
      <c r="B29" s="69" t="s">
        <v>42</v>
      </c>
      <c r="C29" s="69"/>
      <c r="D29" s="67" t="s">
        <v>27</v>
      </c>
      <c r="E29" s="69"/>
      <c r="F29" s="67">
        <v>350</v>
      </c>
      <c r="G29" s="67">
        <v>210</v>
      </c>
      <c r="H29" s="67" t="s">
        <v>15</v>
      </c>
      <c r="I29" s="70" t="s">
        <v>16</v>
      </c>
      <c r="J29" s="61" t="s">
        <v>43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</row>
    <row r="30" customFormat="1" customHeight="1" spans="1:23">
      <c r="A30" s="67">
        <v>26</v>
      </c>
      <c r="B30" s="69" t="s">
        <v>44</v>
      </c>
      <c r="C30" s="69"/>
      <c r="D30" s="67" t="s">
        <v>27</v>
      </c>
      <c r="E30" s="69"/>
      <c r="F30" s="67">
        <v>350</v>
      </c>
      <c r="G30" s="67">
        <v>210</v>
      </c>
      <c r="H30" s="67" t="s">
        <v>15</v>
      </c>
      <c r="I30" s="70" t="s">
        <v>16</v>
      </c>
      <c r="J30" s="61" t="s">
        <v>43</v>
      </c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</row>
    <row r="31" customFormat="1" customHeight="1" spans="1:23">
      <c r="A31" s="67">
        <v>27</v>
      </c>
      <c r="B31" s="69" t="s">
        <v>45</v>
      </c>
      <c r="C31" s="69">
        <v>13727107369</v>
      </c>
      <c r="D31" s="67" t="s">
        <v>27</v>
      </c>
      <c r="E31" s="69"/>
      <c r="F31" s="67">
        <v>350</v>
      </c>
      <c r="G31" s="67">
        <v>210</v>
      </c>
      <c r="H31" s="67" t="s">
        <v>46</v>
      </c>
      <c r="I31" s="70" t="s">
        <v>16</v>
      </c>
      <c r="J31" s="61" t="s">
        <v>43</v>
      </c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</row>
    <row r="32" customFormat="1" customHeight="1" spans="1:23">
      <c r="A32" s="67">
        <v>28</v>
      </c>
      <c r="B32" s="68" t="s">
        <v>47</v>
      </c>
      <c r="C32" s="67">
        <v>18900898321</v>
      </c>
      <c r="D32" s="67" t="s">
        <v>34</v>
      </c>
      <c r="E32" s="69"/>
      <c r="F32" s="67">
        <v>350</v>
      </c>
      <c r="G32" s="67">
        <v>210</v>
      </c>
      <c r="H32" s="67" t="s">
        <v>24</v>
      </c>
      <c r="I32" s="70" t="s">
        <v>16</v>
      </c>
      <c r="J32" s="61" t="s">
        <v>48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</row>
    <row r="33" customFormat="1" customHeight="1" spans="1:23">
      <c r="A33" s="67">
        <v>35</v>
      </c>
      <c r="B33" s="68" t="s">
        <v>49</v>
      </c>
      <c r="C33" s="67">
        <v>13539522446</v>
      </c>
      <c r="D33" s="69"/>
      <c r="E33" s="67" t="s">
        <v>14</v>
      </c>
      <c r="F33" s="67">
        <v>350</v>
      </c>
      <c r="G33" s="67">
        <v>210</v>
      </c>
      <c r="H33" s="67" t="s">
        <v>19</v>
      </c>
      <c r="I33" s="71" t="s">
        <v>16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</row>
    <row r="34" customFormat="1" customHeight="1" spans="1:23">
      <c r="A34" s="67">
        <v>36</v>
      </c>
      <c r="B34" s="69" t="s">
        <v>50</v>
      </c>
      <c r="C34" s="69">
        <v>13415201033</v>
      </c>
      <c r="D34" s="67" t="s">
        <v>14</v>
      </c>
      <c r="E34" s="67" t="s">
        <v>14</v>
      </c>
      <c r="F34" s="67">
        <v>350</v>
      </c>
      <c r="G34" s="67">
        <v>210</v>
      </c>
      <c r="H34" s="67" t="s">
        <v>15</v>
      </c>
      <c r="I34" s="71" t="s">
        <v>16</v>
      </c>
      <c r="J34" s="61" t="s">
        <v>51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</row>
    <row r="35" customFormat="1" customHeight="1" spans="1:23">
      <c r="A35" s="67">
        <v>37</v>
      </c>
      <c r="B35" s="69"/>
      <c r="C35" s="69"/>
      <c r="D35" s="69"/>
      <c r="E35" s="69"/>
      <c r="F35" s="67">
        <v>350</v>
      </c>
      <c r="G35" s="67">
        <v>210</v>
      </c>
      <c r="H35" s="69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</row>
    <row r="36" customFormat="1" customHeight="1" spans="1:23">
      <c r="A36" s="67">
        <v>38</v>
      </c>
      <c r="B36" s="69"/>
      <c r="C36" s="69"/>
      <c r="D36" s="69"/>
      <c r="E36" s="69"/>
      <c r="F36" s="67">
        <v>350</v>
      </c>
      <c r="G36" s="67">
        <v>210</v>
      </c>
      <c r="H36" s="69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</row>
    <row r="37" customFormat="1" customHeight="1" spans="1:23">
      <c r="A37" s="67">
        <v>39</v>
      </c>
      <c r="B37" s="69"/>
      <c r="C37" s="69"/>
      <c r="D37" s="69"/>
      <c r="E37" s="69"/>
      <c r="F37" s="67">
        <v>350</v>
      </c>
      <c r="G37" s="67">
        <v>210</v>
      </c>
      <c r="H37" s="69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</row>
    <row r="38" customFormat="1" customHeight="1" spans="1:23">
      <c r="A38" s="67">
        <v>40</v>
      </c>
      <c r="B38" s="69"/>
      <c r="C38" s="69"/>
      <c r="D38" s="69"/>
      <c r="E38" s="69"/>
      <c r="F38" s="67">
        <v>350</v>
      </c>
      <c r="G38" s="67">
        <v>210</v>
      </c>
      <c r="H38" s="69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</row>
    <row r="39" customFormat="1" customHeight="1" spans="1:23">
      <c r="A39" s="67">
        <v>41</v>
      </c>
      <c r="B39" s="69"/>
      <c r="C39" s="69"/>
      <c r="D39" s="69"/>
      <c r="E39" s="69"/>
      <c r="F39" s="67">
        <v>350</v>
      </c>
      <c r="G39" s="67">
        <v>210</v>
      </c>
      <c r="H39" s="69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</row>
    <row r="40" customFormat="1" customHeight="1" spans="1:23">
      <c r="A40" s="67">
        <v>42</v>
      </c>
      <c r="B40" s="69"/>
      <c r="C40" s="69"/>
      <c r="D40" s="69"/>
      <c r="E40" s="69"/>
      <c r="F40" s="67">
        <v>350</v>
      </c>
      <c r="G40" s="67">
        <v>210</v>
      </c>
      <c r="H40" s="69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</row>
    <row r="41" customFormat="1" customHeight="1" spans="1:23">
      <c r="A41" s="67">
        <v>43</v>
      </c>
      <c r="B41" s="69"/>
      <c r="C41" s="69"/>
      <c r="D41" s="69"/>
      <c r="E41" s="69"/>
      <c r="F41" s="67">
        <v>350</v>
      </c>
      <c r="G41" s="67">
        <v>210</v>
      </c>
      <c r="H41" s="69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</row>
    <row r="42" customFormat="1" customHeight="1" spans="1:23">
      <c r="A42" s="67">
        <v>44</v>
      </c>
      <c r="B42" s="69"/>
      <c r="C42" s="69"/>
      <c r="D42" s="69"/>
      <c r="E42" s="69"/>
      <c r="F42" s="67">
        <v>350</v>
      </c>
      <c r="G42" s="67">
        <v>210</v>
      </c>
      <c r="H42" s="69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</row>
    <row r="43" customFormat="1" customHeight="1" spans="1:23">
      <c r="A43" s="67">
        <v>45</v>
      </c>
      <c r="B43" s="69"/>
      <c r="C43" s="69"/>
      <c r="D43" s="69"/>
      <c r="E43" s="69"/>
      <c r="F43" s="67">
        <v>350</v>
      </c>
      <c r="G43" s="67">
        <v>210</v>
      </c>
      <c r="H43" s="69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</row>
    <row r="44" customFormat="1" customHeight="1" spans="1:23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</row>
    <row r="45" customFormat="1" customHeight="1" spans="1:23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</row>
    <row r="46" customFormat="1" customHeight="1" spans="1:2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</row>
    <row r="47" customFormat="1" customHeight="1" spans="1:23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</row>
    <row r="48" customFormat="1" customHeight="1" spans="1:23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</row>
    <row r="49" customFormat="1" customHeight="1" spans="1:23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</row>
    <row r="50" customFormat="1" customHeight="1" spans="1:23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</row>
    <row r="51" customFormat="1" customHeight="1" spans="1:23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</row>
    <row r="52" customFormat="1" customHeight="1" spans="1:23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</row>
    <row r="53" customFormat="1" customHeight="1" spans="1:2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</row>
    <row r="54" customFormat="1" customHeight="1" spans="1:23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</row>
    <row r="55" customFormat="1" customHeight="1" spans="1:23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</row>
    <row r="56" customFormat="1" customHeight="1" spans="1:23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</row>
    <row r="57" customFormat="1" customHeight="1" spans="1:23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</row>
    <row r="58" customFormat="1" customHeight="1" spans="1:23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</row>
    <row r="59" customFormat="1" customHeight="1" spans="1:23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</row>
    <row r="60" customFormat="1" customHeight="1" spans="1:23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</row>
    <row r="61" customFormat="1" customHeight="1" spans="1:23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</row>
    <row r="62" customFormat="1" customHeight="1" spans="1:23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</row>
    <row r="63" customFormat="1" customHeight="1" spans="1:2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</row>
    <row r="64" customFormat="1" customHeight="1" spans="1:23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</row>
    <row r="65" customFormat="1" customHeight="1" spans="1:23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</row>
    <row r="66" customFormat="1" customHeight="1" spans="1:23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</row>
    <row r="67" customFormat="1" customHeight="1" spans="1:23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</row>
    <row r="68" customFormat="1" customHeight="1" spans="1:23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</row>
    <row r="69" customFormat="1" customHeight="1" spans="1:23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</row>
    <row r="70" customFormat="1" customHeight="1" spans="1:23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</row>
    <row r="71" customFormat="1" customHeight="1" spans="1:23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</row>
    <row r="72" customFormat="1" customHeight="1" spans="1:23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</row>
    <row r="73" customFormat="1" customHeight="1" spans="1:2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</row>
    <row r="74" customFormat="1" customHeight="1" spans="1:23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</row>
    <row r="75" customFormat="1" customHeight="1" spans="1:23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</row>
    <row r="76" customFormat="1" customHeight="1" spans="1:23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</row>
    <row r="77" customFormat="1" customHeight="1" spans="1:23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</row>
    <row r="78" customFormat="1" customHeight="1" spans="1:23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</row>
    <row r="79" customFormat="1" customHeight="1" spans="1:23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</row>
    <row r="80" customFormat="1" customHeight="1" spans="1:23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</row>
    <row r="81" customFormat="1" customHeight="1" spans="1:23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</row>
    <row r="82" customFormat="1" customHeight="1" spans="1:23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</row>
    <row r="83" customFormat="1" customHeight="1" spans="1:2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</row>
    <row r="84" customFormat="1" customHeight="1" spans="1:23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</row>
    <row r="85" customFormat="1" customHeight="1" spans="1:23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</row>
    <row r="86" customFormat="1" customHeight="1" spans="1:23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</row>
    <row r="87" customFormat="1" customHeight="1" spans="1:2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</row>
    <row r="88" customFormat="1" customHeight="1" spans="1:2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</row>
    <row r="89" customFormat="1" customHeight="1" spans="1:2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</row>
    <row r="90" customFormat="1" customHeight="1" spans="1:23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</row>
    <row r="91" customFormat="1" customHeight="1" spans="1:23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</row>
    <row r="92" customFormat="1" customHeight="1" spans="1:23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</row>
    <row r="93" customFormat="1" customHeight="1" spans="1:2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</row>
    <row r="94" customFormat="1" customHeight="1" spans="1:23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</row>
    <row r="95" customFormat="1" customHeight="1" spans="1:2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</row>
    <row r="96" customFormat="1" customHeight="1" spans="1:23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</row>
    <row r="97" customFormat="1" customHeight="1" spans="1:2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</row>
    <row r="98" customFormat="1" customHeight="1" spans="1:2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</row>
    <row r="99" customFormat="1" customHeight="1" spans="1:2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</row>
    <row r="100" customFormat="1" customHeight="1" spans="1:2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</row>
    <row r="101" customFormat="1" customHeight="1" spans="1:2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</row>
    <row r="102" customFormat="1" customHeight="1" spans="1:2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</row>
    <row r="103" customFormat="1" customHeight="1" spans="1:2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</row>
    <row r="104" customFormat="1" customHeight="1" spans="1:2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</row>
    <row r="105" customFormat="1" customHeight="1" spans="1:2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</row>
    <row r="106" customFormat="1" customHeight="1" spans="1:2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</row>
    <row r="107" customFormat="1" customHeight="1" spans="1:2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</row>
    <row r="108" customFormat="1" customHeight="1" spans="1:2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</row>
    <row r="109" customFormat="1" customHeight="1" spans="1:2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</row>
    <row r="110" customFormat="1" customHeight="1" spans="1:2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</row>
    <row r="111" customFormat="1" customHeight="1" spans="1:2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</row>
    <row r="112" customFormat="1" customHeight="1" spans="1:2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</row>
    <row r="113" customFormat="1" customHeight="1" spans="1:2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</row>
    <row r="114" customFormat="1" customHeight="1" spans="1:2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</row>
    <row r="115" customFormat="1" customHeight="1" spans="1:2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</row>
    <row r="116" customFormat="1" customHeight="1" spans="1:2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</row>
    <row r="117" customFormat="1" customHeight="1" spans="1:2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</row>
    <row r="118" customFormat="1" customHeight="1" spans="1:2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</row>
    <row r="119" customFormat="1" customHeight="1" spans="1:2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</row>
    <row r="120" customFormat="1" customHeight="1" spans="1:2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</row>
    <row r="121" customFormat="1" customHeight="1" spans="1:2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</row>
    <row r="122" customFormat="1" customHeight="1" spans="1:2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</row>
    <row r="123" customFormat="1" customHeight="1" spans="1: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</row>
    <row r="124" customFormat="1" customHeight="1" spans="1:2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</row>
    <row r="125" customFormat="1" customHeight="1" spans="1:2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</row>
    <row r="126" customFormat="1" customHeight="1" spans="1:2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</row>
    <row r="127" customFormat="1" customHeight="1" spans="1:2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</row>
    <row r="128" customFormat="1" customHeight="1" spans="1:2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</row>
    <row r="129" customFormat="1" customHeight="1" spans="1:2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</row>
    <row r="130" customFormat="1" customHeight="1" spans="1:2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</row>
    <row r="131" customFormat="1" customHeight="1" spans="1:2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</row>
    <row r="132" customFormat="1" customHeight="1" spans="1:2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</row>
    <row r="133" customFormat="1" customHeight="1" spans="1:2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</row>
    <row r="134" customFormat="1" customHeight="1" spans="1:2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</row>
    <row r="135" customFormat="1" customHeight="1" spans="1:2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</row>
    <row r="136" customFormat="1" customHeight="1" spans="1:2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</row>
    <row r="137" customFormat="1" customHeight="1" spans="1:2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</row>
    <row r="138" customFormat="1" customHeight="1" spans="1:2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</row>
    <row r="139" customFormat="1" customHeight="1" spans="1:2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</row>
    <row r="140" customFormat="1" customHeight="1" spans="1:2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</row>
    <row r="141" customFormat="1" customHeight="1" spans="1:2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</row>
    <row r="142" customFormat="1" customHeight="1" spans="1:2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</row>
    <row r="143" customFormat="1" customHeight="1" spans="1:2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</row>
    <row r="144" customFormat="1" customHeight="1" spans="1:2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</row>
    <row r="145" customFormat="1" customHeight="1" spans="1:2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</row>
    <row r="146" customFormat="1" customHeight="1" spans="1:2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</row>
    <row r="147" customFormat="1" customHeight="1" spans="1:2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</row>
    <row r="148" customFormat="1" customHeight="1" spans="1:2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</row>
    <row r="149" customFormat="1" customHeight="1" spans="1:2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</row>
    <row r="150" customFormat="1" customHeight="1" spans="1:2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</row>
    <row r="151" customFormat="1" customHeight="1" spans="1:2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</row>
    <row r="152" customFormat="1" customHeight="1" spans="1:2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</row>
    <row r="153" customFormat="1" customHeight="1" spans="1:2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</row>
    <row r="154" customFormat="1" customHeight="1" spans="1:2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</row>
    <row r="155" customFormat="1" customHeight="1" spans="1:2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</row>
    <row r="156" customFormat="1" customHeight="1" spans="1:2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</row>
    <row r="157" customFormat="1" customHeight="1" spans="1:2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</row>
    <row r="158" customFormat="1" customHeight="1" spans="1:2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</row>
    <row r="159" customFormat="1" customHeight="1" spans="1:2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</row>
    <row r="160" customFormat="1" customHeight="1" spans="1:2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</row>
    <row r="161" customFormat="1" customHeight="1" spans="1:2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</row>
    <row r="162" customFormat="1" customHeight="1" spans="1:2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</row>
    <row r="163" customFormat="1" customHeight="1" spans="1:2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</row>
    <row r="164" customFormat="1" customHeight="1" spans="1:2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</row>
    <row r="165" customFormat="1" customHeight="1" spans="1:2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</row>
    <row r="166" customFormat="1" customHeight="1" spans="1:2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</row>
    <row r="167" customFormat="1" customHeight="1" spans="1:2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</row>
    <row r="168" customFormat="1" customHeight="1" spans="1:2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</row>
    <row r="169" customFormat="1" customHeight="1" spans="1:2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</row>
    <row r="170" customFormat="1" customHeight="1" spans="1:2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</row>
    <row r="171" customFormat="1" customHeight="1" spans="1:2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</row>
    <row r="172" customFormat="1" customHeight="1" spans="1:2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</row>
    <row r="173" customFormat="1" customHeight="1" spans="1:2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</row>
    <row r="174" customFormat="1" customHeight="1" spans="1:2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</row>
    <row r="175" customFormat="1" customHeight="1" spans="1:2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</row>
    <row r="176" customFormat="1" customHeight="1" spans="1:2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</row>
    <row r="177" customFormat="1" customHeight="1" spans="1:2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</row>
    <row r="178" customFormat="1" customHeight="1" spans="1:2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</row>
    <row r="179" customFormat="1" customHeight="1" spans="1:2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</row>
    <row r="180" customFormat="1" customHeight="1" spans="1:2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</row>
    <row r="181" customFormat="1" customHeight="1" spans="1:2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</row>
    <row r="182" customFormat="1" customHeight="1" spans="1:2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</row>
    <row r="183" customFormat="1" customHeight="1" spans="1:2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</row>
    <row r="184" customFormat="1" customHeight="1" spans="1:2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</row>
    <row r="185" customFormat="1" customHeight="1" spans="1:2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</row>
    <row r="186" customFormat="1" customHeight="1" spans="1:2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</row>
    <row r="187" customFormat="1" customHeight="1" spans="1:2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</row>
    <row r="188" customFormat="1" customHeight="1" spans="1:2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</row>
    <row r="189" customFormat="1" customHeight="1" spans="1:2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</row>
  </sheetData>
  <autoFilter xmlns:etc="http://www.wps.cn/officeDocument/2017/etCustomData" ref="A4:W43" etc:filterBottomFollowUsedRange="0">
    <extLst/>
  </autoFilter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G23" sqref="G23"/>
    </sheetView>
  </sheetViews>
  <sheetFormatPr defaultColWidth="10.2857142857143" defaultRowHeight="13.5"/>
  <cols>
    <col min="1" max="1" width="3.88571428571429" style="52" customWidth="1"/>
    <col min="2" max="2" width="13.7142857142857" style="52" customWidth="1"/>
    <col min="3" max="3" width="4.42857142857143" style="50" customWidth="1"/>
    <col min="4" max="6" width="4" style="50" customWidth="1"/>
    <col min="7" max="7" width="3.87619047619048" style="50" customWidth="1"/>
    <col min="8" max="12" width="4.28571428571429" style="50" customWidth="1"/>
    <col min="13" max="13" width="4.00952380952381" style="50" customWidth="1"/>
    <col min="14" max="14" width="4.28571428571429" style="50" customWidth="1"/>
    <col min="15" max="15" width="4.00952380952381" style="50" customWidth="1"/>
    <col min="16" max="16" width="3.87619047619048" style="50" customWidth="1"/>
    <col min="17" max="17" width="4.28571428571429" style="50" customWidth="1"/>
    <col min="18" max="19" width="4.14285714285714" style="50" customWidth="1"/>
    <col min="20" max="20" width="4.57142857142857" style="50" customWidth="1"/>
    <col min="21" max="25" width="4.14285714285714" style="50" customWidth="1"/>
    <col min="26" max="27" width="4.57142857142857" style="50" customWidth="1"/>
    <col min="28" max="28" width="4.16190476190476" style="50" customWidth="1"/>
    <col min="29" max="30" width="4.28571428571429" style="50" customWidth="1"/>
    <col min="31" max="31" width="4.00952380952381" style="50" customWidth="1"/>
    <col min="32" max="32" width="3.85714285714286" style="50" customWidth="1"/>
    <col min="33" max="34" width="4.28571428571429" style="50" customWidth="1"/>
    <col min="35" max="36" width="4.57142857142857" style="50" customWidth="1"/>
    <col min="37" max="37" width="4.28571428571429" style="50" customWidth="1"/>
    <col min="38" max="38" width="3.85714285714286" style="50" customWidth="1"/>
    <col min="39" max="16384" width="10.2857142857143" style="50"/>
  </cols>
  <sheetData>
    <row r="1" s="50" customFormat="1" ht="26" customHeight="1" spans="1:38">
      <c r="A1" s="47" t="s">
        <v>52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s="50" customFormat="1" ht="26" customHeight="1" spans="1:38">
      <c r="A2" s="53" t="s">
        <v>53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s="51" customFormat="1" ht="40" customHeight="1" spans="1:38">
      <c r="A3" s="54" t="s">
        <v>2</v>
      </c>
      <c r="B3" s="54" t="s">
        <v>54</v>
      </c>
      <c r="C3" s="48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48">
        <v>17</v>
      </c>
      <c r="T3" s="48">
        <v>18</v>
      </c>
      <c r="U3" s="48">
        <v>19</v>
      </c>
      <c r="V3" s="48">
        <v>20</v>
      </c>
      <c r="W3" s="48">
        <v>21</v>
      </c>
      <c r="X3" s="48">
        <v>22</v>
      </c>
      <c r="Y3" s="48">
        <v>23</v>
      </c>
      <c r="Z3" s="48">
        <v>24</v>
      </c>
      <c r="AA3" s="48">
        <v>25</v>
      </c>
      <c r="AB3" s="48">
        <v>26</v>
      </c>
      <c r="AC3" s="48">
        <v>27</v>
      </c>
      <c r="AD3" s="48">
        <v>28</v>
      </c>
      <c r="AE3" s="48">
        <v>29</v>
      </c>
      <c r="AF3" s="48">
        <v>30</v>
      </c>
      <c r="AG3" s="48"/>
      <c r="AH3" s="48"/>
      <c r="AI3" s="48"/>
      <c r="AJ3" s="48"/>
      <c r="AK3" s="48"/>
      <c r="AL3" s="48"/>
    </row>
    <row r="4" s="50" customFormat="1" ht="25" customHeight="1" spans="1:38">
      <c r="A4" s="55">
        <v>1</v>
      </c>
      <c r="B4" s="56"/>
      <c r="C4" s="55"/>
      <c r="D4" s="55"/>
      <c r="E4" s="55"/>
      <c r="F4" s="55"/>
      <c r="G4" s="55"/>
      <c r="H4" s="55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</row>
    <row r="5" s="50" customFormat="1" ht="25" customHeight="1" spans="1:38">
      <c r="A5" s="55">
        <v>2</v>
      </c>
      <c r="B5" s="56"/>
      <c r="C5" s="55"/>
      <c r="D5" s="55"/>
      <c r="E5" s="55"/>
      <c r="F5" s="55"/>
      <c r="G5" s="55"/>
      <c r="H5" s="55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</row>
    <row r="6" s="50" customFormat="1" ht="25" customHeight="1" spans="1:38">
      <c r="A6" s="55">
        <v>3</v>
      </c>
      <c r="B6" s="56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</row>
    <row r="7" s="50" customFormat="1" ht="25" customHeight="1" spans="1:38">
      <c r="A7" s="55">
        <v>13</v>
      </c>
      <c r="B7" s="56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</row>
    <row r="8" s="50" customFormat="1" ht="25" customHeight="1" spans="1:38">
      <c r="A8" s="55">
        <v>14</v>
      </c>
      <c r="B8" s="56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</row>
    <row r="9" s="50" customFormat="1" ht="25" customHeight="1" spans="1:38">
      <c r="A9" s="55">
        <v>15</v>
      </c>
      <c r="B9" s="56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</row>
    <row r="10" s="50" customFormat="1" ht="25" customHeight="1" spans="1:38">
      <c r="A10" s="55">
        <v>16</v>
      </c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</row>
    <row r="11" s="50" customFormat="1" ht="25" customHeight="1" spans="1:38">
      <c r="A11" s="55">
        <v>17</v>
      </c>
      <c r="B11" s="58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</row>
    <row r="12" s="50" customFormat="1" ht="25" customHeight="1" spans="1:38">
      <c r="A12" s="55">
        <v>18</v>
      </c>
      <c r="B12" s="58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</row>
    <row r="13" s="50" customFormat="1" ht="15" customHeight="1" spans="1:38">
      <c r="A13" s="59"/>
      <c r="B13" s="59"/>
    </row>
    <row r="14" s="50" customFormat="1" ht="15" customHeight="1" spans="1:38">
      <c r="A14" s="59"/>
      <c r="B14" s="59"/>
    </row>
    <row r="15" s="50" customFormat="1" ht="15" customHeight="1" spans="1:38">
      <c r="A15" s="59"/>
      <c r="B15" s="59"/>
    </row>
    <row r="16" s="50" customFormat="1" ht="15" customHeight="1" spans="1:38">
      <c r="A16" s="59"/>
      <c r="B16" s="59"/>
    </row>
    <row r="17" s="50" customFormat="1" ht="15" customHeight="1" spans="1:2">
      <c r="A17" s="59"/>
      <c r="B17" s="59"/>
    </row>
    <row r="18" s="50" customFormat="1" ht="15" customHeight="1" spans="1:2">
      <c r="A18" s="59"/>
      <c r="B18" s="59"/>
    </row>
    <row r="19" s="50" customFormat="1" ht="15" customHeight="1" spans="1:2">
      <c r="A19" s="59"/>
      <c r="B19" s="59"/>
    </row>
    <row r="20" s="50" customFormat="1" ht="15" customHeight="1" spans="1:2">
      <c r="A20" s="59"/>
      <c r="B20" s="59"/>
    </row>
    <row r="21" s="50" customFormat="1" ht="15" customHeight="1" spans="1:2">
      <c r="A21" s="59"/>
      <c r="B21" s="59"/>
    </row>
    <row r="22" s="50" customFormat="1" ht="15" customHeight="1" spans="1:2">
      <c r="A22" s="59"/>
      <c r="B22" s="59"/>
    </row>
    <row r="23" s="50" customFormat="1" ht="15" customHeight="1" spans="1:2">
      <c r="A23" s="59"/>
      <c r="B23" s="59"/>
    </row>
    <row r="24" s="50" customFormat="1" ht="15" customHeight="1" spans="1:2">
      <c r="A24" s="59"/>
      <c r="B24" s="59"/>
    </row>
    <row r="25" s="50" customFormat="1" ht="15" customHeight="1" spans="1:2">
      <c r="A25" s="59"/>
      <c r="B25" s="59"/>
    </row>
    <row r="26" s="50" customFormat="1" ht="15" customHeight="1" spans="1:2">
      <c r="A26" s="59"/>
      <c r="B26" s="59"/>
    </row>
    <row r="27" s="50" customFormat="1" ht="15" customHeight="1" spans="1:2">
      <c r="A27" s="59"/>
      <c r="B27" s="59"/>
    </row>
    <row r="28" s="50" customFormat="1" ht="15" customHeight="1" spans="1:2">
      <c r="A28" s="59"/>
      <c r="B28" s="59"/>
    </row>
    <row r="29" s="50" customFormat="1" ht="15" customHeight="1" spans="1:2">
      <c r="A29" s="59"/>
      <c r="B29" s="59"/>
    </row>
    <row r="30" s="50" customFormat="1" ht="15" customHeight="1" spans="1:2">
      <c r="A30" s="59"/>
      <c r="B30" s="59"/>
    </row>
    <row r="31" s="50" customFormat="1" ht="15" customHeight="1" spans="1:2">
      <c r="A31" s="59"/>
      <c r="B31" s="59"/>
    </row>
    <row r="32" s="50" customFormat="1" ht="15" customHeight="1" spans="1:2">
      <c r="A32" s="59"/>
      <c r="B32" s="59"/>
    </row>
    <row r="33" s="50" customFormat="1" ht="15" customHeight="1" spans="1:2">
      <c r="A33" s="59"/>
      <c r="B33" s="59"/>
    </row>
    <row r="34" s="50" customFormat="1" ht="15" customHeight="1" spans="1:2">
      <c r="A34" s="59"/>
      <c r="B34" s="59"/>
    </row>
    <row r="35" s="50" customFormat="1" ht="15" customHeight="1" spans="1:2">
      <c r="A35" s="59"/>
      <c r="B35" s="59"/>
    </row>
    <row r="36" s="50" customFormat="1" ht="15" customHeight="1" spans="1:2">
      <c r="A36" s="59"/>
      <c r="B36" s="59"/>
    </row>
    <row r="37" s="50" customFormat="1" ht="15" customHeight="1" spans="1:2">
      <c r="A37" s="59"/>
      <c r="B37" s="59"/>
    </row>
    <row r="38" s="50" customFormat="1" ht="15" customHeight="1" spans="1:2">
      <c r="A38" s="59"/>
      <c r="B38" s="59"/>
    </row>
    <row r="39" s="50" customFormat="1" ht="15" customHeight="1" spans="1:2">
      <c r="A39" s="59"/>
      <c r="B39" s="59"/>
    </row>
    <row r="40" s="50" customFormat="1" ht="15" customHeight="1" spans="1:2">
      <c r="A40" s="59"/>
      <c r="B40" s="59"/>
    </row>
    <row r="41" s="50" customFormat="1" ht="15" customHeight="1" spans="1:2">
      <c r="A41" s="59"/>
      <c r="B41" s="59"/>
    </row>
    <row r="42" s="50" customFormat="1" ht="15" customHeight="1" spans="1:2">
      <c r="A42" s="59"/>
      <c r="B42" s="59"/>
    </row>
    <row r="43" s="50" customFormat="1" ht="15" customHeight="1" spans="1:2">
      <c r="A43" s="59"/>
      <c r="B43" s="59"/>
    </row>
    <row r="44" s="50" customFormat="1" ht="15" customHeight="1" spans="1:2">
      <c r="A44" s="59"/>
      <c r="B44" s="59"/>
    </row>
    <row r="45" s="50" customFormat="1" ht="15" customHeight="1" spans="1:2">
      <c r="A45" s="59"/>
      <c r="B45" s="59"/>
    </row>
    <row r="46" s="50" customFormat="1" ht="15" customHeight="1" spans="1:2">
      <c r="A46" s="59"/>
      <c r="B46" s="59"/>
    </row>
    <row r="47" s="50" customFormat="1" ht="15" customHeight="1" spans="1:2">
      <c r="A47" s="59"/>
      <c r="B47" s="59"/>
    </row>
    <row r="48" s="50" customFormat="1" ht="15" customHeight="1" spans="1:2">
      <c r="A48" s="59"/>
      <c r="B48" s="59"/>
    </row>
    <row r="49" s="50" customFormat="1" ht="15" customHeight="1" spans="1:2">
      <c r="A49" s="59"/>
      <c r="B49" s="59"/>
    </row>
    <row r="50" s="50" customFormat="1" ht="15" customHeight="1" spans="1:2">
      <c r="A50" s="59"/>
      <c r="B50" s="59"/>
    </row>
    <row r="51" s="50" customFormat="1" ht="15" customHeight="1" spans="1:2">
      <c r="A51" s="59"/>
      <c r="B51" s="59"/>
    </row>
    <row r="52" s="50" customFormat="1" ht="15" customHeight="1" spans="1:2">
      <c r="A52" s="59"/>
      <c r="B52" s="59"/>
    </row>
    <row r="53" s="50" customFormat="1" ht="15" customHeight="1" spans="1:2">
      <c r="A53" s="59"/>
      <c r="B53" s="59"/>
    </row>
    <row r="54" s="50" customFormat="1" ht="15" customHeight="1" spans="1:2">
      <c r="A54" s="59"/>
      <c r="B54" s="59"/>
    </row>
    <row r="55" s="50" customFormat="1" ht="15" customHeight="1" spans="1:2">
      <c r="A55" s="59"/>
      <c r="B55" s="59"/>
    </row>
    <row r="56" s="50" customFormat="1" ht="15" customHeight="1" spans="1:2">
      <c r="A56" s="59"/>
      <c r="B56" s="59"/>
    </row>
    <row r="57" s="50" customFormat="1" ht="15" customHeight="1" spans="1:2">
      <c r="A57" s="59"/>
      <c r="B57" s="59"/>
    </row>
    <row r="58" s="50" customFormat="1" ht="15" customHeight="1" spans="1:2">
      <c r="A58" s="59"/>
      <c r="B58" s="59"/>
    </row>
    <row r="59" s="50" customFormat="1" ht="15" customHeight="1" spans="1:2">
      <c r="A59" s="59"/>
      <c r="B59" s="59"/>
    </row>
    <row r="60" s="50" customFormat="1" ht="15" customHeight="1" spans="1:2">
      <c r="A60" s="59"/>
      <c r="B60" s="59"/>
    </row>
    <row r="61" s="50" customFormat="1" ht="15" customHeight="1" spans="1:2">
      <c r="A61" s="59"/>
      <c r="B61" s="59"/>
    </row>
    <row r="62" s="50" customFormat="1" ht="15" customHeight="1" spans="1:2">
      <c r="A62" s="59"/>
      <c r="B62" s="59"/>
    </row>
    <row r="63" s="50" customFormat="1" ht="15" customHeight="1" spans="1:2">
      <c r="A63" s="59"/>
      <c r="B63" s="59"/>
    </row>
    <row r="64" s="50" customFormat="1" ht="15" customHeight="1" spans="1:2">
      <c r="A64" s="59"/>
      <c r="B64" s="59"/>
    </row>
    <row r="65" s="50" customFormat="1" ht="15" customHeight="1" spans="1:2">
      <c r="A65" s="59"/>
      <c r="B65" s="59"/>
    </row>
    <row r="66" s="50" customFormat="1" ht="15" customHeight="1" spans="1:2">
      <c r="A66" s="59"/>
      <c r="B66" s="59"/>
    </row>
    <row r="67" s="50" customFormat="1" ht="15" customHeight="1" spans="1:2">
      <c r="A67" s="59"/>
      <c r="B67" s="59"/>
    </row>
    <row r="68" s="50" customFormat="1" ht="15" customHeight="1" spans="1:2">
      <c r="A68" s="59"/>
      <c r="B68" s="59"/>
    </row>
    <row r="69" s="50" customFormat="1" ht="15" customHeight="1" spans="1:2">
      <c r="A69" s="59"/>
      <c r="B69" s="59"/>
    </row>
    <row r="70" s="50" customFormat="1" ht="15" customHeight="1" spans="1:2">
      <c r="A70" s="59"/>
      <c r="B70" s="59"/>
    </row>
    <row r="71" s="50" customFormat="1" spans="1:2">
      <c r="A71" s="52"/>
      <c r="B71" s="52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H11" sqref="H11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38" customHeight="1" spans="1:6">
      <c r="A1" s="47" t="s">
        <v>55</v>
      </c>
      <c r="B1" s="47"/>
      <c r="C1" s="47"/>
      <c r="D1" s="47"/>
      <c r="E1" s="47"/>
      <c r="F1" s="47"/>
    </row>
    <row r="2" s="1" customFormat="1" ht="39" customHeight="1" spans="1:6">
      <c r="A2" s="7" t="s">
        <v>2</v>
      </c>
      <c r="B2" s="7" t="s">
        <v>56</v>
      </c>
      <c r="C2" s="7" t="s">
        <v>3</v>
      </c>
      <c r="D2" s="48" t="s">
        <v>57</v>
      </c>
      <c r="E2" s="7" t="s">
        <v>58</v>
      </c>
      <c r="F2" s="7" t="s">
        <v>7</v>
      </c>
    </row>
    <row r="3" ht="28" customHeight="1" spans="1:6">
      <c r="A3" s="37">
        <v>1</v>
      </c>
      <c r="B3" s="9">
        <v>46093</v>
      </c>
      <c r="C3" s="10" t="s">
        <v>18</v>
      </c>
      <c r="D3" s="49">
        <v>1</v>
      </c>
      <c r="E3" s="18"/>
      <c r="F3" s="11"/>
    </row>
    <row r="4" ht="28" customHeight="1" spans="1:6">
      <c r="A4" s="37">
        <v>2</v>
      </c>
      <c r="B4" s="9">
        <v>46093</v>
      </c>
      <c r="C4" s="10" t="s">
        <v>20</v>
      </c>
      <c r="D4" s="49">
        <v>1</v>
      </c>
      <c r="E4" s="18"/>
      <c r="F4" s="12"/>
    </row>
    <row r="5" ht="28" customHeight="1" spans="1:6">
      <c r="A5" s="37">
        <v>3</v>
      </c>
      <c r="B5" s="9">
        <v>46093</v>
      </c>
      <c r="C5" s="10" t="s">
        <v>59</v>
      </c>
      <c r="D5" s="49">
        <v>1</v>
      </c>
      <c r="E5" s="18"/>
      <c r="F5" s="12"/>
    </row>
    <row r="6" ht="28" customHeight="1" spans="1:6">
      <c r="A6" s="37">
        <v>4</v>
      </c>
      <c r="B6" s="9">
        <v>46093</v>
      </c>
      <c r="C6" s="10" t="s">
        <v>60</v>
      </c>
      <c r="D6" s="49">
        <v>1</v>
      </c>
      <c r="E6" s="18"/>
      <c r="F6" s="12"/>
    </row>
    <row r="7" ht="28" customHeight="1" spans="1:6">
      <c r="A7" s="37">
        <v>5</v>
      </c>
      <c r="B7" s="9">
        <v>46093</v>
      </c>
      <c r="C7" s="10" t="s">
        <v>61</v>
      </c>
      <c r="D7" s="49">
        <v>1</v>
      </c>
      <c r="E7" s="18"/>
      <c r="F7" s="12"/>
    </row>
    <row r="8" ht="28" customHeight="1" spans="1:6">
      <c r="A8" s="37">
        <v>6</v>
      </c>
      <c r="B8" s="9">
        <v>46093</v>
      </c>
      <c r="C8" s="10" t="s">
        <v>32</v>
      </c>
      <c r="D8" s="49">
        <v>1</v>
      </c>
      <c r="E8" s="18"/>
      <c r="F8" s="12"/>
    </row>
    <row r="9" ht="28" customHeight="1" spans="1:6">
      <c r="A9" s="37">
        <v>7</v>
      </c>
      <c r="B9" s="9">
        <v>46093</v>
      </c>
      <c r="C9" s="10" t="s">
        <v>62</v>
      </c>
      <c r="D9" s="49">
        <v>1</v>
      </c>
      <c r="E9" s="49"/>
      <c r="F9" s="13"/>
    </row>
    <row r="10" customFormat="1" ht="28" customHeight="1" spans="1:6">
      <c r="A10" s="37">
        <v>8</v>
      </c>
      <c r="B10" s="9">
        <v>46093</v>
      </c>
      <c r="C10" s="10" t="s">
        <v>36</v>
      </c>
      <c r="D10" s="49">
        <v>1</v>
      </c>
      <c r="E10" s="49"/>
      <c r="F10" s="13"/>
    </row>
    <row r="11" ht="18" customHeight="1" spans="1:6">
      <c r="D11" s="29">
        <f>SUM(D3:D10)</f>
        <v>8</v>
      </c>
    </row>
    <row r="13" ht="14.25" spans="1:6">
      <c r="C13" s="10" t="s">
        <v>45</v>
      </c>
      <c r="D13">
        <v>1</v>
      </c>
      <c r="F13" t="s">
        <v>63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L19" sqref="L19"/>
    </sheetView>
  </sheetViews>
  <sheetFormatPr defaultColWidth="9.14285714285714" defaultRowHeight="23" customHeight="1"/>
  <cols>
    <col min="1" max="1" width="9.14285714285714" style="29"/>
    <col min="2" max="2" width="10.7142857142857" style="29" customWidth="1"/>
    <col min="3" max="3" width="10" style="29" customWidth="1"/>
    <col min="4" max="9" width="7.42857142857143" style="29" customWidth="1"/>
    <col min="10" max="29" width="7" style="29" customWidth="1"/>
    <col min="30" max="16384" width="9.14285714285714" style="29"/>
  </cols>
  <sheetData>
    <row r="1" s="27" customFormat="1" customHeight="1" spans="1:32">
      <c r="A1" s="30" t="s">
        <v>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="28" customFormat="1" ht="20" customHeight="1" spans="1:32">
      <c r="A2" s="32" t="s">
        <v>2</v>
      </c>
      <c r="B2" s="32" t="s">
        <v>54</v>
      </c>
      <c r="C2" s="33" t="s">
        <v>65</v>
      </c>
      <c r="D2" s="34">
        <v>46090</v>
      </c>
      <c r="E2" s="34">
        <v>46093</v>
      </c>
      <c r="F2" s="34">
        <v>46097</v>
      </c>
      <c r="G2" s="35">
        <v>46100</v>
      </c>
      <c r="H2" s="35">
        <v>46104</v>
      </c>
      <c r="I2" s="35">
        <v>46107</v>
      </c>
      <c r="J2" s="35">
        <v>46111</v>
      </c>
      <c r="K2" s="35">
        <v>46114</v>
      </c>
      <c r="L2" s="35">
        <v>46119</v>
      </c>
      <c r="M2" s="35">
        <v>46121</v>
      </c>
      <c r="N2" s="35">
        <v>46125</v>
      </c>
      <c r="O2" s="35">
        <v>46128</v>
      </c>
      <c r="P2" s="35">
        <v>46132</v>
      </c>
      <c r="Q2" s="35">
        <v>46135</v>
      </c>
      <c r="R2" s="35">
        <v>46139</v>
      </c>
      <c r="S2" s="35">
        <v>46142</v>
      </c>
      <c r="T2" s="35"/>
      <c r="U2" s="35"/>
      <c r="V2" s="35"/>
      <c r="W2" s="35"/>
      <c r="X2" s="35"/>
      <c r="Y2" s="35"/>
      <c r="Z2" s="35"/>
      <c r="AA2" s="35"/>
      <c r="AB2" s="35"/>
      <c r="AC2" s="35"/>
      <c r="AD2" s="36" t="s">
        <v>66</v>
      </c>
      <c r="AE2" s="28" t="s">
        <v>67</v>
      </c>
    </row>
    <row r="3" s="26" customFormat="1" customHeight="1" spans="1:32">
      <c r="A3" s="37">
        <v>1</v>
      </c>
      <c r="B3" s="10" t="s">
        <v>18</v>
      </c>
      <c r="C3" s="38">
        <v>100</v>
      </c>
      <c r="D3" s="38">
        <v>3</v>
      </c>
      <c r="E3" s="38">
        <v>3</v>
      </c>
      <c r="F3" s="38">
        <v>3</v>
      </c>
      <c r="G3" s="38">
        <v>3</v>
      </c>
      <c r="H3" s="38">
        <v>3</v>
      </c>
      <c r="I3" s="38">
        <v>3</v>
      </c>
      <c r="J3" s="38">
        <v>3</v>
      </c>
      <c r="K3" s="38">
        <v>3</v>
      </c>
      <c r="L3" s="38">
        <v>3</v>
      </c>
      <c r="M3" s="38">
        <v>3</v>
      </c>
      <c r="N3" s="38">
        <v>3</v>
      </c>
      <c r="O3" s="38">
        <v>3</v>
      </c>
      <c r="P3" s="38">
        <v>3</v>
      </c>
      <c r="Q3" s="38">
        <v>3</v>
      </c>
      <c r="R3" s="38"/>
      <c r="S3" s="38"/>
      <c r="T3" s="38"/>
      <c r="U3" s="39"/>
      <c r="V3" s="38"/>
      <c r="W3" s="38"/>
      <c r="X3" s="38"/>
      <c r="Y3" s="38"/>
      <c r="Z3" s="38"/>
      <c r="AA3" s="38"/>
      <c r="AB3" s="38"/>
      <c r="AC3" s="37"/>
      <c r="AD3" s="37">
        <f t="shared" ref="AD3:AD13" si="0">SUM(D3:AC3)</f>
        <v>42</v>
      </c>
      <c r="AE3" s="26">
        <f t="shared" ref="AE3:AE13" si="1">C3-AD3</f>
        <v>58</v>
      </c>
    </row>
    <row r="4" s="26" customFormat="1" customHeight="1" spans="1:32">
      <c r="A4" s="37">
        <v>2</v>
      </c>
      <c r="B4" s="10" t="s">
        <v>20</v>
      </c>
      <c r="C4" s="38">
        <v>100</v>
      </c>
      <c r="D4" s="38">
        <v>3</v>
      </c>
      <c r="E4" s="38">
        <v>3</v>
      </c>
      <c r="F4" s="38">
        <v>3</v>
      </c>
      <c r="G4" s="38">
        <v>3</v>
      </c>
      <c r="H4" s="38">
        <v>3</v>
      </c>
      <c r="I4" s="38">
        <v>3</v>
      </c>
      <c r="J4" s="38">
        <v>3</v>
      </c>
      <c r="K4" s="38">
        <v>3</v>
      </c>
      <c r="L4" s="38">
        <v>3</v>
      </c>
      <c r="M4" s="38">
        <v>3</v>
      </c>
      <c r="N4" s="38">
        <v>3</v>
      </c>
      <c r="O4" s="38">
        <v>3</v>
      </c>
      <c r="P4" s="38">
        <v>3</v>
      </c>
      <c r="Q4" s="38">
        <v>3</v>
      </c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7"/>
      <c r="AD4" s="37">
        <f t="shared" si="0"/>
        <v>42</v>
      </c>
      <c r="AE4" s="26">
        <f t="shared" si="1"/>
        <v>58</v>
      </c>
      <c r="AF4" s="29"/>
    </row>
    <row r="5" s="26" customFormat="1" customHeight="1" spans="1:32">
      <c r="A5" s="37">
        <v>3</v>
      </c>
      <c r="B5" s="10" t="s">
        <v>59</v>
      </c>
      <c r="C5" s="38">
        <v>100</v>
      </c>
      <c r="D5" s="38">
        <v>3</v>
      </c>
      <c r="E5" s="38">
        <v>3</v>
      </c>
      <c r="F5" s="38">
        <v>3</v>
      </c>
      <c r="G5" s="38">
        <v>3</v>
      </c>
      <c r="H5" s="38">
        <v>3</v>
      </c>
      <c r="I5" s="38">
        <v>3</v>
      </c>
      <c r="J5" s="38">
        <v>3</v>
      </c>
      <c r="K5" s="38">
        <v>3</v>
      </c>
      <c r="L5" s="38">
        <v>3</v>
      </c>
      <c r="M5" s="38">
        <v>3</v>
      </c>
      <c r="N5" s="38">
        <v>3</v>
      </c>
      <c r="O5" s="38">
        <v>3</v>
      </c>
      <c r="P5" s="38">
        <v>3</v>
      </c>
      <c r="Q5" s="38">
        <v>3</v>
      </c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7"/>
      <c r="AD5" s="37">
        <f t="shared" si="0"/>
        <v>42</v>
      </c>
      <c r="AE5" s="26">
        <f t="shared" si="1"/>
        <v>58</v>
      </c>
      <c r="AF5" s="29"/>
    </row>
    <row r="6" s="26" customFormat="1" customHeight="1" spans="1:32">
      <c r="A6" s="37">
        <v>4</v>
      </c>
      <c r="B6" s="10" t="s">
        <v>60</v>
      </c>
      <c r="C6" s="38">
        <v>100</v>
      </c>
      <c r="D6" s="38">
        <v>3</v>
      </c>
      <c r="E6" s="38">
        <v>3</v>
      </c>
      <c r="F6" s="38">
        <v>3</v>
      </c>
      <c r="G6" s="38">
        <v>3</v>
      </c>
      <c r="H6" s="38">
        <v>3</v>
      </c>
      <c r="I6" s="38">
        <v>3</v>
      </c>
      <c r="J6" s="38">
        <v>3</v>
      </c>
      <c r="K6" s="38">
        <v>3</v>
      </c>
      <c r="L6" s="38">
        <v>3</v>
      </c>
      <c r="M6" s="38">
        <v>3</v>
      </c>
      <c r="N6" s="38">
        <v>3</v>
      </c>
      <c r="O6" s="38">
        <v>3</v>
      </c>
      <c r="P6" s="38">
        <v>3</v>
      </c>
      <c r="Q6" s="38">
        <v>3</v>
      </c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7"/>
      <c r="AD6" s="37">
        <f t="shared" si="0"/>
        <v>42</v>
      </c>
      <c r="AE6" s="26">
        <f t="shared" si="1"/>
        <v>58</v>
      </c>
    </row>
    <row r="7" s="26" customFormat="1" customHeight="1" spans="1:32">
      <c r="A7" s="37">
        <v>5</v>
      </c>
      <c r="B7" s="10" t="s">
        <v>61</v>
      </c>
      <c r="C7" s="38">
        <v>100</v>
      </c>
      <c r="D7" s="38">
        <v>3</v>
      </c>
      <c r="E7" s="38">
        <v>3</v>
      </c>
      <c r="F7" s="38">
        <v>3</v>
      </c>
      <c r="G7" s="38">
        <v>3</v>
      </c>
      <c r="H7" s="38">
        <v>3</v>
      </c>
      <c r="I7" s="38">
        <v>3</v>
      </c>
      <c r="J7" s="38">
        <v>3</v>
      </c>
      <c r="K7" s="38">
        <v>3</v>
      </c>
      <c r="L7" s="38">
        <v>3</v>
      </c>
      <c r="M7" s="38">
        <v>3</v>
      </c>
      <c r="N7" s="38">
        <v>3</v>
      </c>
      <c r="O7" s="38">
        <v>3</v>
      </c>
      <c r="P7" s="38">
        <v>3</v>
      </c>
      <c r="Q7" s="38">
        <v>3</v>
      </c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7"/>
      <c r="AD7" s="37">
        <f t="shared" si="0"/>
        <v>42</v>
      </c>
      <c r="AE7" s="26">
        <f t="shared" si="1"/>
        <v>58</v>
      </c>
    </row>
    <row r="8" s="26" customFormat="1" customHeight="1" spans="1:32">
      <c r="A8" s="37">
        <v>6</v>
      </c>
      <c r="B8" s="10" t="s">
        <v>32</v>
      </c>
      <c r="C8" s="38">
        <v>100</v>
      </c>
      <c r="D8" s="38">
        <v>3</v>
      </c>
      <c r="E8" s="38">
        <v>3</v>
      </c>
      <c r="F8" s="38">
        <v>3</v>
      </c>
      <c r="G8" s="38">
        <v>3</v>
      </c>
      <c r="H8" s="38">
        <v>3</v>
      </c>
      <c r="I8" s="38">
        <v>3</v>
      </c>
      <c r="J8" s="38">
        <v>3</v>
      </c>
      <c r="K8" s="38">
        <v>3</v>
      </c>
      <c r="L8" s="38">
        <v>3</v>
      </c>
      <c r="M8" s="38">
        <v>3</v>
      </c>
      <c r="N8" s="38">
        <v>3</v>
      </c>
      <c r="O8" s="38">
        <v>3</v>
      </c>
      <c r="P8" s="38">
        <v>3</v>
      </c>
      <c r="Q8" s="38">
        <v>3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7"/>
      <c r="AD8" s="37">
        <f t="shared" si="0"/>
        <v>42</v>
      </c>
      <c r="AE8" s="26">
        <f t="shared" si="1"/>
        <v>58</v>
      </c>
    </row>
    <row r="9" s="26" customFormat="1" customHeight="1" spans="1:32">
      <c r="A9" s="37">
        <v>7</v>
      </c>
      <c r="B9" s="10" t="s">
        <v>33</v>
      </c>
      <c r="C9" s="38">
        <v>100</v>
      </c>
      <c r="D9" s="38">
        <v>3</v>
      </c>
      <c r="E9" s="38">
        <v>3</v>
      </c>
      <c r="F9" s="38">
        <v>3</v>
      </c>
      <c r="G9" s="38">
        <v>3</v>
      </c>
      <c r="H9" s="38">
        <v>3</v>
      </c>
      <c r="I9" s="38">
        <v>3</v>
      </c>
      <c r="J9" s="38">
        <v>3</v>
      </c>
      <c r="K9" s="38">
        <v>3</v>
      </c>
      <c r="L9" s="38">
        <v>3</v>
      </c>
      <c r="M9" s="38">
        <v>3</v>
      </c>
      <c r="N9" s="38">
        <v>3</v>
      </c>
      <c r="O9" s="38">
        <v>3</v>
      </c>
      <c r="P9" s="38">
        <v>3</v>
      </c>
      <c r="Q9" s="38">
        <v>3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7"/>
      <c r="AD9" s="37">
        <f t="shared" si="0"/>
        <v>42</v>
      </c>
      <c r="AE9" s="26">
        <f t="shared" si="1"/>
        <v>58</v>
      </c>
    </row>
    <row r="10" customHeight="1" spans="1:32">
      <c r="A10" s="37">
        <v>8</v>
      </c>
      <c r="B10" s="10" t="s">
        <v>36</v>
      </c>
      <c r="C10" s="38">
        <v>100</v>
      </c>
      <c r="D10" s="38">
        <v>3</v>
      </c>
      <c r="E10" s="38">
        <v>3</v>
      </c>
      <c r="F10" s="38">
        <v>3</v>
      </c>
      <c r="G10" s="38">
        <v>3</v>
      </c>
      <c r="H10" s="38">
        <v>3</v>
      </c>
      <c r="I10" s="38">
        <v>3</v>
      </c>
      <c r="J10" s="38">
        <v>3</v>
      </c>
      <c r="K10" s="38">
        <v>3</v>
      </c>
      <c r="L10" s="38">
        <v>3</v>
      </c>
      <c r="M10" s="38">
        <v>3</v>
      </c>
      <c r="N10" s="38">
        <v>3</v>
      </c>
      <c r="O10" s="38">
        <v>3</v>
      </c>
      <c r="P10" s="38">
        <v>3</v>
      </c>
      <c r="Q10" s="38">
        <v>3</v>
      </c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40"/>
      <c r="AD10" s="37">
        <f t="shared" si="0"/>
        <v>42</v>
      </c>
      <c r="AE10" s="26">
        <f t="shared" si="1"/>
        <v>58</v>
      </c>
    </row>
    <row r="11" customHeight="1" spans="1:32">
      <c r="A11" s="37">
        <v>10</v>
      </c>
      <c r="B11" s="10" t="s">
        <v>47</v>
      </c>
      <c r="C11" s="38">
        <v>100</v>
      </c>
      <c r="D11" s="38">
        <v>0</v>
      </c>
      <c r="E11" s="38">
        <v>0</v>
      </c>
      <c r="F11" s="38">
        <v>0</v>
      </c>
      <c r="G11" s="38">
        <v>0</v>
      </c>
      <c r="H11" s="38">
        <v>3</v>
      </c>
      <c r="I11" s="38">
        <v>3</v>
      </c>
      <c r="J11" s="38">
        <v>3</v>
      </c>
      <c r="K11" s="38">
        <v>3</v>
      </c>
      <c r="L11" s="38">
        <v>6</v>
      </c>
      <c r="M11" s="38">
        <v>6</v>
      </c>
      <c r="N11" s="38">
        <v>6</v>
      </c>
      <c r="O11" s="38">
        <v>6</v>
      </c>
      <c r="P11" s="38">
        <v>3</v>
      </c>
      <c r="Q11" s="38">
        <v>3</v>
      </c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40"/>
      <c r="AD11" s="37">
        <f t="shared" si="0"/>
        <v>42</v>
      </c>
      <c r="AE11" s="26">
        <f t="shared" si="1"/>
        <v>58</v>
      </c>
    </row>
    <row r="12" customHeight="1" spans="1:32">
      <c r="A12" s="37">
        <v>11</v>
      </c>
      <c r="B12" s="10" t="s">
        <v>49</v>
      </c>
      <c r="C12" s="38">
        <v>100</v>
      </c>
      <c r="D12" s="38"/>
      <c r="E12" s="38"/>
      <c r="F12" s="38"/>
      <c r="G12" s="38"/>
      <c r="H12" s="38">
        <v>3</v>
      </c>
      <c r="I12" s="38">
        <v>3</v>
      </c>
      <c r="J12" s="38">
        <v>3</v>
      </c>
      <c r="K12" s="38">
        <v>3</v>
      </c>
      <c r="L12" s="38">
        <v>3</v>
      </c>
      <c r="M12" s="38">
        <v>3</v>
      </c>
      <c r="N12" s="38">
        <v>3</v>
      </c>
      <c r="O12" s="38">
        <v>3</v>
      </c>
      <c r="P12" s="38">
        <v>3</v>
      </c>
      <c r="Q12" s="38">
        <v>3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40"/>
      <c r="AD12" s="37">
        <f t="shared" si="0"/>
        <v>30</v>
      </c>
      <c r="AE12" s="26">
        <f t="shared" si="1"/>
        <v>70</v>
      </c>
    </row>
    <row r="13" customHeight="1" spans="1:32">
      <c r="A13" s="37">
        <v>9</v>
      </c>
      <c r="B13" s="10" t="s">
        <v>45</v>
      </c>
      <c r="C13" s="38">
        <v>100</v>
      </c>
      <c r="D13" s="38">
        <v>0</v>
      </c>
      <c r="E13" s="38">
        <v>0</v>
      </c>
      <c r="F13" s="38">
        <v>6</v>
      </c>
      <c r="G13" s="38">
        <v>6</v>
      </c>
      <c r="H13" s="38">
        <v>3</v>
      </c>
      <c r="I13" s="38">
        <v>3</v>
      </c>
      <c r="J13" s="38">
        <v>3</v>
      </c>
      <c r="K13" s="38">
        <v>3</v>
      </c>
      <c r="L13" s="38">
        <v>3</v>
      </c>
      <c r="M13" s="38">
        <v>6</v>
      </c>
      <c r="N13" s="38">
        <v>6</v>
      </c>
      <c r="O13" s="38">
        <v>3</v>
      </c>
      <c r="P13" s="38">
        <v>3</v>
      </c>
      <c r="Q13" s="38">
        <v>3</v>
      </c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40"/>
      <c r="AD13" s="37">
        <f t="shared" si="0"/>
        <v>48</v>
      </c>
      <c r="AE13" s="26">
        <f t="shared" si="1"/>
        <v>52</v>
      </c>
    </row>
    <row r="14" customHeight="1" spans="1:32">
      <c r="A14" s="37">
        <v>12</v>
      </c>
      <c r="B14" s="10"/>
      <c r="C14" s="38"/>
      <c r="D14" s="38">
        <f>SUM(D3:D13)</f>
        <v>24</v>
      </c>
      <c r="E14" s="38">
        <f t="shared" ref="E14:AB14" si="2">SUM(E3:E13)</f>
        <v>24</v>
      </c>
      <c r="F14" s="38">
        <f t="shared" si="2"/>
        <v>30</v>
      </c>
      <c r="G14" s="38">
        <f t="shared" si="2"/>
        <v>30</v>
      </c>
      <c r="H14" s="38">
        <f t="shared" si="2"/>
        <v>33</v>
      </c>
      <c r="I14" s="38">
        <f t="shared" si="2"/>
        <v>33</v>
      </c>
      <c r="J14" s="38">
        <f t="shared" si="2"/>
        <v>33</v>
      </c>
      <c r="K14" s="38">
        <f t="shared" si="2"/>
        <v>33</v>
      </c>
      <c r="L14" s="38">
        <f t="shared" si="2"/>
        <v>36</v>
      </c>
      <c r="M14" s="38">
        <f t="shared" si="2"/>
        <v>39</v>
      </c>
      <c r="N14" s="38">
        <f t="shared" si="2"/>
        <v>39</v>
      </c>
      <c r="O14" s="38">
        <f t="shared" si="2"/>
        <v>36</v>
      </c>
      <c r="P14" s="38">
        <f t="shared" si="2"/>
        <v>33</v>
      </c>
      <c r="Q14" s="38">
        <f t="shared" si="2"/>
        <v>33</v>
      </c>
      <c r="R14" s="38">
        <f t="shared" si="2"/>
        <v>0</v>
      </c>
      <c r="S14" s="38">
        <f t="shared" si="2"/>
        <v>0</v>
      </c>
      <c r="T14" s="38">
        <f t="shared" si="2"/>
        <v>0</v>
      </c>
      <c r="U14" s="38">
        <f t="shared" si="2"/>
        <v>0</v>
      </c>
      <c r="V14" s="38">
        <f t="shared" si="2"/>
        <v>0</v>
      </c>
      <c r="W14" s="38">
        <f t="shared" si="2"/>
        <v>0</v>
      </c>
      <c r="X14" s="38">
        <f t="shared" si="2"/>
        <v>0</v>
      </c>
      <c r="Y14" s="38">
        <f t="shared" si="2"/>
        <v>0</v>
      </c>
      <c r="Z14" s="38">
        <f t="shared" si="2"/>
        <v>0</v>
      </c>
      <c r="AA14" s="38">
        <f t="shared" si="2"/>
        <v>0</v>
      </c>
      <c r="AB14" s="38">
        <f t="shared" si="2"/>
        <v>0</v>
      </c>
      <c r="AC14" s="40"/>
      <c r="AD14" s="37">
        <f t="shared" ref="AD6:AD32" si="3">SUM(D14:AC14)</f>
        <v>456</v>
      </c>
      <c r="AE14" s="26"/>
    </row>
    <row r="15" customHeight="1" spans="1:32">
      <c r="A15" s="37">
        <v>13</v>
      </c>
      <c r="B15" s="10"/>
      <c r="C15" s="38"/>
      <c r="D15" s="38"/>
      <c r="E15" s="38"/>
      <c r="F15" s="38"/>
      <c r="G15" s="38"/>
      <c r="H15" s="38"/>
      <c r="I15" s="38"/>
      <c r="J15" s="38"/>
      <c r="K15" s="39"/>
      <c r="L15" s="39"/>
      <c r="M15" s="39"/>
      <c r="N15" s="39"/>
      <c r="O15" s="39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40"/>
      <c r="AD15" s="37">
        <f t="shared" si="3"/>
        <v>0</v>
      </c>
      <c r="AE15" s="26"/>
    </row>
    <row r="16" customHeight="1" spans="1:32">
      <c r="A16" s="37">
        <v>14</v>
      </c>
      <c r="B16" s="10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40"/>
      <c r="AD16" s="37">
        <f t="shared" si="3"/>
        <v>0</v>
      </c>
      <c r="AE16" s="26"/>
    </row>
    <row r="17" customHeight="1" spans="1:31">
      <c r="A17" s="37">
        <v>15</v>
      </c>
      <c r="B17" s="10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40"/>
      <c r="AD17" s="37">
        <f t="shared" si="3"/>
        <v>0</v>
      </c>
      <c r="AE17" s="26"/>
    </row>
    <row r="18" customHeight="1" spans="1:31">
      <c r="A18" s="37">
        <v>16</v>
      </c>
      <c r="B18" s="10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40"/>
      <c r="AD18" s="37">
        <f t="shared" si="3"/>
        <v>0</v>
      </c>
      <c r="AE18" s="26"/>
    </row>
    <row r="19" customHeight="1" spans="1:31">
      <c r="A19" s="37">
        <v>17</v>
      </c>
      <c r="B19" s="10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40"/>
      <c r="AD19" s="37">
        <f t="shared" si="3"/>
        <v>0</v>
      </c>
      <c r="AE19" s="26"/>
    </row>
    <row r="20" customHeight="1" spans="1:31">
      <c r="A20" s="37">
        <v>18</v>
      </c>
      <c r="B20" s="10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40"/>
      <c r="AD20" s="37">
        <f t="shared" si="3"/>
        <v>0</v>
      </c>
      <c r="AE20" s="26"/>
    </row>
    <row r="21" customHeight="1" spans="1:31">
      <c r="A21" s="37">
        <v>19</v>
      </c>
      <c r="B21" s="10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40"/>
      <c r="AD21" s="37">
        <f t="shared" si="3"/>
        <v>0</v>
      </c>
      <c r="AE21" s="26"/>
    </row>
    <row r="22" customHeight="1" spans="1:31">
      <c r="A22" s="37">
        <v>20</v>
      </c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40"/>
      <c r="AD22" s="37">
        <f t="shared" si="3"/>
        <v>0</v>
      </c>
      <c r="AE22" s="26"/>
    </row>
    <row r="23" customHeight="1" spans="1:31">
      <c r="A23" s="37">
        <v>21</v>
      </c>
      <c r="B23" s="10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40"/>
      <c r="AD23" s="37">
        <f t="shared" si="3"/>
        <v>0</v>
      </c>
      <c r="AE23" s="26"/>
    </row>
    <row r="24" customHeight="1" spans="1:31">
      <c r="A24" s="37">
        <v>22</v>
      </c>
      <c r="B24" s="10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40"/>
      <c r="AD24" s="37">
        <f t="shared" si="3"/>
        <v>0</v>
      </c>
      <c r="AE24" s="26"/>
    </row>
    <row r="25" customHeight="1" spans="1:31">
      <c r="A25" s="37">
        <v>23</v>
      </c>
      <c r="B25" s="41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40"/>
      <c r="AD25" s="37">
        <f t="shared" si="3"/>
        <v>0</v>
      </c>
      <c r="AE25" s="26"/>
    </row>
    <row r="26" customHeight="1" spans="1:31">
      <c r="A26" s="37">
        <v>24</v>
      </c>
      <c r="B26" s="41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40"/>
      <c r="AD26" s="37">
        <f t="shared" si="3"/>
        <v>0</v>
      </c>
      <c r="AE26" s="26"/>
    </row>
    <row r="27" customHeight="1" spans="1:31">
      <c r="A27" s="42">
        <v>25</v>
      </c>
      <c r="B27" s="43"/>
      <c r="C27" s="44"/>
      <c r="D27" s="45"/>
      <c r="E27" s="45"/>
      <c r="F27" s="45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5"/>
      <c r="AD27" s="42">
        <f t="shared" si="3"/>
        <v>0</v>
      </c>
      <c r="AE27" s="26"/>
    </row>
    <row r="28" customHeight="1" spans="1:31">
      <c r="A28" s="37">
        <v>26</v>
      </c>
      <c r="B28" s="41"/>
      <c r="C28" s="38"/>
      <c r="D28" s="40"/>
      <c r="E28" s="40"/>
      <c r="F28" s="40"/>
      <c r="G28" s="40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44"/>
      <c r="U28" s="44"/>
      <c r="V28" s="44"/>
      <c r="W28" s="44"/>
      <c r="X28" s="44"/>
      <c r="Y28" s="44"/>
      <c r="Z28" s="44"/>
      <c r="AA28" s="44"/>
      <c r="AB28" s="44"/>
      <c r="AC28" s="40"/>
      <c r="AD28" s="37">
        <f t="shared" si="3"/>
        <v>0</v>
      </c>
      <c r="AE28" s="26"/>
    </row>
    <row r="29" customHeight="1" spans="1:31">
      <c r="A29" s="37">
        <v>27</v>
      </c>
      <c r="B29" s="41"/>
      <c r="C29" s="38"/>
      <c r="D29" s="40"/>
      <c r="E29" s="40"/>
      <c r="F29" s="40"/>
      <c r="G29" s="40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44"/>
      <c r="U29" s="44"/>
      <c r="V29" s="44"/>
      <c r="W29" s="44"/>
      <c r="X29" s="44"/>
      <c r="Y29" s="44"/>
      <c r="Z29" s="44"/>
      <c r="AA29" s="44"/>
      <c r="AB29" s="44"/>
      <c r="AC29" s="40"/>
      <c r="AD29" s="37">
        <f t="shared" si="3"/>
        <v>0</v>
      </c>
      <c r="AE29" s="26"/>
    </row>
    <row r="30" customHeight="1" spans="1:31">
      <c r="A30" s="37">
        <v>28</v>
      </c>
      <c r="B30" s="41"/>
      <c r="C30" s="38"/>
      <c r="D30" s="40"/>
      <c r="E30" s="40"/>
      <c r="F30" s="40"/>
      <c r="G30" s="40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40"/>
      <c r="AD30" s="37">
        <f t="shared" si="3"/>
        <v>0</v>
      </c>
      <c r="AE30" s="26"/>
    </row>
    <row r="31" customHeight="1" spans="1:31">
      <c r="A31" s="37">
        <v>29</v>
      </c>
      <c r="B31" s="41"/>
      <c r="C31" s="38"/>
      <c r="D31" s="40"/>
      <c r="E31" s="40"/>
      <c r="F31" s="40"/>
      <c r="G31" s="40"/>
      <c r="H31" s="40"/>
      <c r="I31" s="40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40"/>
      <c r="AD31" s="37">
        <f t="shared" si="3"/>
        <v>0</v>
      </c>
      <c r="AE31" s="26"/>
    </row>
    <row r="32" customHeight="1" spans="1:31">
      <c r="A32" s="37">
        <v>30</v>
      </c>
      <c r="B32" s="41"/>
      <c r="C32" s="38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>
        <f t="shared" si="3"/>
        <v>0</v>
      </c>
      <c r="AE32" s="26"/>
    </row>
    <row r="33" customHeight="1" spans="1:30">
      <c r="A33" s="40"/>
      <c r="B33" s="46"/>
      <c r="C33" s="46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customHeight="1" spans="1:30">
      <c r="A34" s="40"/>
      <c r="B34" s="46"/>
      <c r="C34" s="46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customHeight="1" spans="1:30">
      <c r="A35" s="40"/>
      <c r="B35" s="46"/>
      <c r="C35" s="46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</sheetData>
  <mergeCells count="1">
    <mergeCell ref="A1:AD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11" sqref="E11:F11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7">
      <c r="A2" s="23" t="s">
        <v>2</v>
      </c>
      <c r="B2" s="7" t="s">
        <v>56</v>
      </c>
      <c r="C2" s="7" t="s">
        <v>3</v>
      </c>
      <c r="D2" s="7" t="s">
        <v>69</v>
      </c>
      <c r="E2" s="7" t="s">
        <v>70</v>
      </c>
      <c r="F2" s="7" t="s">
        <v>71</v>
      </c>
      <c r="G2" s="7" t="s">
        <v>7</v>
      </c>
    </row>
    <row r="3" customFormat="1" ht="22" customHeight="1" spans="1:7">
      <c r="A3" s="24">
        <v>1</v>
      </c>
      <c r="B3" s="9">
        <v>46090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customFormat="1" ht="22" customHeight="1" spans="1:7">
      <c r="A4" s="24">
        <v>2</v>
      </c>
      <c r="B4" s="9">
        <v>46090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customFormat="1" ht="22" customHeight="1" spans="1:7">
      <c r="A5" s="24">
        <v>3</v>
      </c>
      <c r="B5" s="9">
        <v>46090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customFormat="1" ht="22" customHeight="1" spans="1:7">
      <c r="A6" s="24">
        <v>4</v>
      </c>
      <c r="B6" s="9">
        <v>46090</v>
      </c>
      <c r="C6" s="10" t="s">
        <v>60</v>
      </c>
      <c r="D6" s="11" t="s">
        <v>72</v>
      </c>
      <c r="E6" s="11"/>
      <c r="F6" s="12">
        <v>3</v>
      </c>
      <c r="G6" s="10" t="s">
        <v>24</v>
      </c>
    </row>
    <row r="7" customFormat="1" ht="22" customHeight="1" spans="1:7">
      <c r="A7" s="24">
        <v>5</v>
      </c>
      <c r="B7" s="9">
        <v>46090</v>
      </c>
      <c r="C7" s="10" t="s">
        <v>61</v>
      </c>
      <c r="D7" s="11" t="s">
        <v>72</v>
      </c>
      <c r="E7" s="11">
        <v>2</v>
      </c>
      <c r="F7" s="12">
        <v>1</v>
      </c>
      <c r="G7" s="10" t="s">
        <v>24</v>
      </c>
    </row>
    <row r="8" customFormat="1" ht="22" customHeight="1" spans="1:7">
      <c r="A8" s="24">
        <v>6</v>
      </c>
      <c r="B8" s="9">
        <v>46090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customFormat="1" ht="22" customHeight="1" spans="1:7">
      <c r="A9" s="24">
        <v>7</v>
      </c>
      <c r="B9" s="9">
        <v>46090</v>
      </c>
      <c r="C9" s="10" t="s">
        <v>62</v>
      </c>
      <c r="D9" s="11" t="s">
        <v>72</v>
      </c>
      <c r="E9" s="11">
        <v>3</v>
      </c>
      <c r="F9" s="12"/>
      <c r="G9" s="10" t="s">
        <v>24</v>
      </c>
    </row>
    <row r="10" customFormat="1" ht="22" customHeight="1" spans="1:7">
      <c r="A10" s="24">
        <v>8</v>
      </c>
      <c r="B10" s="9">
        <v>46090</v>
      </c>
      <c r="C10" s="10" t="s">
        <v>36</v>
      </c>
      <c r="D10" s="11" t="s">
        <v>72</v>
      </c>
      <c r="E10" s="11"/>
      <c r="F10" s="12">
        <v>3</v>
      </c>
      <c r="G10" s="10" t="s">
        <v>24</v>
      </c>
    </row>
    <row r="11" customFormat="1" ht="22" customHeight="1" spans="1:7">
      <c r="C11" s="25"/>
      <c r="D11" s="25"/>
      <c r="E11" s="26">
        <f>SUM(E3:E10)</f>
        <v>16</v>
      </c>
      <c r="F11" s="26">
        <f>SUM(F3:F10)</f>
        <v>8</v>
      </c>
      <c r="G11" s="25"/>
    </row>
    <row r="12" customFormat="1" spans="1:7">
      <c r="E12">
        <v>9</v>
      </c>
      <c r="F12">
        <v>3</v>
      </c>
    </row>
    <row r="13" customFormat="1" spans="1:7">
      <c r="E13" t="s">
        <v>73</v>
      </c>
      <c r="F13" t="s">
        <v>74</v>
      </c>
    </row>
    <row r="14" customFormat="1" spans="1:7">
      <c r="D14" t="s">
        <v>75</v>
      </c>
      <c r="E14">
        <f>E11-E12</f>
        <v>7</v>
      </c>
      <c r="F14">
        <f>F11-F12</f>
        <v>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F22" sqref="F22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46093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ht="22" customHeight="1" spans="1:11">
      <c r="A4" s="8">
        <v>2</v>
      </c>
      <c r="B4" s="9">
        <v>46093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ht="22" customHeight="1" spans="1:11">
      <c r="A5" s="8">
        <v>3</v>
      </c>
      <c r="B5" s="9">
        <v>46093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ht="22" customHeight="1" spans="1:11">
      <c r="A6" s="8">
        <v>4</v>
      </c>
      <c r="B6" s="9">
        <v>46093</v>
      </c>
      <c r="C6" s="10" t="s">
        <v>60</v>
      </c>
      <c r="D6" s="11" t="s">
        <v>72</v>
      </c>
      <c r="E6" s="11"/>
      <c r="F6" s="11">
        <v>3</v>
      </c>
      <c r="G6" s="10" t="s">
        <v>24</v>
      </c>
    </row>
    <row r="7" ht="22" customHeight="1" spans="1:11">
      <c r="A7" s="8">
        <v>5</v>
      </c>
      <c r="B7" s="9">
        <v>46093</v>
      </c>
      <c r="C7" s="10" t="s">
        <v>61</v>
      </c>
      <c r="D7" s="11" t="s">
        <v>72</v>
      </c>
      <c r="E7" s="11">
        <v>2</v>
      </c>
      <c r="F7" s="12">
        <v>1</v>
      </c>
      <c r="G7" s="10" t="s">
        <v>24</v>
      </c>
    </row>
    <row r="8" ht="22" customHeight="1" spans="1:11">
      <c r="A8" s="8">
        <v>6</v>
      </c>
      <c r="B8" s="9">
        <v>46093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ht="22" customHeight="1" spans="1:11">
      <c r="A9" s="8">
        <v>7</v>
      </c>
      <c r="B9" s="9">
        <v>46093</v>
      </c>
      <c r="C9" s="10" t="s">
        <v>62</v>
      </c>
      <c r="D9" s="11" t="s">
        <v>72</v>
      </c>
      <c r="E9" s="11">
        <v>3</v>
      </c>
      <c r="F9" s="12"/>
      <c r="G9" s="10" t="s">
        <v>24</v>
      </c>
    </row>
    <row r="10" ht="22" customHeight="1" spans="1:11">
      <c r="A10" s="8">
        <v>8</v>
      </c>
      <c r="B10" s="9">
        <v>46093</v>
      </c>
      <c r="C10" s="10" t="s">
        <v>36</v>
      </c>
      <c r="D10" s="11" t="s">
        <v>72</v>
      </c>
      <c r="E10" s="11"/>
      <c r="F10" s="11">
        <v>3</v>
      </c>
      <c r="G10" s="10" t="s">
        <v>24</v>
      </c>
    </row>
    <row r="11" customFormat="1" ht="22" customHeight="1" spans="1:11">
      <c r="A11" s="8"/>
      <c r="B11" s="9"/>
      <c r="C11" s="15"/>
      <c r="D11" s="22"/>
      <c r="E11" s="11"/>
      <c r="F11" s="13"/>
      <c r="G11" s="13"/>
    </row>
    <row r="12" customFormat="1" ht="22" customHeight="1" spans="1:11">
      <c r="A12" s="8"/>
      <c r="B12" s="14"/>
      <c r="C12" s="15"/>
      <c r="D12" s="16"/>
      <c r="E12" s="17"/>
      <c r="F12" s="18"/>
      <c r="G12" s="18"/>
    </row>
    <row r="13" ht="13.5" spans="1:11">
      <c r="E13" s="21">
        <f>SUM(E3:E12)</f>
        <v>16</v>
      </c>
      <c r="F13" s="21">
        <f>SUM(F3:F12)</f>
        <v>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D31" sqref="D31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46097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ht="22" customHeight="1" spans="1:11">
      <c r="A4" s="8">
        <v>2</v>
      </c>
      <c r="B4" s="9">
        <v>46097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ht="22" customHeight="1" spans="1:11">
      <c r="A5" s="8">
        <v>3</v>
      </c>
      <c r="B5" s="9">
        <v>46097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ht="22" customHeight="1" spans="1:11">
      <c r="A6" s="8">
        <v>4</v>
      </c>
      <c r="B6" s="9">
        <v>46097</v>
      </c>
      <c r="C6" s="10" t="s">
        <v>60</v>
      </c>
      <c r="D6" s="11" t="s">
        <v>72</v>
      </c>
      <c r="E6" s="11"/>
      <c r="F6" s="11">
        <v>3</v>
      </c>
      <c r="G6" s="10" t="s">
        <v>24</v>
      </c>
    </row>
    <row r="7" ht="22" customHeight="1" spans="1:11">
      <c r="A7" s="8">
        <v>5</v>
      </c>
      <c r="B7" s="9">
        <v>46097</v>
      </c>
      <c r="C7" s="10" t="s">
        <v>61</v>
      </c>
      <c r="D7" s="11" t="s">
        <v>72</v>
      </c>
      <c r="E7" s="11">
        <v>2</v>
      </c>
      <c r="F7" s="12">
        <v>1</v>
      </c>
      <c r="G7" s="10" t="s">
        <v>24</v>
      </c>
    </row>
    <row r="8" ht="22" customHeight="1" spans="1:11">
      <c r="A8" s="8">
        <v>6</v>
      </c>
      <c r="B8" s="9">
        <v>46097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ht="22" customHeight="1" spans="1:11">
      <c r="A9" s="8">
        <v>7</v>
      </c>
      <c r="B9" s="9">
        <v>46097</v>
      </c>
      <c r="C9" s="10" t="s">
        <v>62</v>
      </c>
      <c r="D9" s="11" t="s">
        <v>72</v>
      </c>
      <c r="E9" s="11">
        <v>3</v>
      </c>
      <c r="F9" s="12"/>
      <c r="G9" s="10" t="s">
        <v>24</v>
      </c>
    </row>
    <row r="10" ht="22" customHeight="1" spans="1:11">
      <c r="A10" s="8">
        <v>8</v>
      </c>
      <c r="B10" s="9">
        <v>46097</v>
      </c>
      <c r="C10" s="10" t="s">
        <v>36</v>
      </c>
      <c r="D10" s="11" t="s">
        <v>72</v>
      </c>
      <c r="E10" s="11"/>
      <c r="F10" s="11">
        <v>3</v>
      </c>
      <c r="G10" s="10" t="s">
        <v>24</v>
      </c>
    </row>
    <row r="11" customFormat="1" ht="22" customHeight="1" spans="1:11">
      <c r="A11" s="8">
        <v>9</v>
      </c>
      <c r="B11" s="9">
        <v>46097</v>
      </c>
      <c r="C11" s="10" t="s">
        <v>45</v>
      </c>
      <c r="D11" s="11" t="s">
        <v>72</v>
      </c>
      <c r="E11" s="11">
        <v>3</v>
      </c>
      <c r="F11" s="13"/>
      <c r="G11" s="10" t="s">
        <v>24</v>
      </c>
    </row>
    <row r="12" customFormat="1" ht="22" customHeight="1" spans="1:11">
      <c r="A12" s="8"/>
      <c r="B12" s="9"/>
      <c r="C12" s="10"/>
      <c r="D12" s="11"/>
      <c r="E12" s="11"/>
      <c r="F12" s="13"/>
      <c r="G12" s="10"/>
    </row>
    <row r="13" customFormat="1" ht="22" customHeight="1" spans="1:11">
      <c r="A13" s="8"/>
      <c r="B13" s="9"/>
      <c r="C13" s="10" t="s">
        <v>45</v>
      </c>
      <c r="D13" s="11" t="s">
        <v>76</v>
      </c>
      <c r="E13" s="11">
        <v>3</v>
      </c>
      <c r="F13" s="13"/>
      <c r="G13" s="10"/>
    </row>
    <row r="14" customFormat="1" ht="22" customHeight="1" spans="1:11">
      <c r="A14" s="8"/>
      <c r="B14" s="9"/>
      <c r="C14" s="10"/>
      <c r="D14" s="11"/>
      <c r="E14" s="11"/>
      <c r="F14" s="13"/>
      <c r="G14" s="10"/>
    </row>
    <row r="15" customFormat="1" ht="22" customHeight="1" spans="1:11">
      <c r="A15" s="8"/>
      <c r="B15" s="14"/>
      <c r="C15" s="15"/>
      <c r="D15" s="16"/>
      <c r="E15" s="17"/>
      <c r="F15" s="18"/>
      <c r="G15" s="18"/>
    </row>
    <row r="16" ht="13.5" spans="1:11">
      <c r="E16" s="21">
        <f>SUM(E3:E15)</f>
        <v>22</v>
      </c>
      <c r="F16" s="21">
        <f>SUM(F3:F15)</f>
        <v>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A1" sqref="$A1:$XFD104857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46100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ht="22" customHeight="1" spans="1:11">
      <c r="A4" s="8">
        <v>2</v>
      </c>
      <c r="B4" s="9">
        <v>46100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ht="22" customHeight="1" spans="1:11">
      <c r="A5" s="8">
        <v>3</v>
      </c>
      <c r="B5" s="9">
        <v>46100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ht="22" customHeight="1" spans="1:11">
      <c r="A6" s="8">
        <v>4</v>
      </c>
      <c r="B6" s="9">
        <v>46100</v>
      </c>
      <c r="C6" s="10" t="s">
        <v>60</v>
      </c>
      <c r="D6" s="11" t="s">
        <v>72</v>
      </c>
      <c r="E6" s="11"/>
      <c r="F6" s="11">
        <v>3</v>
      </c>
      <c r="G6" s="10" t="s">
        <v>24</v>
      </c>
    </row>
    <row r="7" ht="22" customHeight="1" spans="1:11">
      <c r="A7" s="8">
        <v>5</v>
      </c>
      <c r="B7" s="9">
        <v>46100</v>
      </c>
      <c r="C7" s="10" t="s">
        <v>61</v>
      </c>
      <c r="D7" s="11" t="s">
        <v>72</v>
      </c>
      <c r="E7" s="11">
        <v>2</v>
      </c>
      <c r="F7" s="12">
        <v>1</v>
      </c>
      <c r="G7" s="10" t="s">
        <v>24</v>
      </c>
    </row>
    <row r="8" ht="22" customHeight="1" spans="1:11">
      <c r="A8" s="8">
        <v>6</v>
      </c>
      <c r="B8" s="9">
        <v>46100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ht="22" customHeight="1" spans="1:11">
      <c r="A9" s="8">
        <v>7</v>
      </c>
      <c r="B9" s="9">
        <v>46100</v>
      </c>
      <c r="C9" s="10" t="s">
        <v>62</v>
      </c>
      <c r="D9" s="11" t="s">
        <v>72</v>
      </c>
      <c r="E9" s="11">
        <v>3</v>
      </c>
      <c r="F9" s="12"/>
      <c r="G9" s="10" t="s">
        <v>24</v>
      </c>
    </row>
    <row r="10" ht="22" customHeight="1" spans="1:11">
      <c r="A10" s="8">
        <v>8</v>
      </c>
      <c r="B10" s="9">
        <v>46100</v>
      </c>
      <c r="C10" s="10" t="s">
        <v>36</v>
      </c>
      <c r="D10" s="11" t="s">
        <v>72</v>
      </c>
      <c r="E10" s="11"/>
      <c r="F10" s="11">
        <v>3</v>
      </c>
      <c r="G10" s="10" t="s">
        <v>24</v>
      </c>
    </row>
    <row r="11" customFormat="1" ht="22" customHeight="1" spans="1:11">
      <c r="A11" s="8">
        <v>9</v>
      </c>
      <c r="B11" s="9">
        <v>46100</v>
      </c>
      <c r="C11" s="10" t="s">
        <v>45</v>
      </c>
      <c r="D11" s="11" t="s">
        <v>72</v>
      </c>
      <c r="E11" s="11">
        <v>3</v>
      </c>
      <c r="F11" s="13"/>
      <c r="G11" s="10" t="s">
        <v>24</v>
      </c>
    </row>
    <row r="12" customFormat="1" ht="22" customHeight="1" spans="1:11">
      <c r="A12" s="8">
        <v>10</v>
      </c>
      <c r="B12" s="9">
        <v>46100</v>
      </c>
      <c r="C12" s="10" t="s">
        <v>45</v>
      </c>
      <c r="D12" s="11" t="s">
        <v>76</v>
      </c>
      <c r="E12" s="11">
        <v>3</v>
      </c>
      <c r="F12" s="13"/>
      <c r="G12" s="10"/>
    </row>
    <row r="13" customFormat="1" ht="22" customHeight="1" spans="1:11">
      <c r="A13" s="8"/>
      <c r="B13" s="9"/>
      <c r="C13" s="10"/>
      <c r="D13" s="11"/>
      <c r="E13" s="11"/>
      <c r="F13" s="13"/>
      <c r="G13" s="10"/>
    </row>
    <row r="14" customFormat="1" ht="22" customHeight="1" spans="1:11">
      <c r="A14" s="8"/>
      <c r="B14" s="14"/>
      <c r="C14" s="15"/>
      <c r="D14" s="16"/>
      <c r="E14" s="17"/>
      <c r="F14" s="18"/>
      <c r="G14" s="18"/>
    </row>
    <row r="15" customFormat="1" ht="13.5" spans="1:11">
      <c r="E15" s="21">
        <f>SUM(E3:E14)</f>
        <v>22</v>
      </c>
      <c r="F15" s="21">
        <f>SUM(F3:F14)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E16" sqref="E16:F1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46104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ht="22" customHeight="1" spans="1:11">
      <c r="A4" s="8">
        <v>2</v>
      </c>
      <c r="B4" s="9">
        <v>46104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ht="22" customHeight="1" spans="1:11">
      <c r="A5" s="8">
        <v>3</v>
      </c>
      <c r="B5" s="9">
        <v>46104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ht="22" customHeight="1" spans="1:11">
      <c r="A6" s="8">
        <v>4</v>
      </c>
      <c r="B6" s="9">
        <v>46104</v>
      </c>
      <c r="C6" s="10" t="s">
        <v>60</v>
      </c>
      <c r="D6" s="11" t="s">
        <v>72</v>
      </c>
      <c r="E6" s="11"/>
      <c r="F6" s="11">
        <v>3</v>
      </c>
      <c r="G6" s="10" t="s">
        <v>24</v>
      </c>
    </row>
    <row r="7" ht="22" customHeight="1" spans="1:11">
      <c r="A7" s="8">
        <v>5</v>
      </c>
      <c r="B7" s="9">
        <v>46104</v>
      </c>
      <c r="C7" s="10" t="s">
        <v>29</v>
      </c>
      <c r="D7" s="11" t="s">
        <v>72</v>
      </c>
      <c r="E7" s="11">
        <v>3</v>
      </c>
      <c r="F7" s="12"/>
      <c r="G7" s="10" t="s">
        <v>24</v>
      </c>
    </row>
    <row r="8" ht="22" customHeight="1" spans="1:11">
      <c r="A8" s="8">
        <v>6</v>
      </c>
      <c r="B8" s="9">
        <v>46104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ht="22" customHeight="1" spans="1:11">
      <c r="A9" s="8">
        <v>7</v>
      </c>
      <c r="B9" s="9">
        <v>46104</v>
      </c>
      <c r="C9" s="10" t="s">
        <v>33</v>
      </c>
      <c r="D9" s="11" t="s">
        <v>72</v>
      </c>
      <c r="E9" s="11">
        <v>3</v>
      </c>
      <c r="F9" s="12"/>
      <c r="G9" s="10" t="s">
        <v>24</v>
      </c>
    </row>
    <row r="10" ht="22" customHeight="1" spans="1:11">
      <c r="A10" s="8">
        <v>8</v>
      </c>
      <c r="B10" s="9">
        <v>46104</v>
      </c>
      <c r="C10" s="10" t="s">
        <v>36</v>
      </c>
      <c r="D10" s="11" t="s">
        <v>72</v>
      </c>
      <c r="E10" s="11"/>
      <c r="F10" s="11">
        <v>3</v>
      </c>
      <c r="G10" s="10" t="s">
        <v>24</v>
      </c>
    </row>
    <row r="11" customFormat="1" ht="22" customHeight="1" spans="1:11">
      <c r="A11" s="8">
        <v>9</v>
      </c>
      <c r="B11" s="9">
        <v>46104</v>
      </c>
      <c r="C11" s="10" t="s">
        <v>47</v>
      </c>
      <c r="D11" s="11" t="s">
        <v>72</v>
      </c>
      <c r="E11" s="11">
        <v>3</v>
      </c>
      <c r="F11" s="13"/>
      <c r="G11" s="10" t="s">
        <v>24</v>
      </c>
    </row>
    <row r="12" customFormat="1" ht="22" customHeight="1" spans="1:11">
      <c r="A12" s="8">
        <v>10</v>
      </c>
      <c r="B12" s="9">
        <v>46104</v>
      </c>
      <c r="C12" s="10" t="s">
        <v>49</v>
      </c>
      <c r="D12" s="11" t="s">
        <v>72</v>
      </c>
      <c r="E12" s="11"/>
      <c r="F12" s="13">
        <v>3</v>
      </c>
      <c r="G12" s="10" t="s">
        <v>24</v>
      </c>
    </row>
    <row r="13" customFormat="1" ht="22" customHeight="1" spans="1:11">
      <c r="A13" s="8"/>
      <c r="B13" s="9"/>
      <c r="C13" s="10"/>
      <c r="D13" s="11"/>
      <c r="E13" s="11">
        <f>SUM(E3:E12)</f>
        <v>20</v>
      </c>
      <c r="F13" s="11">
        <f>SUM(F3:F12)</f>
        <v>10</v>
      </c>
      <c r="G13" s="10"/>
    </row>
    <row r="14" customFormat="1" ht="22" customHeight="1" spans="1:11">
      <c r="A14" s="8">
        <v>11</v>
      </c>
      <c r="B14" s="9">
        <v>46104</v>
      </c>
      <c r="C14" s="10" t="s">
        <v>45</v>
      </c>
      <c r="D14" s="11" t="s">
        <v>72</v>
      </c>
      <c r="E14" s="11">
        <v>3</v>
      </c>
      <c r="F14" s="13"/>
      <c r="G14" s="10" t="s">
        <v>77</v>
      </c>
    </row>
    <row r="15" customFormat="1" ht="22" customHeight="1" spans="1:11">
      <c r="A15" s="8"/>
      <c r="B15" s="14"/>
      <c r="C15" s="15"/>
      <c r="D15" s="16"/>
      <c r="E15" s="17"/>
      <c r="F15" s="18"/>
      <c r="G15" s="18"/>
    </row>
    <row r="16" customFormat="1" ht="13.5" spans="1:11">
      <c r="E16" s="20">
        <f>SUM(E13,E14)</f>
        <v>23</v>
      </c>
      <c r="F16" s="20">
        <f>SUM(F13,F14)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E13" sqref="E13:F14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46107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ht="22" customHeight="1" spans="1:11">
      <c r="A4" s="8">
        <v>2</v>
      </c>
      <c r="B4" s="9">
        <v>46107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ht="22" customHeight="1" spans="1:11">
      <c r="A5" s="8">
        <v>3</v>
      </c>
      <c r="B5" s="9">
        <v>46107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ht="22" customHeight="1" spans="1:11">
      <c r="A6" s="8">
        <v>4</v>
      </c>
      <c r="B6" s="9">
        <v>46107</v>
      </c>
      <c r="C6" s="10" t="s">
        <v>60</v>
      </c>
      <c r="D6" s="11" t="s">
        <v>72</v>
      </c>
      <c r="E6" s="11"/>
      <c r="F6" s="11">
        <v>3</v>
      </c>
      <c r="G6" s="10" t="s">
        <v>24</v>
      </c>
    </row>
    <row r="7" ht="22" customHeight="1" spans="1:11">
      <c r="A7" s="8">
        <v>5</v>
      </c>
      <c r="B7" s="9">
        <v>46107</v>
      </c>
      <c r="C7" s="10" t="s">
        <v>29</v>
      </c>
      <c r="D7" s="11" t="s">
        <v>72</v>
      </c>
      <c r="E7" s="11">
        <v>3</v>
      </c>
      <c r="F7" s="12"/>
      <c r="G7" s="10" t="s">
        <v>24</v>
      </c>
    </row>
    <row r="8" ht="22" customHeight="1" spans="1:11">
      <c r="A8" s="8">
        <v>6</v>
      </c>
      <c r="B8" s="9">
        <v>46107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ht="22" customHeight="1" spans="1:11">
      <c r="A9" s="8">
        <v>7</v>
      </c>
      <c r="B9" s="9">
        <v>46107</v>
      </c>
      <c r="C9" s="10" t="s">
        <v>33</v>
      </c>
      <c r="D9" s="11" t="s">
        <v>72</v>
      </c>
      <c r="E9" s="11">
        <v>3</v>
      </c>
      <c r="F9" s="12"/>
      <c r="G9" s="10" t="s">
        <v>24</v>
      </c>
    </row>
    <row r="10" ht="22" customHeight="1" spans="1:11">
      <c r="A10" s="8">
        <v>8</v>
      </c>
      <c r="B10" s="9">
        <v>46107</v>
      </c>
      <c r="C10" s="10" t="s">
        <v>36</v>
      </c>
      <c r="D10" s="11" t="s">
        <v>72</v>
      </c>
      <c r="E10" s="11"/>
      <c r="F10" s="11">
        <v>3</v>
      </c>
      <c r="G10" s="10" t="s">
        <v>24</v>
      </c>
    </row>
    <row r="11" customFormat="1" ht="22" customHeight="1" spans="1:11">
      <c r="A11" s="8">
        <v>9</v>
      </c>
      <c r="B11" s="9">
        <v>46107</v>
      </c>
      <c r="C11" s="10" t="s">
        <v>47</v>
      </c>
      <c r="D11" s="11" t="s">
        <v>72</v>
      </c>
      <c r="E11" s="11">
        <v>3</v>
      </c>
      <c r="F11" s="13"/>
      <c r="G11" s="10" t="s">
        <v>24</v>
      </c>
    </row>
    <row r="12" customFormat="1" ht="22" customHeight="1" spans="1:11">
      <c r="A12" s="8">
        <v>10</v>
      </c>
      <c r="B12" s="9">
        <v>46107</v>
      </c>
      <c r="C12" s="10" t="s">
        <v>49</v>
      </c>
      <c r="D12" s="11" t="s">
        <v>72</v>
      </c>
      <c r="E12" s="11"/>
      <c r="F12" s="13">
        <v>3</v>
      </c>
      <c r="G12" s="10" t="s">
        <v>24</v>
      </c>
    </row>
    <row r="13" customFormat="1" ht="22" customHeight="1" spans="1:11">
      <c r="A13" s="8"/>
      <c r="B13" s="9"/>
      <c r="C13" s="10"/>
      <c r="D13" s="11"/>
      <c r="E13" s="11">
        <f>SUM(E3:E12)</f>
        <v>20</v>
      </c>
      <c r="F13" s="11">
        <f>SUM(F3:F12)</f>
        <v>10</v>
      </c>
      <c r="G13" s="10"/>
    </row>
    <row r="14" customFormat="1" ht="22" customHeight="1" spans="1:11">
      <c r="A14" s="8">
        <v>11</v>
      </c>
      <c r="B14" s="9">
        <v>46107</v>
      </c>
      <c r="C14" s="10" t="s">
        <v>45</v>
      </c>
      <c r="D14" s="11" t="s">
        <v>72</v>
      </c>
      <c r="E14" s="11">
        <v>3</v>
      </c>
      <c r="F14" s="13"/>
      <c r="G14" s="10" t="s">
        <v>77</v>
      </c>
    </row>
    <row r="15" customFormat="1" ht="22" customHeight="1" spans="1:11">
      <c r="A15" s="8"/>
      <c r="B15" s="14"/>
      <c r="C15" s="15"/>
      <c r="D15" s="16"/>
      <c r="E15" s="17"/>
      <c r="F15" s="18"/>
      <c r="G15" s="18"/>
    </row>
    <row r="16" customFormat="1" ht="13.5" spans="1:11">
      <c r="E16" s="19"/>
      <c r="F16" s="19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E13" sqref="E13:F14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46111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ht="22" customHeight="1" spans="1:11">
      <c r="A4" s="8">
        <v>2</v>
      </c>
      <c r="B4" s="9">
        <v>46111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ht="22" customHeight="1" spans="1:11">
      <c r="A5" s="8">
        <v>3</v>
      </c>
      <c r="B5" s="9">
        <v>46111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ht="22" customHeight="1" spans="1:11">
      <c r="A6" s="8">
        <v>4</v>
      </c>
      <c r="B6" s="9">
        <v>46111</v>
      </c>
      <c r="C6" s="10" t="s">
        <v>60</v>
      </c>
      <c r="D6" s="11" t="s">
        <v>72</v>
      </c>
      <c r="E6" s="11"/>
      <c r="F6" s="11">
        <v>3</v>
      </c>
      <c r="G6" s="10" t="s">
        <v>24</v>
      </c>
    </row>
    <row r="7" ht="22" customHeight="1" spans="1:11">
      <c r="A7" s="8">
        <v>5</v>
      </c>
      <c r="B7" s="9">
        <v>46111</v>
      </c>
      <c r="C7" s="10" t="s">
        <v>29</v>
      </c>
      <c r="D7" s="11" t="s">
        <v>72</v>
      </c>
      <c r="E7" s="11">
        <v>3</v>
      </c>
      <c r="F7" s="12"/>
      <c r="G7" s="10" t="s">
        <v>24</v>
      </c>
    </row>
    <row r="8" ht="22" customHeight="1" spans="1:11">
      <c r="A8" s="8">
        <v>6</v>
      </c>
      <c r="B8" s="9">
        <v>46111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ht="22" customHeight="1" spans="1:11">
      <c r="A9" s="8">
        <v>7</v>
      </c>
      <c r="B9" s="9">
        <v>46111</v>
      </c>
      <c r="C9" s="10" t="s">
        <v>33</v>
      </c>
      <c r="D9" s="11" t="s">
        <v>72</v>
      </c>
      <c r="E9" s="11">
        <v>3</v>
      </c>
      <c r="F9" s="12"/>
      <c r="G9" s="10" t="s">
        <v>24</v>
      </c>
    </row>
    <row r="10" ht="22" customHeight="1" spans="1:11">
      <c r="A10" s="8">
        <v>8</v>
      </c>
      <c r="B10" s="9">
        <v>46111</v>
      </c>
      <c r="C10" s="10" t="s">
        <v>36</v>
      </c>
      <c r="D10" s="11" t="s">
        <v>72</v>
      </c>
      <c r="E10" s="11"/>
      <c r="F10" s="11">
        <v>3</v>
      </c>
      <c r="G10" s="10" t="s">
        <v>24</v>
      </c>
    </row>
    <row r="11" customFormat="1" ht="22" customHeight="1" spans="1:11">
      <c r="A11" s="8">
        <v>9</v>
      </c>
      <c r="B11" s="9">
        <v>46111</v>
      </c>
      <c r="C11" s="10" t="s">
        <v>47</v>
      </c>
      <c r="D11" s="11" t="s">
        <v>72</v>
      </c>
      <c r="E11" s="11">
        <v>3</v>
      </c>
      <c r="F11" s="13"/>
      <c r="G11" s="10" t="s">
        <v>24</v>
      </c>
    </row>
    <row r="12" customFormat="1" ht="22" customHeight="1" spans="1:11">
      <c r="A12" s="8">
        <v>10</v>
      </c>
      <c r="B12" s="9">
        <v>46111</v>
      </c>
      <c r="C12" s="10" t="s">
        <v>49</v>
      </c>
      <c r="D12" s="11" t="s">
        <v>72</v>
      </c>
      <c r="E12" s="11"/>
      <c r="F12" s="13">
        <v>3</v>
      </c>
      <c r="G12" s="10" t="s">
        <v>24</v>
      </c>
    </row>
    <row r="13" customFormat="1" ht="22" customHeight="1" spans="1:11">
      <c r="A13" s="8"/>
      <c r="B13" s="9"/>
      <c r="C13" s="10"/>
      <c r="D13" s="11"/>
      <c r="E13" s="11">
        <f>SUM(E3:E12)</f>
        <v>20</v>
      </c>
      <c r="F13" s="11">
        <f>SUM(F3:F12)</f>
        <v>10</v>
      </c>
      <c r="G13" s="10"/>
    </row>
    <row r="14" customFormat="1" ht="22" customHeight="1" spans="1:11">
      <c r="A14" s="8">
        <v>11</v>
      </c>
      <c r="B14" s="9">
        <v>46111</v>
      </c>
      <c r="C14" s="10" t="s">
        <v>45</v>
      </c>
      <c r="D14" s="11" t="s">
        <v>72</v>
      </c>
      <c r="E14" s="11">
        <v>3</v>
      </c>
      <c r="F14" s="13"/>
      <c r="G14" s="10" t="s">
        <v>77</v>
      </c>
    </row>
    <row r="15" customFormat="1" ht="22" customHeight="1" spans="1:11">
      <c r="A15" s="8"/>
      <c r="B15" s="14"/>
      <c r="C15" s="15"/>
      <c r="D15" s="16"/>
      <c r="E15" s="17"/>
      <c r="F15" s="18"/>
      <c r="G15" s="18"/>
    </row>
    <row r="16" customFormat="1" ht="13.5" spans="1:11">
      <c r="E16" s="19"/>
      <c r="F16" s="19"/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F28" sqref="F28"/>
    </sheetView>
  </sheetViews>
  <sheetFormatPr defaultColWidth="9.14285714285714" defaultRowHeight="12"/>
  <cols>
    <col min="1" max="1" width="9" customWidth="1"/>
    <col min="2" max="2" width="12.1428571428571" customWidth="1"/>
    <col min="3" max="3" width="17.5714285714286" customWidth="1"/>
    <col min="4" max="4" width="12.1428571428571" customWidth="1"/>
    <col min="5" max="6" width="9.42857142857143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46114</v>
      </c>
      <c r="C3" s="10" t="s">
        <v>18</v>
      </c>
      <c r="D3" s="11" t="s">
        <v>72</v>
      </c>
      <c r="E3" s="11">
        <v>3</v>
      </c>
      <c r="F3" s="12"/>
      <c r="G3" s="10" t="s">
        <v>24</v>
      </c>
    </row>
    <row r="4" ht="22" customHeight="1" spans="1:11">
      <c r="A4" s="8">
        <v>2</v>
      </c>
      <c r="B4" s="9">
        <v>46114</v>
      </c>
      <c r="C4" s="10" t="s">
        <v>20</v>
      </c>
      <c r="D4" s="11" t="s">
        <v>72</v>
      </c>
      <c r="E4" s="11">
        <v>3</v>
      </c>
      <c r="F4" s="12"/>
      <c r="G4" s="10" t="s">
        <v>24</v>
      </c>
    </row>
    <row r="5" ht="22" customHeight="1" spans="1:11">
      <c r="A5" s="8">
        <v>3</v>
      </c>
      <c r="B5" s="9">
        <v>46114</v>
      </c>
      <c r="C5" s="10" t="s">
        <v>59</v>
      </c>
      <c r="D5" s="11" t="s">
        <v>72</v>
      </c>
      <c r="E5" s="11">
        <v>3</v>
      </c>
      <c r="F5" s="12"/>
      <c r="G5" s="10" t="s">
        <v>24</v>
      </c>
    </row>
    <row r="6" ht="22" customHeight="1" spans="1:11">
      <c r="A6" s="8">
        <v>4</v>
      </c>
      <c r="B6" s="9">
        <v>46114</v>
      </c>
      <c r="C6" s="10" t="s">
        <v>60</v>
      </c>
      <c r="D6" s="11" t="s">
        <v>72</v>
      </c>
      <c r="E6" s="11"/>
      <c r="F6" s="11">
        <v>3</v>
      </c>
      <c r="G6" s="10" t="s">
        <v>24</v>
      </c>
    </row>
    <row r="7" ht="22" customHeight="1" spans="1:11">
      <c r="A7" s="8">
        <v>5</v>
      </c>
      <c r="B7" s="9">
        <v>46114</v>
      </c>
      <c r="C7" s="10" t="s">
        <v>29</v>
      </c>
      <c r="D7" s="11" t="s">
        <v>72</v>
      </c>
      <c r="E7" s="11">
        <v>3</v>
      </c>
      <c r="F7" s="12"/>
      <c r="G7" s="10" t="s">
        <v>24</v>
      </c>
    </row>
    <row r="8" ht="22" customHeight="1" spans="1:11">
      <c r="A8" s="8">
        <v>6</v>
      </c>
      <c r="B8" s="9">
        <v>46114</v>
      </c>
      <c r="C8" s="10" t="s">
        <v>32</v>
      </c>
      <c r="D8" s="11" t="s">
        <v>72</v>
      </c>
      <c r="E8" s="11">
        <v>2</v>
      </c>
      <c r="F8" s="12">
        <v>1</v>
      </c>
      <c r="G8" s="10" t="s">
        <v>24</v>
      </c>
    </row>
    <row r="9" ht="22" customHeight="1" spans="1:11">
      <c r="A9" s="8">
        <v>7</v>
      </c>
      <c r="B9" s="9">
        <v>46114</v>
      </c>
      <c r="C9" s="10" t="s">
        <v>33</v>
      </c>
      <c r="D9" s="11" t="s">
        <v>72</v>
      </c>
      <c r="E9" s="11">
        <v>3</v>
      </c>
      <c r="F9" s="12"/>
      <c r="G9" s="10" t="s">
        <v>24</v>
      </c>
    </row>
    <row r="10" ht="22" customHeight="1" spans="1:11">
      <c r="A10" s="8">
        <v>8</v>
      </c>
      <c r="B10" s="9">
        <v>46114</v>
      </c>
      <c r="C10" s="10" t="s">
        <v>36</v>
      </c>
      <c r="D10" s="11" t="s">
        <v>72</v>
      </c>
      <c r="E10" s="11"/>
      <c r="F10" s="11">
        <v>3</v>
      </c>
      <c r="G10" s="10" t="s">
        <v>24</v>
      </c>
    </row>
    <row r="11" customFormat="1" ht="22" customHeight="1" spans="1:11">
      <c r="A11" s="8">
        <v>9</v>
      </c>
      <c r="B11" s="9">
        <v>46114</v>
      </c>
      <c r="C11" s="10" t="s">
        <v>47</v>
      </c>
      <c r="D11" s="11" t="s">
        <v>72</v>
      </c>
      <c r="E11" s="11">
        <v>3</v>
      </c>
      <c r="F11" s="13"/>
      <c r="G11" s="10" t="s">
        <v>24</v>
      </c>
    </row>
    <row r="12" customFormat="1" ht="22" customHeight="1" spans="1:11">
      <c r="A12" s="8">
        <v>10</v>
      </c>
      <c r="B12" s="9">
        <v>46114</v>
      </c>
      <c r="C12" s="10" t="s">
        <v>49</v>
      </c>
      <c r="D12" s="11" t="s">
        <v>72</v>
      </c>
      <c r="E12" s="11"/>
      <c r="F12" s="13">
        <v>3</v>
      </c>
      <c r="G12" s="10" t="s">
        <v>24</v>
      </c>
    </row>
    <row r="13" customFormat="1" ht="22" customHeight="1" spans="1:11">
      <c r="A13" s="8"/>
      <c r="B13" s="9"/>
      <c r="C13" s="10"/>
      <c r="D13" s="11"/>
      <c r="E13" s="11">
        <f>SUM(E3:E12)</f>
        <v>20</v>
      </c>
      <c r="F13" s="11">
        <f>SUM(F3:F12)</f>
        <v>10</v>
      </c>
      <c r="G13" s="10"/>
    </row>
    <row r="14" customFormat="1" ht="22" customHeight="1" spans="1:11">
      <c r="A14" s="8">
        <v>11</v>
      </c>
      <c r="B14" s="9">
        <v>46114</v>
      </c>
      <c r="C14" s="10" t="s">
        <v>45</v>
      </c>
      <c r="D14" s="11" t="s">
        <v>72</v>
      </c>
      <c r="E14" s="11">
        <v>3</v>
      </c>
      <c r="F14" s="13"/>
      <c r="G14" s="10" t="s">
        <v>77</v>
      </c>
    </row>
    <row r="15" customFormat="1" ht="22" customHeight="1" spans="1:11">
      <c r="A15" s="8"/>
      <c r="B15" s="14"/>
      <c r="C15" s="15"/>
      <c r="D15" s="16"/>
      <c r="E15" s="17"/>
      <c r="F15" s="18"/>
      <c r="G15" s="18"/>
    </row>
    <row r="16" customFormat="1" ht="13.5" spans="1:11">
      <c r="E16" s="19"/>
      <c r="F16" s="19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E14" sqref="E14:F15"/>
    </sheetView>
  </sheetViews>
  <sheetFormatPr defaultColWidth="9.14285714285714" defaultRowHeight="12"/>
  <cols>
    <col min="1" max="1" width="9" customWidth="1"/>
    <col min="2" max="2" width="12.1428571428571" customWidth="1"/>
    <col min="3" max="3" width="17.5714285714286" customWidth="1"/>
    <col min="4" max="4" width="12.1428571428571" customWidth="1"/>
    <col min="5" max="6" width="9.42857142857143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46119</v>
      </c>
      <c r="C3" s="10" t="s">
        <v>18</v>
      </c>
      <c r="D3" s="11" t="s">
        <v>72</v>
      </c>
      <c r="E3" s="11">
        <v>3</v>
      </c>
      <c r="F3" s="12"/>
      <c r="G3" s="10"/>
    </row>
    <row r="4" ht="22" customHeight="1" spans="1:11">
      <c r="A4" s="8">
        <v>2</v>
      </c>
      <c r="B4" s="9">
        <v>46119</v>
      </c>
      <c r="C4" s="10" t="s">
        <v>20</v>
      </c>
      <c r="D4" s="11" t="s">
        <v>72</v>
      </c>
      <c r="E4" s="11">
        <v>3</v>
      </c>
      <c r="F4" s="12"/>
      <c r="G4" s="10"/>
    </row>
    <row r="5" ht="22" customHeight="1" spans="1:11">
      <c r="A5" s="8">
        <v>3</v>
      </c>
      <c r="B5" s="9">
        <v>46119</v>
      </c>
      <c r="C5" s="10" t="s">
        <v>59</v>
      </c>
      <c r="D5" s="11" t="s">
        <v>72</v>
      </c>
      <c r="E5" s="11">
        <v>3</v>
      </c>
      <c r="F5" s="12"/>
      <c r="G5" s="10"/>
    </row>
    <row r="6" ht="22" customHeight="1" spans="1:11">
      <c r="A6" s="8">
        <v>4</v>
      </c>
      <c r="B6" s="9">
        <v>46119</v>
      </c>
      <c r="C6" s="10" t="s">
        <v>60</v>
      </c>
      <c r="D6" s="11" t="s">
        <v>72</v>
      </c>
      <c r="E6" s="11"/>
      <c r="F6" s="11">
        <v>3</v>
      </c>
      <c r="G6" s="10"/>
    </row>
    <row r="7" ht="22" customHeight="1" spans="1:11">
      <c r="A7" s="8">
        <v>5</v>
      </c>
      <c r="B7" s="9">
        <v>46119</v>
      </c>
      <c r="C7" s="10" t="s">
        <v>29</v>
      </c>
      <c r="D7" s="11" t="s">
        <v>72</v>
      </c>
      <c r="E7" s="11">
        <v>3</v>
      </c>
      <c r="F7" s="12"/>
      <c r="G7" s="10"/>
    </row>
    <row r="8" ht="22" customHeight="1" spans="1:11">
      <c r="A8" s="8">
        <v>6</v>
      </c>
      <c r="B8" s="9">
        <v>46119</v>
      </c>
      <c r="C8" s="10" t="s">
        <v>32</v>
      </c>
      <c r="D8" s="11" t="s">
        <v>72</v>
      </c>
      <c r="E8" s="11">
        <v>2</v>
      </c>
      <c r="F8" s="12">
        <v>1</v>
      </c>
      <c r="G8" s="10"/>
    </row>
    <row r="9" ht="22" customHeight="1" spans="1:11">
      <c r="A9" s="8">
        <v>7</v>
      </c>
      <c r="B9" s="9">
        <v>46119</v>
      </c>
      <c r="C9" s="10" t="s">
        <v>33</v>
      </c>
      <c r="D9" s="11" t="s">
        <v>72</v>
      </c>
      <c r="E9" s="11">
        <v>3</v>
      </c>
      <c r="F9" s="12"/>
      <c r="G9" s="10"/>
    </row>
    <row r="10" ht="22" customHeight="1" spans="1:11">
      <c r="A10" s="8">
        <v>8</v>
      </c>
      <c r="B10" s="9">
        <v>46119</v>
      </c>
      <c r="C10" s="10" t="s">
        <v>36</v>
      </c>
      <c r="D10" s="11" t="s">
        <v>72</v>
      </c>
      <c r="E10" s="11"/>
      <c r="F10" s="11">
        <v>3</v>
      </c>
      <c r="G10" s="10"/>
    </row>
    <row r="11" customFormat="1" ht="22" customHeight="1" spans="1:11">
      <c r="A11" s="8">
        <v>9</v>
      </c>
      <c r="B11" s="9">
        <v>46119</v>
      </c>
      <c r="C11" s="10" t="s">
        <v>47</v>
      </c>
      <c r="D11" s="11" t="s">
        <v>72</v>
      </c>
      <c r="E11" s="11">
        <v>3</v>
      </c>
      <c r="F11" s="13"/>
      <c r="G11" s="10"/>
    </row>
    <row r="12" customFormat="1" ht="22" customHeight="1" spans="1:11">
      <c r="A12" s="8">
        <v>9</v>
      </c>
      <c r="B12" s="9">
        <v>46119</v>
      </c>
      <c r="C12" s="10" t="s">
        <v>47</v>
      </c>
      <c r="D12" s="11"/>
      <c r="E12" s="11">
        <v>3</v>
      </c>
      <c r="F12" s="13"/>
      <c r="G12" s="10" t="s">
        <v>76</v>
      </c>
      <c r="H12" t="s">
        <v>78</v>
      </c>
    </row>
    <row r="13" customFormat="1" ht="22" customHeight="1" spans="1:11">
      <c r="A13" s="8">
        <v>10</v>
      </c>
      <c r="B13" s="9">
        <v>46119</v>
      </c>
      <c r="C13" s="10" t="s">
        <v>49</v>
      </c>
      <c r="D13" s="11" t="s">
        <v>72</v>
      </c>
      <c r="E13" s="11"/>
      <c r="F13" s="13">
        <v>3</v>
      </c>
      <c r="G13" s="10"/>
    </row>
    <row r="14" customFormat="1" ht="22" customHeight="1" spans="1:11">
      <c r="A14" s="8"/>
      <c r="B14" s="9"/>
      <c r="C14" s="10"/>
      <c r="D14" s="11"/>
      <c r="E14" s="11">
        <f>SUM(E3:E13)</f>
        <v>23</v>
      </c>
      <c r="F14" s="11">
        <f>SUM(F3:F13)</f>
        <v>10</v>
      </c>
      <c r="G14" s="10"/>
    </row>
    <row r="15" customFormat="1" ht="22" customHeight="1" spans="1:11">
      <c r="A15" s="8">
        <v>11</v>
      </c>
      <c r="B15" s="9">
        <v>46119</v>
      </c>
      <c r="C15" s="10" t="s">
        <v>45</v>
      </c>
      <c r="D15" s="11" t="s">
        <v>72</v>
      </c>
      <c r="E15" s="11">
        <v>3</v>
      </c>
      <c r="F15" s="13"/>
      <c r="G15" s="10" t="s">
        <v>77</v>
      </c>
    </row>
    <row r="16" customFormat="1" ht="22" customHeight="1" spans="1:11">
      <c r="A16" s="8"/>
      <c r="B16" s="14"/>
      <c r="C16" s="15"/>
      <c r="D16" s="16"/>
      <c r="E16" s="17"/>
      <c r="F16" s="18"/>
      <c r="G16" s="18"/>
    </row>
    <row r="17" customFormat="1" ht="13.5" spans="5:6">
      <c r="E17" s="19"/>
      <c r="F17" s="19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E26" sqref="E26"/>
    </sheetView>
  </sheetViews>
  <sheetFormatPr defaultColWidth="9.14285714285714" defaultRowHeight="12"/>
  <cols>
    <col min="1" max="1" width="9" customWidth="1"/>
    <col min="2" max="2" width="12.1428571428571" customWidth="1"/>
    <col min="3" max="3" width="17.5714285714286" customWidth="1"/>
    <col min="4" max="4" width="12.1428571428571" customWidth="1"/>
    <col min="5" max="6" width="9.42857142857143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46121</v>
      </c>
      <c r="C3" s="10" t="s">
        <v>18</v>
      </c>
      <c r="D3" s="11" t="s">
        <v>72</v>
      </c>
      <c r="E3" s="11">
        <v>3</v>
      </c>
      <c r="F3" s="12"/>
      <c r="G3" s="10"/>
    </row>
    <row r="4" ht="22" customHeight="1" spans="1:11">
      <c r="A4" s="8">
        <v>2</v>
      </c>
      <c r="B4" s="9">
        <v>46121</v>
      </c>
      <c r="C4" s="10" t="s">
        <v>20</v>
      </c>
      <c r="D4" s="11" t="s">
        <v>72</v>
      </c>
      <c r="E4" s="11">
        <v>3</v>
      </c>
      <c r="F4" s="12"/>
      <c r="G4" s="10"/>
    </row>
    <row r="5" ht="22" customHeight="1" spans="1:11">
      <c r="A5" s="8">
        <v>3</v>
      </c>
      <c r="B5" s="9">
        <v>46121</v>
      </c>
      <c r="C5" s="10" t="s">
        <v>59</v>
      </c>
      <c r="D5" s="11" t="s">
        <v>72</v>
      </c>
      <c r="E5" s="11">
        <v>3</v>
      </c>
      <c r="F5" s="12"/>
      <c r="G5" s="10"/>
    </row>
    <row r="6" ht="22" customHeight="1" spans="1:11">
      <c r="A6" s="8">
        <v>4</v>
      </c>
      <c r="B6" s="9">
        <v>46121</v>
      </c>
      <c r="C6" s="10" t="s">
        <v>60</v>
      </c>
      <c r="D6" s="11" t="s">
        <v>72</v>
      </c>
      <c r="E6" s="11"/>
      <c r="F6" s="11">
        <v>3</v>
      </c>
      <c r="G6" s="10"/>
    </row>
    <row r="7" ht="22" customHeight="1" spans="1:11">
      <c r="A7" s="8">
        <v>5</v>
      </c>
      <c r="B7" s="9">
        <v>46121</v>
      </c>
      <c r="C7" s="10" t="s">
        <v>29</v>
      </c>
      <c r="D7" s="11" t="s">
        <v>72</v>
      </c>
      <c r="E7" s="11">
        <v>3</v>
      </c>
      <c r="F7" s="12"/>
      <c r="G7" s="10"/>
    </row>
    <row r="8" ht="22" customHeight="1" spans="1:11">
      <c r="A8" s="8">
        <v>6</v>
      </c>
      <c r="B8" s="9">
        <v>46121</v>
      </c>
      <c r="C8" s="10" t="s">
        <v>32</v>
      </c>
      <c r="D8" s="11" t="s">
        <v>72</v>
      </c>
      <c r="E8" s="11">
        <v>2</v>
      </c>
      <c r="F8" s="12">
        <v>1</v>
      </c>
      <c r="G8" s="10"/>
    </row>
    <row r="9" ht="22" customHeight="1" spans="1:11">
      <c r="A9" s="8">
        <v>7</v>
      </c>
      <c r="B9" s="9">
        <v>46121</v>
      </c>
      <c r="C9" s="10" t="s">
        <v>33</v>
      </c>
      <c r="D9" s="11" t="s">
        <v>72</v>
      </c>
      <c r="E9" s="11">
        <v>3</v>
      </c>
      <c r="F9" s="12"/>
      <c r="G9" s="10"/>
    </row>
    <row r="10" ht="22" customHeight="1" spans="1:11">
      <c r="A10" s="8">
        <v>8</v>
      </c>
      <c r="B10" s="9">
        <v>46121</v>
      </c>
      <c r="C10" s="10" t="s">
        <v>36</v>
      </c>
      <c r="D10" s="11" t="s">
        <v>72</v>
      </c>
      <c r="E10" s="11"/>
      <c r="F10" s="11">
        <v>3</v>
      </c>
      <c r="G10" s="10"/>
    </row>
    <row r="11" customFormat="1" ht="22" customHeight="1" spans="1:11">
      <c r="A11" s="8">
        <v>9</v>
      </c>
      <c r="B11" s="9">
        <v>46121</v>
      </c>
      <c r="C11" s="10" t="s">
        <v>47</v>
      </c>
      <c r="D11" s="11" t="s">
        <v>72</v>
      </c>
      <c r="E11" s="11">
        <v>3</v>
      </c>
      <c r="F11" s="13"/>
      <c r="G11" s="10"/>
    </row>
    <row r="12" customFormat="1" ht="22" customHeight="1" spans="1:11">
      <c r="A12" s="8">
        <v>9</v>
      </c>
      <c r="B12" s="9">
        <v>46121</v>
      </c>
      <c r="C12" s="10" t="s">
        <v>47</v>
      </c>
      <c r="D12" s="11"/>
      <c r="E12" s="11">
        <v>3</v>
      </c>
      <c r="F12" s="13"/>
      <c r="G12" s="10" t="s">
        <v>76</v>
      </c>
      <c r="H12" t="s">
        <v>78</v>
      </c>
    </row>
    <row r="13" customFormat="1" ht="22" customHeight="1" spans="1:11">
      <c r="A13" s="8">
        <v>10</v>
      </c>
      <c r="B13" s="9">
        <v>46121</v>
      </c>
      <c r="C13" s="10" t="s">
        <v>49</v>
      </c>
      <c r="D13" s="11" t="s">
        <v>72</v>
      </c>
      <c r="E13" s="11"/>
      <c r="F13" s="13">
        <v>3</v>
      </c>
      <c r="G13" s="10"/>
    </row>
    <row r="14" customFormat="1" ht="22" customHeight="1" spans="1:11">
      <c r="A14" s="8"/>
      <c r="B14" s="9"/>
      <c r="C14" s="10"/>
      <c r="D14" s="11"/>
      <c r="E14" s="11">
        <f>SUM(E3:E13)</f>
        <v>23</v>
      </c>
      <c r="F14" s="11">
        <f>SUM(F3:F13)</f>
        <v>10</v>
      </c>
      <c r="G14" s="10"/>
    </row>
    <row r="15" customFormat="1" ht="22" customHeight="1" spans="1:11">
      <c r="A15" s="8">
        <v>11</v>
      </c>
      <c r="B15" s="9">
        <v>46121</v>
      </c>
      <c r="C15" s="10" t="s">
        <v>45</v>
      </c>
      <c r="D15" s="11" t="s">
        <v>72</v>
      </c>
      <c r="E15" s="11">
        <v>6</v>
      </c>
      <c r="F15" s="13"/>
      <c r="G15" s="10" t="s">
        <v>77</v>
      </c>
    </row>
    <row r="16" customFormat="1" ht="22" customHeight="1" spans="1:11">
      <c r="A16" s="8"/>
      <c r="B16" s="14"/>
      <c r="C16" s="15"/>
      <c r="D16" s="16"/>
      <c r="E16" s="17"/>
      <c r="F16" s="18"/>
      <c r="G16" s="18"/>
    </row>
    <row r="17" customFormat="1" ht="13.5" spans="5:6">
      <c r="E17" s="19"/>
      <c r="F17" s="19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E16" sqref="E16"/>
    </sheetView>
  </sheetViews>
  <sheetFormatPr defaultColWidth="9.14285714285714" defaultRowHeight="12"/>
  <cols>
    <col min="1" max="1" width="9" customWidth="1"/>
    <col min="2" max="2" width="12.1428571428571" customWidth="1"/>
    <col min="3" max="3" width="17.5714285714286" customWidth="1"/>
    <col min="4" max="4" width="12.1428571428571" customWidth="1"/>
    <col min="5" max="6" width="9.42857142857143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46125</v>
      </c>
      <c r="C3" s="10" t="s">
        <v>18</v>
      </c>
      <c r="D3" s="11" t="s">
        <v>72</v>
      </c>
      <c r="E3" s="11">
        <v>3</v>
      </c>
      <c r="F3" s="12"/>
      <c r="G3" s="10"/>
    </row>
    <row r="4" ht="22" customHeight="1" spans="1:11">
      <c r="A4" s="8">
        <v>2</v>
      </c>
      <c r="B4" s="9">
        <v>46125</v>
      </c>
      <c r="C4" s="10" t="s">
        <v>20</v>
      </c>
      <c r="D4" s="11" t="s">
        <v>72</v>
      </c>
      <c r="E4" s="11">
        <v>3</v>
      </c>
      <c r="F4" s="12"/>
      <c r="G4" s="10"/>
    </row>
    <row r="5" ht="22" customHeight="1" spans="1:11">
      <c r="A5" s="8">
        <v>3</v>
      </c>
      <c r="B5" s="9">
        <v>46125</v>
      </c>
      <c r="C5" s="10" t="s">
        <v>59</v>
      </c>
      <c r="D5" s="11" t="s">
        <v>72</v>
      </c>
      <c r="E5" s="11">
        <v>3</v>
      </c>
      <c r="F5" s="12"/>
      <c r="G5" s="10"/>
    </row>
    <row r="6" ht="22" customHeight="1" spans="1:11">
      <c r="A6" s="8">
        <v>4</v>
      </c>
      <c r="B6" s="9">
        <v>46125</v>
      </c>
      <c r="C6" s="10" t="s">
        <v>60</v>
      </c>
      <c r="D6" s="11" t="s">
        <v>72</v>
      </c>
      <c r="E6" s="11"/>
      <c r="F6" s="11">
        <v>3</v>
      </c>
      <c r="G6" s="10"/>
    </row>
    <row r="7" ht="22" customHeight="1" spans="1:11">
      <c r="A7" s="8">
        <v>5</v>
      </c>
      <c r="B7" s="9">
        <v>46125</v>
      </c>
      <c r="C7" s="10" t="s">
        <v>29</v>
      </c>
      <c r="D7" s="11" t="s">
        <v>72</v>
      </c>
      <c r="E7" s="11">
        <v>3</v>
      </c>
      <c r="F7" s="12"/>
      <c r="G7" s="10"/>
    </row>
    <row r="8" ht="22" customHeight="1" spans="1:11">
      <c r="A8" s="8">
        <v>6</v>
      </c>
      <c r="B8" s="9">
        <v>46125</v>
      </c>
      <c r="C8" s="10" t="s">
        <v>32</v>
      </c>
      <c r="D8" s="11" t="s">
        <v>72</v>
      </c>
      <c r="E8" s="11">
        <v>2</v>
      </c>
      <c r="F8" s="12">
        <v>1</v>
      </c>
      <c r="G8" s="10"/>
    </row>
    <row r="9" ht="22" customHeight="1" spans="1:11">
      <c r="A9" s="8">
        <v>7</v>
      </c>
      <c r="B9" s="9">
        <v>46125</v>
      </c>
      <c r="C9" s="10" t="s">
        <v>33</v>
      </c>
      <c r="D9" s="11" t="s">
        <v>72</v>
      </c>
      <c r="E9" s="11">
        <v>3</v>
      </c>
      <c r="F9" s="12"/>
      <c r="G9" s="10"/>
    </row>
    <row r="10" ht="22" customHeight="1" spans="1:11">
      <c r="A10" s="8">
        <v>8</v>
      </c>
      <c r="B10" s="9">
        <v>46125</v>
      </c>
      <c r="C10" s="10" t="s">
        <v>36</v>
      </c>
      <c r="D10" s="11" t="s">
        <v>72</v>
      </c>
      <c r="E10" s="11"/>
      <c r="F10" s="11">
        <v>3</v>
      </c>
      <c r="G10" s="10"/>
    </row>
    <row r="11" customFormat="1" ht="22" customHeight="1" spans="1:11">
      <c r="A11" s="8">
        <v>9</v>
      </c>
      <c r="B11" s="9">
        <v>46125</v>
      </c>
      <c r="C11" s="10" t="s">
        <v>47</v>
      </c>
      <c r="D11" s="11" t="s">
        <v>72</v>
      </c>
      <c r="E11" s="11">
        <v>3</v>
      </c>
      <c r="F11" s="13"/>
      <c r="G11" s="10"/>
    </row>
    <row r="12" customFormat="1" ht="22" customHeight="1" spans="1:11">
      <c r="A12" s="8">
        <v>9</v>
      </c>
      <c r="B12" s="9">
        <v>46125</v>
      </c>
      <c r="C12" s="10" t="s">
        <v>47</v>
      </c>
      <c r="D12" s="11"/>
      <c r="E12" s="11">
        <v>3</v>
      </c>
      <c r="F12" s="13"/>
      <c r="G12" s="10" t="s">
        <v>76</v>
      </c>
      <c r="H12" t="s">
        <v>78</v>
      </c>
    </row>
    <row r="13" customFormat="1" ht="22" customHeight="1" spans="1:11">
      <c r="A13" s="8">
        <v>10</v>
      </c>
      <c r="B13" s="9">
        <v>46125</v>
      </c>
      <c r="C13" s="10" t="s">
        <v>49</v>
      </c>
      <c r="D13" s="11" t="s">
        <v>72</v>
      </c>
      <c r="E13" s="11"/>
      <c r="F13" s="13">
        <v>3</v>
      </c>
      <c r="G13" s="10"/>
    </row>
    <row r="14" customFormat="1" ht="22" customHeight="1" spans="1:11">
      <c r="A14" s="8"/>
      <c r="B14" s="9"/>
      <c r="C14" s="10"/>
      <c r="D14" s="11"/>
      <c r="E14" s="11">
        <f>SUM(E3:E13)</f>
        <v>23</v>
      </c>
      <c r="F14" s="11">
        <f>SUM(F3:F13)</f>
        <v>10</v>
      </c>
      <c r="G14" s="10"/>
    </row>
    <row r="15" customFormat="1" ht="22" customHeight="1" spans="1:11">
      <c r="A15" s="8">
        <v>11</v>
      </c>
      <c r="B15" s="9">
        <v>46125</v>
      </c>
      <c r="C15" s="10" t="s">
        <v>45</v>
      </c>
      <c r="D15" s="11" t="s">
        <v>72</v>
      </c>
      <c r="E15" s="11">
        <v>3</v>
      </c>
      <c r="F15" s="13"/>
      <c r="G15" s="10" t="s">
        <v>77</v>
      </c>
    </row>
    <row r="16" customFormat="1" ht="22" customHeight="1" spans="1:11">
      <c r="A16" s="8"/>
      <c r="B16" s="14"/>
      <c r="C16" s="15"/>
      <c r="D16" s="16"/>
      <c r="E16" s="17"/>
      <c r="F16" s="18"/>
      <c r="G16" s="18"/>
    </row>
    <row r="17" customFormat="1" ht="13.5" spans="5:6">
      <c r="E17" s="19"/>
      <c r="F17" s="19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H19" sqref="H19"/>
    </sheetView>
  </sheetViews>
  <sheetFormatPr defaultColWidth="9.14285714285714" defaultRowHeight="12"/>
  <cols>
    <col min="1" max="1" width="9" customWidth="1"/>
    <col min="2" max="2" width="12.1428571428571" customWidth="1"/>
    <col min="3" max="3" width="17.5714285714286" customWidth="1"/>
    <col min="4" max="4" width="12.1428571428571" customWidth="1"/>
    <col min="5" max="6" width="9.42857142857143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46128</v>
      </c>
      <c r="C3" s="10" t="s">
        <v>18</v>
      </c>
      <c r="D3" s="11" t="s">
        <v>72</v>
      </c>
      <c r="E3" s="11">
        <v>3</v>
      </c>
      <c r="F3" s="12"/>
      <c r="G3" s="10"/>
    </row>
    <row r="4" ht="22" customHeight="1" spans="1:11">
      <c r="A4" s="8">
        <v>2</v>
      </c>
      <c r="B4" s="9">
        <v>46128</v>
      </c>
      <c r="C4" s="10" t="s">
        <v>20</v>
      </c>
      <c r="D4" s="11" t="s">
        <v>72</v>
      </c>
      <c r="E4" s="11">
        <v>3</v>
      </c>
      <c r="F4" s="12"/>
      <c r="G4" s="10"/>
    </row>
    <row r="5" ht="22" customHeight="1" spans="1:11">
      <c r="A5" s="8">
        <v>3</v>
      </c>
      <c r="B5" s="9">
        <v>46128</v>
      </c>
      <c r="C5" s="10" t="s">
        <v>59</v>
      </c>
      <c r="D5" s="11" t="s">
        <v>72</v>
      </c>
      <c r="E5" s="11">
        <v>3</v>
      </c>
      <c r="F5" s="12"/>
      <c r="G5" s="10"/>
    </row>
    <row r="6" ht="22" customHeight="1" spans="1:11">
      <c r="A6" s="8">
        <v>4</v>
      </c>
      <c r="B6" s="9">
        <v>46128</v>
      </c>
      <c r="C6" s="10" t="s">
        <v>60</v>
      </c>
      <c r="D6" s="11" t="s">
        <v>72</v>
      </c>
      <c r="E6" s="11"/>
      <c r="F6" s="11">
        <v>3</v>
      </c>
      <c r="G6" s="10"/>
    </row>
    <row r="7" ht="22" customHeight="1" spans="1:11">
      <c r="A7" s="8">
        <v>5</v>
      </c>
      <c r="B7" s="9">
        <v>46128</v>
      </c>
      <c r="C7" s="10" t="s">
        <v>29</v>
      </c>
      <c r="D7" s="11" t="s">
        <v>72</v>
      </c>
      <c r="E7" s="11">
        <v>3</v>
      </c>
      <c r="F7" s="12"/>
      <c r="G7" s="10"/>
    </row>
    <row r="8" ht="22" customHeight="1" spans="1:11">
      <c r="A8" s="8">
        <v>6</v>
      </c>
      <c r="B8" s="9">
        <v>46128</v>
      </c>
      <c r="C8" s="10" t="s">
        <v>32</v>
      </c>
      <c r="D8" s="11" t="s">
        <v>72</v>
      </c>
      <c r="E8" s="11">
        <v>2</v>
      </c>
      <c r="F8" s="12">
        <v>1</v>
      </c>
      <c r="G8" s="10"/>
    </row>
    <row r="9" ht="22" customHeight="1" spans="1:11">
      <c r="A9" s="8">
        <v>7</v>
      </c>
      <c r="B9" s="9">
        <v>46128</v>
      </c>
      <c r="C9" s="10" t="s">
        <v>33</v>
      </c>
      <c r="D9" s="11" t="s">
        <v>72</v>
      </c>
      <c r="E9" s="11">
        <v>3</v>
      </c>
      <c r="F9" s="12"/>
      <c r="G9" s="10"/>
    </row>
    <row r="10" ht="22" customHeight="1" spans="1:11">
      <c r="A10" s="8">
        <v>8</v>
      </c>
      <c r="B10" s="9">
        <v>46128</v>
      </c>
      <c r="C10" s="10" t="s">
        <v>36</v>
      </c>
      <c r="D10" s="11" t="s">
        <v>72</v>
      </c>
      <c r="E10" s="11"/>
      <c r="F10" s="11">
        <v>3</v>
      </c>
      <c r="G10" s="10"/>
    </row>
    <row r="11" customFormat="1" ht="22" customHeight="1" spans="1:11">
      <c r="A11" s="8">
        <v>9</v>
      </c>
      <c r="B11" s="9">
        <v>46128</v>
      </c>
      <c r="C11" s="10" t="s">
        <v>47</v>
      </c>
      <c r="D11" s="11" t="s">
        <v>72</v>
      </c>
      <c r="E11" s="11">
        <v>3</v>
      </c>
      <c r="F11" s="13"/>
      <c r="G11" s="10"/>
    </row>
    <row r="12" customFormat="1" ht="22" customHeight="1" spans="1:11">
      <c r="A12" s="8">
        <v>9</v>
      </c>
      <c r="B12" s="9">
        <v>46128</v>
      </c>
      <c r="C12" s="10" t="s">
        <v>47</v>
      </c>
      <c r="D12" s="11"/>
      <c r="E12" s="11">
        <v>3</v>
      </c>
      <c r="F12" s="13"/>
      <c r="G12" s="10" t="s">
        <v>76</v>
      </c>
      <c r="H12" t="s">
        <v>78</v>
      </c>
    </row>
    <row r="13" customFormat="1" ht="22" customHeight="1" spans="1:11">
      <c r="A13" s="8">
        <v>10</v>
      </c>
      <c r="B13" s="9">
        <v>46128</v>
      </c>
      <c r="C13" s="10" t="s">
        <v>49</v>
      </c>
      <c r="D13" s="11" t="s">
        <v>72</v>
      </c>
      <c r="E13" s="11"/>
      <c r="F13" s="13">
        <v>3</v>
      </c>
      <c r="G13" s="10"/>
    </row>
    <row r="14" customFormat="1" ht="22" customHeight="1" spans="1:11">
      <c r="A14" s="8"/>
      <c r="B14" s="9"/>
      <c r="C14" s="10"/>
      <c r="D14" s="11"/>
      <c r="E14" s="11">
        <f>SUM(E3:E13)</f>
        <v>23</v>
      </c>
      <c r="F14" s="11">
        <f>SUM(F3:F13)</f>
        <v>10</v>
      </c>
      <c r="G14" s="10"/>
    </row>
    <row r="15" customFormat="1" ht="22" customHeight="1" spans="1:11">
      <c r="A15" s="8">
        <v>11</v>
      </c>
      <c r="B15" s="9">
        <v>46128</v>
      </c>
      <c r="C15" s="10" t="s">
        <v>45</v>
      </c>
      <c r="D15" s="11" t="s">
        <v>72</v>
      </c>
      <c r="E15" s="11">
        <v>3</v>
      </c>
      <c r="F15" s="13"/>
      <c r="G15" s="10" t="s">
        <v>77</v>
      </c>
    </row>
    <row r="16" customFormat="1" ht="22" customHeight="1" spans="1:11">
      <c r="A16" s="8"/>
      <c r="B16" s="14"/>
      <c r="C16" s="15"/>
      <c r="D16" s="16"/>
      <c r="E16" s="17"/>
      <c r="F16" s="18"/>
      <c r="G16" s="18"/>
    </row>
    <row r="17" customFormat="1" ht="13.5" spans="5:6">
      <c r="E17" s="19"/>
      <c r="F17" s="19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E16" sqref="E16:F16"/>
    </sheetView>
  </sheetViews>
  <sheetFormatPr defaultColWidth="9.14285714285714" defaultRowHeight="12"/>
  <cols>
    <col min="1" max="1" width="9" customWidth="1"/>
    <col min="2" max="2" width="12.1428571428571" customWidth="1"/>
    <col min="3" max="3" width="17.5714285714286" customWidth="1"/>
    <col min="4" max="4" width="12.1428571428571" customWidth="1"/>
    <col min="5" max="6" width="9.42857142857143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46132</v>
      </c>
      <c r="C3" s="10" t="s">
        <v>18</v>
      </c>
      <c r="D3" s="11" t="s">
        <v>72</v>
      </c>
      <c r="E3" s="11">
        <v>3</v>
      </c>
      <c r="F3" s="12"/>
      <c r="G3" s="10"/>
    </row>
    <row r="4" ht="22" customHeight="1" spans="1:11">
      <c r="A4" s="8">
        <v>2</v>
      </c>
      <c r="B4" s="9">
        <v>46132</v>
      </c>
      <c r="C4" s="10" t="s">
        <v>20</v>
      </c>
      <c r="D4" s="11" t="s">
        <v>72</v>
      </c>
      <c r="E4" s="11">
        <v>3</v>
      </c>
      <c r="F4" s="12"/>
      <c r="G4" s="10"/>
    </row>
    <row r="5" ht="22" customHeight="1" spans="1:11">
      <c r="A5" s="8">
        <v>3</v>
      </c>
      <c r="B5" s="9">
        <v>46132</v>
      </c>
      <c r="C5" s="10" t="s">
        <v>59</v>
      </c>
      <c r="D5" s="11" t="s">
        <v>72</v>
      </c>
      <c r="E5" s="11">
        <v>3</v>
      </c>
      <c r="F5" s="12"/>
      <c r="G5" s="10"/>
    </row>
    <row r="6" ht="22" customHeight="1" spans="1:11">
      <c r="A6" s="8">
        <v>4</v>
      </c>
      <c r="B6" s="9">
        <v>46132</v>
      </c>
      <c r="C6" s="10" t="s">
        <v>60</v>
      </c>
      <c r="D6" s="11" t="s">
        <v>72</v>
      </c>
      <c r="E6" s="11"/>
      <c r="F6" s="11">
        <v>3</v>
      </c>
      <c r="G6" s="10"/>
    </row>
    <row r="7" ht="22" customHeight="1" spans="1:11">
      <c r="A7" s="8">
        <v>5</v>
      </c>
      <c r="B7" s="9">
        <v>46132</v>
      </c>
      <c r="C7" s="10" t="s">
        <v>29</v>
      </c>
      <c r="D7" s="11" t="s">
        <v>72</v>
      </c>
      <c r="E7" s="11">
        <v>3</v>
      </c>
      <c r="F7" s="12"/>
      <c r="G7" s="10"/>
    </row>
    <row r="8" ht="22" customHeight="1" spans="1:11">
      <c r="A8" s="8">
        <v>6</v>
      </c>
      <c r="B8" s="9">
        <v>46132</v>
      </c>
      <c r="C8" s="10" t="s">
        <v>32</v>
      </c>
      <c r="D8" s="11" t="s">
        <v>72</v>
      </c>
      <c r="E8" s="11">
        <v>2</v>
      </c>
      <c r="F8" s="12">
        <v>1</v>
      </c>
      <c r="G8" s="10"/>
    </row>
    <row r="9" ht="22" customHeight="1" spans="1:11">
      <c r="A9" s="8">
        <v>7</v>
      </c>
      <c r="B9" s="9">
        <v>46132</v>
      </c>
      <c r="C9" s="10" t="s">
        <v>33</v>
      </c>
      <c r="D9" s="11" t="s">
        <v>72</v>
      </c>
      <c r="E9" s="11">
        <v>3</v>
      </c>
      <c r="F9" s="12"/>
      <c r="G9" s="10"/>
    </row>
    <row r="10" ht="22" customHeight="1" spans="1:11">
      <c r="A10" s="8">
        <v>8</v>
      </c>
      <c r="B10" s="9">
        <v>46132</v>
      </c>
      <c r="C10" s="10" t="s">
        <v>36</v>
      </c>
      <c r="D10" s="11" t="s">
        <v>72</v>
      </c>
      <c r="E10" s="11"/>
      <c r="F10" s="11">
        <v>3</v>
      </c>
      <c r="G10" s="10"/>
    </row>
    <row r="11" customFormat="1" ht="22" customHeight="1" spans="1:11">
      <c r="A11" s="8">
        <v>9</v>
      </c>
      <c r="B11" s="9">
        <v>46132</v>
      </c>
      <c r="C11" s="10" t="s">
        <v>47</v>
      </c>
      <c r="D11" s="11" t="s">
        <v>72</v>
      </c>
      <c r="E11" s="11">
        <v>3</v>
      </c>
      <c r="F11" s="13"/>
      <c r="G11" s="10"/>
    </row>
    <row r="12" customFormat="1" ht="22" customHeight="1" spans="1:11">
      <c r="A12" s="8">
        <v>10</v>
      </c>
      <c r="B12" s="9">
        <v>46132</v>
      </c>
      <c r="C12" s="10" t="s">
        <v>49</v>
      </c>
      <c r="D12" s="11" t="s">
        <v>72</v>
      </c>
      <c r="E12" s="11"/>
      <c r="F12" s="13">
        <v>3</v>
      </c>
      <c r="G12" s="10"/>
    </row>
    <row r="13" customFormat="1" ht="22" customHeight="1" spans="1:11">
      <c r="A13" s="8"/>
      <c r="B13" s="9"/>
      <c r="C13" s="10"/>
      <c r="D13" s="11"/>
      <c r="E13" s="11"/>
      <c r="F13" s="11"/>
      <c r="G13" s="10"/>
    </row>
    <row r="14" customFormat="1" ht="22" customHeight="1" spans="1:11">
      <c r="A14" s="8">
        <v>11</v>
      </c>
      <c r="B14" s="9">
        <v>46132</v>
      </c>
      <c r="C14" s="10" t="s">
        <v>45</v>
      </c>
      <c r="D14" s="11" t="s">
        <v>72</v>
      </c>
      <c r="E14" s="11">
        <v>3</v>
      </c>
      <c r="F14" s="13"/>
      <c r="G14" s="10" t="s">
        <v>77</v>
      </c>
    </row>
    <row r="15" customFormat="1" ht="22" customHeight="1" spans="1:11">
      <c r="A15" s="8"/>
      <c r="B15" s="14"/>
      <c r="C15" s="15"/>
      <c r="D15" s="16"/>
      <c r="E15" s="17"/>
      <c r="F15" s="18"/>
      <c r="G15" s="18"/>
    </row>
    <row r="16" customFormat="1" ht="18" customHeight="1" spans="1:11">
      <c r="E16" s="19">
        <f>SUM(E3:E15)</f>
        <v>23</v>
      </c>
      <c r="F16" s="19">
        <f>SUM(F3:F15)</f>
        <v>10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G11" sqref="G11"/>
    </sheetView>
  </sheetViews>
  <sheetFormatPr defaultColWidth="9.14285714285714" defaultRowHeight="12"/>
  <cols>
    <col min="1" max="1" width="9" customWidth="1"/>
    <col min="2" max="2" width="12.1428571428571" customWidth="1"/>
    <col min="3" max="3" width="17.5714285714286" customWidth="1"/>
    <col min="4" max="4" width="12.1428571428571" customWidth="1"/>
    <col min="5" max="6" width="9.42857142857143" customWidth="1"/>
    <col min="7" max="7" width="25.2857142857143" customWidth="1"/>
  </cols>
  <sheetData>
    <row r="1" ht="38" customHeight="1" spans="1:11">
      <c r="A1" s="2" t="s">
        <v>68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56</v>
      </c>
      <c r="C2" s="5" t="s">
        <v>3</v>
      </c>
      <c r="D2" s="6" t="s">
        <v>69</v>
      </c>
      <c r="E2" s="7" t="s">
        <v>70</v>
      </c>
      <c r="F2" s="7" t="s">
        <v>71</v>
      </c>
      <c r="G2" s="7" t="s">
        <v>7</v>
      </c>
      <c r="K2"/>
    </row>
    <row r="3" ht="22" customHeight="1" spans="1:11">
      <c r="A3" s="8">
        <v>1</v>
      </c>
      <c r="B3" s="9">
        <v>46135</v>
      </c>
      <c r="C3" s="10" t="s">
        <v>18</v>
      </c>
      <c r="D3" s="11" t="s">
        <v>72</v>
      </c>
      <c r="E3" s="11">
        <v>3</v>
      </c>
      <c r="F3" s="12"/>
      <c r="G3" s="10"/>
    </row>
    <row r="4" ht="22" customHeight="1" spans="1:11">
      <c r="A4" s="8">
        <v>2</v>
      </c>
      <c r="B4" s="9">
        <v>46135</v>
      </c>
      <c r="C4" s="10" t="s">
        <v>20</v>
      </c>
      <c r="D4" s="11" t="s">
        <v>72</v>
      </c>
      <c r="E4" s="11">
        <v>3</v>
      </c>
      <c r="F4" s="12"/>
      <c r="G4" s="10"/>
    </row>
    <row r="5" ht="22" customHeight="1" spans="1:11">
      <c r="A5" s="8">
        <v>3</v>
      </c>
      <c r="B5" s="9">
        <v>46135</v>
      </c>
      <c r="C5" s="10" t="s">
        <v>59</v>
      </c>
      <c r="D5" s="11" t="s">
        <v>72</v>
      </c>
      <c r="E5" s="11">
        <v>3</v>
      </c>
      <c r="F5" s="12"/>
      <c r="G5" s="10"/>
    </row>
    <row r="6" ht="22" customHeight="1" spans="1:11">
      <c r="A6" s="8">
        <v>4</v>
      </c>
      <c r="B6" s="9">
        <v>46135</v>
      </c>
      <c r="C6" s="10" t="s">
        <v>60</v>
      </c>
      <c r="D6" s="11" t="s">
        <v>72</v>
      </c>
      <c r="E6" s="11"/>
      <c r="F6" s="11">
        <v>3</v>
      </c>
      <c r="G6" s="10"/>
    </row>
    <row r="7" ht="22" customHeight="1" spans="1:11">
      <c r="A7" s="8">
        <v>5</v>
      </c>
      <c r="B7" s="9">
        <v>46135</v>
      </c>
      <c r="C7" s="10" t="s">
        <v>29</v>
      </c>
      <c r="D7" s="11" t="s">
        <v>72</v>
      </c>
      <c r="E7" s="11">
        <v>3</v>
      </c>
      <c r="F7" s="12"/>
      <c r="G7" s="10"/>
    </row>
    <row r="8" ht="22" customHeight="1" spans="1:11">
      <c r="A8" s="8">
        <v>6</v>
      </c>
      <c r="B8" s="9">
        <v>46135</v>
      </c>
      <c r="C8" s="10" t="s">
        <v>32</v>
      </c>
      <c r="D8" s="11" t="s">
        <v>72</v>
      </c>
      <c r="E8" s="11">
        <v>2</v>
      </c>
      <c r="F8" s="12">
        <v>1</v>
      </c>
      <c r="G8" s="10"/>
    </row>
    <row r="9" ht="22" customHeight="1" spans="1:11">
      <c r="A9" s="8">
        <v>7</v>
      </c>
      <c r="B9" s="9">
        <v>46135</v>
      </c>
      <c r="C9" s="10" t="s">
        <v>33</v>
      </c>
      <c r="D9" s="11" t="s">
        <v>72</v>
      </c>
      <c r="E9" s="11">
        <v>3</v>
      </c>
      <c r="F9" s="12"/>
      <c r="G9" s="10"/>
    </row>
    <row r="10" ht="22" customHeight="1" spans="1:11">
      <c r="A10" s="8">
        <v>8</v>
      </c>
      <c r="B10" s="9">
        <v>46135</v>
      </c>
      <c r="C10" s="10" t="s">
        <v>36</v>
      </c>
      <c r="D10" s="11" t="s">
        <v>72</v>
      </c>
      <c r="E10" s="11"/>
      <c r="F10" s="11">
        <v>3</v>
      </c>
      <c r="G10" s="10"/>
    </row>
    <row r="11" customFormat="1" ht="22" customHeight="1" spans="1:11">
      <c r="A11" s="8">
        <v>9</v>
      </c>
      <c r="B11" s="9">
        <v>46135</v>
      </c>
      <c r="C11" s="10" t="s">
        <v>47</v>
      </c>
      <c r="D11" s="11" t="s">
        <v>72</v>
      </c>
      <c r="E11" s="11">
        <v>3</v>
      </c>
      <c r="F11" s="13"/>
      <c r="G11" s="10"/>
    </row>
    <row r="12" customFormat="1" ht="22" customHeight="1" spans="1:11">
      <c r="A12" s="8">
        <v>10</v>
      </c>
      <c r="B12" s="9">
        <v>46135</v>
      </c>
      <c r="C12" s="10" t="s">
        <v>49</v>
      </c>
      <c r="D12" s="11" t="s">
        <v>72</v>
      </c>
      <c r="E12" s="11"/>
      <c r="F12" s="13">
        <v>3</v>
      </c>
      <c r="G12" s="10"/>
    </row>
    <row r="13" customFormat="1" ht="22" customHeight="1" spans="1:11">
      <c r="A13" s="8"/>
      <c r="B13" s="9"/>
      <c r="C13" s="10"/>
      <c r="D13" s="11"/>
      <c r="E13" s="11"/>
      <c r="F13" s="11"/>
      <c r="G13" s="10"/>
    </row>
    <row r="14" customFormat="1" ht="22" customHeight="1" spans="1:11">
      <c r="A14" s="8">
        <v>11</v>
      </c>
      <c r="B14" s="9">
        <v>46135</v>
      </c>
      <c r="C14" s="10" t="s">
        <v>45</v>
      </c>
      <c r="D14" s="11" t="s">
        <v>72</v>
      </c>
      <c r="E14" s="11">
        <v>3</v>
      </c>
      <c r="F14" s="13"/>
      <c r="G14" s="10" t="s">
        <v>77</v>
      </c>
    </row>
    <row r="15" customFormat="1" ht="22" customHeight="1" spans="1:11">
      <c r="A15" s="8"/>
      <c r="B15" s="14"/>
      <c r="C15" s="15"/>
      <c r="D15" s="16"/>
      <c r="E15" s="17"/>
      <c r="F15" s="18"/>
      <c r="G15" s="18"/>
    </row>
    <row r="16" customFormat="1" ht="24" customHeight="1" spans="1:11">
      <c r="E16" s="19">
        <f>SUM(E3:E15)</f>
        <v>23</v>
      </c>
      <c r="F16" s="19">
        <f>SUM(F3:F15)</f>
        <v>10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3.23周一</vt:lpstr>
      <vt:lpstr>3.26周四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