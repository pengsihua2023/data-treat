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 tabRatio="887" firstSheet="4" activeTab="18"/>
  </bookViews>
  <sheets>
    <sheet name="老师" sheetId="1" r:id="rId1"/>
    <sheet name="学生" sheetId="8" r:id="rId2"/>
    <sheet name="领奶表" sheetId="5" r:id="rId3"/>
    <sheet name="签收" sheetId="9" r:id="rId4"/>
    <sheet name="配送汇总" sheetId="6" r:id="rId5"/>
    <sheet name="3.9" sheetId="2" r:id="rId6"/>
    <sheet name="3.12" sheetId="7" r:id="rId7"/>
    <sheet name="3.16" sheetId="10" r:id="rId8"/>
    <sheet name="3.19" sheetId="11" r:id="rId9"/>
    <sheet name="3.23" sheetId="12" r:id="rId10"/>
    <sheet name="3.26" sheetId="13" r:id="rId11"/>
    <sheet name="3.30" sheetId="14" r:id="rId12"/>
    <sheet name="4.2" sheetId="15" r:id="rId13"/>
    <sheet name="4.7" sheetId="16" r:id="rId14"/>
    <sheet name="4.9" sheetId="17" r:id="rId15"/>
    <sheet name="4.13" sheetId="18" r:id="rId16"/>
    <sheet name="4.16" sheetId="20" r:id="rId17"/>
    <sheet name="4.20" sheetId="21" r:id="rId18"/>
    <sheet name="4.23" sheetId="22" r:id="rId19"/>
  </sheets>
  <definedNames>
    <definedName name="_xlnm._FilterDatabase" localSheetId="4" hidden="1">配送汇总!$A$1:$Z$41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<sst xmlns="http://schemas.openxmlformats.org/spreadsheetml/2006/main" count="2919" uniqueCount="168">
  <si>
    <t>2026春季浛洸镇德艺幼儿园教职工巴氏鲜奶补贴订购申请表（20份起送，特殊申请除外</t>
  </si>
  <si>
    <t>本学期2月10日前订购一份赠送1本笔记本+1支花梨木圆珠笔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</si>
  <si>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</si>
  <si>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</si>
  <si>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</si>
  <si>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</si>
  <si>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</si>
  <si>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</si>
  <si>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</si>
  <si>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</si>
  <si>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</si>
  <si>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</si>
  <si>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</si>
  <si>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黄水</t>
  </si>
  <si>
    <t>√</t>
  </si>
  <si>
    <t>已付款</t>
  </si>
  <si>
    <t>谭桂娣1</t>
  </si>
  <si>
    <t>谭桂娣2</t>
  </si>
  <si>
    <t>张玉婷1</t>
  </si>
  <si>
    <t>✓</t>
  </si>
  <si>
    <t>张玉婷2</t>
  </si>
  <si>
    <t>郑桂凤</t>
  </si>
  <si>
    <t>麦配洪</t>
  </si>
  <si>
    <t>张素娟</t>
  </si>
  <si>
    <t>盘锦逢1</t>
  </si>
  <si>
    <t>盘锦逢2</t>
  </si>
  <si>
    <t>冯雪芬</t>
  </si>
  <si>
    <t>张彩平</t>
  </si>
  <si>
    <t>李红梅1</t>
  </si>
  <si>
    <t>李红梅2</t>
  </si>
  <si>
    <t>施丽敏1</t>
  </si>
  <si>
    <t>施丽敏2</t>
  </si>
  <si>
    <t>陈碧云1</t>
  </si>
  <si>
    <t>陈碧云2</t>
  </si>
  <si>
    <t>黄丽香1</t>
  </si>
  <si>
    <t>张金环</t>
  </si>
  <si>
    <t>罗家敏</t>
  </si>
  <si>
    <t>✓（每天送3支）</t>
  </si>
  <si>
    <t>线上订单汇总表</t>
  </si>
  <si>
    <t>导出时间2026-03-06</t>
  </si>
  <si>
    <t>订单号</t>
  </si>
  <si>
    <t>学生姓名</t>
  </si>
  <si>
    <t>区 | 校 | 年 | 班</t>
  </si>
  <si>
    <t>家长手机号</t>
  </si>
  <si>
    <t>套餐名称</t>
  </si>
  <si>
    <t>订单金额</t>
  </si>
  <si>
    <t>支付时间</t>
  </si>
  <si>
    <t>收款账户</t>
  </si>
  <si>
    <t>家长备注</t>
  </si>
  <si>
    <t>商户备注</t>
  </si>
  <si>
    <t>伍钰晴</t>
  </si>
  <si>
    <t>英德市 | 浛洸镇德艺幼儿园 | 大班 | 大班</t>
  </si>
  <si>
    <t>2026年春季幼儿园巴氏低温鲜奶套餐（100盒）</t>
  </si>
  <si>
    <t>0006010F8463511 | 张荣强</t>
  </si>
  <si>
    <t>大B班伍钰晴</t>
  </si>
  <si>
    <t>卢汝珊</t>
  </si>
  <si>
    <t>全酸奶</t>
  </si>
  <si>
    <t>黄梓航</t>
  </si>
  <si>
    <t>英德市 | 浛洸镇德艺幼儿园 | 小班 | 小班</t>
  </si>
  <si>
    <t>张紫凌</t>
  </si>
  <si>
    <t>0006010F3900007 | 安鑫配送（清远市）有限公司</t>
  </si>
  <si>
    <t>一半鲜一半酸</t>
  </si>
  <si>
    <t>高景煜</t>
  </si>
  <si>
    <t>鲜牛奶</t>
  </si>
  <si>
    <t>李景扬</t>
  </si>
  <si>
    <t>要一半酸奶一半鲜奶，一天喝鲜奶一天喝酸奶</t>
  </si>
  <si>
    <t>黄祖烨</t>
  </si>
  <si>
    <t>鲜牛奶50，酸奶饮品50</t>
  </si>
  <si>
    <t>蓝子维</t>
  </si>
  <si>
    <t>朱峻楠</t>
  </si>
  <si>
    <t>要酸奶，不要鲜奶</t>
  </si>
  <si>
    <t>熊洁怡</t>
  </si>
  <si>
    <t>要全部酸奶</t>
  </si>
  <si>
    <t>李佳钰</t>
  </si>
  <si>
    <t>酸奶</t>
  </si>
  <si>
    <t>李玥瑶</t>
  </si>
  <si>
    <t>鲜牛奶和酸奶各50盒</t>
  </si>
  <si>
    <t>曾少恒</t>
  </si>
  <si>
    <t>张锦鑫</t>
  </si>
  <si>
    <t>酸奶，鲜奶各一半</t>
  </si>
  <si>
    <t>钟可萌</t>
  </si>
  <si>
    <t>全鲜牛奶</t>
  </si>
  <si>
    <t>曾思壕</t>
  </si>
  <si>
    <t>就要酸奶</t>
  </si>
  <si>
    <t>曾思锐</t>
  </si>
  <si>
    <t>石熠杰</t>
  </si>
  <si>
    <t>订酸奶</t>
  </si>
  <si>
    <t>梁泽宇</t>
  </si>
  <si>
    <t>只要酸奶</t>
  </si>
  <si>
    <t>曹梓萌</t>
  </si>
  <si>
    <t>张华逸</t>
  </si>
  <si>
    <t>李正天</t>
  </si>
  <si>
    <t>张慧卿</t>
  </si>
  <si>
    <t>纯牛奶</t>
  </si>
  <si>
    <t>蔡俊凯</t>
  </si>
  <si>
    <t>鲜奶和酸奶各一半</t>
  </si>
  <si>
    <t>蔡俊楠</t>
  </si>
  <si>
    <t>罗思语</t>
  </si>
  <si>
    <t>全部酸奶</t>
  </si>
  <si>
    <t>甘沛霖</t>
  </si>
  <si>
    <t>英德市 | 浛洸镇德艺幼儿园 | 中班 | 中班</t>
  </si>
  <si>
    <t>刘泓铭</t>
  </si>
  <si>
    <t>中D班刘泓铭</t>
  </si>
  <si>
    <t>潘康旭</t>
  </si>
  <si>
    <t>只订鲜奶</t>
  </si>
  <si>
    <t>孔俊洋</t>
  </si>
  <si>
    <t>张心妤</t>
  </si>
  <si>
    <t>黎茂本</t>
  </si>
  <si>
    <t>一半酸奶一半鲜奶</t>
  </si>
  <si>
    <t>杨靖祈</t>
  </si>
  <si>
    <t>付籽粼</t>
  </si>
  <si>
    <t>罗烨晞</t>
  </si>
  <si>
    <t>罗烨宸</t>
  </si>
  <si>
    <t>15302026031220572096679</t>
  </si>
  <si>
    <t>石昕悦</t>
  </si>
  <si>
    <t>2026-03-12 20:57:27</t>
  </si>
  <si>
    <t>15302026031114062663901</t>
  </si>
  <si>
    <t>罗研妍</t>
  </si>
  <si>
    <t>2026-03-11 14:06:50</t>
  </si>
  <si>
    <t>鲜牛奶80盒，酸奶20盒</t>
  </si>
  <si>
    <t>15302026031013033955335</t>
  </si>
  <si>
    <t>王依潼</t>
  </si>
  <si>
    <t>2026-03-10 13:06:29</t>
  </si>
  <si>
    <t>酸奶和鲜奶各一半</t>
  </si>
  <si>
    <t>15302026031011312919032</t>
  </si>
  <si>
    <t>周前伟</t>
  </si>
  <si>
    <t>2026-03-10 11:31:38</t>
  </si>
  <si>
    <t>蓝玥</t>
  </si>
  <si>
    <t>2026-03-14 18:18:42</t>
  </si>
  <si>
    <t>曾书语</t>
  </si>
  <si>
    <r>
      <rPr>
        <sz val="11"/>
        <color rgb="FF000000"/>
        <rFont val="宋体"/>
        <charset val="134"/>
      </rPr>
      <t>英德市</t>
    </r>
    <r>
      <rPr>
        <sz val="11"/>
        <color rgb="FF000000"/>
        <rFont val="Calibri"/>
        <charset val="134"/>
      </rPr>
      <t xml:space="preserve"> | </t>
    </r>
    <r>
      <rPr>
        <sz val="11"/>
        <color rgb="FF000000"/>
        <rFont val="宋体"/>
        <charset val="134"/>
      </rPr>
      <t>浛洸镇德艺幼儿园</t>
    </r>
    <r>
      <rPr>
        <sz val="11"/>
        <color rgb="FF000000"/>
        <rFont val="Calibri"/>
        <charset val="134"/>
      </rPr>
      <t xml:space="preserve"> | </t>
    </r>
    <r>
      <rPr>
        <sz val="11"/>
        <color rgb="FF000000"/>
        <rFont val="宋体"/>
        <charset val="134"/>
      </rPr>
      <t>中班</t>
    </r>
    <r>
      <rPr>
        <sz val="11"/>
        <color rgb="FF000000"/>
        <rFont val="Calibri"/>
        <charset val="134"/>
      </rPr>
      <t xml:space="preserve"> | </t>
    </r>
    <r>
      <rPr>
        <sz val="11"/>
        <color rgb="FF000000"/>
        <rFont val="宋体"/>
        <charset val="134"/>
      </rPr>
      <t>中</t>
    </r>
    <r>
      <rPr>
        <sz val="11"/>
        <color rgb="FF000000"/>
        <rFont val="Calibri"/>
        <charset val="134"/>
      </rPr>
      <t>C</t>
    </r>
    <r>
      <rPr>
        <sz val="11"/>
        <color rgb="FF000000"/>
        <rFont val="宋体"/>
        <charset val="134"/>
      </rPr>
      <t>班（鲜牛奶）</t>
    </r>
  </si>
  <si>
    <t>2026-03-15 18:55:14</t>
  </si>
  <si>
    <t>英德市浛洸镇德艺幼儿园教师鲜奶领奶表</t>
  </si>
  <si>
    <t>（ ）月份（填写领取数量/盒）</t>
  </si>
  <si>
    <t>姓名</t>
  </si>
  <si>
    <t>浛洸镇德艺幼儿园教师鲜奶赠品领取表</t>
  </si>
  <si>
    <t>配送日期</t>
  </si>
  <si>
    <t>礼品份数
（笔记本+笔）</t>
  </si>
  <si>
    <t>签名</t>
  </si>
  <si>
    <t>3.30送</t>
  </si>
  <si>
    <t xml:space="preserve">                                                   英德市浛洸镇德艺幼儿园教师鲜奶领奶表</t>
  </si>
  <si>
    <t>订购份数</t>
  </si>
  <si>
    <t>总计</t>
  </si>
  <si>
    <t>剩余</t>
  </si>
  <si>
    <t>浛洸镇德艺幼儿园教师鲜奶领奶表</t>
  </si>
  <si>
    <t>浛洸镇德艺幼儿园学生鲜奶领奶表</t>
  </si>
  <si>
    <t>配送天数</t>
  </si>
  <si>
    <t>鲜</t>
  </si>
  <si>
    <t>酸</t>
  </si>
  <si>
    <t>3天</t>
  </si>
  <si>
    <t>学生</t>
  </si>
  <si>
    <t>实际漏送2支，12号补送</t>
  </si>
  <si>
    <t>2天</t>
  </si>
  <si>
    <t>补发</t>
  </si>
  <si>
    <t>/</t>
  </si>
  <si>
    <t>周一补发</t>
  </si>
  <si>
    <t>每天3支</t>
  </si>
  <si>
    <t>补送</t>
  </si>
  <si>
    <t>鲜奶</t>
  </si>
  <si>
    <t>漏了一支</t>
  </si>
  <si>
    <t>新增，3.23开始配送</t>
  </si>
  <si>
    <t>3.19漏了一支,3.23补</t>
  </si>
  <si>
    <t>只订鲜奶，记得改为鲜奶</t>
  </si>
  <si>
    <t>已补1</t>
  </si>
  <si>
    <t>已补2</t>
  </si>
  <si>
    <t>少2支,3.26补</t>
  </si>
  <si>
    <t>周三补发鲜奶5、酸奶5、周前伟1</t>
  </si>
  <si>
    <t>补到与其他学生数量一致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</si>
</sst>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5"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2"/>
      <name val="宋体"/>
      <charset val="134"/>
    </font>
    <font>
      <b/>
      <sz val="12"/>
      <color rgb="FFFF0000"/>
      <name val="宋体"/>
      <charset val="134"/>
      <scheme val="minor"/>
    </font>
    <font>
      <sz val="14"/>
      <color rgb="FF000000"/>
      <name val="宋体"/>
      <charset val="134"/>
    </font>
    <font>
      <sz val="14"/>
      <color rgb="FF000000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4"/>
      <name val="宋体"/>
      <charset val="134"/>
    </font>
    <font>
      <b/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1"/>
      <color rgb="FFFF0000"/>
      <name val="宋体"/>
      <charset val="134"/>
      <scheme val="minor"/>
    </font>
    <font>
      <sz val="14"/>
      <color rgb="FFFF0000"/>
      <name val="宋体"/>
      <charset val="134"/>
    </font>
    <font>
      <sz val="10"/>
      <color rgb="FFFF0000"/>
      <name val="宋体"/>
      <charset val="134"/>
      <scheme val="minor"/>
    </font>
    <font>
      <sz val="14"/>
      <color rgb="FF626B7D"/>
      <name val="宋体"/>
      <charset val="134"/>
    </font>
    <font>
      <sz val="14"/>
      <color theme="1"/>
      <name val="宋体"/>
      <charset val="134"/>
    </font>
    <font>
      <sz val="12"/>
      <color rgb="FF626B7D"/>
      <name val="宋体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0"/>
      <color rgb="FF000000"/>
      <name val="宋体"/>
      <charset val="134"/>
      <scheme val="minor"/>
    </font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1" fillId="5" borderId="15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6" borderId="18" applyNumberFormat="0" applyAlignment="0" applyProtection="0">
      <alignment vertical="center"/>
    </xf>
    <xf numFmtId="0" fontId="45" fillId="7" borderId="19" applyNumberFormat="0" applyAlignment="0" applyProtection="0">
      <alignment vertical="center"/>
    </xf>
    <xf numFmtId="0" fontId="46" fillId="7" borderId="18" applyNumberFormat="0" applyAlignment="0" applyProtection="0">
      <alignment vertical="center"/>
    </xf>
    <xf numFmtId="0" fontId="47" fillId="8" borderId="20" applyNumberFormat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</cellStyleXfs>
  <cellXfs count="1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3" fillId="0" borderId="6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58" fontId="4" fillId="0" borderId="7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58" fontId="4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9" fillId="0" borderId="5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8" xfId="0" applyNumberFormat="1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14" fillId="0" borderId="8" xfId="0" applyNumberFormat="1" applyFont="1" applyFill="1" applyBorder="1" applyAlignment="1">
      <alignment horizontal="center" vertical="center"/>
    </xf>
    <xf numFmtId="0" fontId="15" fillId="0" borderId="5" xfId="0" applyFont="1" applyBorder="1" applyAlignment="1">
      <alignment horizontal="left" vertical="center"/>
    </xf>
    <xf numFmtId="0" fontId="16" fillId="0" borderId="5" xfId="0" applyNumberFormat="1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3" fillId="0" borderId="11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0" fillId="2" borderId="0" xfId="0" applyFill="1">
      <alignment vertical="center"/>
    </xf>
    <xf numFmtId="0" fontId="9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2" fillId="0" borderId="5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58" fontId="1" fillId="0" borderId="5" xfId="0" applyNumberFormat="1" applyFont="1" applyFill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58" fontId="4" fillId="0" borderId="5" xfId="0" applyNumberFormat="1" applyFont="1" applyFill="1" applyBorder="1" applyAlignment="1">
      <alignment horizontal="center" vertical="center"/>
    </xf>
    <xf numFmtId="58" fontId="4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21" fillId="0" borderId="0" xfId="0" applyFont="1">
      <alignment vertical="center"/>
    </xf>
    <xf numFmtId="58" fontId="4" fillId="0" borderId="11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1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NumberFormat="1" applyFont="1" applyFill="1" applyBorder="1" applyAlignment="1">
      <alignment horizontal="center" vertical="center"/>
    </xf>
    <xf numFmtId="0" fontId="23" fillId="0" borderId="0" xfId="0" applyNumberFormat="1" applyFont="1" applyFill="1" applyBorder="1" applyAlignment="1">
      <alignment horizontal="center" vertical="center"/>
    </xf>
    <xf numFmtId="0" fontId="24" fillId="0" borderId="2" xfId="0" applyNumberFormat="1" applyFont="1" applyFill="1" applyBorder="1" applyAlignment="1">
      <alignment horizontal="center" vertical="center" wrapText="1"/>
    </xf>
    <xf numFmtId="0" fontId="24" fillId="0" borderId="0" xfId="0" applyNumberFormat="1" applyFont="1" applyFill="1" applyBorder="1" applyAlignment="1">
      <alignment horizontal="center" vertical="center" wrapText="1"/>
    </xf>
    <xf numFmtId="0" fontId="25" fillId="0" borderId="5" xfId="0" applyNumberFormat="1" applyFont="1" applyFill="1" applyBorder="1" applyAlignment="1">
      <alignment horizontal="center" vertical="center"/>
    </xf>
    <xf numFmtId="0" fontId="25" fillId="0" borderId="5" xfId="0" applyNumberFormat="1" applyFont="1" applyFill="1" applyBorder="1" applyAlignment="1">
      <alignment horizontal="center" vertical="center" wrapText="1"/>
    </xf>
    <xf numFmtId="58" fontId="25" fillId="0" borderId="5" xfId="0" applyNumberFormat="1" applyFont="1" applyFill="1" applyBorder="1" applyAlignment="1">
      <alignment horizontal="center" vertical="center" wrapText="1"/>
    </xf>
    <xf numFmtId="58" fontId="25" fillId="0" borderId="5" xfId="0" applyNumberFormat="1" applyFont="1" applyFill="1" applyBorder="1" applyAlignment="1">
      <alignment horizontal="center" vertical="center"/>
    </xf>
    <xf numFmtId="0" fontId="23" fillId="0" borderId="5" xfId="0" applyNumberFormat="1" applyFont="1" applyFill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0" borderId="5" xfId="0" applyFont="1" applyFill="1" applyBorder="1" applyAlignment="1">
      <alignment horizontal="center" vertical="center"/>
    </xf>
    <xf numFmtId="0" fontId="25" fillId="0" borderId="8" xfId="0" applyFont="1" applyFill="1" applyBorder="1" applyAlignment="1">
      <alignment horizontal="center" vertical="center"/>
    </xf>
    <xf numFmtId="0" fontId="25" fillId="0" borderId="10" xfId="0" applyFont="1" applyFill="1" applyBorder="1" applyAlignment="1">
      <alignment horizontal="center" vertical="center"/>
    </xf>
    <xf numFmtId="0" fontId="26" fillId="4" borderId="8" xfId="0" applyFont="1" applyFill="1" applyBorder="1" applyAlignment="1">
      <alignment horizontal="center" vertical="center"/>
    </xf>
    <xf numFmtId="0" fontId="26" fillId="4" borderId="3" xfId="0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6" fillId="4" borderId="5" xfId="0" applyNumberFormat="1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27" fillId="0" borderId="0" xfId="0" applyNumberFormat="1" applyFont="1" applyFill="1" applyBorder="1" applyAlignment="1">
      <alignment vertical="center"/>
    </xf>
    <xf numFmtId="0" fontId="28" fillId="0" borderId="0" xfId="0" applyNumberFormat="1" applyFont="1" applyFill="1" applyBorder="1" applyAlignment="1">
      <alignment horizontal="center" vertical="center" wrapText="1"/>
    </xf>
    <xf numFmtId="0" fontId="27" fillId="0" borderId="0" xfId="0" applyNumberFormat="1" applyFont="1" applyFill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/>
    </xf>
    <xf numFmtId="0" fontId="28" fillId="0" borderId="5" xfId="0" applyNumberFormat="1" applyFont="1" applyFill="1" applyBorder="1" applyAlignment="1">
      <alignment horizontal="center" vertical="center" wrapText="1"/>
    </xf>
    <xf numFmtId="0" fontId="26" fillId="0" borderId="5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27" fillId="0" borderId="5" xfId="0" applyNumberFormat="1" applyFont="1" applyFill="1" applyBorder="1" applyAlignment="1">
      <alignment vertical="center"/>
    </xf>
    <xf numFmtId="0" fontId="29" fillId="0" borderId="5" xfId="0" applyNumberFormat="1" applyFont="1" applyFill="1" applyBorder="1" applyAlignment="1">
      <alignment horizontal="left" vertical="center"/>
    </xf>
    <xf numFmtId="0" fontId="26" fillId="0" borderId="0" xfId="0" applyNumberFormat="1" applyFont="1" applyFill="1" applyBorder="1" applyAlignment="1">
      <alignment horizontal="center" vertical="center"/>
    </xf>
    <xf numFmtId="0" fontId="30" fillId="0" borderId="0" xfId="0" applyNumberFormat="1" applyFont="1" applyFill="1" applyBorder="1" applyAlignment="1"/>
    <xf numFmtId="0" fontId="30" fillId="0" borderId="13" xfId="0" applyFont="1" applyBorder="1" applyAlignment="1">
      <alignment horizontal="center" vertical="center"/>
    </xf>
    <xf numFmtId="22" fontId="30" fillId="0" borderId="13" xfId="0" applyNumberFormat="1" applyFont="1" applyBorder="1" applyAlignment="1">
      <alignment horizontal="center" vertical="center"/>
    </xf>
    <xf numFmtId="0" fontId="30" fillId="0" borderId="8" xfId="0" applyNumberFormat="1" applyFont="1" applyFill="1" applyBorder="1" applyAlignment="1">
      <alignment horizontal="center" vertical="center"/>
    </xf>
    <xf numFmtId="0" fontId="26" fillId="0" borderId="8" xfId="0" applyNumberFormat="1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topLeftCell="A24" workbookViewId="0">
      <selection activeCell="A1" sqref="A1:H1"/>
    </sheetView>
  </sheetViews>
  <sheetFormatPr defaultColWidth="14" defaultRowHeight="18" customHeight="1"/>
  <sheetData>
    <row r="1" ht="20.25" customHeight="1" spans="1:25">
      <c r="A1" s="116" t="s">
        <v>0</v>
      </c>
      <c r="B1" s="116"/>
      <c r="C1" s="116"/>
      <c r="D1" s="116"/>
      <c r="E1" s="116"/>
      <c r="F1" s="116"/>
      <c r="G1" s="116"/>
      <c r="H1" s="116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</row>
    <row r="2" ht="20.25" customHeight="1" spans="1:25">
      <c r="A2" s="118" t="s">
        <v>1</v>
      </c>
      <c r="B2" s="118"/>
      <c r="C2" s="118"/>
      <c r="D2" s="118"/>
      <c r="E2" s="118"/>
      <c r="F2" s="118"/>
      <c r="G2" s="118"/>
      <c r="H2" s="118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customHeight="1" spans="1:25">
      <c r="A3" s="119" t="s">
        <v>2</v>
      </c>
      <c r="B3" s="119" t="s">
        <v>3</v>
      </c>
      <c r="C3" s="119" t="s">
        <v>4</v>
      </c>
      <c r="D3" s="120" t="s">
        <v>5</v>
      </c>
      <c r="E3" s="120"/>
      <c r="F3" s="120" t="s">
        <v>6</v>
      </c>
      <c r="G3" s="120"/>
      <c r="H3" s="119" t="s">
        <v>7</v>
      </c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</row>
    <row r="4" ht="54" spans="1:25">
      <c r="A4" s="119"/>
      <c r="B4" s="119"/>
      <c r="C4" s="119"/>
      <c r="D4" s="121" t="s">
        <v>8</v>
      </c>
      <c r="E4" s="121" t="s">
        <v>9</v>
      </c>
      <c r="F4" s="121" t="s">
        <v>10</v>
      </c>
      <c r="G4" s="121" t="s">
        <v>11</v>
      </c>
      <c r="H4" s="122" t="s">
        <v>12</v>
      </c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</row>
    <row r="5" customHeight="1" spans="1:25">
      <c r="A5" s="123">
        <v>1</v>
      </c>
      <c r="B5" s="123" t="s">
        <v>13</v>
      </c>
      <c r="C5" s="123">
        <v>15999592813</v>
      </c>
      <c r="D5" s="123" t="s">
        <v>14</v>
      </c>
      <c r="E5" s="123" t="s">
        <v>14</v>
      </c>
      <c r="F5" s="123">
        <v>350</v>
      </c>
      <c r="G5" s="123">
        <v>210</v>
      </c>
      <c r="H5" s="124" t="s">
        <v>15</v>
      </c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</row>
    <row r="6" customHeight="1" spans="1:25">
      <c r="A6" s="123">
        <v>2</v>
      </c>
      <c r="B6" s="123" t="s">
        <v>16</v>
      </c>
      <c r="C6" s="123">
        <v>15876312610</v>
      </c>
      <c r="D6" s="123" t="s">
        <v>14</v>
      </c>
      <c r="E6" s="124"/>
      <c r="F6" s="123">
        <v>350</v>
      </c>
      <c r="G6" s="123">
        <v>210</v>
      </c>
      <c r="H6" s="124" t="s">
        <v>15</v>
      </c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</row>
    <row r="7" customHeight="1" spans="1:25">
      <c r="A7" s="123">
        <v>3</v>
      </c>
      <c r="B7" s="123" t="s">
        <v>17</v>
      </c>
      <c r="C7" s="123">
        <v>15876312610</v>
      </c>
      <c r="D7" s="123" t="s">
        <v>14</v>
      </c>
      <c r="E7" s="124"/>
      <c r="F7" s="123">
        <v>350</v>
      </c>
      <c r="G7" s="123">
        <v>210</v>
      </c>
      <c r="H7" s="124" t="s">
        <v>15</v>
      </c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</row>
    <row r="8" customHeight="1" spans="1:25">
      <c r="A8" s="123">
        <v>4</v>
      </c>
      <c r="B8" s="123" t="s">
        <v>18</v>
      </c>
      <c r="C8" s="123">
        <v>15766040528</v>
      </c>
      <c r="D8" s="123" t="s">
        <v>19</v>
      </c>
      <c r="E8" s="124"/>
      <c r="F8" s="123">
        <v>350</v>
      </c>
      <c r="G8" s="123">
        <v>210</v>
      </c>
      <c r="H8" s="124" t="s">
        <v>15</v>
      </c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</row>
    <row r="9" customHeight="1" spans="1:25">
      <c r="A9" s="123">
        <v>5</v>
      </c>
      <c r="B9" s="123" t="s">
        <v>20</v>
      </c>
      <c r="C9" s="123">
        <v>15766040528</v>
      </c>
      <c r="D9" s="124"/>
      <c r="E9" s="123" t="s">
        <v>19</v>
      </c>
      <c r="F9" s="123">
        <v>350</v>
      </c>
      <c r="G9" s="123">
        <v>210</v>
      </c>
      <c r="H9" s="124" t="s">
        <v>15</v>
      </c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</row>
    <row r="10" customHeight="1" spans="1:25">
      <c r="A10" s="123">
        <v>6</v>
      </c>
      <c r="B10" s="123" t="s">
        <v>21</v>
      </c>
      <c r="C10" s="123">
        <v>13679518433</v>
      </c>
      <c r="D10" s="123" t="s">
        <v>14</v>
      </c>
      <c r="E10" s="124"/>
      <c r="F10" s="123">
        <v>350</v>
      </c>
      <c r="G10" s="123">
        <v>210</v>
      </c>
      <c r="H10" s="124" t="s">
        <v>15</v>
      </c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</row>
    <row r="11" customHeight="1" spans="1:25">
      <c r="A11" s="123">
        <v>7</v>
      </c>
      <c r="B11" s="123" t="s">
        <v>22</v>
      </c>
      <c r="C11" s="123">
        <v>13425214912</v>
      </c>
      <c r="D11" s="123" t="s">
        <v>14</v>
      </c>
      <c r="E11" s="124"/>
      <c r="F11" s="123">
        <v>350</v>
      </c>
      <c r="G11" s="123">
        <v>210</v>
      </c>
      <c r="H11" s="124" t="s">
        <v>15</v>
      </c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</row>
    <row r="12" customHeight="1" spans="1:25">
      <c r="A12" s="123">
        <v>8</v>
      </c>
      <c r="B12" s="123" t="s">
        <v>23</v>
      </c>
      <c r="C12" s="123">
        <v>18127452600</v>
      </c>
      <c r="D12" s="123" t="s">
        <v>14</v>
      </c>
      <c r="E12" s="123" t="s">
        <v>14</v>
      </c>
      <c r="F12" s="123">
        <v>350</v>
      </c>
      <c r="G12" s="123">
        <v>210</v>
      </c>
      <c r="H12" s="124" t="s">
        <v>15</v>
      </c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</row>
    <row r="13" customHeight="1" spans="1:25">
      <c r="A13" s="123">
        <v>9</v>
      </c>
      <c r="B13" s="123" t="s">
        <v>24</v>
      </c>
      <c r="C13" s="123">
        <v>18934100078</v>
      </c>
      <c r="D13" s="123" t="s">
        <v>14</v>
      </c>
      <c r="E13" s="124"/>
      <c r="F13" s="123">
        <v>350</v>
      </c>
      <c r="G13" s="123">
        <v>210</v>
      </c>
      <c r="H13" s="124" t="s">
        <v>15</v>
      </c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</row>
    <row r="14" customHeight="1" spans="1:25">
      <c r="A14" s="123">
        <v>10</v>
      </c>
      <c r="B14" s="123" t="s">
        <v>25</v>
      </c>
      <c r="C14" s="123">
        <v>18934100078</v>
      </c>
      <c r="D14" s="124"/>
      <c r="E14" s="123" t="s">
        <v>14</v>
      </c>
      <c r="F14" s="123">
        <v>350</v>
      </c>
      <c r="G14" s="123">
        <v>210</v>
      </c>
      <c r="H14" s="124" t="s">
        <v>15</v>
      </c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</row>
    <row r="15" customHeight="1" spans="1:25">
      <c r="A15" s="123">
        <v>11</v>
      </c>
      <c r="B15" s="123" t="s">
        <v>26</v>
      </c>
      <c r="C15" s="123">
        <v>13680002055</v>
      </c>
      <c r="D15" s="123" t="s">
        <v>14</v>
      </c>
      <c r="E15" s="123" t="s">
        <v>14</v>
      </c>
      <c r="F15" s="123">
        <v>350</v>
      </c>
      <c r="G15" s="123">
        <v>210</v>
      </c>
      <c r="H15" s="124" t="s">
        <v>15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</row>
    <row r="16" customHeight="1" spans="1:25">
      <c r="A16" s="123">
        <v>12</v>
      </c>
      <c r="B16" s="123" t="s">
        <v>27</v>
      </c>
      <c r="C16" s="123">
        <v>18022268566</v>
      </c>
      <c r="D16" s="123" t="s">
        <v>19</v>
      </c>
      <c r="E16" s="124"/>
      <c r="F16" s="123">
        <v>350</v>
      </c>
      <c r="G16" s="123">
        <v>210</v>
      </c>
      <c r="H16" s="124" t="s">
        <v>15</v>
      </c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</row>
    <row r="17" customHeight="1" spans="1:25">
      <c r="A17" s="123">
        <v>13</v>
      </c>
      <c r="B17" s="125" t="s">
        <v>28</v>
      </c>
      <c r="C17" s="126">
        <v>15089722739</v>
      </c>
      <c r="D17" s="127"/>
      <c r="E17" s="126" t="s">
        <v>14</v>
      </c>
      <c r="F17" s="123">
        <v>350</v>
      </c>
      <c r="G17" s="123">
        <v>210</v>
      </c>
      <c r="H17" s="124" t="s">
        <v>15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</row>
    <row r="18" customHeight="1" spans="1:25">
      <c r="A18" s="123">
        <v>14</v>
      </c>
      <c r="B18" s="125" t="s">
        <v>29</v>
      </c>
      <c r="C18" s="126">
        <v>15089722739</v>
      </c>
      <c r="D18" s="126"/>
      <c r="E18" s="126" t="s">
        <v>14</v>
      </c>
      <c r="F18" s="123">
        <v>350</v>
      </c>
      <c r="G18" s="123">
        <v>210</v>
      </c>
      <c r="H18" s="124" t="s">
        <v>15</v>
      </c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</row>
    <row r="19" customHeight="1" spans="1:25">
      <c r="A19" s="123">
        <v>15</v>
      </c>
      <c r="B19" s="125" t="s">
        <v>30</v>
      </c>
      <c r="C19" s="126">
        <v>13553932022</v>
      </c>
      <c r="D19" s="126" t="s">
        <v>19</v>
      </c>
      <c r="E19" s="126" t="s">
        <v>19</v>
      </c>
      <c r="F19" s="123">
        <v>350</v>
      </c>
      <c r="G19" s="123">
        <v>210</v>
      </c>
      <c r="H19" s="124" t="s">
        <v>15</v>
      </c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</row>
    <row r="20" customHeight="1" spans="1:25">
      <c r="A20" s="123">
        <v>16</v>
      </c>
      <c r="B20" s="125" t="s">
        <v>31</v>
      </c>
      <c r="C20" s="126">
        <v>13553932022</v>
      </c>
      <c r="D20" s="126" t="s">
        <v>19</v>
      </c>
      <c r="E20" s="126" t="s">
        <v>19</v>
      </c>
      <c r="F20" s="123">
        <v>350</v>
      </c>
      <c r="G20" s="123">
        <v>210</v>
      </c>
      <c r="H20" s="124" t="s">
        <v>15</v>
      </c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</row>
    <row r="21" customHeight="1" spans="1:25">
      <c r="A21" s="123">
        <v>17</v>
      </c>
      <c r="B21" s="125" t="s">
        <v>32</v>
      </c>
      <c r="C21" s="126">
        <v>13620537940</v>
      </c>
      <c r="D21" s="126" t="s">
        <v>19</v>
      </c>
      <c r="E21" s="126"/>
      <c r="F21" s="123">
        <v>350</v>
      </c>
      <c r="G21" s="123">
        <v>210</v>
      </c>
      <c r="H21" s="124" t="s">
        <v>15</v>
      </c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</row>
    <row r="22" customHeight="1" spans="1:25">
      <c r="A22" s="123">
        <v>18</v>
      </c>
      <c r="B22" s="125" t="s">
        <v>33</v>
      </c>
      <c r="C22" s="126">
        <v>13620537940</v>
      </c>
      <c r="D22" s="126" t="s">
        <v>19</v>
      </c>
      <c r="E22" s="126"/>
      <c r="F22" s="123">
        <v>350</v>
      </c>
      <c r="G22" s="123">
        <v>210</v>
      </c>
      <c r="H22" s="124" t="s">
        <v>15</v>
      </c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</row>
    <row r="23" customHeight="1" spans="1:25">
      <c r="A23" s="123">
        <v>19</v>
      </c>
      <c r="B23" s="128" t="s">
        <v>34</v>
      </c>
      <c r="C23" s="129">
        <v>13553913673</v>
      </c>
      <c r="D23" s="130" t="s">
        <v>14</v>
      </c>
      <c r="E23" s="126"/>
      <c r="F23" s="123">
        <v>350</v>
      </c>
      <c r="G23" s="123">
        <v>210</v>
      </c>
      <c r="H23" s="124" t="s">
        <v>15</v>
      </c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</row>
    <row r="24" customHeight="1" spans="1:25">
      <c r="A24" s="123">
        <v>20</v>
      </c>
      <c r="B24" s="125" t="s">
        <v>35</v>
      </c>
      <c r="C24" s="126">
        <v>15119780993</v>
      </c>
      <c r="D24" s="126" t="s">
        <v>19</v>
      </c>
      <c r="E24" s="126" t="s">
        <v>19</v>
      </c>
      <c r="F24" s="123">
        <v>350</v>
      </c>
      <c r="G24" s="123">
        <v>210</v>
      </c>
      <c r="H24" s="124" t="s">
        <v>15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</row>
    <row r="25" customHeight="1" spans="1:25">
      <c r="A25" s="123">
        <v>21</v>
      </c>
      <c r="B25" s="125" t="s">
        <v>36</v>
      </c>
      <c r="C25" s="126">
        <v>13642530603</v>
      </c>
      <c r="D25" s="126"/>
      <c r="E25" s="131" t="s">
        <v>37</v>
      </c>
      <c r="F25" s="123">
        <v>350</v>
      </c>
      <c r="G25" s="123">
        <v>210</v>
      </c>
      <c r="H25" s="124" t="s">
        <v>15</v>
      </c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</row>
    <row r="26" customHeight="1" spans="1:25">
      <c r="A26" s="123">
        <v>22</v>
      </c>
      <c r="B26" s="124"/>
      <c r="C26" s="124"/>
      <c r="D26" s="124"/>
      <c r="E26" s="124"/>
      <c r="F26" s="123">
        <v>350</v>
      </c>
      <c r="G26" s="123">
        <v>210</v>
      </c>
      <c r="H26" s="124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</row>
    <row r="27" customHeight="1" spans="1:25">
      <c r="A27" s="123">
        <v>23</v>
      </c>
      <c r="B27" s="124"/>
      <c r="C27" s="124"/>
      <c r="D27" s="124"/>
      <c r="E27" s="124"/>
      <c r="F27" s="123">
        <v>350</v>
      </c>
      <c r="G27" s="123">
        <v>210</v>
      </c>
      <c r="H27" s="124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</row>
    <row r="28" customHeight="1" spans="1:25">
      <c r="A28" s="123">
        <v>24</v>
      </c>
      <c r="B28" s="124"/>
      <c r="C28" s="124"/>
      <c r="D28" s="124"/>
      <c r="E28" s="124"/>
      <c r="F28" s="123">
        <v>350</v>
      </c>
      <c r="G28" s="123">
        <v>210</v>
      </c>
      <c r="H28" s="124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</row>
    <row r="29" customHeight="1" spans="1:25">
      <c r="A29" s="123">
        <v>31</v>
      </c>
      <c r="B29" s="124"/>
      <c r="C29" s="124"/>
      <c r="D29" s="124"/>
      <c r="E29" s="124"/>
      <c r="F29" s="123">
        <v>350</v>
      </c>
      <c r="G29" s="123">
        <v>210</v>
      </c>
      <c r="H29" s="124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</row>
    <row r="30" customHeight="1" spans="1:25">
      <c r="A30" s="123">
        <v>32</v>
      </c>
      <c r="B30" s="124"/>
      <c r="C30" s="124"/>
      <c r="D30" s="124"/>
      <c r="E30" s="124"/>
      <c r="F30" s="123">
        <v>350</v>
      </c>
      <c r="G30" s="123">
        <v>210</v>
      </c>
      <c r="H30" s="124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</row>
    <row r="31" customHeight="1" spans="1:25">
      <c r="A31" s="123">
        <v>33</v>
      </c>
      <c r="B31" s="124"/>
      <c r="C31" s="124"/>
      <c r="D31" s="124"/>
      <c r="E31" s="124"/>
      <c r="F31" s="123">
        <v>350</v>
      </c>
      <c r="G31" s="123">
        <v>210</v>
      </c>
      <c r="H31" s="124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</row>
    <row r="32" customHeight="1" spans="1:25">
      <c r="A32" s="123">
        <v>34</v>
      </c>
      <c r="B32" s="124"/>
      <c r="C32" s="124"/>
      <c r="D32" s="124"/>
      <c r="E32" s="124"/>
      <c r="F32" s="123">
        <v>350</v>
      </c>
      <c r="G32" s="123">
        <v>210</v>
      </c>
      <c r="H32" s="124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</row>
    <row r="33" customHeight="1" spans="1:25">
      <c r="A33" s="123">
        <v>35</v>
      </c>
      <c r="B33" s="124"/>
      <c r="C33" s="124"/>
      <c r="D33" s="124"/>
      <c r="E33" s="124"/>
      <c r="F33" s="123">
        <v>350</v>
      </c>
      <c r="G33" s="123">
        <v>210</v>
      </c>
      <c r="H33" s="124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</row>
    <row r="34" customHeight="1" spans="1:25">
      <c r="A34" s="123">
        <v>36</v>
      </c>
      <c r="B34" s="124"/>
      <c r="C34" s="124"/>
      <c r="D34" s="124"/>
      <c r="E34" s="124"/>
      <c r="F34" s="123">
        <v>350</v>
      </c>
      <c r="G34" s="123">
        <v>210</v>
      </c>
      <c r="H34" s="124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</row>
    <row r="35" customHeight="1" spans="1:25">
      <c r="A35" s="123">
        <v>37</v>
      </c>
      <c r="B35" s="124"/>
      <c r="C35" s="124"/>
      <c r="D35" s="124"/>
      <c r="E35" s="124"/>
      <c r="F35" s="123">
        <v>350</v>
      </c>
      <c r="G35" s="123">
        <v>210</v>
      </c>
      <c r="H35" s="124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</row>
    <row r="36" customHeight="1" spans="1:25">
      <c r="A36" s="123">
        <v>38</v>
      </c>
      <c r="B36" s="124"/>
      <c r="C36" s="124"/>
      <c r="D36" s="124"/>
      <c r="E36" s="124"/>
      <c r="F36" s="123">
        <v>350</v>
      </c>
      <c r="G36" s="123">
        <v>210</v>
      </c>
      <c r="H36" s="124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</row>
    <row r="37" customHeight="1" spans="1:25">
      <c r="A37" s="123">
        <v>39</v>
      </c>
      <c r="B37" s="124"/>
      <c r="C37" s="124"/>
      <c r="D37" s="124"/>
      <c r="E37" s="124"/>
      <c r="F37" s="123">
        <v>350</v>
      </c>
      <c r="G37" s="123">
        <v>210</v>
      </c>
      <c r="H37" s="124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</row>
    <row r="38" customHeight="1" spans="1:25">
      <c r="A38" s="123">
        <v>40</v>
      </c>
      <c r="B38" s="124"/>
      <c r="C38" s="124"/>
      <c r="D38" s="124"/>
      <c r="E38" s="124"/>
      <c r="F38" s="123">
        <v>350</v>
      </c>
      <c r="G38" s="123">
        <v>210</v>
      </c>
      <c r="H38" s="124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</row>
    <row r="39" customHeight="1" spans="1:25">
      <c r="A39" s="123">
        <v>41</v>
      </c>
      <c r="B39" s="124"/>
      <c r="C39" s="124"/>
      <c r="D39" s="124"/>
      <c r="E39" s="124"/>
      <c r="F39" s="123">
        <v>350</v>
      </c>
      <c r="G39" s="123">
        <v>210</v>
      </c>
      <c r="H39" s="124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</row>
    <row r="40" customHeight="1" spans="1:25">
      <c r="A40" s="123">
        <v>42</v>
      </c>
      <c r="B40" s="124"/>
      <c r="C40" s="124"/>
      <c r="D40" s="124"/>
      <c r="E40" s="124"/>
      <c r="F40" s="123">
        <v>350</v>
      </c>
      <c r="G40" s="123">
        <v>210</v>
      </c>
      <c r="H40" s="124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</row>
    <row r="41" customHeight="1" spans="1:25">
      <c r="A41" s="123">
        <v>43</v>
      </c>
      <c r="B41" s="124"/>
      <c r="C41" s="124"/>
      <c r="D41" s="124"/>
      <c r="E41" s="124"/>
      <c r="F41" s="123">
        <v>350</v>
      </c>
      <c r="G41" s="123">
        <v>210</v>
      </c>
      <c r="H41" s="124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</row>
    <row r="42" customHeight="1" spans="1:25">
      <c r="A42" s="123">
        <v>44</v>
      </c>
      <c r="B42" s="124"/>
      <c r="C42" s="124"/>
      <c r="D42" s="124"/>
      <c r="E42" s="124"/>
      <c r="F42" s="123">
        <v>350</v>
      </c>
      <c r="G42" s="123">
        <v>210</v>
      </c>
      <c r="H42" s="124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</row>
    <row r="43" customHeight="1" spans="1:25">
      <c r="A43" s="123">
        <v>45</v>
      </c>
      <c r="B43" s="124"/>
      <c r="C43" s="124"/>
      <c r="D43" s="124"/>
      <c r="E43" s="124"/>
      <c r="F43" s="123">
        <v>350</v>
      </c>
      <c r="G43" s="123">
        <v>210</v>
      </c>
      <c r="H43" s="124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</row>
    <row r="44" customHeight="1" spans="1:25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</row>
    <row r="45" customHeight="1" spans="1:25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</row>
    <row r="46" customHeight="1" spans="1:25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</row>
    <row r="47" customHeight="1" spans="1:25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</row>
    <row r="48" customHeight="1" spans="1:25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</row>
    <row r="49" customHeight="1" spans="1: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</row>
    <row r="50" customHeight="1" spans="1:2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</row>
    <row r="51" customHeight="1" spans="1:2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</row>
    <row r="52" customHeight="1" spans="1:2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</row>
    <row r="53" customHeight="1" spans="1:2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</row>
    <row r="54" customHeight="1" spans="1:2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</row>
    <row r="55" customHeight="1" spans="1:2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</row>
    <row r="56" customHeight="1" spans="1:2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</row>
    <row r="57" customHeight="1" spans="1:2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</row>
    <row r="58" customHeight="1" spans="1:2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</row>
    <row r="59" customHeight="1" spans="1:2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</row>
    <row r="60" customHeight="1" spans="1:2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</row>
    <row r="61" customHeight="1" spans="1:2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</row>
    <row r="62" customHeight="1" spans="1:2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</row>
    <row r="63" customHeight="1" spans="1:2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</row>
    <row r="64" customHeight="1" spans="1:2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</row>
    <row r="65" customHeight="1" spans="1:2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</row>
    <row r="66" customHeight="1" spans="1:2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</row>
    <row r="67" customHeight="1" spans="1:2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</row>
    <row r="68" customHeight="1" spans="1:2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</row>
    <row r="69" customHeight="1" spans="1:2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</row>
    <row r="70" customHeight="1" spans="1:2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</row>
    <row r="71" customHeight="1" spans="1:2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</row>
    <row r="72" customHeight="1" spans="1:2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</row>
    <row r="73" customHeight="1" spans="1:2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</row>
    <row r="74" customHeight="1" spans="1:2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</row>
    <row r="75" customHeight="1" spans="1:2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</row>
    <row r="76" customHeight="1" spans="1:2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</row>
    <row r="77" customHeight="1" spans="1:2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</row>
    <row r="78" customHeight="1" spans="1: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</row>
    <row r="79" customHeight="1" spans="1:2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</row>
    <row r="80" customHeight="1" spans="1:2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</row>
    <row r="81" customHeight="1" spans="1:2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</row>
    <row r="82" customHeight="1" spans="1: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</row>
    <row r="83" customHeight="1" spans="1:2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</row>
    <row r="84" customHeight="1" spans="1: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</row>
    <row r="85" customHeight="1" spans="1: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</row>
    <row r="86" customHeight="1" spans="1: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</row>
    <row r="87" customHeight="1" spans="1: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</row>
    <row r="88" customHeight="1" spans="1: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</row>
    <row r="89" customHeight="1" spans="1: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</row>
    <row r="90" customHeight="1" spans="1: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</row>
    <row r="91" customHeight="1" spans="1: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</row>
    <row r="92" customHeight="1" spans="1: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</row>
    <row r="93" customHeight="1" spans="1: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</row>
    <row r="94" customHeight="1" spans="1: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</row>
    <row r="95" customHeight="1" spans="1: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</row>
    <row r="96" customHeight="1" spans="1: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</row>
    <row r="97" customHeight="1" spans="1: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</row>
    <row r="98" customHeight="1" spans="1: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</row>
    <row r="99" customHeight="1" spans="1: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</row>
    <row r="100" customHeight="1" spans="1: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</row>
    <row r="101" customHeight="1" spans="1: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</row>
    <row r="102" customHeight="1" spans="1: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</row>
    <row r="103" customHeight="1" spans="1: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</row>
    <row r="104" customHeight="1" spans="1: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</row>
    <row r="105" customHeight="1" spans="1: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</row>
    <row r="106" customHeight="1" spans="1: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</row>
    <row r="107" customHeight="1" spans="1: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</row>
    <row r="108" customHeight="1" spans="1: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</row>
    <row r="109" customHeight="1" spans="1: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</row>
    <row r="110" customHeight="1" spans="1: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</row>
    <row r="111" customHeight="1" spans="1: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</row>
    <row r="112" customHeight="1" spans="1: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</row>
    <row r="113" customHeight="1" spans="1: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</row>
    <row r="114" customHeight="1" spans="1: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</row>
    <row r="115" customHeight="1" spans="1: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</row>
    <row r="116" customHeight="1" spans="1: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</row>
    <row r="117" customHeight="1" spans="1: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</row>
    <row r="118" customHeight="1" spans="1: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</row>
    <row r="119" customHeight="1" spans="1: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</row>
    <row r="120" customHeight="1" spans="1: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</row>
    <row r="121" customHeight="1" spans="1: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</row>
    <row r="122" customHeight="1" spans="1: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</row>
    <row r="123" customHeight="1" spans="1: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</row>
    <row r="124" customHeight="1" spans="1: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</row>
    <row r="125" customHeight="1" spans="1: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</row>
    <row r="126" customHeight="1" spans="1: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</row>
    <row r="127" customHeight="1" spans="1: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</row>
    <row r="128" customHeight="1" spans="1: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</row>
    <row r="129" customHeight="1" spans="1: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</row>
    <row r="130" customHeight="1" spans="1: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</row>
    <row r="131" customHeight="1" spans="1: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</row>
    <row r="132" customHeight="1" spans="1: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</row>
    <row r="133" customHeight="1" spans="1: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</row>
    <row r="134" customHeight="1" spans="1: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</row>
    <row r="135" customHeight="1" spans="1: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</row>
    <row r="136" customHeight="1" spans="1: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</row>
    <row r="137" customHeight="1" spans="1: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</row>
    <row r="138" customHeight="1" spans="1: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</row>
    <row r="139" customHeight="1" spans="1: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</row>
    <row r="140" customHeight="1" spans="1: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</row>
    <row r="141" customHeight="1" spans="1: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</row>
    <row r="142" customHeight="1" spans="1: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</row>
    <row r="143" customHeight="1" spans="1: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</row>
    <row r="144" customHeight="1" spans="1: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</row>
    <row r="145" customHeight="1" spans="1: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</row>
    <row r="146" customHeight="1" spans="1: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</row>
    <row r="147" customHeight="1" spans="1: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</row>
    <row r="148" customHeight="1" spans="1: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</row>
    <row r="149" customHeight="1" spans="1: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</row>
    <row r="150" customHeight="1" spans="1: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</row>
    <row r="151" customHeight="1" spans="1: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</row>
    <row r="152" customHeight="1" spans="1: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</row>
    <row r="153" customHeight="1" spans="1: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</row>
    <row r="154" customHeight="1" spans="1: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</row>
    <row r="155" customHeight="1" spans="1: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</row>
    <row r="156" customHeight="1" spans="1: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</row>
    <row r="157" customHeight="1" spans="1: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</row>
    <row r="158" customHeight="1" spans="1: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</row>
    <row r="159" customHeight="1" spans="1: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</row>
    <row r="160" customHeight="1" spans="1: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</row>
    <row r="161" customHeight="1" spans="1: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</row>
    <row r="162" customHeight="1" spans="1: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</row>
    <row r="163" customHeight="1" spans="1: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</row>
    <row r="164" customHeight="1" spans="1: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</row>
    <row r="165" customHeight="1" spans="1: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</row>
    <row r="166" customHeight="1" spans="1: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</row>
    <row r="167" customHeight="1" spans="1: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</row>
    <row r="168" customHeight="1" spans="1: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</row>
    <row r="169" customHeight="1" spans="1: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</row>
    <row r="170" customHeight="1" spans="1: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</row>
    <row r="171" customHeight="1" spans="1: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</row>
    <row r="172" customHeight="1" spans="1: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</row>
    <row r="173" customHeight="1" spans="1: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</row>
    <row r="174" customHeight="1" spans="1: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</row>
    <row r="175" customHeight="1" spans="1: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</row>
    <row r="176" customHeight="1" spans="1: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</row>
    <row r="177" customHeight="1" spans="1: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</row>
    <row r="178" customHeight="1" spans="1: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</row>
    <row r="179" customHeight="1" spans="1: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</row>
    <row r="180" customHeight="1" spans="1: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</row>
    <row r="181" customHeight="1" spans="1: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</row>
    <row r="182" customHeight="1" spans="1: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</row>
    <row r="183" customHeight="1" spans="1: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</row>
    <row r="184" customHeight="1" spans="1: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</row>
    <row r="185" customHeight="1" spans="1: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</row>
    <row r="186" customHeight="1" spans="1: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</row>
    <row r="187" customHeight="1" spans="1: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</row>
    <row r="188" customHeight="1" spans="1: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</row>
    <row r="189" customHeight="1" spans="1: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"/>
  <sheetViews>
    <sheetView topLeftCell="B24" workbookViewId="0">
      <selection activeCell="C46" sqref="C46"/>
    </sheetView>
  </sheetViews>
  <sheetFormatPr defaultColWidth="9.14285714285714" defaultRowHeight="12"/>
  <cols>
    <col min="1" max="1" width="5.85714285714286" customWidth="1"/>
    <col min="2" max="2" width="36" customWidth="1"/>
    <col min="3" max="3" width="10.1428571428571" customWidth="1"/>
    <col min="4" max="4" width="43" customWidth="1"/>
    <col min="5" max="5" width="12.8571428571429" customWidth="1"/>
    <col min="6" max="6" width="49.4285714285714" customWidth="1"/>
    <col min="7" max="7" width="10.1428571428571" customWidth="1"/>
    <col min="8" max="8" width="14.8571428571429" customWidth="1"/>
    <col min="9" max="9" width="21.8571428571429" customWidth="1"/>
    <col min="10" max="10" width="48.7142857142857" customWidth="1"/>
  </cols>
  <sheetData>
    <row r="1" ht="17.25" customHeight="1" spans="1:11">
      <c r="A1" s="112" t="s">
        <v>38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ht="17.25" customHeight="1" spans="1:11">
      <c r="A2" s="112" t="s">
        <v>39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</row>
    <row r="3" ht="15.75" spans="1:11">
      <c r="A3" s="112" t="s">
        <v>2</v>
      </c>
      <c r="B3" s="112" t="s">
        <v>40</v>
      </c>
      <c r="C3" s="112" t="s">
        <v>41</v>
      </c>
      <c r="D3" s="112" t="s">
        <v>42</v>
      </c>
      <c r="E3" s="112" t="s">
        <v>43</v>
      </c>
      <c r="F3" s="112" t="s">
        <v>44</v>
      </c>
      <c r="G3" s="112" t="s">
        <v>45</v>
      </c>
      <c r="H3" s="112" t="s">
        <v>46</v>
      </c>
      <c r="I3" s="112" t="s">
        <v>47</v>
      </c>
      <c r="J3" s="112" t="s">
        <v>48</v>
      </c>
      <c r="K3" s="112" t="s">
        <v>49</v>
      </c>
    </row>
    <row r="4" ht="15.75" spans="1:11">
      <c r="A4" s="112">
        <v>1</v>
      </c>
      <c r="B4" s="112">
        <v>1.53020260306112e+22</v>
      </c>
      <c r="C4" s="112" t="s">
        <v>50</v>
      </c>
      <c r="D4" s="112" t="s">
        <v>51</v>
      </c>
      <c r="E4" s="112">
        <v>19250671242</v>
      </c>
      <c r="F4" s="112" t="s">
        <v>52</v>
      </c>
      <c r="G4" s="112">
        <v>350</v>
      </c>
      <c r="H4" s="113">
        <v>46087.4775115741</v>
      </c>
      <c r="I4" s="112" t="s">
        <v>53</v>
      </c>
      <c r="J4" s="112" t="s">
        <v>54</v>
      </c>
      <c r="K4" s="112"/>
    </row>
    <row r="5" ht="15.75" spans="1:11">
      <c r="A5" s="112">
        <v>2</v>
      </c>
      <c r="B5" s="112">
        <v>1.53020260304102e+22</v>
      </c>
      <c r="C5" s="112" t="s">
        <v>55</v>
      </c>
      <c r="D5" s="112" t="s">
        <v>51</v>
      </c>
      <c r="E5" s="112">
        <v>13640718527</v>
      </c>
      <c r="F5" s="112" t="s">
        <v>52</v>
      </c>
      <c r="G5" s="112">
        <v>350</v>
      </c>
      <c r="H5" s="113">
        <v>46085.4333101852</v>
      </c>
      <c r="I5" s="112" t="s">
        <v>53</v>
      </c>
      <c r="J5" s="112" t="s">
        <v>56</v>
      </c>
      <c r="K5" s="112"/>
    </row>
    <row r="6" ht="15.75" spans="1:11">
      <c r="A6" s="112">
        <v>3</v>
      </c>
      <c r="B6" s="112">
        <v>1.53020260303195e+22</v>
      </c>
      <c r="C6" s="112" t="s">
        <v>57</v>
      </c>
      <c r="D6" s="112" t="s">
        <v>58</v>
      </c>
      <c r="E6" s="112">
        <v>13413461808</v>
      </c>
      <c r="F6" s="112" t="s">
        <v>52</v>
      </c>
      <c r="G6" s="112">
        <v>350</v>
      </c>
      <c r="H6" s="113">
        <v>46084.8306944444</v>
      </c>
      <c r="I6" s="112" t="s">
        <v>53</v>
      </c>
      <c r="J6" s="112"/>
      <c r="K6" s="112"/>
    </row>
    <row r="7" ht="15.75" spans="1:11">
      <c r="A7" s="112">
        <v>4</v>
      </c>
      <c r="B7" s="112">
        <v>1.53020260303155e+22</v>
      </c>
      <c r="C7" s="112" t="s">
        <v>59</v>
      </c>
      <c r="D7" s="112" t="s">
        <v>51</v>
      </c>
      <c r="E7" s="112">
        <v>15768028351</v>
      </c>
      <c r="F7" s="112" t="s">
        <v>52</v>
      </c>
      <c r="G7" s="112">
        <v>350</v>
      </c>
      <c r="H7" s="113">
        <v>46084.6625</v>
      </c>
      <c r="I7" s="112" t="s">
        <v>60</v>
      </c>
      <c r="J7" s="112" t="s">
        <v>61</v>
      </c>
      <c r="K7" s="112"/>
    </row>
    <row r="8" ht="15.75" spans="1:11">
      <c r="A8" s="112">
        <v>5</v>
      </c>
      <c r="B8" s="112">
        <v>1.53020260303133e+22</v>
      </c>
      <c r="C8" s="112" t="s">
        <v>62</v>
      </c>
      <c r="D8" s="112" t="s">
        <v>58</v>
      </c>
      <c r="E8" s="112">
        <v>15889504543</v>
      </c>
      <c r="F8" s="112" t="s">
        <v>52</v>
      </c>
      <c r="G8" s="112">
        <v>350</v>
      </c>
      <c r="H8" s="113">
        <v>46084.5691435185</v>
      </c>
      <c r="I8" s="112" t="s">
        <v>60</v>
      </c>
      <c r="J8" s="112" t="s">
        <v>63</v>
      </c>
      <c r="K8" s="112"/>
    </row>
    <row r="9" ht="15.75" spans="1:11">
      <c r="A9" s="112">
        <v>6</v>
      </c>
      <c r="B9" s="112">
        <v>1.53020260303125e+22</v>
      </c>
      <c r="C9" s="112" t="s">
        <v>64</v>
      </c>
      <c r="D9" s="112" t="s">
        <v>51</v>
      </c>
      <c r="E9" s="112">
        <v>13620552670</v>
      </c>
      <c r="F9" s="112" t="s">
        <v>52</v>
      </c>
      <c r="G9" s="112">
        <v>350</v>
      </c>
      <c r="H9" s="113">
        <v>46084.5408333333</v>
      </c>
      <c r="I9" s="112" t="s">
        <v>60</v>
      </c>
      <c r="J9" s="112" t="s">
        <v>65</v>
      </c>
      <c r="K9" s="112"/>
    </row>
    <row r="10" ht="15.75" spans="1:11">
      <c r="A10" s="112">
        <v>7</v>
      </c>
      <c r="B10" s="112">
        <v>1.53020260303125e+22</v>
      </c>
      <c r="C10" s="112" t="s">
        <v>66</v>
      </c>
      <c r="D10" s="112" t="s">
        <v>51</v>
      </c>
      <c r="E10" s="112">
        <v>13415246510</v>
      </c>
      <c r="F10" s="112" t="s">
        <v>52</v>
      </c>
      <c r="G10" s="112">
        <v>350</v>
      </c>
      <c r="H10" s="113">
        <v>46084.5391666667</v>
      </c>
      <c r="I10" s="112" t="s">
        <v>60</v>
      </c>
      <c r="J10" s="112" t="s">
        <v>67</v>
      </c>
      <c r="K10" s="112"/>
    </row>
    <row r="11" ht="15.75" spans="1:11">
      <c r="A11" s="112">
        <v>8</v>
      </c>
      <c r="B11" s="112">
        <v>1.53020260303091e+22</v>
      </c>
      <c r="C11" s="112" t="s">
        <v>68</v>
      </c>
      <c r="D11" s="112" t="s">
        <v>58</v>
      </c>
      <c r="E11" s="112">
        <v>13750118400</v>
      </c>
      <c r="F11" s="112" t="s">
        <v>52</v>
      </c>
      <c r="G11" s="112">
        <v>350</v>
      </c>
      <c r="H11" s="113">
        <v>46084.3887268519</v>
      </c>
      <c r="I11" s="112" t="s">
        <v>60</v>
      </c>
      <c r="J11" s="112" t="s">
        <v>56</v>
      </c>
      <c r="K11" s="112"/>
    </row>
    <row r="12" ht="15.75" spans="1:11">
      <c r="A12" s="112">
        <v>9</v>
      </c>
      <c r="B12" s="112">
        <v>1.53020260302223e+22</v>
      </c>
      <c r="C12" s="112" t="s">
        <v>69</v>
      </c>
      <c r="D12" s="112" t="s">
        <v>58</v>
      </c>
      <c r="E12" s="112">
        <v>13417228685</v>
      </c>
      <c r="F12" s="112" t="s">
        <v>52</v>
      </c>
      <c r="G12" s="112">
        <v>350</v>
      </c>
      <c r="H12" s="113">
        <v>46083.9421643519</v>
      </c>
      <c r="I12" s="112" t="s">
        <v>60</v>
      </c>
      <c r="J12" s="112" t="s">
        <v>70</v>
      </c>
      <c r="K12" s="112"/>
    </row>
    <row r="13" ht="15.75" spans="1:11">
      <c r="A13" s="112">
        <v>10</v>
      </c>
      <c r="B13" s="112">
        <v>1.53020260302215e+22</v>
      </c>
      <c r="C13" s="112" t="s">
        <v>71</v>
      </c>
      <c r="D13" s="112" t="s">
        <v>58</v>
      </c>
      <c r="E13" s="112">
        <v>13610592543</v>
      </c>
      <c r="F13" s="112" t="s">
        <v>52</v>
      </c>
      <c r="G13" s="112">
        <v>350</v>
      </c>
      <c r="H13" s="113">
        <v>46083.9208912037</v>
      </c>
      <c r="I13" s="112" t="s">
        <v>60</v>
      </c>
      <c r="J13" s="112" t="s">
        <v>72</v>
      </c>
      <c r="K13" s="112"/>
    </row>
    <row r="14" ht="15.75" spans="1:11">
      <c r="A14" s="112">
        <v>11</v>
      </c>
      <c r="B14" s="112">
        <v>1.53020260302215e+22</v>
      </c>
      <c r="C14" s="112" t="s">
        <v>73</v>
      </c>
      <c r="D14" s="112" t="s">
        <v>58</v>
      </c>
      <c r="E14" s="112">
        <v>15989986298</v>
      </c>
      <c r="F14" s="112" t="s">
        <v>52</v>
      </c>
      <c r="G14" s="112">
        <v>350</v>
      </c>
      <c r="H14" s="113">
        <v>46083.9126273148</v>
      </c>
      <c r="I14" s="112" t="s">
        <v>60</v>
      </c>
      <c r="J14" s="112" t="s">
        <v>74</v>
      </c>
      <c r="K14" s="112"/>
    </row>
    <row r="15" ht="15.75" spans="1:11">
      <c r="A15" s="112">
        <v>12</v>
      </c>
      <c r="B15" s="112">
        <v>1.53020260302213e+22</v>
      </c>
      <c r="C15" s="112" t="s">
        <v>75</v>
      </c>
      <c r="D15" s="112" t="s">
        <v>58</v>
      </c>
      <c r="E15" s="112">
        <v>15119921282</v>
      </c>
      <c r="F15" s="112" t="s">
        <v>52</v>
      </c>
      <c r="G15" s="112">
        <v>350</v>
      </c>
      <c r="H15" s="113">
        <v>46083.9015972222</v>
      </c>
      <c r="I15" s="112" t="s">
        <v>60</v>
      </c>
      <c r="J15" s="112" t="s">
        <v>76</v>
      </c>
      <c r="K15" s="112"/>
    </row>
    <row r="16" ht="15.75" spans="1:11">
      <c r="A16" s="112">
        <v>13</v>
      </c>
      <c r="B16" s="112">
        <v>1.53020260302213e+22</v>
      </c>
      <c r="C16" s="112" t="s">
        <v>77</v>
      </c>
      <c r="D16" s="112" t="s">
        <v>58</v>
      </c>
      <c r="E16" s="112">
        <v>13413883945</v>
      </c>
      <c r="F16" s="112" t="s">
        <v>52</v>
      </c>
      <c r="G16" s="112">
        <v>350</v>
      </c>
      <c r="H16" s="113">
        <v>46083.8965509259</v>
      </c>
      <c r="I16" s="112" t="s">
        <v>60</v>
      </c>
      <c r="J16" s="112"/>
      <c r="K16" s="112"/>
    </row>
    <row r="17" ht="15.75" spans="1:11">
      <c r="A17" s="112">
        <v>14</v>
      </c>
      <c r="B17" s="112">
        <v>1.53020260302211e+22</v>
      </c>
      <c r="C17" s="112" t="s">
        <v>78</v>
      </c>
      <c r="D17" s="112" t="s">
        <v>58</v>
      </c>
      <c r="E17" s="112">
        <v>13812663047</v>
      </c>
      <c r="F17" s="112" t="s">
        <v>52</v>
      </c>
      <c r="G17" s="112">
        <v>350</v>
      </c>
      <c r="H17" s="113">
        <v>46083.8882175926</v>
      </c>
      <c r="I17" s="112" t="s">
        <v>60</v>
      </c>
      <c r="J17" s="112" t="s">
        <v>79</v>
      </c>
      <c r="K17" s="112"/>
    </row>
    <row r="18" ht="15.75" spans="1:11">
      <c r="A18" s="112">
        <v>15</v>
      </c>
      <c r="B18" s="112">
        <v>1.53020260302205e+22</v>
      </c>
      <c r="C18" s="112" t="s">
        <v>80</v>
      </c>
      <c r="D18" s="112" t="s">
        <v>58</v>
      </c>
      <c r="E18" s="112">
        <v>17688304200</v>
      </c>
      <c r="F18" s="112" t="s">
        <v>52</v>
      </c>
      <c r="G18" s="112">
        <v>350</v>
      </c>
      <c r="H18" s="113">
        <v>46083.8697685185</v>
      </c>
      <c r="I18" s="112" t="s">
        <v>60</v>
      </c>
      <c r="J18" s="112" t="s">
        <v>81</v>
      </c>
      <c r="K18" s="112"/>
    </row>
    <row r="19" ht="15.75" spans="1:11">
      <c r="A19" s="112">
        <v>16</v>
      </c>
      <c r="B19" s="112">
        <v>1.53020260302203e+22</v>
      </c>
      <c r="C19" s="112" t="s">
        <v>82</v>
      </c>
      <c r="D19" s="112" t="s">
        <v>58</v>
      </c>
      <c r="E19" s="112">
        <v>18165698224</v>
      </c>
      <c r="F19" s="112" t="s">
        <v>52</v>
      </c>
      <c r="G19" s="112">
        <v>350</v>
      </c>
      <c r="H19" s="113">
        <v>46083.8586689815</v>
      </c>
      <c r="I19" s="112" t="s">
        <v>60</v>
      </c>
      <c r="J19" s="112" t="s">
        <v>83</v>
      </c>
      <c r="K19" s="112"/>
    </row>
    <row r="20" ht="15.75" spans="1:11">
      <c r="A20" s="112">
        <v>17</v>
      </c>
      <c r="B20" s="112">
        <v>1.53020260302203e+22</v>
      </c>
      <c r="C20" s="112" t="s">
        <v>84</v>
      </c>
      <c r="D20" s="112" t="s">
        <v>51</v>
      </c>
      <c r="E20" s="112">
        <v>18165698224</v>
      </c>
      <c r="F20" s="112" t="s">
        <v>52</v>
      </c>
      <c r="G20" s="112">
        <v>350</v>
      </c>
      <c r="H20" s="113">
        <v>46083.8558564815</v>
      </c>
      <c r="I20" s="112" t="s">
        <v>60</v>
      </c>
      <c r="J20" s="112" t="s">
        <v>83</v>
      </c>
      <c r="K20" s="112"/>
    </row>
    <row r="21" ht="15.75" spans="1:11">
      <c r="A21" s="112">
        <v>18</v>
      </c>
      <c r="B21" s="112">
        <v>1.53020260302203e+22</v>
      </c>
      <c r="C21" s="112" t="s">
        <v>85</v>
      </c>
      <c r="D21" s="112" t="s">
        <v>58</v>
      </c>
      <c r="E21" s="112">
        <v>15219519022</v>
      </c>
      <c r="F21" s="112" t="s">
        <v>52</v>
      </c>
      <c r="G21" s="112">
        <v>350</v>
      </c>
      <c r="H21" s="113">
        <v>46083.8557060185</v>
      </c>
      <c r="I21" s="112" t="s">
        <v>60</v>
      </c>
      <c r="J21" s="112"/>
      <c r="K21" s="112" t="s">
        <v>86</v>
      </c>
    </row>
    <row r="22" ht="15.75" spans="1:11">
      <c r="A22" s="112">
        <v>19</v>
      </c>
      <c r="B22" s="112">
        <v>1.53020260302194e+22</v>
      </c>
      <c r="C22" s="112" t="s">
        <v>87</v>
      </c>
      <c r="D22" s="112" t="s">
        <v>58</v>
      </c>
      <c r="E22" s="112">
        <v>15975381183</v>
      </c>
      <c r="F22" s="112" t="s">
        <v>52</v>
      </c>
      <c r="G22" s="112">
        <v>350</v>
      </c>
      <c r="H22" s="113">
        <v>46083.8222685185</v>
      </c>
      <c r="I22" s="112" t="s">
        <v>60</v>
      </c>
      <c r="J22" s="112" t="s">
        <v>88</v>
      </c>
      <c r="K22" s="112"/>
    </row>
    <row r="23" ht="15.75" spans="1:11">
      <c r="A23" s="112">
        <v>20</v>
      </c>
      <c r="B23" s="112">
        <v>1.53020260302194e+22</v>
      </c>
      <c r="C23" s="112" t="s">
        <v>89</v>
      </c>
      <c r="D23" s="112" t="s">
        <v>58</v>
      </c>
      <c r="E23" s="112">
        <v>13112281570</v>
      </c>
      <c r="F23" s="112" t="s">
        <v>52</v>
      </c>
      <c r="G23" s="112">
        <v>350</v>
      </c>
      <c r="H23" s="113">
        <v>46083.8201273148</v>
      </c>
      <c r="I23" s="112" t="s">
        <v>60</v>
      </c>
      <c r="J23" s="112" t="s">
        <v>74</v>
      </c>
      <c r="K23" s="112"/>
    </row>
    <row r="24" ht="15.75" spans="1:11">
      <c r="A24" s="112">
        <v>21</v>
      </c>
      <c r="B24" s="112">
        <v>1.53020260302185e+22</v>
      </c>
      <c r="C24" s="112" t="s">
        <v>90</v>
      </c>
      <c r="D24" s="112" t="s">
        <v>51</v>
      </c>
      <c r="E24" s="112">
        <v>18316673181</v>
      </c>
      <c r="F24" s="112" t="s">
        <v>52</v>
      </c>
      <c r="G24" s="112">
        <v>350</v>
      </c>
      <c r="H24" s="113">
        <v>46083.7915162037</v>
      </c>
      <c r="I24" s="112" t="s">
        <v>60</v>
      </c>
      <c r="J24" s="112"/>
      <c r="K24" s="112"/>
    </row>
    <row r="25" ht="15.75" spans="1:11">
      <c r="A25" s="112">
        <v>22</v>
      </c>
      <c r="B25" s="112">
        <v>1.53020260302184e+22</v>
      </c>
      <c r="C25" s="112" t="s">
        <v>91</v>
      </c>
      <c r="D25" s="112" t="s">
        <v>51</v>
      </c>
      <c r="E25" s="112">
        <v>15019351561</v>
      </c>
      <c r="F25" s="112" t="s">
        <v>52</v>
      </c>
      <c r="G25" s="112">
        <v>350</v>
      </c>
      <c r="H25" s="113">
        <v>46083.7783912037</v>
      </c>
      <c r="I25" s="112" t="s">
        <v>60</v>
      </c>
      <c r="J25" s="112"/>
      <c r="K25" s="112"/>
    </row>
    <row r="26" ht="15.75" spans="1:11">
      <c r="A26" s="112">
        <v>23</v>
      </c>
      <c r="B26" s="112">
        <v>1.53020260302183e+22</v>
      </c>
      <c r="C26" s="112" t="s">
        <v>92</v>
      </c>
      <c r="D26" s="112" t="s">
        <v>51</v>
      </c>
      <c r="E26" s="112">
        <v>15992013346</v>
      </c>
      <c r="F26" s="112" t="s">
        <v>52</v>
      </c>
      <c r="G26" s="112">
        <v>350</v>
      </c>
      <c r="H26" s="113">
        <v>46083.772974537</v>
      </c>
      <c r="I26" s="112" t="s">
        <v>60</v>
      </c>
      <c r="J26" s="112" t="s">
        <v>93</v>
      </c>
      <c r="K26" s="112"/>
    </row>
    <row r="27" ht="15.75" spans="1:11">
      <c r="A27" s="112">
        <v>24</v>
      </c>
      <c r="B27" s="112">
        <v>1.53020260302182e+22</v>
      </c>
      <c r="C27" s="112" t="s">
        <v>94</v>
      </c>
      <c r="D27" s="112" t="s">
        <v>58</v>
      </c>
      <c r="E27" s="112">
        <v>18316018525</v>
      </c>
      <c r="F27" s="112" t="s">
        <v>52</v>
      </c>
      <c r="G27" s="112">
        <v>350</v>
      </c>
      <c r="H27" s="113">
        <v>46083.7687731481</v>
      </c>
      <c r="I27" s="112" t="s">
        <v>60</v>
      </c>
      <c r="J27" s="112" t="s">
        <v>95</v>
      </c>
      <c r="K27" s="112"/>
    </row>
    <row r="28" ht="15.75" spans="1:11">
      <c r="A28" s="112">
        <v>25</v>
      </c>
      <c r="B28" s="112">
        <v>1.53020260302182e+22</v>
      </c>
      <c r="C28" s="112" t="s">
        <v>96</v>
      </c>
      <c r="D28" s="112" t="s">
        <v>51</v>
      </c>
      <c r="E28" s="112">
        <v>18316018525</v>
      </c>
      <c r="F28" s="112" t="s">
        <v>52</v>
      </c>
      <c r="G28" s="112">
        <v>350</v>
      </c>
      <c r="H28" s="113">
        <v>46083.7679282407</v>
      </c>
      <c r="I28" s="112" t="s">
        <v>60</v>
      </c>
      <c r="J28" s="112" t="s">
        <v>95</v>
      </c>
      <c r="K28" s="112"/>
    </row>
    <row r="29" ht="15.75" spans="1:11">
      <c r="A29" s="112">
        <v>26</v>
      </c>
      <c r="B29" s="112">
        <v>1.5302026030218e+22</v>
      </c>
      <c r="C29" s="112" t="s">
        <v>97</v>
      </c>
      <c r="D29" s="112" t="s">
        <v>51</v>
      </c>
      <c r="E29" s="112">
        <v>15089731300</v>
      </c>
      <c r="F29" s="112" t="s">
        <v>52</v>
      </c>
      <c r="G29" s="112">
        <v>350</v>
      </c>
      <c r="H29" s="113">
        <v>46083.752337963</v>
      </c>
      <c r="I29" s="112" t="s">
        <v>60</v>
      </c>
      <c r="J29" s="112" t="s">
        <v>98</v>
      </c>
      <c r="K29" s="112"/>
    </row>
    <row r="30" ht="15.75" spans="1:11">
      <c r="A30" s="112">
        <v>27</v>
      </c>
      <c r="B30" s="112">
        <v>1.53020260302165e+22</v>
      </c>
      <c r="C30" s="112" t="s">
        <v>99</v>
      </c>
      <c r="D30" s="112" t="s">
        <v>100</v>
      </c>
      <c r="E30" s="112">
        <v>13570365007</v>
      </c>
      <c r="F30" s="112" t="s">
        <v>52</v>
      </c>
      <c r="G30" s="112">
        <v>350</v>
      </c>
      <c r="H30" s="113">
        <v>46083.702650463</v>
      </c>
      <c r="I30" s="112" t="s">
        <v>60</v>
      </c>
      <c r="J30" s="112"/>
      <c r="K30" s="112"/>
    </row>
    <row r="31" ht="15.75" spans="1:11">
      <c r="A31" s="112">
        <v>28</v>
      </c>
      <c r="B31" s="112">
        <v>1.53020260228133e+22</v>
      </c>
      <c r="C31" s="112" t="s">
        <v>101</v>
      </c>
      <c r="D31" s="112" t="s">
        <v>100</v>
      </c>
      <c r="E31" s="112">
        <v>13229504711</v>
      </c>
      <c r="F31" s="112" t="s">
        <v>52</v>
      </c>
      <c r="G31" s="112">
        <v>350</v>
      </c>
      <c r="H31" s="113">
        <v>46081.5647685185</v>
      </c>
      <c r="I31" s="112" t="s">
        <v>60</v>
      </c>
      <c r="J31" s="112" t="s">
        <v>102</v>
      </c>
      <c r="K31" s="112"/>
    </row>
    <row r="32" ht="15.75" spans="1:11">
      <c r="A32" s="112">
        <v>29</v>
      </c>
      <c r="B32" s="112">
        <v>1.53020260309174e+22</v>
      </c>
      <c r="C32" s="112" t="s">
        <v>103</v>
      </c>
      <c r="D32" s="112" t="s">
        <v>58</v>
      </c>
      <c r="E32" s="112">
        <v>15767560094</v>
      </c>
      <c r="F32" s="112" t="s">
        <v>52</v>
      </c>
      <c r="G32" s="112">
        <v>350</v>
      </c>
      <c r="H32" s="113">
        <v>46090.7409259259</v>
      </c>
      <c r="I32" s="112" t="s">
        <v>53</v>
      </c>
      <c r="J32" s="112" t="s">
        <v>104</v>
      </c>
      <c r="K32" s="112"/>
    </row>
    <row r="33" ht="15.75" spans="1:11">
      <c r="A33" s="112">
        <v>30</v>
      </c>
      <c r="B33" s="112">
        <v>1.53020260309171e+22</v>
      </c>
      <c r="C33" s="112" t="s">
        <v>105</v>
      </c>
      <c r="D33" s="112" t="s">
        <v>58</v>
      </c>
      <c r="E33" s="112">
        <v>18948940845</v>
      </c>
      <c r="F33" s="112" t="s">
        <v>52</v>
      </c>
      <c r="G33" s="112">
        <v>350</v>
      </c>
      <c r="H33" s="113">
        <v>46090.719537037</v>
      </c>
      <c r="I33" s="112" t="s">
        <v>53</v>
      </c>
      <c r="J33" s="112"/>
      <c r="K33" s="112"/>
    </row>
    <row r="34" ht="15.75" spans="1:11">
      <c r="A34" s="112">
        <v>31</v>
      </c>
      <c r="B34" s="112">
        <v>1.53020260307231e+22</v>
      </c>
      <c r="C34" s="112" t="s">
        <v>106</v>
      </c>
      <c r="D34" s="112" t="s">
        <v>100</v>
      </c>
      <c r="E34" s="112">
        <v>15019319994</v>
      </c>
      <c r="F34" s="112" t="s">
        <v>52</v>
      </c>
      <c r="G34" s="112">
        <v>350</v>
      </c>
      <c r="H34" s="113">
        <v>46088.9696412037</v>
      </c>
      <c r="I34" s="112" t="s">
        <v>53</v>
      </c>
      <c r="J34" s="112" t="s">
        <v>74</v>
      </c>
      <c r="K34" s="112"/>
    </row>
    <row r="35" ht="15.75" spans="1:11">
      <c r="A35" s="112">
        <v>32</v>
      </c>
      <c r="B35" s="112">
        <v>1.5302026031008e+22</v>
      </c>
      <c r="C35" s="112" t="s">
        <v>107</v>
      </c>
      <c r="D35" s="112" t="s">
        <v>51</v>
      </c>
      <c r="E35" s="112">
        <v>13679500801</v>
      </c>
      <c r="F35" s="112" t="s">
        <v>52</v>
      </c>
      <c r="G35" s="112">
        <v>350</v>
      </c>
      <c r="H35" s="113">
        <v>46091.3352314815</v>
      </c>
      <c r="I35" s="112" t="s">
        <v>53</v>
      </c>
      <c r="J35" s="112" t="s">
        <v>108</v>
      </c>
      <c r="K35" s="112"/>
    </row>
    <row r="36" ht="15.75" spans="1:11">
      <c r="A36" s="112">
        <v>33</v>
      </c>
      <c r="B36" s="112">
        <v>1.53020260309221e+22</v>
      </c>
      <c r="C36" s="112" t="s">
        <v>109</v>
      </c>
      <c r="D36" s="112" t="s">
        <v>51</v>
      </c>
      <c r="E36" s="112">
        <v>15914981662</v>
      </c>
      <c r="F36" s="112" t="s">
        <v>52</v>
      </c>
      <c r="G36" s="112">
        <v>350</v>
      </c>
      <c r="H36" s="113">
        <v>46090.928900463</v>
      </c>
      <c r="I36" s="112" t="s">
        <v>53</v>
      </c>
      <c r="J36" s="112" t="s">
        <v>98</v>
      </c>
      <c r="K36" s="112"/>
    </row>
    <row r="37" ht="15.75" spans="1:11">
      <c r="A37" s="112">
        <v>34</v>
      </c>
      <c r="B37" s="112">
        <v>1.53020260309211e+22</v>
      </c>
      <c r="C37" s="112" t="s">
        <v>110</v>
      </c>
      <c r="D37" s="112" t="s">
        <v>51</v>
      </c>
      <c r="E37" s="112">
        <v>13535962814</v>
      </c>
      <c r="F37" s="112" t="s">
        <v>52</v>
      </c>
      <c r="G37" s="112">
        <v>350</v>
      </c>
      <c r="H37" s="113">
        <v>46090.8888657407</v>
      </c>
      <c r="I37" s="112" t="s">
        <v>53</v>
      </c>
      <c r="J37" s="112" t="s">
        <v>98</v>
      </c>
      <c r="K37" s="112"/>
    </row>
    <row r="38" ht="15.75" spans="1:11">
      <c r="A38" s="112">
        <v>35</v>
      </c>
      <c r="B38" s="112">
        <v>1.53020260309195e+22</v>
      </c>
      <c r="C38" s="112" t="s">
        <v>111</v>
      </c>
      <c r="D38" s="112" t="s">
        <v>58</v>
      </c>
      <c r="E38" s="112">
        <v>13415241065</v>
      </c>
      <c r="F38" s="112" t="s">
        <v>52</v>
      </c>
      <c r="G38" s="112">
        <v>350</v>
      </c>
      <c r="H38" s="113">
        <v>46090.8265277778</v>
      </c>
      <c r="I38" s="112" t="s">
        <v>53</v>
      </c>
      <c r="J38" s="112"/>
      <c r="K38" s="112"/>
    </row>
    <row r="39" ht="15.75" spans="1:11">
      <c r="A39" s="112">
        <v>36</v>
      </c>
      <c r="B39" s="112">
        <v>1.53020260309194e+22</v>
      </c>
      <c r="C39" s="112" t="s">
        <v>112</v>
      </c>
      <c r="D39" s="112" t="s">
        <v>51</v>
      </c>
      <c r="E39" s="112">
        <v>13415241065</v>
      </c>
      <c r="F39" s="112" t="s">
        <v>52</v>
      </c>
      <c r="G39" s="112">
        <v>350</v>
      </c>
      <c r="H39" s="113">
        <v>46090.8241666667</v>
      </c>
      <c r="I39" s="112" t="s">
        <v>53</v>
      </c>
      <c r="J39" s="112"/>
      <c r="K39" s="112"/>
    </row>
    <row r="40" s="111" customFormat="1" ht="25" customHeight="1" spans="1:11">
      <c r="A40" s="112">
        <v>37</v>
      </c>
      <c r="B40" s="114" t="s">
        <v>113</v>
      </c>
      <c r="C40" s="114" t="s">
        <v>114</v>
      </c>
      <c r="D40" s="114" t="s">
        <v>58</v>
      </c>
      <c r="E40" s="114">
        <v>13824933431</v>
      </c>
      <c r="F40" s="114" t="s">
        <v>52</v>
      </c>
      <c r="G40" s="114">
        <v>350</v>
      </c>
      <c r="H40" s="114" t="s">
        <v>115</v>
      </c>
      <c r="I40" s="114"/>
      <c r="J40" s="114"/>
    </row>
    <row r="41" s="111" customFormat="1" ht="25" customHeight="1" spans="1:11">
      <c r="A41" s="112">
        <v>38</v>
      </c>
      <c r="B41" s="114" t="s">
        <v>116</v>
      </c>
      <c r="C41" s="114" t="s">
        <v>117</v>
      </c>
      <c r="D41" s="114" t="s">
        <v>58</v>
      </c>
      <c r="E41" s="114">
        <v>15767567651</v>
      </c>
      <c r="F41" s="114" t="s">
        <v>52</v>
      </c>
      <c r="G41" s="114">
        <v>350</v>
      </c>
      <c r="H41" s="114" t="s">
        <v>118</v>
      </c>
      <c r="I41" s="114" t="s">
        <v>119</v>
      </c>
      <c r="J41" s="114"/>
    </row>
    <row r="42" s="111" customFormat="1" ht="25" customHeight="1" spans="1:11">
      <c r="A42" s="112">
        <v>39</v>
      </c>
      <c r="B42" s="114" t="s">
        <v>120</v>
      </c>
      <c r="C42" s="114" t="s">
        <v>121</v>
      </c>
      <c r="D42" s="114" t="s">
        <v>51</v>
      </c>
      <c r="E42" s="114">
        <v>13076634791</v>
      </c>
      <c r="F42" s="114" t="s">
        <v>52</v>
      </c>
      <c r="G42" s="114">
        <v>350</v>
      </c>
      <c r="H42" s="114" t="s">
        <v>122</v>
      </c>
      <c r="I42" s="114" t="s">
        <v>123</v>
      </c>
      <c r="J42" s="114"/>
    </row>
    <row r="43" s="111" customFormat="1" ht="25" customHeight="1" spans="1:11">
      <c r="A43" s="112">
        <v>40</v>
      </c>
      <c r="B43" s="114" t="s">
        <v>124</v>
      </c>
      <c r="C43" s="114" t="s">
        <v>125</v>
      </c>
      <c r="D43" s="114" t="s">
        <v>58</v>
      </c>
      <c r="E43" s="114">
        <v>15915762263</v>
      </c>
      <c r="F43" s="114" t="s">
        <v>52</v>
      </c>
      <c r="G43" s="114">
        <v>350</v>
      </c>
      <c r="H43" s="114" t="s">
        <v>126</v>
      </c>
      <c r="I43" s="114"/>
      <c r="J43" s="114"/>
    </row>
    <row r="45" ht="15" spans="1:11">
      <c r="C45" s="114" t="s">
        <v>127</v>
      </c>
      <c r="D45" s="114" t="s">
        <v>58</v>
      </c>
      <c r="E45" s="114">
        <v>15816235711</v>
      </c>
      <c r="F45" s="114" t="s">
        <v>52</v>
      </c>
      <c r="G45" s="114">
        <v>350</v>
      </c>
      <c r="H45" s="114" t="s">
        <v>128</v>
      </c>
    </row>
    <row r="46" ht="15" spans="1:11">
      <c r="C46" s="115" t="s">
        <v>129</v>
      </c>
      <c r="D46" s="115" t="s">
        <v>130</v>
      </c>
      <c r="E46" s="114">
        <v>13631720115</v>
      </c>
      <c r="F46" s="114" t="s">
        <v>52</v>
      </c>
      <c r="G46" s="114">
        <v>350</v>
      </c>
      <c r="H46" s="114" t="s">
        <v>131</v>
      </c>
    </row>
  </sheetData>
  <mergeCells count="2">
    <mergeCell ref="A1:K1"/>
    <mergeCell ref="A2:K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A1" sqref="A1:AL1"/>
    </sheetView>
  </sheetViews>
  <sheetFormatPr defaultColWidth="10.2857142857143" defaultRowHeight="13.5"/>
  <cols>
    <col min="1" max="1" width="3.88571428571429" style="103" customWidth="1"/>
    <col min="2" max="2" width="13.7142857142857" style="103" customWidth="1"/>
    <col min="3" max="3" width="4.42857142857143" style="101" customWidth="1"/>
    <col min="4" max="6" width="4" style="101" customWidth="1"/>
    <col min="7" max="7" width="3.87619047619048" style="101" customWidth="1"/>
    <col min="8" max="12" width="4.28571428571429" style="101" customWidth="1"/>
    <col min="13" max="13" width="4.00952380952381" style="101" customWidth="1"/>
    <col min="14" max="14" width="4.28571428571429" style="101" customWidth="1"/>
    <col min="15" max="15" width="4.00952380952381" style="101" customWidth="1"/>
    <col min="16" max="16" width="3.87619047619048" style="101" customWidth="1"/>
    <col min="17" max="17" width="4.28571428571429" style="101" customWidth="1"/>
    <col min="18" max="19" width="4.14285714285714" style="101" customWidth="1"/>
    <col min="20" max="20" width="4.57142857142857" style="101" customWidth="1"/>
    <col min="21" max="25" width="4.14285714285714" style="101" customWidth="1"/>
    <col min="26" max="27" width="4.57142857142857" style="101" customWidth="1"/>
    <col min="28" max="28" width="4.16190476190476" style="101" customWidth="1"/>
    <col min="29" max="30" width="4.28571428571429" style="101" customWidth="1"/>
    <col min="31" max="31" width="4.00952380952381" style="101" customWidth="1"/>
    <col min="32" max="32" width="3.85714285714286" style="101" customWidth="1"/>
    <col min="33" max="34" width="4.28571428571429" style="101" customWidth="1"/>
    <col min="35" max="36" width="4.57142857142857" style="101" customWidth="1"/>
    <col min="37" max="37" width="4.28571428571429" style="101" customWidth="1"/>
    <col min="38" max="38" width="3.85714285714286" style="101" customWidth="1"/>
    <col min="39" max="16384" width="10.2857142857143" style="101"/>
  </cols>
  <sheetData>
    <row r="1" s="101" customFormat="1" ht="26" customHeight="1" spans="1:38">
      <c r="A1" s="98" t="s">
        <v>132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</row>
    <row r="2" s="101" customFormat="1" ht="26" customHeight="1" spans="1:38">
      <c r="A2" s="104" t="s">
        <v>133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</row>
    <row r="3" s="102" customFormat="1" ht="40" customHeight="1" spans="1:38">
      <c r="A3" s="105" t="s">
        <v>2</v>
      </c>
      <c r="B3" s="105" t="s">
        <v>134</v>
      </c>
      <c r="C3" s="99">
        <v>1</v>
      </c>
      <c r="D3" s="99">
        <v>2</v>
      </c>
      <c r="E3" s="99">
        <v>3</v>
      </c>
      <c r="F3" s="99">
        <v>4</v>
      </c>
      <c r="G3" s="99">
        <v>5</v>
      </c>
      <c r="H3" s="99">
        <v>6</v>
      </c>
      <c r="I3" s="99">
        <v>7</v>
      </c>
      <c r="J3" s="99">
        <v>8</v>
      </c>
      <c r="K3" s="99">
        <v>9</v>
      </c>
      <c r="L3" s="99">
        <v>10</v>
      </c>
      <c r="M3" s="99">
        <v>11</v>
      </c>
      <c r="N3" s="99">
        <v>12</v>
      </c>
      <c r="O3" s="99">
        <v>13</v>
      </c>
      <c r="P3" s="99">
        <v>14</v>
      </c>
      <c r="Q3" s="99">
        <v>15</v>
      </c>
      <c r="R3" s="99">
        <v>16</v>
      </c>
      <c r="S3" s="99">
        <v>17</v>
      </c>
      <c r="T3" s="99">
        <v>18</v>
      </c>
      <c r="U3" s="99">
        <v>19</v>
      </c>
      <c r="V3" s="99">
        <v>20</v>
      </c>
      <c r="W3" s="99">
        <v>21</v>
      </c>
      <c r="X3" s="99">
        <v>22</v>
      </c>
      <c r="Y3" s="99">
        <v>23</v>
      </c>
      <c r="Z3" s="99">
        <v>24</v>
      </c>
      <c r="AA3" s="99">
        <v>25</v>
      </c>
      <c r="AB3" s="99">
        <v>26</v>
      </c>
      <c r="AC3" s="99">
        <v>27</v>
      </c>
      <c r="AD3" s="99">
        <v>28</v>
      </c>
      <c r="AE3" s="99">
        <v>29</v>
      </c>
      <c r="AF3" s="99">
        <v>30</v>
      </c>
      <c r="AG3" s="99"/>
      <c r="AH3" s="99"/>
      <c r="AI3" s="99"/>
      <c r="AJ3" s="99"/>
      <c r="AK3" s="99"/>
      <c r="AL3" s="99"/>
    </row>
    <row r="4" s="101" customFormat="1" ht="25" customHeight="1" spans="1:38">
      <c r="A4" s="106">
        <v>1</v>
      </c>
      <c r="B4" s="107"/>
      <c r="C4" s="106"/>
      <c r="D4" s="106"/>
      <c r="E4" s="106"/>
      <c r="F4" s="106"/>
      <c r="G4" s="106"/>
      <c r="H4" s="106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</row>
    <row r="5" s="101" customFormat="1" ht="25" customHeight="1" spans="1:38">
      <c r="A5" s="106">
        <v>2</v>
      </c>
      <c r="B5" s="107"/>
      <c r="C5" s="106"/>
      <c r="D5" s="106"/>
      <c r="E5" s="106"/>
      <c r="F5" s="106"/>
      <c r="G5" s="106"/>
      <c r="H5" s="106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</row>
    <row r="6" s="101" customFormat="1" ht="25" customHeight="1" spans="1:38">
      <c r="A6" s="106">
        <v>3</v>
      </c>
      <c r="B6" s="107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</row>
    <row r="7" s="101" customFormat="1" ht="25" customHeight="1" spans="1:38">
      <c r="A7" s="106">
        <v>13</v>
      </c>
      <c r="B7" s="107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</row>
    <row r="8" s="101" customFormat="1" ht="25" customHeight="1" spans="1:38">
      <c r="A8" s="106">
        <v>14</v>
      </c>
      <c r="B8" s="107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</row>
    <row r="9" s="101" customFormat="1" ht="25" customHeight="1" spans="1:38">
      <c r="A9" s="106">
        <v>15</v>
      </c>
      <c r="B9" s="107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</row>
    <row r="10" s="101" customFormat="1" ht="25" customHeight="1" spans="1:38">
      <c r="A10" s="106">
        <v>16</v>
      </c>
      <c r="B10" s="107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</row>
    <row r="11" s="101" customFormat="1" ht="25" customHeight="1" spans="1:38">
      <c r="A11" s="106">
        <v>17</v>
      </c>
      <c r="B11" s="109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</row>
    <row r="12" s="101" customFormat="1" ht="25" customHeight="1" spans="1:38">
      <c r="A12" s="106">
        <v>18</v>
      </c>
      <c r="B12" s="109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</row>
    <row r="13" s="101" customFormat="1" ht="15" customHeight="1" spans="1:38">
      <c r="A13" s="110"/>
      <c r="B13" s="110"/>
    </row>
    <row r="14" s="101" customFormat="1" ht="15" customHeight="1" spans="1:38">
      <c r="A14" s="110"/>
      <c r="B14" s="110"/>
    </row>
    <row r="15" s="101" customFormat="1" ht="15" customHeight="1" spans="1:38">
      <c r="A15" s="110"/>
      <c r="B15" s="110"/>
    </row>
    <row r="16" s="101" customFormat="1" ht="15" customHeight="1" spans="1:38">
      <c r="A16" s="110"/>
      <c r="B16" s="110"/>
    </row>
    <row r="17" s="101" customFormat="1" ht="15" customHeight="1" spans="1:2">
      <c r="A17" s="110"/>
      <c r="B17" s="110"/>
    </row>
    <row r="18" s="101" customFormat="1" ht="15" customHeight="1" spans="1:2">
      <c r="A18" s="110"/>
      <c r="B18" s="110"/>
    </row>
    <row r="19" s="101" customFormat="1" ht="15" customHeight="1" spans="1:2">
      <c r="A19" s="110"/>
      <c r="B19" s="110"/>
    </row>
    <row r="20" s="101" customFormat="1" ht="15" customHeight="1" spans="1:2">
      <c r="A20" s="110"/>
      <c r="B20" s="110"/>
    </row>
    <row r="21" s="101" customFormat="1" ht="15" customHeight="1" spans="1:2">
      <c r="A21" s="110"/>
      <c r="B21" s="110"/>
    </row>
    <row r="22" s="101" customFormat="1" ht="15" customHeight="1" spans="1:2">
      <c r="A22" s="110"/>
      <c r="B22" s="110"/>
    </row>
    <row r="23" s="101" customFormat="1" ht="15" customHeight="1" spans="1:2">
      <c r="A23" s="110"/>
      <c r="B23" s="110"/>
    </row>
    <row r="24" s="101" customFormat="1" ht="15" customHeight="1" spans="1:2">
      <c r="A24" s="110"/>
      <c r="B24" s="110"/>
    </row>
    <row r="25" s="101" customFormat="1" ht="15" customHeight="1" spans="1:2">
      <c r="A25" s="110"/>
      <c r="B25" s="110"/>
    </row>
    <row r="26" s="101" customFormat="1" ht="15" customHeight="1" spans="1:2">
      <c r="A26" s="110"/>
      <c r="B26" s="110"/>
    </row>
    <row r="27" s="101" customFormat="1" ht="15" customHeight="1" spans="1:2">
      <c r="A27" s="110"/>
      <c r="B27" s="110"/>
    </row>
    <row r="28" s="101" customFormat="1" ht="15" customHeight="1" spans="1:2">
      <c r="A28" s="110"/>
      <c r="B28" s="110"/>
    </row>
    <row r="29" s="101" customFormat="1" ht="15" customHeight="1" spans="1:2">
      <c r="A29" s="110"/>
      <c r="B29" s="110"/>
    </row>
    <row r="30" s="101" customFormat="1" ht="15" customHeight="1" spans="1:2">
      <c r="A30" s="110"/>
      <c r="B30" s="110"/>
    </row>
    <row r="31" s="101" customFormat="1" ht="15" customHeight="1" spans="1:2">
      <c r="A31" s="110"/>
      <c r="B31" s="110"/>
    </row>
    <row r="32" s="101" customFormat="1" ht="15" customHeight="1" spans="1:2">
      <c r="A32" s="110"/>
      <c r="B32" s="110"/>
    </row>
    <row r="33" s="101" customFormat="1" ht="15" customHeight="1" spans="1:2">
      <c r="A33" s="110"/>
      <c r="B33" s="110"/>
    </row>
    <row r="34" s="101" customFormat="1" ht="15" customHeight="1" spans="1:2">
      <c r="A34" s="110"/>
      <c r="B34" s="110"/>
    </row>
    <row r="35" s="101" customFormat="1" ht="15" customHeight="1" spans="1:2">
      <c r="A35" s="110"/>
      <c r="B35" s="110"/>
    </row>
    <row r="36" s="101" customFormat="1" ht="15" customHeight="1" spans="1:2">
      <c r="A36" s="110"/>
      <c r="B36" s="110"/>
    </row>
    <row r="37" s="101" customFormat="1" ht="15" customHeight="1" spans="1:2">
      <c r="A37" s="110"/>
      <c r="B37" s="110"/>
    </row>
    <row r="38" s="101" customFormat="1" ht="15" customHeight="1" spans="1:2">
      <c r="A38" s="110"/>
      <c r="B38" s="110"/>
    </row>
    <row r="39" s="101" customFormat="1" ht="15" customHeight="1" spans="1:2">
      <c r="A39" s="110"/>
      <c r="B39" s="110"/>
    </row>
    <row r="40" s="101" customFormat="1" ht="15" customHeight="1" spans="1:2">
      <c r="A40" s="110"/>
      <c r="B40" s="110"/>
    </row>
    <row r="41" s="101" customFormat="1" ht="15" customHeight="1" spans="1:2">
      <c r="A41" s="110"/>
      <c r="B41" s="110"/>
    </row>
    <row r="42" s="101" customFormat="1" ht="15" customHeight="1" spans="1:2">
      <c r="A42" s="110"/>
      <c r="B42" s="110"/>
    </row>
    <row r="43" s="101" customFormat="1" ht="15" customHeight="1" spans="1:2">
      <c r="A43" s="110"/>
      <c r="B43" s="110"/>
    </row>
    <row r="44" s="101" customFormat="1" ht="15" customHeight="1" spans="1:2">
      <c r="A44" s="110"/>
      <c r="B44" s="110"/>
    </row>
    <row r="45" s="101" customFormat="1" ht="15" customHeight="1" spans="1:2">
      <c r="A45" s="110"/>
      <c r="B45" s="110"/>
    </row>
    <row r="46" s="101" customFormat="1" ht="15" customHeight="1" spans="1:2">
      <c r="A46" s="110"/>
      <c r="B46" s="110"/>
    </row>
    <row r="47" s="101" customFormat="1" ht="15" customHeight="1" spans="1:2">
      <c r="A47" s="110"/>
      <c r="B47" s="110"/>
    </row>
    <row r="48" s="101" customFormat="1" ht="15" customHeight="1" spans="1:2">
      <c r="A48" s="110"/>
      <c r="B48" s="110"/>
    </row>
    <row r="49" s="101" customFormat="1" ht="15" customHeight="1" spans="1:2">
      <c r="A49" s="110"/>
      <c r="B49" s="110"/>
    </row>
    <row r="50" s="101" customFormat="1" ht="15" customHeight="1" spans="1:2">
      <c r="A50" s="110"/>
      <c r="B50" s="110"/>
    </row>
    <row r="51" s="101" customFormat="1" ht="15" customHeight="1" spans="1:2">
      <c r="A51" s="110"/>
      <c r="B51" s="110"/>
    </row>
    <row r="52" s="101" customFormat="1" ht="15" customHeight="1" spans="1:2">
      <c r="A52" s="110"/>
      <c r="B52" s="110"/>
    </row>
    <row r="53" s="101" customFormat="1" ht="15" customHeight="1" spans="1:2">
      <c r="A53" s="110"/>
      <c r="B53" s="110"/>
    </row>
    <row r="54" s="101" customFormat="1" ht="15" customHeight="1" spans="1:2">
      <c r="A54" s="110"/>
      <c r="B54" s="110"/>
    </row>
    <row r="55" s="101" customFormat="1" ht="15" customHeight="1" spans="1:2">
      <c r="A55" s="110"/>
      <c r="B55" s="110"/>
    </row>
    <row r="56" s="101" customFormat="1" ht="15" customHeight="1" spans="1:2">
      <c r="A56" s="110"/>
      <c r="B56" s="110"/>
    </row>
    <row r="57" s="101" customFormat="1" ht="15" customHeight="1" spans="1:2">
      <c r="A57" s="110"/>
      <c r="B57" s="110"/>
    </row>
    <row r="58" s="101" customFormat="1" ht="15" customHeight="1" spans="1:2">
      <c r="A58" s="110"/>
      <c r="B58" s="110"/>
    </row>
    <row r="59" s="101" customFormat="1" ht="15" customHeight="1" spans="1:2">
      <c r="A59" s="110"/>
      <c r="B59" s="110"/>
    </row>
    <row r="60" s="101" customFormat="1" ht="15" customHeight="1" spans="1:2">
      <c r="A60" s="110"/>
      <c r="B60" s="110"/>
    </row>
    <row r="61" s="101" customFormat="1" ht="15" customHeight="1" spans="1:2">
      <c r="A61" s="110"/>
      <c r="B61" s="110"/>
    </row>
    <row r="62" s="101" customFormat="1" ht="15" customHeight="1" spans="1:2">
      <c r="A62" s="110"/>
      <c r="B62" s="110"/>
    </row>
    <row r="63" s="101" customFormat="1" ht="15" customHeight="1" spans="1:2">
      <c r="A63" s="110"/>
      <c r="B63" s="110"/>
    </row>
    <row r="64" s="101" customFormat="1" ht="15" customHeight="1" spans="1:2">
      <c r="A64" s="110"/>
      <c r="B64" s="110"/>
    </row>
    <row r="65" s="101" customFormat="1" ht="15" customHeight="1" spans="1:2">
      <c r="A65" s="110"/>
      <c r="B65" s="110"/>
    </row>
    <row r="66" s="101" customFormat="1" ht="15" customHeight="1" spans="1:2">
      <c r="A66" s="110"/>
      <c r="B66" s="110"/>
    </row>
    <row r="67" s="101" customFormat="1" ht="15" customHeight="1" spans="1:2">
      <c r="A67" s="110"/>
      <c r="B67" s="110"/>
    </row>
    <row r="68" s="101" customFormat="1" ht="15" customHeight="1" spans="1:2">
      <c r="A68" s="110"/>
      <c r="B68" s="110"/>
    </row>
    <row r="69" s="101" customFormat="1" ht="15" customHeight="1" spans="1:2">
      <c r="A69" s="110"/>
      <c r="B69" s="110"/>
    </row>
    <row r="70" s="101" customFormat="1" ht="15" customHeight="1" spans="1:2">
      <c r="A70" s="110"/>
      <c r="B70" s="110"/>
    </row>
    <row r="71" s="101" customFormat="1" spans="1:2">
      <c r="A71" s="103"/>
      <c r="B71" s="103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G29" sqref="G29"/>
    </sheetView>
  </sheetViews>
  <sheetFormatPr defaultColWidth="9.14285714285714" defaultRowHeight="12" outlineLevelCol="5"/>
  <cols>
    <col min="1" max="1" width="8.71428571428571" customWidth="1"/>
    <col min="2" max="2" width="14.4285714285714" customWidth="1"/>
    <col min="3" max="3" width="17" customWidth="1"/>
    <col min="4" max="4" width="20.8571428571429" customWidth="1"/>
    <col min="5" max="5" width="19.4285714285714" customWidth="1"/>
    <col min="6" max="6" width="20.8571428571429" customWidth="1"/>
  </cols>
  <sheetData>
    <row r="1" ht="38" customHeight="1" spans="1:6">
      <c r="A1" s="98" t="s">
        <v>135</v>
      </c>
      <c r="B1" s="98"/>
      <c r="C1" s="98"/>
      <c r="D1" s="98"/>
      <c r="E1" s="98"/>
      <c r="F1" s="98"/>
    </row>
    <row r="2" s="1" customFormat="1" ht="39" customHeight="1" spans="1:6">
      <c r="A2" s="7" t="s">
        <v>2</v>
      </c>
      <c r="B2" s="7" t="s">
        <v>136</v>
      </c>
      <c r="C2" s="7" t="s">
        <v>3</v>
      </c>
      <c r="D2" s="99" t="s">
        <v>137</v>
      </c>
      <c r="E2" s="7" t="s">
        <v>138</v>
      </c>
      <c r="F2" s="7" t="s">
        <v>7</v>
      </c>
    </row>
    <row r="3" ht="28" customHeight="1" spans="1:6">
      <c r="A3" s="15">
        <v>1</v>
      </c>
      <c r="B3" s="66">
        <v>46093</v>
      </c>
      <c r="C3" s="11" t="s">
        <v>13</v>
      </c>
      <c r="D3" s="76">
        <v>1</v>
      </c>
      <c r="E3" s="25"/>
      <c r="F3" s="13"/>
    </row>
    <row r="4" ht="28" customHeight="1" spans="1:6">
      <c r="A4" s="15">
        <v>2</v>
      </c>
      <c r="B4" s="66">
        <v>46093</v>
      </c>
      <c r="C4" s="11" t="s">
        <v>16</v>
      </c>
      <c r="D4" s="76">
        <v>1</v>
      </c>
      <c r="E4" s="25"/>
      <c r="F4" s="18"/>
    </row>
    <row r="5" ht="28" customHeight="1" spans="1:6">
      <c r="A5" s="15">
        <v>3</v>
      </c>
      <c r="B5" s="66">
        <v>46093</v>
      </c>
      <c r="C5" s="11" t="s">
        <v>17</v>
      </c>
      <c r="D5" s="76">
        <v>1</v>
      </c>
      <c r="E5" s="25"/>
      <c r="F5" s="18"/>
    </row>
    <row r="6" ht="28" customHeight="1" spans="1:6">
      <c r="A6" s="15">
        <v>4</v>
      </c>
      <c r="B6" s="66">
        <v>46093</v>
      </c>
      <c r="C6" s="11" t="s">
        <v>18</v>
      </c>
      <c r="D6" s="76">
        <v>1</v>
      </c>
      <c r="E6" s="25"/>
      <c r="F6" s="18"/>
    </row>
    <row r="7" ht="28" customHeight="1" spans="1:6">
      <c r="A7" s="15">
        <v>5</v>
      </c>
      <c r="B7" s="66">
        <v>46093</v>
      </c>
      <c r="C7" s="11" t="s">
        <v>20</v>
      </c>
      <c r="D7" s="76">
        <v>1</v>
      </c>
      <c r="E7" s="25"/>
      <c r="F7" s="18"/>
    </row>
    <row r="8" ht="28" customHeight="1" spans="1:6">
      <c r="A8" s="15">
        <v>6</v>
      </c>
      <c r="B8" s="66">
        <v>46093</v>
      </c>
      <c r="C8" s="11" t="s">
        <v>21</v>
      </c>
      <c r="D8" s="76">
        <v>1</v>
      </c>
      <c r="E8" s="25"/>
      <c r="F8" s="18"/>
    </row>
    <row r="9" ht="28" customHeight="1" spans="1:6">
      <c r="A9" s="15">
        <v>7</v>
      </c>
      <c r="B9" s="66">
        <v>46093</v>
      </c>
      <c r="C9" s="11" t="s">
        <v>22</v>
      </c>
      <c r="D9" s="76">
        <v>1</v>
      </c>
      <c r="E9" s="76"/>
      <c r="F9" s="20"/>
    </row>
    <row r="10" customFormat="1" ht="28" customHeight="1" spans="1:6">
      <c r="A10" s="15">
        <v>8</v>
      </c>
      <c r="B10" s="66">
        <v>46093</v>
      </c>
      <c r="C10" s="11" t="s">
        <v>23</v>
      </c>
      <c r="D10" s="76">
        <v>1</v>
      </c>
      <c r="E10" s="76"/>
      <c r="F10" s="20"/>
    </row>
    <row r="11" ht="28" customHeight="1" spans="1:6">
      <c r="A11" s="15">
        <v>9</v>
      </c>
      <c r="B11" s="66">
        <v>46093</v>
      </c>
      <c r="C11" s="11" t="s">
        <v>24</v>
      </c>
      <c r="D11" s="76">
        <v>1</v>
      </c>
      <c r="E11" s="76"/>
      <c r="F11" s="20"/>
    </row>
    <row r="12" ht="28" customHeight="1" spans="1:6">
      <c r="A12" s="15">
        <v>10</v>
      </c>
      <c r="B12" s="66">
        <v>46093</v>
      </c>
      <c r="C12" s="11" t="s">
        <v>25</v>
      </c>
      <c r="D12" s="76">
        <v>1</v>
      </c>
      <c r="E12" s="76"/>
      <c r="F12" s="20"/>
    </row>
    <row r="13" ht="28" customHeight="1" spans="1:6">
      <c r="A13" s="15">
        <v>11</v>
      </c>
      <c r="B13" s="66">
        <v>46093</v>
      </c>
      <c r="C13" s="11" t="s">
        <v>26</v>
      </c>
      <c r="D13" s="76">
        <v>1</v>
      </c>
      <c r="E13" s="76"/>
      <c r="F13" s="20"/>
    </row>
    <row r="14" ht="28" customHeight="1" spans="1:6">
      <c r="A14" s="15">
        <v>12</v>
      </c>
      <c r="B14" s="66">
        <v>46093</v>
      </c>
      <c r="C14" s="11" t="s">
        <v>27</v>
      </c>
      <c r="D14" s="76">
        <v>1</v>
      </c>
      <c r="E14" s="76"/>
      <c r="F14" s="20"/>
    </row>
    <row r="15" ht="28" customHeight="1" spans="1:6">
      <c r="A15" s="29"/>
      <c r="B15" s="30"/>
      <c r="C15" s="23" t="s">
        <v>28</v>
      </c>
      <c r="D15" s="76">
        <v>1</v>
      </c>
      <c r="E15" s="37"/>
      <c r="F15" s="100" t="s">
        <v>139</v>
      </c>
    </row>
    <row r="16" ht="28" customHeight="1" spans="1:6">
      <c r="A16" s="29"/>
      <c r="B16" s="30"/>
      <c r="C16" s="23" t="s">
        <v>29</v>
      </c>
      <c r="D16" s="76">
        <v>1</v>
      </c>
      <c r="E16" s="37"/>
      <c r="F16" s="100" t="s">
        <v>139</v>
      </c>
    </row>
    <row r="17" ht="28" customHeight="1" spans="1:6">
      <c r="A17" s="29"/>
      <c r="B17" s="30"/>
      <c r="C17" s="23" t="s">
        <v>30</v>
      </c>
      <c r="D17" s="76">
        <v>1</v>
      </c>
      <c r="E17" s="37"/>
      <c r="F17" s="100" t="s">
        <v>139</v>
      </c>
    </row>
    <row r="18" ht="28" customHeight="1" spans="1:6">
      <c r="A18" s="29"/>
      <c r="B18" s="30"/>
      <c r="C18" s="23" t="s">
        <v>31</v>
      </c>
      <c r="D18" s="76">
        <v>1</v>
      </c>
      <c r="E18" s="37"/>
      <c r="F18" s="100" t="s">
        <v>139</v>
      </c>
    </row>
    <row r="19" ht="28" customHeight="1" spans="1:6">
      <c r="A19" s="29"/>
      <c r="B19" s="30"/>
      <c r="C19" s="23" t="s">
        <v>32</v>
      </c>
      <c r="D19" s="76">
        <v>1</v>
      </c>
      <c r="E19" s="37"/>
      <c r="F19" s="100" t="s">
        <v>139</v>
      </c>
    </row>
    <row r="20" ht="18" customHeight="1" spans="1:6">
      <c r="C20" s="23" t="s">
        <v>33</v>
      </c>
      <c r="D20" s="76">
        <v>1</v>
      </c>
      <c r="F20" s="100" t="s">
        <v>139</v>
      </c>
    </row>
    <row r="21" ht="14.25" spans="1:6">
      <c r="C21" s="27" t="s">
        <v>34</v>
      </c>
      <c r="D21" s="76">
        <v>1</v>
      </c>
      <c r="F21" s="100" t="s">
        <v>139</v>
      </c>
    </row>
    <row r="22" ht="14.25" spans="1:6">
      <c r="C22" s="23" t="s">
        <v>35</v>
      </c>
      <c r="D22" s="76">
        <v>1</v>
      </c>
      <c r="F22" s="100" t="s">
        <v>139</v>
      </c>
    </row>
    <row r="23" ht="14.25" spans="1:6">
      <c r="C23" s="23" t="s">
        <v>36</v>
      </c>
      <c r="D23" s="76">
        <v>1</v>
      </c>
      <c r="F23" s="100" t="s">
        <v>139</v>
      </c>
    </row>
    <row r="24" spans="1:6">
      <c r="D24" s="14">
        <f>SUM(D15:D23)</f>
        <v>9</v>
      </c>
    </row>
  </sheetData>
  <mergeCells count="1">
    <mergeCell ref="A1:F1"/>
  </mergeCells>
  <pageMargins left="0.393055555555556" right="0.393055555555556" top="1" bottom="1" header="0.5" footer="0.5"/>
  <pageSetup paperSize="9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workbookViewId="0">
      <pane xSplit="3" ySplit="2" topLeftCell="D53" activePane="bottomRight" state="frozen"/>
      <selection/>
      <selection pane="topRight"/>
      <selection pane="bottomLeft"/>
      <selection pane="bottomRight" activeCell="O69" sqref="O69"/>
    </sheetView>
  </sheetViews>
  <sheetFormatPr defaultColWidth="9.14285714285714" defaultRowHeight="23" customHeight="1"/>
  <cols>
    <col min="1" max="1" width="6.28571428571429" style="78" customWidth="1"/>
    <col min="2" max="2" width="10.7142857142857" style="78" customWidth="1"/>
    <col min="3" max="3" width="10" style="78" customWidth="1"/>
    <col min="4" max="4" width="7.42857142857143" style="78" customWidth="1"/>
    <col min="5" max="8" width="10.2857142857143" style="78" customWidth="1"/>
    <col min="9" max="18" width="8.28571428571429" style="78" customWidth="1"/>
    <col min="19" max="23" width="7" style="78" customWidth="1"/>
    <col min="24" max="16384" width="9.14285714285714" style="78"/>
  </cols>
  <sheetData>
    <row r="1" s="79" customFormat="1" customHeight="1" spans="1:25">
      <c r="A1" s="81" t="s">
        <v>140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</row>
    <row r="2" s="80" customFormat="1" ht="20" customHeight="1" spans="1:25">
      <c r="A2" s="83" t="s">
        <v>2</v>
      </c>
      <c r="B2" s="83" t="s">
        <v>134</v>
      </c>
      <c r="C2" s="84" t="s">
        <v>141</v>
      </c>
      <c r="D2" s="85">
        <v>46090</v>
      </c>
      <c r="E2" s="85">
        <v>46093</v>
      </c>
      <c r="F2" s="85">
        <v>46097</v>
      </c>
      <c r="G2" s="86">
        <v>46100</v>
      </c>
      <c r="H2" s="86">
        <v>46104</v>
      </c>
      <c r="I2" s="86">
        <v>46107</v>
      </c>
      <c r="J2" s="86">
        <v>46111</v>
      </c>
      <c r="K2" s="86">
        <v>46114</v>
      </c>
      <c r="L2" s="86">
        <v>46119</v>
      </c>
      <c r="M2" s="86">
        <v>46121</v>
      </c>
      <c r="N2" s="86">
        <v>46125</v>
      </c>
      <c r="O2" s="86">
        <v>46128</v>
      </c>
      <c r="P2" s="86">
        <v>46132</v>
      </c>
      <c r="Q2" s="86">
        <v>46135</v>
      </c>
      <c r="R2" s="86"/>
      <c r="S2" s="86"/>
      <c r="T2" s="86"/>
      <c r="U2" s="86"/>
      <c r="V2" s="86"/>
      <c r="W2" s="86"/>
      <c r="X2" s="87" t="s">
        <v>142</v>
      </c>
      <c r="Y2" s="80" t="s">
        <v>143</v>
      </c>
    </row>
    <row r="3" s="78" customFormat="1" customHeight="1" spans="1:25">
      <c r="A3" s="88">
        <v>1</v>
      </c>
      <c r="B3" s="89" t="s">
        <v>13</v>
      </c>
      <c r="C3" s="90">
        <v>100</v>
      </c>
      <c r="D3" s="90">
        <v>3</v>
      </c>
      <c r="E3" s="90">
        <v>2</v>
      </c>
      <c r="F3" s="90">
        <v>3</v>
      </c>
      <c r="G3" s="90">
        <v>2</v>
      </c>
      <c r="H3" s="90">
        <v>3</v>
      </c>
      <c r="I3" s="90">
        <v>2</v>
      </c>
      <c r="J3" s="91">
        <v>3</v>
      </c>
      <c r="K3" s="90">
        <v>2</v>
      </c>
      <c r="L3" s="21">
        <v>3</v>
      </c>
      <c r="M3" s="90">
        <v>2</v>
      </c>
      <c r="N3" s="21">
        <v>3</v>
      </c>
      <c r="O3" s="90">
        <v>2</v>
      </c>
      <c r="P3" s="21">
        <v>3</v>
      </c>
      <c r="Q3" s="90">
        <v>2</v>
      </c>
      <c r="R3" s="90"/>
      <c r="S3" s="90"/>
      <c r="T3" s="90"/>
      <c r="U3" s="90"/>
      <c r="V3" s="90"/>
      <c r="W3" s="88"/>
      <c r="X3" s="88">
        <f>SUM(D3:W3)</f>
        <v>35</v>
      </c>
      <c r="Y3" s="78">
        <f>C3-X3</f>
        <v>65</v>
      </c>
    </row>
    <row r="4" s="78" customFormat="1" customHeight="1" spans="1:25">
      <c r="A4" s="88">
        <v>2</v>
      </c>
      <c r="B4" s="89" t="s">
        <v>16</v>
      </c>
      <c r="C4" s="90">
        <v>100</v>
      </c>
      <c r="D4" s="90">
        <v>3</v>
      </c>
      <c r="E4" s="90">
        <v>2</v>
      </c>
      <c r="F4" s="90">
        <v>3</v>
      </c>
      <c r="G4" s="90">
        <v>2</v>
      </c>
      <c r="H4" s="90">
        <v>3</v>
      </c>
      <c r="I4" s="90">
        <v>2</v>
      </c>
      <c r="J4" s="91">
        <v>3</v>
      </c>
      <c r="K4" s="90">
        <v>2</v>
      </c>
      <c r="L4" s="21">
        <v>3</v>
      </c>
      <c r="M4" s="90">
        <v>2</v>
      </c>
      <c r="N4" s="21">
        <v>3</v>
      </c>
      <c r="O4" s="90">
        <v>2</v>
      </c>
      <c r="P4" s="21">
        <v>3</v>
      </c>
      <c r="Q4" s="90">
        <v>2</v>
      </c>
      <c r="R4" s="90"/>
      <c r="S4" s="90"/>
      <c r="T4" s="90"/>
      <c r="U4" s="90"/>
      <c r="V4" s="90"/>
      <c r="W4" s="88"/>
      <c r="X4" s="88">
        <f t="shared" ref="X4:X35" si="0">SUM(D4:W4)</f>
        <v>35</v>
      </c>
      <c r="Y4" s="78">
        <f t="shared" ref="Y4:Y35" si="1">C4-X4</f>
        <v>65</v>
      </c>
    </row>
    <row r="5" s="78" customFormat="1" customHeight="1" spans="1:25">
      <c r="A5" s="88">
        <v>3</v>
      </c>
      <c r="B5" s="89" t="s">
        <v>17</v>
      </c>
      <c r="C5" s="90">
        <v>100</v>
      </c>
      <c r="D5" s="90">
        <v>3</v>
      </c>
      <c r="E5" s="90">
        <v>2</v>
      </c>
      <c r="F5" s="90">
        <v>3</v>
      </c>
      <c r="G5" s="90">
        <v>2</v>
      </c>
      <c r="H5" s="90">
        <v>3</v>
      </c>
      <c r="I5" s="90">
        <v>2</v>
      </c>
      <c r="J5" s="91">
        <v>3</v>
      </c>
      <c r="K5" s="90">
        <v>2</v>
      </c>
      <c r="L5" s="21">
        <v>3</v>
      </c>
      <c r="M5" s="90">
        <v>2</v>
      </c>
      <c r="N5" s="21">
        <v>3</v>
      </c>
      <c r="O5" s="90">
        <v>2</v>
      </c>
      <c r="P5" s="21">
        <v>3</v>
      </c>
      <c r="Q5" s="90">
        <v>2</v>
      </c>
      <c r="R5" s="90"/>
      <c r="S5" s="90"/>
      <c r="T5" s="90"/>
      <c r="U5" s="90"/>
      <c r="V5" s="90"/>
      <c r="W5" s="88"/>
      <c r="X5" s="88">
        <f t="shared" si="0"/>
        <v>35</v>
      </c>
      <c r="Y5" s="78">
        <f t="shared" si="1"/>
        <v>65</v>
      </c>
    </row>
    <row r="6" s="78" customFormat="1" customHeight="1" spans="1:25">
      <c r="A6" s="88">
        <v>4</v>
      </c>
      <c r="B6" s="89" t="s">
        <v>18</v>
      </c>
      <c r="C6" s="90">
        <v>100</v>
      </c>
      <c r="D6" s="90">
        <v>3</v>
      </c>
      <c r="E6" s="90">
        <v>2</v>
      </c>
      <c r="F6" s="90">
        <v>3</v>
      </c>
      <c r="G6" s="90">
        <v>2</v>
      </c>
      <c r="H6" s="90">
        <v>3</v>
      </c>
      <c r="I6" s="90">
        <v>2</v>
      </c>
      <c r="J6" s="91">
        <v>3</v>
      </c>
      <c r="K6" s="90">
        <v>2</v>
      </c>
      <c r="L6" s="21">
        <v>3</v>
      </c>
      <c r="M6" s="90">
        <v>2</v>
      </c>
      <c r="N6" s="21">
        <v>3</v>
      </c>
      <c r="O6" s="90">
        <v>2</v>
      </c>
      <c r="P6" s="21">
        <v>3</v>
      </c>
      <c r="Q6" s="90">
        <v>2</v>
      </c>
      <c r="R6" s="90"/>
      <c r="S6" s="90"/>
      <c r="T6" s="90"/>
      <c r="U6" s="90"/>
      <c r="V6" s="90"/>
      <c r="W6" s="88"/>
      <c r="X6" s="88">
        <f t="shared" si="0"/>
        <v>35</v>
      </c>
      <c r="Y6" s="78">
        <f t="shared" si="1"/>
        <v>65</v>
      </c>
    </row>
    <row r="7" s="78" customFormat="1" customHeight="1" spans="1:25">
      <c r="A7" s="88">
        <v>5</v>
      </c>
      <c r="B7" s="89" t="s">
        <v>20</v>
      </c>
      <c r="C7" s="90">
        <v>100</v>
      </c>
      <c r="D7" s="90">
        <v>3</v>
      </c>
      <c r="E7" s="90">
        <v>2</v>
      </c>
      <c r="F7" s="90">
        <v>3</v>
      </c>
      <c r="G7" s="90">
        <v>2</v>
      </c>
      <c r="H7" s="90">
        <v>3</v>
      </c>
      <c r="I7" s="90">
        <v>2</v>
      </c>
      <c r="J7" s="91">
        <v>3</v>
      </c>
      <c r="K7" s="90">
        <v>2</v>
      </c>
      <c r="L7" s="21">
        <v>3</v>
      </c>
      <c r="M7" s="90">
        <v>2</v>
      </c>
      <c r="N7" s="21">
        <v>3</v>
      </c>
      <c r="O7" s="90">
        <v>2</v>
      </c>
      <c r="P7" s="21">
        <v>3</v>
      </c>
      <c r="Q7" s="90">
        <v>2</v>
      </c>
      <c r="R7" s="90"/>
      <c r="S7" s="90"/>
      <c r="T7" s="90"/>
      <c r="U7" s="90"/>
      <c r="V7" s="90"/>
      <c r="W7" s="88"/>
      <c r="X7" s="88">
        <f t="shared" si="0"/>
        <v>35</v>
      </c>
      <c r="Y7" s="78">
        <f t="shared" si="1"/>
        <v>65</v>
      </c>
    </row>
    <row r="8" s="78" customFormat="1" customHeight="1" spans="1:25">
      <c r="A8" s="88">
        <v>6</v>
      </c>
      <c r="B8" s="89" t="s">
        <v>21</v>
      </c>
      <c r="C8" s="90">
        <v>100</v>
      </c>
      <c r="D8" s="90">
        <v>3</v>
      </c>
      <c r="E8" s="90">
        <v>2</v>
      </c>
      <c r="F8" s="90">
        <v>3</v>
      </c>
      <c r="G8" s="90">
        <v>2</v>
      </c>
      <c r="H8" s="90">
        <v>3</v>
      </c>
      <c r="I8" s="90">
        <v>2</v>
      </c>
      <c r="J8" s="91">
        <v>3</v>
      </c>
      <c r="K8" s="90">
        <v>2</v>
      </c>
      <c r="L8" s="21">
        <v>3</v>
      </c>
      <c r="M8" s="90">
        <v>2</v>
      </c>
      <c r="N8" s="21">
        <v>3</v>
      </c>
      <c r="O8" s="90">
        <v>2</v>
      </c>
      <c r="P8" s="21">
        <v>3</v>
      </c>
      <c r="Q8" s="90">
        <v>2</v>
      </c>
      <c r="R8" s="90"/>
      <c r="S8" s="90"/>
      <c r="T8" s="90"/>
      <c r="U8" s="90"/>
      <c r="V8" s="90"/>
      <c r="W8" s="88"/>
      <c r="X8" s="88">
        <f t="shared" si="0"/>
        <v>35</v>
      </c>
      <c r="Y8" s="78">
        <f t="shared" si="1"/>
        <v>65</v>
      </c>
    </row>
    <row r="9" s="78" customFormat="1" customHeight="1" spans="1:25">
      <c r="A9" s="88">
        <v>7</v>
      </c>
      <c r="B9" s="89" t="s">
        <v>22</v>
      </c>
      <c r="C9" s="90">
        <v>100</v>
      </c>
      <c r="D9" s="90">
        <v>3</v>
      </c>
      <c r="E9" s="90">
        <v>2</v>
      </c>
      <c r="F9" s="90">
        <v>3</v>
      </c>
      <c r="G9" s="90">
        <v>2</v>
      </c>
      <c r="H9" s="90">
        <v>3</v>
      </c>
      <c r="I9" s="90">
        <v>2</v>
      </c>
      <c r="J9" s="91">
        <v>3</v>
      </c>
      <c r="K9" s="90">
        <v>2</v>
      </c>
      <c r="L9" s="21">
        <v>3</v>
      </c>
      <c r="M9" s="90">
        <v>2</v>
      </c>
      <c r="N9" s="21">
        <v>3</v>
      </c>
      <c r="O9" s="90">
        <v>2</v>
      </c>
      <c r="P9" s="21">
        <v>3</v>
      </c>
      <c r="Q9" s="90">
        <v>2</v>
      </c>
      <c r="R9" s="90"/>
      <c r="S9" s="90"/>
      <c r="T9" s="90"/>
      <c r="U9" s="90"/>
      <c r="V9" s="90"/>
      <c r="W9" s="88"/>
      <c r="X9" s="88">
        <f t="shared" si="0"/>
        <v>35</v>
      </c>
      <c r="Y9" s="78">
        <f t="shared" si="1"/>
        <v>65</v>
      </c>
    </row>
    <row r="10" customHeight="1" spans="1:25">
      <c r="A10" s="88">
        <v>8</v>
      </c>
      <c r="B10" s="89" t="s">
        <v>23</v>
      </c>
      <c r="C10" s="90">
        <v>100</v>
      </c>
      <c r="D10" s="90">
        <v>3</v>
      </c>
      <c r="E10" s="90">
        <v>2</v>
      </c>
      <c r="F10" s="90">
        <v>3</v>
      </c>
      <c r="G10" s="90">
        <v>2</v>
      </c>
      <c r="H10" s="90">
        <v>3</v>
      </c>
      <c r="I10" s="90">
        <v>2</v>
      </c>
      <c r="J10" s="91">
        <v>3</v>
      </c>
      <c r="K10" s="90">
        <v>2</v>
      </c>
      <c r="L10" s="21">
        <v>3</v>
      </c>
      <c r="M10" s="90">
        <v>2</v>
      </c>
      <c r="N10" s="21">
        <v>3</v>
      </c>
      <c r="O10" s="90">
        <v>2</v>
      </c>
      <c r="P10" s="21">
        <v>3</v>
      </c>
      <c r="Q10" s="90">
        <v>2</v>
      </c>
      <c r="R10" s="90"/>
      <c r="S10" s="90"/>
      <c r="T10" s="90"/>
      <c r="U10" s="90"/>
      <c r="V10" s="90"/>
      <c r="W10" s="88"/>
      <c r="X10" s="88">
        <f t="shared" si="0"/>
        <v>35</v>
      </c>
      <c r="Y10" s="78">
        <f t="shared" si="1"/>
        <v>65</v>
      </c>
    </row>
    <row r="11" customHeight="1" spans="1:25">
      <c r="A11" s="88">
        <v>9</v>
      </c>
      <c r="B11" s="89" t="s">
        <v>24</v>
      </c>
      <c r="C11" s="90">
        <v>100</v>
      </c>
      <c r="D11" s="90">
        <v>3</v>
      </c>
      <c r="E11" s="90">
        <v>2</v>
      </c>
      <c r="F11" s="90">
        <v>3</v>
      </c>
      <c r="G11" s="90">
        <v>2</v>
      </c>
      <c r="H11" s="90">
        <v>3</v>
      </c>
      <c r="I11" s="90">
        <v>2</v>
      </c>
      <c r="J11" s="91">
        <v>3</v>
      </c>
      <c r="K11" s="90">
        <v>2</v>
      </c>
      <c r="L11" s="21">
        <v>3</v>
      </c>
      <c r="M11" s="90">
        <v>2</v>
      </c>
      <c r="N11" s="21">
        <v>3</v>
      </c>
      <c r="O11" s="90">
        <v>2</v>
      </c>
      <c r="P11" s="21">
        <v>3</v>
      </c>
      <c r="Q11" s="90">
        <v>2</v>
      </c>
      <c r="R11" s="90"/>
      <c r="S11" s="90"/>
      <c r="T11" s="90"/>
      <c r="U11" s="90"/>
      <c r="V11" s="90"/>
      <c r="W11" s="88"/>
      <c r="X11" s="88">
        <f t="shared" si="0"/>
        <v>35</v>
      </c>
      <c r="Y11" s="78">
        <f t="shared" si="1"/>
        <v>65</v>
      </c>
    </row>
    <row r="12" customHeight="1" spans="1:25">
      <c r="A12" s="88">
        <v>10</v>
      </c>
      <c r="B12" s="89" t="s">
        <v>25</v>
      </c>
      <c r="C12" s="90">
        <v>100</v>
      </c>
      <c r="D12" s="90">
        <v>3</v>
      </c>
      <c r="E12" s="90">
        <v>2</v>
      </c>
      <c r="F12" s="90">
        <v>3</v>
      </c>
      <c r="G12" s="90">
        <v>2</v>
      </c>
      <c r="H12" s="90">
        <v>3</v>
      </c>
      <c r="I12" s="90">
        <v>2</v>
      </c>
      <c r="J12" s="91">
        <v>3</v>
      </c>
      <c r="K12" s="90">
        <v>2</v>
      </c>
      <c r="L12" s="21">
        <v>3</v>
      </c>
      <c r="M12" s="90">
        <v>2</v>
      </c>
      <c r="N12" s="21">
        <v>3</v>
      </c>
      <c r="O12" s="90">
        <v>2</v>
      </c>
      <c r="P12" s="21">
        <v>3</v>
      </c>
      <c r="Q12" s="90">
        <v>2</v>
      </c>
      <c r="R12" s="90"/>
      <c r="S12" s="90"/>
      <c r="T12" s="90"/>
      <c r="U12" s="90"/>
      <c r="V12" s="90"/>
      <c r="W12" s="88"/>
      <c r="X12" s="88">
        <f t="shared" si="0"/>
        <v>35</v>
      </c>
      <c r="Y12" s="78">
        <f t="shared" si="1"/>
        <v>65</v>
      </c>
    </row>
    <row r="13" customHeight="1" spans="1:25">
      <c r="A13" s="88">
        <v>11</v>
      </c>
      <c r="B13" s="89" t="s">
        <v>26</v>
      </c>
      <c r="C13" s="90">
        <v>100</v>
      </c>
      <c r="D13" s="90">
        <v>3</v>
      </c>
      <c r="E13" s="90">
        <v>2</v>
      </c>
      <c r="F13" s="90">
        <v>3</v>
      </c>
      <c r="G13" s="90">
        <v>2</v>
      </c>
      <c r="H13" s="90">
        <v>3</v>
      </c>
      <c r="I13" s="90">
        <v>2</v>
      </c>
      <c r="J13" s="91">
        <v>3</v>
      </c>
      <c r="K13" s="90">
        <v>2</v>
      </c>
      <c r="L13" s="21">
        <v>3</v>
      </c>
      <c r="M13" s="90">
        <v>2</v>
      </c>
      <c r="N13" s="21">
        <v>3</v>
      </c>
      <c r="O13" s="90">
        <v>2</v>
      </c>
      <c r="P13" s="21">
        <v>3</v>
      </c>
      <c r="Q13" s="90">
        <v>2</v>
      </c>
      <c r="R13" s="90"/>
      <c r="S13" s="90"/>
      <c r="T13" s="90"/>
      <c r="U13" s="90"/>
      <c r="V13" s="90"/>
      <c r="W13" s="88"/>
      <c r="X13" s="88">
        <f t="shared" si="0"/>
        <v>35</v>
      </c>
      <c r="Y13" s="78">
        <f t="shared" si="1"/>
        <v>65</v>
      </c>
    </row>
    <row r="14" customHeight="1" spans="1:25">
      <c r="A14" s="88">
        <v>12</v>
      </c>
      <c r="B14" s="89" t="s">
        <v>27</v>
      </c>
      <c r="C14" s="90">
        <v>100</v>
      </c>
      <c r="D14" s="90">
        <v>3</v>
      </c>
      <c r="E14" s="90">
        <v>2</v>
      </c>
      <c r="F14" s="90">
        <v>3</v>
      </c>
      <c r="G14" s="90">
        <v>2</v>
      </c>
      <c r="H14" s="90">
        <v>3</v>
      </c>
      <c r="I14" s="90">
        <v>2</v>
      </c>
      <c r="J14" s="91">
        <v>3</v>
      </c>
      <c r="K14" s="90">
        <v>2</v>
      </c>
      <c r="L14" s="21">
        <v>3</v>
      </c>
      <c r="M14" s="90">
        <v>2</v>
      </c>
      <c r="N14" s="21">
        <v>3</v>
      </c>
      <c r="O14" s="90">
        <v>2</v>
      </c>
      <c r="P14" s="21">
        <v>3</v>
      </c>
      <c r="Q14" s="90">
        <v>2</v>
      </c>
      <c r="R14" s="90"/>
      <c r="S14" s="90"/>
      <c r="T14" s="90"/>
      <c r="U14" s="90"/>
      <c r="V14" s="90"/>
      <c r="W14" s="88"/>
      <c r="X14" s="88">
        <f t="shared" si="0"/>
        <v>35</v>
      </c>
      <c r="Y14" s="78">
        <f t="shared" si="1"/>
        <v>65</v>
      </c>
    </row>
    <row r="15" customHeight="1" spans="1:25">
      <c r="A15" s="88">
        <v>13</v>
      </c>
      <c r="B15" s="91" t="s">
        <v>28</v>
      </c>
      <c r="C15" s="90">
        <v>100</v>
      </c>
      <c r="D15" s="90">
        <v>0</v>
      </c>
      <c r="E15" s="90">
        <v>0</v>
      </c>
      <c r="F15" s="90">
        <v>6</v>
      </c>
      <c r="G15" s="90">
        <v>2</v>
      </c>
      <c r="H15" s="90">
        <v>3</v>
      </c>
      <c r="I15" s="90">
        <v>2</v>
      </c>
      <c r="J15" s="91">
        <v>3</v>
      </c>
      <c r="K15" s="90">
        <v>2</v>
      </c>
      <c r="L15" s="21">
        <v>3</v>
      </c>
      <c r="M15" s="90">
        <v>2</v>
      </c>
      <c r="N15" s="21">
        <v>3</v>
      </c>
      <c r="O15" s="90">
        <v>2</v>
      </c>
      <c r="P15" s="21">
        <v>3</v>
      </c>
      <c r="Q15" s="90">
        <v>2</v>
      </c>
      <c r="R15" s="90"/>
      <c r="S15" s="90"/>
      <c r="T15" s="90"/>
      <c r="U15" s="90"/>
      <c r="V15" s="90"/>
      <c r="W15" s="88"/>
      <c r="X15" s="88">
        <f t="shared" si="0"/>
        <v>33</v>
      </c>
      <c r="Y15" s="78">
        <f t="shared" si="1"/>
        <v>67</v>
      </c>
    </row>
    <row r="16" customHeight="1" spans="1:25">
      <c r="A16" s="88">
        <v>14</v>
      </c>
      <c r="B16" s="91" t="s">
        <v>29</v>
      </c>
      <c r="C16" s="90">
        <v>100</v>
      </c>
      <c r="D16" s="90">
        <v>0</v>
      </c>
      <c r="E16" s="90">
        <v>0</v>
      </c>
      <c r="F16" s="90">
        <v>6</v>
      </c>
      <c r="G16" s="90">
        <v>2</v>
      </c>
      <c r="H16" s="90">
        <v>3</v>
      </c>
      <c r="I16" s="90">
        <v>2</v>
      </c>
      <c r="J16" s="91">
        <v>3</v>
      </c>
      <c r="K16" s="90">
        <v>2</v>
      </c>
      <c r="L16" s="21">
        <v>3</v>
      </c>
      <c r="M16" s="90">
        <v>2</v>
      </c>
      <c r="N16" s="21">
        <v>3</v>
      </c>
      <c r="O16" s="90">
        <v>2</v>
      </c>
      <c r="P16" s="21">
        <v>3</v>
      </c>
      <c r="Q16" s="90">
        <v>2</v>
      </c>
      <c r="R16" s="90"/>
      <c r="S16" s="90"/>
      <c r="T16" s="90"/>
      <c r="U16" s="90"/>
      <c r="V16" s="90"/>
      <c r="W16" s="88"/>
      <c r="X16" s="88">
        <f t="shared" si="0"/>
        <v>33</v>
      </c>
      <c r="Y16" s="78">
        <f t="shared" si="1"/>
        <v>67</v>
      </c>
    </row>
    <row r="17" customHeight="1" spans="1:25">
      <c r="A17" s="88">
        <v>15</v>
      </c>
      <c r="B17" s="91" t="s">
        <v>30</v>
      </c>
      <c r="C17" s="90">
        <v>100</v>
      </c>
      <c r="D17" s="90">
        <v>0</v>
      </c>
      <c r="E17" s="90">
        <v>0</v>
      </c>
      <c r="F17" s="90">
        <v>6</v>
      </c>
      <c r="G17" s="90">
        <v>2</v>
      </c>
      <c r="H17" s="90">
        <v>3</v>
      </c>
      <c r="I17" s="90">
        <v>2</v>
      </c>
      <c r="J17" s="91">
        <v>3</v>
      </c>
      <c r="K17" s="90">
        <v>2</v>
      </c>
      <c r="L17" s="21">
        <v>3</v>
      </c>
      <c r="M17" s="90">
        <v>2</v>
      </c>
      <c r="N17" s="21">
        <v>3</v>
      </c>
      <c r="O17" s="90">
        <v>2</v>
      </c>
      <c r="P17" s="21">
        <v>3</v>
      </c>
      <c r="Q17" s="90">
        <v>2</v>
      </c>
      <c r="R17" s="90"/>
      <c r="S17" s="90"/>
      <c r="T17" s="90"/>
      <c r="U17" s="90"/>
      <c r="V17" s="90"/>
      <c r="W17" s="88"/>
      <c r="X17" s="88">
        <f t="shared" si="0"/>
        <v>33</v>
      </c>
      <c r="Y17" s="78">
        <f t="shared" si="1"/>
        <v>67</v>
      </c>
    </row>
    <row r="18" customHeight="1" spans="1:25">
      <c r="A18" s="88">
        <v>16</v>
      </c>
      <c r="B18" s="91" t="s">
        <v>31</v>
      </c>
      <c r="C18" s="90">
        <v>100</v>
      </c>
      <c r="D18" s="90">
        <v>0</v>
      </c>
      <c r="E18" s="90">
        <v>0</v>
      </c>
      <c r="F18" s="90">
        <v>6</v>
      </c>
      <c r="G18" s="90">
        <v>2</v>
      </c>
      <c r="H18" s="90">
        <v>3</v>
      </c>
      <c r="I18" s="90">
        <v>2</v>
      </c>
      <c r="J18" s="91">
        <v>3</v>
      </c>
      <c r="K18" s="90">
        <v>2</v>
      </c>
      <c r="L18" s="21">
        <v>3</v>
      </c>
      <c r="M18" s="90">
        <v>2</v>
      </c>
      <c r="N18" s="21">
        <v>3</v>
      </c>
      <c r="O18" s="90">
        <v>2</v>
      </c>
      <c r="P18" s="21">
        <v>3</v>
      </c>
      <c r="Q18" s="90">
        <v>2</v>
      </c>
      <c r="R18" s="90"/>
      <c r="S18" s="90"/>
      <c r="T18" s="90"/>
      <c r="U18" s="90"/>
      <c r="V18" s="90"/>
      <c r="W18" s="88"/>
      <c r="X18" s="88">
        <f t="shared" si="0"/>
        <v>33</v>
      </c>
      <c r="Y18" s="78">
        <f t="shared" si="1"/>
        <v>67</v>
      </c>
    </row>
    <row r="19" customHeight="1" spans="1:25">
      <c r="A19" s="88">
        <v>17</v>
      </c>
      <c r="B19" s="91" t="s">
        <v>32</v>
      </c>
      <c r="C19" s="90">
        <v>100</v>
      </c>
      <c r="D19" s="90">
        <v>0</v>
      </c>
      <c r="E19" s="90">
        <v>0</v>
      </c>
      <c r="F19" s="90">
        <v>6</v>
      </c>
      <c r="G19" s="90">
        <v>2</v>
      </c>
      <c r="H19" s="90">
        <v>3</v>
      </c>
      <c r="I19" s="90">
        <v>2</v>
      </c>
      <c r="J19" s="91">
        <v>3</v>
      </c>
      <c r="K19" s="90">
        <v>2</v>
      </c>
      <c r="L19" s="21">
        <v>3</v>
      </c>
      <c r="M19" s="90">
        <v>2</v>
      </c>
      <c r="N19" s="21">
        <v>3</v>
      </c>
      <c r="O19" s="90">
        <v>2</v>
      </c>
      <c r="P19" s="21">
        <v>3</v>
      </c>
      <c r="Q19" s="90">
        <v>2</v>
      </c>
      <c r="R19" s="90"/>
      <c r="S19" s="90"/>
      <c r="T19" s="90"/>
      <c r="U19" s="90"/>
      <c r="V19" s="90"/>
      <c r="W19" s="88"/>
      <c r="X19" s="88">
        <f t="shared" si="0"/>
        <v>33</v>
      </c>
      <c r="Y19" s="78">
        <f t="shared" si="1"/>
        <v>67</v>
      </c>
    </row>
    <row r="20" customHeight="1" spans="1:25">
      <c r="A20" s="88">
        <v>18</v>
      </c>
      <c r="B20" s="91" t="s">
        <v>33</v>
      </c>
      <c r="C20" s="90">
        <v>100</v>
      </c>
      <c r="D20" s="90">
        <v>0</v>
      </c>
      <c r="E20" s="90">
        <v>0</v>
      </c>
      <c r="F20" s="90">
        <v>6</v>
      </c>
      <c r="G20" s="90">
        <v>2</v>
      </c>
      <c r="H20" s="90">
        <v>3</v>
      </c>
      <c r="I20" s="90">
        <v>2</v>
      </c>
      <c r="J20" s="91">
        <v>3</v>
      </c>
      <c r="K20" s="90">
        <v>2</v>
      </c>
      <c r="L20" s="21">
        <v>3</v>
      </c>
      <c r="M20" s="90">
        <v>2</v>
      </c>
      <c r="N20" s="21">
        <v>3</v>
      </c>
      <c r="O20" s="90">
        <v>2</v>
      </c>
      <c r="P20" s="21">
        <v>3</v>
      </c>
      <c r="Q20" s="90">
        <v>2</v>
      </c>
      <c r="R20" s="90"/>
      <c r="S20" s="90"/>
      <c r="T20" s="90"/>
      <c r="U20" s="90"/>
      <c r="V20" s="90"/>
      <c r="W20" s="88"/>
      <c r="X20" s="88">
        <f t="shared" si="0"/>
        <v>33</v>
      </c>
      <c r="Y20" s="78">
        <f t="shared" si="1"/>
        <v>67</v>
      </c>
    </row>
    <row r="21" customHeight="1" spans="1:25">
      <c r="A21" s="88">
        <v>19</v>
      </c>
      <c r="B21" s="92" t="s">
        <v>34</v>
      </c>
      <c r="C21" s="90">
        <v>100</v>
      </c>
      <c r="D21" s="90">
        <v>0</v>
      </c>
      <c r="E21" s="90">
        <v>0</v>
      </c>
      <c r="F21" s="90">
        <v>6</v>
      </c>
      <c r="G21" s="90">
        <v>2</v>
      </c>
      <c r="H21" s="90">
        <v>3</v>
      </c>
      <c r="I21" s="90">
        <v>2</v>
      </c>
      <c r="J21" s="91">
        <v>3</v>
      </c>
      <c r="K21" s="90">
        <v>2</v>
      </c>
      <c r="L21" s="21">
        <v>3</v>
      </c>
      <c r="M21" s="90">
        <v>2</v>
      </c>
      <c r="N21" s="21">
        <v>3</v>
      </c>
      <c r="O21" s="90">
        <v>2</v>
      </c>
      <c r="P21" s="21">
        <v>3</v>
      </c>
      <c r="Q21" s="90">
        <v>2</v>
      </c>
      <c r="R21" s="90"/>
      <c r="S21" s="90"/>
      <c r="T21" s="90"/>
      <c r="U21" s="90"/>
      <c r="V21" s="90"/>
      <c r="W21" s="88"/>
      <c r="X21" s="88">
        <f t="shared" si="0"/>
        <v>33</v>
      </c>
      <c r="Y21" s="78">
        <f t="shared" si="1"/>
        <v>67</v>
      </c>
    </row>
    <row r="22" customHeight="1" spans="1:25">
      <c r="A22" s="88">
        <v>20</v>
      </c>
      <c r="B22" s="91" t="s">
        <v>35</v>
      </c>
      <c r="C22" s="90">
        <v>100</v>
      </c>
      <c r="D22" s="90">
        <v>0</v>
      </c>
      <c r="E22" s="90">
        <v>0</v>
      </c>
      <c r="F22" s="90">
        <v>6</v>
      </c>
      <c r="G22" s="90">
        <v>2</v>
      </c>
      <c r="H22" s="90">
        <v>3</v>
      </c>
      <c r="I22" s="90">
        <v>2</v>
      </c>
      <c r="J22" s="91">
        <v>3</v>
      </c>
      <c r="K22" s="90">
        <v>2</v>
      </c>
      <c r="L22" s="21">
        <v>3</v>
      </c>
      <c r="M22" s="90">
        <v>2</v>
      </c>
      <c r="N22" s="21">
        <v>3</v>
      </c>
      <c r="O22" s="90">
        <v>2</v>
      </c>
      <c r="P22" s="21">
        <v>3</v>
      </c>
      <c r="Q22" s="90">
        <v>2</v>
      </c>
      <c r="R22" s="90"/>
      <c r="S22" s="90"/>
      <c r="T22" s="90"/>
      <c r="U22" s="90"/>
      <c r="V22" s="90"/>
      <c r="W22" s="88"/>
      <c r="X22" s="88">
        <f t="shared" si="0"/>
        <v>33</v>
      </c>
      <c r="Y22" s="78">
        <f t="shared" si="1"/>
        <v>67</v>
      </c>
    </row>
    <row r="23" customHeight="1" spans="1:25">
      <c r="A23" s="88">
        <v>21</v>
      </c>
      <c r="B23" s="91" t="s">
        <v>36</v>
      </c>
      <c r="C23" s="90">
        <v>100</v>
      </c>
      <c r="D23" s="90">
        <v>0</v>
      </c>
      <c r="E23" s="90">
        <v>0</v>
      </c>
      <c r="F23" s="90">
        <v>9</v>
      </c>
      <c r="G23" s="90">
        <v>6</v>
      </c>
      <c r="H23" s="90">
        <v>9</v>
      </c>
      <c r="I23" s="89">
        <v>6</v>
      </c>
      <c r="J23" s="91">
        <v>9</v>
      </c>
      <c r="K23" s="89">
        <v>6</v>
      </c>
      <c r="L23" s="90">
        <v>9</v>
      </c>
      <c r="M23" s="90">
        <v>6</v>
      </c>
      <c r="N23" s="90">
        <v>9</v>
      </c>
      <c r="O23" s="90">
        <v>6</v>
      </c>
      <c r="P23" s="90">
        <v>9</v>
      </c>
      <c r="Q23" s="90">
        <v>6</v>
      </c>
      <c r="R23" s="90"/>
      <c r="S23" s="90"/>
      <c r="T23" s="90"/>
      <c r="U23" s="90"/>
      <c r="V23" s="90"/>
      <c r="W23" s="88"/>
      <c r="X23" s="88">
        <f t="shared" si="0"/>
        <v>90</v>
      </c>
      <c r="Y23" s="78">
        <f t="shared" si="1"/>
        <v>10</v>
      </c>
    </row>
    <row r="24" customHeight="1" spans="1:25">
      <c r="A24" s="88">
        <v>22</v>
      </c>
      <c r="B24" s="93" t="s">
        <v>50</v>
      </c>
      <c r="C24" s="90">
        <v>100</v>
      </c>
      <c r="D24" s="90">
        <v>3</v>
      </c>
      <c r="E24" s="90">
        <v>2</v>
      </c>
      <c r="F24" s="90">
        <v>3</v>
      </c>
      <c r="G24" s="90">
        <v>2</v>
      </c>
      <c r="H24" s="90">
        <v>3</v>
      </c>
      <c r="I24" s="90">
        <v>2</v>
      </c>
      <c r="J24" s="91">
        <v>3</v>
      </c>
      <c r="K24" s="90">
        <v>2</v>
      </c>
      <c r="L24" s="21">
        <v>3</v>
      </c>
      <c r="M24" s="90">
        <v>2</v>
      </c>
      <c r="N24" s="21">
        <v>3</v>
      </c>
      <c r="O24" s="90">
        <v>2</v>
      </c>
      <c r="P24" s="21">
        <v>3</v>
      </c>
      <c r="Q24" s="90">
        <v>2</v>
      </c>
      <c r="R24" s="90"/>
      <c r="S24" s="90"/>
      <c r="T24" s="90"/>
      <c r="U24" s="90"/>
      <c r="V24" s="90"/>
      <c r="W24" s="88"/>
      <c r="X24" s="88">
        <f t="shared" si="0"/>
        <v>35</v>
      </c>
      <c r="Y24" s="78">
        <f t="shared" si="1"/>
        <v>65</v>
      </c>
    </row>
    <row r="25" customHeight="1" spans="1:25">
      <c r="A25" s="88">
        <v>23</v>
      </c>
      <c r="B25" s="93" t="s">
        <v>55</v>
      </c>
      <c r="C25" s="90">
        <v>100</v>
      </c>
      <c r="D25" s="90">
        <v>3</v>
      </c>
      <c r="E25" s="90">
        <v>2</v>
      </c>
      <c r="F25" s="90">
        <v>3</v>
      </c>
      <c r="G25" s="90">
        <v>2</v>
      </c>
      <c r="H25" s="90">
        <v>3</v>
      </c>
      <c r="I25" s="90">
        <v>2</v>
      </c>
      <c r="J25" s="91">
        <v>3</v>
      </c>
      <c r="K25" s="90">
        <v>2</v>
      </c>
      <c r="L25" s="21">
        <v>3</v>
      </c>
      <c r="M25" s="90">
        <v>2</v>
      </c>
      <c r="N25" s="21">
        <v>3</v>
      </c>
      <c r="O25" s="90">
        <v>2</v>
      </c>
      <c r="P25" s="21">
        <v>3</v>
      </c>
      <c r="Q25" s="90">
        <v>2</v>
      </c>
      <c r="R25" s="90"/>
      <c r="S25" s="90"/>
      <c r="T25" s="90"/>
      <c r="U25" s="90"/>
      <c r="V25" s="90"/>
      <c r="W25" s="88"/>
      <c r="X25" s="88">
        <f t="shared" si="0"/>
        <v>35</v>
      </c>
      <c r="Y25" s="78">
        <f t="shared" si="1"/>
        <v>65</v>
      </c>
    </row>
    <row r="26" customHeight="1" spans="1:25">
      <c r="A26" s="88">
        <v>24</v>
      </c>
      <c r="B26" s="93" t="s">
        <v>57</v>
      </c>
      <c r="C26" s="90">
        <v>100</v>
      </c>
      <c r="D26" s="90">
        <v>3</v>
      </c>
      <c r="E26" s="90">
        <v>2</v>
      </c>
      <c r="F26" s="90">
        <v>3</v>
      </c>
      <c r="G26" s="90">
        <v>2</v>
      </c>
      <c r="H26" s="90">
        <v>3</v>
      </c>
      <c r="I26" s="90">
        <v>2</v>
      </c>
      <c r="J26" s="91">
        <v>3</v>
      </c>
      <c r="K26" s="90">
        <v>2</v>
      </c>
      <c r="L26" s="21">
        <v>3</v>
      </c>
      <c r="M26" s="90">
        <v>2</v>
      </c>
      <c r="N26" s="21">
        <v>3</v>
      </c>
      <c r="O26" s="90">
        <v>2</v>
      </c>
      <c r="P26" s="21">
        <v>3</v>
      </c>
      <c r="Q26" s="90">
        <v>2</v>
      </c>
      <c r="R26" s="90"/>
      <c r="S26" s="90"/>
      <c r="T26" s="90"/>
      <c r="U26" s="90"/>
      <c r="V26" s="90"/>
      <c r="W26" s="88"/>
      <c r="X26" s="88">
        <f t="shared" si="0"/>
        <v>35</v>
      </c>
      <c r="Y26" s="78">
        <f t="shared" si="1"/>
        <v>65</v>
      </c>
    </row>
    <row r="27" customHeight="1" spans="1:25">
      <c r="A27" s="88">
        <v>25</v>
      </c>
      <c r="B27" s="93" t="s">
        <v>59</v>
      </c>
      <c r="C27" s="90">
        <v>100</v>
      </c>
      <c r="D27" s="90">
        <v>3</v>
      </c>
      <c r="E27" s="90">
        <v>2</v>
      </c>
      <c r="F27" s="90">
        <v>3</v>
      </c>
      <c r="G27" s="90">
        <v>2</v>
      </c>
      <c r="H27" s="90">
        <v>3</v>
      </c>
      <c r="I27" s="90">
        <v>2</v>
      </c>
      <c r="J27" s="91">
        <v>3</v>
      </c>
      <c r="K27" s="90">
        <v>2</v>
      </c>
      <c r="L27" s="21">
        <v>3</v>
      </c>
      <c r="M27" s="90">
        <v>2</v>
      </c>
      <c r="N27" s="21">
        <v>3</v>
      </c>
      <c r="O27" s="90">
        <v>2</v>
      </c>
      <c r="P27" s="21">
        <v>3</v>
      </c>
      <c r="Q27" s="90">
        <v>2</v>
      </c>
      <c r="R27" s="90"/>
      <c r="S27" s="90"/>
      <c r="T27" s="90"/>
      <c r="U27" s="90"/>
      <c r="V27" s="90"/>
      <c r="W27" s="88"/>
      <c r="X27" s="88">
        <f t="shared" si="0"/>
        <v>35</v>
      </c>
      <c r="Y27" s="78">
        <f t="shared" si="1"/>
        <v>65</v>
      </c>
    </row>
    <row r="28" customHeight="1" spans="1:25">
      <c r="A28" s="88">
        <v>26</v>
      </c>
      <c r="B28" s="93" t="s">
        <v>62</v>
      </c>
      <c r="C28" s="90">
        <v>100</v>
      </c>
      <c r="D28" s="90">
        <v>3</v>
      </c>
      <c r="E28" s="90">
        <v>2</v>
      </c>
      <c r="F28" s="90">
        <v>3</v>
      </c>
      <c r="G28" s="90">
        <v>2</v>
      </c>
      <c r="H28" s="90">
        <v>3</v>
      </c>
      <c r="I28" s="90">
        <v>2</v>
      </c>
      <c r="J28" s="91">
        <v>3</v>
      </c>
      <c r="K28" s="90">
        <v>2</v>
      </c>
      <c r="L28" s="21">
        <v>3</v>
      </c>
      <c r="M28" s="90">
        <v>2</v>
      </c>
      <c r="N28" s="21">
        <v>3</v>
      </c>
      <c r="O28" s="90">
        <v>2</v>
      </c>
      <c r="P28" s="21">
        <v>3</v>
      </c>
      <c r="Q28" s="90">
        <v>2</v>
      </c>
      <c r="R28" s="90"/>
      <c r="S28" s="90"/>
      <c r="T28" s="90"/>
      <c r="U28" s="90"/>
      <c r="V28" s="90"/>
      <c r="W28" s="88"/>
      <c r="X28" s="88">
        <f t="shared" si="0"/>
        <v>35</v>
      </c>
      <c r="Y28" s="78">
        <f t="shared" si="1"/>
        <v>65</v>
      </c>
    </row>
    <row r="29" customHeight="1" spans="1:25">
      <c r="A29" s="88">
        <v>27</v>
      </c>
      <c r="B29" s="93" t="s">
        <v>64</v>
      </c>
      <c r="C29" s="90">
        <v>100</v>
      </c>
      <c r="D29" s="90">
        <v>3</v>
      </c>
      <c r="E29" s="90">
        <v>2</v>
      </c>
      <c r="F29" s="90">
        <v>3</v>
      </c>
      <c r="G29" s="90">
        <v>2</v>
      </c>
      <c r="H29" s="90">
        <v>3</v>
      </c>
      <c r="I29" s="90">
        <v>2</v>
      </c>
      <c r="J29" s="91">
        <v>3</v>
      </c>
      <c r="K29" s="90">
        <v>2</v>
      </c>
      <c r="L29" s="21">
        <v>3</v>
      </c>
      <c r="M29" s="90">
        <v>2</v>
      </c>
      <c r="N29" s="21">
        <v>3</v>
      </c>
      <c r="O29" s="90">
        <v>2</v>
      </c>
      <c r="P29" s="21">
        <v>3</v>
      </c>
      <c r="Q29" s="90">
        <v>2</v>
      </c>
      <c r="R29" s="90"/>
      <c r="S29" s="90"/>
      <c r="T29" s="90"/>
      <c r="U29" s="90"/>
      <c r="V29" s="90"/>
      <c r="W29" s="88"/>
      <c r="X29" s="88">
        <f t="shared" si="0"/>
        <v>35</v>
      </c>
      <c r="Y29" s="78">
        <f t="shared" si="1"/>
        <v>65</v>
      </c>
    </row>
    <row r="30" customHeight="1" spans="1:25">
      <c r="A30" s="88">
        <v>28</v>
      </c>
      <c r="B30" s="93" t="s">
        <v>66</v>
      </c>
      <c r="C30" s="90">
        <v>100</v>
      </c>
      <c r="D30" s="90">
        <v>3</v>
      </c>
      <c r="E30" s="90">
        <v>2</v>
      </c>
      <c r="F30" s="90">
        <v>3</v>
      </c>
      <c r="G30" s="90">
        <v>2</v>
      </c>
      <c r="H30" s="90">
        <v>3</v>
      </c>
      <c r="I30" s="90">
        <v>2</v>
      </c>
      <c r="J30" s="91">
        <v>3</v>
      </c>
      <c r="K30" s="90">
        <v>2</v>
      </c>
      <c r="L30" s="21">
        <v>3</v>
      </c>
      <c r="M30" s="90">
        <v>2</v>
      </c>
      <c r="N30" s="21">
        <v>3</v>
      </c>
      <c r="O30" s="90">
        <v>2</v>
      </c>
      <c r="P30" s="21">
        <v>3</v>
      </c>
      <c r="Q30" s="90">
        <v>2</v>
      </c>
      <c r="R30" s="90"/>
      <c r="S30" s="90"/>
      <c r="T30" s="90"/>
      <c r="U30" s="90"/>
      <c r="V30" s="90"/>
      <c r="W30" s="88"/>
      <c r="X30" s="88">
        <f t="shared" si="0"/>
        <v>35</v>
      </c>
      <c r="Y30" s="78">
        <f t="shared" si="1"/>
        <v>65</v>
      </c>
    </row>
    <row r="31" customHeight="1" spans="1:25">
      <c r="A31" s="88">
        <v>29</v>
      </c>
      <c r="B31" s="93" t="s">
        <v>68</v>
      </c>
      <c r="C31" s="90">
        <v>100</v>
      </c>
      <c r="D31" s="90">
        <v>3</v>
      </c>
      <c r="E31" s="90">
        <v>2</v>
      </c>
      <c r="F31" s="90">
        <v>3</v>
      </c>
      <c r="G31" s="90">
        <v>2</v>
      </c>
      <c r="H31" s="90">
        <v>3</v>
      </c>
      <c r="I31" s="90">
        <v>2</v>
      </c>
      <c r="J31" s="91">
        <v>3</v>
      </c>
      <c r="K31" s="90">
        <v>2</v>
      </c>
      <c r="L31" s="21">
        <v>3</v>
      </c>
      <c r="M31" s="90">
        <v>2</v>
      </c>
      <c r="N31" s="21">
        <v>3</v>
      </c>
      <c r="O31" s="90">
        <v>2</v>
      </c>
      <c r="P31" s="21">
        <v>3</v>
      </c>
      <c r="Q31" s="90">
        <v>2</v>
      </c>
      <c r="R31" s="90"/>
      <c r="S31" s="90"/>
      <c r="T31" s="90"/>
      <c r="U31" s="90"/>
      <c r="V31" s="90"/>
      <c r="W31" s="88"/>
      <c r="X31" s="88">
        <f t="shared" si="0"/>
        <v>35</v>
      </c>
      <c r="Y31" s="78">
        <f t="shared" si="1"/>
        <v>65</v>
      </c>
    </row>
    <row r="32" customHeight="1" spans="1:25">
      <c r="A32" s="88">
        <v>30</v>
      </c>
      <c r="B32" s="93" t="s">
        <v>69</v>
      </c>
      <c r="C32" s="90">
        <v>100</v>
      </c>
      <c r="D32" s="90">
        <v>3</v>
      </c>
      <c r="E32" s="90">
        <v>2</v>
      </c>
      <c r="F32" s="90">
        <v>3</v>
      </c>
      <c r="G32" s="90">
        <v>2</v>
      </c>
      <c r="H32" s="90">
        <v>3</v>
      </c>
      <c r="I32" s="90">
        <v>2</v>
      </c>
      <c r="J32" s="91">
        <v>3</v>
      </c>
      <c r="K32" s="90">
        <v>2</v>
      </c>
      <c r="L32" s="21">
        <v>3</v>
      </c>
      <c r="M32" s="90">
        <v>2</v>
      </c>
      <c r="N32" s="21">
        <v>3</v>
      </c>
      <c r="O32" s="90">
        <v>2</v>
      </c>
      <c r="P32" s="21">
        <v>3</v>
      </c>
      <c r="Q32" s="90">
        <v>2</v>
      </c>
      <c r="R32" s="90"/>
      <c r="S32" s="90"/>
      <c r="T32" s="90"/>
      <c r="U32" s="90"/>
      <c r="V32" s="90"/>
      <c r="W32" s="88"/>
      <c r="X32" s="88">
        <f t="shared" si="0"/>
        <v>35</v>
      </c>
      <c r="Y32" s="78">
        <f t="shared" si="1"/>
        <v>65</v>
      </c>
    </row>
    <row r="33" customHeight="1" spans="1:25">
      <c r="A33" s="88">
        <v>31</v>
      </c>
      <c r="B33" s="93" t="s">
        <v>71</v>
      </c>
      <c r="C33" s="90">
        <v>100</v>
      </c>
      <c r="D33" s="90">
        <v>3</v>
      </c>
      <c r="E33" s="90">
        <v>2</v>
      </c>
      <c r="F33" s="90">
        <v>3</v>
      </c>
      <c r="G33" s="90">
        <v>2</v>
      </c>
      <c r="H33" s="90">
        <v>3</v>
      </c>
      <c r="I33" s="90">
        <v>2</v>
      </c>
      <c r="J33" s="91">
        <v>3</v>
      </c>
      <c r="K33" s="90">
        <v>2</v>
      </c>
      <c r="L33" s="21">
        <v>3</v>
      </c>
      <c r="M33" s="90">
        <v>2</v>
      </c>
      <c r="N33" s="21">
        <v>3</v>
      </c>
      <c r="O33" s="90">
        <v>2</v>
      </c>
      <c r="P33" s="21">
        <v>3</v>
      </c>
      <c r="Q33" s="90">
        <v>2</v>
      </c>
      <c r="R33" s="90"/>
      <c r="S33" s="90"/>
      <c r="T33" s="90"/>
      <c r="U33" s="90"/>
      <c r="V33" s="90"/>
      <c r="W33" s="88"/>
      <c r="X33" s="88">
        <f t="shared" si="0"/>
        <v>35</v>
      </c>
      <c r="Y33" s="78">
        <f t="shared" si="1"/>
        <v>65</v>
      </c>
    </row>
    <row r="34" customHeight="1" spans="1:25">
      <c r="A34" s="88">
        <v>32</v>
      </c>
      <c r="B34" s="93" t="s">
        <v>73</v>
      </c>
      <c r="C34" s="90">
        <v>100</v>
      </c>
      <c r="D34" s="90">
        <v>3</v>
      </c>
      <c r="E34" s="90">
        <v>2</v>
      </c>
      <c r="F34" s="90">
        <v>3</v>
      </c>
      <c r="G34" s="90">
        <v>2</v>
      </c>
      <c r="H34" s="90">
        <v>3</v>
      </c>
      <c r="I34" s="90">
        <v>2</v>
      </c>
      <c r="J34" s="91">
        <v>3</v>
      </c>
      <c r="K34" s="90">
        <v>2</v>
      </c>
      <c r="L34" s="21">
        <v>3</v>
      </c>
      <c r="M34" s="90">
        <v>2</v>
      </c>
      <c r="N34" s="21">
        <v>3</v>
      </c>
      <c r="O34" s="90">
        <v>2</v>
      </c>
      <c r="P34" s="21">
        <v>3</v>
      </c>
      <c r="Q34" s="90">
        <v>2</v>
      </c>
      <c r="R34" s="90"/>
      <c r="S34" s="90"/>
      <c r="T34" s="90"/>
      <c r="U34" s="90"/>
      <c r="V34" s="90"/>
      <c r="W34" s="88"/>
      <c r="X34" s="88">
        <f t="shared" si="0"/>
        <v>35</v>
      </c>
      <c r="Y34" s="78">
        <f t="shared" si="1"/>
        <v>65</v>
      </c>
    </row>
    <row r="35" customHeight="1" spans="1:25">
      <c r="A35" s="88">
        <v>33</v>
      </c>
      <c r="B35" s="93" t="s">
        <v>75</v>
      </c>
      <c r="C35" s="90">
        <v>100</v>
      </c>
      <c r="D35" s="90">
        <v>3</v>
      </c>
      <c r="E35" s="90">
        <v>2</v>
      </c>
      <c r="F35" s="90">
        <v>3</v>
      </c>
      <c r="G35" s="90">
        <v>2</v>
      </c>
      <c r="H35" s="90">
        <v>3</v>
      </c>
      <c r="I35" s="90">
        <v>2</v>
      </c>
      <c r="J35" s="91">
        <v>3</v>
      </c>
      <c r="K35" s="90">
        <v>2</v>
      </c>
      <c r="L35" s="21">
        <v>3</v>
      </c>
      <c r="M35" s="90">
        <v>2</v>
      </c>
      <c r="N35" s="21">
        <v>3</v>
      </c>
      <c r="O35" s="90">
        <v>2</v>
      </c>
      <c r="P35" s="21">
        <v>3</v>
      </c>
      <c r="Q35" s="90">
        <v>2</v>
      </c>
      <c r="R35" s="90"/>
      <c r="S35" s="90"/>
      <c r="T35" s="90"/>
      <c r="U35" s="90"/>
      <c r="V35" s="90"/>
      <c r="W35" s="88"/>
      <c r="X35" s="88">
        <f t="shared" si="0"/>
        <v>35</v>
      </c>
      <c r="Y35" s="78">
        <f t="shared" si="1"/>
        <v>65</v>
      </c>
    </row>
    <row r="36" customHeight="1" spans="1:25">
      <c r="A36" s="88">
        <v>34</v>
      </c>
      <c r="B36" s="93" t="s">
        <v>77</v>
      </c>
      <c r="C36" s="90">
        <v>100</v>
      </c>
      <c r="D36" s="90">
        <v>3</v>
      </c>
      <c r="E36" s="90">
        <v>2</v>
      </c>
      <c r="F36" s="90">
        <v>3</v>
      </c>
      <c r="G36" s="90">
        <v>2</v>
      </c>
      <c r="H36" s="90">
        <v>3</v>
      </c>
      <c r="I36" s="90">
        <v>2</v>
      </c>
      <c r="J36" s="91">
        <v>3</v>
      </c>
      <c r="K36" s="90">
        <v>2</v>
      </c>
      <c r="L36" s="21">
        <v>3</v>
      </c>
      <c r="M36" s="90">
        <v>2</v>
      </c>
      <c r="N36" s="21">
        <v>3</v>
      </c>
      <c r="O36" s="90">
        <v>2</v>
      </c>
      <c r="P36" s="21">
        <v>3</v>
      </c>
      <c r="Q36" s="90">
        <v>2</v>
      </c>
      <c r="R36" s="90"/>
      <c r="S36" s="90"/>
      <c r="T36" s="90"/>
      <c r="U36" s="90"/>
      <c r="V36" s="90"/>
      <c r="W36" s="88"/>
      <c r="X36" s="88">
        <f t="shared" ref="X36:X65" si="2">SUM(D36:W36)</f>
        <v>35</v>
      </c>
      <c r="Y36" s="78">
        <f t="shared" ref="Y36:Y65" si="3">C36-X36</f>
        <v>65</v>
      </c>
    </row>
    <row r="37" customHeight="1" spans="1:25">
      <c r="A37" s="88">
        <v>35</v>
      </c>
      <c r="B37" s="93" t="s">
        <v>78</v>
      </c>
      <c r="C37" s="90">
        <v>100</v>
      </c>
      <c r="D37" s="90">
        <v>3</v>
      </c>
      <c r="E37" s="90">
        <v>2</v>
      </c>
      <c r="F37" s="90">
        <v>3</v>
      </c>
      <c r="G37" s="90">
        <v>2</v>
      </c>
      <c r="H37" s="90">
        <v>3</v>
      </c>
      <c r="I37" s="90">
        <v>2</v>
      </c>
      <c r="J37" s="91">
        <v>3</v>
      </c>
      <c r="K37" s="90">
        <v>2</v>
      </c>
      <c r="L37" s="21">
        <v>3</v>
      </c>
      <c r="M37" s="90">
        <v>2</v>
      </c>
      <c r="N37" s="21">
        <v>3</v>
      </c>
      <c r="O37" s="90">
        <v>2</v>
      </c>
      <c r="P37" s="21">
        <v>3</v>
      </c>
      <c r="Q37" s="90">
        <v>2</v>
      </c>
      <c r="R37" s="90"/>
      <c r="S37" s="90"/>
      <c r="T37" s="90"/>
      <c r="U37" s="90"/>
      <c r="V37" s="90"/>
      <c r="W37" s="88"/>
      <c r="X37" s="88">
        <f t="shared" si="2"/>
        <v>35</v>
      </c>
      <c r="Y37" s="78">
        <f t="shared" si="3"/>
        <v>65</v>
      </c>
    </row>
    <row r="38" customHeight="1" spans="1:25">
      <c r="A38" s="88">
        <v>36</v>
      </c>
      <c r="B38" s="93" t="s">
        <v>80</v>
      </c>
      <c r="C38" s="90">
        <v>100</v>
      </c>
      <c r="D38" s="90">
        <v>3</v>
      </c>
      <c r="E38" s="90">
        <v>2</v>
      </c>
      <c r="F38" s="90">
        <v>3</v>
      </c>
      <c r="G38" s="90">
        <v>2</v>
      </c>
      <c r="H38" s="90">
        <v>3</v>
      </c>
      <c r="I38" s="90">
        <v>2</v>
      </c>
      <c r="J38" s="91">
        <v>3</v>
      </c>
      <c r="K38" s="90">
        <v>2</v>
      </c>
      <c r="L38" s="21">
        <v>3</v>
      </c>
      <c r="M38" s="90">
        <v>2</v>
      </c>
      <c r="N38" s="21">
        <v>3</v>
      </c>
      <c r="O38" s="90">
        <v>2</v>
      </c>
      <c r="P38" s="21">
        <v>3</v>
      </c>
      <c r="Q38" s="90">
        <v>2</v>
      </c>
      <c r="R38" s="90"/>
      <c r="S38" s="90"/>
      <c r="T38" s="90"/>
      <c r="U38" s="90"/>
      <c r="V38" s="90"/>
      <c r="W38" s="88"/>
      <c r="X38" s="88">
        <f t="shared" si="2"/>
        <v>35</v>
      </c>
      <c r="Y38" s="78">
        <f t="shared" si="3"/>
        <v>65</v>
      </c>
    </row>
    <row r="39" customHeight="1" spans="1:25">
      <c r="A39" s="88">
        <v>37</v>
      </c>
      <c r="B39" s="93" t="s">
        <v>82</v>
      </c>
      <c r="C39" s="90">
        <v>100</v>
      </c>
      <c r="D39" s="90">
        <v>3</v>
      </c>
      <c r="E39" s="90">
        <v>2</v>
      </c>
      <c r="F39" s="90">
        <v>3</v>
      </c>
      <c r="G39" s="90">
        <v>2</v>
      </c>
      <c r="H39" s="90">
        <v>3</v>
      </c>
      <c r="I39" s="90">
        <v>2</v>
      </c>
      <c r="J39" s="91">
        <v>3</v>
      </c>
      <c r="K39" s="90">
        <v>2</v>
      </c>
      <c r="L39" s="21">
        <v>3</v>
      </c>
      <c r="M39" s="90">
        <v>2</v>
      </c>
      <c r="N39" s="21">
        <v>3</v>
      </c>
      <c r="O39" s="90">
        <v>2</v>
      </c>
      <c r="P39" s="21">
        <v>3</v>
      </c>
      <c r="Q39" s="90">
        <v>2</v>
      </c>
      <c r="R39" s="90"/>
      <c r="S39" s="90"/>
      <c r="T39" s="90"/>
      <c r="U39" s="90"/>
      <c r="V39" s="90"/>
      <c r="W39" s="88"/>
      <c r="X39" s="88">
        <f t="shared" si="2"/>
        <v>35</v>
      </c>
      <c r="Y39" s="78">
        <f t="shared" si="3"/>
        <v>65</v>
      </c>
    </row>
    <row r="40" customHeight="1" spans="1:25">
      <c r="A40" s="88">
        <v>38</v>
      </c>
      <c r="B40" s="93" t="s">
        <v>84</v>
      </c>
      <c r="C40" s="90">
        <v>100</v>
      </c>
      <c r="D40" s="90">
        <v>3</v>
      </c>
      <c r="E40" s="90">
        <v>2</v>
      </c>
      <c r="F40" s="90">
        <v>3</v>
      </c>
      <c r="G40" s="90">
        <v>2</v>
      </c>
      <c r="H40" s="90">
        <v>3</v>
      </c>
      <c r="I40" s="90">
        <v>2</v>
      </c>
      <c r="J40" s="91">
        <v>3</v>
      </c>
      <c r="K40" s="90">
        <v>2</v>
      </c>
      <c r="L40" s="21">
        <v>3</v>
      </c>
      <c r="M40" s="90">
        <v>2</v>
      </c>
      <c r="N40" s="21">
        <v>3</v>
      </c>
      <c r="O40" s="90">
        <v>2</v>
      </c>
      <c r="P40" s="21">
        <v>3</v>
      </c>
      <c r="Q40" s="90">
        <v>2</v>
      </c>
      <c r="R40" s="90"/>
      <c r="S40" s="90"/>
      <c r="T40" s="90"/>
      <c r="U40" s="90"/>
      <c r="V40" s="90"/>
      <c r="W40" s="88"/>
      <c r="X40" s="88">
        <f t="shared" si="2"/>
        <v>35</v>
      </c>
      <c r="Y40" s="78">
        <f t="shared" si="3"/>
        <v>65</v>
      </c>
    </row>
    <row r="41" customHeight="1" spans="1:25">
      <c r="A41" s="88">
        <v>39</v>
      </c>
      <c r="B41" s="93" t="s">
        <v>85</v>
      </c>
      <c r="C41" s="90">
        <v>100</v>
      </c>
      <c r="D41" s="90">
        <v>3</v>
      </c>
      <c r="E41" s="90">
        <v>2</v>
      </c>
      <c r="F41" s="90">
        <v>3</v>
      </c>
      <c r="G41" s="90">
        <v>2</v>
      </c>
      <c r="H41" s="90">
        <v>3</v>
      </c>
      <c r="I41" s="90">
        <v>2</v>
      </c>
      <c r="J41" s="91">
        <v>3</v>
      </c>
      <c r="K41" s="90">
        <v>2</v>
      </c>
      <c r="L41" s="21">
        <v>3</v>
      </c>
      <c r="M41" s="90">
        <v>2</v>
      </c>
      <c r="N41" s="21">
        <v>3</v>
      </c>
      <c r="O41" s="90">
        <v>2</v>
      </c>
      <c r="P41" s="21">
        <v>3</v>
      </c>
      <c r="Q41" s="90">
        <v>2</v>
      </c>
      <c r="R41" s="90"/>
      <c r="S41" s="90"/>
      <c r="T41" s="90"/>
      <c r="U41" s="90"/>
      <c r="V41" s="90"/>
      <c r="W41" s="88"/>
      <c r="X41" s="88">
        <f t="shared" si="2"/>
        <v>35</v>
      </c>
      <c r="Y41" s="78">
        <f t="shared" si="3"/>
        <v>65</v>
      </c>
    </row>
    <row r="42" customHeight="1" spans="1:25">
      <c r="A42" s="88">
        <v>40</v>
      </c>
      <c r="B42" s="93" t="s">
        <v>87</v>
      </c>
      <c r="C42" s="90">
        <v>100</v>
      </c>
      <c r="D42" s="90">
        <v>3</v>
      </c>
      <c r="E42" s="90">
        <v>2</v>
      </c>
      <c r="F42" s="90">
        <v>3</v>
      </c>
      <c r="G42" s="90">
        <v>2</v>
      </c>
      <c r="H42" s="90">
        <v>3</v>
      </c>
      <c r="I42" s="90">
        <v>2</v>
      </c>
      <c r="J42" s="91">
        <v>3</v>
      </c>
      <c r="K42" s="90">
        <v>2</v>
      </c>
      <c r="L42" s="21">
        <v>3</v>
      </c>
      <c r="M42" s="90">
        <v>2</v>
      </c>
      <c r="N42" s="21">
        <v>3</v>
      </c>
      <c r="O42" s="90">
        <v>2</v>
      </c>
      <c r="P42" s="21">
        <v>3</v>
      </c>
      <c r="Q42" s="90">
        <v>2</v>
      </c>
      <c r="R42" s="90"/>
      <c r="S42" s="90"/>
      <c r="T42" s="90"/>
      <c r="U42" s="90"/>
      <c r="V42" s="90"/>
      <c r="W42" s="88"/>
      <c r="X42" s="88">
        <f t="shared" si="2"/>
        <v>35</v>
      </c>
      <c r="Y42" s="78">
        <f t="shared" si="3"/>
        <v>65</v>
      </c>
    </row>
    <row r="43" customHeight="1" spans="1:25">
      <c r="A43" s="88">
        <v>41</v>
      </c>
      <c r="B43" s="93" t="s">
        <v>89</v>
      </c>
      <c r="C43" s="90">
        <v>100</v>
      </c>
      <c r="D43" s="90">
        <v>3</v>
      </c>
      <c r="E43" s="90">
        <v>2</v>
      </c>
      <c r="F43" s="90">
        <v>3</v>
      </c>
      <c r="G43" s="90">
        <v>2</v>
      </c>
      <c r="H43" s="90">
        <v>3</v>
      </c>
      <c r="I43" s="90">
        <v>2</v>
      </c>
      <c r="J43" s="91">
        <v>3</v>
      </c>
      <c r="K43" s="90">
        <v>2</v>
      </c>
      <c r="L43" s="21">
        <v>3</v>
      </c>
      <c r="M43" s="90">
        <v>2</v>
      </c>
      <c r="N43" s="21">
        <v>3</v>
      </c>
      <c r="O43" s="90">
        <v>2</v>
      </c>
      <c r="P43" s="21">
        <v>3</v>
      </c>
      <c r="Q43" s="90">
        <v>2</v>
      </c>
      <c r="R43" s="90"/>
      <c r="S43" s="90"/>
      <c r="T43" s="90"/>
      <c r="U43" s="90"/>
      <c r="V43" s="90"/>
      <c r="W43" s="88"/>
      <c r="X43" s="88">
        <f t="shared" si="2"/>
        <v>35</v>
      </c>
      <c r="Y43" s="78">
        <f t="shared" si="3"/>
        <v>65</v>
      </c>
    </row>
    <row r="44" customHeight="1" spans="1:25">
      <c r="A44" s="88">
        <v>42</v>
      </c>
      <c r="B44" s="93" t="s">
        <v>90</v>
      </c>
      <c r="C44" s="90">
        <v>100</v>
      </c>
      <c r="D44" s="90">
        <v>3</v>
      </c>
      <c r="E44" s="90">
        <v>2</v>
      </c>
      <c r="F44" s="90">
        <v>3</v>
      </c>
      <c r="G44" s="90">
        <v>2</v>
      </c>
      <c r="H44" s="90">
        <v>3</v>
      </c>
      <c r="I44" s="90">
        <v>2</v>
      </c>
      <c r="J44" s="91">
        <v>3</v>
      </c>
      <c r="K44" s="90">
        <v>2</v>
      </c>
      <c r="L44" s="21">
        <v>3</v>
      </c>
      <c r="M44" s="90">
        <v>2</v>
      </c>
      <c r="N44" s="21">
        <v>3</v>
      </c>
      <c r="O44" s="90">
        <v>2</v>
      </c>
      <c r="P44" s="21">
        <v>3</v>
      </c>
      <c r="Q44" s="90">
        <v>2</v>
      </c>
      <c r="R44" s="90"/>
      <c r="S44" s="90"/>
      <c r="T44" s="90"/>
      <c r="U44" s="90"/>
      <c r="V44" s="90"/>
      <c r="W44" s="88"/>
      <c r="X44" s="88">
        <f t="shared" si="2"/>
        <v>35</v>
      </c>
      <c r="Y44" s="78">
        <f t="shared" si="3"/>
        <v>65</v>
      </c>
    </row>
    <row r="45" customHeight="1" spans="1:25">
      <c r="A45" s="88">
        <v>43</v>
      </c>
      <c r="B45" s="93" t="s">
        <v>91</v>
      </c>
      <c r="C45" s="90">
        <v>100</v>
      </c>
      <c r="D45" s="90">
        <v>3</v>
      </c>
      <c r="E45" s="90">
        <v>2</v>
      </c>
      <c r="F45" s="90">
        <v>3</v>
      </c>
      <c r="G45" s="90">
        <v>2</v>
      </c>
      <c r="H45" s="90">
        <v>3</v>
      </c>
      <c r="I45" s="90">
        <v>2</v>
      </c>
      <c r="J45" s="91">
        <v>3</v>
      </c>
      <c r="K45" s="90">
        <v>2</v>
      </c>
      <c r="L45" s="21">
        <v>3</v>
      </c>
      <c r="M45" s="90">
        <v>2</v>
      </c>
      <c r="N45" s="21">
        <v>3</v>
      </c>
      <c r="O45" s="90">
        <v>2</v>
      </c>
      <c r="P45" s="21">
        <v>3</v>
      </c>
      <c r="Q45" s="90">
        <v>2</v>
      </c>
      <c r="R45" s="90"/>
      <c r="S45" s="90"/>
      <c r="T45" s="90"/>
      <c r="U45" s="90"/>
      <c r="V45" s="90"/>
      <c r="W45" s="88"/>
      <c r="X45" s="88">
        <f t="shared" si="2"/>
        <v>35</v>
      </c>
      <c r="Y45" s="78">
        <f t="shared" si="3"/>
        <v>65</v>
      </c>
    </row>
    <row r="46" customHeight="1" spans="1:25">
      <c r="A46" s="88">
        <v>44</v>
      </c>
      <c r="B46" s="93" t="s">
        <v>92</v>
      </c>
      <c r="C46" s="90">
        <v>100</v>
      </c>
      <c r="D46" s="90">
        <v>3</v>
      </c>
      <c r="E46" s="90">
        <v>2</v>
      </c>
      <c r="F46" s="90">
        <v>3</v>
      </c>
      <c r="G46" s="90">
        <v>2</v>
      </c>
      <c r="H46" s="90">
        <v>3</v>
      </c>
      <c r="I46" s="90">
        <v>2</v>
      </c>
      <c r="J46" s="91">
        <v>3</v>
      </c>
      <c r="K46" s="90">
        <v>2</v>
      </c>
      <c r="L46" s="21">
        <v>3</v>
      </c>
      <c r="M46" s="90">
        <v>2</v>
      </c>
      <c r="N46" s="21">
        <v>3</v>
      </c>
      <c r="O46" s="90">
        <v>2</v>
      </c>
      <c r="P46" s="21">
        <v>3</v>
      </c>
      <c r="Q46" s="90">
        <v>2</v>
      </c>
      <c r="R46" s="90"/>
      <c r="S46" s="90"/>
      <c r="T46" s="90"/>
      <c r="U46" s="90"/>
      <c r="V46" s="90"/>
      <c r="W46" s="88"/>
      <c r="X46" s="88">
        <f t="shared" si="2"/>
        <v>35</v>
      </c>
      <c r="Y46" s="78">
        <f t="shared" si="3"/>
        <v>65</v>
      </c>
    </row>
    <row r="47" customHeight="1" spans="1:25">
      <c r="A47" s="88">
        <v>45</v>
      </c>
      <c r="B47" s="93" t="s">
        <v>94</v>
      </c>
      <c r="C47" s="90">
        <v>100</v>
      </c>
      <c r="D47" s="90">
        <v>3</v>
      </c>
      <c r="E47" s="90">
        <v>2</v>
      </c>
      <c r="F47" s="90">
        <v>3</v>
      </c>
      <c r="G47" s="90">
        <v>2</v>
      </c>
      <c r="H47" s="90">
        <v>3</v>
      </c>
      <c r="I47" s="90">
        <v>2</v>
      </c>
      <c r="J47" s="91">
        <v>3</v>
      </c>
      <c r="K47" s="90">
        <v>2</v>
      </c>
      <c r="L47" s="21">
        <v>3</v>
      </c>
      <c r="M47" s="90">
        <v>2</v>
      </c>
      <c r="N47" s="21">
        <v>3</v>
      </c>
      <c r="O47" s="90">
        <v>2</v>
      </c>
      <c r="P47" s="21">
        <v>3</v>
      </c>
      <c r="Q47" s="90">
        <v>2</v>
      </c>
      <c r="R47" s="90"/>
      <c r="S47" s="90"/>
      <c r="T47" s="90"/>
      <c r="U47" s="90"/>
      <c r="V47" s="90"/>
      <c r="W47" s="88"/>
      <c r="X47" s="88">
        <f t="shared" si="2"/>
        <v>35</v>
      </c>
      <c r="Y47" s="78">
        <f t="shared" si="3"/>
        <v>65</v>
      </c>
    </row>
    <row r="48" customHeight="1" spans="1:25">
      <c r="A48" s="88">
        <v>46</v>
      </c>
      <c r="B48" s="93" t="s">
        <v>96</v>
      </c>
      <c r="C48" s="90">
        <v>100</v>
      </c>
      <c r="D48" s="90">
        <v>3</v>
      </c>
      <c r="E48" s="90">
        <v>2</v>
      </c>
      <c r="F48" s="90">
        <v>3</v>
      </c>
      <c r="G48" s="90">
        <v>2</v>
      </c>
      <c r="H48" s="90">
        <v>3</v>
      </c>
      <c r="I48" s="90">
        <v>2</v>
      </c>
      <c r="J48" s="91">
        <v>3</v>
      </c>
      <c r="K48" s="90">
        <v>2</v>
      </c>
      <c r="L48" s="21">
        <v>3</v>
      </c>
      <c r="M48" s="90">
        <v>2</v>
      </c>
      <c r="N48" s="21">
        <v>3</v>
      </c>
      <c r="O48" s="90">
        <v>2</v>
      </c>
      <c r="P48" s="21">
        <v>3</v>
      </c>
      <c r="Q48" s="90">
        <v>2</v>
      </c>
      <c r="R48" s="90"/>
      <c r="S48" s="90"/>
      <c r="T48" s="90"/>
      <c r="U48" s="90"/>
      <c r="V48" s="90"/>
      <c r="W48" s="88"/>
      <c r="X48" s="88">
        <f t="shared" si="2"/>
        <v>35</v>
      </c>
      <c r="Y48" s="78">
        <f t="shared" si="3"/>
        <v>65</v>
      </c>
    </row>
    <row r="49" customHeight="1" spans="1:25">
      <c r="A49" s="88">
        <v>47</v>
      </c>
      <c r="B49" s="93" t="s">
        <v>97</v>
      </c>
      <c r="C49" s="90">
        <v>100</v>
      </c>
      <c r="D49" s="90">
        <v>3</v>
      </c>
      <c r="E49" s="90">
        <v>2</v>
      </c>
      <c r="F49" s="90">
        <v>3</v>
      </c>
      <c r="G49" s="90">
        <v>2</v>
      </c>
      <c r="H49" s="90">
        <v>3</v>
      </c>
      <c r="I49" s="90">
        <v>2</v>
      </c>
      <c r="J49" s="91">
        <v>3</v>
      </c>
      <c r="K49" s="90">
        <v>2</v>
      </c>
      <c r="L49" s="21">
        <v>3</v>
      </c>
      <c r="M49" s="90">
        <v>2</v>
      </c>
      <c r="N49" s="21">
        <v>3</v>
      </c>
      <c r="O49" s="90">
        <v>2</v>
      </c>
      <c r="P49" s="21">
        <v>3</v>
      </c>
      <c r="Q49" s="90">
        <v>2</v>
      </c>
      <c r="R49" s="90"/>
      <c r="S49" s="90"/>
      <c r="T49" s="90"/>
      <c r="U49" s="90"/>
      <c r="V49" s="90"/>
      <c r="W49" s="88"/>
      <c r="X49" s="88">
        <f t="shared" si="2"/>
        <v>35</v>
      </c>
      <c r="Y49" s="78">
        <f t="shared" si="3"/>
        <v>65</v>
      </c>
    </row>
    <row r="50" customHeight="1" spans="1:25">
      <c r="A50" s="88">
        <v>48</v>
      </c>
      <c r="B50" s="93" t="s">
        <v>99</v>
      </c>
      <c r="C50" s="90">
        <v>100</v>
      </c>
      <c r="D50" s="90">
        <v>3</v>
      </c>
      <c r="E50" s="90">
        <v>2</v>
      </c>
      <c r="F50" s="90">
        <v>3</v>
      </c>
      <c r="G50" s="90">
        <v>2</v>
      </c>
      <c r="H50" s="90">
        <v>3</v>
      </c>
      <c r="I50" s="90">
        <v>2</v>
      </c>
      <c r="J50" s="91">
        <v>3</v>
      </c>
      <c r="K50" s="90">
        <v>2</v>
      </c>
      <c r="L50" s="21">
        <v>3</v>
      </c>
      <c r="M50" s="90">
        <v>2</v>
      </c>
      <c r="N50" s="21">
        <v>3</v>
      </c>
      <c r="O50" s="90">
        <v>2</v>
      </c>
      <c r="P50" s="21">
        <v>3</v>
      </c>
      <c r="Q50" s="90">
        <v>2</v>
      </c>
      <c r="R50" s="90"/>
      <c r="S50" s="90"/>
      <c r="T50" s="90"/>
      <c r="U50" s="90"/>
      <c r="V50" s="90"/>
      <c r="W50" s="88"/>
      <c r="X50" s="88">
        <f t="shared" si="2"/>
        <v>35</v>
      </c>
      <c r="Y50" s="78">
        <f t="shared" si="3"/>
        <v>65</v>
      </c>
    </row>
    <row r="51" customHeight="1" spans="1:25">
      <c r="A51" s="88">
        <v>49</v>
      </c>
      <c r="B51" s="93" t="s">
        <v>101</v>
      </c>
      <c r="C51" s="90">
        <v>100</v>
      </c>
      <c r="D51" s="90">
        <v>3</v>
      </c>
      <c r="E51" s="90">
        <v>2</v>
      </c>
      <c r="F51" s="90">
        <v>3</v>
      </c>
      <c r="G51" s="90">
        <v>2</v>
      </c>
      <c r="H51" s="90">
        <v>3</v>
      </c>
      <c r="I51" s="90">
        <v>2</v>
      </c>
      <c r="J51" s="91">
        <v>3</v>
      </c>
      <c r="K51" s="90">
        <v>2</v>
      </c>
      <c r="L51" s="21">
        <v>3</v>
      </c>
      <c r="M51" s="90">
        <v>2</v>
      </c>
      <c r="N51" s="21">
        <v>3</v>
      </c>
      <c r="O51" s="90">
        <v>2</v>
      </c>
      <c r="P51" s="21">
        <v>3</v>
      </c>
      <c r="Q51" s="90">
        <v>2</v>
      </c>
      <c r="R51" s="90"/>
      <c r="S51" s="90"/>
      <c r="T51" s="90"/>
      <c r="U51" s="90"/>
      <c r="V51" s="90"/>
      <c r="W51" s="88"/>
      <c r="X51" s="88">
        <f t="shared" si="2"/>
        <v>35</v>
      </c>
      <c r="Y51" s="78">
        <f t="shared" si="3"/>
        <v>65</v>
      </c>
    </row>
    <row r="52" customHeight="1" spans="1:25">
      <c r="A52" s="88">
        <v>50</v>
      </c>
      <c r="B52" s="93" t="s">
        <v>103</v>
      </c>
      <c r="C52" s="90">
        <v>100</v>
      </c>
      <c r="D52" s="90">
        <v>0</v>
      </c>
      <c r="E52" s="90">
        <v>5</v>
      </c>
      <c r="F52" s="90">
        <v>3</v>
      </c>
      <c r="G52" s="90">
        <v>2</v>
      </c>
      <c r="H52" s="90">
        <v>3</v>
      </c>
      <c r="I52" s="90">
        <v>2</v>
      </c>
      <c r="J52" s="91">
        <v>3</v>
      </c>
      <c r="K52" s="90">
        <v>2</v>
      </c>
      <c r="L52" s="21">
        <v>3</v>
      </c>
      <c r="M52" s="90">
        <v>2</v>
      </c>
      <c r="N52" s="21">
        <v>3</v>
      </c>
      <c r="O52" s="90">
        <v>2</v>
      </c>
      <c r="P52" s="21">
        <v>3</v>
      </c>
      <c r="Q52" s="90">
        <v>2</v>
      </c>
      <c r="R52" s="90"/>
      <c r="S52" s="90"/>
      <c r="T52" s="90"/>
      <c r="U52" s="90"/>
      <c r="V52" s="90"/>
      <c r="W52" s="88"/>
      <c r="X52" s="88">
        <f t="shared" si="2"/>
        <v>35</v>
      </c>
      <c r="Y52" s="78">
        <f t="shared" si="3"/>
        <v>65</v>
      </c>
    </row>
    <row r="53" customHeight="1" spans="1:25">
      <c r="A53" s="88">
        <v>51</v>
      </c>
      <c r="B53" s="93" t="s">
        <v>105</v>
      </c>
      <c r="C53" s="90">
        <v>100</v>
      </c>
      <c r="D53" s="90">
        <v>0</v>
      </c>
      <c r="E53" s="90">
        <v>5</v>
      </c>
      <c r="F53" s="90">
        <v>3</v>
      </c>
      <c r="G53" s="90">
        <v>2</v>
      </c>
      <c r="H53" s="90">
        <v>3</v>
      </c>
      <c r="I53" s="90">
        <v>2</v>
      </c>
      <c r="J53" s="91">
        <v>3</v>
      </c>
      <c r="K53" s="90">
        <v>2</v>
      </c>
      <c r="L53" s="21">
        <v>3</v>
      </c>
      <c r="M53" s="90">
        <v>2</v>
      </c>
      <c r="N53" s="21">
        <v>3</v>
      </c>
      <c r="O53" s="90">
        <v>2</v>
      </c>
      <c r="P53" s="21">
        <v>3</v>
      </c>
      <c r="Q53" s="90">
        <v>2</v>
      </c>
      <c r="R53" s="90"/>
      <c r="S53" s="90"/>
      <c r="T53" s="90"/>
      <c r="U53" s="90"/>
      <c r="V53" s="90"/>
      <c r="W53" s="88"/>
      <c r="X53" s="88">
        <f t="shared" si="2"/>
        <v>35</v>
      </c>
      <c r="Y53" s="78">
        <f t="shared" si="3"/>
        <v>65</v>
      </c>
    </row>
    <row r="54" customHeight="1" spans="1:25">
      <c r="A54" s="88">
        <v>52</v>
      </c>
      <c r="B54" s="93" t="s">
        <v>106</v>
      </c>
      <c r="C54" s="90">
        <v>100</v>
      </c>
      <c r="D54" s="90">
        <v>0</v>
      </c>
      <c r="E54" s="90">
        <v>5</v>
      </c>
      <c r="F54" s="90">
        <v>3</v>
      </c>
      <c r="G54" s="90">
        <v>2</v>
      </c>
      <c r="H54" s="90">
        <v>3</v>
      </c>
      <c r="I54" s="90">
        <v>2</v>
      </c>
      <c r="J54" s="91">
        <v>3</v>
      </c>
      <c r="K54" s="90">
        <v>2</v>
      </c>
      <c r="L54" s="21">
        <v>3</v>
      </c>
      <c r="M54" s="90">
        <v>2</v>
      </c>
      <c r="N54" s="21">
        <v>3</v>
      </c>
      <c r="O54" s="90">
        <v>2</v>
      </c>
      <c r="P54" s="21">
        <v>3</v>
      </c>
      <c r="Q54" s="90">
        <v>2</v>
      </c>
      <c r="R54" s="90"/>
      <c r="S54" s="90"/>
      <c r="T54" s="90"/>
      <c r="U54" s="90"/>
      <c r="V54" s="90"/>
      <c r="W54" s="88"/>
      <c r="X54" s="88">
        <f t="shared" si="2"/>
        <v>35</v>
      </c>
      <c r="Y54" s="78">
        <f t="shared" si="3"/>
        <v>65</v>
      </c>
    </row>
    <row r="55" customHeight="1" spans="1:25">
      <c r="A55" s="88">
        <v>53</v>
      </c>
      <c r="B55" s="93" t="s">
        <v>107</v>
      </c>
      <c r="C55" s="90">
        <v>100</v>
      </c>
      <c r="D55" s="90">
        <v>0</v>
      </c>
      <c r="E55" s="90">
        <v>5</v>
      </c>
      <c r="F55" s="90">
        <v>3</v>
      </c>
      <c r="G55" s="90">
        <v>2</v>
      </c>
      <c r="H55" s="90">
        <v>3</v>
      </c>
      <c r="I55" s="90">
        <v>2</v>
      </c>
      <c r="J55" s="91">
        <v>3</v>
      </c>
      <c r="K55" s="90">
        <v>2</v>
      </c>
      <c r="L55" s="21">
        <v>3</v>
      </c>
      <c r="M55" s="90">
        <v>2</v>
      </c>
      <c r="N55" s="21">
        <v>3</v>
      </c>
      <c r="O55" s="90">
        <v>2</v>
      </c>
      <c r="P55" s="21">
        <v>3</v>
      </c>
      <c r="Q55" s="90">
        <v>2</v>
      </c>
      <c r="R55" s="90"/>
      <c r="S55" s="90"/>
      <c r="T55" s="90"/>
      <c r="U55" s="90"/>
      <c r="V55" s="90"/>
      <c r="W55" s="88"/>
      <c r="X55" s="88">
        <f t="shared" si="2"/>
        <v>35</v>
      </c>
      <c r="Y55" s="78">
        <f t="shared" si="3"/>
        <v>65</v>
      </c>
    </row>
    <row r="56" customHeight="1" spans="1:25">
      <c r="A56" s="88">
        <v>54</v>
      </c>
      <c r="B56" s="93" t="s">
        <v>109</v>
      </c>
      <c r="C56" s="90">
        <v>100</v>
      </c>
      <c r="D56" s="90">
        <v>0</v>
      </c>
      <c r="E56" s="90">
        <v>5</v>
      </c>
      <c r="F56" s="90">
        <v>3</v>
      </c>
      <c r="G56" s="90">
        <v>2</v>
      </c>
      <c r="H56" s="90">
        <v>3</v>
      </c>
      <c r="I56" s="90">
        <v>2</v>
      </c>
      <c r="J56" s="91">
        <v>3</v>
      </c>
      <c r="K56" s="90">
        <v>2</v>
      </c>
      <c r="L56" s="21">
        <v>3</v>
      </c>
      <c r="M56" s="90">
        <v>2</v>
      </c>
      <c r="N56" s="21">
        <v>3</v>
      </c>
      <c r="O56" s="90">
        <v>2</v>
      </c>
      <c r="P56" s="21">
        <v>3</v>
      </c>
      <c r="Q56" s="90">
        <v>2</v>
      </c>
      <c r="R56" s="90"/>
      <c r="S56" s="90"/>
      <c r="T56" s="90"/>
      <c r="U56" s="90"/>
      <c r="V56" s="90"/>
      <c r="W56" s="88"/>
      <c r="X56" s="88">
        <f t="shared" si="2"/>
        <v>35</v>
      </c>
      <c r="Y56" s="78">
        <f t="shared" si="3"/>
        <v>65</v>
      </c>
    </row>
    <row r="57" customHeight="1" spans="1:25">
      <c r="A57" s="88">
        <v>55</v>
      </c>
      <c r="B57" s="93" t="s">
        <v>110</v>
      </c>
      <c r="C57" s="90">
        <v>100</v>
      </c>
      <c r="D57" s="90">
        <v>0</v>
      </c>
      <c r="E57" s="90">
        <v>5</v>
      </c>
      <c r="F57" s="90">
        <v>3</v>
      </c>
      <c r="G57" s="90">
        <v>2</v>
      </c>
      <c r="H57" s="90">
        <v>3</v>
      </c>
      <c r="I57" s="90">
        <v>2</v>
      </c>
      <c r="J57" s="91">
        <v>3</v>
      </c>
      <c r="K57" s="90">
        <v>2</v>
      </c>
      <c r="L57" s="21">
        <v>3</v>
      </c>
      <c r="M57" s="90">
        <v>2</v>
      </c>
      <c r="N57" s="21">
        <v>3</v>
      </c>
      <c r="O57" s="90">
        <v>2</v>
      </c>
      <c r="P57" s="21">
        <v>3</v>
      </c>
      <c r="Q57" s="90">
        <v>2</v>
      </c>
      <c r="R57" s="90"/>
      <c r="S57" s="90"/>
      <c r="T57" s="90"/>
      <c r="U57" s="90"/>
      <c r="V57" s="90"/>
      <c r="W57" s="88"/>
      <c r="X57" s="88">
        <f t="shared" si="2"/>
        <v>35</v>
      </c>
      <c r="Y57" s="78">
        <f t="shared" si="3"/>
        <v>65</v>
      </c>
    </row>
    <row r="58" customHeight="1" spans="1:25">
      <c r="A58" s="88">
        <v>56</v>
      </c>
      <c r="B58" s="93" t="s">
        <v>111</v>
      </c>
      <c r="C58" s="90">
        <v>100</v>
      </c>
      <c r="D58" s="90">
        <v>0</v>
      </c>
      <c r="E58" s="90">
        <v>5</v>
      </c>
      <c r="F58" s="90">
        <v>3</v>
      </c>
      <c r="G58" s="90">
        <v>2</v>
      </c>
      <c r="H58" s="90">
        <v>3</v>
      </c>
      <c r="I58" s="90">
        <v>2</v>
      </c>
      <c r="J58" s="91">
        <v>3</v>
      </c>
      <c r="K58" s="90">
        <v>2</v>
      </c>
      <c r="L58" s="21">
        <v>3</v>
      </c>
      <c r="M58" s="90">
        <v>2</v>
      </c>
      <c r="N58" s="21">
        <v>3</v>
      </c>
      <c r="O58" s="90">
        <v>2</v>
      </c>
      <c r="P58" s="21">
        <v>3</v>
      </c>
      <c r="Q58" s="90">
        <v>2</v>
      </c>
      <c r="R58" s="90"/>
      <c r="S58" s="90"/>
      <c r="T58" s="90"/>
      <c r="U58" s="90"/>
      <c r="V58" s="90"/>
      <c r="W58" s="88"/>
      <c r="X58" s="88">
        <f t="shared" si="2"/>
        <v>35</v>
      </c>
      <c r="Y58" s="78">
        <f t="shared" si="3"/>
        <v>65</v>
      </c>
    </row>
    <row r="59" customHeight="1" spans="1:25">
      <c r="A59" s="88">
        <v>57</v>
      </c>
      <c r="B59" s="94" t="s">
        <v>112</v>
      </c>
      <c r="C59" s="95">
        <v>100</v>
      </c>
      <c r="D59" s="95">
        <v>0</v>
      </c>
      <c r="E59" s="95">
        <v>5</v>
      </c>
      <c r="F59" s="95">
        <v>3</v>
      </c>
      <c r="G59" s="90">
        <v>2</v>
      </c>
      <c r="H59" s="90">
        <v>3</v>
      </c>
      <c r="I59" s="90">
        <v>2</v>
      </c>
      <c r="J59" s="91">
        <v>3</v>
      </c>
      <c r="K59" s="90">
        <v>2</v>
      </c>
      <c r="L59" s="21">
        <v>3</v>
      </c>
      <c r="M59" s="90">
        <v>2</v>
      </c>
      <c r="N59" s="21">
        <v>3</v>
      </c>
      <c r="O59" s="90">
        <v>2</v>
      </c>
      <c r="P59" s="21">
        <v>3</v>
      </c>
      <c r="Q59" s="90">
        <v>2</v>
      </c>
      <c r="R59" s="95"/>
      <c r="S59" s="95"/>
      <c r="T59" s="95"/>
      <c r="U59" s="95"/>
      <c r="V59" s="95"/>
      <c r="W59" s="96"/>
      <c r="X59" s="88">
        <f t="shared" si="2"/>
        <v>35</v>
      </c>
      <c r="Y59" s="78">
        <f t="shared" si="3"/>
        <v>65</v>
      </c>
    </row>
    <row r="60" customHeight="1" spans="1:25">
      <c r="A60" s="88">
        <v>58</v>
      </c>
      <c r="B60" s="97" t="s">
        <v>114</v>
      </c>
      <c r="C60" s="90">
        <v>100</v>
      </c>
      <c r="D60" s="88">
        <v>0</v>
      </c>
      <c r="E60" s="88">
        <v>0</v>
      </c>
      <c r="F60" s="88">
        <v>6</v>
      </c>
      <c r="G60" s="88">
        <v>4</v>
      </c>
      <c r="H60" s="90">
        <v>3</v>
      </c>
      <c r="I60" s="90">
        <v>2</v>
      </c>
      <c r="J60" s="91">
        <v>3</v>
      </c>
      <c r="K60" s="90">
        <v>2</v>
      </c>
      <c r="L60" s="21">
        <v>3</v>
      </c>
      <c r="M60" s="90">
        <v>2</v>
      </c>
      <c r="N60" s="21">
        <v>3</v>
      </c>
      <c r="O60" s="90">
        <v>2</v>
      </c>
      <c r="P60" s="21">
        <v>3</v>
      </c>
      <c r="Q60" s="90">
        <v>2</v>
      </c>
      <c r="R60" s="88"/>
      <c r="S60" s="88"/>
      <c r="T60" s="88"/>
      <c r="U60" s="88"/>
      <c r="V60" s="88"/>
      <c r="W60" s="88"/>
      <c r="X60" s="88">
        <f t="shared" si="2"/>
        <v>35</v>
      </c>
      <c r="Y60" s="78">
        <f t="shared" si="3"/>
        <v>65</v>
      </c>
    </row>
    <row r="61" customHeight="1" spans="1:25">
      <c r="A61" s="88">
        <v>59</v>
      </c>
      <c r="B61" s="97" t="s">
        <v>117</v>
      </c>
      <c r="C61" s="90">
        <v>100</v>
      </c>
      <c r="D61" s="88">
        <v>0</v>
      </c>
      <c r="E61" s="88">
        <v>0</v>
      </c>
      <c r="F61" s="88">
        <v>6</v>
      </c>
      <c r="G61" s="88">
        <v>4</v>
      </c>
      <c r="H61" s="90">
        <v>3</v>
      </c>
      <c r="I61" s="90">
        <v>2</v>
      </c>
      <c r="J61" s="91">
        <v>3</v>
      </c>
      <c r="K61" s="90">
        <v>2</v>
      </c>
      <c r="L61" s="21">
        <v>3</v>
      </c>
      <c r="M61" s="90">
        <v>2</v>
      </c>
      <c r="N61" s="21">
        <v>3</v>
      </c>
      <c r="O61" s="90">
        <v>2</v>
      </c>
      <c r="P61" s="21">
        <v>3</v>
      </c>
      <c r="Q61" s="90">
        <v>2</v>
      </c>
      <c r="R61" s="88"/>
      <c r="S61" s="88"/>
      <c r="T61" s="88"/>
      <c r="U61" s="88"/>
      <c r="V61" s="88"/>
      <c r="W61" s="88"/>
      <c r="X61" s="88">
        <f t="shared" si="2"/>
        <v>35</v>
      </c>
      <c r="Y61" s="78">
        <f t="shared" si="3"/>
        <v>65</v>
      </c>
    </row>
    <row r="62" customHeight="1" spans="1:25">
      <c r="A62" s="88">
        <v>60</v>
      </c>
      <c r="B62" s="97" t="s">
        <v>121</v>
      </c>
      <c r="C62" s="90">
        <v>100</v>
      </c>
      <c r="D62" s="88">
        <v>0</v>
      </c>
      <c r="E62" s="88">
        <v>0</v>
      </c>
      <c r="F62" s="88">
        <v>6</v>
      </c>
      <c r="G62" s="88">
        <v>4</v>
      </c>
      <c r="H62" s="90">
        <v>3</v>
      </c>
      <c r="I62" s="90">
        <v>2</v>
      </c>
      <c r="J62" s="91">
        <v>3</v>
      </c>
      <c r="K62" s="90">
        <v>2</v>
      </c>
      <c r="L62" s="21">
        <v>3</v>
      </c>
      <c r="M62" s="90">
        <v>2</v>
      </c>
      <c r="N62" s="21">
        <v>3</v>
      </c>
      <c r="O62" s="90">
        <v>2</v>
      </c>
      <c r="P62" s="21">
        <v>3</v>
      </c>
      <c r="Q62" s="90">
        <v>2</v>
      </c>
      <c r="R62" s="88"/>
      <c r="S62" s="88"/>
      <c r="T62" s="88"/>
      <c r="U62" s="88"/>
      <c r="V62" s="88"/>
      <c r="W62" s="88"/>
      <c r="X62" s="88">
        <f t="shared" si="2"/>
        <v>35</v>
      </c>
      <c r="Y62" s="78">
        <f t="shared" si="3"/>
        <v>65</v>
      </c>
    </row>
    <row r="63" customHeight="1" spans="1:25">
      <c r="A63" s="88">
        <v>61</v>
      </c>
      <c r="B63" s="97" t="s">
        <v>125</v>
      </c>
      <c r="C63" s="90">
        <v>100</v>
      </c>
      <c r="D63" s="88">
        <v>0</v>
      </c>
      <c r="E63" s="88">
        <v>0</v>
      </c>
      <c r="F63" s="88">
        <v>6</v>
      </c>
      <c r="G63" s="88">
        <v>4</v>
      </c>
      <c r="H63" s="90">
        <v>3</v>
      </c>
      <c r="I63" s="90">
        <v>2</v>
      </c>
      <c r="J63" s="91">
        <v>3</v>
      </c>
      <c r="K63" s="90">
        <v>2</v>
      </c>
      <c r="L63" s="21">
        <v>3</v>
      </c>
      <c r="M63" s="90">
        <v>2</v>
      </c>
      <c r="N63" s="21">
        <v>3</v>
      </c>
      <c r="O63" s="90">
        <v>2</v>
      </c>
      <c r="P63" s="21">
        <v>3</v>
      </c>
      <c r="Q63" s="90">
        <v>2</v>
      </c>
      <c r="R63" s="88"/>
      <c r="S63" s="88"/>
      <c r="T63" s="88"/>
      <c r="U63" s="88"/>
      <c r="V63" s="88"/>
      <c r="W63" s="88"/>
      <c r="X63" s="88">
        <f t="shared" si="2"/>
        <v>35</v>
      </c>
      <c r="Y63" s="78">
        <f t="shared" si="3"/>
        <v>65</v>
      </c>
    </row>
    <row r="64" customHeight="1" spans="1:25">
      <c r="A64" s="88">
        <v>62</v>
      </c>
      <c r="B64" s="97" t="s">
        <v>127</v>
      </c>
      <c r="C64" s="90">
        <v>100</v>
      </c>
      <c r="D64" s="88">
        <v>0</v>
      </c>
      <c r="E64" s="88">
        <v>0</v>
      </c>
      <c r="F64" s="88">
        <v>6</v>
      </c>
      <c r="G64" s="88">
        <v>4</v>
      </c>
      <c r="H64" s="90">
        <v>3</v>
      </c>
      <c r="I64" s="90">
        <v>2</v>
      </c>
      <c r="J64" s="91">
        <v>3</v>
      </c>
      <c r="K64" s="90">
        <v>2</v>
      </c>
      <c r="L64" s="21">
        <v>3</v>
      </c>
      <c r="M64" s="90">
        <v>2</v>
      </c>
      <c r="N64" s="21">
        <v>3</v>
      </c>
      <c r="O64" s="90">
        <v>2</v>
      </c>
      <c r="P64" s="21">
        <v>3</v>
      </c>
      <c r="Q64" s="90">
        <v>2</v>
      </c>
      <c r="R64" s="88"/>
      <c r="S64" s="88"/>
      <c r="T64" s="88"/>
      <c r="U64" s="88"/>
      <c r="V64" s="88"/>
      <c r="W64" s="88"/>
      <c r="X64" s="88">
        <f t="shared" si="2"/>
        <v>35</v>
      </c>
      <c r="Y64" s="78">
        <f t="shared" si="3"/>
        <v>65</v>
      </c>
    </row>
    <row r="65" customHeight="1" spans="1:25">
      <c r="A65" s="88">
        <v>63</v>
      </c>
      <c r="B65" s="97" t="s">
        <v>129</v>
      </c>
      <c r="C65" s="90">
        <v>100</v>
      </c>
      <c r="D65" s="88"/>
      <c r="E65" s="88"/>
      <c r="F65" s="88"/>
      <c r="G65" s="88"/>
      <c r="H65" s="88">
        <v>3</v>
      </c>
      <c r="I65" s="88">
        <v>4</v>
      </c>
      <c r="J65" s="91">
        <v>3</v>
      </c>
      <c r="K65" s="88">
        <v>4</v>
      </c>
      <c r="L65" s="21">
        <v>6</v>
      </c>
      <c r="M65" s="88">
        <v>4</v>
      </c>
      <c r="N65" s="21">
        <v>6</v>
      </c>
      <c r="O65" s="88">
        <v>2</v>
      </c>
      <c r="P65" s="21">
        <v>6</v>
      </c>
      <c r="Q65" s="88">
        <v>2</v>
      </c>
      <c r="R65" s="88"/>
      <c r="S65" s="88"/>
      <c r="T65" s="88"/>
      <c r="U65" s="88"/>
      <c r="V65" s="88"/>
      <c r="W65" s="88"/>
      <c r="X65" s="88">
        <f t="shared" si="2"/>
        <v>40</v>
      </c>
      <c r="Y65" s="78">
        <f t="shared" si="3"/>
        <v>60</v>
      </c>
    </row>
    <row r="66" customHeight="1" spans="1:25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</row>
    <row r="67" customHeight="1" spans="1:25">
      <c r="A67" s="88"/>
      <c r="B67" s="88"/>
      <c r="C67" s="88"/>
      <c r="D67" s="88">
        <f t="shared" ref="D67:T67" si="4">SUM(D3:D66)</f>
        <v>120</v>
      </c>
      <c r="E67" s="88">
        <f t="shared" si="4"/>
        <v>120</v>
      </c>
      <c r="F67" s="88">
        <f t="shared" si="4"/>
        <v>231</v>
      </c>
      <c r="G67" s="88">
        <f t="shared" si="4"/>
        <v>138</v>
      </c>
      <c r="H67" s="88">
        <f t="shared" si="4"/>
        <v>195</v>
      </c>
      <c r="I67" s="88">
        <f t="shared" si="4"/>
        <v>132</v>
      </c>
      <c r="J67" s="88">
        <f t="shared" si="4"/>
        <v>195</v>
      </c>
      <c r="K67" s="88">
        <f t="shared" si="4"/>
        <v>132</v>
      </c>
      <c r="L67" s="88">
        <f t="shared" si="4"/>
        <v>198</v>
      </c>
      <c r="M67" s="88">
        <f t="shared" si="4"/>
        <v>132</v>
      </c>
      <c r="N67" s="88">
        <f t="shared" si="4"/>
        <v>198</v>
      </c>
      <c r="O67" s="88">
        <f t="shared" si="4"/>
        <v>130</v>
      </c>
      <c r="P67" s="88">
        <f t="shared" si="4"/>
        <v>198</v>
      </c>
      <c r="Q67" s="88">
        <f t="shared" si="4"/>
        <v>130</v>
      </c>
      <c r="R67" s="88">
        <f t="shared" si="4"/>
        <v>0</v>
      </c>
      <c r="S67" s="88">
        <f t="shared" si="4"/>
        <v>0</v>
      </c>
      <c r="T67" s="88">
        <f t="shared" si="4"/>
        <v>0</v>
      </c>
      <c r="U67" s="88"/>
      <c r="V67" s="88"/>
      <c r="W67" s="88"/>
      <c r="X67" s="88"/>
    </row>
    <row r="68" customHeight="1" spans="1:25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</row>
    <row r="69" customHeight="1" spans="1:25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</row>
  </sheetData>
  <mergeCells count="1">
    <mergeCell ref="A1:X1"/>
  </mergeCells>
  <pageMargins left="0.75" right="0.75" top="1" bottom="1" header="0.5" footer="0.5"/>
  <pageSetup paperSize="25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3"/>
  <sheetViews>
    <sheetView topLeftCell="E9" workbookViewId="0">
      <selection activeCell="K30" sqref="K30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  <col min="9" max="9" width="12.1428571428571" customWidth="1"/>
    <col min="10" max="10" width="14.4285714285714" customWidth="1"/>
    <col min="11" max="11" width="26" customWidth="1"/>
    <col min="12" max="14" width="12.1428571428571" customWidth="1"/>
    <col min="15" max="15" width="25.2857142857143" customWidth="1"/>
  </cols>
  <sheetData>
    <row r="1" ht="38" customHeight="1" spans="1:16">
      <c r="A1" s="2" t="s">
        <v>144</v>
      </c>
      <c r="B1" s="2"/>
      <c r="C1" s="2"/>
      <c r="D1" s="2"/>
      <c r="E1" s="2"/>
      <c r="F1" s="3"/>
      <c r="G1" s="4"/>
      <c r="I1" s="2" t="s">
        <v>145</v>
      </c>
      <c r="J1" s="2"/>
      <c r="K1" s="2"/>
      <c r="L1" s="2"/>
      <c r="M1" s="2"/>
      <c r="N1" s="3"/>
      <c r="O1" s="4"/>
    </row>
    <row r="2" s="1" customFormat="1" ht="32" customHeight="1" spans="1:16">
      <c r="A2" s="5" t="s">
        <v>2</v>
      </c>
      <c r="B2" s="5" t="s">
        <v>136</v>
      </c>
      <c r="C2" s="5" t="s">
        <v>3</v>
      </c>
      <c r="D2" s="6" t="s">
        <v>146</v>
      </c>
      <c r="E2" s="7" t="s">
        <v>147</v>
      </c>
      <c r="F2" s="7" t="s">
        <v>148</v>
      </c>
      <c r="G2" s="7" t="s">
        <v>7</v>
      </c>
      <c r="I2" s="5" t="s">
        <v>2</v>
      </c>
      <c r="J2" s="5" t="s">
        <v>136</v>
      </c>
      <c r="K2" s="5" t="s">
        <v>3</v>
      </c>
      <c r="L2" s="6" t="s">
        <v>146</v>
      </c>
      <c r="M2" s="7" t="s">
        <v>147</v>
      </c>
      <c r="N2" s="7" t="s">
        <v>148</v>
      </c>
      <c r="O2" s="7" t="s">
        <v>7</v>
      </c>
    </row>
    <row r="3" ht="22" customHeight="1" spans="1:16">
      <c r="A3" s="9">
        <v>1</v>
      </c>
      <c r="B3" s="66">
        <v>46090</v>
      </c>
      <c r="C3" s="11" t="s">
        <v>13</v>
      </c>
      <c r="D3" s="12" t="s">
        <v>149</v>
      </c>
      <c r="E3" s="11">
        <v>2</v>
      </c>
      <c r="F3" s="11">
        <v>1</v>
      </c>
      <c r="G3" s="13"/>
      <c r="I3" s="15">
        <v>1</v>
      </c>
      <c r="J3" s="66">
        <v>46090</v>
      </c>
      <c r="K3" s="11" t="s">
        <v>50</v>
      </c>
      <c r="L3" s="12" t="s">
        <v>149</v>
      </c>
      <c r="M3" s="11">
        <v>3</v>
      </c>
      <c r="N3" s="16"/>
      <c r="O3" s="17"/>
      <c r="P3" t="s">
        <v>150</v>
      </c>
    </row>
    <row r="4" ht="22" customHeight="1" spans="1:16">
      <c r="A4" s="9">
        <v>2</v>
      </c>
      <c r="B4" s="66">
        <v>46090</v>
      </c>
      <c r="C4" s="11" t="s">
        <v>16</v>
      </c>
      <c r="D4" s="12" t="s">
        <v>149</v>
      </c>
      <c r="E4" s="11">
        <v>3</v>
      </c>
      <c r="F4" s="16"/>
      <c r="G4" s="18"/>
      <c r="I4" s="15">
        <v>2</v>
      </c>
      <c r="J4" s="66">
        <v>46090</v>
      </c>
      <c r="K4" s="11" t="s">
        <v>55</v>
      </c>
      <c r="L4" s="12" t="s">
        <v>149</v>
      </c>
      <c r="M4" s="11"/>
      <c r="N4" s="16">
        <v>3</v>
      </c>
      <c r="O4" s="17" t="s">
        <v>56</v>
      </c>
      <c r="P4" t="s">
        <v>150</v>
      </c>
    </row>
    <row r="5" ht="22" customHeight="1" spans="1:16">
      <c r="A5" s="9">
        <v>3</v>
      </c>
      <c r="B5" s="66">
        <v>46090</v>
      </c>
      <c r="C5" s="11" t="s">
        <v>17</v>
      </c>
      <c r="D5" s="12" t="s">
        <v>149</v>
      </c>
      <c r="E5" s="11">
        <v>3</v>
      </c>
      <c r="F5" s="16"/>
      <c r="G5" s="18"/>
      <c r="I5" s="15">
        <v>3</v>
      </c>
      <c r="J5" s="66">
        <v>46090</v>
      </c>
      <c r="K5" s="11" t="s">
        <v>57</v>
      </c>
      <c r="L5" s="12" t="s">
        <v>149</v>
      </c>
      <c r="M5" s="11">
        <v>3</v>
      </c>
      <c r="N5" s="16"/>
      <c r="O5" s="17"/>
      <c r="P5" t="s">
        <v>150</v>
      </c>
    </row>
    <row r="6" ht="22" customHeight="1" spans="1:16">
      <c r="A6" s="9">
        <v>4</v>
      </c>
      <c r="B6" s="66">
        <v>46090</v>
      </c>
      <c r="C6" s="11" t="s">
        <v>18</v>
      </c>
      <c r="D6" s="12" t="s">
        <v>149</v>
      </c>
      <c r="E6" s="11">
        <v>3</v>
      </c>
      <c r="F6" s="16"/>
      <c r="G6" s="18"/>
      <c r="I6" s="15">
        <v>4</v>
      </c>
      <c r="J6" s="66">
        <v>46090</v>
      </c>
      <c r="K6" s="11" t="s">
        <v>59</v>
      </c>
      <c r="L6" s="12" t="s">
        <v>149</v>
      </c>
      <c r="M6" s="11">
        <v>2</v>
      </c>
      <c r="N6" s="16">
        <v>1</v>
      </c>
      <c r="O6" s="17" t="s">
        <v>61</v>
      </c>
      <c r="P6" t="s">
        <v>150</v>
      </c>
    </row>
    <row r="7" ht="22" customHeight="1" spans="1:16">
      <c r="A7" s="9">
        <v>5</v>
      </c>
      <c r="B7" s="66">
        <v>46090</v>
      </c>
      <c r="C7" s="11" t="s">
        <v>20</v>
      </c>
      <c r="D7" s="12" t="s">
        <v>149</v>
      </c>
      <c r="E7" s="16"/>
      <c r="F7" s="11">
        <v>3</v>
      </c>
      <c r="G7" s="18"/>
      <c r="I7" s="15">
        <v>5</v>
      </c>
      <c r="J7" s="66">
        <v>46090</v>
      </c>
      <c r="K7" s="11" t="s">
        <v>62</v>
      </c>
      <c r="L7" s="12" t="s">
        <v>149</v>
      </c>
      <c r="M7" s="11">
        <v>3</v>
      </c>
      <c r="N7" s="16"/>
      <c r="O7" s="17" t="s">
        <v>63</v>
      </c>
      <c r="P7" t="s">
        <v>150</v>
      </c>
    </row>
    <row r="8" ht="22" customHeight="1" spans="1:16">
      <c r="A8" s="9">
        <v>6</v>
      </c>
      <c r="B8" s="66">
        <v>46090</v>
      </c>
      <c r="C8" s="11" t="s">
        <v>21</v>
      </c>
      <c r="D8" s="12" t="s">
        <v>149</v>
      </c>
      <c r="E8" s="11">
        <v>3</v>
      </c>
      <c r="F8" s="16"/>
      <c r="G8" s="18"/>
      <c r="I8" s="15">
        <v>6</v>
      </c>
      <c r="J8" s="66">
        <v>46090</v>
      </c>
      <c r="K8" s="11" t="s">
        <v>64</v>
      </c>
      <c r="L8" s="12" t="s">
        <v>149</v>
      </c>
      <c r="M8" s="11">
        <v>2</v>
      </c>
      <c r="N8" s="16">
        <v>1</v>
      </c>
      <c r="O8" s="19" t="s">
        <v>65</v>
      </c>
      <c r="P8" t="s">
        <v>150</v>
      </c>
    </row>
    <row r="9" ht="22" customHeight="1" spans="1:16">
      <c r="A9" s="9">
        <v>7</v>
      </c>
      <c r="B9" s="66">
        <v>46090</v>
      </c>
      <c r="C9" s="11" t="s">
        <v>22</v>
      </c>
      <c r="D9" s="12" t="s">
        <v>149</v>
      </c>
      <c r="E9" s="11">
        <v>3</v>
      </c>
      <c r="F9" s="16"/>
      <c r="G9" s="20"/>
      <c r="I9" s="15">
        <v>7</v>
      </c>
      <c r="J9" s="66">
        <v>46090</v>
      </c>
      <c r="K9" s="11" t="s">
        <v>66</v>
      </c>
      <c r="L9" s="12" t="s">
        <v>149</v>
      </c>
      <c r="M9" s="11">
        <v>2</v>
      </c>
      <c r="N9" s="16">
        <v>1</v>
      </c>
      <c r="O9" s="17" t="s">
        <v>67</v>
      </c>
      <c r="P9" t="s">
        <v>150</v>
      </c>
    </row>
    <row r="10" ht="22" customHeight="1" spans="1:16">
      <c r="A10" s="9">
        <v>8</v>
      </c>
      <c r="B10" s="66">
        <v>46090</v>
      </c>
      <c r="C10" s="11" t="s">
        <v>23</v>
      </c>
      <c r="D10" s="12" t="s">
        <v>149</v>
      </c>
      <c r="E10" s="11">
        <v>2</v>
      </c>
      <c r="F10" s="11">
        <v>1</v>
      </c>
      <c r="G10" s="20"/>
      <c r="I10" s="15">
        <v>8</v>
      </c>
      <c r="J10" s="66">
        <v>46090</v>
      </c>
      <c r="K10" s="11" t="s">
        <v>68</v>
      </c>
      <c r="L10" s="12" t="s">
        <v>149</v>
      </c>
      <c r="M10" s="11"/>
      <c r="N10" s="16">
        <v>3</v>
      </c>
      <c r="O10" s="17" t="s">
        <v>56</v>
      </c>
      <c r="P10" t="s">
        <v>150</v>
      </c>
    </row>
    <row r="11" customFormat="1" ht="22" customHeight="1" spans="1:16">
      <c r="A11" s="9">
        <v>9</v>
      </c>
      <c r="B11" s="66">
        <v>46090</v>
      </c>
      <c r="C11" s="11" t="s">
        <v>24</v>
      </c>
      <c r="D11" s="12" t="s">
        <v>149</v>
      </c>
      <c r="E11" s="11">
        <v>3</v>
      </c>
      <c r="F11" s="16"/>
      <c r="G11" s="20"/>
      <c r="I11" s="15">
        <v>9</v>
      </c>
      <c r="J11" s="66">
        <v>46090</v>
      </c>
      <c r="K11" s="11" t="s">
        <v>69</v>
      </c>
      <c r="L11" s="12" t="s">
        <v>149</v>
      </c>
      <c r="M11" s="11"/>
      <c r="N11" s="16">
        <v>3</v>
      </c>
      <c r="O11" s="17" t="s">
        <v>70</v>
      </c>
      <c r="P11" t="s">
        <v>150</v>
      </c>
    </row>
    <row r="12" customFormat="1" ht="22" customHeight="1" spans="1:16">
      <c r="A12" s="9">
        <v>10</v>
      </c>
      <c r="B12" s="66">
        <v>46090</v>
      </c>
      <c r="C12" s="11" t="s">
        <v>25</v>
      </c>
      <c r="D12" s="12" t="s">
        <v>149</v>
      </c>
      <c r="E12" s="16"/>
      <c r="F12" s="11">
        <v>3</v>
      </c>
      <c r="G12" s="20"/>
      <c r="I12" s="15">
        <v>10</v>
      </c>
      <c r="J12" s="66">
        <v>46090</v>
      </c>
      <c r="K12" s="11" t="s">
        <v>71</v>
      </c>
      <c r="L12" s="12" t="s">
        <v>149</v>
      </c>
      <c r="M12" s="11"/>
      <c r="N12" s="16">
        <v>3</v>
      </c>
      <c r="O12" s="17" t="s">
        <v>72</v>
      </c>
      <c r="P12" t="s">
        <v>150</v>
      </c>
    </row>
    <row r="13" customFormat="1" ht="22" customHeight="1" spans="1:16">
      <c r="A13" s="9">
        <v>11</v>
      </c>
      <c r="B13" s="66">
        <v>46090</v>
      </c>
      <c r="C13" s="11" t="s">
        <v>26</v>
      </c>
      <c r="D13" s="12" t="s">
        <v>149</v>
      </c>
      <c r="E13" s="11">
        <v>2</v>
      </c>
      <c r="F13" s="11">
        <v>1</v>
      </c>
      <c r="G13" s="20"/>
      <c r="I13" s="15">
        <v>11</v>
      </c>
      <c r="J13" s="66">
        <v>46090</v>
      </c>
      <c r="K13" s="11" t="s">
        <v>73</v>
      </c>
      <c r="L13" s="12" t="s">
        <v>149</v>
      </c>
      <c r="M13" s="11"/>
      <c r="N13" s="16">
        <v>3</v>
      </c>
      <c r="O13" s="17" t="s">
        <v>74</v>
      </c>
      <c r="P13" t="s">
        <v>150</v>
      </c>
    </row>
    <row r="14" customFormat="1" ht="22" customHeight="1" spans="1:16">
      <c r="A14" s="9">
        <v>12</v>
      </c>
      <c r="B14" s="66">
        <v>46090</v>
      </c>
      <c r="C14" s="11" t="s">
        <v>27</v>
      </c>
      <c r="D14" s="12" t="s">
        <v>149</v>
      </c>
      <c r="E14" s="11">
        <v>3</v>
      </c>
      <c r="F14" s="16"/>
      <c r="G14" s="20"/>
      <c r="I14" s="15">
        <v>12</v>
      </c>
      <c r="J14" s="66">
        <v>46090</v>
      </c>
      <c r="K14" s="11" t="s">
        <v>75</v>
      </c>
      <c r="L14" s="12" t="s">
        <v>149</v>
      </c>
      <c r="M14" s="11">
        <v>2</v>
      </c>
      <c r="N14" s="16">
        <v>1</v>
      </c>
      <c r="O14" s="17" t="s">
        <v>76</v>
      </c>
      <c r="P14" t="s">
        <v>150</v>
      </c>
    </row>
    <row r="15" customFormat="1" ht="22" customHeight="1" spans="1:16">
      <c r="A15" s="9"/>
      <c r="B15" s="66"/>
      <c r="C15" s="11"/>
      <c r="D15" s="12"/>
      <c r="E15" s="11"/>
      <c r="F15" s="16"/>
      <c r="G15" s="20"/>
      <c r="I15" s="15">
        <v>13</v>
      </c>
      <c r="J15" s="66">
        <v>46090</v>
      </c>
      <c r="K15" s="11" t="s">
        <v>77</v>
      </c>
      <c r="L15" s="12" t="s">
        <v>149</v>
      </c>
      <c r="M15" s="11">
        <v>3</v>
      </c>
      <c r="N15" s="16"/>
      <c r="O15" s="17"/>
      <c r="P15" t="s">
        <v>150</v>
      </c>
    </row>
    <row r="16" customFormat="1" ht="22" customHeight="1" spans="1:16">
      <c r="E16">
        <f>SUM(E3:E15)</f>
        <v>27</v>
      </c>
      <c r="F16">
        <f>SUM(F3:F15)</f>
        <v>9</v>
      </c>
      <c r="I16" s="15">
        <v>14</v>
      </c>
      <c r="J16" s="66">
        <v>46090</v>
      </c>
      <c r="K16" s="11" t="s">
        <v>78</v>
      </c>
      <c r="L16" s="12" t="s">
        <v>149</v>
      </c>
      <c r="M16" s="11">
        <v>2</v>
      </c>
      <c r="N16" s="16">
        <v>1</v>
      </c>
      <c r="O16" s="17" t="s">
        <v>79</v>
      </c>
      <c r="P16" t="s">
        <v>150</v>
      </c>
    </row>
    <row r="17" customFormat="1" ht="22" customHeight="1" spans="9:16">
      <c r="I17" s="15">
        <v>15</v>
      </c>
      <c r="J17" s="66">
        <v>46090</v>
      </c>
      <c r="K17" s="11" t="s">
        <v>80</v>
      </c>
      <c r="L17" s="12" t="s">
        <v>149</v>
      </c>
      <c r="M17" s="11">
        <v>3</v>
      </c>
      <c r="N17" s="16"/>
      <c r="O17" s="17" t="s">
        <v>81</v>
      </c>
      <c r="P17" t="s">
        <v>150</v>
      </c>
    </row>
    <row r="18" customFormat="1" ht="22" customHeight="1" spans="9:16">
      <c r="I18" s="15">
        <v>16</v>
      </c>
      <c r="J18" s="66">
        <v>46090</v>
      </c>
      <c r="K18" s="11" t="s">
        <v>82</v>
      </c>
      <c r="L18" s="12" t="s">
        <v>149</v>
      </c>
      <c r="M18" s="11"/>
      <c r="N18" s="16">
        <v>3</v>
      </c>
      <c r="O18" s="17" t="s">
        <v>83</v>
      </c>
      <c r="P18" t="s">
        <v>150</v>
      </c>
    </row>
    <row r="19" customFormat="1" ht="22" customHeight="1" spans="9:16">
      <c r="I19" s="15">
        <v>17</v>
      </c>
      <c r="J19" s="66">
        <v>46090</v>
      </c>
      <c r="K19" s="11" t="s">
        <v>84</v>
      </c>
      <c r="L19" s="12" t="s">
        <v>149</v>
      </c>
      <c r="M19" s="11"/>
      <c r="N19" s="16">
        <v>3</v>
      </c>
      <c r="O19" s="17" t="s">
        <v>83</v>
      </c>
      <c r="P19" t="s">
        <v>150</v>
      </c>
    </row>
    <row r="20" customFormat="1" ht="14.25" spans="9:16">
      <c r="I20" s="15">
        <v>18</v>
      </c>
      <c r="J20" s="66">
        <v>46090</v>
      </c>
      <c r="K20" s="11" t="s">
        <v>85</v>
      </c>
      <c r="L20" s="12" t="s">
        <v>149</v>
      </c>
      <c r="M20" s="11">
        <v>3</v>
      </c>
      <c r="N20" s="16"/>
      <c r="O20" s="17"/>
      <c r="P20" t="s">
        <v>150</v>
      </c>
    </row>
    <row r="21" customFormat="1" ht="22" customHeight="1" spans="9:16">
      <c r="I21" s="15">
        <v>19</v>
      </c>
      <c r="J21" s="66">
        <v>46090</v>
      </c>
      <c r="K21" s="11" t="s">
        <v>87</v>
      </c>
      <c r="L21" s="12" t="s">
        <v>149</v>
      </c>
      <c r="M21" s="11"/>
      <c r="N21" s="16">
        <v>3</v>
      </c>
      <c r="O21" s="17" t="s">
        <v>88</v>
      </c>
      <c r="P21" t="s">
        <v>150</v>
      </c>
    </row>
    <row r="22" customFormat="1" ht="22" customHeight="1" spans="9:16">
      <c r="I22" s="15">
        <v>20</v>
      </c>
      <c r="J22" s="66">
        <v>46090</v>
      </c>
      <c r="K22" s="11" t="s">
        <v>89</v>
      </c>
      <c r="L22" s="12" t="s">
        <v>149</v>
      </c>
      <c r="M22" s="11"/>
      <c r="N22" s="16">
        <v>3</v>
      </c>
      <c r="O22" s="17" t="s">
        <v>74</v>
      </c>
      <c r="P22" t="s">
        <v>150</v>
      </c>
    </row>
    <row r="23" customFormat="1" ht="22" customHeight="1" spans="9:16">
      <c r="I23" s="15">
        <v>21</v>
      </c>
      <c r="J23" s="66">
        <v>46090</v>
      </c>
      <c r="K23" s="11" t="s">
        <v>90</v>
      </c>
      <c r="L23" s="12" t="s">
        <v>149</v>
      </c>
      <c r="M23" s="11">
        <v>3</v>
      </c>
      <c r="N23" s="16"/>
      <c r="O23" s="17"/>
      <c r="P23" t="s">
        <v>150</v>
      </c>
    </row>
    <row r="24" customFormat="1" ht="22" customHeight="1" spans="9:16">
      <c r="I24" s="15">
        <v>22</v>
      </c>
      <c r="J24" s="66">
        <v>46090</v>
      </c>
      <c r="K24" s="11" t="s">
        <v>91</v>
      </c>
      <c r="L24" s="12" t="s">
        <v>149</v>
      </c>
      <c r="M24" s="11">
        <v>3</v>
      </c>
      <c r="N24" s="16"/>
      <c r="O24" s="17"/>
      <c r="P24" t="s">
        <v>150</v>
      </c>
    </row>
    <row r="25" customFormat="1" ht="22" customHeight="1" spans="9:16">
      <c r="I25" s="15">
        <v>23</v>
      </c>
      <c r="J25" s="66">
        <v>46090</v>
      </c>
      <c r="K25" s="11" t="s">
        <v>92</v>
      </c>
      <c r="L25" s="12" t="s">
        <v>149</v>
      </c>
      <c r="M25" s="11">
        <v>3</v>
      </c>
      <c r="N25" s="16"/>
      <c r="O25" s="17" t="s">
        <v>93</v>
      </c>
      <c r="P25" t="s">
        <v>150</v>
      </c>
    </row>
    <row r="26" customFormat="1" ht="22" customHeight="1" spans="9:16">
      <c r="I26" s="15">
        <v>24</v>
      </c>
      <c r="J26" s="66">
        <v>46090</v>
      </c>
      <c r="K26" s="11" t="s">
        <v>94</v>
      </c>
      <c r="L26" s="12" t="s">
        <v>149</v>
      </c>
      <c r="M26" s="11">
        <v>2</v>
      </c>
      <c r="N26" s="16">
        <v>1</v>
      </c>
      <c r="O26" s="17" t="s">
        <v>95</v>
      </c>
      <c r="P26" t="s">
        <v>150</v>
      </c>
    </row>
    <row r="27" customFormat="1" ht="22" customHeight="1" spans="9:16">
      <c r="I27" s="15">
        <v>25</v>
      </c>
      <c r="J27" s="66">
        <v>46090</v>
      </c>
      <c r="K27" s="11" t="s">
        <v>96</v>
      </c>
      <c r="L27" s="12" t="s">
        <v>149</v>
      </c>
      <c r="M27" s="11">
        <v>2</v>
      </c>
      <c r="N27" s="16">
        <v>1</v>
      </c>
      <c r="O27" s="17" t="s">
        <v>95</v>
      </c>
      <c r="P27" t="s">
        <v>150</v>
      </c>
    </row>
    <row r="28" customFormat="1" ht="22" customHeight="1" spans="9:16">
      <c r="I28" s="15">
        <v>26</v>
      </c>
      <c r="J28" s="66">
        <v>46090</v>
      </c>
      <c r="K28" s="11" t="s">
        <v>97</v>
      </c>
      <c r="L28" s="12" t="s">
        <v>149</v>
      </c>
      <c r="M28" s="11"/>
      <c r="N28" s="16">
        <v>3</v>
      </c>
      <c r="O28" s="17" t="s">
        <v>98</v>
      </c>
      <c r="P28" t="s">
        <v>150</v>
      </c>
    </row>
    <row r="29" customFormat="1" ht="22" customHeight="1" spans="9:16">
      <c r="I29" s="15">
        <v>27</v>
      </c>
      <c r="J29" s="66">
        <v>46090</v>
      </c>
      <c r="K29" s="11" t="s">
        <v>99</v>
      </c>
      <c r="L29" s="12" t="s">
        <v>149</v>
      </c>
      <c r="M29" s="11">
        <v>3</v>
      </c>
      <c r="N29" s="16"/>
      <c r="O29" s="17"/>
      <c r="P29" t="s">
        <v>150</v>
      </c>
    </row>
    <row r="30" customFormat="1" ht="22" customHeight="1" spans="9:16">
      <c r="I30" s="15">
        <v>28</v>
      </c>
      <c r="J30" s="71">
        <v>46090</v>
      </c>
      <c r="K30" s="72" t="s">
        <v>101</v>
      </c>
      <c r="L30" s="73" t="s">
        <v>149</v>
      </c>
      <c r="M30" s="72">
        <v>3</v>
      </c>
      <c r="N30" s="74"/>
      <c r="O30" s="75"/>
      <c r="P30" t="s">
        <v>150</v>
      </c>
    </row>
    <row r="31" customFormat="1" ht="22" customHeight="1" spans="9:16">
      <c r="I31" s="15">
        <v>29</v>
      </c>
      <c r="J31" s="66"/>
      <c r="K31" s="76"/>
      <c r="L31" s="77"/>
      <c r="M31" s="76"/>
      <c r="N31" s="25">
        <v>-2</v>
      </c>
      <c r="O31" s="17" t="s">
        <v>151</v>
      </c>
    </row>
    <row r="32" customFormat="1" ht="22" customHeight="1" spans="9:16">
      <c r="I32" s="15"/>
      <c r="J32" s="66"/>
      <c r="K32" s="76"/>
      <c r="L32" s="77"/>
      <c r="M32" s="76"/>
      <c r="N32" s="25"/>
      <c r="O32" s="17"/>
    </row>
    <row r="33" ht="13.5" spans="5:14">
      <c r="E33" s="78">
        <f>SUM(E3:E32)</f>
        <v>54</v>
      </c>
      <c r="F33" s="78">
        <f>SUM(F3:F32)</f>
        <v>18</v>
      </c>
      <c r="M33" s="78">
        <f>SUM(M3:M32)</f>
        <v>47</v>
      </c>
      <c r="N33" s="78">
        <f>SUM(N3:N32)</f>
        <v>35</v>
      </c>
    </row>
  </sheetData>
  <mergeCells count="2">
    <mergeCell ref="A1:G1"/>
    <mergeCell ref="I1:O1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"/>
  <sheetViews>
    <sheetView topLeftCell="E26" workbookViewId="0">
      <selection activeCell="K30" sqref="K30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7.5714285714286" customWidth="1"/>
    <col min="4" max="6" width="12.1428571428571" customWidth="1"/>
    <col min="7" max="7" width="25.2857142857143" customWidth="1"/>
    <col min="9" max="9" width="12.1428571428571" customWidth="1"/>
    <col min="10" max="10" width="14.4285714285714" customWidth="1"/>
    <col min="11" max="11" width="19.5714285714286" customWidth="1"/>
    <col min="12" max="14" width="12.1428571428571" customWidth="1"/>
    <col min="15" max="15" width="25.2857142857143" customWidth="1"/>
  </cols>
  <sheetData>
    <row r="1" ht="38" customHeight="1" spans="1:15">
      <c r="A1" s="2" t="s">
        <v>144</v>
      </c>
      <c r="B1" s="2"/>
      <c r="C1" s="2"/>
      <c r="D1" s="2"/>
      <c r="E1" s="2"/>
      <c r="F1" s="3"/>
      <c r="G1" s="4"/>
      <c r="I1" s="2" t="s">
        <v>145</v>
      </c>
      <c r="J1" s="2"/>
      <c r="K1" s="2"/>
      <c r="L1" s="2"/>
      <c r="M1" s="2"/>
      <c r="N1" s="3"/>
      <c r="O1" s="4"/>
    </row>
    <row r="2" s="1" customFormat="1" ht="32" customHeight="1" spans="1:15">
      <c r="A2" s="5" t="s">
        <v>2</v>
      </c>
      <c r="B2" s="5" t="s">
        <v>136</v>
      </c>
      <c r="C2" s="5" t="s">
        <v>3</v>
      </c>
      <c r="D2" s="6" t="s">
        <v>146</v>
      </c>
      <c r="E2" s="7" t="s">
        <v>147</v>
      </c>
      <c r="F2" s="7" t="s">
        <v>148</v>
      </c>
      <c r="G2" s="7" t="s">
        <v>7</v>
      </c>
      <c r="I2" s="7" t="s">
        <v>2</v>
      </c>
      <c r="J2" s="8" t="s">
        <v>136</v>
      </c>
      <c r="K2" s="5" t="s">
        <v>3</v>
      </c>
      <c r="L2" s="6" t="s">
        <v>146</v>
      </c>
      <c r="M2" s="7" t="s">
        <v>147</v>
      </c>
      <c r="N2" s="7" t="s">
        <v>148</v>
      </c>
      <c r="O2" s="7" t="s">
        <v>7</v>
      </c>
    </row>
    <row r="3" ht="22" customHeight="1" spans="1:15">
      <c r="A3" s="9">
        <v>1</v>
      </c>
      <c r="B3" s="66">
        <v>46093</v>
      </c>
      <c r="C3" s="11" t="s">
        <v>13</v>
      </c>
      <c r="D3" s="12" t="s">
        <v>152</v>
      </c>
      <c r="E3" s="11">
        <v>1</v>
      </c>
      <c r="F3" s="11">
        <v>1</v>
      </c>
      <c r="G3" s="13"/>
      <c r="I3" s="15">
        <v>1</v>
      </c>
      <c r="J3" s="10">
        <v>46093</v>
      </c>
      <c r="K3" s="11" t="s">
        <v>50</v>
      </c>
      <c r="L3" s="12" t="s">
        <v>152</v>
      </c>
      <c r="M3" s="11">
        <v>2</v>
      </c>
      <c r="N3" s="16"/>
      <c r="O3" s="17"/>
    </row>
    <row r="4" ht="22" customHeight="1" spans="1:15">
      <c r="A4" s="9">
        <v>2</v>
      </c>
      <c r="B4" s="66">
        <v>46093</v>
      </c>
      <c r="C4" s="11" t="s">
        <v>16</v>
      </c>
      <c r="D4" s="12" t="s">
        <v>152</v>
      </c>
      <c r="E4" s="11">
        <v>2</v>
      </c>
      <c r="F4" s="16"/>
      <c r="G4" s="18"/>
      <c r="I4" s="15">
        <v>2</v>
      </c>
      <c r="J4" s="10">
        <v>46093</v>
      </c>
      <c r="K4" s="11" t="s">
        <v>55</v>
      </c>
      <c r="L4" s="12" t="s">
        <v>152</v>
      </c>
      <c r="M4" s="11"/>
      <c r="N4" s="16">
        <v>2</v>
      </c>
      <c r="O4" s="17" t="s">
        <v>56</v>
      </c>
    </row>
    <row r="5" ht="22" customHeight="1" spans="1:15">
      <c r="A5" s="9">
        <v>3</v>
      </c>
      <c r="B5" s="66">
        <v>46093</v>
      </c>
      <c r="C5" s="11" t="s">
        <v>17</v>
      </c>
      <c r="D5" s="12" t="s">
        <v>152</v>
      </c>
      <c r="E5" s="11">
        <v>2</v>
      </c>
      <c r="F5" s="16"/>
      <c r="G5" s="18"/>
      <c r="I5" s="15">
        <v>3</v>
      </c>
      <c r="J5" s="10">
        <v>46093</v>
      </c>
      <c r="K5" s="11" t="s">
        <v>57</v>
      </c>
      <c r="L5" s="12" t="s">
        <v>152</v>
      </c>
      <c r="M5" s="11">
        <v>2</v>
      </c>
      <c r="N5" s="16"/>
      <c r="O5" s="17"/>
    </row>
    <row r="6" ht="22" customHeight="1" spans="1:15">
      <c r="A6" s="9">
        <v>4</v>
      </c>
      <c r="B6" s="66">
        <v>46093</v>
      </c>
      <c r="C6" s="11" t="s">
        <v>18</v>
      </c>
      <c r="D6" s="12" t="s">
        <v>152</v>
      </c>
      <c r="E6" s="11">
        <v>2</v>
      </c>
      <c r="F6" s="16"/>
      <c r="G6" s="18"/>
      <c r="I6" s="15">
        <v>4</v>
      </c>
      <c r="J6" s="10">
        <v>46093</v>
      </c>
      <c r="K6" s="11" t="s">
        <v>59</v>
      </c>
      <c r="L6" s="12" t="s">
        <v>152</v>
      </c>
      <c r="M6" s="11">
        <v>1</v>
      </c>
      <c r="N6" s="16">
        <v>1</v>
      </c>
      <c r="O6" s="17" t="s">
        <v>61</v>
      </c>
    </row>
    <row r="7" ht="22" customHeight="1" spans="1:15">
      <c r="A7" s="9">
        <v>5</v>
      </c>
      <c r="B7" s="66">
        <v>46093</v>
      </c>
      <c r="C7" s="11" t="s">
        <v>20</v>
      </c>
      <c r="D7" s="12" t="s">
        <v>152</v>
      </c>
      <c r="E7" s="16"/>
      <c r="F7" s="11">
        <v>2</v>
      </c>
      <c r="G7" s="18"/>
      <c r="I7" s="15">
        <v>5</v>
      </c>
      <c r="J7" s="10">
        <v>46093</v>
      </c>
      <c r="K7" s="11" t="s">
        <v>62</v>
      </c>
      <c r="L7" s="12" t="s">
        <v>152</v>
      </c>
      <c r="M7" s="11">
        <v>2</v>
      </c>
      <c r="N7" s="16"/>
      <c r="O7" s="17" t="s">
        <v>63</v>
      </c>
    </row>
    <row r="8" ht="28.5" spans="1:15">
      <c r="A8" s="9">
        <v>6</v>
      </c>
      <c r="B8" s="66">
        <v>46093</v>
      </c>
      <c r="C8" s="11" t="s">
        <v>21</v>
      </c>
      <c r="D8" s="12" t="s">
        <v>152</v>
      </c>
      <c r="E8" s="11">
        <v>2</v>
      </c>
      <c r="F8" s="16"/>
      <c r="G8" s="18"/>
      <c r="I8" s="15">
        <v>6</v>
      </c>
      <c r="J8" s="10">
        <v>46093</v>
      </c>
      <c r="K8" s="11" t="s">
        <v>64</v>
      </c>
      <c r="L8" s="12" t="s">
        <v>152</v>
      </c>
      <c r="M8" s="11">
        <v>1</v>
      </c>
      <c r="N8" s="16">
        <v>1</v>
      </c>
      <c r="O8" s="19" t="s">
        <v>65</v>
      </c>
    </row>
    <row r="9" ht="22" customHeight="1" spans="1:15">
      <c r="A9" s="9">
        <v>7</v>
      </c>
      <c r="B9" s="66">
        <v>46093</v>
      </c>
      <c r="C9" s="11" t="s">
        <v>22</v>
      </c>
      <c r="D9" s="12" t="s">
        <v>152</v>
      </c>
      <c r="E9" s="11">
        <v>2</v>
      </c>
      <c r="F9" s="16"/>
      <c r="G9" s="20"/>
      <c r="I9" s="15">
        <v>7</v>
      </c>
      <c r="J9" s="10">
        <v>46093</v>
      </c>
      <c r="K9" s="11" t="s">
        <v>66</v>
      </c>
      <c r="L9" s="12" t="s">
        <v>152</v>
      </c>
      <c r="M9" s="11">
        <v>1</v>
      </c>
      <c r="N9" s="16">
        <v>1</v>
      </c>
      <c r="O9" s="17" t="s">
        <v>67</v>
      </c>
    </row>
    <row r="10" ht="22" customHeight="1" spans="1:15">
      <c r="A10" s="9">
        <v>8</v>
      </c>
      <c r="B10" s="66">
        <v>46093</v>
      </c>
      <c r="C10" s="11" t="s">
        <v>23</v>
      </c>
      <c r="D10" s="12" t="s">
        <v>152</v>
      </c>
      <c r="E10" s="11">
        <v>1</v>
      </c>
      <c r="F10" s="11">
        <v>1</v>
      </c>
      <c r="G10" s="20"/>
      <c r="I10" s="15">
        <v>8</v>
      </c>
      <c r="J10" s="10">
        <v>46093</v>
      </c>
      <c r="K10" s="11" t="s">
        <v>68</v>
      </c>
      <c r="L10" s="12" t="s">
        <v>152</v>
      </c>
      <c r="M10" s="11"/>
      <c r="N10" s="16">
        <v>2</v>
      </c>
      <c r="O10" s="17" t="s">
        <v>56</v>
      </c>
    </row>
    <row r="11" customFormat="1" ht="22" customHeight="1" spans="1:15">
      <c r="A11" s="9">
        <v>9</v>
      </c>
      <c r="B11" s="66">
        <v>46093</v>
      </c>
      <c r="C11" s="11" t="s">
        <v>24</v>
      </c>
      <c r="D11" s="12" t="s">
        <v>152</v>
      </c>
      <c r="E11" s="11">
        <v>2</v>
      </c>
      <c r="F11" s="16"/>
      <c r="G11" s="20"/>
      <c r="I11" s="15">
        <v>9</v>
      </c>
      <c r="J11" s="10">
        <v>46093</v>
      </c>
      <c r="K11" s="11" t="s">
        <v>69</v>
      </c>
      <c r="L11" s="12" t="s">
        <v>152</v>
      </c>
      <c r="M11" s="11"/>
      <c r="N11" s="16">
        <v>2</v>
      </c>
      <c r="O11" s="17" t="s">
        <v>70</v>
      </c>
    </row>
    <row r="12" customFormat="1" ht="22" customHeight="1" spans="1:15">
      <c r="A12" s="9">
        <v>10</v>
      </c>
      <c r="B12" s="66">
        <v>46093</v>
      </c>
      <c r="C12" s="11" t="s">
        <v>25</v>
      </c>
      <c r="D12" s="12" t="s">
        <v>152</v>
      </c>
      <c r="E12" s="16"/>
      <c r="F12" s="11">
        <v>2</v>
      </c>
      <c r="G12" s="20"/>
      <c r="I12" s="15">
        <v>10</v>
      </c>
      <c r="J12" s="10">
        <v>46093</v>
      </c>
      <c r="K12" s="11" t="s">
        <v>71</v>
      </c>
      <c r="L12" s="12" t="s">
        <v>152</v>
      </c>
      <c r="M12" s="11"/>
      <c r="N12" s="16">
        <v>2</v>
      </c>
      <c r="O12" s="17" t="s">
        <v>72</v>
      </c>
    </row>
    <row r="13" customFormat="1" ht="22" customHeight="1" spans="1:15">
      <c r="A13" s="9">
        <v>11</v>
      </c>
      <c r="B13" s="66">
        <v>46093</v>
      </c>
      <c r="C13" s="11" t="s">
        <v>26</v>
      </c>
      <c r="D13" s="12" t="s">
        <v>152</v>
      </c>
      <c r="E13" s="11">
        <v>1</v>
      </c>
      <c r="F13" s="11">
        <v>1</v>
      </c>
      <c r="G13" s="20"/>
      <c r="I13" s="15">
        <v>11</v>
      </c>
      <c r="J13" s="10">
        <v>46093</v>
      </c>
      <c r="K13" s="11" t="s">
        <v>73</v>
      </c>
      <c r="L13" s="12" t="s">
        <v>152</v>
      </c>
      <c r="M13" s="11"/>
      <c r="N13" s="16">
        <v>2</v>
      </c>
      <c r="O13" s="17" t="s">
        <v>74</v>
      </c>
    </row>
    <row r="14" customFormat="1" ht="22" customHeight="1" spans="1:15">
      <c r="A14" s="9">
        <v>12</v>
      </c>
      <c r="B14" s="66">
        <v>46093</v>
      </c>
      <c r="C14" s="11" t="s">
        <v>27</v>
      </c>
      <c r="D14" s="12" t="s">
        <v>152</v>
      </c>
      <c r="E14" s="11">
        <v>2</v>
      </c>
      <c r="F14" s="16"/>
      <c r="G14" s="20"/>
      <c r="I14" s="15">
        <v>12</v>
      </c>
      <c r="J14" s="10">
        <v>46093</v>
      </c>
      <c r="K14" s="11" t="s">
        <v>75</v>
      </c>
      <c r="L14" s="12" t="s">
        <v>152</v>
      </c>
      <c r="M14" s="11">
        <v>1</v>
      </c>
      <c r="N14" s="16">
        <v>1</v>
      </c>
      <c r="O14" s="17" t="s">
        <v>76</v>
      </c>
    </row>
    <row r="15" customFormat="1" ht="22" customHeight="1" spans="1:15">
      <c r="A15" s="9"/>
      <c r="B15" s="67"/>
      <c r="C15" s="21"/>
      <c r="D15" s="68"/>
      <c r="E15" s="69"/>
      <c r="F15" s="25"/>
      <c r="G15" s="25"/>
      <c r="I15" s="15">
        <v>13</v>
      </c>
      <c r="J15" s="10">
        <v>46093</v>
      </c>
      <c r="K15" s="11" t="s">
        <v>77</v>
      </c>
      <c r="L15" s="12" t="s">
        <v>152</v>
      </c>
      <c r="M15" s="11">
        <v>2</v>
      </c>
      <c r="N15" s="16"/>
      <c r="O15" s="17"/>
    </row>
    <row r="16" customFormat="1" ht="22" customHeight="1" spans="1:15">
      <c r="E16" s="70">
        <f>SUM(E3:E15)</f>
        <v>17</v>
      </c>
      <c r="F16" s="70">
        <f>SUM(F3:F15)</f>
        <v>7</v>
      </c>
      <c r="I16" s="15">
        <v>14</v>
      </c>
      <c r="J16" s="10">
        <v>46093</v>
      </c>
      <c r="K16" s="11" t="s">
        <v>78</v>
      </c>
      <c r="L16" s="12" t="s">
        <v>152</v>
      </c>
      <c r="M16" s="11">
        <v>1</v>
      </c>
      <c r="N16" s="16">
        <v>1</v>
      </c>
      <c r="O16" s="17" t="s">
        <v>79</v>
      </c>
    </row>
    <row r="17" customFormat="1" ht="22" customHeight="1" spans="9:15">
      <c r="I17" s="15">
        <v>15</v>
      </c>
      <c r="J17" s="10">
        <v>46093</v>
      </c>
      <c r="K17" s="11" t="s">
        <v>80</v>
      </c>
      <c r="L17" s="12" t="s">
        <v>152</v>
      </c>
      <c r="M17" s="11">
        <v>2</v>
      </c>
      <c r="N17" s="16"/>
      <c r="O17" s="17" t="s">
        <v>81</v>
      </c>
    </row>
    <row r="18" customFormat="1" ht="22" customHeight="1" spans="9:15">
      <c r="I18" s="15">
        <v>16</v>
      </c>
      <c r="J18" s="10">
        <v>46093</v>
      </c>
      <c r="K18" s="11" t="s">
        <v>82</v>
      </c>
      <c r="L18" s="12" t="s">
        <v>152</v>
      </c>
      <c r="M18" s="11"/>
      <c r="N18" s="16">
        <v>2</v>
      </c>
      <c r="O18" s="17" t="s">
        <v>83</v>
      </c>
    </row>
    <row r="19" customFormat="1" ht="22" customHeight="1" spans="9:15">
      <c r="I19" s="15">
        <v>17</v>
      </c>
      <c r="J19" s="10">
        <v>46093</v>
      </c>
      <c r="K19" s="11" t="s">
        <v>84</v>
      </c>
      <c r="L19" s="12" t="s">
        <v>152</v>
      </c>
      <c r="M19" s="11"/>
      <c r="N19" s="16">
        <v>2</v>
      </c>
      <c r="O19" s="17" t="s">
        <v>83</v>
      </c>
    </row>
    <row r="20" customFormat="1" ht="22" customHeight="1" spans="9:15">
      <c r="I20" s="15">
        <v>18</v>
      </c>
      <c r="J20" s="10">
        <v>46093</v>
      </c>
      <c r="K20" s="11" t="s">
        <v>85</v>
      </c>
      <c r="L20" s="12" t="s">
        <v>152</v>
      </c>
      <c r="M20" s="11">
        <v>2</v>
      </c>
      <c r="N20" s="16"/>
      <c r="O20" s="17"/>
    </row>
    <row r="21" customFormat="1" ht="22" customHeight="1" spans="9:15">
      <c r="I21" s="15">
        <v>19</v>
      </c>
      <c r="J21" s="10">
        <v>46093</v>
      </c>
      <c r="K21" s="11" t="s">
        <v>87</v>
      </c>
      <c r="L21" s="12" t="s">
        <v>152</v>
      </c>
      <c r="M21" s="11"/>
      <c r="N21" s="16">
        <v>2</v>
      </c>
      <c r="O21" s="17" t="s">
        <v>88</v>
      </c>
    </row>
    <row r="22" customFormat="1" ht="22" customHeight="1" spans="9:15">
      <c r="I22" s="15">
        <v>20</v>
      </c>
      <c r="J22" s="10">
        <v>46093</v>
      </c>
      <c r="K22" s="11" t="s">
        <v>89</v>
      </c>
      <c r="L22" s="12" t="s">
        <v>152</v>
      </c>
      <c r="M22" s="11"/>
      <c r="N22" s="16">
        <v>2</v>
      </c>
      <c r="O22" s="17" t="s">
        <v>74</v>
      </c>
    </row>
    <row r="23" customFormat="1" ht="22" customHeight="1" spans="9:15">
      <c r="I23" s="15">
        <v>21</v>
      </c>
      <c r="J23" s="10">
        <v>46093</v>
      </c>
      <c r="K23" s="11" t="s">
        <v>90</v>
      </c>
      <c r="L23" s="12" t="s">
        <v>152</v>
      </c>
      <c r="M23" s="11">
        <v>2</v>
      </c>
      <c r="N23" s="16"/>
      <c r="O23" s="17"/>
    </row>
    <row r="24" customFormat="1" ht="22" customHeight="1" spans="9:15">
      <c r="I24" s="15">
        <v>22</v>
      </c>
      <c r="J24" s="10">
        <v>46093</v>
      </c>
      <c r="K24" s="11" t="s">
        <v>91</v>
      </c>
      <c r="L24" s="12" t="s">
        <v>152</v>
      </c>
      <c r="M24" s="11">
        <v>2</v>
      </c>
      <c r="N24" s="16"/>
      <c r="O24" s="17"/>
    </row>
    <row r="25" customFormat="1" ht="22" customHeight="1" spans="9:15">
      <c r="I25" s="15">
        <v>23</v>
      </c>
      <c r="J25" s="10">
        <v>46093</v>
      </c>
      <c r="K25" s="11" t="s">
        <v>92</v>
      </c>
      <c r="L25" s="12" t="s">
        <v>152</v>
      </c>
      <c r="M25" s="11">
        <v>2</v>
      </c>
      <c r="N25" s="16"/>
      <c r="O25" s="17" t="s">
        <v>93</v>
      </c>
    </row>
    <row r="26" customFormat="1" ht="22" customHeight="1" spans="9:15">
      <c r="I26" s="15">
        <v>24</v>
      </c>
      <c r="J26" s="10">
        <v>46093</v>
      </c>
      <c r="K26" s="11" t="s">
        <v>94</v>
      </c>
      <c r="L26" s="12" t="s">
        <v>152</v>
      </c>
      <c r="M26" s="11">
        <v>1</v>
      </c>
      <c r="N26" s="16">
        <v>1</v>
      </c>
      <c r="O26" s="17" t="s">
        <v>95</v>
      </c>
    </row>
    <row r="27" customFormat="1" ht="22" customHeight="1" spans="9:15">
      <c r="I27" s="15">
        <v>25</v>
      </c>
      <c r="J27" s="10">
        <v>46093</v>
      </c>
      <c r="K27" s="11" t="s">
        <v>96</v>
      </c>
      <c r="L27" s="12" t="s">
        <v>152</v>
      </c>
      <c r="M27" s="11">
        <v>1</v>
      </c>
      <c r="N27" s="16">
        <v>1</v>
      </c>
      <c r="O27" s="17" t="s">
        <v>95</v>
      </c>
    </row>
    <row r="28" customFormat="1" ht="22" customHeight="1" spans="9:15">
      <c r="I28" s="15">
        <v>26</v>
      </c>
      <c r="J28" s="10">
        <v>46093</v>
      </c>
      <c r="K28" s="11" t="s">
        <v>97</v>
      </c>
      <c r="L28" s="12" t="s">
        <v>152</v>
      </c>
      <c r="M28" s="11"/>
      <c r="N28" s="16">
        <v>2</v>
      </c>
      <c r="O28" s="17" t="s">
        <v>98</v>
      </c>
    </row>
    <row r="29" customFormat="1" ht="22" customHeight="1" spans="9:15">
      <c r="I29" s="15">
        <v>27</v>
      </c>
      <c r="J29" s="10">
        <v>46093</v>
      </c>
      <c r="K29" s="11" t="s">
        <v>99</v>
      </c>
      <c r="L29" s="12" t="s">
        <v>152</v>
      </c>
      <c r="M29" s="11">
        <v>2</v>
      </c>
      <c r="N29" s="16"/>
      <c r="O29" s="17"/>
    </row>
    <row r="30" customFormat="1" ht="22" customHeight="1" spans="9:15">
      <c r="I30" s="15">
        <v>28</v>
      </c>
      <c r="J30" s="10">
        <v>46093</v>
      </c>
      <c r="K30" s="11" t="s">
        <v>101</v>
      </c>
      <c r="L30" s="12" t="s">
        <v>152</v>
      </c>
      <c r="M30" s="11">
        <v>2</v>
      </c>
      <c r="N30" s="16"/>
      <c r="O30" s="17"/>
    </row>
    <row r="31" customFormat="1" ht="22" customHeight="1" spans="9:15">
      <c r="I31" s="15">
        <v>29</v>
      </c>
      <c r="J31" s="10">
        <v>46093</v>
      </c>
      <c r="K31" s="11" t="s">
        <v>103</v>
      </c>
      <c r="L31" s="12" t="s">
        <v>152</v>
      </c>
      <c r="M31" s="11"/>
      <c r="N31" s="11">
        <v>2</v>
      </c>
      <c r="O31" s="17" t="s">
        <v>104</v>
      </c>
    </row>
    <row r="32" customFormat="1" ht="22" customHeight="1" spans="9:15">
      <c r="I32" s="15">
        <v>30</v>
      </c>
      <c r="J32" s="10">
        <v>46093</v>
      </c>
      <c r="K32" s="11" t="s">
        <v>105</v>
      </c>
      <c r="L32" s="12" t="s">
        <v>152</v>
      </c>
      <c r="M32" s="11">
        <v>2</v>
      </c>
      <c r="N32" s="16"/>
      <c r="O32" s="17"/>
    </row>
    <row r="33" customFormat="1" ht="22" customHeight="1" spans="9:16">
      <c r="I33" s="15">
        <v>31</v>
      </c>
      <c r="J33" s="10">
        <v>46093</v>
      </c>
      <c r="K33" s="11" t="s">
        <v>106</v>
      </c>
      <c r="L33" s="12" t="s">
        <v>152</v>
      </c>
      <c r="M33" s="11"/>
      <c r="N33" s="16">
        <v>2</v>
      </c>
      <c r="O33" s="17" t="s">
        <v>74</v>
      </c>
    </row>
    <row r="34" customFormat="1" ht="22" customHeight="1" spans="9:16">
      <c r="I34" s="15">
        <v>32</v>
      </c>
      <c r="J34" s="10">
        <v>46093</v>
      </c>
      <c r="K34" s="11" t="s">
        <v>107</v>
      </c>
      <c r="L34" s="12" t="s">
        <v>152</v>
      </c>
      <c r="M34" s="11">
        <v>1</v>
      </c>
      <c r="N34" s="16">
        <v>1</v>
      </c>
      <c r="O34" s="17" t="s">
        <v>108</v>
      </c>
    </row>
    <row r="35" customFormat="1" ht="22" customHeight="1" spans="9:16">
      <c r="I35" s="15">
        <v>33</v>
      </c>
      <c r="J35" s="10">
        <v>46093</v>
      </c>
      <c r="K35" s="11" t="s">
        <v>109</v>
      </c>
      <c r="L35" s="12" t="s">
        <v>152</v>
      </c>
      <c r="M35" s="11"/>
      <c r="N35" s="16">
        <v>2</v>
      </c>
      <c r="O35" s="17" t="s">
        <v>98</v>
      </c>
    </row>
    <row r="36" customFormat="1" ht="22" customHeight="1" spans="9:16">
      <c r="I36" s="15">
        <v>34</v>
      </c>
      <c r="J36" s="10">
        <v>46093</v>
      </c>
      <c r="K36" s="11" t="s">
        <v>110</v>
      </c>
      <c r="L36" s="12" t="s">
        <v>152</v>
      </c>
      <c r="M36" s="11"/>
      <c r="N36" s="16">
        <v>2</v>
      </c>
      <c r="O36" s="17" t="s">
        <v>98</v>
      </c>
    </row>
    <row r="37" customFormat="1" ht="22" customHeight="1" spans="9:16">
      <c r="I37" s="15">
        <v>35</v>
      </c>
      <c r="J37" s="10">
        <v>46093</v>
      </c>
      <c r="K37" s="11" t="s">
        <v>111</v>
      </c>
      <c r="L37" s="12" t="s">
        <v>152</v>
      </c>
      <c r="M37" s="11">
        <v>2</v>
      </c>
      <c r="N37" s="16"/>
      <c r="O37" s="17"/>
    </row>
    <row r="38" customFormat="1" ht="22" customHeight="1" spans="9:16">
      <c r="I38" s="15">
        <v>36</v>
      </c>
      <c r="J38" s="10">
        <v>46093</v>
      </c>
      <c r="K38" s="11" t="s">
        <v>112</v>
      </c>
      <c r="L38" s="12" t="s">
        <v>152</v>
      </c>
      <c r="M38" s="11">
        <v>2</v>
      </c>
      <c r="N38" s="16"/>
      <c r="O38" s="17"/>
    </row>
    <row r="39" customFormat="1" ht="22" customHeight="1" spans="9:16">
      <c r="I39" s="15">
        <v>37</v>
      </c>
      <c r="J39" s="10">
        <v>46093</v>
      </c>
      <c r="K39" s="11" t="s">
        <v>103</v>
      </c>
      <c r="L39" s="12" t="s">
        <v>149</v>
      </c>
      <c r="M39" s="11"/>
      <c r="N39" s="16">
        <v>3</v>
      </c>
      <c r="O39" s="17" t="s">
        <v>153</v>
      </c>
    </row>
    <row r="40" customFormat="1" ht="22" customHeight="1" spans="9:16">
      <c r="I40" s="15">
        <v>38</v>
      </c>
      <c r="J40" s="10">
        <v>46093</v>
      </c>
      <c r="K40" s="11" t="s">
        <v>105</v>
      </c>
      <c r="L40" s="12" t="s">
        <v>149</v>
      </c>
      <c r="M40" s="11">
        <v>3</v>
      </c>
      <c r="N40" s="16"/>
      <c r="O40" s="17" t="s">
        <v>153</v>
      </c>
    </row>
    <row r="41" customFormat="1" ht="22" customHeight="1" spans="9:16">
      <c r="I41" s="15">
        <v>39</v>
      </c>
      <c r="J41" s="10">
        <v>46093</v>
      </c>
      <c r="K41" s="11" t="s">
        <v>106</v>
      </c>
      <c r="L41" s="12" t="s">
        <v>149</v>
      </c>
      <c r="M41" s="11"/>
      <c r="N41" s="16">
        <v>3</v>
      </c>
      <c r="O41" s="17" t="s">
        <v>153</v>
      </c>
    </row>
    <row r="42" customFormat="1" ht="22" customHeight="1" spans="9:16">
      <c r="I42" s="15">
        <v>40</v>
      </c>
      <c r="J42" s="10">
        <v>46093</v>
      </c>
      <c r="K42" s="11" t="s">
        <v>107</v>
      </c>
      <c r="L42" s="12" t="s">
        <v>149</v>
      </c>
      <c r="M42" s="11">
        <v>2</v>
      </c>
      <c r="N42" s="16">
        <v>1</v>
      </c>
      <c r="O42" s="17" t="s">
        <v>153</v>
      </c>
    </row>
    <row r="43" customFormat="1" ht="22" customHeight="1" spans="9:16">
      <c r="I43" s="15">
        <v>41</v>
      </c>
      <c r="J43" s="10">
        <v>46093</v>
      </c>
      <c r="K43" s="11" t="s">
        <v>109</v>
      </c>
      <c r="L43" s="12" t="s">
        <v>149</v>
      </c>
      <c r="M43" s="11"/>
      <c r="N43" s="16">
        <v>3</v>
      </c>
      <c r="O43" s="17" t="s">
        <v>153</v>
      </c>
    </row>
    <row r="44" customFormat="1" ht="22" customHeight="1" spans="9:16">
      <c r="I44" s="15">
        <v>42</v>
      </c>
      <c r="J44" s="10">
        <v>46093</v>
      </c>
      <c r="K44" s="11" t="s">
        <v>110</v>
      </c>
      <c r="L44" s="12" t="s">
        <v>149</v>
      </c>
      <c r="M44" s="11"/>
      <c r="N44" s="16">
        <v>3</v>
      </c>
      <c r="O44" s="17" t="s">
        <v>153</v>
      </c>
    </row>
    <row r="45" customFormat="1" ht="22" customHeight="1" spans="9:16">
      <c r="I45" s="15">
        <v>43</v>
      </c>
      <c r="J45" s="10">
        <v>46093</v>
      </c>
      <c r="K45" s="11" t="s">
        <v>111</v>
      </c>
      <c r="L45" s="12" t="s">
        <v>149</v>
      </c>
      <c r="M45" s="11">
        <v>3</v>
      </c>
      <c r="N45" s="16"/>
      <c r="O45" s="17" t="s">
        <v>153</v>
      </c>
    </row>
    <row r="46" customFormat="1" ht="22" customHeight="1" spans="9:16">
      <c r="I46" s="15">
        <v>44</v>
      </c>
      <c r="J46" s="10">
        <v>46093</v>
      </c>
      <c r="K46" s="11" t="s">
        <v>112</v>
      </c>
      <c r="L46" s="12" t="s">
        <v>149</v>
      </c>
      <c r="M46" s="11">
        <v>3</v>
      </c>
      <c r="N46" s="16"/>
      <c r="O46" s="17" t="s">
        <v>153</v>
      </c>
    </row>
    <row r="47" customFormat="1" ht="22" customHeight="1" spans="9:16">
      <c r="I47" s="15">
        <v>45</v>
      </c>
      <c r="J47" s="10">
        <v>46093</v>
      </c>
      <c r="K47" s="11" t="s">
        <v>154</v>
      </c>
      <c r="L47" s="12" t="s">
        <v>152</v>
      </c>
      <c r="M47" s="11"/>
      <c r="N47" s="16">
        <v>2</v>
      </c>
      <c r="O47" s="17" t="s">
        <v>153</v>
      </c>
      <c r="P47" t="s">
        <v>155</v>
      </c>
    </row>
    <row r="48" customFormat="1" ht="22" customHeight="1" spans="9:16">
      <c r="M48" s="14">
        <f>SUM(M3:M46)</f>
        <v>47</v>
      </c>
      <c r="N48" s="14">
        <f>SUM(N3:N46)</f>
        <v>49</v>
      </c>
    </row>
  </sheetData>
  <mergeCells count="2">
    <mergeCell ref="A1:G1"/>
    <mergeCell ref="I1:O1"/>
  </mergeCells>
  <pageMargins left="0.75" right="0.75" top="1" bottom="1" header="0.5" footer="0.5"/>
  <pageSetup paperSize="256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8"/>
  <sheetViews>
    <sheetView topLeftCell="J1" workbookViewId="0">
      <pane ySplit="2" topLeftCell="A12" activePane="bottomLeft" state="frozen"/>
      <selection/>
      <selection pane="bottomLeft" activeCell="G23" sqref="G23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5" customWidth="1"/>
    <col min="4" max="4" width="12.1428571428571" customWidth="1"/>
    <col min="5" max="5" width="9.85714285714286" customWidth="1"/>
    <col min="6" max="6" width="10" customWidth="1"/>
    <col min="7" max="7" width="19.5714285714286" customWidth="1"/>
    <col min="9" max="9" width="8.57142857142857" customWidth="1"/>
    <col min="10" max="10" width="11" customWidth="1"/>
    <col min="11" max="11" width="11.4285714285714" customWidth="1"/>
    <col min="12" max="12" width="12.1428571428571" customWidth="1"/>
    <col min="13" max="14" width="10" customWidth="1"/>
    <col min="15" max="15" width="25.2857142857143" customWidth="1"/>
    <col min="16" max="16" width="3.85714285714286" customWidth="1"/>
    <col min="18" max="20" width="11.5714285714286" customWidth="1"/>
    <col min="21" max="22" width="9.14285714285714" customWidth="1"/>
    <col min="23" max="23" width="25.2857142857143" customWidth="1"/>
  </cols>
  <sheetData>
    <row r="1" ht="38" customHeight="1" spans="1:23">
      <c r="A1" s="2" t="s">
        <v>144</v>
      </c>
      <c r="B1" s="2"/>
      <c r="C1" s="2"/>
      <c r="D1" s="2"/>
      <c r="E1" s="2"/>
      <c r="F1" s="3"/>
      <c r="G1" s="4"/>
      <c r="I1" s="2" t="s">
        <v>145</v>
      </c>
      <c r="J1" s="2"/>
      <c r="K1" s="2"/>
      <c r="L1" s="2"/>
      <c r="M1" s="2"/>
      <c r="N1" s="3"/>
      <c r="O1" s="4"/>
      <c r="Q1" s="2" t="s">
        <v>145</v>
      </c>
      <c r="R1" s="2"/>
      <c r="S1" s="2"/>
      <c r="T1" s="2"/>
      <c r="U1" s="2"/>
      <c r="V1" s="3"/>
      <c r="W1" s="4"/>
    </row>
    <row r="2" s="1" customFormat="1" ht="32" customHeight="1" spans="1:23">
      <c r="A2" s="5" t="s">
        <v>2</v>
      </c>
      <c r="B2" s="5" t="s">
        <v>136</v>
      </c>
      <c r="C2" s="5" t="s">
        <v>3</v>
      </c>
      <c r="D2" s="6" t="s">
        <v>146</v>
      </c>
      <c r="E2" s="7" t="s">
        <v>147</v>
      </c>
      <c r="F2" s="7" t="s">
        <v>148</v>
      </c>
      <c r="G2" s="7" t="s">
        <v>7</v>
      </c>
      <c r="I2" s="7" t="s">
        <v>2</v>
      </c>
      <c r="J2" s="8" t="s">
        <v>136</v>
      </c>
      <c r="K2" s="5" t="s">
        <v>3</v>
      </c>
      <c r="L2" s="6" t="s">
        <v>146</v>
      </c>
      <c r="M2" s="7" t="s">
        <v>147</v>
      </c>
      <c r="N2" s="7" t="s">
        <v>148</v>
      </c>
      <c r="O2" s="7" t="s">
        <v>7</v>
      </c>
      <c r="Q2" s="53" t="s">
        <v>2</v>
      </c>
      <c r="R2" s="8" t="s">
        <v>136</v>
      </c>
      <c r="S2" s="5" t="s">
        <v>3</v>
      </c>
      <c r="T2" s="54" t="s">
        <v>146</v>
      </c>
      <c r="U2" s="53" t="s">
        <v>147</v>
      </c>
      <c r="V2" s="53" t="s">
        <v>148</v>
      </c>
      <c r="W2" s="53" t="s">
        <v>7</v>
      </c>
    </row>
    <row r="3" ht="22" customHeight="1" spans="1:23">
      <c r="A3" s="9">
        <v>1</v>
      </c>
      <c r="B3" s="10">
        <v>46097</v>
      </c>
      <c r="C3" s="11" t="s">
        <v>13</v>
      </c>
      <c r="D3" s="12" t="s">
        <v>149</v>
      </c>
      <c r="E3" s="11">
        <v>2</v>
      </c>
      <c r="F3" s="11">
        <v>1</v>
      </c>
      <c r="G3" s="13"/>
      <c r="I3" s="15">
        <v>1</v>
      </c>
      <c r="J3" s="10">
        <v>46097</v>
      </c>
      <c r="K3" s="11" t="s">
        <v>50</v>
      </c>
      <c r="L3" s="12" t="s">
        <v>149</v>
      </c>
      <c r="M3" s="11">
        <v>3</v>
      </c>
      <c r="N3" s="16"/>
      <c r="O3" s="17"/>
      <c r="Q3" s="44">
        <v>31</v>
      </c>
      <c r="R3" s="62">
        <v>46097</v>
      </c>
      <c r="S3" s="42" t="s">
        <v>106</v>
      </c>
      <c r="T3" s="41" t="s">
        <v>149</v>
      </c>
      <c r="U3" s="42"/>
      <c r="V3" s="42">
        <v>3</v>
      </c>
      <c r="W3" s="40" t="s">
        <v>74</v>
      </c>
    </row>
    <row r="4" ht="22" customHeight="1" spans="1:23">
      <c r="A4" s="9">
        <v>2</v>
      </c>
      <c r="B4" s="10">
        <v>46097</v>
      </c>
      <c r="C4" s="11" t="s">
        <v>16</v>
      </c>
      <c r="D4" s="12" t="s">
        <v>149</v>
      </c>
      <c r="E4" s="11">
        <v>3</v>
      </c>
      <c r="F4" s="16"/>
      <c r="G4" s="18"/>
      <c r="I4" s="15">
        <v>2</v>
      </c>
      <c r="J4" s="10">
        <v>46097</v>
      </c>
      <c r="K4" s="11" t="s">
        <v>55</v>
      </c>
      <c r="L4" s="12" t="s">
        <v>149</v>
      </c>
      <c r="M4" s="11"/>
      <c r="N4" s="11">
        <v>3</v>
      </c>
      <c r="O4" s="17" t="s">
        <v>56</v>
      </c>
      <c r="Q4" s="44">
        <v>32</v>
      </c>
      <c r="R4" s="62">
        <v>46097</v>
      </c>
      <c r="S4" s="42" t="s">
        <v>107</v>
      </c>
      <c r="T4" s="41" t="s">
        <v>149</v>
      </c>
      <c r="U4" s="42">
        <v>2</v>
      </c>
      <c r="V4" s="56">
        <v>1</v>
      </c>
      <c r="W4" s="40" t="s">
        <v>108</v>
      </c>
    </row>
    <row r="5" ht="22" customHeight="1" spans="1:23">
      <c r="A5" s="9">
        <v>3</v>
      </c>
      <c r="B5" s="10">
        <v>46097</v>
      </c>
      <c r="C5" s="11" t="s">
        <v>17</v>
      </c>
      <c r="D5" s="12" t="s">
        <v>149</v>
      </c>
      <c r="E5" s="11">
        <v>3</v>
      </c>
      <c r="F5" s="16"/>
      <c r="G5" s="18"/>
      <c r="I5" s="15">
        <v>3</v>
      </c>
      <c r="J5" s="10">
        <v>46097</v>
      </c>
      <c r="K5" s="11" t="s">
        <v>57</v>
      </c>
      <c r="L5" s="12" t="s">
        <v>149</v>
      </c>
      <c r="M5" s="11">
        <v>3</v>
      </c>
      <c r="N5" s="16"/>
      <c r="O5" s="17"/>
      <c r="Q5" s="44">
        <v>33</v>
      </c>
      <c r="R5" s="62">
        <v>46097</v>
      </c>
      <c r="S5" s="42" t="s">
        <v>109</v>
      </c>
      <c r="T5" s="41" t="s">
        <v>149</v>
      </c>
      <c r="U5" s="42"/>
      <c r="V5" s="42">
        <v>3</v>
      </c>
      <c r="W5" s="40" t="s">
        <v>98</v>
      </c>
    </row>
    <row r="6" ht="22" customHeight="1" spans="1:23">
      <c r="A6" s="9">
        <v>4</v>
      </c>
      <c r="B6" s="10">
        <v>46097</v>
      </c>
      <c r="C6" s="11" t="s">
        <v>18</v>
      </c>
      <c r="D6" s="12" t="s">
        <v>149</v>
      </c>
      <c r="E6" s="11">
        <v>3</v>
      </c>
      <c r="F6" s="16"/>
      <c r="G6" s="18"/>
      <c r="I6" s="15">
        <v>4</v>
      </c>
      <c r="J6" s="10">
        <v>46097</v>
      </c>
      <c r="K6" s="11" t="s">
        <v>59</v>
      </c>
      <c r="L6" s="12" t="s">
        <v>149</v>
      </c>
      <c r="M6" s="11">
        <v>2</v>
      </c>
      <c r="N6" s="16">
        <v>1</v>
      </c>
      <c r="O6" s="17" t="s">
        <v>61</v>
      </c>
      <c r="Q6" s="44">
        <v>34</v>
      </c>
      <c r="R6" s="62">
        <v>46097</v>
      </c>
      <c r="S6" s="42" t="s">
        <v>110</v>
      </c>
      <c r="T6" s="41" t="s">
        <v>149</v>
      </c>
      <c r="U6" s="42"/>
      <c r="V6" s="42">
        <v>3</v>
      </c>
      <c r="W6" s="40" t="s">
        <v>98</v>
      </c>
    </row>
    <row r="7" ht="22" customHeight="1" spans="1:23">
      <c r="A7" s="9">
        <v>5</v>
      </c>
      <c r="B7" s="10">
        <v>46097</v>
      </c>
      <c r="C7" s="11" t="s">
        <v>20</v>
      </c>
      <c r="D7" s="12" t="s">
        <v>149</v>
      </c>
      <c r="E7" s="16"/>
      <c r="F7" s="11">
        <v>3</v>
      </c>
      <c r="G7" s="18"/>
      <c r="I7" s="15">
        <v>5</v>
      </c>
      <c r="J7" s="10">
        <v>46097</v>
      </c>
      <c r="K7" s="11" t="s">
        <v>62</v>
      </c>
      <c r="L7" s="12" t="s">
        <v>149</v>
      </c>
      <c r="M7" s="11">
        <v>3</v>
      </c>
      <c r="N7" s="16"/>
      <c r="O7" s="17" t="s">
        <v>63</v>
      </c>
      <c r="Q7" s="44">
        <v>35</v>
      </c>
      <c r="R7" s="62">
        <v>46097</v>
      </c>
      <c r="S7" s="42" t="s">
        <v>111</v>
      </c>
      <c r="T7" s="41" t="s">
        <v>149</v>
      </c>
      <c r="U7" s="42">
        <v>3</v>
      </c>
      <c r="V7" s="56"/>
      <c r="W7" s="40"/>
    </row>
    <row r="8" ht="28.5" spans="1:23">
      <c r="A8" s="9">
        <v>6</v>
      </c>
      <c r="B8" s="10">
        <v>46097</v>
      </c>
      <c r="C8" s="11" t="s">
        <v>21</v>
      </c>
      <c r="D8" s="12" t="s">
        <v>149</v>
      </c>
      <c r="E8" s="11">
        <v>3</v>
      </c>
      <c r="F8" s="16"/>
      <c r="G8" s="18"/>
      <c r="I8" s="15">
        <v>6</v>
      </c>
      <c r="J8" s="10">
        <v>46097</v>
      </c>
      <c r="K8" s="11" t="s">
        <v>64</v>
      </c>
      <c r="L8" s="12" t="s">
        <v>149</v>
      </c>
      <c r="M8" s="11">
        <v>2</v>
      </c>
      <c r="N8" s="16">
        <v>1</v>
      </c>
      <c r="O8" s="19" t="s">
        <v>65</v>
      </c>
      <c r="Q8" s="44">
        <v>36</v>
      </c>
      <c r="R8" s="62">
        <v>46097</v>
      </c>
      <c r="S8" s="42" t="s">
        <v>112</v>
      </c>
      <c r="T8" s="41" t="s">
        <v>149</v>
      </c>
      <c r="U8" s="42">
        <v>3</v>
      </c>
      <c r="V8" s="56"/>
      <c r="W8" s="40"/>
    </row>
    <row r="9" ht="22" customHeight="1" spans="1:23">
      <c r="A9" s="9">
        <v>7</v>
      </c>
      <c r="B9" s="10">
        <v>46097</v>
      </c>
      <c r="C9" s="11" t="s">
        <v>22</v>
      </c>
      <c r="D9" s="12" t="s">
        <v>149</v>
      </c>
      <c r="E9" s="11">
        <v>3</v>
      </c>
      <c r="F9" s="16"/>
      <c r="G9" s="20"/>
      <c r="I9" s="15">
        <v>7</v>
      </c>
      <c r="J9" s="10">
        <v>46097</v>
      </c>
      <c r="K9" s="11" t="s">
        <v>66</v>
      </c>
      <c r="L9" s="12" t="s">
        <v>149</v>
      </c>
      <c r="M9" s="11">
        <v>2</v>
      </c>
      <c r="N9" s="16">
        <v>1</v>
      </c>
      <c r="O9" s="17" t="s">
        <v>67</v>
      </c>
      <c r="Q9" s="44">
        <v>37</v>
      </c>
      <c r="R9" s="62">
        <v>46097</v>
      </c>
      <c r="S9" s="43" t="s">
        <v>114</v>
      </c>
      <c r="T9" s="41" t="s">
        <v>149</v>
      </c>
      <c r="U9" s="44">
        <v>3</v>
      </c>
      <c r="V9" s="44"/>
      <c r="W9" s="44"/>
    </row>
    <row r="10" ht="22" customHeight="1" spans="1:23">
      <c r="A10" s="9">
        <v>8</v>
      </c>
      <c r="B10" s="10">
        <v>46097</v>
      </c>
      <c r="C10" s="11" t="s">
        <v>23</v>
      </c>
      <c r="D10" s="12" t="s">
        <v>149</v>
      </c>
      <c r="E10" s="11">
        <v>2</v>
      </c>
      <c r="F10" s="11">
        <v>1</v>
      </c>
      <c r="G10" s="20"/>
      <c r="I10" s="15">
        <v>8</v>
      </c>
      <c r="J10" s="10">
        <v>46097</v>
      </c>
      <c r="K10" s="11" t="s">
        <v>68</v>
      </c>
      <c r="L10" s="12" t="s">
        <v>149</v>
      </c>
      <c r="M10" s="11"/>
      <c r="N10" s="11">
        <v>3</v>
      </c>
      <c r="O10" s="17" t="s">
        <v>56</v>
      </c>
      <c r="Q10" s="44">
        <v>38</v>
      </c>
      <c r="R10" s="62">
        <v>46097</v>
      </c>
      <c r="S10" s="43" t="s">
        <v>117</v>
      </c>
      <c r="T10" s="41" t="s">
        <v>149</v>
      </c>
      <c r="U10" s="44">
        <v>2</v>
      </c>
      <c r="V10" s="44">
        <v>1</v>
      </c>
      <c r="W10" s="40" t="s">
        <v>108</v>
      </c>
    </row>
    <row r="11" customFormat="1" ht="22" customHeight="1" spans="1:23">
      <c r="A11" s="9">
        <v>9</v>
      </c>
      <c r="B11" s="10">
        <v>46097</v>
      </c>
      <c r="C11" s="11" t="s">
        <v>24</v>
      </c>
      <c r="D11" s="12" t="s">
        <v>149</v>
      </c>
      <c r="E11" s="11">
        <v>3</v>
      </c>
      <c r="F11" s="16"/>
      <c r="G11" s="20"/>
      <c r="I11" s="15">
        <v>9</v>
      </c>
      <c r="J11" s="10">
        <v>46097</v>
      </c>
      <c r="K11" s="11" t="s">
        <v>69</v>
      </c>
      <c r="L11" s="12" t="s">
        <v>149</v>
      </c>
      <c r="M11" s="11"/>
      <c r="N11" s="11">
        <v>3</v>
      </c>
      <c r="O11" s="17" t="s">
        <v>70</v>
      </c>
      <c r="Q11" s="44">
        <v>39</v>
      </c>
      <c r="R11" s="62">
        <v>46097</v>
      </c>
      <c r="S11" s="43" t="s">
        <v>121</v>
      </c>
      <c r="T11" s="41" t="s">
        <v>149</v>
      </c>
      <c r="U11" s="44">
        <v>2</v>
      </c>
      <c r="V11" s="44">
        <v>1</v>
      </c>
      <c r="W11" s="40" t="s">
        <v>108</v>
      </c>
    </row>
    <row r="12" customFormat="1" ht="22" customHeight="1" spans="1:23">
      <c r="A12" s="9">
        <v>10</v>
      </c>
      <c r="B12" s="10">
        <v>46097</v>
      </c>
      <c r="C12" s="11" t="s">
        <v>25</v>
      </c>
      <c r="D12" s="12" t="s">
        <v>149</v>
      </c>
      <c r="E12" s="16"/>
      <c r="F12" s="11">
        <v>3</v>
      </c>
      <c r="G12" s="20"/>
      <c r="I12" s="15">
        <v>10</v>
      </c>
      <c r="J12" s="10">
        <v>46097</v>
      </c>
      <c r="K12" s="11" t="s">
        <v>71</v>
      </c>
      <c r="L12" s="12" t="s">
        <v>149</v>
      </c>
      <c r="M12" s="11"/>
      <c r="N12" s="11">
        <v>3</v>
      </c>
      <c r="O12" s="17" t="s">
        <v>72</v>
      </c>
      <c r="Q12" s="44">
        <v>40</v>
      </c>
      <c r="R12" s="62">
        <v>46097</v>
      </c>
      <c r="S12" s="43" t="s">
        <v>125</v>
      </c>
      <c r="T12" s="63" t="s">
        <v>149</v>
      </c>
      <c r="U12" s="64">
        <v>3</v>
      </c>
      <c r="V12" s="64"/>
      <c r="W12" s="44"/>
    </row>
    <row r="13" customFormat="1" ht="22" customHeight="1" spans="1:23">
      <c r="A13" s="9">
        <v>11</v>
      </c>
      <c r="B13" s="10">
        <v>46097</v>
      </c>
      <c r="C13" s="11" t="s">
        <v>26</v>
      </c>
      <c r="D13" s="12" t="s">
        <v>149</v>
      </c>
      <c r="E13" s="11">
        <v>2</v>
      </c>
      <c r="F13" s="11">
        <v>1</v>
      </c>
      <c r="G13" s="20"/>
      <c r="I13" s="15">
        <v>11</v>
      </c>
      <c r="J13" s="10">
        <v>46097</v>
      </c>
      <c r="K13" s="11" t="s">
        <v>73</v>
      </c>
      <c r="L13" s="12" t="s">
        <v>149</v>
      </c>
      <c r="M13" s="11"/>
      <c r="N13" s="11">
        <v>3</v>
      </c>
      <c r="O13" s="17" t="s">
        <v>74</v>
      </c>
      <c r="Q13" s="44">
        <v>41</v>
      </c>
      <c r="R13" s="62">
        <v>46097</v>
      </c>
      <c r="S13" s="55" t="s">
        <v>127</v>
      </c>
      <c r="T13" s="63" t="s">
        <v>149</v>
      </c>
      <c r="U13" s="64">
        <v>3</v>
      </c>
      <c r="V13" s="64"/>
      <c r="W13" s="44"/>
    </row>
    <row r="14" customFormat="1" ht="22" customHeight="1" spans="1:23">
      <c r="A14" s="9">
        <v>12</v>
      </c>
      <c r="B14" s="10">
        <v>46097</v>
      </c>
      <c r="C14" s="21" t="s">
        <v>27</v>
      </c>
      <c r="D14" s="12" t="s">
        <v>149</v>
      </c>
      <c r="E14" s="21">
        <v>3</v>
      </c>
      <c r="F14" s="22"/>
      <c r="G14" s="20"/>
      <c r="I14" s="15">
        <v>12</v>
      </c>
      <c r="J14" s="10">
        <v>46097</v>
      </c>
      <c r="K14" s="11" t="s">
        <v>75</v>
      </c>
      <c r="L14" s="12" t="s">
        <v>149</v>
      </c>
      <c r="M14" s="11">
        <v>2</v>
      </c>
      <c r="N14" s="16">
        <v>1</v>
      </c>
      <c r="O14" s="17" t="s">
        <v>76</v>
      </c>
      <c r="Q14" s="44">
        <v>42</v>
      </c>
      <c r="R14" s="10">
        <v>46097</v>
      </c>
      <c r="S14" s="43" t="s">
        <v>114</v>
      </c>
      <c r="T14" s="64" t="s">
        <v>153</v>
      </c>
      <c r="U14" s="64">
        <v>3</v>
      </c>
      <c r="V14" s="64"/>
      <c r="W14" s="44"/>
    </row>
    <row r="15" customFormat="1" ht="22" customHeight="1" spans="1:23">
      <c r="A15" s="9">
        <v>13</v>
      </c>
      <c r="B15" s="10">
        <v>46097</v>
      </c>
      <c r="C15" s="23" t="s">
        <v>28</v>
      </c>
      <c r="D15" s="12" t="s">
        <v>149</v>
      </c>
      <c r="E15" s="24"/>
      <c r="F15" s="21">
        <v>3</v>
      </c>
      <c r="G15" s="25"/>
      <c r="I15" s="15">
        <v>13</v>
      </c>
      <c r="J15" s="10">
        <v>46097</v>
      </c>
      <c r="K15" s="11" t="s">
        <v>77</v>
      </c>
      <c r="L15" s="12" t="s">
        <v>149</v>
      </c>
      <c r="M15" s="11">
        <v>3</v>
      </c>
      <c r="N15" s="16"/>
      <c r="O15" s="17"/>
      <c r="Q15" s="44">
        <v>43</v>
      </c>
      <c r="R15" s="10">
        <v>46097</v>
      </c>
      <c r="S15" s="43" t="s">
        <v>117</v>
      </c>
      <c r="T15" s="64" t="s">
        <v>153</v>
      </c>
      <c r="U15" s="64">
        <v>1</v>
      </c>
      <c r="V15" s="64">
        <v>2</v>
      </c>
      <c r="W15" s="44"/>
    </row>
    <row r="16" customFormat="1" ht="22" customHeight="1" spans="1:23">
      <c r="A16" s="9">
        <v>14</v>
      </c>
      <c r="B16" s="10">
        <v>46097</v>
      </c>
      <c r="C16" s="23" t="s">
        <v>29</v>
      </c>
      <c r="D16" s="12" t="s">
        <v>149</v>
      </c>
      <c r="E16" s="26"/>
      <c r="F16" s="21">
        <v>3</v>
      </c>
      <c r="G16" s="25"/>
      <c r="I16" s="15">
        <v>14</v>
      </c>
      <c r="J16" s="10">
        <v>46097</v>
      </c>
      <c r="K16" s="11" t="s">
        <v>78</v>
      </c>
      <c r="L16" s="12" t="s">
        <v>149</v>
      </c>
      <c r="M16" s="11">
        <v>2</v>
      </c>
      <c r="N16" s="16">
        <v>1</v>
      </c>
      <c r="O16" s="17" t="s">
        <v>79</v>
      </c>
      <c r="Q16" s="44">
        <v>44</v>
      </c>
      <c r="R16" s="10">
        <v>46097</v>
      </c>
      <c r="S16" s="43" t="s">
        <v>121</v>
      </c>
      <c r="T16" s="64" t="s">
        <v>153</v>
      </c>
      <c r="U16" s="64">
        <v>3</v>
      </c>
      <c r="V16" s="64"/>
      <c r="W16" s="44"/>
    </row>
    <row r="17" customFormat="1" ht="22" customHeight="1" spans="1:23">
      <c r="A17" s="9">
        <v>15</v>
      </c>
      <c r="B17" s="10">
        <v>46097</v>
      </c>
      <c r="C17" s="23" t="s">
        <v>30</v>
      </c>
      <c r="D17" s="12" t="s">
        <v>149</v>
      </c>
      <c r="E17" s="21">
        <v>2</v>
      </c>
      <c r="F17" s="21">
        <v>1</v>
      </c>
      <c r="G17" s="25"/>
      <c r="I17" s="15">
        <v>15</v>
      </c>
      <c r="J17" s="10">
        <v>46097</v>
      </c>
      <c r="K17" s="11" t="s">
        <v>80</v>
      </c>
      <c r="L17" s="12" t="s">
        <v>149</v>
      </c>
      <c r="M17" s="11">
        <v>3</v>
      </c>
      <c r="N17" s="16"/>
      <c r="O17" s="17" t="s">
        <v>81</v>
      </c>
      <c r="Q17" s="44">
        <v>45</v>
      </c>
      <c r="R17" s="10">
        <v>46097</v>
      </c>
      <c r="S17" s="43" t="s">
        <v>125</v>
      </c>
      <c r="T17" s="64" t="s">
        <v>153</v>
      </c>
      <c r="U17" s="64">
        <v>1</v>
      </c>
      <c r="V17" s="64">
        <v>2</v>
      </c>
      <c r="W17" s="44"/>
    </row>
    <row r="18" customFormat="1" ht="22" customHeight="1" spans="1:23">
      <c r="A18" s="9">
        <v>16</v>
      </c>
      <c r="B18" s="10">
        <v>46097</v>
      </c>
      <c r="C18" s="23" t="s">
        <v>31</v>
      </c>
      <c r="D18" s="12" t="s">
        <v>149</v>
      </c>
      <c r="E18" s="21">
        <v>2</v>
      </c>
      <c r="F18" s="21">
        <v>1</v>
      </c>
      <c r="G18" s="25"/>
      <c r="I18" s="15">
        <v>16</v>
      </c>
      <c r="J18" s="10">
        <v>46097</v>
      </c>
      <c r="K18" s="11" t="s">
        <v>82</v>
      </c>
      <c r="L18" s="12" t="s">
        <v>149</v>
      </c>
      <c r="M18" s="11"/>
      <c r="N18" s="11">
        <v>3</v>
      </c>
      <c r="O18" s="17" t="s">
        <v>83</v>
      </c>
      <c r="Q18" s="44">
        <v>46</v>
      </c>
      <c r="R18" s="10">
        <v>46097</v>
      </c>
      <c r="S18" s="65" t="s">
        <v>127</v>
      </c>
      <c r="T18" s="64" t="s">
        <v>153</v>
      </c>
      <c r="U18" s="42">
        <v>3</v>
      </c>
      <c r="V18" s="42"/>
      <c r="W18" s="40"/>
    </row>
    <row r="19" customFormat="1" ht="22" customHeight="1" spans="1:23">
      <c r="A19" s="9">
        <v>17</v>
      </c>
      <c r="B19" s="10">
        <v>46097</v>
      </c>
      <c r="C19" s="23" t="s">
        <v>32</v>
      </c>
      <c r="D19" s="12" t="s">
        <v>149</v>
      </c>
      <c r="E19" s="21">
        <v>3</v>
      </c>
      <c r="F19" s="26"/>
      <c r="G19" s="25"/>
      <c r="I19" s="15">
        <v>17</v>
      </c>
      <c r="J19" s="10">
        <v>46097</v>
      </c>
      <c r="K19" s="11" t="s">
        <v>84</v>
      </c>
      <c r="L19" s="12" t="s">
        <v>149</v>
      </c>
      <c r="M19" s="11"/>
      <c r="N19" s="11">
        <v>3</v>
      </c>
      <c r="O19" s="17" t="s">
        <v>83</v>
      </c>
      <c r="Q19" s="44">
        <v>47</v>
      </c>
      <c r="R19" s="10">
        <v>46097</v>
      </c>
      <c r="S19" s="64"/>
      <c r="T19" s="64"/>
      <c r="U19" s="64"/>
      <c r="V19" s="64"/>
      <c r="W19" s="44"/>
    </row>
    <row r="20" customFormat="1" ht="22" customHeight="1" spans="1:23">
      <c r="A20" s="9">
        <v>18</v>
      </c>
      <c r="B20" s="10">
        <v>46097</v>
      </c>
      <c r="C20" s="23" t="s">
        <v>33</v>
      </c>
      <c r="D20" s="12" t="s">
        <v>149</v>
      </c>
      <c r="E20" s="21">
        <v>3</v>
      </c>
      <c r="F20" s="26"/>
      <c r="G20" s="25"/>
      <c r="I20" s="15">
        <v>18</v>
      </c>
      <c r="J20" s="10">
        <v>46097</v>
      </c>
      <c r="K20" s="11" t="s">
        <v>85</v>
      </c>
      <c r="L20" s="12" t="s">
        <v>149</v>
      </c>
      <c r="M20" s="11">
        <v>3</v>
      </c>
      <c r="N20" s="16"/>
      <c r="O20" s="17"/>
      <c r="Q20" s="44">
        <v>48</v>
      </c>
      <c r="R20" s="10">
        <v>46097</v>
      </c>
      <c r="S20" s="42" t="s">
        <v>154</v>
      </c>
      <c r="T20" s="64" t="s">
        <v>153</v>
      </c>
      <c r="U20" s="42"/>
      <c r="V20" s="42">
        <v>2</v>
      </c>
      <c r="W20" s="44"/>
    </row>
    <row r="21" customFormat="1" ht="22" customHeight="1" spans="1:23">
      <c r="A21" s="9">
        <v>19</v>
      </c>
      <c r="B21" s="10">
        <v>46097</v>
      </c>
      <c r="C21" s="27" t="s">
        <v>34</v>
      </c>
      <c r="D21" s="12" t="s">
        <v>149</v>
      </c>
      <c r="E21" s="21">
        <v>3</v>
      </c>
      <c r="F21" s="26"/>
      <c r="G21" s="25"/>
      <c r="I21" s="15">
        <v>19</v>
      </c>
      <c r="J21" s="10">
        <v>46097</v>
      </c>
      <c r="K21" s="11" t="s">
        <v>87</v>
      </c>
      <c r="L21" s="12" t="s">
        <v>149</v>
      </c>
      <c r="M21" s="11"/>
      <c r="N21" s="11">
        <v>3</v>
      </c>
      <c r="O21" s="17" t="s">
        <v>88</v>
      </c>
      <c r="Q21" s="44"/>
      <c r="R21" s="44"/>
      <c r="S21" s="44"/>
      <c r="T21" s="44"/>
      <c r="U21" s="44"/>
      <c r="V21" s="44"/>
      <c r="W21" s="44"/>
    </row>
    <row r="22" customFormat="1" ht="22" customHeight="1" spans="1:23">
      <c r="A22" s="9">
        <v>20</v>
      </c>
      <c r="B22" s="10">
        <v>46097</v>
      </c>
      <c r="C22" s="23" t="s">
        <v>35</v>
      </c>
      <c r="D22" s="12" t="s">
        <v>149</v>
      </c>
      <c r="E22" s="21">
        <v>2</v>
      </c>
      <c r="F22" s="21">
        <v>1</v>
      </c>
      <c r="G22" s="25"/>
      <c r="I22" s="15">
        <v>20</v>
      </c>
      <c r="J22" s="10">
        <v>46097</v>
      </c>
      <c r="K22" s="11" t="s">
        <v>89</v>
      </c>
      <c r="L22" s="12" t="s">
        <v>149</v>
      </c>
      <c r="M22" s="11"/>
      <c r="N22" s="11">
        <v>3</v>
      </c>
      <c r="O22" s="17" t="s">
        <v>74</v>
      </c>
      <c r="Q22" s="44"/>
      <c r="R22" s="44"/>
      <c r="S22" s="44"/>
      <c r="T22" s="44"/>
      <c r="U22" s="44"/>
      <c r="V22" s="44"/>
      <c r="W22" s="44"/>
    </row>
    <row r="23" customFormat="1" ht="22" customHeight="1" spans="1:23">
      <c r="A23" s="9">
        <v>21</v>
      </c>
      <c r="B23" s="10">
        <v>46097</v>
      </c>
      <c r="C23" s="23" t="s">
        <v>36</v>
      </c>
      <c r="D23" s="12" t="s">
        <v>149</v>
      </c>
      <c r="E23" s="26"/>
      <c r="F23" s="28">
        <v>9</v>
      </c>
      <c r="G23" s="25" t="s">
        <v>156</v>
      </c>
      <c r="I23" s="15">
        <v>21</v>
      </c>
      <c r="J23" s="10">
        <v>46097</v>
      </c>
      <c r="K23" s="11" t="s">
        <v>90</v>
      </c>
      <c r="L23" s="12" t="s">
        <v>149</v>
      </c>
      <c r="M23" s="11">
        <v>3</v>
      </c>
      <c r="N23" s="16"/>
      <c r="O23" s="17"/>
      <c r="Q23" s="44"/>
      <c r="R23" s="44"/>
      <c r="S23" s="44"/>
      <c r="T23" s="44"/>
      <c r="U23" s="44"/>
      <c r="V23" s="44"/>
      <c r="W23" s="44"/>
    </row>
    <row r="24" customFormat="1" ht="22" customHeight="1" spans="1:23">
      <c r="A24" s="9">
        <v>22</v>
      </c>
      <c r="B24" s="10">
        <v>46097</v>
      </c>
      <c r="C24" s="23" t="s">
        <v>28</v>
      </c>
      <c r="D24" s="12" t="s">
        <v>149</v>
      </c>
      <c r="E24" s="24"/>
      <c r="F24" s="21">
        <v>3</v>
      </c>
      <c r="G24" s="12" t="s">
        <v>157</v>
      </c>
      <c r="I24" s="15">
        <v>22</v>
      </c>
      <c r="J24" s="10">
        <v>46097</v>
      </c>
      <c r="K24" s="11" t="s">
        <v>91</v>
      </c>
      <c r="L24" s="12" t="s">
        <v>149</v>
      </c>
      <c r="M24" s="11">
        <v>3</v>
      </c>
      <c r="N24" s="16"/>
      <c r="O24" s="17"/>
      <c r="Q24" s="44"/>
      <c r="R24" s="44"/>
      <c r="S24" s="44"/>
      <c r="T24" s="44"/>
      <c r="U24" s="44"/>
      <c r="V24" s="44"/>
      <c r="W24" s="44"/>
    </row>
    <row r="25" customFormat="1" ht="22" customHeight="1" spans="1:23">
      <c r="A25" s="9">
        <v>23</v>
      </c>
      <c r="B25" s="10">
        <v>46097</v>
      </c>
      <c r="C25" s="23" t="s">
        <v>29</v>
      </c>
      <c r="D25" s="12" t="s">
        <v>149</v>
      </c>
      <c r="E25" s="26"/>
      <c r="F25" s="21">
        <v>3</v>
      </c>
      <c r="G25" s="12" t="s">
        <v>157</v>
      </c>
      <c r="I25" s="15">
        <v>23</v>
      </c>
      <c r="J25" s="10">
        <v>46097</v>
      </c>
      <c r="K25" s="11" t="s">
        <v>92</v>
      </c>
      <c r="L25" s="12" t="s">
        <v>149</v>
      </c>
      <c r="M25" s="11">
        <v>3</v>
      </c>
      <c r="N25" s="16"/>
      <c r="O25" s="17" t="s">
        <v>93</v>
      </c>
      <c r="Q25" s="44"/>
      <c r="R25" s="44"/>
      <c r="S25" s="44"/>
      <c r="T25" s="44"/>
      <c r="U25" s="44"/>
      <c r="V25" s="44"/>
      <c r="W25" s="44"/>
    </row>
    <row r="26" customFormat="1" ht="22" customHeight="1" spans="1:23">
      <c r="A26" s="9">
        <v>24</v>
      </c>
      <c r="B26" s="10">
        <v>46097</v>
      </c>
      <c r="C26" s="23" t="s">
        <v>30</v>
      </c>
      <c r="D26" s="12" t="s">
        <v>149</v>
      </c>
      <c r="E26" s="21">
        <v>2</v>
      </c>
      <c r="F26" s="21">
        <v>1</v>
      </c>
      <c r="G26" s="12" t="s">
        <v>157</v>
      </c>
      <c r="I26" s="15">
        <v>24</v>
      </c>
      <c r="J26" s="10">
        <v>46097</v>
      </c>
      <c r="K26" s="11" t="s">
        <v>94</v>
      </c>
      <c r="L26" s="12" t="s">
        <v>149</v>
      </c>
      <c r="M26" s="11">
        <v>2</v>
      </c>
      <c r="N26" s="16">
        <v>1</v>
      </c>
      <c r="O26" s="17" t="s">
        <v>95</v>
      </c>
      <c r="Q26" s="44"/>
      <c r="R26" s="44"/>
      <c r="S26" s="44"/>
      <c r="T26" s="44"/>
      <c r="U26" s="44"/>
      <c r="V26" s="44"/>
      <c r="W26" s="44"/>
    </row>
    <row r="27" customFormat="1" ht="22" customHeight="1" spans="1:23">
      <c r="A27" s="9">
        <v>25</v>
      </c>
      <c r="B27" s="10">
        <v>46097</v>
      </c>
      <c r="C27" s="23" t="s">
        <v>31</v>
      </c>
      <c r="D27" s="12" t="s">
        <v>149</v>
      </c>
      <c r="E27" s="21">
        <v>2</v>
      </c>
      <c r="F27" s="21">
        <v>1</v>
      </c>
      <c r="G27" s="12" t="s">
        <v>157</v>
      </c>
      <c r="I27" s="15">
        <v>25</v>
      </c>
      <c r="J27" s="10">
        <v>46097</v>
      </c>
      <c r="K27" s="11" t="s">
        <v>96</v>
      </c>
      <c r="L27" s="12" t="s">
        <v>149</v>
      </c>
      <c r="M27" s="11">
        <v>2</v>
      </c>
      <c r="N27" s="16">
        <v>1</v>
      </c>
      <c r="O27" s="17" t="s">
        <v>95</v>
      </c>
      <c r="Q27" s="44"/>
      <c r="R27" s="44"/>
      <c r="S27" s="44"/>
      <c r="T27" s="44"/>
      <c r="U27" s="44"/>
      <c r="V27" s="44"/>
      <c r="W27" s="44"/>
    </row>
    <row r="28" customFormat="1" ht="22" customHeight="1" spans="1:23">
      <c r="A28" s="9">
        <v>26</v>
      </c>
      <c r="B28" s="10">
        <v>46097</v>
      </c>
      <c r="C28" s="23" t="s">
        <v>32</v>
      </c>
      <c r="D28" s="12" t="s">
        <v>149</v>
      </c>
      <c r="E28" s="21">
        <v>3</v>
      </c>
      <c r="F28" s="26"/>
      <c r="G28" s="12" t="s">
        <v>157</v>
      </c>
      <c r="I28" s="15">
        <v>26</v>
      </c>
      <c r="J28" s="10">
        <v>46097</v>
      </c>
      <c r="K28" s="11" t="s">
        <v>97</v>
      </c>
      <c r="L28" s="12" t="s">
        <v>149</v>
      </c>
      <c r="M28" s="11"/>
      <c r="N28" s="11">
        <v>3</v>
      </c>
      <c r="O28" s="17" t="s">
        <v>98</v>
      </c>
      <c r="Q28" s="44"/>
      <c r="R28" s="44"/>
      <c r="S28" s="44"/>
      <c r="T28" s="44"/>
      <c r="U28" s="44"/>
      <c r="V28" s="44"/>
      <c r="W28" s="44"/>
    </row>
    <row r="29" customFormat="1" ht="22" customHeight="1" spans="1:23">
      <c r="A29" s="9">
        <v>27</v>
      </c>
      <c r="B29" s="10">
        <v>46097</v>
      </c>
      <c r="C29" s="23" t="s">
        <v>33</v>
      </c>
      <c r="D29" s="12" t="s">
        <v>149</v>
      </c>
      <c r="E29" s="21">
        <v>3</v>
      </c>
      <c r="F29" s="26"/>
      <c r="G29" s="12" t="s">
        <v>157</v>
      </c>
      <c r="I29" s="15">
        <v>27</v>
      </c>
      <c r="J29" s="10">
        <v>46097</v>
      </c>
      <c r="K29" s="11" t="s">
        <v>99</v>
      </c>
      <c r="L29" s="12" t="s">
        <v>149</v>
      </c>
      <c r="M29" s="11">
        <v>3</v>
      </c>
      <c r="N29" s="16"/>
      <c r="O29" s="17"/>
      <c r="Q29" s="44"/>
      <c r="R29" s="44"/>
      <c r="S29" s="44"/>
      <c r="T29" s="44"/>
      <c r="U29" s="44"/>
      <c r="V29" s="44"/>
      <c r="W29" s="44"/>
    </row>
    <row r="30" customFormat="1" ht="22" customHeight="1" spans="1:23">
      <c r="A30" s="9">
        <v>28</v>
      </c>
      <c r="B30" s="10">
        <v>46097</v>
      </c>
      <c r="C30" s="27" t="s">
        <v>34</v>
      </c>
      <c r="D30" s="12" t="s">
        <v>149</v>
      </c>
      <c r="E30" s="21">
        <v>3</v>
      </c>
      <c r="F30" s="26"/>
      <c r="G30" s="12" t="s">
        <v>157</v>
      </c>
      <c r="I30" s="15">
        <v>28</v>
      </c>
      <c r="J30" s="10">
        <v>46097</v>
      </c>
      <c r="K30" s="11" t="s">
        <v>101</v>
      </c>
      <c r="L30" s="12" t="s">
        <v>149</v>
      </c>
      <c r="M30" s="11">
        <v>3</v>
      </c>
      <c r="N30" s="16"/>
      <c r="O30" s="17"/>
      <c r="Q30" s="44"/>
      <c r="R30" s="44"/>
      <c r="S30" s="44"/>
      <c r="T30" s="44"/>
      <c r="U30" s="44"/>
      <c r="V30" s="44"/>
      <c r="W30" s="44"/>
    </row>
    <row r="31" customFormat="1" ht="22" customHeight="1" spans="1:23">
      <c r="A31" s="9">
        <v>29</v>
      </c>
      <c r="B31" s="10">
        <v>46097</v>
      </c>
      <c r="C31" s="23" t="s">
        <v>35</v>
      </c>
      <c r="D31" s="12" t="s">
        <v>149</v>
      </c>
      <c r="E31" s="21">
        <v>2</v>
      </c>
      <c r="F31" s="21">
        <v>1</v>
      </c>
      <c r="G31" s="12" t="s">
        <v>157</v>
      </c>
      <c r="I31" s="15">
        <v>29</v>
      </c>
      <c r="J31" s="10">
        <v>46097</v>
      </c>
      <c r="K31" s="11" t="s">
        <v>103</v>
      </c>
      <c r="L31" s="12" t="s">
        <v>149</v>
      </c>
      <c r="M31" s="11"/>
      <c r="N31" s="11">
        <v>3</v>
      </c>
      <c r="O31" s="17" t="s">
        <v>104</v>
      </c>
      <c r="Q31" s="44"/>
      <c r="R31" s="44"/>
      <c r="S31" s="44"/>
      <c r="T31" s="44"/>
      <c r="U31" s="44"/>
      <c r="V31" s="44"/>
      <c r="W31" s="44"/>
    </row>
    <row r="32" customFormat="1" ht="22" customHeight="1" spans="1:23">
      <c r="A32" s="9"/>
      <c r="B32" s="10"/>
      <c r="C32" s="23"/>
      <c r="D32" s="12"/>
      <c r="E32" s="21"/>
      <c r="F32" s="21"/>
      <c r="G32" s="25"/>
      <c r="I32" s="15">
        <v>30</v>
      </c>
      <c r="J32" s="10">
        <v>46097</v>
      </c>
      <c r="K32" s="11" t="s">
        <v>105</v>
      </c>
      <c r="L32" s="12" t="s">
        <v>149</v>
      </c>
      <c r="M32" s="11">
        <v>3</v>
      </c>
      <c r="N32" s="11"/>
      <c r="O32" s="17"/>
      <c r="Q32" s="44"/>
      <c r="R32" s="44"/>
      <c r="S32" s="44"/>
      <c r="T32" s="44"/>
      <c r="U32" s="44"/>
      <c r="V32" s="44"/>
      <c r="W32" s="44"/>
    </row>
    <row r="33" customFormat="1" ht="22" customHeight="1" spans="5:22">
      <c r="E33" s="14">
        <f>SUM(E3:E32)</f>
        <v>57</v>
      </c>
      <c r="F33" s="14">
        <f>SUM(F3:F32)</f>
        <v>36</v>
      </c>
      <c r="M33">
        <f>SUM(M3:M32)</f>
        <v>50</v>
      </c>
      <c r="N33">
        <f>SUM(N3:N32)</f>
        <v>40</v>
      </c>
      <c r="U33">
        <f>SUM(U3:U32)</f>
        <v>32</v>
      </c>
      <c r="V33">
        <f>SUM(V3:V32)</f>
        <v>18</v>
      </c>
    </row>
    <row r="34" ht="22" customHeight="1" spans="5:22">
      <c r="R34" t="s">
        <v>158</v>
      </c>
      <c r="S34" t="s">
        <v>74</v>
      </c>
    </row>
    <row r="35" customFormat="1" ht="22" customHeight="1" spans="5:22">
      <c r="Q35" t="s">
        <v>150</v>
      </c>
      <c r="R35">
        <f>M33+U33</f>
        <v>82</v>
      </c>
      <c r="S35">
        <f>N33+V33</f>
        <v>58</v>
      </c>
    </row>
    <row r="36" ht="22" customHeight="1"/>
    <row r="37" ht="22" customHeight="1"/>
    <row r="38" ht="22" customHeight="1"/>
  </sheetData>
  <mergeCells count="3">
    <mergeCell ref="A1:G1"/>
    <mergeCell ref="I1:O1"/>
    <mergeCell ref="Q1:W1"/>
  </mergeCells>
  <pageMargins left="0.75" right="0.75" top="1" bottom="1" header="0.5" footer="0.5"/>
  <pageSetup paperSize="256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8"/>
  <sheetViews>
    <sheetView topLeftCell="I1" workbookViewId="0">
      <selection activeCell="I1" sqref="$A1:$XFD1048576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5" customWidth="1"/>
    <col min="4" max="4" width="12.1428571428571" customWidth="1"/>
    <col min="5" max="5" width="9.85714285714286" customWidth="1"/>
    <col min="6" max="6" width="10" customWidth="1"/>
    <col min="7" max="7" width="19.5714285714286" customWidth="1"/>
    <col min="9" max="9" width="8.57142857142857" customWidth="1"/>
    <col min="10" max="10" width="11" customWidth="1"/>
    <col min="11" max="11" width="11.4285714285714" customWidth="1"/>
    <col min="12" max="12" width="12.1428571428571" customWidth="1"/>
    <col min="13" max="14" width="10" customWidth="1"/>
    <col min="15" max="15" width="25.2857142857143" customWidth="1"/>
    <col min="16" max="16" width="3.85714285714286" customWidth="1"/>
    <col min="18" max="20" width="11.5714285714286" customWidth="1"/>
    <col min="21" max="22" width="9.14285714285714" customWidth="1"/>
    <col min="23" max="23" width="22.1428571428571" customWidth="1"/>
  </cols>
  <sheetData>
    <row r="1" customFormat="1" ht="38" customHeight="1" spans="1:23">
      <c r="A1" s="2" t="s">
        <v>144</v>
      </c>
      <c r="B1" s="2"/>
      <c r="C1" s="2"/>
      <c r="D1" s="2"/>
      <c r="E1" s="2"/>
      <c r="F1" s="3"/>
      <c r="G1" s="4"/>
      <c r="I1" s="2" t="s">
        <v>145</v>
      </c>
      <c r="J1" s="2"/>
      <c r="K1" s="2"/>
      <c r="L1" s="2"/>
      <c r="M1" s="2"/>
      <c r="N1" s="3"/>
      <c r="O1" s="4"/>
      <c r="Q1" s="2" t="s">
        <v>145</v>
      </c>
      <c r="R1" s="2"/>
      <c r="S1" s="2"/>
      <c r="T1" s="2"/>
      <c r="U1" s="2"/>
      <c r="V1" s="3"/>
      <c r="W1" s="4"/>
    </row>
    <row r="2" s="1" customFormat="1" ht="32" customHeight="1" spans="1:23">
      <c r="A2" s="5" t="s">
        <v>2</v>
      </c>
      <c r="B2" s="5" t="s">
        <v>136</v>
      </c>
      <c r="C2" s="5" t="s">
        <v>3</v>
      </c>
      <c r="D2" s="6" t="s">
        <v>146</v>
      </c>
      <c r="E2" s="7" t="s">
        <v>147</v>
      </c>
      <c r="F2" s="7" t="s">
        <v>148</v>
      </c>
      <c r="G2" s="7" t="s">
        <v>7</v>
      </c>
      <c r="I2" s="7" t="s">
        <v>2</v>
      </c>
      <c r="J2" s="8" t="s">
        <v>136</v>
      </c>
      <c r="K2" s="5" t="s">
        <v>3</v>
      </c>
      <c r="L2" s="6" t="s">
        <v>146</v>
      </c>
      <c r="M2" s="7" t="s">
        <v>147</v>
      </c>
      <c r="N2" s="7" t="s">
        <v>148</v>
      </c>
      <c r="O2" s="7" t="s">
        <v>7</v>
      </c>
      <c r="Q2" s="53" t="s">
        <v>2</v>
      </c>
      <c r="R2" s="8" t="s">
        <v>136</v>
      </c>
      <c r="S2" s="5" t="s">
        <v>3</v>
      </c>
      <c r="T2" s="54" t="s">
        <v>146</v>
      </c>
      <c r="U2" s="53" t="s">
        <v>147</v>
      </c>
      <c r="V2" s="53" t="s">
        <v>148</v>
      </c>
      <c r="W2" s="53" t="s">
        <v>7</v>
      </c>
    </row>
    <row r="3" customFormat="1" ht="22" customHeight="1" spans="1:23">
      <c r="A3" s="9">
        <v>1</v>
      </c>
      <c r="B3" s="10">
        <v>46100</v>
      </c>
      <c r="C3" s="11" t="s">
        <v>13</v>
      </c>
      <c r="D3" s="12" t="s">
        <v>152</v>
      </c>
      <c r="E3" s="11">
        <v>1</v>
      </c>
      <c r="F3" s="11">
        <v>1</v>
      </c>
      <c r="G3" s="13"/>
      <c r="I3" s="15">
        <v>1</v>
      </c>
      <c r="J3" s="10">
        <v>46100</v>
      </c>
      <c r="K3" s="11" t="s">
        <v>50</v>
      </c>
      <c r="L3" s="12" t="s">
        <v>152</v>
      </c>
      <c r="M3" s="11">
        <v>2</v>
      </c>
      <c r="N3" s="16"/>
      <c r="O3" s="17"/>
      <c r="Q3" s="44">
        <v>31</v>
      </c>
      <c r="R3" s="10">
        <v>46100</v>
      </c>
      <c r="S3" s="42" t="s">
        <v>106</v>
      </c>
      <c r="T3" s="12" t="s">
        <v>152</v>
      </c>
      <c r="U3" s="42"/>
      <c r="V3" s="42">
        <v>2</v>
      </c>
      <c r="W3" s="40" t="s">
        <v>74</v>
      </c>
    </row>
    <row r="4" customFormat="1" ht="22" customHeight="1" spans="1:23">
      <c r="A4" s="9">
        <v>2</v>
      </c>
      <c r="B4" s="10">
        <v>46100</v>
      </c>
      <c r="C4" s="11" t="s">
        <v>16</v>
      </c>
      <c r="D4" s="12" t="s">
        <v>152</v>
      </c>
      <c r="E4" s="11">
        <v>2</v>
      </c>
      <c r="F4" s="16"/>
      <c r="G4" s="18"/>
      <c r="I4" s="15">
        <v>2</v>
      </c>
      <c r="J4" s="10">
        <v>46100</v>
      </c>
      <c r="K4" s="11" t="s">
        <v>55</v>
      </c>
      <c r="L4" s="12" t="s">
        <v>152</v>
      </c>
      <c r="M4" s="11"/>
      <c r="N4" s="11">
        <v>2</v>
      </c>
      <c r="O4" s="17" t="s">
        <v>56</v>
      </c>
      <c r="Q4" s="44">
        <v>32</v>
      </c>
      <c r="R4" s="10">
        <v>46100</v>
      </c>
      <c r="S4" s="42" t="s">
        <v>107</v>
      </c>
      <c r="T4" s="12" t="s">
        <v>152</v>
      </c>
      <c r="U4" s="42">
        <v>1</v>
      </c>
      <c r="V4" s="56">
        <v>1</v>
      </c>
      <c r="W4" s="40" t="s">
        <v>108</v>
      </c>
    </row>
    <row r="5" customFormat="1" ht="22" customHeight="1" spans="1:23">
      <c r="A5" s="9">
        <v>3</v>
      </c>
      <c r="B5" s="10">
        <v>46100</v>
      </c>
      <c r="C5" s="11" t="s">
        <v>17</v>
      </c>
      <c r="D5" s="12" t="s">
        <v>152</v>
      </c>
      <c r="E5" s="11">
        <v>2</v>
      </c>
      <c r="F5" s="16"/>
      <c r="G5" s="18"/>
      <c r="I5" s="15">
        <v>3</v>
      </c>
      <c r="J5" s="10">
        <v>46100</v>
      </c>
      <c r="K5" s="11" t="s">
        <v>57</v>
      </c>
      <c r="L5" s="12" t="s">
        <v>152</v>
      </c>
      <c r="M5" s="11">
        <v>2</v>
      </c>
      <c r="N5" s="16"/>
      <c r="O5" s="17"/>
      <c r="Q5" s="44">
        <v>33</v>
      </c>
      <c r="R5" s="10">
        <v>46100</v>
      </c>
      <c r="S5" s="42" t="s">
        <v>109</v>
      </c>
      <c r="T5" s="12" t="s">
        <v>152</v>
      </c>
      <c r="U5" s="42"/>
      <c r="V5" s="42">
        <v>2</v>
      </c>
      <c r="W5" s="40" t="s">
        <v>98</v>
      </c>
    </row>
    <row r="6" customFormat="1" ht="22" customHeight="1" spans="1:23">
      <c r="A6" s="9">
        <v>4</v>
      </c>
      <c r="B6" s="10">
        <v>46100</v>
      </c>
      <c r="C6" s="11" t="s">
        <v>18</v>
      </c>
      <c r="D6" s="12" t="s">
        <v>152</v>
      </c>
      <c r="E6" s="11">
        <v>2</v>
      </c>
      <c r="F6" s="16"/>
      <c r="G6" s="18"/>
      <c r="I6" s="15">
        <v>4</v>
      </c>
      <c r="J6" s="10">
        <v>46100</v>
      </c>
      <c r="K6" s="11" t="s">
        <v>59</v>
      </c>
      <c r="L6" s="12" t="s">
        <v>152</v>
      </c>
      <c r="M6" s="11">
        <v>1</v>
      </c>
      <c r="N6" s="16">
        <v>1</v>
      </c>
      <c r="O6" s="17" t="s">
        <v>61</v>
      </c>
      <c r="Q6" s="44">
        <v>34</v>
      </c>
      <c r="R6" s="10">
        <v>46100</v>
      </c>
      <c r="S6" s="42" t="s">
        <v>110</v>
      </c>
      <c r="T6" s="12" t="s">
        <v>152</v>
      </c>
      <c r="U6" s="42"/>
      <c r="V6" s="42">
        <v>2</v>
      </c>
      <c r="W6" s="40" t="s">
        <v>98</v>
      </c>
    </row>
    <row r="7" customFormat="1" ht="22" customHeight="1" spans="1:23">
      <c r="A7" s="9">
        <v>5</v>
      </c>
      <c r="B7" s="10">
        <v>46100</v>
      </c>
      <c r="C7" s="11" t="s">
        <v>20</v>
      </c>
      <c r="D7" s="12" t="s">
        <v>152</v>
      </c>
      <c r="E7" s="16"/>
      <c r="F7" s="11">
        <v>2</v>
      </c>
      <c r="G7" s="18"/>
      <c r="I7" s="15">
        <v>5</v>
      </c>
      <c r="J7" s="10">
        <v>46100</v>
      </c>
      <c r="K7" s="11" t="s">
        <v>62</v>
      </c>
      <c r="L7" s="12" t="s">
        <v>152</v>
      </c>
      <c r="M7" s="11">
        <v>2</v>
      </c>
      <c r="N7" s="16"/>
      <c r="O7" s="17" t="s">
        <v>63</v>
      </c>
      <c r="Q7" s="44">
        <v>35</v>
      </c>
      <c r="R7" s="10">
        <v>46100</v>
      </c>
      <c r="S7" s="42" t="s">
        <v>111</v>
      </c>
      <c r="T7" s="12" t="s">
        <v>152</v>
      </c>
      <c r="U7" s="42">
        <v>2</v>
      </c>
      <c r="V7" s="56"/>
      <c r="W7" s="40"/>
    </row>
    <row r="8" customFormat="1" ht="28.5" spans="1:23">
      <c r="A8" s="9">
        <v>6</v>
      </c>
      <c r="B8" s="10">
        <v>46100</v>
      </c>
      <c r="C8" s="11" t="s">
        <v>21</v>
      </c>
      <c r="D8" s="12" t="s">
        <v>152</v>
      </c>
      <c r="E8" s="11">
        <v>2</v>
      </c>
      <c r="F8" s="16"/>
      <c r="G8" s="18"/>
      <c r="I8" s="15">
        <v>6</v>
      </c>
      <c r="J8" s="10">
        <v>46100</v>
      </c>
      <c r="K8" s="11" t="s">
        <v>64</v>
      </c>
      <c r="L8" s="12" t="s">
        <v>152</v>
      </c>
      <c r="M8" s="11">
        <v>1</v>
      </c>
      <c r="N8" s="16">
        <v>1</v>
      </c>
      <c r="O8" s="19" t="s">
        <v>65</v>
      </c>
      <c r="Q8" s="44">
        <v>36</v>
      </c>
      <c r="R8" s="10">
        <v>46100</v>
      </c>
      <c r="S8" s="42" t="s">
        <v>112</v>
      </c>
      <c r="T8" s="12" t="s">
        <v>152</v>
      </c>
      <c r="U8" s="42">
        <v>2</v>
      </c>
      <c r="V8" s="56"/>
      <c r="W8" s="40"/>
    </row>
    <row r="9" customFormat="1" ht="22" customHeight="1" spans="1:23">
      <c r="A9" s="9">
        <v>7</v>
      </c>
      <c r="B9" s="10">
        <v>46100</v>
      </c>
      <c r="C9" s="11" t="s">
        <v>22</v>
      </c>
      <c r="D9" s="12" t="s">
        <v>152</v>
      </c>
      <c r="E9" s="11">
        <v>2</v>
      </c>
      <c r="F9" s="16"/>
      <c r="G9" s="20"/>
      <c r="I9" s="15">
        <v>7</v>
      </c>
      <c r="J9" s="10">
        <v>46100</v>
      </c>
      <c r="K9" s="11" t="s">
        <v>66</v>
      </c>
      <c r="L9" s="12" t="s">
        <v>152</v>
      </c>
      <c r="M9" s="11">
        <v>1</v>
      </c>
      <c r="N9" s="16">
        <v>1</v>
      </c>
      <c r="O9" s="17" t="s">
        <v>67</v>
      </c>
      <c r="Q9" s="44">
        <v>37</v>
      </c>
      <c r="R9" s="10">
        <v>46100</v>
      </c>
      <c r="S9" s="43" t="s">
        <v>114</v>
      </c>
      <c r="T9" s="12" t="s">
        <v>152</v>
      </c>
      <c r="U9" s="44">
        <v>2</v>
      </c>
      <c r="V9" s="44"/>
      <c r="W9" s="44"/>
    </row>
    <row r="10" customFormat="1" ht="22" customHeight="1" spans="1:23">
      <c r="A10" s="9">
        <v>8</v>
      </c>
      <c r="B10" s="10">
        <v>46100</v>
      </c>
      <c r="C10" s="11" t="s">
        <v>23</v>
      </c>
      <c r="D10" s="12" t="s">
        <v>152</v>
      </c>
      <c r="E10" s="11">
        <v>1</v>
      </c>
      <c r="F10" s="11">
        <v>1</v>
      </c>
      <c r="G10" s="20"/>
      <c r="I10" s="15">
        <v>8</v>
      </c>
      <c r="J10" s="10">
        <v>46100</v>
      </c>
      <c r="K10" s="11" t="s">
        <v>68</v>
      </c>
      <c r="L10" s="12" t="s">
        <v>152</v>
      </c>
      <c r="M10" s="11"/>
      <c r="N10" s="11">
        <v>2</v>
      </c>
      <c r="O10" s="17" t="s">
        <v>56</v>
      </c>
      <c r="Q10" s="44">
        <v>38</v>
      </c>
      <c r="R10" s="10">
        <v>46100</v>
      </c>
      <c r="S10" s="43" t="s">
        <v>117</v>
      </c>
      <c r="T10" s="12" t="s">
        <v>152</v>
      </c>
      <c r="U10" s="44">
        <v>1</v>
      </c>
      <c r="V10" s="44">
        <v>1</v>
      </c>
      <c r="W10" s="40" t="s">
        <v>108</v>
      </c>
    </row>
    <row r="11" customFormat="1" ht="22" customHeight="1" spans="1:23">
      <c r="A11" s="9">
        <v>9</v>
      </c>
      <c r="B11" s="10">
        <v>46100</v>
      </c>
      <c r="C11" s="11" t="s">
        <v>24</v>
      </c>
      <c r="D11" s="12" t="s">
        <v>152</v>
      </c>
      <c r="E11" s="11">
        <v>2</v>
      </c>
      <c r="F11" s="16"/>
      <c r="G11" s="20"/>
      <c r="I11" s="15">
        <v>9</v>
      </c>
      <c r="J11" s="10">
        <v>46100</v>
      </c>
      <c r="K11" s="11" t="s">
        <v>69</v>
      </c>
      <c r="L11" s="12" t="s">
        <v>152</v>
      </c>
      <c r="M11" s="11"/>
      <c r="N11" s="11">
        <v>2</v>
      </c>
      <c r="O11" s="17" t="s">
        <v>70</v>
      </c>
      <c r="Q11" s="44">
        <v>39</v>
      </c>
      <c r="R11" s="10">
        <v>46100</v>
      </c>
      <c r="S11" s="43" t="s">
        <v>121</v>
      </c>
      <c r="T11" s="12" t="s">
        <v>152</v>
      </c>
      <c r="U11" s="44">
        <v>1</v>
      </c>
      <c r="V11" s="44">
        <v>1</v>
      </c>
      <c r="W11" s="40" t="s">
        <v>108</v>
      </c>
    </row>
    <row r="12" customFormat="1" ht="22" customHeight="1" spans="1:23">
      <c r="A12" s="9">
        <v>10</v>
      </c>
      <c r="B12" s="10">
        <v>46100</v>
      </c>
      <c r="C12" s="11" t="s">
        <v>25</v>
      </c>
      <c r="D12" s="12" t="s">
        <v>152</v>
      </c>
      <c r="E12" s="16"/>
      <c r="F12" s="11">
        <v>2</v>
      </c>
      <c r="G12" s="20"/>
      <c r="I12" s="15">
        <v>10</v>
      </c>
      <c r="J12" s="10">
        <v>46100</v>
      </c>
      <c r="K12" s="11" t="s">
        <v>71</v>
      </c>
      <c r="L12" s="12" t="s">
        <v>152</v>
      </c>
      <c r="M12" s="11"/>
      <c r="N12" s="11">
        <v>2</v>
      </c>
      <c r="O12" s="17" t="s">
        <v>72</v>
      </c>
      <c r="Q12" s="44">
        <v>40</v>
      </c>
      <c r="R12" s="10">
        <v>46100</v>
      </c>
      <c r="S12" s="43" t="s">
        <v>125</v>
      </c>
      <c r="T12" s="12" t="s">
        <v>152</v>
      </c>
      <c r="U12" s="44">
        <v>1</v>
      </c>
      <c r="V12" s="44"/>
      <c r="W12" s="45" t="s">
        <v>159</v>
      </c>
    </row>
    <row r="13" customFormat="1" ht="22" customHeight="1" spans="1:23">
      <c r="A13" s="9">
        <v>11</v>
      </c>
      <c r="B13" s="10">
        <v>46100</v>
      </c>
      <c r="C13" s="11" t="s">
        <v>26</v>
      </c>
      <c r="D13" s="12" t="s">
        <v>152</v>
      </c>
      <c r="E13" s="11">
        <v>1</v>
      </c>
      <c r="F13" s="11">
        <v>1</v>
      </c>
      <c r="G13" s="20"/>
      <c r="I13" s="15">
        <v>11</v>
      </c>
      <c r="J13" s="10">
        <v>46100</v>
      </c>
      <c r="K13" s="11" t="s">
        <v>73</v>
      </c>
      <c r="L13" s="12" t="s">
        <v>152</v>
      </c>
      <c r="M13" s="11"/>
      <c r="N13" s="11">
        <v>2</v>
      </c>
      <c r="O13" s="17" t="s">
        <v>74</v>
      </c>
      <c r="Q13" s="44">
        <v>41</v>
      </c>
      <c r="R13" s="10">
        <v>46100</v>
      </c>
      <c r="S13" s="55" t="s">
        <v>127</v>
      </c>
      <c r="T13" s="12" t="s">
        <v>152</v>
      </c>
      <c r="U13" s="44">
        <v>2</v>
      </c>
      <c r="V13" s="44"/>
      <c r="W13" s="44"/>
    </row>
    <row r="14" customFormat="1" ht="22" customHeight="1" spans="1:23">
      <c r="A14" s="9">
        <v>12</v>
      </c>
      <c r="B14" s="10">
        <v>46100</v>
      </c>
      <c r="C14" s="21" t="s">
        <v>27</v>
      </c>
      <c r="D14" s="12" t="s">
        <v>152</v>
      </c>
      <c r="E14" s="21">
        <v>2</v>
      </c>
      <c r="F14" s="22"/>
      <c r="G14" s="20"/>
      <c r="I14" s="15">
        <v>12</v>
      </c>
      <c r="J14" s="10">
        <v>46100</v>
      </c>
      <c r="K14" s="11" t="s">
        <v>75</v>
      </c>
      <c r="L14" s="12" t="s">
        <v>152</v>
      </c>
      <c r="M14" s="11">
        <v>1</v>
      </c>
      <c r="N14" s="16">
        <v>1</v>
      </c>
      <c r="O14" s="17" t="s">
        <v>76</v>
      </c>
      <c r="Q14" s="44"/>
      <c r="R14" s="44"/>
      <c r="S14" s="43" t="s">
        <v>114</v>
      </c>
      <c r="T14" s="44" t="s">
        <v>153</v>
      </c>
      <c r="U14" s="44">
        <v>2</v>
      </c>
      <c r="V14" s="44"/>
      <c r="W14" s="44"/>
    </row>
    <row r="15" customFormat="1" ht="22" customHeight="1" spans="1:23">
      <c r="A15" s="9">
        <v>13</v>
      </c>
      <c r="B15" s="10">
        <v>46100</v>
      </c>
      <c r="C15" s="23" t="s">
        <v>28</v>
      </c>
      <c r="D15" s="12" t="s">
        <v>152</v>
      </c>
      <c r="E15" s="24"/>
      <c r="F15" s="21">
        <v>2</v>
      </c>
      <c r="G15" s="25"/>
      <c r="I15" s="15">
        <v>13</v>
      </c>
      <c r="J15" s="10">
        <v>46100</v>
      </c>
      <c r="K15" s="11" t="s">
        <v>77</v>
      </c>
      <c r="L15" s="12" t="s">
        <v>152</v>
      </c>
      <c r="M15" s="11">
        <v>2</v>
      </c>
      <c r="N15" s="16"/>
      <c r="O15" s="17"/>
      <c r="Q15" s="44"/>
      <c r="R15" s="44"/>
      <c r="S15" s="43" t="s">
        <v>117</v>
      </c>
      <c r="T15" s="44" t="s">
        <v>153</v>
      </c>
      <c r="U15" s="44">
        <v>1</v>
      </c>
      <c r="V15" s="44">
        <v>1</v>
      </c>
      <c r="W15" s="44"/>
    </row>
    <row r="16" customFormat="1" ht="22" customHeight="1" spans="1:23">
      <c r="A16" s="9">
        <v>14</v>
      </c>
      <c r="B16" s="10">
        <v>46100</v>
      </c>
      <c r="C16" s="23" t="s">
        <v>29</v>
      </c>
      <c r="D16" s="12" t="s">
        <v>152</v>
      </c>
      <c r="E16" s="26"/>
      <c r="F16" s="21">
        <v>2</v>
      </c>
      <c r="G16" s="25"/>
      <c r="I16" s="15">
        <v>14</v>
      </c>
      <c r="J16" s="10">
        <v>46100</v>
      </c>
      <c r="K16" s="11" t="s">
        <v>78</v>
      </c>
      <c r="L16" s="12" t="s">
        <v>152</v>
      </c>
      <c r="M16" s="11">
        <v>1</v>
      </c>
      <c r="N16" s="16">
        <v>1</v>
      </c>
      <c r="O16" s="17" t="s">
        <v>79</v>
      </c>
      <c r="Q16" s="44"/>
      <c r="R16" s="44"/>
      <c r="S16" s="43" t="s">
        <v>121</v>
      </c>
      <c r="T16" s="44" t="s">
        <v>153</v>
      </c>
      <c r="U16" s="44">
        <v>2</v>
      </c>
      <c r="V16" s="44"/>
      <c r="W16" s="44"/>
    </row>
    <row r="17" customFormat="1" ht="22" customHeight="1" spans="1:23">
      <c r="A17" s="9">
        <v>15</v>
      </c>
      <c r="B17" s="10">
        <v>46100</v>
      </c>
      <c r="C17" s="23" t="s">
        <v>30</v>
      </c>
      <c r="D17" s="12" t="s">
        <v>152</v>
      </c>
      <c r="E17" s="21">
        <v>1</v>
      </c>
      <c r="F17" s="21">
        <v>1</v>
      </c>
      <c r="G17" s="25"/>
      <c r="I17" s="15">
        <v>15</v>
      </c>
      <c r="J17" s="10">
        <v>46100</v>
      </c>
      <c r="K17" s="11" t="s">
        <v>80</v>
      </c>
      <c r="L17" s="12" t="s">
        <v>152</v>
      </c>
      <c r="M17" s="11">
        <v>2</v>
      </c>
      <c r="N17" s="16"/>
      <c r="O17" s="17" t="s">
        <v>81</v>
      </c>
      <c r="Q17" s="44"/>
      <c r="R17" s="44"/>
      <c r="S17" s="43" t="s">
        <v>125</v>
      </c>
      <c r="T17" s="44" t="s">
        <v>153</v>
      </c>
      <c r="U17" s="44">
        <v>1</v>
      </c>
      <c r="V17" s="44">
        <v>1</v>
      </c>
      <c r="W17" s="44"/>
    </row>
    <row r="18" customFormat="1" ht="22" customHeight="1" spans="1:23">
      <c r="A18" s="9">
        <v>16</v>
      </c>
      <c r="B18" s="10">
        <v>46100</v>
      </c>
      <c r="C18" s="23" t="s">
        <v>31</v>
      </c>
      <c r="D18" s="12" t="s">
        <v>152</v>
      </c>
      <c r="E18" s="21">
        <v>1</v>
      </c>
      <c r="F18" s="21">
        <v>1</v>
      </c>
      <c r="G18" s="25"/>
      <c r="I18" s="15">
        <v>16</v>
      </c>
      <c r="J18" s="10">
        <v>46100</v>
      </c>
      <c r="K18" s="11" t="s">
        <v>82</v>
      </c>
      <c r="L18" s="12" t="s">
        <v>152</v>
      </c>
      <c r="M18" s="11"/>
      <c r="N18" s="11">
        <v>2</v>
      </c>
      <c r="O18" s="17" t="s">
        <v>83</v>
      </c>
      <c r="Q18" s="44"/>
      <c r="R18" s="42" t="s">
        <v>154</v>
      </c>
      <c r="S18" s="55" t="s">
        <v>127</v>
      </c>
      <c r="T18" s="44" t="s">
        <v>153</v>
      </c>
      <c r="U18" s="42">
        <v>2</v>
      </c>
      <c r="V18" s="56"/>
      <c r="W18" s="40"/>
    </row>
    <row r="19" customFormat="1" ht="22" customHeight="1" spans="1:23">
      <c r="A19" s="9">
        <v>17</v>
      </c>
      <c r="B19" s="10">
        <v>46100</v>
      </c>
      <c r="C19" s="23" t="s">
        <v>32</v>
      </c>
      <c r="D19" s="12" t="s">
        <v>152</v>
      </c>
      <c r="E19" s="21">
        <v>2</v>
      </c>
      <c r="F19" s="26"/>
      <c r="G19" s="25"/>
      <c r="I19" s="15">
        <v>17</v>
      </c>
      <c r="J19" s="10">
        <v>46100</v>
      </c>
      <c r="K19" s="11" t="s">
        <v>84</v>
      </c>
      <c r="L19" s="12" t="s">
        <v>152</v>
      </c>
      <c r="M19" s="11"/>
      <c r="N19" s="11">
        <v>2</v>
      </c>
      <c r="O19" s="17" t="s">
        <v>83</v>
      </c>
      <c r="Q19" s="44"/>
      <c r="R19" s="44"/>
      <c r="S19" s="44"/>
      <c r="T19" s="44"/>
      <c r="U19" s="44"/>
      <c r="V19" s="44"/>
      <c r="W19" s="44"/>
    </row>
    <row r="20" customFormat="1" ht="22" customHeight="1" spans="1:23">
      <c r="A20" s="9">
        <v>18</v>
      </c>
      <c r="B20" s="10">
        <v>46100</v>
      </c>
      <c r="C20" s="23" t="s">
        <v>33</v>
      </c>
      <c r="D20" s="12" t="s">
        <v>152</v>
      </c>
      <c r="E20" s="21">
        <v>2</v>
      </c>
      <c r="F20" s="26"/>
      <c r="G20" s="25"/>
      <c r="I20" s="15">
        <v>18</v>
      </c>
      <c r="J20" s="10">
        <v>46100</v>
      </c>
      <c r="K20" s="11" t="s">
        <v>85</v>
      </c>
      <c r="L20" s="12" t="s">
        <v>152</v>
      </c>
      <c r="M20" s="11">
        <v>2</v>
      </c>
      <c r="N20" s="16"/>
      <c r="O20" s="17"/>
      <c r="Q20" s="44"/>
      <c r="R20" s="44"/>
      <c r="S20" s="44"/>
      <c r="T20" s="44"/>
      <c r="U20" s="44"/>
      <c r="V20" s="44"/>
      <c r="W20" s="44"/>
    </row>
    <row r="21" customFormat="1" ht="22" customHeight="1" spans="1:23">
      <c r="A21" s="9">
        <v>19</v>
      </c>
      <c r="B21" s="10">
        <v>46100</v>
      </c>
      <c r="C21" s="27" t="s">
        <v>34</v>
      </c>
      <c r="D21" s="12" t="s">
        <v>152</v>
      </c>
      <c r="E21" s="21">
        <v>2</v>
      </c>
      <c r="F21" s="26"/>
      <c r="G21" s="25"/>
      <c r="I21" s="15">
        <v>19</v>
      </c>
      <c r="J21" s="10">
        <v>46100</v>
      </c>
      <c r="K21" s="11" t="s">
        <v>87</v>
      </c>
      <c r="L21" s="12" t="s">
        <v>152</v>
      </c>
      <c r="M21" s="11"/>
      <c r="N21" s="11">
        <v>2</v>
      </c>
      <c r="O21" s="17" t="s">
        <v>88</v>
      </c>
      <c r="Q21" s="44"/>
      <c r="R21" s="44"/>
      <c r="S21" s="49" t="s">
        <v>129</v>
      </c>
      <c r="T21" s="45"/>
      <c r="U21" s="45">
        <v>3</v>
      </c>
      <c r="V21" s="45"/>
      <c r="W21" s="50" t="s">
        <v>160</v>
      </c>
    </row>
    <row r="22" customFormat="1" ht="22" customHeight="1" spans="1:23">
      <c r="A22" s="9">
        <v>20</v>
      </c>
      <c r="B22" s="10">
        <v>46100</v>
      </c>
      <c r="C22" s="23" t="s">
        <v>35</v>
      </c>
      <c r="D22" s="12" t="s">
        <v>152</v>
      </c>
      <c r="E22" s="21">
        <v>1</v>
      </c>
      <c r="F22" s="21">
        <v>1</v>
      </c>
      <c r="G22" s="25"/>
      <c r="I22" s="15">
        <v>20</v>
      </c>
      <c r="J22" s="10">
        <v>46100</v>
      </c>
      <c r="K22" s="11" t="s">
        <v>89</v>
      </c>
      <c r="L22" s="12" t="s">
        <v>152</v>
      </c>
      <c r="M22" s="11"/>
      <c r="N22" s="11">
        <v>2</v>
      </c>
      <c r="O22" s="17" t="s">
        <v>74</v>
      </c>
      <c r="Q22" s="44"/>
      <c r="R22" s="44"/>
      <c r="S22" s="51" t="s">
        <v>125</v>
      </c>
      <c r="T22" s="45"/>
      <c r="U22" s="45"/>
      <c r="V22" s="45">
        <v>1</v>
      </c>
      <c r="W22" s="50" t="s">
        <v>161</v>
      </c>
    </row>
    <row r="23" customFormat="1" ht="22" customHeight="1" spans="1:23">
      <c r="A23" s="9">
        <v>21</v>
      </c>
      <c r="B23" s="10">
        <v>46100</v>
      </c>
      <c r="C23" s="23" t="s">
        <v>36</v>
      </c>
      <c r="D23" s="12" t="s">
        <v>152</v>
      </c>
      <c r="E23" s="26"/>
      <c r="F23" s="28">
        <v>6</v>
      </c>
      <c r="G23" s="25" t="s">
        <v>156</v>
      </c>
      <c r="I23" s="15">
        <v>21</v>
      </c>
      <c r="J23" s="10">
        <v>46100</v>
      </c>
      <c r="K23" s="11" t="s">
        <v>90</v>
      </c>
      <c r="L23" s="12" t="s">
        <v>152</v>
      </c>
      <c r="M23" s="11">
        <v>2</v>
      </c>
      <c r="N23" s="16"/>
      <c r="O23" s="17"/>
      <c r="Q23" s="44"/>
      <c r="R23" s="44"/>
      <c r="S23" s="44"/>
      <c r="T23" s="44"/>
      <c r="U23" s="44"/>
      <c r="V23" s="44"/>
      <c r="W23" s="44"/>
    </row>
    <row r="24" customFormat="1" ht="22" customHeight="1" spans="1:23">
      <c r="A24" s="9">
        <v>22</v>
      </c>
      <c r="B24" s="10">
        <v>46100</v>
      </c>
      <c r="C24" s="23" t="s">
        <v>28</v>
      </c>
      <c r="D24" s="12" t="s">
        <v>152</v>
      </c>
      <c r="E24" s="24"/>
      <c r="F24" s="21">
        <v>2</v>
      </c>
      <c r="G24" s="12" t="s">
        <v>157</v>
      </c>
      <c r="I24" s="15">
        <v>22</v>
      </c>
      <c r="J24" s="10">
        <v>46100</v>
      </c>
      <c r="K24" s="11" t="s">
        <v>91</v>
      </c>
      <c r="L24" s="12" t="s">
        <v>152</v>
      </c>
      <c r="M24" s="11">
        <v>2</v>
      </c>
      <c r="N24" s="16"/>
      <c r="O24" s="17"/>
      <c r="Q24" s="44"/>
      <c r="R24" s="44"/>
      <c r="S24" s="44"/>
      <c r="T24" s="44"/>
      <c r="U24" s="44"/>
      <c r="V24" s="44"/>
      <c r="W24" s="44"/>
    </row>
    <row r="25" customFormat="1" ht="22" customHeight="1" spans="1:23">
      <c r="A25" s="9">
        <v>23</v>
      </c>
      <c r="B25" s="10">
        <v>46100</v>
      </c>
      <c r="C25" s="23" t="s">
        <v>29</v>
      </c>
      <c r="D25" s="12" t="s">
        <v>152</v>
      </c>
      <c r="E25" s="26"/>
      <c r="F25" s="21">
        <v>2</v>
      </c>
      <c r="G25" s="12" t="s">
        <v>157</v>
      </c>
      <c r="I25" s="15">
        <v>23</v>
      </c>
      <c r="J25" s="10">
        <v>46100</v>
      </c>
      <c r="K25" s="11" t="s">
        <v>92</v>
      </c>
      <c r="L25" s="12" t="s">
        <v>152</v>
      </c>
      <c r="M25" s="11">
        <v>2</v>
      </c>
      <c r="N25" s="16"/>
      <c r="O25" s="17" t="s">
        <v>93</v>
      </c>
      <c r="Q25" s="44"/>
      <c r="R25" s="44"/>
      <c r="S25" s="44"/>
      <c r="T25" s="44"/>
      <c r="U25" s="44"/>
      <c r="V25" s="44"/>
      <c r="W25" s="44"/>
    </row>
    <row r="26" customFormat="1" ht="22" customHeight="1" spans="1:23">
      <c r="A26" s="9">
        <v>24</v>
      </c>
      <c r="B26" s="10">
        <v>46100</v>
      </c>
      <c r="C26" s="23" t="s">
        <v>30</v>
      </c>
      <c r="D26" s="12" t="s">
        <v>152</v>
      </c>
      <c r="E26" s="21">
        <v>1</v>
      </c>
      <c r="F26" s="21">
        <v>1</v>
      </c>
      <c r="G26" s="12" t="s">
        <v>157</v>
      </c>
      <c r="I26" s="15">
        <v>24</v>
      </c>
      <c r="J26" s="10">
        <v>46100</v>
      </c>
      <c r="K26" s="11" t="s">
        <v>94</v>
      </c>
      <c r="L26" s="12" t="s">
        <v>152</v>
      </c>
      <c r="M26" s="11">
        <v>1</v>
      </c>
      <c r="N26" s="16">
        <v>1</v>
      </c>
      <c r="O26" s="17" t="s">
        <v>95</v>
      </c>
      <c r="Q26" s="44"/>
      <c r="R26" s="44"/>
      <c r="S26" s="44"/>
      <c r="T26" s="44"/>
      <c r="U26" s="44"/>
      <c r="V26" s="44"/>
      <c r="W26" s="44"/>
    </row>
    <row r="27" customFormat="1" ht="22" customHeight="1" spans="1:23">
      <c r="A27" s="9">
        <v>25</v>
      </c>
      <c r="B27" s="10">
        <v>46100</v>
      </c>
      <c r="C27" s="23" t="s">
        <v>31</v>
      </c>
      <c r="D27" s="12" t="s">
        <v>152</v>
      </c>
      <c r="E27" s="21">
        <v>1</v>
      </c>
      <c r="F27" s="21">
        <v>1</v>
      </c>
      <c r="G27" s="12" t="s">
        <v>157</v>
      </c>
      <c r="I27" s="15">
        <v>25</v>
      </c>
      <c r="J27" s="10">
        <v>46100</v>
      </c>
      <c r="K27" s="11" t="s">
        <v>96</v>
      </c>
      <c r="L27" s="12" t="s">
        <v>152</v>
      </c>
      <c r="M27" s="11">
        <v>1</v>
      </c>
      <c r="N27" s="16">
        <v>1</v>
      </c>
      <c r="O27" s="17" t="s">
        <v>95</v>
      </c>
      <c r="Q27" s="44"/>
      <c r="R27" s="44"/>
      <c r="S27" s="44"/>
      <c r="T27" s="44"/>
      <c r="U27" s="44"/>
      <c r="V27" s="44"/>
      <c r="W27" s="44"/>
    </row>
    <row r="28" customFormat="1" ht="22" customHeight="1" spans="1:23">
      <c r="A28" s="9">
        <v>26</v>
      </c>
      <c r="B28" s="10">
        <v>46100</v>
      </c>
      <c r="C28" s="23" t="s">
        <v>32</v>
      </c>
      <c r="D28" s="12" t="s">
        <v>152</v>
      </c>
      <c r="E28" s="21">
        <v>2</v>
      </c>
      <c r="F28" s="26"/>
      <c r="G28" s="12" t="s">
        <v>157</v>
      </c>
      <c r="I28" s="15">
        <v>26</v>
      </c>
      <c r="J28" s="10">
        <v>46100</v>
      </c>
      <c r="K28" s="11" t="s">
        <v>97</v>
      </c>
      <c r="L28" s="12" t="s">
        <v>152</v>
      </c>
      <c r="M28" s="11"/>
      <c r="N28" s="11">
        <v>2</v>
      </c>
      <c r="O28" s="17" t="s">
        <v>98</v>
      </c>
      <c r="Q28" s="44"/>
      <c r="R28" s="44"/>
      <c r="S28" s="44"/>
      <c r="T28" s="44"/>
      <c r="U28" s="44"/>
      <c r="V28" s="44"/>
      <c r="W28" s="44"/>
    </row>
    <row r="29" customFormat="1" ht="22" customHeight="1" spans="1:23">
      <c r="A29" s="9">
        <v>27</v>
      </c>
      <c r="B29" s="10">
        <v>46100</v>
      </c>
      <c r="C29" s="23" t="s">
        <v>33</v>
      </c>
      <c r="D29" s="12" t="s">
        <v>152</v>
      </c>
      <c r="E29" s="21">
        <v>2</v>
      </c>
      <c r="F29" s="26"/>
      <c r="G29" s="12" t="s">
        <v>157</v>
      </c>
      <c r="I29" s="15">
        <v>27</v>
      </c>
      <c r="J29" s="10">
        <v>46100</v>
      </c>
      <c r="K29" s="11" t="s">
        <v>99</v>
      </c>
      <c r="L29" s="12" t="s">
        <v>152</v>
      </c>
      <c r="M29" s="11">
        <v>2</v>
      </c>
      <c r="N29" s="16"/>
      <c r="O29" s="17"/>
      <c r="Q29" s="44"/>
      <c r="R29" s="44"/>
      <c r="S29" s="44"/>
      <c r="T29" s="44"/>
      <c r="U29" s="44"/>
      <c r="V29" s="44"/>
      <c r="W29" s="44"/>
    </row>
    <row r="30" customFormat="1" ht="22" customHeight="1" spans="1:23">
      <c r="A30" s="9">
        <v>28</v>
      </c>
      <c r="B30" s="10">
        <v>46100</v>
      </c>
      <c r="C30" s="27" t="s">
        <v>34</v>
      </c>
      <c r="D30" s="12" t="s">
        <v>152</v>
      </c>
      <c r="E30" s="21">
        <v>2</v>
      </c>
      <c r="F30" s="26"/>
      <c r="G30" s="12" t="s">
        <v>157</v>
      </c>
      <c r="I30" s="15">
        <v>28</v>
      </c>
      <c r="J30" s="10">
        <v>46100</v>
      </c>
      <c r="K30" s="11" t="s">
        <v>101</v>
      </c>
      <c r="L30" s="12" t="s">
        <v>152</v>
      </c>
      <c r="M30" s="11">
        <v>2</v>
      </c>
      <c r="N30" s="16"/>
      <c r="O30" s="17"/>
      <c r="Q30" s="44"/>
      <c r="R30" s="44"/>
      <c r="S30" s="44"/>
      <c r="T30" s="44"/>
      <c r="U30" s="44"/>
      <c r="V30" s="44"/>
      <c r="W30" s="44"/>
    </row>
    <row r="31" customFormat="1" ht="22" customHeight="1" spans="1:23">
      <c r="A31" s="9">
        <v>29</v>
      </c>
      <c r="B31" s="10">
        <v>46100</v>
      </c>
      <c r="C31" s="23" t="s">
        <v>35</v>
      </c>
      <c r="D31" s="12" t="s">
        <v>152</v>
      </c>
      <c r="E31" s="21">
        <v>1</v>
      </c>
      <c r="F31" s="21">
        <v>1</v>
      </c>
      <c r="G31" s="12" t="s">
        <v>157</v>
      </c>
      <c r="I31" s="15">
        <v>29</v>
      </c>
      <c r="J31" s="10">
        <v>46100</v>
      </c>
      <c r="K31" s="11" t="s">
        <v>103</v>
      </c>
      <c r="L31" s="12" t="s">
        <v>152</v>
      </c>
      <c r="M31" s="11"/>
      <c r="N31" s="11">
        <v>2</v>
      </c>
      <c r="O31" s="35" t="s">
        <v>162</v>
      </c>
      <c r="Q31" s="44"/>
      <c r="R31" s="44"/>
      <c r="S31" s="44"/>
      <c r="T31" s="44"/>
      <c r="U31" s="44"/>
      <c r="V31" s="44"/>
      <c r="W31" s="44"/>
    </row>
    <row r="32" customFormat="1" ht="22" customHeight="1" spans="1:23">
      <c r="A32" s="9"/>
      <c r="B32" s="10"/>
      <c r="C32" s="23"/>
      <c r="D32" s="12"/>
      <c r="E32" s="21"/>
      <c r="F32" s="21"/>
      <c r="G32" s="25"/>
      <c r="I32" s="15">
        <v>30</v>
      </c>
      <c r="J32" s="10">
        <v>46100</v>
      </c>
      <c r="K32" s="11" t="s">
        <v>105</v>
      </c>
      <c r="L32" s="12" t="s">
        <v>152</v>
      </c>
      <c r="M32" s="11">
        <v>2</v>
      </c>
      <c r="N32" s="11"/>
      <c r="O32" s="17"/>
      <c r="Q32" s="44"/>
      <c r="R32" s="44"/>
      <c r="S32" s="44"/>
      <c r="T32" s="44"/>
      <c r="U32" s="44"/>
      <c r="V32" s="44"/>
      <c r="W32" s="44"/>
    </row>
    <row r="33" customFormat="1" ht="22" customHeight="1" spans="5:22">
      <c r="E33" s="14">
        <f>SUM(E3:E32)</f>
        <v>35</v>
      </c>
      <c r="F33" s="14">
        <f>SUM(F3:F32)</f>
        <v>27</v>
      </c>
      <c r="M33">
        <f>SUM(M3:M32)</f>
        <v>31</v>
      </c>
      <c r="N33">
        <f>SUM(N3:N32)</f>
        <v>29</v>
      </c>
      <c r="U33">
        <f>SUM(U3:U32)</f>
        <v>23</v>
      </c>
      <c r="V33">
        <f>SUM(V3:V32)</f>
        <v>12</v>
      </c>
    </row>
    <row r="34" ht="22" customHeight="1" spans="5:22">
      <c r="R34" t="s">
        <v>158</v>
      </c>
      <c r="S34" t="s">
        <v>74</v>
      </c>
    </row>
    <row r="35" customFormat="1" ht="22" customHeight="1" spans="5:22">
      <c r="Q35" t="s">
        <v>150</v>
      </c>
      <c r="R35">
        <f>M33+U33</f>
        <v>54</v>
      </c>
      <c r="S35">
        <f>N33+V33</f>
        <v>41</v>
      </c>
    </row>
    <row r="36" ht="22" customHeight="1"/>
    <row r="37" ht="22" customHeight="1"/>
    <row r="38" ht="22" customHeight="1"/>
  </sheetData>
  <mergeCells count="3">
    <mergeCell ref="A1:G1"/>
    <mergeCell ref="I1:O1"/>
    <mergeCell ref="Q1:W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8"/>
  <sheetViews>
    <sheetView topLeftCell="H8" workbookViewId="0">
      <selection activeCell="U12" sqref="U12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5" customWidth="1"/>
    <col min="4" max="4" width="12.1428571428571" customWidth="1"/>
    <col min="5" max="5" width="9.85714285714286" customWidth="1"/>
    <col min="6" max="6" width="10" customWidth="1"/>
    <col min="7" max="7" width="19.5714285714286" customWidth="1"/>
    <col min="9" max="9" width="8.57142857142857" customWidth="1"/>
    <col min="10" max="10" width="11" customWidth="1"/>
    <col min="11" max="11" width="11.4285714285714" customWidth="1"/>
    <col min="12" max="12" width="12.1428571428571" customWidth="1"/>
    <col min="13" max="14" width="10" customWidth="1"/>
    <col min="15" max="15" width="27.1428571428571" customWidth="1"/>
    <col min="16" max="16" width="3.85714285714286" customWidth="1"/>
    <col min="18" max="20" width="11.5714285714286" customWidth="1"/>
    <col min="21" max="22" width="9.14285714285714" customWidth="1"/>
    <col min="23" max="23" width="22.1428571428571" customWidth="1"/>
  </cols>
  <sheetData>
    <row r="1" customFormat="1" ht="38" customHeight="1" spans="1:30">
      <c r="A1" s="2" t="s">
        <v>144</v>
      </c>
      <c r="B1" s="2"/>
      <c r="C1" s="2"/>
      <c r="D1" s="2"/>
      <c r="E1" s="2"/>
      <c r="F1" s="3"/>
      <c r="G1" s="4"/>
      <c r="I1" s="2" t="s">
        <v>145</v>
      </c>
      <c r="J1" s="2"/>
      <c r="K1" s="2"/>
      <c r="L1" s="2"/>
      <c r="M1" s="2"/>
      <c r="N1" s="3"/>
      <c r="O1" s="4"/>
      <c r="Q1" s="2" t="s">
        <v>145</v>
      </c>
      <c r="R1" s="2"/>
      <c r="S1" s="2"/>
      <c r="T1" s="2"/>
      <c r="U1" s="2"/>
      <c r="V1" s="3"/>
      <c r="W1" s="4"/>
    </row>
    <row r="2" s="1" customFormat="1" ht="32" customHeight="1" spans="1:30">
      <c r="A2" s="5" t="s">
        <v>2</v>
      </c>
      <c r="B2" s="5" t="s">
        <v>136</v>
      </c>
      <c r="C2" s="5" t="s">
        <v>3</v>
      </c>
      <c r="D2" s="6" t="s">
        <v>146</v>
      </c>
      <c r="E2" s="7" t="s">
        <v>147</v>
      </c>
      <c r="F2" s="7" t="s">
        <v>148</v>
      </c>
      <c r="G2" s="7" t="s">
        <v>7</v>
      </c>
      <c r="I2" s="7" t="s">
        <v>2</v>
      </c>
      <c r="J2" s="8" t="s">
        <v>136</v>
      </c>
      <c r="K2" s="5" t="s">
        <v>3</v>
      </c>
      <c r="L2" s="6" t="s">
        <v>146</v>
      </c>
      <c r="M2" s="7" t="s">
        <v>147</v>
      </c>
      <c r="N2" s="7" t="s">
        <v>148</v>
      </c>
      <c r="O2" s="7" t="s">
        <v>7</v>
      </c>
      <c r="Q2" s="53" t="s">
        <v>2</v>
      </c>
      <c r="R2" s="8" t="s">
        <v>136</v>
      </c>
      <c r="S2" s="5" t="s">
        <v>3</v>
      </c>
      <c r="T2" s="54" t="s">
        <v>146</v>
      </c>
      <c r="U2" s="53" t="s">
        <v>147</v>
      </c>
      <c r="V2" s="53" t="s">
        <v>148</v>
      </c>
      <c r="W2" s="53" t="s">
        <v>7</v>
      </c>
    </row>
    <row r="3" customFormat="1" ht="22" customHeight="1" spans="1:30">
      <c r="A3" s="9">
        <v>1</v>
      </c>
      <c r="B3" s="10">
        <v>46104</v>
      </c>
      <c r="C3" s="11" t="s">
        <v>13</v>
      </c>
      <c r="D3" s="12" t="s">
        <v>149</v>
      </c>
      <c r="E3" s="11">
        <v>1</v>
      </c>
      <c r="F3" s="11">
        <v>2</v>
      </c>
      <c r="G3" s="13"/>
      <c r="I3" s="15">
        <v>1</v>
      </c>
      <c r="J3" s="10">
        <v>46104</v>
      </c>
      <c r="K3" s="11" t="s">
        <v>50</v>
      </c>
      <c r="L3" s="12" t="s">
        <v>149</v>
      </c>
      <c r="M3" s="11">
        <v>3</v>
      </c>
      <c r="N3" s="16"/>
      <c r="O3" s="17"/>
      <c r="P3">
        <f t="shared" ref="P3:P32" si="0">SUM(M3:N3)</f>
        <v>3</v>
      </c>
      <c r="Q3" s="44">
        <v>31</v>
      </c>
      <c r="R3" s="10">
        <v>46104</v>
      </c>
      <c r="S3" s="42" t="s">
        <v>106</v>
      </c>
      <c r="T3" s="12" t="s">
        <v>149</v>
      </c>
      <c r="U3" s="39"/>
      <c r="V3" s="58">
        <v>3</v>
      </c>
      <c r="W3" s="40" t="s">
        <v>74</v>
      </c>
      <c r="X3" t="s">
        <v>163</v>
      </c>
    </row>
    <row r="4" customFormat="1" ht="22" customHeight="1" spans="1:30">
      <c r="A4" s="9">
        <v>2</v>
      </c>
      <c r="B4" s="10">
        <v>46104</v>
      </c>
      <c r="C4" s="11" t="s">
        <v>16</v>
      </c>
      <c r="D4" s="12" t="s">
        <v>149</v>
      </c>
      <c r="E4" s="11">
        <v>3</v>
      </c>
      <c r="F4" s="16"/>
      <c r="G4" s="18"/>
      <c r="I4" s="15">
        <v>2</v>
      </c>
      <c r="J4" s="10">
        <v>46104</v>
      </c>
      <c r="K4" s="11" t="s">
        <v>55</v>
      </c>
      <c r="L4" s="12" t="s">
        <v>149</v>
      </c>
      <c r="M4" s="11"/>
      <c r="N4" s="11">
        <v>3</v>
      </c>
      <c r="O4" s="17" t="s">
        <v>56</v>
      </c>
      <c r="P4">
        <f t="shared" si="0"/>
        <v>3</v>
      </c>
      <c r="Q4" s="44">
        <v>32</v>
      </c>
      <c r="R4" s="10">
        <v>46104</v>
      </c>
      <c r="S4" s="42" t="s">
        <v>107</v>
      </c>
      <c r="T4" s="12" t="s">
        <v>149</v>
      </c>
      <c r="U4" s="58">
        <v>2</v>
      </c>
      <c r="V4" s="56">
        <v>1</v>
      </c>
      <c r="W4" s="40" t="s">
        <v>108</v>
      </c>
      <c r="X4" t="s">
        <v>163</v>
      </c>
    </row>
    <row r="5" customFormat="1" ht="22" customHeight="1" spans="1:30">
      <c r="A5" s="9">
        <v>3</v>
      </c>
      <c r="B5" s="10">
        <v>46104</v>
      </c>
      <c r="C5" s="11" t="s">
        <v>17</v>
      </c>
      <c r="D5" s="12" t="s">
        <v>149</v>
      </c>
      <c r="E5" s="11">
        <v>3</v>
      </c>
      <c r="F5" s="16"/>
      <c r="G5" s="18"/>
      <c r="I5" s="15">
        <v>3</v>
      </c>
      <c r="J5" s="10">
        <v>46104</v>
      </c>
      <c r="K5" s="11" t="s">
        <v>57</v>
      </c>
      <c r="L5" s="12" t="s">
        <v>149</v>
      </c>
      <c r="M5" s="11">
        <v>3</v>
      </c>
      <c r="N5" s="16"/>
      <c r="O5" s="17"/>
      <c r="P5">
        <f t="shared" si="0"/>
        <v>3</v>
      </c>
      <c r="Q5" s="44">
        <v>33</v>
      </c>
      <c r="R5" s="10">
        <v>46104</v>
      </c>
      <c r="S5" s="42" t="s">
        <v>109</v>
      </c>
      <c r="T5" s="12" t="s">
        <v>149</v>
      </c>
      <c r="U5" s="39"/>
      <c r="V5" s="58">
        <v>3</v>
      </c>
      <c r="W5" s="40" t="s">
        <v>98</v>
      </c>
      <c r="X5" t="s">
        <v>163</v>
      </c>
    </row>
    <row r="6" customFormat="1" ht="22" customHeight="1" spans="1:30">
      <c r="A6" s="9">
        <v>4</v>
      </c>
      <c r="B6" s="10">
        <v>46104</v>
      </c>
      <c r="C6" s="11" t="s">
        <v>18</v>
      </c>
      <c r="D6" s="12" t="s">
        <v>149</v>
      </c>
      <c r="E6" s="11">
        <v>3</v>
      </c>
      <c r="F6" s="16"/>
      <c r="G6" s="18"/>
      <c r="I6" s="15">
        <v>4</v>
      </c>
      <c r="J6" s="10">
        <v>46104</v>
      </c>
      <c r="K6" s="11" t="s">
        <v>59</v>
      </c>
      <c r="L6" s="12" t="s">
        <v>149</v>
      </c>
      <c r="M6" s="11">
        <v>1</v>
      </c>
      <c r="N6" s="16">
        <v>2</v>
      </c>
      <c r="O6" s="17" t="s">
        <v>61</v>
      </c>
      <c r="P6">
        <f t="shared" si="0"/>
        <v>3</v>
      </c>
      <c r="Q6" s="44">
        <v>34</v>
      </c>
      <c r="R6" s="10">
        <v>46104</v>
      </c>
      <c r="S6" s="42" t="s">
        <v>110</v>
      </c>
      <c r="T6" s="12" t="s">
        <v>149</v>
      </c>
      <c r="U6" s="39"/>
      <c r="V6" s="58">
        <v>3</v>
      </c>
      <c r="W6" s="40" t="s">
        <v>98</v>
      </c>
      <c r="X6" t="s">
        <v>163</v>
      </c>
    </row>
    <row r="7" customFormat="1" ht="22" customHeight="1" spans="1:30">
      <c r="A7" s="9">
        <v>5</v>
      </c>
      <c r="B7" s="10">
        <v>46104</v>
      </c>
      <c r="C7" s="11" t="s">
        <v>20</v>
      </c>
      <c r="D7" s="12" t="s">
        <v>149</v>
      </c>
      <c r="E7" s="16"/>
      <c r="F7" s="11">
        <v>3</v>
      </c>
      <c r="G7" s="18"/>
      <c r="I7" s="15">
        <v>5</v>
      </c>
      <c r="J7" s="10">
        <v>46104</v>
      </c>
      <c r="K7" s="11" t="s">
        <v>62</v>
      </c>
      <c r="L7" s="12" t="s">
        <v>149</v>
      </c>
      <c r="M7" s="11">
        <v>3</v>
      </c>
      <c r="N7" s="16"/>
      <c r="O7" s="17" t="s">
        <v>63</v>
      </c>
      <c r="P7">
        <f t="shared" si="0"/>
        <v>3</v>
      </c>
      <c r="Q7" s="44">
        <v>35</v>
      </c>
      <c r="R7" s="10">
        <v>46104</v>
      </c>
      <c r="S7" s="42" t="s">
        <v>111</v>
      </c>
      <c r="T7" s="12" t="s">
        <v>149</v>
      </c>
      <c r="U7" s="58">
        <v>3</v>
      </c>
      <c r="V7" s="40"/>
      <c r="W7" s="40"/>
      <c r="X7" t="s">
        <v>163</v>
      </c>
    </row>
    <row r="8" customFormat="1" ht="28.5" spans="1:30">
      <c r="A8" s="9">
        <v>6</v>
      </c>
      <c r="B8" s="10">
        <v>46104</v>
      </c>
      <c r="C8" s="11" t="s">
        <v>21</v>
      </c>
      <c r="D8" s="12" t="s">
        <v>149</v>
      </c>
      <c r="E8" s="11">
        <v>3</v>
      </c>
      <c r="F8" s="16"/>
      <c r="G8" s="18"/>
      <c r="I8" s="15">
        <v>6</v>
      </c>
      <c r="J8" s="10">
        <v>46104</v>
      </c>
      <c r="K8" s="11" t="s">
        <v>64</v>
      </c>
      <c r="L8" s="12" t="s">
        <v>149</v>
      </c>
      <c r="M8" s="11">
        <v>1</v>
      </c>
      <c r="N8" s="16">
        <v>2</v>
      </c>
      <c r="O8" s="19" t="s">
        <v>65</v>
      </c>
      <c r="P8">
        <f t="shared" si="0"/>
        <v>3</v>
      </c>
      <c r="Q8" s="44">
        <v>36</v>
      </c>
      <c r="R8" s="10">
        <v>46104</v>
      </c>
      <c r="S8" s="42" t="s">
        <v>112</v>
      </c>
      <c r="T8" s="12" t="s">
        <v>149</v>
      </c>
      <c r="U8" s="58">
        <v>3</v>
      </c>
      <c r="V8" s="40"/>
      <c r="W8" s="40"/>
      <c r="X8" t="s">
        <v>163</v>
      </c>
    </row>
    <row r="9" customFormat="1" ht="22" customHeight="1" spans="1:30">
      <c r="A9" s="9">
        <v>7</v>
      </c>
      <c r="B9" s="10">
        <v>46104</v>
      </c>
      <c r="C9" s="11" t="s">
        <v>22</v>
      </c>
      <c r="D9" s="12" t="s">
        <v>149</v>
      </c>
      <c r="E9" s="11">
        <v>3</v>
      </c>
      <c r="F9" s="16"/>
      <c r="G9" s="20"/>
      <c r="I9" s="15">
        <v>7</v>
      </c>
      <c r="J9" s="10">
        <v>46104</v>
      </c>
      <c r="K9" s="11" t="s">
        <v>66</v>
      </c>
      <c r="L9" s="12" t="s">
        <v>149</v>
      </c>
      <c r="M9" s="11">
        <v>1</v>
      </c>
      <c r="N9" s="16">
        <v>2</v>
      </c>
      <c r="O9" s="17" t="s">
        <v>67</v>
      </c>
      <c r="P9">
        <f t="shared" si="0"/>
        <v>3</v>
      </c>
      <c r="Q9" s="44">
        <v>37</v>
      </c>
      <c r="R9" s="10">
        <v>46104</v>
      </c>
      <c r="S9" s="43" t="s">
        <v>114</v>
      </c>
      <c r="T9" s="12" t="s">
        <v>149</v>
      </c>
      <c r="U9" s="59">
        <v>3</v>
      </c>
      <c r="V9" s="44"/>
      <c r="W9" s="44"/>
      <c r="X9" t="s">
        <v>163</v>
      </c>
    </row>
    <row r="10" customFormat="1" ht="22" customHeight="1" spans="1:30">
      <c r="A10" s="9">
        <v>8</v>
      </c>
      <c r="B10" s="10">
        <v>46104</v>
      </c>
      <c r="C10" s="11" t="s">
        <v>23</v>
      </c>
      <c r="D10" s="12" t="s">
        <v>149</v>
      </c>
      <c r="E10" s="11">
        <v>1</v>
      </c>
      <c r="F10" s="11">
        <v>2</v>
      </c>
      <c r="G10" s="20"/>
      <c r="I10" s="15">
        <v>8</v>
      </c>
      <c r="J10" s="10">
        <v>46104</v>
      </c>
      <c r="K10" s="11" t="s">
        <v>68</v>
      </c>
      <c r="L10" s="12" t="s">
        <v>149</v>
      </c>
      <c r="M10" s="11"/>
      <c r="N10" s="11">
        <v>3</v>
      </c>
      <c r="O10" s="17" t="s">
        <v>56</v>
      </c>
      <c r="P10">
        <f t="shared" si="0"/>
        <v>3</v>
      </c>
      <c r="Q10" s="44">
        <v>38</v>
      </c>
      <c r="R10" s="10">
        <v>46104</v>
      </c>
      <c r="S10" s="43" t="s">
        <v>117</v>
      </c>
      <c r="T10" s="12" t="s">
        <v>149</v>
      </c>
      <c r="U10" s="59">
        <v>2</v>
      </c>
      <c r="V10" s="44">
        <v>1</v>
      </c>
      <c r="W10" s="40" t="s">
        <v>108</v>
      </c>
      <c r="X10" t="s">
        <v>163</v>
      </c>
    </row>
    <row r="11" customFormat="1" ht="22" customHeight="1" spans="1:30">
      <c r="A11" s="9">
        <v>9</v>
      </c>
      <c r="B11" s="10">
        <v>46104</v>
      </c>
      <c r="C11" s="11" t="s">
        <v>24</v>
      </c>
      <c r="D11" s="12" t="s">
        <v>149</v>
      </c>
      <c r="E11" s="11">
        <v>3</v>
      </c>
      <c r="F11" s="16"/>
      <c r="G11" s="20"/>
      <c r="I11" s="15">
        <v>9</v>
      </c>
      <c r="J11" s="10">
        <v>46104</v>
      </c>
      <c r="K11" s="11" t="s">
        <v>69</v>
      </c>
      <c r="L11" s="12" t="s">
        <v>149</v>
      </c>
      <c r="M11" s="11"/>
      <c r="N11" s="11">
        <v>3</v>
      </c>
      <c r="O11" s="17" t="s">
        <v>70</v>
      </c>
      <c r="P11">
        <f t="shared" si="0"/>
        <v>3</v>
      </c>
      <c r="Q11" s="44">
        <v>39</v>
      </c>
      <c r="R11" s="10">
        <v>46104</v>
      </c>
      <c r="S11" s="43" t="s">
        <v>121</v>
      </c>
      <c r="T11" s="12" t="s">
        <v>149</v>
      </c>
      <c r="U11" s="59">
        <v>2</v>
      </c>
      <c r="V11" s="44">
        <v>1</v>
      </c>
      <c r="W11" s="40" t="s">
        <v>108</v>
      </c>
      <c r="X11" t="s">
        <v>163</v>
      </c>
    </row>
    <row r="12" customFormat="1" ht="22" customHeight="1" spans="1:30">
      <c r="A12" s="9">
        <v>10</v>
      </c>
      <c r="B12" s="10">
        <v>46104</v>
      </c>
      <c r="C12" s="11" t="s">
        <v>25</v>
      </c>
      <c r="D12" s="12" t="s">
        <v>149</v>
      </c>
      <c r="E12" s="16"/>
      <c r="F12" s="11">
        <v>3</v>
      </c>
      <c r="G12" s="20"/>
      <c r="I12" s="15">
        <v>10</v>
      </c>
      <c r="J12" s="10">
        <v>46104</v>
      </c>
      <c r="K12" s="11" t="s">
        <v>71</v>
      </c>
      <c r="L12" s="12" t="s">
        <v>149</v>
      </c>
      <c r="M12" s="11"/>
      <c r="N12" s="11">
        <v>3</v>
      </c>
      <c r="O12" s="17" t="s">
        <v>72</v>
      </c>
      <c r="P12">
        <f t="shared" si="0"/>
        <v>3</v>
      </c>
      <c r="Q12" s="44">
        <v>40</v>
      </c>
      <c r="R12" s="10">
        <v>46104</v>
      </c>
      <c r="S12" s="43" t="s">
        <v>125</v>
      </c>
      <c r="T12" s="12" t="s">
        <v>149</v>
      </c>
      <c r="U12" s="59">
        <v>2</v>
      </c>
      <c r="V12" s="41"/>
      <c r="W12" s="45"/>
      <c r="X12" t="s">
        <v>164</v>
      </c>
    </row>
    <row r="13" customFormat="1" ht="22" customHeight="1" spans="1:30">
      <c r="A13" s="9">
        <v>11</v>
      </c>
      <c r="B13" s="10">
        <v>46104</v>
      </c>
      <c r="C13" s="11" t="s">
        <v>26</v>
      </c>
      <c r="D13" s="12" t="s">
        <v>149</v>
      </c>
      <c r="E13" s="11">
        <v>1</v>
      </c>
      <c r="F13" s="11">
        <v>2</v>
      </c>
      <c r="G13" s="20"/>
      <c r="I13" s="15">
        <v>11</v>
      </c>
      <c r="J13" s="10">
        <v>46104</v>
      </c>
      <c r="K13" s="11" t="s">
        <v>73</v>
      </c>
      <c r="L13" s="12" t="s">
        <v>149</v>
      </c>
      <c r="M13" s="11"/>
      <c r="N13" s="11">
        <v>3</v>
      </c>
      <c r="O13" s="17" t="s">
        <v>74</v>
      </c>
      <c r="P13">
        <f t="shared" si="0"/>
        <v>3</v>
      </c>
      <c r="Q13" s="44">
        <v>41</v>
      </c>
      <c r="R13" s="10">
        <v>46104</v>
      </c>
      <c r="S13" s="46" t="s">
        <v>127</v>
      </c>
      <c r="T13" s="12" t="s">
        <v>149</v>
      </c>
      <c r="U13" s="59">
        <v>3</v>
      </c>
      <c r="V13" s="41"/>
      <c r="W13" s="44"/>
      <c r="X13" t="s">
        <v>163</v>
      </c>
    </row>
    <row r="14" customFormat="1" ht="22" customHeight="1" spans="1:30">
      <c r="A14" s="9">
        <v>12</v>
      </c>
      <c r="B14" s="10">
        <v>46104</v>
      </c>
      <c r="C14" s="21" t="s">
        <v>27</v>
      </c>
      <c r="D14" s="12" t="s">
        <v>149</v>
      </c>
      <c r="E14" s="21">
        <v>3</v>
      </c>
      <c r="F14" s="22"/>
      <c r="G14" s="20"/>
      <c r="I14" s="15">
        <v>12</v>
      </c>
      <c r="J14" s="10">
        <v>46104</v>
      </c>
      <c r="K14" s="11" t="s">
        <v>75</v>
      </c>
      <c r="L14" s="12" t="s">
        <v>149</v>
      </c>
      <c r="M14" s="11">
        <v>1</v>
      </c>
      <c r="N14" s="16">
        <v>2</v>
      </c>
      <c r="O14" s="17" t="s">
        <v>76</v>
      </c>
      <c r="P14">
        <f t="shared" si="0"/>
        <v>3</v>
      </c>
      <c r="Q14" s="44">
        <v>42</v>
      </c>
      <c r="R14" s="10">
        <v>46104</v>
      </c>
      <c r="S14" s="47" t="s">
        <v>129</v>
      </c>
      <c r="T14" s="12" t="s">
        <v>149</v>
      </c>
      <c r="U14" s="44">
        <v>3</v>
      </c>
      <c r="V14" s="44"/>
      <c r="W14" s="44"/>
      <c r="Y14" s="48"/>
    </row>
    <row r="15" customFormat="1" ht="22" customHeight="1" spans="1:30">
      <c r="A15" s="9">
        <v>13</v>
      </c>
      <c r="B15" s="10">
        <v>46104</v>
      </c>
      <c r="C15" s="23" t="s">
        <v>28</v>
      </c>
      <c r="D15" s="12" t="s">
        <v>149</v>
      </c>
      <c r="E15" s="24"/>
      <c r="F15" s="21">
        <v>3</v>
      </c>
      <c r="G15" s="25"/>
      <c r="I15" s="15">
        <v>13</v>
      </c>
      <c r="J15" s="10">
        <v>46104</v>
      </c>
      <c r="K15" s="11" t="s">
        <v>77</v>
      </c>
      <c r="L15" s="12" t="s">
        <v>149</v>
      </c>
      <c r="M15" s="11">
        <v>3</v>
      </c>
      <c r="N15" s="16"/>
      <c r="O15" s="17"/>
      <c r="P15">
        <f t="shared" si="0"/>
        <v>3</v>
      </c>
      <c r="Q15" s="44"/>
      <c r="R15" s="10">
        <v>46104</v>
      </c>
      <c r="S15" s="60" t="s">
        <v>125</v>
      </c>
      <c r="T15" s="44" t="s">
        <v>153</v>
      </c>
      <c r="U15" s="44"/>
      <c r="V15" s="44">
        <v>1</v>
      </c>
      <c r="W15" s="44"/>
      <c r="Y15" s="44"/>
      <c r="Z15" s="44"/>
      <c r="AA15" s="44"/>
      <c r="AB15" s="44"/>
      <c r="AC15" s="44"/>
      <c r="AD15" s="44"/>
    </row>
    <row r="16" customFormat="1" ht="22" customHeight="1" spans="1:30">
      <c r="A16" s="9">
        <v>14</v>
      </c>
      <c r="B16" s="10">
        <v>46104</v>
      </c>
      <c r="C16" s="23" t="s">
        <v>29</v>
      </c>
      <c r="D16" s="12" t="s">
        <v>149</v>
      </c>
      <c r="E16" s="26"/>
      <c r="F16" s="21">
        <v>3</v>
      </c>
      <c r="G16" s="25"/>
      <c r="I16" s="15">
        <v>14</v>
      </c>
      <c r="J16" s="10">
        <v>46104</v>
      </c>
      <c r="K16" s="11" t="s">
        <v>78</v>
      </c>
      <c r="L16" s="12" t="s">
        <v>149</v>
      </c>
      <c r="M16" s="11">
        <v>1</v>
      </c>
      <c r="N16" s="16">
        <v>2</v>
      </c>
      <c r="O16" s="17" t="s">
        <v>79</v>
      </c>
      <c r="P16">
        <f t="shared" si="0"/>
        <v>3</v>
      </c>
      <c r="Q16" s="44"/>
      <c r="R16" s="44"/>
      <c r="S16" s="43"/>
      <c r="T16" s="44"/>
      <c r="U16" s="44"/>
      <c r="V16" s="44"/>
      <c r="W16" s="44"/>
      <c r="Y16" s="44"/>
      <c r="Z16" s="49" t="s">
        <v>129</v>
      </c>
      <c r="AA16" s="45"/>
      <c r="AB16" s="45">
        <v>3</v>
      </c>
      <c r="AC16" s="45"/>
      <c r="AD16" s="50" t="s">
        <v>160</v>
      </c>
    </row>
    <row r="17" customFormat="1" ht="22" customHeight="1" spans="1:30">
      <c r="A17" s="9">
        <v>15</v>
      </c>
      <c r="B17" s="10">
        <v>46104</v>
      </c>
      <c r="C17" s="23" t="s">
        <v>30</v>
      </c>
      <c r="D17" s="12" t="s">
        <v>149</v>
      </c>
      <c r="E17" s="21">
        <v>1</v>
      </c>
      <c r="F17" s="21">
        <v>2</v>
      </c>
      <c r="G17" s="25"/>
      <c r="I17" s="15">
        <v>15</v>
      </c>
      <c r="J17" s="10">
        <v>46104</v>
      </c>
      <c r="K17" s="11" t="s">
        <v>80</v>
      </c>
      <c r="L17" s="12" t="s">
        <v>149</v>
      </c>
      <c r="M17" s="61">
        <v>3</v>
      </c>
      <c r="N17" s="22"/>
      <c r="O17" s="17" t="s">
        <v>81</v>
      </c>
      <c r="P17" t="s">
        <v>163</v>
      </c>
      <c r="Q17" s="44"/>
      <c r="R17" s="44"/>
      <c r="S17" s="43"/>
      <c r="T17" s="44"/>
      <c r="U17" s="44"/>
      <c r="V17" s="44"/>
      <c r="W17" s="44"/>
      <c r="Y17" s="44"/>
      <c r="Z17" s="51" t="s">
        <v>125</v>
      </c>
      <c r="AA17" s="45"/>
      <c r="AB17" s="45"/>
      <c r="AC17" s="45">
        <v>1</v>
      </c>
      <c r="AD17" s="50" t="s">
        <v>165</v>
      </c>
    </row>
    <row r="18" customFormat="1" ht="22" customHeight="1" spans="1:30">
      <c r="A18" s="9">
        <v>16</v>
      </c>
      <c r="B18" s="10">
        <v>46104</v>
      </c>
      <c r="C18" s="23" t="s">
        <v>31</v>
      </c>
      <c r="D18" s="12" t="s">
        <v>149</v>
      </c>
      <c r="E18" s="21">
        <v>1</v>
      </c>
      <c r="F18" s="21">
        <v>2</v>
      </c>
      <c r="G18" s="25"/>
      <c r="I18" s="15">
        <v>16</v>
      </c>
      <c r="J18" s="10">
        <v>46104</v>
      </c>
      <c r="K18" s="11" t="s">
        <v>82</v>
      </c>
      <c r="L18" s="12" t="s">
        <v>149</v>
      </c>
      <c r="M18" s="11"/>
      <c r="N18" s="11">
        <v>3</v>
      </c>
      <c r="O18" s="17" t="s">
        <v>83</v>
      </c>
      <c r="P18">
        <f t="shared" si="0"/>
        <v>3</v>
      </c>
      <c r="Q18" s="44"/>
      <c r="R18" s="42"/>
      <c r="S18" s="55"/>
      <c r="T18" s="44" t="s">
        <v>166</v>
      </c>
      <c r="U18" s="42"/>
      <c r="V18" s="56"/>
      <c r="W18" s="40"/>
      <c r="Y18" s="44"/>
      <c r="Z18" s="44"/>
      <c r="AA18" s="44"/>
      <c r="AB18" s="44"/>
      <c r="AC18" s="44"/>
      <c r="AD18" s="44"/>
    </row>
    <row r="19" customFormat="1" ht="22" customHeight="1" spans="1:30">
      <c r="A19" s="9">
        <v>17</v>
      </c>
      <c r="B19" s="10">
        <v>46104</v>
      </c>
      <c r="C19" s="23" t="s">
        <v>32</v>
      </c>
      <c r="D19" s="12" t="s">
        <v>149</v>
      </c>
      <c r="E19" s="21">
        <v>3</v>
      </c>
      <c r="F19" s="26"/>
      <c r="G19" s="25"/>
      <c r="I19" s="15">
        <v>17</v>
      </c>
      <c r="J19" s="10">
        <v>46104</v>
      </c>
      <c r="K19" s="11" t="s">
        <v>84</v>
      </c>
      <c r="L19" s="12" t="s">
        <v>149</v>
      </c>
      <c r="M19" s="11"/>
      <c r="N19" s="11">
        <v>3</v>
      </c>
      <c r="O19" s="17" t="s">
        <v>83</v>
      </c>
      <c r="P19">
        <f t="shared" si="0"/>
        <v>3</v>
      </c>
      <c r="Q19" s="44"/>
      <c r="R19" s="44"/>
      <c r="S19" s="44"/>
      <c r="T19" s="44"/>
      <c r="U19" s="44"/>
      <c r="V19" s="44"/>
      <c r="W19" s="44"/>
    </row>
    <row r="20" customFormat="1" ht="22" customHeight="1" spans="1:30">
      <c r="A20" s="9">
        <v>18</v>
      </c>
      <c r="B20" s="10">
        <v>46104</v>
      </c>
      <c r="C20" s="23" t="s">
        <v>33</v>
      </c>
      <c r="D20" s="12" t="s">
        <v>149</v>
      </c>
      <c r="E20" s="21">
        <v>3</v>
      </c>
      <c r="F20" s="26"/>
      <c r="G20" s="25"/>
      <c r="I20" s="15">
        <v>18</v>
      </c>
      <c r="J20" s="10">
        <v>46104</v>
      </c>
      <c r="K20" s="11" t="s">
        <v>85</v>
      </c>
      <c r="L20" s="12" t="s">
        <v>149</v>
      </c>
      <c r="M20" s="11">
        <v>3</v>
      </c>
      <c r="N20" s="16"/>
      <c r="O20" s="17"/>
      <c r="P20">
        <f t="shared" si="0"/>
        <v>3</v>
      </c>
      <c r="Q20" s="44"/>
      <c r="R20" s="44"/>
      <c r="S20" s="44"/>
      <c r="T20" s="44"/>
      <c r="U20" s="44"/>
      <c r="V20" s="44"/>
      <c r="W20" s="44"/>
    </row>
    <row r="21" customFormat="1" ht="22" customHeight="1" spans="1:30">
      <c r="A21" s="9">
        <v>19</v>
      </c>
      <c r="B21" s="10">
        <v>46104</v>
      </c>
      <c r="C21" s="27" t="s">
        <v>34</v>
      </c>
      <c r="D21" s="12" t="s">
        <v>149</v>
      </c>
      <c r="E21" s="21">
        <v>3</v>
      </c>
      <c r="F21" s="26"/>
      <c r="G21" s="25"/>
      <c r="I21" s="15">
        <v>19</v>
      </c>
      <c r="J21" s="10">
        <v>46104</v>
      </c>
      <c r="K21" s="11" t="s">
        <v>87</v>
      </c>
      <c r="L21" s="12" t="s">
        <v>149</v>
      </c>
      <c r="M21" s="11"/>
      <c r="N21" s="11">
        <v>3</v>
      </c>
      <c r="O21" s="17" t="s">
        <v>88</v>
      </c>
      <c r="P21">
        <f t="shared" si="0"/>
        <v>3</v>
      </c>
      <c r="Q21" s="44"/>
      <c r="R21" s="44"/>
      <c r="S21" s="49"/>
      <c r="T21" s="45"/>
      <c r="U21" s="45"/>
      <c r="V21" s="45"/>
      <c r="W21" s="50"/>
    </row>
    <row r="22" customFormat="1" ht="22" customHeight="1" spans="1:30">
      <c r="A22" s="9">
        <v>20</v>
      </c>
      <c r="B22" s="10">
        <v>46104</v>
      </c>
      <c r="C22" s="23" t="s">
        <v>35</v>
      </c>
      <c r="D22" s="12" t="s">
        <v>149</v>
      </c>
      <c r="E22" s="21">
        <v>1</v>
      </c>
      <c r="F22" s="21">
        <v>2</v>
      </c>
      <c r="G22" s="25"/>
      <c r="I22" s="15">
        <v>20</v>
      </c>
      <c r="J22" s="10">
        <v>46104</v>
      </c>
      <c r="K22" s="11" t="s">
        <v>89</v>
      </c>
      <c r="L22" s="12" t="s">
        <v>149</v>
      </c>
      <c r="M22" s="11"/>
      <c r="N22" s="11">
        <v>3</v>
      </c>
      <c r="O22" s="17" t="s">
        <v>74</v>
      </c>
      <c r="P22">
        <f t="shared" si="0"/>
        <v>3</v>
      </c>
      <c r="Q22" s="44"/>
      <c r="R22" s="44"/>
      <c r="S22" s="51"/>
      <c r="T22" s="45"/>
      <c r="U22" s="45"/>
      <c r="V22" s="45"/>
      <c r="W22" s="50"/>
    </row>
    <row r="23" customFormat="1" ht="22" customHeight="1" spans="1:30">
      <c r="A23" s="9">
        <v>21</v>
      </c>
      <c r="B23" s="10">
        <v>46104</v>
      </c>
      <c r="C23" s="23" t="s">
        <v>36</v>
      </c>
      <c r="D23" s="12" t="s">
        <v>149</v>
      </c>
      <c r="E23" s="26"/>
      <c r="F23" s="28">
        <v>9</v>
      </c>
      <c r="G23" s="25" t="s">
        <v>156</v>
      </c>
      <c r="I23" s="15">
        <v>21</v>
      </c>
      <c r="J23" s="10">
        <v>46104</v>
      </c>
      <c r="K23" s="11" t="s">
        <v>90</v>
      </c>
      <c r="L23" s="12" t="s">
        <v>149</v>
      </c>
      <c r="M23" s="11">
        <v>3</v>
      </c>
      <c r="N23" s="16"/>
      <c r="O23" s="17"/>
      <c r="P23">
        <f t="shared" si="0"/>
        <v>3</v>
      </c>
      <c r="Q23" s="44"/>
      <c r="R23" s="44"/>
      <c r="S23" s="44"/>
      <c r="T23" s="44"/>
      <c r="U23" s="44"/>
      <c r="V23" s="44"/>
      <c r="W23" s="44"/>
    </row>
    <row r="24" customFormat="1" ht="22" customHeight="1" spans="1:30">
      <c r="A24" s="9"/>
      <c r="B24" s="10"/>
      <c r="C24" s="23"/>
      <c r="D24" s="12"/>
      <c r="E24" s="24"/>
      <c r="F24" s="21"/>
      <c r="G24" s="12"/>
      <c r="I24" s="15">
        <v>22</v>
      </c>
      <c r="J24" s="10">
        <v>46104</v>
      </c>
      <c r="K24" s="11" t="s">
        <v>91</v>
      </c>
      <c r="L24" s="12" t="s">
        <v>149</v>
      </c>
      <c r="M24" s="11">
        <v>3</v>
      </c>
      <c r="N24" s="16"/>
      <c r="O24" s="17"/>
      <c r="P24">
        <f t="shared" si="0"/>
        <v>3</v>
      </c>
      <c r="Q24" s="44"/>
      <c r="R24" s="44"/>
      <c r="S24" s="44"/>
      <c r="T24" s="44"/>
      <c r="U24" s="44"/>
      <c r="V24" s="44"/>
      <c r="W24" s="44"/>
    </row>
    <row r="25" customFormat="1" ht="22" customHeight="1" spans="1:30">
      <c r="A25" s="9"/>
      <c r="B25" s="10"/>
      <c r="C25" s="23"/>
      <c r="D25" s="12"/>
      <c r="E25" s="26"/>
      <c r="F25" s="21"/>
      <c r="G25" s="12"/>
      <c r="I25" s="15">
        <v>23</v>
      </c>
      <c r="J25" s="10">
        <v>46104</v>
      </c>
      <c r="K25" s="11" t="s">
        <v>92</v>
      </c>
      <c r="L25" s="12" t="s">
        <v>149</v>
      </c>
      <c r="M25" s="11">
        <v>3</v>
      </c>
      <c r="N25" s="16"/>
      <c r="O25" s="17" t="s">
        <v>93</v>
      </c>
      <c r="P25">
        <f t="shared" si="0"/>
        <v>3</v>
      </c>
      <c r="Q25" s="44"/>
      <c r="R25" s="44"/>
      <c r="S25" s="44"/>
      <c r="T25" s="44"/>
      <c r="U25" s="44"/>
      <c r="V25" s="44"/>
      <c r="W25" s="44"/>
    </row>
    <row r="26" customFormat="1" ht="22" customHeight="1" spans="1:30">
      <c r="A26" s="9"/>
      <c r="B26" s="10"/>
      <c r="C26" s="23"/>
      <c r="D26" s="12"/>
      <c r="E26" s="21"/>
      <c r="F26" s="21"/>
      <c r="G26" s="12"/>
      <c r="I26" s="15">
        <v>24</v>
      </c>
      <c r="J26" s="10">
        <v>46104</v>
      </c>
      <c r="K26" s="11" t="s">
        <v>94</v>
      </c>
      <c r="L26" s="12" t="s">
        <v>149</v>
      </c>
      <c r="M26" s="11">
        <v>1</v>
      </c>
      <c r="N26" s="16">
        <v>2</v>
      </c>
      <c r="O26" s="17" t="s">
        <v>95</v>
      </c>
      <c r="P26">
        <f t="shared" si="0"/>
        <v>3</v>
      </c>
      <c r="Q26" s="44"/>
      <c r="R26" s="44"/>
      <c r="S26" s="44"/>
      <c r="T26" s="44"/>
      <c r="U26" s="44"/>
      <c r="V26" s="44"/>
      <c r="W26" s="44"/>
    </row>
    <row r="27" customFormat="1" ht="22" customHeight="1" spans="1:30">
      <c r="A27" s="9"/>
      <c r="B27" s="10"/>
      <c r="C27" s="23"/>
      <c r="D27" s="12"/>
      <c r="E27" s="21"/>
      <c r="F27" s="21"/>
      <c r="G27" s="12"/>
      <c r="I27" s="15">
        <v>25</v>
      </c>
      <c r="J27" s="10">
        <v>46104</v>
      </c>
      <c r="K27" s="11" t="s">
        <v>96</v>
      </c>
      <c r="L27" s="12" t="s">
        <v>149</v>
      </c>
      <c r="M27" s="11">
        <v>1</v>
      </c>
      <c r="N27" s="16">
        <v>2</v>
      </c>
      <c r="O27" s="17" t="s">
        <v>95</v>
      </c>
      <c r="P27">
        <f t="shared" si="0"/>
        <v>3</v>
      </c>
      <c r="Q27" s="44"/>
      <c r="R27" s="44"/>
      <c r="S27" s="44"/>
      <c r="T27" s="44"/>
      <c r="U27" s="44"/>
      <c r="V27" s="44"/>
      <c r="W27" s="44"/>
    </row>
    <row r="28" customFormat="1" ht="22" customHeight="1" spans="1:30">
      <c r="A28" s="9"/>
      <c r="B28" s="10"/>
      <c r="C28" s="23"/>
      <c r="D28" s="12"/>
      <c r="E28" s="21"/>
      <c r="F28" s="26"/>
      <c r="G28" s="12"/>
      <c r="I28" s="15">
        <v>26</v>
      </c>
      <c r="J28" s="10">
        <v>46104</v>
      </c>
      <c r="K28" s="11" t="s">
        <v>97</v>
      </c>
      <c r="L28" s="12" t="s">
        <v>149</v>
      </c>
      <c r="M28" s="11"/>
      <c r="N28" s="11">
        <v>3</v>
      </c>
      <c r="O28" s="17" t="s">
        <v>98</v>
      </c>
      <c r="P28">
        <f t="shared" si="0"/>
        <v>3</v>
      </c>
      <c r="Q28" s="44"/>
      <c r="R28" s="44"/>
      <c r="S28" s="44"/>
      <c r="T28" s="44"/>
      <c r="U28" s="44"/>
      <c r="V28" s="44"/>
      <c r="W28" s="44"/>
    </row>
    <row r="29" customFormat="1" ht="22" customHeight="1" spans="1:30">
      <c r="A29" s="9"/>
      <c r="B29" s="10"/>
      <c r="C29" s="23"/>
      <c r="D29" s="12"/>
      <c r="E29" s="21"/>
      <c r="F29" s="26"/>
      <c r="G29" s="12"/>
      <c r="I29" s="15">
        <v>27</v>
      </c>
      <c r="J29" s="10">
        <v>46104</v>
      </c>
      <c r="K29" s="11" t="s">
        <v>99</v>
      </c>
      <c r="L29" s="12" t="s">
        <v>149</v>
      </c>
      <c r="M29" s="11">
        <v>3</v>
      </c>
      <c r="N29" s="16"/>
      <c r="O29" s="17"/>
      <c r="P29">
        <f t="shared" si="0"/>
        <v>3</v>
      </c>
      <c r="Q29" s="44"/>
      <c r="R29" s="44"/>
      <c r="S29" s="44"/>
      <c r="T29" s="44"/>
      <c r="U29" s="44"/>
      <c r="V29" s="44"/>
      <c r="W29" s="44"/>
    </row>
    <row r="30" customFormat="1" ht="22" customHeight="1" spans="1:30">
      <c r="A30" s="9"/>
      <c r="B30" s="10"/>
      <c r="C30" s="27"/>
      <c r="D30" s="12"/>
      <c r="E30" s="21"/>
      <c r="F30" s="26"/>
      <c r="G30" s="12"/>
      <c r="I30" s="15">
        <v>28</v>
      </c>
      <c r="J30" s="10">
        <v>46104</v>
      </c>
      <c r="K30" s="11" t="s">
        <v>101</v>
      </c>
      <c r="L30" s="12" t="s">
        <v>149</v>
      </c>
      <c r="M30" s="11">
        <v>3</v>
      </c>
      <c r="N30" s="16"/>
      <c r="O30" s="17"/>
      <c r="P30">
        <f t="shared" si="0"/>
        <v>3</v>
      </c>
      <c r="Q30" s="44"/>
      <c r="R30" s="44"/>
      <c r="S30" s="44"/>
      <c r="T30" s="44"/>
      <c r="U30" s="44"/>
      <c r="V30" s="44"/>
      <c r="W30" s="44"/>
    </row>
    <row r="31" customFormat="1" ht="22" customHeight="1" spans="1:30">
      <c r="A31" s="9"/>
      <c r="B31" s="10"/>
      <c r="C31" s="23"/>
      <c r="D31" s="12"/>
      <c r="E31" s="21"/>
      <c r="F31" s="21"/>
      <c r="G31" s="12"/>
      <c r="I31" s="15">
        <v>29</v>
      </c>
      <c r="J31" s="10">
        <v>46104</v>
      </c>
      <c r="K31" s="11" t="s">
        <v>103</v>
      </c>
      <c r="L31" s="12" t="s">
        <v>149</v>
      </c>
      <c r="M31" s="11">
        <v>3</v>
      </c>
      <c r="N31" s="11"/>
      <c r="O31" s="35"/>
      <c r="P31">
        <f t="shared" si="0"/>
        <v>3</v>
      </c>
      <c r="Q31" s="44"/>
      <c r="R31" s="44"/>
      <c r="S31" s="44"/>
      <c r="T31" s="44"/>
      <c r="U31" s="44"/>
      <c r="V31" s="44"/>
      <c r="W31" s="44"/>
    </row>
    <row r="32" customFormat="1" ht="22" customHeight="1" spans="1:30">
      <c r="A32" s="9"/>
      <c r="B32" s="10"/>
      <c r="C32" s="23"/>
      <c r="D32" s="12"/>
      <c r="E32" s="21"/>
      <c r="F32" s="21"/>
      <c r="G32" s="25"/>
      <c r="I32" s="15">
        <v>30</v>
      </c>
      <c r="J32" s="10">
        <v>46104</v>
      </c>
      <c r="K32" s="11" t="s">
        <v>105</v>
      </c>
      <c r="L32" s="12" t="s">
        <v>149</v>
      </c>
      <c r="M32" s="11">
        <v>3</v>
      </c>
      <c r="N32" s="11"/>
      <c r="O32" s="17"/>
      <c r="P32">
        <f t="shared" si="0"/>
        <v>3</v>
      </c>
      <c r="Q32" s="44"/>
      <c r="R32" s="44"/>
      <c r="S32" s="44"/>
      <c r="T32" s="44"/>
      <c r="U32" s="44"/>
      <c r="V32" s="44"/>
      <c r="W32" s="44"/>
    </row>
    <row r="33" customFormat="1" ht="22" customHeight="1" spans="5:22">
      <c r="E33" s="14">
        <f>SUM(E3:E32)</f>
        <v>36</v>
      </c>
      <c r="F33" s="14">
        <f>SUM(F3:F32)</f>
        <v>33</v>
      </c>
      <c r="M33">
        <f>SUM(M3:M32)</f>
        <v>46</v>
      </c>
      <c r="N33">
        <f>SUM(N3:N32)</f>
        <v>44</v>
      </c>
      <c r="U33">
        <f>SUM(U3:U32)</f>
        <v>23</v>
      </c>
      <c r="V33">
        <f>SUM(V3:V32)</f>
        <v>13</v>
      </c>
    </row>
    <row r="34" customFormat="1" ht="22" customHeight="1" spans="5:22">
      <c r="R34" t="s">
        <v>158</v>
      </c>
      <c r="S34" t="s">
        <v>74</v>
      </c>
    </row>
    <row r="35" customFormat="1" ht="22" customHeight="1" spans="5:22">
      <c r="Q35" t="s">
        <v>150</v>
      </c>
      <c r="R35">
        <f>M33+U33</f>
        <v>69</v>
      </c>
      <c r="S35">
        <f>N33+V33</f>
        <v>57</v>
      </c>
    </row>
    <row r="36" ht="22" customHeight="1"/>
    <row r="37" ht="22" customHeight="1"/>
    <row r="38" ht="22" customHeight="1"/>
  </sheetData>
  <mergeCells count="3">
    <mergeCell ref="A1:G1"/>
    <mergeCell ref="I1:O1"/>
    <mergeCell ref="Q1:W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8"/>
  <sheetViews>
    <sheetView topLeftCell="A12" workbookViewId="0">
      <selection activeCell="F33" sqref="U33:V33 M33:N33 E33:F33"/>
    </sheetView>
  </sheetViews>
  <sheetFormatPr defaultColWidth="9.14285714285714" defaultRowHeight="12"/>
  <cols>
    <col min="1" max="1" width="7.85714285714286" customWidth="1"/>
    <col min="2" max="2" width="14.4285714285714" customWidth="1"/>
    <col min="3" max="3" width="15" customWidth="1"/>
    <col min="4" max="4" width="12.1428571428571" customWidth="1"/>
    <col min="5" max="5" width="9.85714285714286" customWidth="1"/>
    <col min="6" max="6" width="10" customWidth="1"/>
    <col min="7" max="7" width="19.5714285714286" customWidth="1"/>
    <col min="9" max="9" width="8.57142857142857" customWidth="1"/>
    <col min="10" max="10" width="11" customWidth="1"/>
    <col min="11" max="11" width="11.4285714285714" customWidth="1"/>
    <col min="12" max="12" width="12.1428571428571" customWidth="1"/>
    <col min="13" max="14" width="10" customWidth="1"/>
    <col min="15" max="15" width="27.1428571428571" customWidth="1"/>
    <col min="16" max="16" width="3.85714285714286" customWidth="1"/>
    <col min="18" max="20" width="11.5714285714286" customWidth="1"/>
    <col min="21" max="22" width="9.14285714285714" customWidth="1"/>
    <col min="23" max="23" width="22.1428571428571" customWidth="1"/>
  </cols>
  <sheetData>
    <row r="1" customFormat="1" ht="38" customHeight="1" spans="1:30">
      <c r="A1" s="2" t="s">
        <v>144</v>
      </c>
      <c r="B1" s="2"/>
      <c r="C1" s="2"/>
      <c r="D1" s="2"/>
      <c r="E1" s="2"/>
      <c r="F1" s="3"/>
      <c r="G1" s="4"/>
      <c r="I1" s="2" t="s">
        <v>145</v>
      </c>
      <c r="J1" s="2"/>
      <c r="K1" s="2"/>
      <c r="L1" s="2"/>
      <c r="M1" s="2"/>
      <c r="N1" s="3"/>
      <c r="O1" s="4"/>
      <c r="Q1" s="2" t="s">
        <v>145</v>
      </c>
      <c r="R1" s="2"/>
      <c r="S1" s="2"/>
      <c r="T1" s="2"/>
      <c r="U1" s="2"/>
      <c r="V1" s="3"/>
      <c r="W1" s="4"/>
    </row>
    <row r="2" s="1" customFormat="1" ht="32" customHeight="1" spans="1:30">
      <c r="A2" s="5" t="s">
        <v>2</v>
      </c>
      <c r="B2" s="5" t="s">
        <v>136</v>
      </c>
      <c r="C2" s="5" t="s">
        <v>3</v>
      </c>
      <c r="D2" s="6" t="s">
        <v>146</v>
      </c>
      <c r="E2" s="7" t="s">
        <v>147</v>
      </c>
      <c r="F2" s="7" t="s">
        <v>148</v>
      </c>
      <c r="G2" s="7" t="s">
        <v>7</v>
      </c>
      <c r="I2" s="7" t="s">
        <v>2</v>
      </c>
      <c r="J2" s="8" t="s">
        <v>136</v>
      </c>
      <c r="K2" s="5" t="s">
        <v>3</v>
      </c>
      <c r="L2" s="6" t="s">
        <v>146</v>
      </c>
      <c r="M2" s="7" t="s">
        <v>147</v>
      </c>
      <c r="N2" s="7" t="s">
        <v>148</v>
      </c>
      <c r="O2" s="7" t="s">
        <v>7</v>
      </c>
      <c r="Q2" s="53" t="s">
        <v>2</v>
      </c>
      <c r="R2" s="8" t="s">
        <v>136</v>
      </c>
      <c r="S2" s="5" t="s">
        <v>3</v>
      </c>
      <c r="T2" s="54" t="s">
        <v>146</v>
      </c>
      <c r="U2" s="53" t="s">
        <v>147</v>
      </c>
      <c r="V2" s="53" t="s">
        <v>148</v>
      </c>
      <c r="W2" s="53" t="s">
        <v>7</v>
      </c>
    </row>
    <row r="3" customFormat="1" ht="22" customHeight="1" spans="1:30">
      <c r="A3" s="9">
        <v>1</v>
      </c>
      <c r="B3" s="10">
        <v>46107</v>
      </c>
      <c r="C3" s="11" t="s">
        <v>13</v>
      </c>
      <c r="D3" s="12" t="s">
        <v>152</v>
      </c>
      <c r="E3" s="11">
        <v>1</v>
      </c>
      <c r="F3" s="11">
        <v>1</v>
      </c>
      <c r="G3" s="13"/>
      <c r="H3" s="14"/>
      <c r="I3" s="15">
        <v>1</v>
      </c>
      <c r="J3" s="10">
        <v>46107</v>
      </c>
      <c r="K3" s="11" t="s">
        <v>50</v>
      </c>
      <c r="L3" s="12" t="s">
        <v>152</v>
      </c>
      <c r="M3" s="11">
        <v>2</v>
      </c>
      <c r="N3" s="16"/>
      <c r="O3" s="17"/>
      <c r="Q3" s="44">
        <v>31</v>
      </c>
      <c r="R3" s="10">
        <v>46107</v>
      </c>
      <c r="S3" s="42" t="s">
        <v>106</v>
      </c>
      <c r="T3" s="12" t="s">
        <v>152</v>
      </c>
      <c r="U3" s="39"/>
      <c r="V3" s="39">
        <v>2</v>
      </c>
      <c r="W3" s="40" t="s">
        <v>74</v>
      </c>
    </row>
    <row r="4" customFormat="1" ht="22" customHeight="1" spans="1:30">
      <c r="A4" s="9">
        <v>2</v>
      </c>
      <c r="B4" s="10">
        <v>46107</v>
      </c>
      <c r="C4" s="11" t="s">
        <v>16</v>
      </c>
      <c r="D4" s="12" t="s">
        <v>152</v>
      </c>
      <c r="E4" s="11">
        <v>2</v>
      </c>
      <c r="F4" s="16"/>
      <c r="G4" s="18"/>
      <c r="H4" s="14"/>
      <c r="I4" s="15">
        <v>2</v>
      </c>
      <c r="J4" s="10">
        <v>46107</v>
      </c>
      <c r="K4" s="11" t="s">
        <v>55</v>
      </c>
      <c r="L4" s="12" t="s">
        <v>152</v>
      </c>
      <c r="M4" s="11"/>
      <c r="N4" s="11">
        <v>2</v>
      </c>
      <c r="O4" s="17" t="s">
        <v>56</v>
      </c>
      <c r="Q4" s="44">
        <v>32</v>
      </c>
      <c r="R4" s="10">
        <v>46107</v>
      </c>
      <c r="S4" s="42" t="s">
        <v>107</v>
      </c>
      <c r="T4" s="12" t="s">
        <v>152</v>
      </c>
      <c r="U4" s="39">
        <v>1</v>
      </c>
      <c r="V4" s="40">
        <v>1</v>
      </c>
      <c r="W4" s="40" t="s">
        <v>108</v>
      </c>
    </row>
    <row r="5" customFormat="1" ht="22" customHeight="1" spans="1:30">
      <c r="A5" s="9">
        <v>3</v>
      </c>
      <c r="B5" s="10">
        <v>46107</v>
      </c>
      <c r="C5" s="11" t="s">
        <v>17</v>
      </c>
      <c r="D5" s="12" t="s">
        <v>152</v>
      </c>
      <c r="E5" s="11">
        <v>2</v>
      </c>
      <c r="F5" s="16"/>
      <c r="G5" s="18"/>
      <c r="H5" s="14"/>
      <c r="I5" s="15">
        <v>3</v>
      </c>
      <c r="J5" s="10">
        <v>46107</v>
      </c>
      <c r="K5" s="11" t="s">
        <v>57</v>
      </c>
      <c r="L5" s="12" t="s">
        <v>152</v>
      </c>
      <c r="M5" s="11">
        <v>2</v>
      </c>
      <c r="N5" s="16"/>
      <c r="O5" s="17"/>
      <c r="Q5" s="44">
        <v>33</v>
      </c>
      <c r="R5" s="10">
        <v>46107</v>
      </c>
      <c r="S5" s="42" t="s">
        <v>109</v>
      </c>
      <c r="T5" s="12" t="s">
        <v>152</v>
      </c>
      <c r="U5" s="39"/>
      <c r="V5" s="39">
        <v>2</v>
      </c>
      <c r="W5" s="40" t="s">
        <v>98</v>
      </c>
    </row>
    <row r="6" customFormat="1" ht="22" customHeight="1" spans="1:30">
      <c r="A6" s="9">
        <v>4</v>
      </c>
      <c r="B6" s="10">
        <v>46107</v>
      </c>
      <c r="C6" s="11" t="s">
        <v>18</v>
      </c>
      <c r="D6" s="12" t="s">
        <v>152</v>
      </c>
      <c r="E6" s="11">
        <v>2</v>
      </c>
      <c r="F6" s="16"/>
      <c r="G6" s="18"/>
      <c r="H6" s="14"/>
      <c r="I6" s="15">
        <v>4</v>
      </c>
      <c r="J6" s="10">
        <v>46107</v>
      </c>
      <c r="K6" s="11" t="s">
        <v>59</v>
      </c>
      <c r="L6" s="12" t="s">
        <v>152</v>
      </c>
      <c r="M6" s="11">
        <v>1</v>
      </c>
      <c r="N6" s="16">
        <v>1</v>
      </c>
      <c r="O6" s="17" t="s">
        <v>61</v>
      </c>
      <c r="Q6" s="44">
        <v>34</v>
      </c>
      <c r="R6" s="10">
        <v>46107</v>
      </c>
      <c r="S6" s="42" t="s">
        <v>110</v>
      </c>
      <c r="T6" s="12" t="s">
        <v>152</v>
      </c>
      <c r="U6" s="39"/>
      <c r="V6" s="39">
        <v>2</v>
      </c>
      <c r="W6" s="40" t="s">
        <v>98</v>
      </c>
    </row>
    <row r="7" customFormat="1" ht="22" customHeight="1" spans="1:30">
      <c r="A7" s="9">
        <v>5</v>
      </c>
      <c r="B7" s="10">
        <v>46107</v>
      </c>
      <c r="C7" s="11" t="s">
        <v>20</v>
      </c>
      <c r="D7" s="12" t="s">
        <v>152</v>
      </c>
      <c r="E7" s="16"/>
      <c r="F7" s="11">
        <v>2</v>
      </c>
      <c r="G7" s="18"/>
      <c r="H7" s="14"/>
      <c r="I7" s="15">
        <v>5</v>
      </c>
      <c r="J7" s="10">
        <v>46107</v>
      </c>
      <c r="K7" s="11" t="s">
        <v>62</v>
      </c>
      <c r="L7" s="12" t="s">
        <v>152</v>
      </c>
      <c r="M7" s="11">
        <v>2</v>
      </c>
      <c r="N7" s="16"/>
      <c r="O7" s="17" t="s">
        <v>63</v>
      </c>
      <c r="Q7" s="44">
        <v>35</v>
      </c>
      <c r="R7" s="10">
        <v>46107</v>
      </c>
      <c r="S7" s="42" t="s">
        <v>111</v>
      </c>
      <c r="T7" s="12" t="s">
        <v>152</v>
      </c>
      <c r="U7" s="39">
        <v>2</v>
      </c>
      <c r="V7" s="40"/>
      <c r="W7" s="40"/>
    </row>
    <row r="8" customFormat="1" ht="28.5" spans="1:30">
      <c r="A8" s="9">
        <v>6</v>
      </c>
      <c r="B8" s="10">
        <v>46107</v>
      </c>
      <c r="C8" s="11" t="s">
        <v>21</v>
      </c>
      <c r="D8" s="12" t="s">
        <v>152</v>
      </c>
      <c r="E8" s="11">
        <v>2</v>
      </c>
      <c r="F8" s="16"/>
      <c r="G8" s="18"/>
      <c r="H8" s="14"/>
      <c r="I8" s="15">
        <v>6</v>
      </c>
      <c r="J8" s="10">
        <v>46107</v>
      </c>
      <c r="K8" s="11" t="s">
        <v>64</v>
      </c>
      <c r="L8" s="12" t="s">
        <v>152</v>
      </c>
      <c r="M8" s="11">
        <v>1</v>
      </c>
      <c r="N8" s="16">
        <v>1</v>
      </c>
      <c r="O8" s="19" t="s">
        <v>65</v>
      </c>
      <c r="Q8" s="44">
        <v>36</v>
      </c>
      <c r="R8" s="10">
        <v>46107</v>
      </c>
      <c r="S8" s="42" t="s">
        <v>112</v>
      </c>
      <c r="T8" s="12" t="s">
        <v>152</v>
      </c>
      <c r="U8" s="39">
        <v>2</v>
      </c>
      <c r="V8" s="40"/>
      <c r="W8" s="40"/>
    </row>
    <row r="9" customFormat="1" ht="22" customHeight="1" spans="1:30">
      <c r="A9" s="9">
        <v>7</v>
      </c>
      <c r="B9" s="10">
        <v>46107</v>
      </c>
      <c r="C9" s="11" t="s">
        <v>22</v>
      </c>
      <c r="D9" s="12" t="s">
        <v>152</v>
      </c>
      <c r="E9" s="11">
        <v>2</v>
      </c>
      <c r="F9" s="16"/>
      <c r="G9" s="20"/>
      <c r="H9" s="14"/>
      <c r="I9" s="15">
        <v>7</v>
      </c>
      <c r="J9" s="10">
        <v>46107</v>
      </c>
      <c r="K9" s="11" t="s">
        <v>66</v>
      </c>
      <c r="L9" s="12" t="s">
        <v>152</v>
      </c>
      <c r="M9" s="11">
        <v>1</v>
      </c>
      <c r="N9" s="16">
        <v>1</v>
      </c>
      <c r="O9" s="17" t="s">
        <v>67</v>
      </c>
      <c r="Q9" s="44">
        <v>37</v>
      </c>
      <c r="R9" s="10">
        <v>46107</v>
      </c>
      <c r="S9" s="43" t="s">
        <v>114</v>
      </c>
      <c r="T9" s="12" t="s">
        <v>152</v>
      </c>
      <c r="U9" s="39">
        <v>2</v>
      </c>
      <c r="V9" s="41"/>
      <c r="W9" s="44"/>
    </row>
    <row r="10" customFormat="1" ht="22" customHeight="1" spans="1:30">
      <c r="A10" s="9">
        <v>8</v>
      </c>
      <c r="B10" s="10">
        <v>46107</v>
      </c>
      <c r="C10" s="11" t="s">
        <v>23</v>
      </c>
      <c r="D10" s="12" t="s">
        <v>152</v>
      </c>
      <c r="E10" s="11">
        <v>1</v>
      </c>
      <c r="F10" s="11">
        <v>1</v>
      </c>
      <c r="G10" s="20"/>
      <c r="H10" s="14"/>
      <c r="I10" s="15">
        <v>8</v>
      </c>
      <c r="J10" s="10">
        <v>46107</v>
      </c>
      <c r="K10" s="11" t="s">
        <v>68</v>
      </c>
      <c r="L10" s="12" t="s">
        <v>152</v>
      </c>
      <c r="M10" s="11"/>
      <c r="N10" s="11">
        <v>2</v>
      </c>
      <c r="O10" s="17" t="s">
        <v>56</v>
      </c>
      <c r="Q10" s="44">
        <v>38</v>
      </c>
      <c r="R10" s="10">
        <v>46107</v>
      </c>
      <c r="S10" s="43" t="s">
        <v>117</v>
      </c>
      <c r="T10" s="12" t="s">
        <v>152</v>
      </c>
      <c r="U10" s="39">
        <v>1</v>
      </c>
      <c r="V10" s="39">
        <v>1</v>
      </c>
      <c r="W10" s="40" t="s">
        <v>108</v>
      </c>
    </row>
    <row r="11" customFormat="1" ht="22" customHeight="1" spans="1:30">
      <c r="A11" s="9">
        <v>9</v>
      </c>
      <c r="B11" s="10">
        <v>46107</v>
      </c>
      <c r="C11" s="11" t="s">
        <v>24</v>
      </c>
      <c r="D11" s="12" t="s">
        <v>152</v>
      </c>
      <c r="E11" s="11">
        <v>2</v>
      </c>
      <c r="F11" s="16"/>
      <c r="G11" s="20"/>
      <c r="H11" s="14"/>
      <c r="I11" s="15">
        <v>9</v>
      </c>
      <c r="J11" s="10">
        <v>46107</v>
      </c>
      <c r="K11" s="11" t="s">
        <v>69</v>
      </c>
      <c r="L11" s="12" t="s">
        <v>152</v>
      </c>
      <c r="M11" s="11"/>
      <c r="N11" s="11">
        <v>2</v>
      </c>
      <c r="O11" s="17" t="s">
        <v>70</v>
      </c>
      <c r="Q11" s="44">
        <v>39</v>
      </c>
      <c r="R11" s="10">
        <v>46107</v>
      </c>
      <c r="S11" s="43" t="s">
        <v>121</v>
      </c>
      <c r="T11" s="12" t="s">
        <v>152</v>
      </c>
      <c r="U11" s="39">
        <v>1</v>
      </c>
      <c r="V11" s="39">
        <v>1</v>
      </c>
      <c r="W11" s="40" t="s">
        <v>108</v>
      </c>
    </row>
    <row r="12" customFormat="1" ht="22" customHeight="1" spans="1:30">
      <c r="A12" s="9">
        <v>10</v>
      </c>
      <c r="B12" s="10">
        <v>46107</v>
      </c>
      <c r="C12" s="11" t="s">
        <v>25</v>
      </c>
      <c r="D12" s="12" t="s">
        <v>152</v>
      </c>
      <c r="E12" s="16"/>
      <c r="F12" s="11">
        <v>2</v>
      </c>
      <c r="G12" s="20"/>
      <c r="H12" s="14"/>
      <c r="I12" s="15">
        <v>10</v>
      </c>
      <c r="J12" s="10">
        <v>46107</v>
      </c>
      <c r="K12" s="11" t="s">
        <v>71</v>
      </c>
      <c r="L12" s="12" t="s">
        <v>152</v>
      </c>
      <c r="M12" s="11"/>
      <c r="N12" s="11">
        <v>2</v>
      </c>
      <c r="O12" s="17" t="s">
        <v>72</v>
      </c>
      <c r="Q12" s="44">
        <v>40</v>
      </c>
      <c r="R12" s="10">
        <v>46107</v>
      </c>
      <c r="S12" s="43" t="s">
        <v>125</v>
      </c>
      <c r="T12" s="12" t="s">
        <v>152</v>
      </c>
      <c r="U12" s="39">
        <v>2</v>
      </c>
      <c r="V12" s="41"/>
      <c r="W12" s="45"/>
    </row>
    <row r="13" customFormat="1" ht="22" customHeight="1" spans="1:30">
      <c r="A13" s="9">
        <v>11</v>
      </c>
      <c r="B13" s="10">
        <v>46107</v>
      </c>
      <c r="C13" s="11" t="s">
        <v>26</v>
      </c>
      <c r="D13" s="12" t="s">
        <v>152</v>
      </c>
      <c r="E13" s="11">
        <v>1</v>
      </c>
      <c r="F13" s="11">
        <v>1</v>
      </c>
      <c r="G13" s="20"/>
      <c r="H13" s="14"/>
      <c r="I13" s="15">
        <v>11</v>
      </c>
      <c r="J13" s="10">
        <v>46107</v>
      </c>
      <c r="K13" s="11" t="s">
        <v>73</v>
      </c>
      <c r="L13" s="12" t="s">
        <v>152</v>
      </c>
      <c r="M13" s="11"/>
      <c r="N13" s="11">
        <v>2</v>
      </c>
      <c r="O13" s="17" t="s">
        <v>74</v>
      </c>
      <c r="Q13" s="44">
        <v>41</v>
      </c>
      <c r="R13" s="10">
        <v>46107</v>
      </c>
      <c r="S13" s="46" t="s">
        <v>127</v>
      </c>
      <c r="T13" s="12" t="s">
        <v>152</v>
      </c>
      <c r="U13" s="39">
        <v>2</v>
      </c>
      <c r="V13" s="41"/>
      <c r="W13" s="44"/>
    </row>
    <row r="14" customFormat="1" ht="22" customHeight="1" spans="1:30">
      <c r="A14" s="9">
        <v>12</v>
      </c>
      <c r="B14" s="10">
        <v>46107</v>
      </c>
      <c r="C14" s="21" t="s">
        <v>27</v>
      </c>
      <c r="D14" s="12" t="s">
        <v>152</v>
      </c>
      <c r="E14" s="11">
        <v>2</v>
      </c>
      <c r="F14" s="22"/>
      <c r="G14" s="20"/>
      <c r="H14" s="14"/>
      <c r="I14" s="15">
        <v>12</v>
      </c>
      <c r="J14" s="10">
        <v>46107</v>
      </c>
      <c r="K14" s="11" t="s">
        <v>75</v>
      </c>
      <c r="L14" s="12" t="s">
        <v>152</v>
      </c>
      <c r="M14" s="11">
        <v>1</v>
      </c>
      <c r="N14" s="16">
        <v>1</v>
      </c>
      <c r="O14" s="17" t="s">
        <v>76</v>
      </c>
      <c r="Q14" s="44">
        <v>42</v>
      </c>
      <c r="R14" s="10">
        <v>46107</v>
      </c>
      <c r="S14" s="47" t="s">
        <v>129</v>
      </c>
      <c r="T14" s="12" t="s">
        <v>152</v>
      </c>
      <c r="U14" s="39">
        <v>2</v>
      </c>
      <c r="V14" s="41"/>
      <c r="W14" s="44"/>
      <c r="Y14" s="48"/>
    </row>
    <row r="15" customFormat="1" ht="22" customHeight="1" spans="1:30">
      <c r="A15" s="9">
        <v>13</v>
      </c>
      <c r="B15" s="10">
        <v>46107</v>
      </c>
      <c r="C15" s="23" t="s">
        <v>28</v>
      </c>
      <c r="D15" s="12" t="s">
        <v>152</v>
      </c>
      <c r="E15" s="24"/>
      <c r="F15" s="11">
        <v>2</v>
      </c>
      <c r="G15" s="25"/>
      <c r="H15" s="14"/>
      <c r="I15" s="15">
        <v>13</v>
      </c>
      <c r="J15" s="10">
        <v>46107</v>
      </c>
      <c r="K15" s="11" t="s">
        <v>77</v>
      </c>
      <c r="L15" s="12" t="s">
        <v>152</v>
      </c>
      <c r="M15" s="11">
        <v>2</v>
      </c>
      <c r="N15" s="16"/>
      <c r="O15" s="17"/>
      <c r="Q15" s="44">
        <v>43</v>
      </c>
      <c r="R15" s="10">
        <v>46107</v>
      </c>
      <c r="S15" s="47" t="s">
        <v>129</v>
      </c>
      <c r="T15" s="12" t="s">
        <v>152</v>
      </c>
      <c r="U15" s="39">
        <v>2</v>
      </c>
      <c r="V15" s="44"/>
      <c r="W15" s="44" t="s">
        <v>157</v>
      </c>
      <c r="Y15" s="44"/>
      <c r="Z15" s="44"/>
      <c r="AA15" s="44"/>
      <c r="AB15" s="44"/>
      <c r="AC15" s="44"/>
      <c r="AD15" s="44"/>
    </row>
    <row r="16" customFormat="1" ht="22" customHeight="1" spans="1:30">
      <c r="A16" s="9">
        <v>14</v>
      </c>
      <c r="B16" s="10">
        <v>46107</v>
      </c>
      <c r="C16" s="23" t="s">
        <v>29</v>
      </c>
      <c r="D16" s="12" t="s">
        <v>152</v>
      </c>
      <c r="E16" s="26"/>
      <c r="F16" s="11">
        <v>2</v>
      </c>
      <c r="G16" s="25"/>
      <c r="H16" s="14"/>
      <c r="I16" s="15">
        <v>14</v>
      </c>
      <c r="J16" s="10">
        <v>46107</v>
      </c>
      <c r="K16" s="11" t="s">
        <v>78</v>
      </c>
      <c r="L16" s="12" t="s">
        <v>152</v>
      </c>
      <c r="M16" s="11">
        <v>1</v>
      </c>
      <c r="N16" s="16">
        <v>1</v>
      </c>
      <c r="O16" s="17" t="s">
        <v>79</v>
      </c>
      <c r="Q16" s="44"/>
      <c r="R16" s="44"/>
      <c r="S16" s="43"/>
      <c r="T16" s="44"/>
      <c r="U16" s="44"/>
      <c r="V16" s="44"/>
      <c r="W16" s="44"/>
      <c r="Y16" s="44"/>
      <c r="Z16" s="49" t="s">
        <v>129</v>
      </c>
      <c r="AA16" s="45"/>
      <c r="AB16" s="45">
        <v>3</v>
      </c>
      <c r="AC16" s="45"/>
      <c r="AD16" s="50" t="s">
        <v>160</v>
      </c>
    </row>
    <row r="17" customFormat="1" ht="22" customHeight="1" spans="1:30">
      <c r="A17" s="9">
        <v>15</v>
      </c>
      <c r="B17" s="10">
        <v>46107</v>
      </c>
      <c r="C17" s="23" t="s">
        <v>30</v>
      </c>
      <c r="D17" s="12" t="s">
        <v>152</v>
      </c>
      <c r="E17" s="11">
        <v>1</v>
      </c>
      <c r="F17" s="11">
        <v>1</v>
      </c>
      <c r="G17" s="25"/>
      <c r="H17" s="14"/>
      <c r="I17" s="15">
        <v>15</v>
      </c>
      <c r="J17" s="10">
        <v>46107</v>
      </c>
      <c r="K17" s="11" t="s">
        <v>80</v>
      </c>
      <c r="L17" s="12" t="s">
        <v>152</v>
      </c>
      <c r="M17" s="11">
        <v>2</v>
      </c>
      <c r="N17" s="16"/>
      <c r="O17" s="17" t="s">
        <v>81</v>
      </c>
      <c r="Q17" s="44"/>
      <c r="R17" s="44"/>
      <c r="S17" s="43"/>
      <c r="T17" s="44"/>
      <c r="U17" s="44"/>
      <c r="V17" s="44"/>
      <c r="W17" s="44"/>
      <c r="Y17" s="44"/>
      <c r="Z17" s="51" t="s">
        <v>125</v>
      </c>
      <c r="AA17" s="45"/>
      <c r="AB17" s="45"/>
      <c r="AC17" s="45">
        <v>1</v>
      </c>
      <c r="AD17" s="50" t="s">
        <v>165</v>
      </c>
    </row>
    <row r="18" customFormat="1" ht="22" customHeight="1" spans="1:30">
      <c r="A18" s="9">
        <v>16</v>
      </c>
      <c r="B18" s="10">
        <v>46107</v>
      </c>
      <c r="C18" s="23" t="s">
        <v>31</v>
      </c>
      <c r="D18" s="12" t="s">
        <v>152</v>
      </c>
      <c r="E18" s="11">
        <v>1</v>
      </c>
      <c r="F18" s="11">
        <v>1</v>
      </c>
      <c r="G18" s="25"/>
      <c r="H18" s="14"/>
      <c r="I18" s="15">
        <v>16</v>
      </c>
      <c r="J18" s="10">
        <v>46107</v>
      </c>
      <c r="K18" s="11" t="s">
        <v>82</v>
      </c>
      <c r="L18" s="12" t="s">
        <v>152</v>
      </c>
      <c r="M18" s="11"/>
      <c r="N18" s="11">
        <v>2</v>
      </c>
      <c r="O18" s="17" t="s">
        <v>83</v>
      </c>
      <c r="Q18" s="44"/>
      <c r="R18" s="42"/>
      <c r="S18" s="55"/>
      <c r="T18" s="44"/>
      <c r="U18" s="42"/>
      <c r="V18" s="56"/>
      <c r="W18" s="40"/>
      <c r="Y18" s="44"/>
      <c r="Z18" s="44"/>
      <c r="AA18" s="44"/>
      <c r="AB18" s="44"/>
      <c r="AC18" s="44"/>
      <c r="AD18" s="44"/>
    </row>
    <row r="19" customFormat="1" ht="22" customHeight="1" spans="1:30">
      <c r="A19" s="9">
        <v>17</v>
      </c>
      <c r="B19" s="10">
        <v>46107</v>
      </c>
      <c r="C19" s="23" t="s">
        <v>32</v>
      </c>
      <c r="D19" s="12" t="s">
        <v>152</v>
      </c>
      <c r="E19" s="11">
        <v>2</v>
      </c>
      <c r="F19" s="26"/>
      <c r="G19" s="25"/>
      <c r="H19" s="14"/>
      <c r="I19" s="15">
        <v>17</v>
      </c>
      <c r="J19" s="10">
        <v>46107</v>
      </c>
      <c r="K19" s="11" t="s">
        <v>84</v>
      </c>
      <c r="L19" s="12" t="s">
        <v>152</v>
      </c>
      <c r="M19" s="11"/>
      <c r="N19" s="11">
        <v>2</v>
      </c>
      <c r="O19" s="17" t="s">
        <v>83</v>
      </c>
      <c r="Q19" s="44"/>
      <c r="R19" s="44"/>
      <c r="S19" s="44"/>
      <c r="T19" s="44"/>
      <c r="U19" s="44"/>
      <c r="V19" s="44"/>
      <c r="W19" s="44"/>
    </row>
    <row r="20" customFormat="1" ht="22" customHeight="1" spans="1:30">
      <c r="A20" s="9">
        <v>18</v>
      </c>
      <c r="B20" s="10">
        <v>46107</v>
      </c>
      <c r="C20" s="23" t="s">
        <v>33</v>
      </c>
      <c r="D20" s="12" t="s">
        <v>152</v>
      </c>
      <c r="E20" s="11">
        <v>2</v>
      </c>
      <c r="F20" s="26"/>
      <c r="G20" s="25"/>
      <c r="H20" s="14"/>
      <c r="I20" s="15">
        <v>18</v>
      </c>
      <c r="J20" s="10">
        <v>46107</v>
      </c>
      <c r="K20" s="11" t="s">
        <v>85</v>
      </c>
      <c r="L20" s="12" t="s">
        <v>152</v>
      </c>
      <c r="M20" s="11">
        <v>2</v>
      </c>
      <c r="N20" s="16"/>
      <c r="O20" s="17"/>
      <c r="Q20" s="44"/>
      <c r="R20" s="44"/>
      <c r="S20" s="44"/>
      <c r="T20" s="44"/>
      <c r="U20" s="44"/>
      <c r="V20" s="44"/>
      <c r="W20" s="44"/>
    </row>
    <row r="21" customFormat="1" ht="22" customHeight="1" spans="1:30">
      <c r="A21" s="9">
        <v>19</v>
      </c>
      <c r="B21" s="10">
        <v>46107</v>
      </c>
      <c r="C21" s="27" t="s">
        <v>34</v>
      </c>
      <c r="D21" s="12" t="s">
        <v>152</v>
      </c>
      <c r="E21" s="11">
        <v>2</v>
      </c>
      <c r="F21" s="26"/>
      <c r="G21" s="25"/>
      <c r="H21" s="14"/>
      <c r="I21" s="15">
        <v>19</v>
      </c>
      <c r="J21" s="10">
        <v>46107</v>
      </c>
      <c r="K21" s="11" t="s">
        <v>87</v>
      </c>
      <c r="L21" s="12" t="s">
        <v>152</v>
      </c>
      <c r="M21" s="11"/>
      <c r="N21" s="11">
        <v>2</v>
      </c>
      <c r="O21" s="17" t="s">
        <v>88</v>
      </c>
      <c r="Q21" s="44"/>
      <c r="R21" s="44"/>
      <c r="S21" s="49"/>
      <c r="T21" s="45"/>
      <c r="U21" s="45"/>
      <c r="V21" s="45"/>
      <c r="W21" s="50"/>
    </row>
    <row r="22" customFormat="1" ht="22" customHeight="1" spans="1:30">
      <c r="A22" s="9">
        <v>20</v>
      </c>
      <c r="B22" s="10">
        <v>46107</v>
      </c>
      <c r="C22" s="23" t="s">
        <v>35</v>
      </c>
      <c r="D22" s="12" t="s">
        <v>152</v>
      </c>
      <c r="E22" s="11">
        <v>1</v>
      </c>
      <c r="F22" s="11">
        <v>1</v>
      </c>
      <c r="G22" s="25"/>
      <c r="H22" s="14"/>
      <c r="I22" s="15">
        <v>20</v>
      </c>
      <c r="J22" s="10">
        <v>46107</v>
      </c>
      <c r="K22" s="11" t="s">
        <v>89</v>
      </c>
      <c r="L22" s="12" t="s">
        <v>152</v>
      </c>
      <c r="M22" s="11"/>
      <c r="N22" s="11">
        <v>2</v>
      </c>
      <c r="O22" s="17" t="s">
        <v>74</v>
      </c>
      <c r="Q22" s="44"/>
      <c r="R22" s="44"/>
      <c r="S22" s="51"/>
      <c r="T22" s="45"/>
      <c r="U22" s="45"/>
      <c r="V22" s="45"/>
      <c r="W22" s="50"/>
    </row>
    <row r="23" customFormat="1" ht="22" customHeight="1" spans="1:30">
      <c r="A23" s="9">
        <v>21</v>
      </c>
      <c r="B23" s="10">
        <v>46107</v>
      </c>
      <c r="C23" s="23" t="s">
        <v>36</v>
      </c>
      <c r="D23" s="12" t="s">
        <v>152</v>
      </c>
      <c r="E23" s="26"/>
      <c r="F23" s="28">
        <v>6</v>
      </c>
      <c r="G23" s="25" t="s">
        <v>156</v>
      </c>
      <c r="H23" s="14"/>
      <c r="I23" s="15">
        <v>21</v>
      </c>
      <c r="J23" s="10">
        <v>46107</v>
      </c>
      <c r="K23" s="11" t="s">
        <v>90</v>
      </c>
      <c r="L23" s="12" t="s">
        <v>152</v>
      </c>
      <c r="M23" s="11">
        <v>2</v>
      </c>
      <c r="N23" s="16"/>
      <c r="O23" s="17"/>
      <c r="Q23" s="44"/>
      <c r="R23" s="44"/>
      <c r="S23" s="44"/>
      <c r="T23" s="44"/>
      <c r="U23" s="44"/>
      <c r="V23" s="44"/>
      <c r="W23" s="44"/>
    </row>
    <row r="24" customFormat="1" ht="22" customHeight="1" spans="1:30">
      <c r="A24" s="9"/>
      <c r="B24" s="10"/>
      <c r="C24" s="23"/>
      <c r="D24" s="12"/>
      <c r="E24" s="24"/>
      <c r="F24" s="21"/>
      <c r="G24" s="12"/>
      <c r="H24" s="14"/>
      <c r="I24" s="15">
        <v>22</v>
      </c>
      <c r="J24" s="10">
        <v>46107</v>
      </c>
      <c r="K24" s="11" t="s">
        <v>91</v>
      </c>
      <c r="L24" s="12" t="s">
        <v>152</v>
      </c>
      <c r="M24" s="11">
        <v>2</v>
      </c>
      <c r="N24" s="16"/>
      <c r="O24" s="17"/>
      <c r="Q24" s="44"/>
      <c r="R24" s="44"/>
      <c r="S24" s="44"/>
      <c r="T24" s="44"/>
      <c r="U24" s="44"/>
      <c r="V24" s="44"/>
      <c r="W24" s="44"/>
    </row>
    <row r="25" customFormat="1" ht="22" customHeight="1" spans="1:30">
      <c r="A25" s="9"/>
      <c r="B25" s="10"/>
      <c r="C25" s="23"/>
      <c r="D25" s="12"/>
      <c r="E25" s="26"/>
      <c r="F25" s="21"/>
      <c r="G25" s="12"/>
      <c r="H25" s="14"/>
      <c r="I25" s="15">
        <v>23</v>
      </c>
      <c r="J25" s="10">
        <v>46107</v>
      </c>
      <c r="K25" s="11" t="s">
        <v>92</v>
      </c>
      <c r="L25" s="12" t="s">
        <v>152</v>
      </c>
      <c r="M25" s="11">
        <v>2</v>
      </c>
      <c r="N25" s="16"/>
      <c r="O25" s="17" t="s">
        <v>93</v>
      </c>
      <c r="Q25" s="44"/>
      <c r="R25" s="44"/>
      <c r="S25" s="44"/>
      <c r="T25" s="44"/>
      <c r="U25" s="44"/>
      <c r="V25" s="44"/>
      <c r="W25" s="44"/>
    </row>
    <row r="26" customFormat="1" ht="22" customHeight="1" spans="1:30">
      <c r="A26" s="9"/>
      <c r="B26" s="10"/>
      <c r="C26" s="23"/>
      <c r="D26" s="12"/>
      <c r="E26" s="21"/>
      <c r="F26" s="21"/>
      <c r="G26" s="12"/>
      <c r="H26" s="14"/>
      <c r="I26" s="15">
        <v>24</v>
      </c>
      <c r="J26" s="10">
        <v>46107</v>
      </c>
      <c r="K26" s="11" t="s">
        <v>94</v>
      </c>
      <c r="L26" s="12" t="s">
        <v>152</v>
      </c>
      <c r="M26" s="11">
        <v>1</v>
      </c>
      <c r="N26" s="16">
        <v>1</v>
      </c>
      <c r="O26" s="17" t="s">
        <v>95</v>
      </c>
      <c r="Q26" s="44"/>
      <c r="R26" s="44"/>
      <c r="S26" s="44"/>
      <c r="T26" s="44"/>
      <c r="U26" s="44"/>
      <c r="V26" s="44"/>
      <c r="W26" s="44"/>
    </row>
    <row r="27" customFormat="1" ht="22" customHeight="1" spans="1:30">
      <c r="A27" s="9"/>
      <c r="B27" s="10"/>
      <c r="C27" s="23"/>
      <c r="D27" s="12"/>
      <c r="E27" s="21"/>
      <c r="F27" s="21"/>
      <c r="G27" s="12"/>
      <c r="H27" s="14"/>
      <c r="I27" s="15">
        <v>25</v>
      </c>
      <c r="J27" s="10">
        <v>46107</v>
      </c>
      <c r="K27" s="11" t="s">
        <v>96</v>
      </c>
      <c r="L27" s="12" t="s">
        <v>152</v>
      </c>
      <c r="M27" s="11">
        <v>1</v>
      </c>
      <c r="N27" s="16">
        <v>1</v>
      </c>
      <c r="O27" s="17" t="s">
        <v>95</v>
      </c>
      <c r="Q27" s="44"/>
      <c r="R27" s="44"/>
      <c r="S27" s="44"/>
      <c r="T27" s="44"/>
      <c r="U27" s="44"/>
      <c r="V27" s="44"/>
      <c r="W27" s="44"/>
    </row>
    <row r="28" customFormat="1" ht="22" customHeight="1" spans="1:30">
      <c r="A28" s="9"/>
      <c r="B28" s="10"/>
      <c r="C28" s="23"/>
      <c r="D28" s="12"/>
      <c r="E28" s="21"/>
      <c r="F28" s="26"/>
      <c r="G28" s="12"/>
      <c r="H28" s="14"/>
      <c r="I28" s="15">
        <v>26</v>
      </c>
      <c r="J28" s="10">
        <v>46107</v>
      </c>
      <c r="K28" s="11" t="s">
        <v>97</v>
      </c>
      <c r="L28" s="12" t="s">
        <v>152</v>
      </c>
      <c r="M28" s="11"/>
      <c r="N28" s="11">
        <v>2</v>
      </c>
      <c r="O28" s="17" t="s">
        <v>98</v>
      </c>
      <c r="Q28" s="44"/>
      <c r="R28" s="44"/>
      <c r="S28" s="44"/>
      <c r="T28" s="44"/>
      <c r="U28" s="44"/>
      <c r="V28" s="44"/>
      <c r="W28" s="44"/>
    </row>
    <row r="29" customFormat="1" ht="22" customHeight="1" spans="1:30">
      <c r="A29" s="9"/>
      <c r="B29" s="10"/>
      <c r="C29" s="23"/>
      <c r="D29" s="12"/>
      <c r="E29" s="21"/>
      <c r="F29" s="26"/>
      <c r="G29" s="12"/>
      <c r="H29" s="14"/>
      <c r="I29" s="15">
        <v>27</v>
      </c>
      <c r="J29" s="10">
        <v>46107</v>
      </c>
      <c r="K29" s="11" t="s">
        <v>99</v>
      </c>
      <c r="L29" s="12" t="s">
        <v>152</v>
      </c>
      <c r="M29" s="11">
        <v>2</v>
      </c>
      <c r="N29" s="16"/>
      <c r="O29" s="17"/>
      <c r="Q29" s="44"/>
      <c r="R29" s="44"/>
      <c r="S29" s="44"/>
      <c r="T29" s="44"/>
      <c r="U29" s="44"/>
      <c r="V29" s="44"/>
      <c r="W29" s="44"/>
    </row>
    <row r="30" customFormat="1" ht="22" customHeight="1" spans="1:30">
      <c r="A30" s="9"/>
      <c r="B30" s="10"/>
      <c r="C30" s="27"/>
      <c r="D30" s="12"/>
      <c r="E30" s="21"/>
      <c r="F30" s="26"/>
      <c r="G30" s="12"/>
      <c r="H30" s="14"/>
      <c r="I30" s="15">
        <v>28</v>
      </c>
      <c r="J30" s="10">
        <v>46107</v>
      </c>
      <c r="K30" s="11" t="s">
        <v>101</v>
      </c>
      <c r="L30" s="12" t="s">
        <v>152</v>
      </c>
      <c r="M30" s="11">
        <v>2</v>
      </c>
      <c r="N30" s="16"/>
      <c r="O30" s="17"/>
      <c r="Q30" s="44"/>
      <c r="R30" s="44"/>
      <c r="S30" s="44"/>
      <c r="T30" s="44"/>
      <c r="U30" s="44"/>
      <c r="V30" s="44"/>
      <c r="W30" s="44"/>
    </row>
    <row r="31" customFormat="1" ht="22" customHeight="1" spans="1:30">
      <c r="A31" s="9"/>
      <c r="B31" s="10"/>
      <c r="C31" s="23"/>
      <c r="D31" s="12"/>
      <c r="E31" s="21"/>
      <c r="F31" s="21"/>
      <c r="G31" s="12"/>
      <c r="H31" s="14"/>
      <c r="I31" s="15">
        <v>29</v>
      </c>
      <c r="J31" s="10">
        <v>46107</v>
      </c>
      <c r="K31" s="11" t="s">
        <v>103</v>
      </c>
      <c r="L31" s="12" t="s">
        <v>152</v>
      </c>
      <c r="M31" s="11">
        <v>2</v>
      </c>
      <c r="N31" s="11"/>
      <c r="O31" s="35"/>
      <c r="Q31" s="44"/>
      <c r="R31" s="44"/>
      <c r="S31" s="44"/>
      <c r="T31" s="44"/>
      <c r="U31" s="44"/>
      <c r="V31" s="44"/>
      <c r="W31" s="44"/>
    </row>
    <row r="32" customFormat="1" ht="22" customHeight="1" spans="1:30">
      <c r="A32" s="9"/>
      <c r="B32" s="10"/>
      <c r="C32" s="23"/>
      <c r="D32" s="12"/>
      <c r="E32" s="21"/>
      <c r="F32" s="21"/>
      <c r="G32" s="25"/>
      <c r="H32" s="14"/>
      <c r="I32" s="15">
        <v>30</v>
      </c>
      <c r="J32" s="10">
        <v>46107</v>
      </c>
      <c r="K32" s="11" t="s">
        <v>105</v>
      </c>
      <c r="L32" s="12" t="s">
        <v>152</v>
      </c>
      <c r="M32" s="11">
        <v>2</v>
      </c>
      <c r="N32" s="11"/>
      <c r="O32" s="17"/>
      <c r="Q32" s="44"/>
      <c r="R32" s="44"/>
      <c r="S32" s="44"/>
      <c r="T32" s="44"/>
      <c r="U32" s="44"/>
      <c r="V32" s="44"/>
      <c r="W32" s="44"/>
    </row>
    <row r="33" customFormat="1" ht="22" customHeight="1" spans="5:22">
      <c r="E33" s="14">
        <f>SUM(E3:E32)</f>
        <v>26</v>
      </c>
      <c r="F33" s="14">
        <f>SUM(F3:F32)</f>
        <v>20</v>
      </c>
      <c r="H33" s="14"/>
      <c r="M33">
        <f>SUM(M3:M32)</f>
        <v>33</v>
      </c>
      <c r="N33">
        <f>SUM(N3:N32)</f>
        <v>27</v>
      </c>
      <c r="U33">
        <f>SUM(U3:U32)</f>
        <v>17</v>
      </c>
      <c r="V33">
        <f>SUM(V3:V32)</f>
        <v>9</v>
      </c>
    </row>
    <row r="34" customFormat="1" ht="22" customHeight="1" spans="5:22">
      <c r="R34" t="s">
        <v>158</v>
      </c>
      <c r="S34" t="s">
        <v>74</v>
      </c>
    </row>
    <row r="35" customFormat="1" ht="22" customHeight="1" spans="5:22">
      <c r="Q35" t="s">
        <v>150</v>
      </c>
      <c r="R35">
        <f>M33+U33</f>
        <v>50</v>
      </c>
      <c r="S35">
        <f>N33+V33</f>
        <v>36</v>
      </c>
    </row>
    <row r="36" ht="22" customHeight="1" spans="5:22">
      <c r="R36">
        <v>10</v>
      </c>
      <c r="S36">
        <v>3</v>
      </c>
    </row>
    <row r="37" ht="22" customHeight="1" spans="5:22">
      <c r="R37" s="57">
        <f>SUM(R35:R36)</f>
        <v>60</v>
      </c>
      <c r="S37" s="57">
        <f>SUM(S35:S36)</f>
        <v>39</v>
      </c>
    </row>
    <row r="38" ht="22" customHeight="1"/>
  </sheetData>
  <mergeCells count="3">
    <mergeCell ref="A1:G1"/>
    <mergeCell ref="I1:O1"/>
    <mergeCell ref="Q1:W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5"/>
  <sheetViews>
    <sheetView topLeftCell="C22" workbookViewId="0">
      <selection activeCell="M45" sqref="E33:F33 M45:N45"/>
    </sheetView>
  </sheetViews>
  <sheetFormatPr defaultColWidth="9.14285714285714" defaultRowHeight="12"/>
  <cols>
    <col min="1" max="1" width="6.28571428571429" customWidth="1"/>
    <col min="2" max="2" width="14.4285714285714" customWidth="1"/>
    <col min="3" max="3" width="15" customWidth="1"/>
    <col min="4" max="4" width="12.1428571428571" customWidth="1"/>
    <col min="5" max="5" width="9.85714285714286" customWidth="1"/>
    <col min="6" max="6" width="10" customWidth="1"/>
    <col min="7" max="7" width="19.5714285714286" customWidth="1"/>
    <col min="9" max="9" width="6.57142857142857" customWidth="1"/>
    <col min="10" max="10" width="11" customWidth="1"/>
    <col min="11" max="11" width="11.4285714285714" customWidth="1"/>
    <col min="12" max="12" width="12.1428571428571" customWidth="1"/>
    <col min="13" max="14" width="10" customWidth="1"/>
    <col min="15" max="15" width="27.1428571428571" customWidth="1"/>
    <col min="16" max="16" width="3.85714285714286" customWidth="1"/>
  </cols>
  <sheetData>
    <row r="1" customFormat="1" ht="38" customHeight="1" spans="1:16">
      <c r="A1" s="2" t="s">
        <v>144</v>
      </c>
      <c r="B1" s="2"/>
      <c r="C1" s="2"/>
      <c r="D1" s="2"/>
      <c r="E1" s="2"/>
      <c r="F1" s="3"/>
      <c r="G1" s="4"/>
      <c r="I1" s="2" t="s">
        <v>145</v>
      </c>
      <c r="J1" s="2"/>
      <c r="K1" s="2"/>
      <c r="L1" s="2"/>
      <c r="M1" s="2"/>
      <c r="N1" s="3"/>
      <c r="O1" s="4"/>
    </row>
    <row r="2" s="1" customFormat="1" ht="32" customHeight="1" spans="1:16">
      <c r="A2" s="5" t="s">
        <v>2</v>
      </c>
      <c r="B2" s="5" t="s">
        <v>136</v>
      </c>
      <c r="C2" s="5" t="s">
        <v>3</v>
      </c>
      <c r="D2" s="6" t="s">
        <v>146</v>
      </c>
      <c r="E2" s="7" t="s">
        <v>147</v>
      </c>
      <c r="F2" s="7" t="s">
        <v>148</v>
      </c>
      <c r="G2" s="7" t="s">
        <v>7</v>
      </c>
      <c r="I2" s="7" t="s">
        <v>2</v>
      </c>
      <c r="J2" s="8" t="s">
        <v>136</v>
      </c>
      <c r="K2" s="5" t="s">
        <v>3</v>
      </c>
      <c r="L2" s="6" t="s">
        <v>146</v>
      </c>
      <c r="M2" s="7" t="s">
        <v>147</v>
      </c>
      <c r="N2" s="7" t="s">
        <v>148</v>
      </c>
      <c r="O2" s="7" t="s">
        <v>7</v>
      </c>
    </row>
    <row r="3" customFormat="1" ht="22" customHeight="1" spans="1:16">
      <c r="A3" s="9">
        <v>1</v>
      </c>
      <c r="B3" s="10">
        <v>46111</v>
      </c>
      <c r="C3" s="11" t="s">
        <v>13</v>
      </c>
      <c r="D3" s="12" t="s">
        <v>149</v>
      </c>
      <c r="E3" s="11">
        <v>1</v>
      </c>
      <c r="F3" s="11">
        <v>2</v>
      </c>
      <c r="G3" s="13"/>
      <c r="H3" s="14"/>
      <c r="I3" s="15">
        <v>1</v>
      </c>
      <c r="J3" s="10">
        <v>46111</v>
      </c>
      <c r="K3" s="11" t="s">
        <v>50</v>
      </c>
      <c r="L3" s="12" t="s">
        <v>149</v>
      </c>
      <c r="M3" s="11">
        <v>3</v>
      </c>
      <c r="N3" s="16"/>
      <c r="O3" s="17"/>
      <c r="P3">
        <f>SUM(M3:N3)</f>
        <v>3</v>
      </c>
    </row>
    <row r="4" customFormat="1" ht="22" customHeight="1" spans="1:16">
      <c r="A4" s="9">
        <v>2</v>
      </c>
      <c r="B4" s="10">
        <v>46111</v>
      </c>
      <c r="C4" s="11" t="s">
        <v>16</v>
      </c>
      <c r="D4" s="12" t="s">
        <v>149</v>
      </c>
      <c r="E4" s="11">
        <v>3</v>
      </c>
      <c r="F4" s="16"/>
      <c r="G4" s="18"/>
      <c r="H4" s="14"/>
      <c r="I4" s="15">
        <v>2</v>
      </c>
      <c r="J4" s="10">
        <v>46111</v>
      </c>
      <c r="K4" s="11" t="s">
        <v>55</v>
      </c>
      <c r="L4" s="12" t="s">
        <v>149</v>
      </c>
      <c r="M4" s="11"/>
      <c r="N4" s="11">
        <v>3</v>
      </c>
      <c r="O4" s="17" t="s">
        <v>56</v>
      </c>
      <c r="P4">
        <f t="shared" ref="P4:P45" si="0">SUM(M4:N4)</f>
        <v>3</v>
      </c>
    </row>
    <row r="5" customFormat="1" ht="22" customHeight="1" spans="1:16">
      <c r="A5" s="9">
        <v>3</v>
      </c>
      <c r="B5" s="10">
        <v>46111</v>
      </c>
      <c r="C5" s="11" t="s">
        <v>17</v>
      </c>
      <c r="D5" s="12" t="s">
        <v>149</v>
      </c>
      <c r="E5" s="11">
        <v>3</v>
      </c>
      <c r="F5" s="16"/>
      <c r="G5" s="18"/>
      <c r="H5" s="14"/>
      <c r="I5" s="15">
        <v>3</v>
      </c>
      <c r="J5" s="10">
        <v>46111</v>
      </c>
      <c r="K5" s="11" t="s">
        <v>57</v>
      </c>
      <c r="L5" s="12" t="s">
        <v>149</v>
      </c>
      <c r="M5" s="11">
        <v>3</v>
      </c>
      <c r="N5" s="16"/>
      <c r="O5" s="17"/>
      <c r="P5">
        <f t="shared" si="0"/>
        <v>3</v>
      </c>
    </row>
    <row r="6" customFormat="1" ht="22" customHeight="1" spans="1:16">
      <c r="A6" s="9">
        <v>4</v>
      </c>
      <c r="B6" s="10">
        <v>46111</v>
      </c>
      <c r="C6" s="11" t="s">
        <v>18</v>
      </c>
      <c r="D6" s="12" t="s">
        <v>149</v>
      </c>
      <c r="E6" s="11">
        <v>3</v>
      </c>
      <c r="F6" s="16"/>
      <c r="G6" s="18"/>
      <c r="H6" s="14"/>
      <c r="I6" s="15">
        <v>4</v>
      </c>
      <c r="J6" s="10">
        <v>46111</v>
      </c>
      <c r="K6" s="11" t="s">
        <v>59</v>
      </c>
      <c r="L6" s="12" t="s">
        <v>149</v>
      </c>
      <c r="M6" s="11">
        <v>2</v>
      </c>
      <c r="N6" s="16">
        <v>1</v>
      </c>
      <c r="O6" s="17" t="s">
        <v>61</v>
      </c>
      <c r="P6">
        <f t="shared" si="0"/>
        <v>3</v>
      </c>
    </row>
    <row r="7" customFormat="1" ht="22" customHeight="1" spans="1:16">
      <c r="A7" s="9">
        <v>5</v>
      </c>
      <c r="B7" s="10">
        <v>46111</v>
      </c>
      <c r="C7" s="11" t="s">
        <v>20</v>
      </c>
      <c r="D7" s="12" t="s">
        <v>149</v>
      </c>
      <c r="E7" s="16"/>
      <c r="F7" s="11">
        <v>3</v>
      </c>
      <c r="G7" s="18"/>
      <c r="H7" s="14"/>
      <c r="I7" s="15">
        <v>5</v>
      </c>
      <c r="J7" s="10">
        <v>46111</v>
      </c>
      <c r="K7" s="11" t="s">
        <v>62</v>
      </c>
      <c r="L7" s="12" t="s">
        <v>149</v>
      </c>
      <c r="M7" s="11">
        <v>3</v>
      </c>
      <c r="N7" s="16"/>
      <c r="O7" s="17" t="s">
        <v>63</v>
      </c>
      <c r="P7">
        <f t="shared" si="0"/>
        <v>3</v>
      </c>
    </row>
    <row r="8" customFormat="1" ht="28.5" spans="1:16">
      <c r="A8" s="9">
        <v>6</v>
      </c>
      <c r="B8" s="10">
        <v>46111</v>
      </c>
      <c r="C8" s="11" t="s">
        <v>21</v>
      </c>
      <c r="D8" s="12" t="s">
        <v>149</v>
      </c>
      <c r="E8" s="11">
        <v>3</v>
      </c>
      <c r="F8" s="16"/>
      <c r="G8" s="18"/>
      <c r="H8" s="14"/>
      <c r="I8" s="15">
        <v>6</v>
      </c>
      <c r="J8" s="10">
        <v>46111</v>
      </c>
      <c r="K8" s="11" t="s">
        <v>64</v>
      </c>
      <c r="L8" s="12" t="s">
        <v>149</v>
      </c>
      <c r="M8" s="11">
        <v>2</v>
      </c>
      <c r="N8" s="16">
        <v>1</v>
      </c>
      <c r="O8" s="19" t="s">
        <v>65</v>
      </c>
      <c r="P8">
        <f t="shared" si="0"/>
        <v>3</v>
      </c>
    </row>
    <row r="9" customFormat="1" ht="22" customHeight="1" spans="1:16">
      <c r="A9" s="9">
        <v>7</v>
      </c>
      <c r="B9" s="10">
        <v>46111</v>
      </c>
      <c r="C9" s="11" t="s">
        <v>22</v>
      </c>
      <c r="D9" s="12" t="s">
        <v>149</v>
      </c>
      <c r="E9" s="11">
        <v>3</v>
      </c>
      <c r="F9" s="16"/>
      <c r="G9" s="20"/>
      <c r="H9" s="14"/>
      <c r="I9" s="15">
        <v>7</v>
      </c>
      <c r="J9" s="10">
        <v>46111</v>
      </c>
      <c r="K9" s="11" t="s">
        <v>66</v>
      </c>
      <c r="L9" s="12" t="s">
        <v>149</v>
      </c>
      <c r="M9" s="11">
        <v>2</v>
      </c>
      <c r="N9" s="16">
        <v>1</v>
      </c>
      <c r="O9" s="17" t="s">
        <v>67</v>
      </c>
      <c r="P9">
        <f t="shared" si="0"/>
        <v>3</v>
      </c>
    </row>
    <row r="10" customFormat="1" ht="22" customHeight="1" spans="1:16">
      <c r="A10" s="9">
        <v>8</v>
      </c>
      <c r="B10" s="10">
        <v>46111</v>
      </c>
      <c r="C10" s="11" t="s">
        <v>23</v>
      </c>
      <c r="D10" s="12" t="s">
        <v>149</v>
      </c>
      <c r="E10" s="11">
        <v>1</v>
      </c>
      <c r="F10" s="11">
        <v>2</v>
      </c>
      <c r="G10" s="20"/>
      <c r="H10" s="14"/>
      <c r="I10" s="15">
        <v>8</v>
      </c>
      <c r="J10" s="10">
        <v>46111</v>
      </c>
      <c r="K10" s="11" t="s">
        <v>68</v>
      </c>
      <c r="L10" s="12" t="s">
        <v>149</v>
      </c>
      <c r="M10" s="11"/>
      <c r="N10" s="11">
        <v>3</v>
      </c>
      <c r="O10" s="17" t="s">
        <v>56</v>
      </c>
      <c r="P10">
        <f t="shared" si="0"/>
        <v>3</v>
      </c>
    </row>
    <row r="11" customFormat="1" ht="22" customHeight="1" spans="1:16">
      <c r="A11" s="9">
        <v>9</v>
      </c>
      <c r="B11" s="10">
        <v>46111</v>
      </c>
      <c r="C11" s="11" t="s">
        <v>24</v>
      </c>
      <c r="D11" s="12" t="s">
        <v>149</v>
      </c>
      <c r="E11" s="11">
        <v>3</v>
      </c>
      <c r="F11" s="16"/>
      <c r="G11" s="20"/>
      <c r="H11" s="14"/>
      <c r="I11" s="15">
        <v>9</v>
      </c>
      <c r="J11" s="10">
        <v>46111</v>
      </c>
      <c r="K11" s="11" t="s">
        <v>69</v>
      </c>
      <c r="L11" s="12" t="s">
        <v>149</v>
      </c>
      <c r="M11" s="11"/>
      <c r="N11" s="11">
        <v>3</v>
      </c>
      <c r="O11" s="17" t="s">
        <v>70</v>
      </c>
      <c r="P11">
        <f t="shared" si="0"/>
        <v>3</v>
      </c>
    </row>
    <row r="12" customFormat="1" ht="22" customHeight="1" spans="1:16">
      <c r="A12" s="9">
        <v>10</v>
      </c>
      <c r="B12" s="10">
        <v>46111</v>
      </c>
      <c r="C12" s="11" t="s">
        <v>25</v>
      </c>
      <c r="D12" s="12" t="s">
        <v>149</v>
      </c>
      <c r="E12" s="16"/>
      <c r="F12" s="11">
        <v>3</v>
      </c>
      <c r="G12" s="20"/>
      <c r="H12" s="14"/>
      <c r="I12" s="15">
        <v>10</v>
      </c>
      <c r="J12" s="10">
        <v>46111</v>
      </c>
      <c r="K12" s="11" t="s">
        <v>71</v>
      </c>
      <c r="L12" s="12" t="s">
        <v>149</v>
      </c>
      <c r="M12" s="11"/>
      <c r="N12" s="11">
        <v>3</v>
      </c>
      <c r="O12" s="17" t="s">
        <v>72</v>
      </c>
      <c r="P12">
        <f t="shared" si="0"/>
        <v>3</v>
      </c>
    </row>
    <row r="13" customFormat="1" ht="22" customHeight="1" spans="1:16">
      <c r="A13" s="9">
        <v>11</v>
      </c>
      <c r="B13" s="10">
        <v>46111</v>
      </c>
      <c r="C13" s="11" t="s">
        <v>26</v>
      </c>
      <c r="D13" s="12" t="s">
        <v>149</v>
      </c>
      <c r="E13" s="11">
        <v>1</v>
      </c>
      <c r="F13" s="11">
        <v>2</v>
      </c>
      <c r="G13" s="20"/>
      <c r="H13" s="14"/>
      <c r="I13" s="15">
        <v>11</v>
      </c>
      <c r="J13" s="10">
        <v>46111</v>
      </c>
      <c r="K13" s="11" t="s">
        <v>73</v>
      </c>
      <c r="L13" s="12" t="s">
        <v>149</v>
      </c>
      <c r="M13" s="11"/>
      <c r="N13" s="11">
        <v>3</v>
      </c>
      <c r="O13" s="17" t="s">
        <v>74</v>
      </c>
      <c r="P13">
        <f t="shared" si="0"/>
        <v>3</v>
      </c>
    </row>
    <row r="14" customFormat="1" ht="22" customHeight="1" spans="1:16">
      <c r="A14" s="9">
        <v>12</v>
      </c>
      <c r="B14" s="10">
        <v>46111</v>
      </c>
      <c r="C14" s="21" t="s">
        <v>27</v>
      </c>
      <c r="D14" s="12" t="s">
        <v>149</v>
      </c>
      <c r="E14" s="21">
        <v>3</v>
      </c>
      <c r="F14" s="22"/>
      <c r="G14" s="20"/>
      <c r="H14" s="14"/>
      <c r="I14" s="15">
        <v>12</v>
      </c>
      <c r="J14" s="10">
        <v>46111</v>
      </c>
      <c r="K14" s="11" t="s">
        <v>75</v>
      </c>
      <c r="L14" s="12" t="s">
        <v>149</v>
      </c>
      <c r="M14" s="11">
        <v>2</v>
      </c>
      <c r="N14" s="16">
        <v>1</v>
      </c>
      <c r="O14" s="17" t="s">
        <v>76</v>
      </c>
      <c r="P14">
        <f t="shared" si="0"/>
        <v>3</v>
      </c>
    </row>
    <row r="15" customFormat="1" ht="22" customHeight="1" spans="1:16">
      <c r="A15" s="9">
        <v>13</v>
      </c>
      <c r="B15" s="10">
        <v>46111</v>
      </c>
      <c r="C15" s="23" t="s">
        <v>28</v>
      </c>
      <c r="D15" s="12" t="s">
        <v>149</v>
      </c>
      <c r="E15" s="24"/>
      <c r="F15" s="21">
        <v>3</v>
      </c>
      <c r="G15" s="25"/>
      <c r="H15" s="14"/>
      <c r="I15" s="15">
        <v>13</v>
      </c>
      <c r="J15" s="10">
        <v>46111</v>
      </c>
      <c r="K15" s="11" t="s">
        <v>77</v>
      </c>
      <c r="L15" s="12" t="s">
        <v>149</v>
      </c>
      <c r="M15" s="11">
        <v>3</v>
      </c>
      <c r="N15" s="16"/>
      <c r="O15" s="17"/>
      <c r="P15">
        <f t="shared" si="0"/>
        <v>3</v>
      </c>
    </row>
    <row r="16" customFormat="1" ht="22" customHeight="1" spans="1:16">
      <c r="A16" s="9">
        <v>14</v>
      </c>
      <c r="B16" s="10">
        <v>46111</v>
      </c>
      <c r="C16" s="23" t="s">
        <v>29</v>
      </c>
      <c r="D16" s="12" t="s">
        <v>149</v>
      </c>
      <c r="E16" s="26"/>
      <c r="F16" s="21">
        <v>3</v>
      </c>
      <c r="G16" s="25"/>
      <c r="H16" s="14"/>
      <c r="I16" s="15">
        <v>14</v>
      </c>
      <c r="J16" s="10">
        <v>46111</v>
      </c>
      <c r="K16" s="11" t="s">
        <v>78</v>
      </c>
      <c r="L16" s="12" t="s">
        <v>149</v>
      </c>
      <c r="M16" s="11">
        <v>2</v>
      </c>
      <c r="N16" s="16">
        <v>1</v>
      </c>
      <c r="O16" s="17" t="s">
        <v>79</v>
      </c>
      <c r="P16">
        <f t="shared" si="0"/>
        <v>3</v>
      </c>
    </row>
    <row r="17" customFormat="1" ht="22" customHeight="1" spans="1:16">
      <c r="A17" s="9">
        <v>15</v>
      </c>
      <c r="B17" s="10">
        <v>46111</v>
      </c>
      <c r="C17" s="23" t="s">
        <v>30</v>
      </c>
      <c r="D17" s="12" t="s">
        <v>149</v>
      </c>
      <c r="E17" s="21">
        <v>1</v>
      </c>
      <c r="F17" s="21">
        <v>2</v>
      </c>
      <c r="G17" s="25"/>
      <c r="H17" s="14"/>
      <c r="I17" s="15">
        <v>15</v>
      </c>
      <c r="J17" s="10">
        <v>46111</v>
      </c>
      <c r="K17" s="11" t="s">
        <v>80</v>
      </c>
      <c r="L17" s="12" t="s">
        <v>149</v>
      </c>
      <c r="M17" s="21">
        <v>3</v>
      </c>
      <c r="N17" s="22"/>
      <c r="O17" s="17" t="s">
        <v>81</v>
      </c>
      <c r="P17">
        <f t="shared" si="0"/>
        <v>3</v>
      </c>
    </row>
    <row r="18" customFormat="1" ht="22" customHeight="1" spans="1:16">
      <c r="A18" s="9">
        <v>16</v>
      </c>
      <c r="B18" s="10">
        <v>46111</v>
      </c>
      <c r="C18" s="23" t="s">
        <v>31</v>
      </c>
      <c r="D18" s="12" t="s">
        <v>149</v>
      </c>
      <c r="E18" s="21">
        <v>1</v>
      </c>
      <c r="F18" s="21">
        <v>2</v>
      </c>
      <c r="G18" s="25"/>
      <c r="H18" s="14"/>
      <c r="I18" s="15">
        <v>16</v>
      </c>
      <c r="J18" s="10">
        <v>46111</v>
      </c>
      <c r="K18" s="11" t="s">
        <v>82</v>
      </c>
      <c r="L18" s="12" t="s">
        <v>149</v>
      </c>
      <c r="M18" s="11"/>
      <c r="N18" s="11">
        <v>3</v>
      </c>
      <c r="O18" s="17" t="s">
        <v>83</v>
      </c>
      <c r="P18">
        <f t="shared" si="0"/>
        <v>3</v>
      </c>
    </row>
    <row r="19" customFormat="1" ht="22" customHeight="1" spans="1:16">
      <c r="A19" s="9">
        <v>17</v>
      </c>
      <c r="B19" s="10">
        <v>46111</v>
      </c>
      <c r="C19" s="23" t="s">
        <v>32</v>
      </c>
      <c r="D19" s="12" t="s">
        <v>149</v>
      </c>
      <c r="E19" s="21">
        <v>3</v>
      </c>
      <c r="F19" s="26"/>
      <c r="G19" s="25"/>
      <c r="H19" s="14"/>
      <c r="I19" s="15">
        <v>17</v>
      </c>
      <c r="J19" s="10">
        <v>46111</v>
      </c>
      <c r="K19" s="11" t="s">
        <v>84</v>
      </c>
      <c r="L19" s="12" t="s">
        <v>149</v>
      </c>
      <c r="M19" s="11"/>
      <c r="N19" s="11">
        <v>3</v>
      </c>
      <c r="O19" s="17" t="s">
        <v>83</v>
      </c>
      <c r="P19">
        <f t="shared" si="0"/>
        <v>3</v>
      </c>
    </row>
    <row r="20" customFormat="1" ht="22" customHeight="1" spans="1:16">
      <c r="A20" s="9">
        <v>18</v>
      </c>
      <c r="B20" s="10">
        <v>46111</v>
      </c>
      <c r="C20" s="23" t="s">
        <v>33</v>
      </c>
      <c r="D20" s="12" t="s">
        <v>149</v>
      </c>
      <c r="E20" s="21">
        <v>3</v>
      </c>
      <c r="F20" s="26"/>
      <c r="G20" s="25"/>
      <c r="H20" s="14"/>
      <c r="I20" s="15">
        <v>18</v>
      </c>
      <c r="J20" s="10">
        <v>46111</v>
      </c>
      <c r="K20" s="11" t="s">
        <v>85</v>
      </c>
      <c r="L20" s="12" t="s">
        <v>149</v>
      </c>
      <c r="M20" s="11">
        <v>3</v>
      </c>
      <c r="N20" s="16"/>
      <c r="O20" s="17"/>
      <c r="P20">
        <f t="shared" si="0"/>
        <v>3</v>
      </c>
    </row>
    <row r="21" customFormat="1" ht="22" customHeight="1" spans="1:16">
      <c r="A21" s="9">
        <v>19</v>
      </c>
      <c r="B21" s="10">
        <v>46111</v>
      </c>
      <c r="C21" s="27" t="s">
        <v>34</v>
      </c>
      <c r="D21" s="12" t="s">
        <v>149</v>
      </c>
      <c r="E21" s="21">
        <v>3</v>
      </c>
      <c r="F21" s="26"/>
      <c r="G21" s="25"/>
      <c r="H21" s="14"/>
      <c r="I21" s="15">
        <v>19</v>
      </c>
      <c r="J21" s="10">
        <v>46111</v>
      </c>
      <c r="K21" s="11" t="s">
        <v>87</v>
      </c>
      <c r="L21" s="12" t="s">
        <v>149</v>
      </c>
      <c r="M21" s="11"/>
      <c r="N21" s="11">
        <v>3</v>
      </c>
      <c r="O21" s="17" t="s">
        <v>88</v>
      </c>
      <c r="P21">
        <f t="shared" si="0"/>
        <v>3</v>
      </c>
    </row>
    <row r="22" customFormat="1" ht="22" customHeight="1" spans="1:16">
      <c r="A22" s="9">
        <v>20</v>
      </c>
      <c r="B22" s="10">
        <v>46111</v>
      </c>
      <c r="C22" s="23" t="s">
        <v>35</v>
      </c>
      <c r="D22" s="12" t="s">
        <v>149</v>
      </c>
      <c r="E22" s="21">
        <v>1</v>
      </c>
      <c r="F22" s="21">
        <v>2</v>
      </c>
      <c r="G22" s="25"/>
      <c r="H22" s="14"/>
      <c r="I22" s="15">
        <v>20</v>
      </c>
      <c r="J22" s="10">
        <v>46111</v>
      </c>
      <c r="K22" s="11" t="s">
        <v>89</v>
      </c>
      <c r="L22" s="12" t="s">
        <v>149</v>
      </c>
      <c r="M22" s="11"/>
      <c r="N22" s="11">
        <v>3</v>
      </c>
      <c r="O22" s="17" t="s">
        <v>74</v>
      </c>
      <c r="P22">
        <f t="shared" si="0"/>
        <v>3</v>
      </c>
    </row>
    <row r="23" customFormat="1" ht="22" customHeight="1" spans="1:16">
      <c r="A23" s="9">
        <v>21</v>
      </c>
      <c r="B23" s="10">
        <v>46111</v>
      </c>
      <c r="C23" s="23" t="s">
        <v>36</v>
      </c>
      <c r="D23" s="12" t="s">
        <v>149</v>
      </c>
      <c r="E23" s="26"/>
      <c r="F23" s="28">
        <v>9</v>
      </c>
      <c r="G23" s="25" t="s">
        <v>156</v>
      </c>
      <c r="H23" s="14"/>
      <c r="I23" s="15">
        <v>21</v>
      </c>
      <c r="J23" s="10">
        <v>46111</v>
      </c>
      <c r="K23" s="11" t="s">
        <v>90</v>
      </c>
      <c r="L23" s="12" t="s">
        <v>149</v>
      </c>
      <c r="M23" s="11">
        <v>3</v>
      </c>
      <c r="N23" s="16"/>
      <c r="O23" s="17"/>
      <c r="P23">
        <f t="shared" si="0"/>
        <v>3</v>
      </c>
    </row>
    <row r="24" customFormat="1" ht="22" customHeight="1" spans="1:16">
      <c r="A24" s="9"/>
      <c r="B24" s="10"/>
      <c r="C24" s="23"/>
      <c r="D24" s="12"/>
      <c r="E24" s="24"/>
      <c r="F24" s="21"/>
      <c r="G24" s="12"/>
      <c r="H24" s="14"/>
      <c r="I24" s="15">
        <v>22</v>
      </c>
      <c r="J24" s="10">
        <v>46111</v>
      </c>
      <c r="K24" s="11" t="s">
        <v>91</v>
      </c>
      <c r="L24" s="12" t="s">
        <v>149</v>
      </c>
      <c r="M24" s="11">
        <v>3</v>
      </c>
      <c r="N24" s="16"/>
      <c r="O24" s="17"/>
      <c r="P24">
        <f t="shared" si="0"/>
        <v>3</v>
      </c>
    </row>
    <row r="25" customFormat="1" ht="22" customHeight="1" spans="1:16">
      <c r="A25" s="9"/>
      <c r="B25" s="10"/>
      <c r="C25" s="23"/>
      <c r="D25" s="12"/>
      <c r="E25" s="26"/>
      <c r="F25" s="21"/>
      <c r="G25" s="12"/>
      <c r="H25" s="14"/>
      <c r="I25" s="15">
        <v>23</v>
      </c>
      <c r="J25" s="10">
        <v>46111</v>
      </c>
      <c r="K25" s="11" t="s">
        <v>92</v>
      </c>
      <c r="L25" s="12" t="s">
        <v>149</v>
      </c>
      <c r="M25" s="11">
        <v>3</v>
      </c>
      <c r="N25" s="16"/>
      <c r="O25" s="17" t="s">
        <v>93</v>
      </c>
      <c r="P25">
        <f t="shared" si="0"/>
        <v>3</v>
      </c>
    </row>
    <row r="26" customFormat="1" ht="22" customHeight="1" spans="1:16">
      <c r="A26" s="9"/>
      <c r="B26" s="10"/>
      <c r="C26" s="23"/>
      <c r="D26" s="12"/>
      <c r="E26" s="21"/>
      <c r="F26" s="21"/>
      <c r="G26" s="12"/>
      <c r="H26" s="14"/>
      <c r="I26" s="15">
        <v>24</v>
      </c>
      <c r="J26" s="10">
        <v>46111</v>
      </c>
      <c r="K26" s="11" t="s">
        <v>94</v>
      </c>
      <c r="L26" s="12" t="s">
        <v>149</v>
      </c>
      <c r="M26" s="11">
        <v>2</v>
      </c>
      <c r="N26" s="16">
        <v>1</v>
      </c>
      <c r="O26" s="17" t="s">
        <v>95</v>
      </c>
      <c r="P26">
        <f t="shared" si="0"/>
        <v>3</v>
      </c>
    </row>
    <row r="27" customFormat="1" ht="22" customHeight="1" spans="1:16">
      <c r="A27" s="9"/>
      <c r="B27" s="10"/>
      <c r="C27" s="23"/>
      <c r="D27" s="12"/>
      <c r="E27" s="21"/>
      <c r="F27" s="21"/>
      <c r="G27" s="12"/>
      <c r="H27" s="14"/>
      <c r="I27" s="15">
        <v>25</v>
      </c>
      <c r="J27" s="10">
        <v>46111</v>
      </c>
      <c r="K27" s="11" t="s">
        <v>96</v>
      </c>
      <c r="L27" s="12" t="s">
        <v>149</v>
      </c>
      <c r="M27" s="11">
        <v>2</v>
      </c>
      <c r="N27" s="16">
        <v>1</v>
      </c>
      <c r="O27" s="17" t="s">
        <v>95</v>
      </c>
      <c r="P27">
        <f t="shared" si="0"/>
        <v>3</v>
      </c>
    </row>
    <row r="28" customFormat="1" ht="22" customHeight="1" spans="1:16">
      <c r="A28" s="9"/>
      <c r="B28" s="10"/>
      <c r="C28" s="23"/>
      <c r="D28" s="12"/>
      <c r="E28" s="21"/>
      <c r="F28" s="26"/>
      <c r="G28" s="12"/>
      <c r="H28" s="14"/>
      <c r="I28" s="15">
        <v>26</v>
      </c>
      <c r="J28" s="10">
        <v>46111</v>
      </c>
      <c r="K28" s="11" t="s">
        <v>97</v>
      </c>
      <c r="L28" s="12" t="s">
        <v>149</v>
      </c>
      <c r="M28" s="11"/>
      <c r="N28" s="11">
        <v>3</v>
      </c>
      <c r="O28" s="17" t="s">
        <v>98</v>
      </c>
      <c r="P28">
        <f t="shared" si="0"/>
        <v>3</v>
      </c>
    </row>
    <row r="29" customFormat="1" ht="22" customHeight="1" spans="1:16">
      <c r="A29" s="9"/>
      <c r="B29" s="10"/>
      <c r="C29" s="23"/>
      <c r="D29" s="12"/>
      <c r="E29" s="21"/>
      <c r="F29" s="26"/>
      <c r="G29" s="12"/>
      <c r="H29" s="14"/>
      <c r="I29" s="15">
        <v>27</v>
      </c>
      <c r="J29" s="10">
        <v>46111</v>
      </c>
      <c r="K29" s="11" t="s">
        <v>99</v>
      </c>
      <c r="L29" s="12" t="s">
        <v>149</v>
      </c>
      <c r="M29" s="11">
        <v>3</v>
      </c>
      <c r="N29" s="16"/>
      <c r="O29" s="17"/>
      <c r="P29">
        <f t="shared" si="0"/>
        <v>3</v>
      </c>
    </row>
    <row r="30" customFormat="1" ht="22" customHeight="1" spans="1:16">
      <c r="A30" s="9"/>
      <c r="B30" s="10"/>
      <c r="C30" s="27"/>
      <c r="D30" s="12"/>
      <c r="E30" s="21"/>
      <c r="F30" s="26"/>
      <c r="G30" s="12"/>
      <c r="H30" s="14"/>
      <c r="I30" s="15">
        <v>28</v>
      </c>
      <c r="J30" s="10">
        <v>46111</v>
      </c>
      <c r="K30" s="11" t="s">
        <v>101</v>
      </c>
      <c r="L30" s="12" t="s">
        <v>149</v>
      </c>
      <c r="M30" s="11">
        <v>3</v>
      </c>
      <c r="N30" s="16"/>
      <c r="O30" s="17"/>
      <c r="P30">
        <f t="shared" si="0"/>
        <v>3</v>
      </c>
    </row>
    <row r="31" customFormat="1" ht="22" customHeight="1" spans="1:16">
      <c r="A31" s="9"/>
      <c r="B31" s="10"/>
      <c r="C31" s="23"/>
      <c r="D31" s="12"/>
      <c r="E31" s="21"/>
      <c r="F31" s="21"/>
      <c r="G31" s="12"/>
      <c r="H31" s="14"/>
      <c r="I31" s="15">
        <v>29</v>
      </c>
      <c r="J31" s="10">
        <v>46111</v>
      </c>
      <c r="K31" s="11" t="s">
        <v>103</v>
      </c>
      <c r="L31" s="12" t="s">
        <v>149</v>
      </c>
      <c r="M31" s="11">
        <v>3</v>
      </c>
      <c r="N31" s="11"/>
      <c r="O31" s="35"/>
      <c r="P31">
        <f t="shared" si="0"/>
        <v>3</v>
      </c>
    </row>
    <row r="32" customFormat="1" ht="22" customHeight="1" spans="1:16">
      <c r="A32" s="9"/>
      <c r="B32" s="10"/>
      <c r="C32" s="23"/>
      <c r="D32" s="12"/>
      <c r="E32" s="21"/>
      <c r="F32" s="21"/>
      <c r="G32" s="25"/>
      <c r="H32" s="14"/>
      <c r="I32" s="15">
        <v>30</v>
      </c>
      <c r="J32" s="10">
        <v>46111</v>
      </c>
      <c r="K32" s="11" t="s">
        <v>105</v>
      </c>
      <c r="L32" s="12" t="s">
        <v>149</v>
      </c>
      <c r="M32" s="11">
        <v>3</v>
      </c>
      <c r="N32" s="11"/>
      <c r="O32" s="17"/>
      <c r="P32">
        <f t="shared" si="0"/>
        <v>3</v>
      </c>
    </row>
    <row r="33" customFormat="1" ht="22" customHeight="1" spans="5:16">
      <c r="E33" s="14">
        <f>SUM(E3:E32)</f>
        <v>36</v>
      </c>
      <c r="F33" s="14">
        <f>SUM(F3:F32)</f>
        <v>33</v>
      </c>
      <c r="H33" s="14"/>
      <c r="I33" s="44">
        <v>31</v>
      </c>
      <c r="J33" s="10">
        <v>46107</v>
      </c>
      <c r="K33" s="42" t="s">
        <v>106</v>
      </c>
      <c r="L33" s="12" t="s">
        <v>149</v>
      </c>
      <c r="M33" s="39"/>
      <c r="N33" s="11">
        <v>3</v>
      </c>
      <c r="O33" s="40" t="s">
        <v>74</v>
      </c>
      <c r="P33">
        <f t="shared" si="0"/>
        <v>3</v>
      </c>
    </row>
    <row r="34" customFormat="1" ht="22" customHeight="1" spans="5:16">
      <c r="I34" s="44">
        <v>32</v>
      </c>
      <c r="J34" s="10">
        <v>46107</v>
      </c>
      <c r="K34" s="42" t="s">
        <v>107</v>
      </c>
      <c r="L34" s="12" t="s">
        <v>149</v>
      </c>
      <c r="M34" s="11">
        <v>2</v>
      </c>
      <c r="N34" s="16">
        <v>1</v>
      </c>
      <c r="O34" s="40" t="s">
        <v>108</v>
      </c>
      <c r="P34">
        <f t="shared" si="0"/>
        <v>3</v>
      </c>
    </row>
    <row r="35" customFormat="1" ht="22" customHeight="1" spans="5:16">
      <c r="I35" s="44">
        <v>33</v>
      </c>
      <c r="J35" s="10">
        <v>46107</v>
      </c>
      <c r="K35" s="42" t="s">
        <v>109</v>
      </c>
      <c r="L35" s="12" t="s">
        <v>149</v>
      </c>
      <c r="M35" s="39"/>
      <c r="N35" s="11">
        <v>3</v>
      </c>
      <c r="O35" s="40" t="s">
        <v>98</v>
      </c>
      <c r="P35">
        <f t="shared" si="0"/>
        <v>3</v>
      </c>
    </row>
    <row r="36" ht="22" customHeight="1" spans="5:16">
      <c r="I36" s="44">
        <v>34</v>
      </c>
      <c r="J36" s="10">
        <v>46107</v>
      </c>
      <c r="K36" s="42" t="s">
        <v>110</v>
      </c>
      <c r="L36" s="12" t="s">
        <v>149</v>
      </c>
      <c r="M36" s="39"/>
      <c r="N36" s="11">
        <v>3</v>
      </c>
      <c r="O36" s="40" t="s">
        <v>98</v>
      </c>
      <c r="P36">
        <f t="shared" si="0"/>
        <v>3</v>
      </c>
    </row>
    <row r="37" ht="22" customHeight="1" spans="5:16">
      <c r="I37" s="44">
        <v>35</v>
      </c>
      <c r="J37" s="10">
        <v>46107</v>
      </c>
      <c r="K37" s="42" t="s">
        <v>111</v>
      </c>
      <c r="L37" s="12" t="s">
        <v>149</v>
      </c>
      <c r="M37" s="11">
        <v>3</v>
      </c>
      <c r="N37" s="40"/>
      <c r="O37" s="40"/>
      <c r="P37">
        <f t="shared" si="0"/>
        <v>3</v>
      </c>
    </row>
    <row r="38" ht="22" customHeight="1" spans="5:16">
      <c r="I38" s="44">
        <v>36</v>
      </c>
      <c r="J38" s="10">
        <v>46107</v>
      </c>
      <c r="K38" s="42" t="s">
        <v>112</v>
      </c>
      <c r="L38" s="12" t="s">
        <v>149</v>
      </c>
      <c r="M38" s="11">
        <v>3</v>
      </c>
      <c r="N38" s="40"/>
      <c r="O38" s="40"/>
      <c r="P38">
        <f t="shared" si="0"/>
        <v>3</v>
      </c>
    </row>
    <row r="39" ht="18.75" spans="5:16">
      <c r="I39" s="44">
        <v>37</v>
      </c>
      <c r="J39" s="10">
        <v>46107</v>
      </c>
      <c r="K39" s="43" t="s">
        <v>114</v>
      </c>
      <c r="L39" s="12" t="s">
        <v>149</v>
      </c>
      <c r="M39" s="11">
        <v>3</v>
      </c>
      <c r="N39" s="41"/>
      <c r="O39" s="44"/>
      <c r="P39">
        <f t="shared" si="0"/>
        <v>3</v>
      </c>
    </row>
    <row r="40" ht="18.75" spans="5:16">
      <c r="I40" s="44">
        <v>38</v>
      </c>
      <c r="J40" s="10">
        <v>46107</v>
      </c>
      <c r="K40" s="43" t="s">
        <v>117</v>
      </c>
      <c r="L40" s="12" t="s">
        <v>149</v>
      </c>
      <c r="M40" s="11">
        <v>2</v>
      </c>
      <c r="N40" s="16">
        <v>1</v>
      </c>
      <c r="O40" s="40" t="s">
        <v>108</v>
      </c>
      <c r="P40">
        <f t="shared" si="0"/>
        <v>3</v>
      </c>
    </row>
    <row r="41" ht="18.75" spans="5:16">
      <c r="I41" s="44">
        <v>39</v>
      </c>
      <c r="J41" s="10">
        <v>46107</v>
      </c>
      <c r="K41" s="43" t="s">
        <v>121</v>
      </c>
      <c r="L41" s="12" t="s">
        <v>149</v>
      </c>
      <c r="M41" s="11">
        <v>2</v>
      </c>
      <c r="N41" s="16">
        <v>1</v>
      </c>
      <c r="O41" s="40" t="s">
        <v>108</v>
      </c>
      <c r="P41">
        <f t="shared" si="0"/>
        <v>3</v>
      </c>
    </row>
    <row r="42" ht="18.75" spans="5:16">
      <c r="I42" s="44">
        <v>40</v>
      </c>
      <c r="J42" s="10">
        <v>46107</v>
      </c>
      <c r="K42" s="43" t="s">
        <v>125</v>
      </c>
      <c r="L42" s="12" t="s">
        <v>149</v>
      </c>
      <c r="M42" s="11">
        <v>3</v>
      </c>
      <c r="N42" s="41"/>
      <c r="O42" s="45"/>
      <c r="P42">
        <f t="shared" si="0"/>
        <v>3</v>
      </c>
    </row>
    <row r="43" ht="18.75" spans="5:16">
      <c r="I43" s="44">
        <v>41</v>
      </c>
      <c r="J43" s="10">
        <v>46107</v>
      </c>
      <c r="K43" s="46" t="s">
        <v>127</v>
      </c>
      <c r="L43" s="12" t="s">
        <v>149</v>
      </c>
      <c r="M43" s="11">
        <v>3</v>
      </c>
      <c r="N43" s="41"/>
      <c r="O43" s="44"/>
      <c r="P43">
        <f t="shared" si="0"/>
        <v>3</v>
      </c>
    </row>
    <row r="44" ht="18.75" spans="5:16">
      <c r="I44" s="44">
        <v>42</v>
      </c>
      <c r="J44" s="10">
        <v>46107</v>
      </c>
      <c r="K44" s="47" t="s">
        <v>129</v>
      </c>
      <c r="L44" s="12" t="s">
        <v>149</v>
      </c>
      <c r="M44" s="11">
        <v>3</v>
      </c>
      <c r="N44" s="41"/>
      <c r="O44" s="44"/>
      <c r="P44">
        <f t="shared" si="0"/>
        <v>3</v>
      </c>
    </row>
    <row r="45" ht="21" customHeight="1" spans="5:16">
      <c r="M45" s="29">
        <f>SUM(M3:M44)</f>
        <v>77</v>
      </c>
      <c r="N45" s="29">
        <f>SUM(N3:N44)</f>
        <v>49</v>
      </c>
      <c r="P45">
        <f t="shared" si="0"/>
        <v>126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3"/>
  <sheetViews>
    <sheetView workbookViewId="0">
      <pane ySplit="2" topLeftCell="A3" activePane="bottomLeft" state="frozen"/>
      <selection/>
      <selection pane="bottomLeft" activeCell="I47" sqref="I47"/>
    </sheetView>
  </sheetViews>
  <sheetFormatPr defaultColWidth="9.14285714285714" defaultRowHeight="12"/>
  <cols>
    <col min="1" max="1" width="7.85714285714286" customWidth="1"/>
    <col min="2" max="2" width="14.4285714285714" customWidth="1"/>
    <col min="3" max="3" width="15" customWidth="1"/>
    <col min="4" max="4" width="12.1428571428571" customWidth="1"/>
    <col min="5" max="5" width="9.85714285714286" customWidth="1"/>
    <col min="6" max="6" width="10" customWidth="1"/>
    <col min="7" max="7" width="19.5714285714286" customWidth="1"/>
    <col min="9" max="9" width="8.57142857142857" customWidth="1"/>
    <col min="10" max="10" width="11" customWidth="1"/>
    <col min="11" max="11" width="11.4285714285714" customWidth="1"/>
    <col min="12" max="12" width="12.1428571428571" customWidth="1"/>
    <col min="13" max="14" width="10" customWidth="1"/>
    <col min="15" max="15" width="27.1428571428571" customWidth="1"/>
    <col min="16" max="16" width="3.85714285714286" customWidth="1"/>
  </cols>
  <sheetData>
    <row r="1" customFormat="1" ht="38" customHeight="1" spans="1:23">
      <c r="A1" s="2" t="s">
        <v>144</v>
      </c>
      <c r="B1" s="2"/>
      <c r="C1" s="2"/>
      <c r="D1" s="2"/>
      <c r="E1" s="2"/>
      <c r="F1" s="3"/>
      <c r="G1" s="4"/>
      <c r="I1" s="2" t="s">
        <v>145</v>
      </c>
      <c r="J1" s="2"/>
      <c r="K1" s="2"/>
      <c r="L1" s="2"/>
      <c r="M1" s="2"/>
      <c r="N1" s="3"/>
      <c r="O1" s="4"/>
    </row>
    <row r="2" s="1" customFormat="1" ht="32" customHeight="1" spans="1:23">
      <c r="A2" s="5" t="s">
        <v>2</v>
      </c>
      <c r="B2" s="5" t="s">
        <v>136</v>
      </c>
      <c r="C2" s="5" t="s">
        <v>3</v>
      </c>
      <c r="D2" s="6" t="s">
        <v>146</v>
      </c>
      <c r="E2" s="7" t="s">
        <v>147</v>
      </c>
      <c r="F2" s="7" t="s">
        <v>148</v>
      </c>
      <c r="G2" s="7" t="s">
        <v>7</v>
      </c>
      <c r="I2" s="7" t="s">
        <v>2</v>
      </c>
      <c r="J2" s="8" t="s">
        <v>136</v>
      </c>
      <c r="K2" s="5" t="s">
        <v>3</v>
      </c>
      <c r="L2" s="6" t="s">
        <v>146</v>
      </c>
      <c r="M2" s="7" t="s">
        <v>147</v>
      </c>
      <c r="N2" s="7" t="s">
        <v>148</v>
      </c>
      <c r="O2" s="7" t="s">
        <v>7</v>
      </c>
    </row>
    <row r="3" customFormat="1" ht="22" customHeight="1" spans="1:23">
      <c r="A3" s="9">
        <v>1</v>
      </c>
      <c r="B3" s="10">
        <v>46114</v>
      </c>
      <c r="C3" s="11" t="s">
        <v>13</v>
      </c>
      <c r="D3" s="12" t="s">
        <v>152</v>
      </c>
      <c r="E3" s="11">
        <v>1</v>
      </c>
      <c r="F3" s="11">
        <v>1</v>
      </c>
      <c r="G3" s="13"/>
      <c r="H3" s="14"/>
      <c r="I3" s="15">
        <v>1</v>
      </c>
      <c r="J3" s="10">
        <v>46114</v>
      </c>
      <c r="K3" s="11" t="s">
        <v>50</v>
      </c>
      <c r="L3" s="12" t="s">
        <v>152</v>
      </c>
      <c r="M3" s="11">
        <v>2</v>
      </c>
      <c r="N3" s="16"/>
      <c r="O3" s="17"/>
      <c r="P3">
        <f>SUM(M3:N3)</f>
        <v>2</v>
      </c>
    </row>
    <row r="4" customFormat="1" ht="22" customHeight="1" spans="1:23">
      <c r="A4" s="9">
        <v>2</v>
      </c>
      <c r="B4" s="10">
        <v>46114</v>
      </c>
      <c r="C4" s="11" t="s">
        <v>16</v>
      </c>
      <c r="D4" s="12" t="s">
        <v>152</v>
      </c>
      <c r="E4" s="11">
        <v>2</v>
      </c>
      <c r="F4" s="16"/>
      <c r="G4" s="18"/>
      <c r="H4" s="14"/>
      <c r="I4" s="15">
        <v>2</v>
      </c>
      <c r="J4" s="10">
        <v>46114</v>
      </c>
      <c r="K4" s="11" t="s">
        <v>55</v>
      </c>
      <c r="L4" s="12" t="s">
        <v>152</v>
      </c>
      <c r="M4" s="11"/>
      <c r="N4" s="11">
        <v>2</v>
      </c>
      <c r="O4" s="17" t="s">
        <v>56</v>
      </c>
      <c r="P4">
        <f t="shared" ref="P4:P46" si="0">SUM(M4:N4)</f>
        <v>2</v>
      </c>
    </row>
    <row r="5" customFormat="1" ht="22" customHeight="1" spans="1:23">
      <c r="A5" s="9">
        <v>3</v>
      </c>
      <c r="B5" s="10">
        <v>46114</v>
      </c>
      <c r="C5" s="11" t="s">
        <v>17</v>
      </c>
      <c r="D5" s="12" t="s">
        <v>152</v>
      </c>
      <c r="E5" s="11">
        <v>2</v>
      </c>
      <c r="F5" s="16"/>
      <c r="G5" s="18"/>
      <c r="H5" s="14"/>
      <c r="I5" s="15">
        <v>3</v>
      </c>
      <c r="J5" s="10">
        <v>46114</v>
      </c>
      <c r="K5" s="11" t="s">
        <v>57</v>
      </c>
      <c r="L5" s="12" t="s">
        <v>152</v>
      </c>
      <c r="M5" s="11">
        <v>2</v>
      </c>
      <c r="N5" s="16"/>
      <c r="O5" s="17"/>
      <c r="P5">
        <f t="shared" si="0"/>
        <v>2</v>
      </c>
    </row>
    <row r="6" customFormat="1" ht="22" customHeight="1" spans="1:23">
      <c r="A6" s="9">
        <v>4</v>
      </c>
      <c r="B6" s="10">
        <v>46114</v>
      </c>
      <c r="C6" s="11" t="s">
        <v>18</v>
      </c>
      <c r="D6" s="12" t="s">
        <v>152</v>
      </c>
      <c r="E6" s="11">
        <v>2</v>
      </c>
      <c r="F6" s="16"/>
      <c r="G6" s="18"/>
      <c r="H6" s="14"/>
      <c r="I6" s="15">
        <v>4</v>
      </c>
      <c r="J6" s="10">
        <v>46114</v>
      </c>
      <c r="K6" s="11" t="s">
        <v>59</v>
      </c>
      <c r="L6" s="12" t="s">
        <v>152</v>
      </c>
      <c r="M6" s="11">
        <v>1</v>
      </c>
      <c r="N6" s="16">
        <v>1</v>
      </c>
      <c r="O6" s="17" t="s">
        <v>61</v>
      </c>
      <c r="P6">
        <f t="shared" si="0"/>
        <v>2</v>
      </c>
    </row>
    <row r="7" customFormat="1" ht="22" customHeight="1" spans="1:23">
      <c r="A7" s="9">
        <v>5</v>
      </c>
      <c r="B7" s="10">
        <v>46114</v>
      </c>
      <c r="C7" s="11" t="s">
        <v>20</v>
      </c>
      <c r="D7" s="12" t="s">
        <v>152</v>
      </c>
      <c r="E7" s="16"/>
      <c r="F7" s="11">
        <v>2</v>
      </c>
      <c r="G7" s="18"/>
      <c r="H7" s="14"/>
      <c r="I7" s="15">
        <v>5</v>
      </c>
      <c r="J7" s="10">
        <v>46114</v>
      </c>
      <c r="K7" s="11" t="s">
        <v>62</v>
      </c>
      <c r="L7" s="12" t="s">
        <v>152</v>
      </c>
      <c r="M7" s="11">
        <v>2</v>
      </c>
      <c r="N7" s="16"/>
      <c r="O7" s="17" t="s">
        <v>63</v>
      </c>
      <c r="P7">
        <f t="shared" si="0"/>
        <v>2</v>
      </c>
    </row>
    <row r="8" customFormat="1" ht="28.5" spans="1:23">
      <c r="A8" s="9">
        <v>6</v>
      </c>
      <c r="B8" s="10">
        <v>46114</v>
      </c>
      <c r="C8" s="11" t="s">
        <v>21</v>
      </c>
      <c r="D8" s="12" t="s">
        <v>152</v>
      </c>
      <c r="E8" s="11">
        <v>2</v>
      </c>
      <c r="F8" s="16"/>
      <c r="G8" s="18"/>
      <c r="H8" s="14"/>
      <c r="I8" s="15">
        <v>6</v>
      </c>
      <c r="J8" s="10">
        <v>46114</v>
      </c>
      <c r="K8" s="11" t="s">
        <v>64</v>
      </c>
      <c r="L8" s="12" t="s">
        <v>152</v>
      </c>
      <c r="M8" s="11">
        <v>1</v>
      </c>
      <c r="N8" s="16">
        <v>1</v>
      </c>
      <c r="O8" s="19" t="s">
        <v>65</v>
      </c>
      <c r="P8">
        <f t="shared" si="0"/>
        <v>2</v>
      </c>
    </row>
    <row r="9" customFormat="1" ht="22" customHeight="1" spans="1:23">
      <c r="A9" s="9">
        <v>7</v>
      </c>
      <c r="B9" s="10">
        <v>46114</v>
      </c>
      <c r="C9" s="11" t="s">
        <v>22</v>
      </c>
      <c r="D9" s="12" t="s">
        <v>152</v>
      </c>
      <c r="E9" s="11">
        <v>2</v>
      </c>
      <c r="F9" s="16"/>
      <c r="G9" s="20"/>
      <c r="H9" s="14"/>
      <c r="I9" s="15">
        <v>7</v>
      </c>
      <c r="J9" s="10">
        <v>46114</v>
      </c>
      <c r="K9" s="11" t="s">
        <v>66</v>
      </c>
      <c r="L9" s="12" t="s">
        <v>152</v>
      </c>
      <c r="M9" s="11">
        <v>1</v>
      </c>
      <c r="N9" s="16">
        <v>1</v>
      </c>
      <c r="O9" s="17" t="s">
        <v>67</v>
      </c>
      <c r="P9">
        <f t="shared" si="0"/>
        <v>2</v>
      </c>
    </row>
    <row r="10" customFormat="1" ht="22" customHeight="1" spans="1:23">
      <c r="A10" s="9">
        <v>8</v>
      </c>
      <c r="B10" s="10">
        <v>46114</v>
      </c>
      <c r="C10" s="11" t="s">
        <v>23</v>
      </c>
      <c r="D10" s="12" t="s">
        <v>152</v>
      </c>
      <c r="E10" s="11">
        <v>1</v>
      </c>
      <c r="F10" s="11">
        <v>1</v>
      </c>
      <c r="G10" s="20"/>
      <c r="H10" s="14"/>
      <c r="I10" s="15">
        <v>8</v>
      </c>
      <c r="J10" s="10">
        <v>46114</v>
      </c>
      <c r="K10" s="11" t="s">
        <v>68</v>
      </c>
      <c r="L10" s="12" t="s">
        <v>152</v>
      </c>
      <c r="M10" s="11"/>
      <c r="N10" s="11">
        <v>2</v>
      </c>
      <c r="O10" s="17" t="s">
        <v>56</v>
      </c>
      <c r="P10">
        <f t="shared" si="0"/>
        <v>2</v>
      </c>
    </row>
    <row r="11" customFormat="1" ht="22" customHeight="1" spans="1:23">
      <c r="A11" s="9">
        <v>9</v>
      </c>
      <c r="B11" s="10">
        <v>46114</v>
      </c>
      <c r="C11" s="11" t="s">
        <v>24</v>
      </c>
      <c r="D11" s="12" t="s">
        <v>152</v>
      </c>
      <c r="E11" s="11">
        <v>2</v>
      </c>
      <c r="F11" s="16"/>
      <c r="G11" s="20"/>
      <c r="H11" s="14"/>
      <c r="I11" s="15">
        <v>9</v>
      </c>
      <c r="J11" s="10">
        <v>46114</v>
      </c>
      <c r="K11" s="11" t="s">
        <v>69</v>
      </c>
      <c r="L11" s="12" t="s">
        <v>152</v>
      </c>
      <c r="M11" s="11"/>
      <c r="N11" s="11">
        <v>2</v>
      </c>
      <c r="O11" s="17" t="s">
        <v>70</v>
      </c>
      <c r="P11">
        <f t="shared" si="0"/>
        <v>2</v>
      </c>
    </row>
    <row r="12" customFormat="1" ht="22" customHeight="1" spans="1:23">
      <c r="A12" s="9">
        <v>10</v>
      </c>
      <c r="B12" s="10">
        <v>46114</v>
      </c>
      <c r="C12" s="11" t="s">
        <v>25</v>
      </c>
      <c r="D12" s="12" t="s">
        <v>152</v>
      </c>
      <c r="E12" s="16"/>
      <c r="F12" s="11">
        <v>2</v>
      </c>
      <c r="G12" s="20"/>
      <c r="H12" s="14"/>
      <c r="I12" s="15">
        <v>10</v>
      </c>
      <c r="J12" s="10">
        <v>46114</v>
      </c>
      <c r="K12" s="11" t="s">
        <v>71</v>
      </c>
      <c r="L12" s="12" t="s">
        <v>152</v>
      </c>
      <c r="M12" s="11"/>
      <c r="N12" s="11">
        <v>2</v>
      </c>
      <c r="O12" s="17" t="s">
        <v>72</v>
      </c>
      <c r="P12">
        <f t="shared" si="0"/>
        <v>2</v>
      </c>
    </row>
    <row r="13" customFormat="1" ht="22" customHeight="1" spans="1:23">
      <c r="A13" s="9">
        <v>11</v>
      </c>
      <c r="B13" s="10">
        <v>46114</v>
      </c>
      <c r="C13" s="11" t="s">
        <v>26</v>
      </c>
      <c r="D13" s="12" t="s">
        <v>152</v>
      </c>
      <c r="E13" s="11">
        <v>1</v>
      </c>
      <c r="F13" s="11">
        <v>1</v>
      </c>
      <c r="G13" s="20"/>
      <c r="H13" s="14"/>
      <c r="I13" s="15">
        <v>11</v>
      </c>
      <c r="J13" s="10">
        <v>46114</v>
      </c>
      <c r="K13" s="11" t="s">
        <v>73</v>
      </c>
      <c r="L13" s="12" t="s">
        <v>152</v>
      </c>
      <c r="M13" s="11"/>
      <c r="N13" s="11">
        <v>2</v>
      </c>
      <c r="O13" s="17" t="s">
        <v>74</v>
      </c>
      <c r="P13">
        <f t="shared" si="0"/>
        <v>2</v>
      </c>
    </row>
    <row r="14" customFormat="1" ht="22" customHeight="1" spans="1:23">
      <c r="A14" s="9">
        <v>12</v>
      </c>
      <c r="B14" s="10">
        <v>46114</v>
      </c>
      <c r="C14" s="21" t="s">
        <v>27</v>
      </c>
      <c r="D14" s="12" t="s">
        <v>152</v>
      </c>
      <c r="E14" s="11">
        <v>2</v>
      </c>
      <c r="F14" s="22"/>
      <c r="G14" s="20"/>
      <c r="H14" s="14"/>
      <c r="I14" s="15">
        <v>12</v>
      </c>
      <c r="J14" s="10">
        <v>46114</v>
      </c>
      <c r="K14" s="11" t="s">
        <v>75</v>
      </c>
      <c r="L14" s="12" t="s">
        <v>152</v>
      </c>
      <c r="M14" s="11">
        <v>1</v>
      </c>
      <c r="N14" s="16">
        <v>1</v>
      </c>
      <c r="O14" s="17" t="s">
        <v>76</v>
      </c>
      <c r="P14">
        <f t="shared" si="0"/>
        <v>2</v>
      </c>
      <c r="R14" s="48"/>
    </row>
    <row r="15" customFormat="1" ht="22" customHeight="1" spans="1:23">
      <c r="A15" s="9">
        <v>13</v>
      </c>
      <c r="B15" s="10">
        <v>46114</v>
      </c>
      <c r="C15" s="23" t="s">
        <v>28</v>
      </c>
      <c r="D15" s="12" t="s">
        <v>152</v>
      </c>
      <c r="E15" s="24"/>
      <c r="F15" s="11">
        <v>2</v>
      </c>
      <c r="G15" s="25"/>
      <c r="H15" s="14"/>
      <c r="I15" s="15">
        <v>13</v>
      </c>
      <c r="J15" s="10">
        <v>46114</v>
      </c>
      <c r="K15" s="11" t="s">
        <v>77</v>
      </c>
      <c r="L15" s="12" t="s">
        <v>152</v>
      </c>
      <c r="M15" s="11">
        <v>2</v>
      </c>
      <c r="N15" s="16"/>
      <c r="O15" s="17"/>
      <c r="P15">
        <f t="shared" si="0"/>
        <v>2</v>
      </c>
      <c r="R15" s="44"/>
      <c r="S15" s="44"/>
      <c r="T15" s="44"/>
      <c r="U15" s="44"/>
      <c r="V15" s="44"/>
      <c r="W15" s="44"/>
    </row>
    <row r="16" customFormat="1" ht="22" customHeight="1" spans="1:23">
      <c r="A16" s="9">
        <v>14</v>
      </c>
      <c r="B16" s="10">
        <v>46114</v>
      </c>
      <c r="C16" s="23" t="s">
        <v>29</v>
      </c>
      <c r="D16" s="12" t="s">
        <v>152</v>
      </c>
      <c r="E16" s="26"/>
      <c r="F16" s="11">
        <v>2</v>
      </c>
      <c r="G16" s="25"/>
      <c r="H16" s="14"/>
      <c r="I16" s="15">
        <v>14</v>
      </c>
      <c r="J16" s="10">
        <v>46114</v>
      </c>
      <c r="K16" s="11" t="s">
        <v>78</v>
      </c>
      <c r="L16" s="12" t="s">
        <v>152</v>
      </c>
      <c r="M16" s="11">
        <v>1</v>
      </c>
      <c r="N16" s="16">
        <v>1</v>
      </c>
      <c r="O16" s="17" t="s">
        <v>79</v>
      </c>
      <c r="P16">
        <f t="shared" si="0"/>
        <v>2</v>
      </c>
      <c r="R16" s="44"/>
      <c r="S16" s="49" t="s">
        <v>129</v>
      </c>
      <c r="T16" s="45"/>
      <c r="U16" s="45">
        <v>3</v>
      </c>
      <c r="V16" s="45"/>
      <c r="W16" s="50" t="s">
        <v>160</v>
      </c>
    </row>
    <row r="17" customFormat="1" ht="22" customHeight="1" spans="1:23">
      <c r="A17" s="9">
        <v>15</v>
      </c>
      <c r="B17" s="10">
        <v>46114</v>
      </c>
      <c r="C17" s="23" t="s">
        <v>30</v>
      </c>
      <c r="D17" s="12" t="s">
        <v>152</v>
      </c>
      <c r="E17" s="11">
        <v>1</v>
      </c>
      <c r="F17" s="11">
        <v>1</v>
      </c>
      <c r="G17" s="25"/>
      <c r="H17" s="14"/>
      <c r="I17" s="15">
        <v>15</v>
      </c>
      <c r="J17" s="10">
        <v>46114</v>
      </c>
      <c r="K17" s="11" t="s">
        <v>80</v>
      </c>
      <c r="L17" s="12" t="s">
        <v>152</v>
      </c>
      <c r="M17" s="11">
        <v>2</v>
      </c>
      <c r="N17" s="16"/>
      <c r="O17" s="17" t="s">
        <v>81</v>
      </c>
      <c r="P17">
        <f t="shared" si="0"/>
        <v>2</v>
      </c>
      <c r="R17" s="44"/>
      <c r="S17" s="51" t="s">
        <v>125</v>
      </c>
      <c r="T17" s="45"/>
      <c r="U17" s="45"/>
      <c r="V17" s="45">
        <v>1</v>
      </c>
      <c r="W17" s="50" t="s">
        <v>165</v>
      </c>
    </row>
    <row r="18" customFormat="1" ht="22" customHeight="1" spans="1:23">
      <c r="A18" s="9">
        <v>16</v>
      </c>
      <c r="B18" s="10">
        <v>46114</v>
      </c>
      <c r="C18" s="23" t="s">
        <v>31</v>
      </c>
      <c r="D18" s="12" t="s">
        <v>152</v>
      </c>
      <c r="E18" s="11">
        <v>1</v>
      </c>
      <c r="F18" s="11">
        <v>1</v>
      </c>
      <c r="G18" s="25"/>
      <c r="H18" s="14"/>
      <c r="I18" s="15">
        <v>16</v>
      </c>
      <c r="J18" s="10">
        <v>46114</v>
      </c>
      <c r="K18" s="11" t="s">
        <v>82</v>
      </c>
      <c r="L18" s="12" t="s">
        <v>152</v>
      </c>
      <c r="M18" s="11"/>
      <c r="N18" s="11">
        <v>2</v>
      </c>
      <c r="O18" s="17" t="s">
        <v>83</v>
      </c>
      <c r="P18">
        <f t="shared" si="0"/>
        <v>2</v>
      </c>
      <c r="R18" s="44"/>
      <c r="S18" s="44"/>
      <c r="T18" s="44"/>
      <c r="U18" s="44"/>
      <c r="V18" s="44"/>
      <c r="W18" s="44"/>
    </row>
    <row r="19" customFormat="1" ht="22" customHeight="1" spans="1:23">
      <c r="A19" s="9">
        <v>17</v>
      </c>
      <c r="B19" s="10">
        <v>46114</v>
      </c>
      <c r="C19" s="23" t="s">
        <v>32</v>
      </c>
      <c r="D19" s="12" t="s">
        <v>152</v>
      </c>
      <c r="E19" s="11">
        <v>2</v>
      </c>
      <c r="F19" s="26"/>
      <c r="G19" s="25"/>
      <c r="H19" s="14"/>
      <c r="I19" s="15">
        <v>17</v>
      </c>
      <c r="J19" s="10">
        <v>46114</v>
      </c>
      <c r="K19" s="11" t="s">
        <v>84</v>
      </c>
      <c r="L19" s="12" t="s">
        <v>152</v>
      </c>
      <c r="M19" s="11"/>
      <c r="N19" s="11">
        <v>2</v>
      </c>
      <c r="O19" s="17" t="s">
        <v>83</v>
      </c>
      <c r="P19">
        <f t="shared" si="0"/>
        <v>2</v>
      </c>
    </row>
    <row r="20" customFormat="1" ht="22" customHeight="1" spans="1:23">
      <c r="A20" s="9">
        <v>18</v>
      </c>
      <c r="B20" s="10">
        <v>46114</v>
      </c>
      <c r="C20" s="23" t="s">
        <v>33</v>
      </c>
      <c r="D20" s="12" t="s">
        <v>152</v>
      </c>
      <c r="E20" s="11">
        <v>2</v>
      </c>
      <c r="F20" s="26"/>
      <c r="G20" s="25"/>
      <c r="H20" s="14"/>
      <c r="I20" s="15">
        <v>18</v>
      </c>
      <c r="J20" s="10">
        <v>46114</v>
      </c>
      <c r="K20" s="11" t="s">
        <v>85</v>
      </c>
      <c r="L20" s="12" t="s">
        <v>152</v>
      </c>
      <c r="M20" s="11">
        <v>2</v>
      </c>
      <c r="N20" s="16"/>
      <c r="O20" s="17"/>
      <c r="P20">
        <f t="shared" si="0"/>
        <v>2</v>
      </c>
    </row>
    <row r="21" customFormat="1" ht="22" customHeight="1" spans="1:23">
      <c r="A21" s="9">
        <v>19</v>
      </c>
      <c r="B21" s="10">
        <v>46114</v>
      </c>
      <c r="C21" s="27" t="s">
        <v>34</v>
      </c>
      <c r="D21" s="12" t="s">
        <v>152</v>
      </c>
      <c r="E21" s="11">
        <v>2</v>
      </c>
      <c r="F21" s="26"/>
      <c r="G21" s="25"/>
      <c r="H21" s="14"/>
      <c r="I21" s="15">
        <v>19</v>
      </c>
      <c r="J21" s="10">
        <v>46114</v>
      </c>
      <c r="K21" s="11" t="s">
        <v>87</v>
      </c>
      <c r="L21" s="12" t="s">
        <v>152</v>
      </c>
      <c r="M21" s="11"/>
      <c r="N21" s="11">
        <v>2</v>
      </c>
      <c r="O21" s="17" t="s">
        <v>88</v>
      </c>
      <c r="P21">
        <f t="shared" si="0"/>
        <v>2</v>
      </c>
    </row>
    <row r="22" customFormat="1" ht="22" customHeight="1" spans="1:23">
      <c r="A22" s="9">
        <v>20</v>
      </c>
      <c r="B22" s="10">
        <v>46114</v>
      </c>
      <c r="C22" s="23" t="s">
        <v>35</v>
      </c>
      <c r="D22" s="12" t="s">
        <v>152</v>
      </c>
      <c r="E22" s="11">
        <v>1</v>
      </c>
      <c r="F22" s="11">
        <v>1</v>
      </c>
      <c r="G22" s="25"/>
      <c r="H22" s="14"/>
      <c r="I22" s="15">
        <v>20</v>
      </c>
      <c r="J22" s="10">
        <v>46114</v>
      </c>
      <c r="K22" s="11" t="s">
        <v>89</v>
      </c>
      <c r="L22" s="12" t="s">
        <v>152</v>
      </c>
      <c r="M22" s="11"/>
      <c r="N22" s="11">
        <v>2</v>
      </c>
      <c r="O22" s="17" t="s">
        <v>74</v>
      </c>
      <c r="P22">
        <f t="shared" si="0"/>
        <v>2</v>
      </c>
    </row>
    <row r="23" customFormat="1" ht="22" customHeight="1" spans="1:23">
      <c r="A23" s="9">
        <v>21</v>
      </c>
      <c r="B23" s="10">
        <v>46114</v>
      </c>
      <c r="C23" s="23" t="s">
        <v>36</v>
      </c>
      <c r="D23" s="12" t="s">
        <v>152</v>
      </c>
      <c r="E23" s="26"/>
      <c r="F23" s="28">
        <v>6</v>
      </c>
      <c r="G23" s="25" t="s">
        <v>156</v>
      </c>
      <c r="H23" s="14"/>
      <c r="I23" s="15">
        <v>21</v>
      </c>
      <c r="J23" s="10">
        <v>46114</v>
      </c>
      <c r="K23" s="11" t="s">
        <v>90</v>
      </c>
      <c r="L23" s="12" t="s">
        <v>152</v>
      </c>
      <c r="M23" s="11">
        <v>2</v>
      </c>
      <c r="N23" s="16"/>
      <c r="O23" s="17"/>
      <c r="P23">
        <f t="shared" si="0"/>
        <v>2</v>
      </c>
    </row>
    <row r="24" customFormat="1" ht="22" customHeight="1" spans="1:23">
      <c r="A24" s="9"/>
      <c r="B24" s="10"/>
      <c r="C24" s="23"/>
      <c r="D24" s="12"/>
      <c r="E24" s="24"/>
      <c r="F24" s="21"/>
      <c r="G24" s="12"/>
      <c r="H24" s="14"/>
      <c r="I24" s="15">
        <v>22</v>
      </c>
      <c r="J24" s="10">
        <v>46114</v>
      </c>
      <c r="K24" s="11" t="s">
        <v>91</v>
      </c>
      <c r="L24" s="12" t="s">
        <v>152</v>
      </c>
      <c r="M24" s="11">
        <v>2</v>
      </c>
      <c r="N24" s="16"/>
      <c r="O24" s="17"/>
      <c r="P24">
        <f t="shared" si="0"/>
        <v>2</v>
      </c>
    </row>
    <row r="25" customFormat="1" ht="22" customHeight="1" spans="1:23">
      <c r="A25" s="9"/>
      <c r="B25" s="10"/>
      <c r="C25" s="23"/>
      <c r="D25" s="12"/>
      <c r="E25" s="26"/>
      <c r="F25" s="21"/>
      <c r="G25" s="12"/>
      <c r="H25" s="14"/>
      <c r="I25" s="15">
        <v>23</v>
      </c>
      <c r="J25" s="10">
        <v>46114</v>
      </c>
      <c r="K25" s="11" t="s">
        <v>92</v>
      </c>
      <c r="L25" s="12" t="s">
        <v>152</v>
      </c>
      <c r="M25" s="11">
        <v>2</v>
      </c>
      <c r="N25" s="16"/>
      <c r="O25" s="17" t="s">
        <v>93</v>
      </c>
      <c r="P25">
        <f t="shared" si="0"/>
        <v>2</v>
      </c>
    </row>
    <row r="26" customFormat="1" ht="22" customHeight="1" spans="1:23">
      <c r="A26" s="9"/>
      <c r="B26" s="10"/>
      <c r="C26" s="23"/>
      <c r="D26" s="12"/>
      <c r="E26" s="21"/>
      <c r="F26" s="21"/>
      <c r="G26" s="12"/>
      <c r="H26" s="14"/>
      <c r="I26" s="15">
        <v>24</v>
      </c>
      <c r="J26" s="10">
        <v>46114</v>
      </c>
      <c r="K26" s="11" t="s">
        <v>94</v>
      </c>
      <c r="L26" s="12" t="s">
        <v>152</v>
      </c>
      <c r="M26" s="11">
        <v>1</v>
      </c>
      <c r="N26" s="16">
        <v>1</v>
      </c>
      <c r="O26" s="17" t="s">
        <v>95</v>
      </c>
      <c r="P26">
        <f t="shared" si="0"/>
        <v>2</v>
      </c>
    </row>
    <row r="27" customFormat="1" ht="22" customHeight="1" spans="1:23">
      <c r="A27" s="9"/>
      <c r="B27" s="10"/>
      <c r="C27" s="23"/>
      <c r="D27" s="12"/>
      <c r="E27" s="21"/>
      <c r="F27" s="21"/>
      <c r="G27" s="12"/>
      <c r="H27" s="14"/>
      <c r="I27" s="15">
        <v>25</v>
      </c>
      <c r="J27" s="10">
        <v>46114</v>
      </c>
      <c r="K27" s="11" t="s">
        <v>96</v>
      </c>
      <c r="L27" s="12" t="s">
        <v>152</v>
      </c>
      <c r="M27" s="11">
        <v>1</v>
      </c>
      <c r="N27" s="16">
        <v>1</v>
      </c>
      <c r="O27" s="17" t="s">
        <v>95</v>
      </c>
      <c r="P27">
        <f t="shared" si="0"/>
        <v>2</v>
      </c>
    </row>
    <row r="28" customFormat="1" ht="22" customHeight="1" spans="1:23">
      <c r="A28" s="9"/>
      <c r="B28" s="10"/>
      <c r="C28" s="23"/>
      <c r="D28" s="12"/>
      <c r="E28" s="21"/>
      <c r="F28" s="26"/>
      <c r="G28" s="12"/>
      <c r="H28" s="14"/>
      <c r="I28" s="15">
        <v>26</v>
      </c>
      <c r="J28" s="10">
        <v>46114</v>
      </c>
      <c r="K28" s="11" t="s">
        <v>97</v>
      </c>
      <c r="L28" s="12" t="s">
        <v>152</v>
      </c>
      <c r="M28" s="11"/>
      <c r="N28" s="11">
        <v>2</v>
      </c>
      <c r="O28" s="17" t="s">
        <v>98</v>
      </c>
      <c r="P28">
        <f t="shared" si="0"/>
        <v>2</v>
      </c>
    </row>
    <row r="29" customFormat="1" ht="22" customHeight="1" spans="1:23">
      <c r="A29" s="9"/>
      <c r="B29" s="10"/>
      <c r="C29" s="23"/>
      <c r="D29" s="12"/>
      <c r="E29" s="21"/>
      <c r="F29" s="26"/>
      <c r="G29" s="12"/>
      <c r="H29" s="14"/>
      <c r="I29" s="15">
        <v>27</v>
      </c>
      <c r="J29" s="10">
        <v>46114</v>
      </c>
      <c r="K29" s="11" t="s">
        <v>99</v>
      </c>
      <c r="L29" s="12" t="s">
        <v>152</v>
      </c>
      <c r="M29" s="11">
        <v>2</v>
      </c>
      <c r="N29" s="16"/>
      <c r="O29" s="17"/>
      <c r="P29">
        <f t="shared" si="0"/>
        <v>2</v>
      </c>
    </row>
    <row r="30" customFormat="1" ht="22" customHeight="1" spans="1:23">
      <c r="A30" s="9"/>
      <c r="B30" s="10"/>
      <c r="C30" s="27"/>
      <c r="D30" s="12"/>
      <c r="E30" s="21"/>
      <c r="F30" s="26"/>
      <c r="G30" s="12"/>
      <c r="H30" s="14"/>
      <c r="I30" s="15">
        <v>28</v>
      </c>
      <c r="J30" s="10">
        <v>46114</v>
      </c>
      <c r="K30" s="11" t="s">
        <v>101</v>
      </c>
      <c r="L30" s="12" t="s">
        <v>152</v>
      </c>
      <c r="M30" s="11">
        <v>2</v>
      </c>
      <c r="N30" s="16"/>
      <c r="O30" s="17"/>
      <c r="P30">
        <f t="shared" si="0"/>
        <v>2</v>
      </c>
    </row>
    <row r="31" customFormat="1" ht="22" customHeight="1" spans="1:23">
      <c r="A31" s="9"/>
      <c r="B31" s="10"/>
      <c r="C31" s="23"/>
      <c r="D31" s="12"/>
      <c r="E31" s="21"/>
      <c r="F31" s="21"/>
      <c r="G31" s="12"/>
      <c r="H31" s="14"/>
      <c r="I31" s="15">
        <v>29</v>
      </c>
      <c r="J31" s="10">
        <v>46114</v>
      </c>
      <c r="K31" s="11" t="s">
        <v>103</v>
      </c>
      <c r="L31" s="12" t="s">
        <v>152</v>
      </c>
      <c r="M31" s="11">
        <v>2</v>
      </c>
      <c r="N31" s="11"/>
      <c r="O31" s="35"/>
      <c r="P31">
        <f t="shared" si="0"/>
        <v>2</v>
      </c>
    </row>
    <row r="32" customFormat="1" ht="22" customHeight="1" spans="1:23">
      <c r="A32" s="9"/>
      <c r="B32" s="10"/>
      <c r="C32" s="23"/>
      <c r="D32" s="12"/>
      <c r="E32" s="21"/>
      <c r="F32" s="21"/>
      <c r="G32" s="25"/>
      <c r="H32" s="14"/>
      <c r="I32" s="15">
        <v>30</v>
      </c>
      <c r="J32" s="10">
        <v>46114</v>
      </c>
      <c r="K32" s="11" t="s">
        <v>105</v>
      </c>
      <c r="L32" s="12" t="s">
        <v>152</v>
      </c>
      <c r="M32" s="11">
        <v>2</v>
      </c>
      <c r="N32" s="11"/>
      <c r="O32" s="17"/>
      <c r="P32">
        <f t="shared" si="0"/>
        <v>2</v>
      </c>
    </row>
    <row r="33" customFormat="1" ht="22" customHeight="1" spans="1:16">
      <c r="A33" s="29"/>
      <c r="B33" s="30"/>
      <c r="C33" s="31"/>
      <c r="D33" s="32"/>
      <c r="E33" s="14">
        <f>SUM(E3:E32)</f>
        <v>26</v>
      </c>
      <c r="F33" s="14">
        <f>SUM(F3:F32)</f>
        <v>20</v>
      </c>
      <c r="G33" s="33"/>
      <c r="H33" s="14"/>
      <c r="I33" s="15">
        <v>31</v>
      </c>
      <c r="J33" s="10">
        <v>46114</v>
      </c>
      <c r="K33" s="11" t="s">
        <v>106</v>
      </c>
      <c r="L33" s="12" t="s">
        <v>152</v>
      </c>
      <c r="M33" s="11"/>
      <c r="N33" s="11">
        <v>2</v>
      </c>
      <c r="O33" s="17" t="s">
        <v>74</v>
      </c>
      <c r="P33">
        <f t="shared" si="0"/>
        <v>2</v>
      </c>
    </row>
    <row r="34" customFormat="1" ht="22" customHeight="1" spans="1:16">
      <c r="A34" s="29"/>
      <c r="B34" s="30"/>
      <c r="C34" s="31"/>
      <c r="D34" s="32"/>
      <c r="E34" s="34"/>
      <c r="F34" s="34"/>
      <c r="G34" s="33"/>
      <c r="H34" s="14"/>
      <c r="I34" s="15">
        <v>32</v>
      </c>
      <c r="J34" s="10">
        <v>46114</v>
      </c>
      <c r="K34" s="11" t="s">
        <v>107</v>
      </c>
      <c r="L34" s="12" t="s">
        <v>152</v>
      </c>
      <c r="M34" s="11">
        <v>1</v>
      </c>
      <c r="N34" s="11">
        <v>1</v>
      </c>
      <c r="O34" s="17" t="s">
        <v>108</v>
      </c>
      <c r="P34">
        <f t="shared" si="0"/>
        <v>2</v>
      </c>
    </row>
    <row r="35" customFormat="1" ht="22" customHeight="1" spans="1:16">
      <c r="A35" s="29"/>
      <c r="B35" s="30"/>
      <c r="C35" s="31"/>
      <c r="D35" s="32"/>
      <c r="E35" s="34"/>
      <c r="F35" s="34"/>
      <c r="G35" s="33"/>
      <c r="H35" s="14"/>
      <c r="I35" s="15">
        <v>33</v>
      </c>
      <c r="J35" s="10">
        <v>46114</v>
      </c>
      <c r="K35" s="11" t="s">
        <v>109</v>
      </c>
      <c r="L35" s="12" t="s">
        <v>152</v>
      </c>
      <c r="M35" s="11"/>
      <c r="N35" s="11">
        <v>2</v>
      </c>
      <c r="O35" s="17" t="s">
        <v>98</v>
      </c>
      <c r="P35">
        <f t="shared" si="0"/>
        <v>2</v>
      </c>
    </row>
    <row r="36" customFormat="1" ht="22" customHeight="1" spans="1:16">
      <c r="A36" s="29"/>
      <c r="B36" s="30"/>
      <c r="C36" s="31"/>
      <c r="D36" s="32"/>
      <c r="E36" s="34"/>
      <c r="F36" s="34"/>
      <c r="G36" s="33"/>
      <c r="H36" s="14"/>
      <c r="I36" s="15">
        <v>34</v>
      </c>
      <c r="J36" s="10">
        <v>46114</v>
      </c>
      <c r="K36" s="11" t="s">
        <v>110</v>
      </c>
      <c r="L36" s="12" t="s">
        <v>152</v>
      </c>
      <c r="M36" s="11"/>
      <c r="N36" s="11">
        <v>2</v>
      </c>
      <c r="O36" s="17" t="s">
        <v>98</v>
      </c>
      <c r="P36">
        <f t="shared" si="0"/>
        <v>2</v>
      </c>
    </row>
    <row r="37" customFormat="1" ht="22" customHeight="1" spans="1:16">
      <c r="A37" s="29"/>
      <c r="B37" s="30"/>
      <c r="C37" s="31"/>
      <c r="D37" s="32"/>
      <c r="E37" s="34"/>
      <c r="F37" s="34"/>
      <c r="G37" s="33"/>
      <c r="H37" s="14"/>
      <c r="I37" s="15">
        <v>35</v>
      </c>
      <c r="J37" s="10">
        <v>46114</v>
      </c>
      <c r="K37" s="11" t="s">
        <v>111</v>
      </c>
      <c r="L37" s="12" t="s">
        <v>152</v>
      </c>
      <c r="M37" s="11">
        <v>2</v>
      </c>
      <c r="N37" s="11"/>
      <c r="O37" s="17"/>
      <c r="P37">
        <f t="shared" si="0"/>
        <v>2</v>
      </c>
    </row>
    <row r="38" customFormat="1" ht="22" customHeight="1" spans="1:16">
      <c r="A38" s="29"/>
      <c r="B38" s="30"/>
      <c r="C38" s="31"/>
      <c r="D38" s="32"/>
      <c r="E38" s="34"/>
      <c r="F38" s="34"/>
      <c r="G38" s="33"/>
      <c r="H38" s="14"/>
      <c r="I38" s="15">
        <v>36</v>
      </c>
      <c r="J38" s="10">
        <v>46114</v>
      </c>
      <c r="K38" s="11" t="s">
        <v>112</v>
      </c>
      <c r="L38" s="12" t="s">
        <v>152</v>
      </c>
      <c r="M38" s="11">
        <v>2</v>
      </c>
      <c r="N38" s="11"/>
      <c r="O38" s="17"/>
      <c r="P38">
        <f t="shared" si="0"/>
        <v>2</v>
      </c>
    </row>
    <row r="39" customFormat="1" ht="22" customHeight="1" spans="1:16">
      <c r="A39" s="29"/>
      <c r="B39" s="30"/>
      <c r="C39" s="31"/>
      <c r="D39" s="32"/>
      <c r="E39" s="34"/>
      <c r="F39" s="34"/>
      <c r="G39" s="33"/>
      <c r="H39" s="14"/>
      <c r="I39" s="15">
        <v>37</v>
      </c>
      <c r="J39" s="10">
        <v>46114</v>
      </c>
      <c r="K39" s="11" t="s">
        <v>114</v>
      </c>
      <c r="L39" s="12" t="s">
        <v>152</v>
      </c>
      <c r="M39" s="11">
        <v>2</v>
      </c>
      <c r="N39" s="11"/>
      <c r="O39" s="17"/>
      <c r="P39">
        <f t="shared" si="0"/>
        <v>2</v>
      </c>
    </row>
    <row r="40" customFormat="1" ht="22" customHeight="1" spans="1:16">
      <c r="A40" s="29"/>
      <c r="B40" s="30"/>
      <c r="C40" s="31"/>
      <c r="D40" s="32"/>
      <c r="E40" s="34"/>
      <c r="F40" s="34"/>
      <c r="G40" s="33"/>
      <c r="H40" s="14"/>
      <c r="I40" s="15">
        <v>38</v>
      </c>
      <c r="J40" s="10">
        <v>46114</v>
      </c>
      <c r="K40" s="11" t="s">
        <v>117</v>
      </c>
      <c r="L40" s="12" t="s">
        <v>152</v>
      </c>
      <c r="M40" s="11">
        <v>1</v>
      </c>
      <c r="N40" s="11">
        <v>1</v>
      </c>
      <c r="O40" s="17" t="s">
        <v>108</v>
      </c>
      <c r="P40">
        <f t="shared" si="0"/>
        <v>2</v>
      </c>
    </row>
    <row r="41" customFormat="1" ht="22" customHeight="1" spans="1:16">
      <c r="A41" s="29"/>
      <c r="B41" s="30"/>
      <c r="C41" s="31"/>
      <c r="D41" s="32"/>
      <c r="E41" s="34"/>
      <c r="F41" s="34"/>
      <c r="G41" s="33"/>
      <c r="H41" s="14"/>
      <c r="I41" s="15">
        <v>39</v>
      </c>
      <c r="J41" s="10">
        <v>46114</v>
      </c>
      <c r="K41" s="11" t="s">
        <v>121</v>
      </c>
      <c r="L41" s="12" t="s">
        <v>152</v>
      </c>
      <c r="M41" s="11">
        <v>1</v>
      </c>
      <c r="N41" s="11">
        <v>1</v>
      </c>
      <c r="O41" s="17" t="s">
        <v>108</v>
      </c>
      <c r="P41">
        <f t="shared" si="0"/>
        <v>2</v>
      </c>
    </row>
    <row r="42" customFormat="1" ht="22" customHeight="1" spans="1:16">
      <c r="A42" s="29"/>
      <c r="B42" s="30"/>
      <c r="C42" s="31"/>
      <c r="D42" s="32"/>
      <c r="E42" s="34"/>
      <c r="F42" s="34"/>
      <c r="G42" s="33"/>
      <c r="H42" s="14"/>
      <c r="I42" s="15">
        <v>40</v>
      </c>
      <c r="J42" s="10">
        <v>46114</v>
      </c>
      <c r="K42" s="11" t="s">
        <v>125</v>
      </c>
      <c r="L42" s="12" t="s">
        <v>152</v>
      </c>
      <c r="M42" s="11">
        <v>2</v>
      </c>
      <c r="N42" s="11"/>
      <c r="O42" s="17"/>
      <c r="P42">
        <f t="shared" si="0"/>
        <v>2</v>
      </c>
    </row>
    <row r="43" customFormat="1" ht="22" customHeight="1" spans="1:16">
      <c r="A43" s="29"/>
      <c r="B43" s="30"/>
      <c r="C43" s="31"/>
      <c r="D43" s="32"/>
      <c r="E43" s="34"/>
      <c r="F43" s="34"/>
      <c r="G43" s="33"/>
      <c r="H43" s="14"/>
      <c r="I43" s="15">
        <v>41</v>
      </c>
      <c r="J43" s="10">
        <v>46114</v>
      </c>
      <c r="K43" s="11" t="s">
        <v>127</v>
      </c>
      <c r="L43" s="12" t="s">
        <v>152</v>
      </c>
      <c r="M43" s="11">
        <v>2</v>
      </c>
      <c r="N43" s="11"/>
      <c r="O43" s="17"/>
      <c r="P43">
        <f t="shared" si="0"/>
        <v>2</v>
      </c>
    </row>
    <row r="44" customFormat="1" ht="22" customHeight="1" spans="1:16">
      <c r="A44" s="29"/>
      <c r="B44" s="30"/>
      <c r="C44" s="31"/>
      <c r="D44" s="32"/>
      <c r="E44" s="34"/>
      <c r="F44" s="34"/>
      <c r="G44" s="33"/>
      <c r="H44" s="14"/>
      <c r="I44" s="15">
        <v>42</v>
      </c>
      <c r="J44" s="10">
        <v>46114</v>
      </c>
      <c r="K44" s="11" t="s">
        <v>129</v>
      </c>
      <c r="L44" s="12" t="s">
        <v>152</v>
      </c>
      <c r="M44" s="11">
        <v>2</v>
      </c>
      <c r="N44" s="11"/>
      <c r="O44" s="17"/>
      <c r="P44">
        <f t="shared" si="0"/>
        <v>2</v>
      </c>
    </row>
    <row r="45" customFormat="1" ht="22" customHeight="1" spans="1:16">
      <c r="A45" s="29"/>
      <c r="B45" s="30"/>
      <c r="C45" s="31"/>
      <c r="D45" s="32"/>
      <c r="E45" s="34"/>
      <c r="F45" s="34"/>
      <c r="G45" s="33"/>
      <c r="H45" s="14"/>
      <c r="I45" s="15">
        <v>43</v>
      </c>
      <c r="J45" s="10">
        <v>46114</v>
      </c>
      <c r="K45" s="11" t="s">
        <v>129</v>
      </c>
      <c r="L45" s="12" t="s">
        <v>152</v>
      </c>
      <c r="M45" s="11">
        <v>2</v>
      </c>
      <c r="N45" s="11"/>
      <c r="O45" s="17" t="s">
        <v>157</v>
      </c>
      <c r="P45">
        <f t="shared" si="0"/>
        <v>2</v>
      </c>
    </row>
    <row r="46" customFormat="1" ht="22" customHeight="1" spans="1:16">
      <c r="A46" s="29"/>
      <c r="B46" s="30"/>
      <c r="C46" s="31"/>
      <c r="D46" s="32"/>
      <c r="E46" s="34"/>
      <c r="F46" s="34"/>
      <c r="G46" s="33"/>
      <c r="H46" s="14"/>
      <c r="I46" s="29"/>
      <c r="J46" s="30"/>
      <c r="K46" s="37"/>
      <c r="L46" s="32"/>
      <c r="M46">
        <f>SUM(M1:M45)</f>
        <v>50</v>
      </c>
      <c r="N46">
        <f>SUM(N1:N45)</f>
        <v>36</v>
      </c>
      <c r="O46" s="38"/>
      <c r="P46">
        <f t="shared" si="0"/>
        <v>86</v>
      </c>
    </row>
    <row r="47" customFormat="1" ht="22" customHeight="1" spans="1:16">
      <c r="A47" s="29"/>
      <c r="B47" s="30"/>
      <c r="C47" s="31"/>
      <c r="D47" s="32"/>
      <c r="E47" s="34"/>
      <c r="F47" s="34"/>
      <c r="G47" s="33"/>
      <c r="H47" s="14"/>
      <c r="I47" s="29"/>
      <c r="J47" s="30"/>
      <c r="K47" s="37"/>
      <c r="L47" s="32"/>
      <c r="M47" s="37"/>
      <c r="N47" s="37"/>
      <c r="O47" s="38"/>
    </row>
    <row r="48" customFormat="1" ht="22" customHeight="1" spans="1:16">
      <c r="E48" s="14">
        <f>SUM(E3:E32)</f>
        <v>26</v>
      </c>
      <c r="F48" s="14">
        <f>SUM(F3:F32)</f>
        <v>20</v>
      </c>
      <c r="H48" s="14"/>
    </row>
    <row r="49" ht="22" customHeight="1"/>
    <row r="50" ht="22" customHeight="1"/>
    <row r="51" ht="22" customHeight="1"/>
    <row r="52" ht="22" customHeight="1"/>
    <row r="53" ht="22" customHeight="1"/>
  </sheetData>
  <mergeCells count="2">
    <mergeCell ref="A1:G1"/>
    <mergeCell ref="I1:O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"/>
  <sheetViews>
    <sheetView workbookViewId="0">
      <pane ySplit="2" topLeftCell="A3" activePane="bottomLeft" state="frozen"/>
      <selection/>
      <selection pane="bottomLeft" activeCell="G29" sqref="G29"/>
    </sheetView>
  </sheetViews>
  <sheetFormatPr defaultColWidth="9.14285714285714" defaultRowHeight="12"/>
  <cols>
    <col min="1" max="1" width="6.28571428571429" customWidth="1"/>
    <col min="2" max="2" width="14.4285714285714" customWidth="1"/>
    <col min="3" max="3" width="15" customWidth="1"/>
    <col min="4" max="4" width="12.1428571428571" customWidth="1"/>
    <col min="5" max="5" width="9.85714285714286" customWidth="1"/>
    <col min="6" max="6" width="10" customWidth="1"/>
    <col min="7" max="7" width="19.5714285714286" customWidth="1"/>
    <col min="9" max="9" width="6.57142857142857" customWidth="1"/>
    <col min="10" max="10" width="11" customWidth="1"/>
    <col min="11" max="11" width="11.4285714285714" customWidth="1"/>
    <col min="12" max="12" width="12.1428571428571" customWidth="1"/>
    <col min="13" max="14" width="10" customWidth="1"/>
    <col min="15" max="15" width="27.1428571428571" customWidth="1"/>
    <col min="16" max="16" width="3.85714285714286" customWidth="1"/>
  </cols>
  <sheetData>
    <row r="1" customFormat="1" ht="27" customHeight="1" spans="1:16">
      <c r="A1" s="2" t="s">
        <v>144</v>
      </c>
      <c r="B1" s="2"/>
      <c r="C1" s="2"/>
      <c r="D1" s="2"/>
      <c r="E1" s="2"/>
      <c r="F1" s="3"/>
      <c r="G1" s="4"/>
      <c r="I1" s="2" t="s">
        <v>145</v>
      </c>
      <c r="J1" s="2"/>
      <c r="K1" s="2"/>
      <c r="L1" s="2"/>
      <c r="M1" s="2"/>
      <c r="N1" s="3"/>
      <c r="O1" s="4"/>
    </row>
    <row r="2" s="1" customFormat="1" ht="32" customHeight="1" spans="1:16">
      <c r="A2" s="5" t="s">
        <v>2</v>
      </c>
      <c r="B2" s="5" t="s">
        <v>136</v>
      </c>
      <c r="C2" s="5" t="s">
        <v>3</v>
      </c>
      <c r="D2" s="6" t="s">
        <v>146</v>
      </c>
      <c r="E2" s="7" t="s">
        <v>147</v>
      </c>
      <c r="F2" s="7" t="s">
        <v>148</v>
      </c>
      <c r="G2" s="7" t="s">
        <v>7</v>
      </c>
      <c r="I2" s="7" t="s">
        <v>2</v>
      </c>
      <c r="J2" s="8" t="s">
        <v>136</v>
      </c>
      <c r="K2" s="5" t="s">
        <v>3</v>
      </c>
      <c r="L2" s="6" t="s">
        <v>146</v>
      </c>
      <c r="M2" s="7" t="s">
        <v>147</v>
      </c>
      <c r="N2" s="7" t="s">
        <v>148</v>
      </c>
      <c r="O2" s="7" t="s">
        <v>7</v>
      </c>
    </row>
    <row r="3" customFormat="1" ht="22" customHeight="1" spans="1:16">
      <c r="A3" s="9">
        <v>1</v>
      </c>
      <c r="B3" s="10">
        <v>46119</v>
      </c>
      <c r="C3" s="11" t="s">
        <v>13</v>
      </c>
      <c r="D3" s="12" t="s">
        <v>149</v>
      </c>
      <c r="E3" s="11">
        <v>1</v>
      </c>
      <c r="F3" s="11">
        <v>2</v>
      </c>
      <c r="G3" s="13"/>
      <c r="H3" s="14">
        <f>SUM(E3:F3)</f>
        <v>3</v>
      </c>
      <c r="I3" s="15">
        <v>1</v>
      </c>
      <c r="J3" s="10">
        <v>46111</v>
      </c>
      <c r="K3" s="11" t="s">
        <v>50</v>
      </c>
      <c r="L3" s="12" t="s">
        <v>149</v>
      </c>
      <c r="M3" s="11">
        <v>3</v>
      </c>
      <c r="N3" s="16"/>
      <c r="O3" s="17"/>
      <c r="P3">
        <f t="shared" ref="P3:P46" si="0">SUM(M3:N3)</f>
        <v>3</v>
      </c>
    </row>
    <row r="4" customFormat="1" ht="22" customHeight="1" spans="1:16">
      <c r="A4" s="9">
        <v>2</v>
      </c>
      <c r="B4" s="10">
        <v>46119</v>
      </c>
      <c r="C4" s="11" t="s">
        <v>16</v>
      </c>
      <c r="D4" s="12" t="s">
        <v>149</v>
      </c>
      <c r="E4" s="11">
        <v>3</v>
      </c>
      <c r="F4" s="16"/>
      <c r="G4" s="18"/>
      <c r="H4" s="14">
        <f t="shared" ref="H4:H23" si="1">SUM(E4:F4)</f>
        <v>3</v>
      </c>
      <c r="I4" s="15">
        <v>2</v>
      </c>
      <c r="J4" s="10">
        <v>46111</v>
      </c>
      <c r="K4" s="11" t="s">
        <v>55</v>
      </c>
      <c r="L4" s="12" t="s">
        <v>149</v>
      </c>
      <c r="M4" s="11"/>
      <c r="N4" s="11">
        <v>3</v>
      </c>
      <c r="O4" s="17" t="s">
        <v>56</v>
      </c>
      <c r="P4">
        <f t="shared" si="0"/>
        <v>3</v>
      </c>
    </row>
    <row r="5" customFormat="1" ht="22" customHeight="1" spans="1:16">
      <c r="A5" s="9">
        <v>3</v>
      </c>
      <c r="B5" s="10">
        <v>46119</v>
      </c>
      <c r="C5" s="11" t="s">
        <v>17</v>
      </c>
      <c r="D5" s="12" t="s">
        <v>149</v>
      </c>
      <c r="E5" s="11">
        <v>3</v>
      </c>
      <c r="F5" s="16"/>
      <c r="G5" s="18"/>
      <c r="H5" s="14">
        <f t="shared" si="1"/>
        <v>3</v>
      </c>
      <c r="I5" s="15">
        <v>3</v>
      </c>
      <c r="J5" s="10">
        <v>46111</v>
      </c>
      <c r="K5" s="11" t="s">
        <v>57</v>
      </c>
      <c r="L5" s="12" t="s">
        <v>149</v>
      </c>
      <c r="M5" s="11">
        <v>3</v>
      </c>
      <c r="N5" s="16"/>
      <c r="O5" s="17"/>
      <c r="P5">
        <f t="shared" si="0"/>
        <v>3</v>
      </c>
    </row>
    <row r="6" customFormat="1" ht="22" customHeight="1" spans="1:16">
      <c r="A6" s="9">
        <v>4</v>
      </c>
      <c r="B6" s="10">
        <v>46119</v>
      </c>
      <c r="C6" s="11" t="s">
        <v>18</v>
      </c>
      <c r="D6" s="12" t="s">
        <v>149</v>
      </c>
      <c r="E6" s="11">
        <v>3</v>
      </c>
      <c r="F6" s="16"/>
      <c r="G6" s="18"/>
      <c r="H6" s="14">
        <f t="shared" si="1"/>
        <v>3</v>
      </c>
      <c r="I6" s="15">
        <v>4</v>
      </c>
      <c r="J6" s="10">
        <v>46111</v>
      </c>
      <c r="K6" s="11" t="s">
        <v>59</v>
      </c>
      <c r="L6" s="12" t="s">
        <v>149</v>
      </c>
      <c r="M6" s="11">
        <v>2</v>
      </c>
      <c r="N6" s="16">
        <v>1</v>
      </c>
      <c r="O6" s="17" t="s">
        <v>61</v>
      </c>
      <c r="P6">
        <f t="shared" si="0"/>
        <v>3</v>
      </c>
    </row>
    <row r="7" customFormat="1" ht="22" customHeight="1" spans="1:16">
      <c r="A7" s="9">
        <v>5</v>
      </c>
      <c r="B7" s="10">
        <v>46119</v>
      </c>
      <c r="C7" s="11" t="s">
        <v>20</v>
      </c>
      <c r="D7" s="12" t="s">
        <v>149</v>
      </c>
      <c r="E7" s="16"/>
      <c r="F7" s="11">
        <v>3</v>
      </c>
      <c r="G7" s="18"/>
      <c r="H7" s="14">
        <f t="shared" si="1"/>
        <v>3</v>
      </c>
      <c r="I7" s="15">
        <v>5</v>
      </c>
      <c r="J7" s="10">
        <v>46111</v>
      </c>
      <c r="K7" s="11" t="s">
        <v>62</v>
      </c>
      <c r="L7" s="12" t="s">
        <v>149</v>
      </c>
      <c r="M7" s="11">
        <v>3</v>
      </c>
      <c r="N7" s="16"/>
      <c r="O7" s="17" t="s">
        <v>63</v>
      </c>
      <c r="P7">
        <f t="shared" si="0"/>
        <v>3</v>
      </c>
    </row>
    <row r="8" customFormat="1" ht="28.5" spans="1:16">
      <c r="A8" s="9">
        <v>6</v>
      </c>
      <c r="B8" s="10">
        <v>46119</v>
      </c>
      <c r="C8" s="11" t="s">
        <v>21</v>
      </c>
      <c r="D8" s="12" t="s">
        <v>149</v>
      </c>
      <c r="E8" s="11">
        <v>3</v>
      </c>
      <c r="F8" s="16"/>
      <c r="G8" s="18"/>
      <c r="H8" s="14">
        <f t="shared" si="1"/>
        <v>3</v>
      </c>
      <c r="I8" s="15">
        <v>6</v>
      </c>
      <c r="J8" s="10">
        <v>46111</v>
      </c>
      <c r="K8" s="11" t="s">
        <v>64</v>
      </c>
      <c r="L8" s="12" t="s">
        <v>149</v>
      </c>
      <c r="M8" s="11">
        <v>2</v>
      </c>
      <c r="N8" s="16">
        <v>1</v>
      </c>
      <c r="O8" s="19" t="s">
        <v>65</v>
      </c>
      <c r="P8">
        <f t="shared" si="0"/>
        <v>3</v>
      </c>
    </row>
    <row r="9" customFormat="1" ht="22" customHeight="1" spans="1:16">
      <c r="A9" s="9">
        <v>7</v>
      </c>
      <c r="B9" s="10">
        <v>46119</v>
      </c>
      <c r="C9" s="11" t="s">
        <v>22</v>
      </c>
      <c r="D9" s="12" t="s">
        <v>149</v>
      </c>
      <c r="E9" s="11">
        <v>3</v>
      </c>
      <c r="F9" s="16"/>
      <c r="G9" s="20"/>
      <c r="H9" s="14">
        <f t="shared" si="1"/>
        <v>3</v>
      </c>
      <c r="I9" s="15">
        <v>7</v>
      </c>
      <c r="J9" s="10">
        <v>46111</v>
      </c>
      <c r="K9" s="11" t="s">
        <v>66</v>
      </c>
      <c r="L9" s="12" t="s">
        <v>149</v>
      </c>
      <c r="M9" s="11">
        <v>2</v>
      </c>
      <c r="N9" s="16">
        <v>1</v>
      </c>
      <c r="O9" s="17" t="s">
        <v>67</v>
      </c>
      <c r="P9">
        <f t="shared" si="0"/>
        <v>3</v>
      </c>
    </row>
    <row r="10" customFormat="1" ht="22" customHeight="1" spans="1:16">
      <c r="A10" s="9">
        <v>8</v>
      </c>
      <c r="B10" s="10">
        <v>46119</v>
      </c>
      <c r="C10" s="11" t="s">
        <v>23</v>
      </c>
      <c r="D10" s="12" t="s">
        <v>149</v>
      </c>
      <c r="E10" s="11">
        <v>1</v>
      </c>
      <c r="F10" s="11">
        <v>2</v>
      </c>
      <c r="G10" s="20"/>
      <c r="H10" s="14">
        <f t="shared" si="1"/>
        <v>3</v>
      </c>
      <c r="I10" s="15">
        <v>8</v>
      </c>
      <c r="J10" s="10">
        <v>46111</v>
      </c>
      <c r="K10" s="11" t="s">
        <v>68</v>
      </c>
      <c r="L10" s="12" t="s">
        <v>149</v>
      </c>
      <c r="M10" s="11"/>
      <c r="N10" s="11">
        <v>3</v>
      </c>
      <c r="O10" s="17" t="s">
        <v>56</v>
      </c>
      <c r="P10">
        <f t="shared" si="0"/>
        <v>3</v>
      </c>
    </row>
    <row r="11" customFormat="1" ht="22" customHeight="1" spans="1:16">
      <c r="A11" s="9">
        <v>9</v>
      </c>
      <c r="B11" s="10">
        <v>46119</v>
      </c>
      <c r="C11" s="11" t="s">
        <v>24</v>
      </c>
      <c r="D11" s="12" t="s">
        <v>149</v>
      </c>
      <c r="E11" s="11">
        <v>3</v>
      </c>
      <c r="F11" s="16"/>
      <c r="G11" s="20"/>
      <c r="H11" s="14">
        <f t="shared" si="1"/>
        <v>3</v>
      </c>
      <c r="I11" s="15">
        <v>9</v>
      </c>
      <c r="J11" s="10">
        <v>46111</v>
      </c>
      <c r="K11" s="11" t="s">
        <v>69</v>
      </c>
      <c r="L11" s="12" t="s">
        <v>149</v>
      </c>
      <c r="M11" s="11"/>
      <c r="N11" s="11">
        <v>3</v>
      </c>
      <c r="O11" s="17" t="s">
        <v>70</v>
      </c>
      <c r="P11">
        <f t="shared" si="0"/>
        <v>3</v>
      </c>
    </row>
    <row r="12" customFormat="1" ht="22" customHeight="1" spans="1:16">
      <c r="A12" s="9">
        <v>10</v>
      </c>
      <c r="B12" s="10">
        <v>46119</v>
      </c>
      <c r="C12" s="11" t="s">
        <v>25</v>
      </c>
      <c r="D12" s="12" t="s">
        <v>149</v>
      </c>
      <c r="E12" s="16"/>
      <c r="F12" s="11">
        <v>3</v>
      </c>
      <c r="G12" s="20"/>
      <c r="H12" s="14">
        <f t="shared" si="1"/>
        <v>3</v>
      </c>
      <c r="I12" s="15">
        <v>10</v>
      </c>
      <c r="J12" s="10">
        <v>46111</v>
      </c>
      <c r="K12" s="11" t="s">
        <v>71</v>
      </c>
      <c r="L12" s="12" t="s">
        <v>149</v>
      </c>
      <c r="M12" s="11"/>
      <c r="N12" s="11">
        <v>3</v>
      </c>
      <c r="O12" s="17" t="s">
        <v>72</v>
      </c>
      <c r="P12">
        <f t="shared" si="0"/>
        <v>3</v>
      </c>
    </row>
    <row r="13" customFormat="1" ht="22" customHeight="1" spans="1:16">
      <c r="A13" s="9">
        <v>11</v>
      </c>
      <c r="B13" s="10">
        <v>46119</v>
      </c>
      <c r="C13" s="11" t="s">
        <v>26</v>
      </c>
      <c r="D13" s="12" t="s">
        <v>149</v>
      </c>
      <c r="E13" s="11">
        <v>1</v>
      </c>
      <c r="F13" s="11">
        <v>2</v>
      </c>
      <c r="G13" s="20"/>
      <c r="H13" s="14">
        <f t="shared" si="1"/>
        <v>3</v>
      </c>
      <c r="I13" s="15">
        <v>11</v>
      </c>
      <c r="J13" s="10">
        <v>46111</v>
      </c>
      <c r="K13" s="11" t="s">
        <v>73</v>
      </c>
      <c r="L13" s="12" t="s">
        <v>149</v>
      </c>
      <c r="M13" s="11"/>
      <c r="N13" s="11">
        <v>3</v>
      </c>
      <c r="O13" s="17" t="s">
        <v>74</v>
      </c>
      <c r="P13">
        <f t="shared" si="0"/>
        <v>3</v>
      </c>
    </row>
    <row r="14" customFormat="1" ht="22" customHeight="1" spans="1:16">
      <c r="A14" s="9">
        <v>12</v>
      </c>
      <c r="B14" s="10">
        <v>46119</v>
      </c>
      <c r="C14" s="21" t="s">
        <v>27</v>
      </c>
      <c r="D14" s="12" t="s">
        <v>149</v>
      </c>
      <c r="E14" s="21">
        <v>3</v>
      </c>
      <c r="F14" s="22"/>
      <c r="G14" s="20"/>
      <c r="H14" s="14">
        <f t="shared" si="1"/>
        <v>3</v>
      </c>
      <c r="I14" s="15">
        <v>12</v>
      </c>
      <c r="J14" s="10">
        <v>46111</v>
      </c>
      <c r="K14" s="11" t="s">
        <v>75</v>
      </c>
      <c r="L14" s="12" t="s">
        <v>149</v>
      </c>
      <c r="M14" s="11">
        <v>2</v>
      </c>
      <c r="N14" s="16">
        <v>1</v>
      </c>
      <c r="O14" s="17" t="s">
        <v>76</v>
      </c>
      <c r="P14">
        <f t="shared" si="0"/>
        <v>3</v>
      </c>
    </row>
    <row r="15" customFormat="1" ht="22" customHeight="1" spans="1:16">
      <c r="A15" s="9">
        <v>13</v>
      </c>
      <c r="B15" s="10">
        <v>46119</v>
      </c>
      <c r="C15" s="23" t="s">
        <v>28</v>
      </c>
      <c r="D15" s="12" t="s">
        <v>149</v>
      </c>
      <c r="E15" s="24"/>
      <c r="F15" s="21">
        <v>3</v>
      </c>
      <c r="G15" s="25"/>
      <c r="H15" s="14">
        <f t="shared" si="1"/>
        <v>3</v>
      </c>
      <c r="I15" s="15">
        <v>13</v>
      </c>
      <c r="J15" s="10">
        <v>46111</v>
      </c>
      <c r="K15" s="11" t="s">
        <v>77</v>
      </c>
      <c r="L15" s="12" t="s">
        <v>149</v>
      </c>
      <c r="M15" s="11">
        <v>3</v>
      </c>
      <c r="N15" s="16"/>
      <c r="O15" s="17"/>
      <c r="P15">
        <f t="shared" si="0"/>
        <v>3</v>
      </c>
    </row>
    <row r="16" customFormat="1" ht="22" customHeight="1" spans="1:16">
      <c r="A16" s="9">
        <v>14</v>
      </c>
      <c r="B16" s="10">
        <v>46119</v>
      </c>
      <c r="C16" s="23" t="s">
        <v>29</v>
      </c>
      <c r="D16" s="12" t="s">
        <v>149</v>
      </c>
      <c r="E16" s="26"/>
      <c r="F16" s="21">
        <v>3</v>
      </c>
      <c r="G16" s="25"/>
      <c r="H16" s="14">
        <f t="shared" si="1"/>
        <v>3</v>
      </c>
      <c r="I16" s="15">
        <v>14</v>
      </c>
      <c r="J16" s="10">
        <v>46111</v>
      </c>
      <c r="K16" s="11" t="s">
        <v>78</v>
      </c>
      <c r="L16" s="12" t="s">
        <v>149</v>
      </c>
      <c r="M16" s="11">
        <v>2</v>
      </c>
      <c r="N16" s="16">
        <v>1</v>
      </c>
      <c r="O16" s="17" t="s">
        <v>79</v>
      </c>
      <c r="P16">
        <f t="shared" si="0"/>
        <v>3</v>
      </c>
    </row>
    <row r="17" customFormat="1" ht="22" customHeight="1" spans="1:16">
      <c r="A17" s="9">
        <v>15</v>
      </c>
      <c r="B17" s="10">
        <v>46119</v>
      </c>
      <c r="C17" s="23" t="s">
        <v>30</v>
      </c>
      <c r="D17" s="12" t="s">
        <v>149</v>
      </c>
      <c r="E17" s="21">
        <v>1</v>
      </c>
      <c r="F17" s="21">
        <v>2</v>
      </c>
      <c r="G17" s="25"/>
      <c r="H17" s="14">
        <f t="shared" si="1"/>
        <v>3</v>
      </c>
      <c r="I17" s="15">
        <v>15</v>
      </c>
      <c r="J17" s="10">
        <v>46111</v>
      </c>
      <c r="K17" s="11" t="s">
        <v>80</v>
      </c>
      <c r="L17" s="12" t="s">
        <v>149</v>
      </c>
      <c r="M17" s="21">
        <v>3</v>
      </c>
      <c r="N17" s="22"/>
      <c r="O17" s="17" t="s">
        <v>81</v>
      </c>
      <c r="P17">
        <f t="shared" si="0"/>
        <v>3</v>
      </c>
    </row>
    <row r="18" customFormat="1" ht="22" customHeight="1" spans="1:16">
      <c r="A18" s="9">
        <v>16</v>
      </c>
      <c r="B18" s="10">
        <v>46119</v>
      </c>
      <c r="C18" s="23" t="s">
        <v>31</v>
      </c>
      <c r="D18" s="12" t="s">
        <v>149</v>
      </c>
      <c r="E18" s="21">
        <v>1</v>
      </c>
      <c r="F18" s="21">
        <v>2</v>
      </c>
      <c r="G18" s="25"/>
      <c r="H18" s="14">
        <f t="shared" si="1"/>
        <v>3</v>
      </c>
      <c r="I18" s="15">
        <v>16</v>
      </c>
      <c r="J18" s="10">
        <v>46111</v>
      </c>
      <c r="K18" s="11" t="s">
        <v>82</v>
      </c>
      <c r="L18" s="12" t="s">
        <v>149</v>
      </c>
      <c r="M18" s="11"/>
      <c r="N18" s="11">
        <v>3</v>
      </c>
      <c r="O18" s="17" t="s">
        <v>83</v>
      </c>
      <c r="P18">
        <f t="shared" si="0"/>
        <v>3</v>
      </c>
    </row>
    <row r="19" customFormat="1" ht="22" customHeight="1" spans="1:16">
      <c r="A19" s="9">
        <v>17</v>
      </c>
      <c r="B19" s="10">
        <v>46119</v>
      </c>
      <c r="C19" s="23" t="s">
        <v>32</v>
      </c>
      <c r="D19" s="12" t="s">
        <v>149</v>
      </c>
      <c r="E19" s="21">
        <v>3</v>
      </c>
      <c r="F19" s="26"/>
      <c r="G19" s="25"/>
      <c r="H19" s="14">
        <f t="shared" si="1"/>
        <v>3</v>
      </c>
      <c r="I19" s="15">
        <v>17</v>
      </c>
      <c r="J19" s="10">
        <v>46111</v>
      </c>
      <c r="K19" s="11" t="s">
        <v>84</v>
      </c>
      <c r="L19" s="12" t="s">
        <v>149</v>
      </c>
      <c r="M19" s="11"/>
      <c r="N19" s="11">
        <v>3</v>
      </c>
      <c r="O19" s="17" t="s">
        <v>83</v>
      </c>
      <c r="P19">
        <f t="shared" si="0"/>
        <v>3</v>
      </c>
    </row>
    <row r="20" customFormat="1" ht="22" customHeight="1" spans="1:16">
      <c r="A20" s="9">
        <v>18</v>
      </c>
      <c r="B20" s="10">
        <v>46119</v>
      </c>
      <c r="C20" s="23" t="s">
        <v>33</v>
      </c>
      <c r="D20" s="12" t="s">
        <v>149</v>
      </c>
      <c r="E20" s="21">
        <v>3</v>
      </c>
      <c r="F20" s="26"/>
      <c r="G20" s="25"/>
      <c r="H20" s="14">
        <f t="shared" si="1"/>
        <v>3</v>
      </c>
      <c r="I20" s="15">
        <v>18</v>
      </c>
      <c r="J20" s="10">
        <v>46111</v>
      </c>
      <c r="K20" s="11" t="s">
        <v>85</v>
      </c>
      <c r="L20" s="12" t="s">
        <v>149</v>
      </c>
      <c r="M20" s="11">
        <v>3</v>
      </c>
      <c r="N20" s="16"/>
      <c r="O20" s="17"/>
      <c r="P20">
        <f t="shared" si="0"/>
        <v>3</v>
      </c>
    </row>
    <row r="21" customFormat="1" ht="22" customHeight="1" spans="1:16">
      <c r="A21" s="9">
        <v>19</v>
      </c>
      <c r="B21" s="10">
        <v>46119</v>
      </c>
      <c r="C21" s="27" t="s">
        <v>34</v>
      </c>
      <c r="D21" s="12" t="s">
        <v>149</v>
      </c>
      <c r="E21" s="21">
        <v>3</v>
      </c>
      <c r="F21" s="26"/>
      <c r="G21" s="25"/>
      <c r="H21" s="14">
        <f t="shared" si="1"/>
        <v>3</v>
      </c>
      <c r="I21" s="15">
        <v>19</v>
      </c>
      <c r="J21" s="10">
        <v>46111</v>
      </c>
      <c r="K21" s="11" t="s">
        <v>87</v>
      </c>
      <c r="L21" s="12" t="s">
        <v>149</v>
      </c>
      <c r="M21" s="11"/>
      <c r="N21" s="11">
        <v>3</v>
      </c>
      <c r="O21" s="17" t="s">
        <v>88</v>
      </c>
      <c r="P21">
        <f t="shared" si="0"/>
        <v>3</v>
      </c>
    </row>
    <row r="22" customFormat="1" ht="22" customHeight="1" spans="1:16">
      <c r="A22" s="9">
        <v>20</v>
      </c>
      <c r="B22" s="10">
        <v>46119</v>
      </c>
      <c r="C22" s="23" t="s">
        <v>35</v>
      </c>
      <c r="D22" s="12" t="s">
        <v>149</v>
      </c>
      <c r="E22" s="21">
        <v>1</v>
      </c>
      <c r="F22" s="21">
        <v>2</v>
      </c>
      <c r="G22" s="25"/>
      <c r="H22" s="14">
        <f t="shared" si="1"/>
        <v>3</v>
      </c>
      <c r="I22" s="15">
        <v>20</v>
      </c>
      <c r="J22" s="10">
        <v>46111</v>
      </c>
      <c r="K22" s="11" t="s">
        <v>89</v>
      </c>
      <c r="L22" s="12" t="s">
        <v>149</v>
      </c>
      <c r="M22" s="11"/>
      <c r="N22" s="11">
        <v>3</v>
      </c>
      <c r="O22" s="17" t="s">
        <v>74</v>
      </c>
      <c r="P22">
        <f t="shared" si="0"/>
        <v>3</v>
      </c>
    </row>
    <row r="23" customFormat="1" ht="22" customHeight="1" spans="1:16">
      <c r="A23" s="9">
        <v>21</v>
      </c>
      <c r="B23" s="10">
        <v>46119</v>
      </c>
      <c r="C23" s="23" t="s">
        <v>36</v>
      </c>
      <c r="D23" s="12" t="s">
        <v>149</v>
      </c>
      <c r="E23" s="26"/>
      <c r="F23" s="28">
        <v>9</v>
      </c>
      <c r="G23" s="25" t="s">
        <v>156</v>
      </c>
      <c r="H23" s="14">
        <f t="shared" si="1"/>
        <v>9</v>
      </c>
      <c r="I23" s="15">
        <v>21</v>
      </c>
      <c r="J23" s="10">
        <v>46111</v>
      </c>
      <c r="K23" s="11" t="s">
        <v>90</v>
      </c>
      <c r="L23" s="12" t="s">
        <v>149</v>
      </c>
      <c r="M23" s="11">
        <v>3</v>
      </c>
      <c r="N23" s="16"/>
      <c r="O23" s="17"/>
      <c r="P23">
        <f t="shared" si="0"/>
        <v>3</v>
      </c>
    </row>
    <row r="24" customFormat="1" ht="22" customHeight="1" spans="1:16">
      <c r="A24" s="9"/>
      <c r="B24" s="10"/>
      <c r="C24" s="23"/>
      <c r="D24" s="12"/>
      <c r="E24" s="24"/>
      <c r="F24" s="21"/>
      <c r="G24" s="12"/>
      <c r="H24" s="14"/>
      <c r="I24" s="15">
        <v>22</v>
      </c>
      <c r="J24" s="10">
        <v>46111</v>
      </c>
      <c r="K24" s="11" t="s">
        <v>91</v>
      </c>
      <c r="L24" s="12" t="s">
        <v>149</v>
      </c>
      <c r="M24" s="11">
        <v>3</v>
      </c>
      <c r="N24" s="16"/>
      <c r="O24" s="17"/>
      <c r="P24">
        <f t="shared" si="0"/>
        <v>3</v>
      </c>
    </row>
    <row r="25" customFormat="1" ht="22" customHeight="1" spans="1:16">
      <c r="A25" s="9"/>
      <c r="B25" s="10"/>
      <c r="C25" s="23"/>
      <c r="D25" s="12"/>
      <c r="E25" s="26"/>
      <c r="F25" s="21"/>
      <c r="G25" s="12"/>
      <c r="H25" s="14"/>
      <c r="I25" s="15">
        <v>23</v>
      </c>
      <c r="J25" s="10">
        <v>46111</v>
      </c>
      <c r="K25" s="11" t="s">
        <v>92</v>
      </c>
      <c r="L25" s="12" t="s">
        <v>149</v>
      </c>
      <c r="M25" s="11">
        <v>3</v>
      </c>
      <c r="N25" s="16"/>
      <c r="O25" s="17" t="s">
        <v>93</v>
      </c>
      <c r="P25">
        <f t="shared" si="0"/>
        <v>3</v>
      </c>
    </row>
    <row r="26" customFormat="1" ht="22" customHeight="1" spans="1:16">
      <c r="A26" s="9"/>
      <c r="B26" s="10"/>
      <c r="C26" s="23"/>
      <c r="D26" s="12"/>
      <c r="E26" s="21"/>
      <c r="F26" s="21"/>
      <c r="G26" s="12"/>
      <c r="H26" s="14"/>
      <c r="I26" s="15">
        <v>24</v>
      </c>
      <c r="J26" s="10">
        <v>46111</v>
      </c>
      <c r="K26" s="11" t="s">
        <v>94</v>
      </c>
      <c r="L26" s="12" t="s">
        <v>149</v>
      </c>
      <c r="M26" s="11">
        <v>2</v>
      </c>
      <c r="N26" s="16">
        <v>1</v>
      </c>
      <c r="O26" s="17" t="s">
        <v>95</v>
      </c>
      <c r="P26">
        <f t="shared" si="0"/>
        <v>3</v>
      </c>
    </row>
    <row r="27" customFormat="1" ht="22" customHeight="1" spans="1:16">
      <c r="A27" s="9"/>
      <c r="B27" s="10"/>
      <c r="C27" s="23"/>
      <c r="D27" s="12"/>
      <c r="E27" s="21"/>
      <c r="F27" s="21"/>
      <c r="G27" s="12"/>
      <c r="H27" s="14"/>
      <c r="I27" s="15">
        <v>25</v>
      </c>
      <c r="J27" s="10">
        <v>46111</v>
      </c>
      <c r="K27" s="11" t="s">
        <v>96</v>
      </c>
      <c r="L27" s="12" t="s">
        <v>149</v>
      </c>
      <c r="M27" s="11">
        <v>2</v>
      </c>
      <c r="N27" s="16">
        <v>1</v>
      </c>
      <c r="O27" s="17" t="s">
        <v>95</v>
      </c>
      <c r="P27">
        <f t="shared" si="0"/>
        <v>3</v>
      </c>
    </row>
    <row r="28" customFormat="1" ht="22" customHeight="1" spans="1:16">
      <c r="A28" s="9"/>
      <c r="B28" s="10"/>
      <c r="C28" s="23"/>
      <c r="D28" s="12"/>
      <c r="E28" s="21"/>
      <c r="F28" s="26"/>
      <c r="G28" s="12"/>
      <c r="H28" s="14"/>
      <c r="I28" s="15">
        <v>26</v>
      </c>
      <c r="J28" s="10">
        <v>46111</v>
      </c>
      <c r="K28" s="11" t="s">
        <v>97</v>
      </c>
      <c r="L28" s="12" t="s">
        <v>149</v>
      </c>
      <c r="M28" s="11"/>
      <c r="N28" s="11">
        <v>3</v>
      </c>
      <c r="O28" s="17" t="s">
        <v>98</v>
      </c>
      <c r="P28">
        <f t="shared" si="0"/>
        <v>3</v>
      </c>
    </row>
    <row r="29" customFormat="1" ht="22" customHeight="1" spans="1:16">
      <c r="A29" s="9"/>
      <c r="B29" s="10"/>
      <c r="C29" s="23"/>
      <c r="D29" s="12"/>
      <c r="E29" s="21"/>
      <c r="F29" s="26"/>
      <c r="G29" s="12"/>
      <c r="H29" s="14"/>
      <c r="I29" s="15">
        <v>27</v>
      </c>
      <c r="J29" s="10">
        <v>46111</v>
      </c>
      <c r="K29" s="11" t="s">
        <v>99</v>
      </c>
      <c r="L29" s="12" t="s">
        <v>149</v>
      </c>
      <c r="M29" s="11">
        <v>3</v>
      </c>
      <c r="N29" s="16"/>
      <c r="O29" s="17"/>
      <c r="P29">
        <f t="shared" si="0"/>
        <v>3</v>
      </c>
    </row>
    <row r="30" customFormat="1" ht="22" customHeight="1" spans="1:16">
      <c r="A30" s="9"/>
      <c r="B30" s="10"/>
      <c r="C30" s="27"/>
      <c r="D30" s="12"/>
      <c r="E30" s="21"/>
      <c r="F30" s="26"/>
      <c r="G30" s="12"/>
      <c r="H30" s="14"/>
      <c r="I30" s="15">
        <v>28</v>
      </c>
      <c r="J30" s="10">
        <v>46111</v>
      </c>
      <c r="K30" s="11" t="s">
        <v>101</v>
      </c>
      <c r="L30" s="12" t="s">
        <v>149</v>
      </c>
      <c r="M30" s="11">
        <v>3</v>
      </c>
      <c r="N30" s="16"/>
      <c r="O30" s="17"/>
      <c r="P30">
        <f t="shared" si="0"/>
        <v>3</v>
      </c>
    </row>
    <row r="31" customFormat="1" ht="22" customHeight="1" spans="1:16">
      <c r="A31" s="9"/>
      <c r="B31" s="10"/>
      <c r="C31" s="23"/>
      <c r="D31" s="12"/>
      <c r="E31" s="21"/>
      <c r="F31" s="21"/>
      <c r="G31" s="12"/>
      <c r="H31" s="14"/>
      <c r="I31" s="15">
        <v>29</v>
      </c>
      <c r="J31" s="10">
        <v>46111</v>
      </c>
      <c r="K31" s="11" t="s">
        <v>103</v>
      </c>
      <c r="L31" s="12" t="s">
        <v>149</v>
      </c>
      <c r="M31" s="11">
        <v>3</v>
      </c>
      <c r="N31" s="11"/>
      <c r="O31" s="35"/>
      <c r="P31">
        <f t="shared" si="0"/>
        <v>3</v>
      </c>
    </row>
    <row r="32" customFormat="1" ht="22" customHeight="1" spans="1:16">
      <c r="A32" s="9"/>
      <c r="B32" s="10"/>
      <c r="C32" s="23"/>
      <c r="D32" s="12"/>
      <c r="E32" s="21"/>
      <c r="F32" s="21"/>
      <c r="G32" s="25"/>
      <c r="H32" s="14"/>
      <c r="I32" s="15">
        <v>30</v>
      </c>
      <c r="J32" s="10">
        <v>46111</v>
      </c>
      <c r="K32" s="11" t="s">
        <v>105</v>
      </c>
      <c r="L32" s="12" t="s">
        <v>149</v>
      </c>
      <c r="M32" s="11">
        <v>3</v>
      </c>
      <c r="N32" s="11"/>
      <c r="O32" s="17"/>
      <c r="P32">
        <f t="shared" si="0"/>
        <v>3</v>
      </c>
    </row>
    <row r="33" customFormat="1" ht="22" customHeight="1" spans="5:16">
      <c r="E33" s="14">
        <f>SUM(E3:E32)</f>
        <v>36</v>
      </c>
      <c r="F33" s="14">
        <f>SUM(F3:F32)</f>
        <v>33</v>
      </c>
      <c r="H33" s="14"/>
      <c r="I33" s="44">
        <v>31</v>
      </c>
      <c r="J33" s="10">
        <v>46107</v>
      </c>
      <c r="K33" s="42" t="s">
        <v>106</v>
      </c>
      <c r="L33" s="12" t="s">
        <v>149</v>
      </c>
      <c r="M33" s="39"/>
      <c r="N33" s="11">
        <v>3</v>
      </c>
      <c r="O33" s="40" t="s">
        <v>74</v>
      </c>
      <c r="P33">
        <f t="shared" si="0"/>
        <v>3</v>
      </c>
    </row>
    <row r="34" customFormat="1" ht="22" customHeight="1" spans="5:16">
      <c r="I34" s="44">
        <v>32</v>
      </c>
      <c r="J34" s="10">
        <v>46107</v>
      </c>
      <c r="K34" s="42" t="s">
        <v>107</v>
      </c>
      <c r="L34" s="12" t="s">
        <v>149</v>
      </c>
      <c r="M34" s="11">
        <v>2</v>
      </c>
      <c r="N34" s="16">
        <v>1</v>
      </c>
      <c r="O34" s="40" t="s">
        <v>108</v>
      </c>
      <c r="P34">
        <f t="shared" si="0"/>
        <v>3</v>
      </c>
    </row>
    <row r="35" customFormat="1" ht="22" customHeight="1" spans="5:16">
      <c r="I35" s="44">
        <v>33</v>
      </c>
      <c r="J35" s="10">
        <v>46107</v>
      </c>
      <c r="K35" s="42" t="s">
        <v>109</v>
      </c>
      <c r="L35" s="12" t="s">
        <v>149</v>
      </c>
      <c r="M35" s="39"/>
      <c r="N35" s="11">
        <v>3</v>
      </c>
      <c r="O35" s="40" t="s">
        <v>98</v>
      </c>
      <c r="P35">
        <f t="shared" si="0"/>
        <v>3</v>
      </c>
    </row>
    <row r="36" ht="22" customHeight="1" spans="5:16">
      <c r="I36" s="44">
        <v>34</v>
      </c>
      <c r="J36" s="10">
        <v>46107</v>
      </c>
      <c r="K36" s="42" t="s">
        <v>110</v>
      </c>
      <c r="L36" s="12" t="s">
        <v>149</v>
      </c>
      <c r="M36" s="39"/>
      <c r="N36" s="11">
        <v>3</v>
      </c>
      <c r="O36" s="40" t="s">
        <v>98</v>
      </c>
      <c r="P36">
        <f t="shared" si="0"/>
        <v>3</v>
      </c>
    </row>
    <row r="37" ht="22" customHeight="1" spans="5:16">
      <c r="I37" s="44">
        <v>35</v>
      </c>
      <c r="J37" s="10">
        <v>46107</v>
      </c>
      <c r="K37" s="42" t="s">
        <v>111</v>
      </c>
      <c r="L37" s="12" t="s">
        <v>149</v>
      </c>
      <c r="M37" s="11">
        <v>3</v>
      </c>
      <c r="N37" s="40"/>
      <c r="O37" s="40"/>
      <c r="P37">
        <f t="shared" si="0"/>
        <v>3</v>
      </c>
    </row>
    <row r="38" ht="22" customHeight="1" spans="5:16">
      <c r="I38" s="44">
        <v>36</v>
      </c>
      <c r="J38" s="10">
        <v>46107</v>
      </c>
      <c r="K38" s="42" t="s">
        <v>112</v>
      </c>
      <c r="L38" s="12" t="s">
        <v>149</v>
      </c>
      <c r="M38" s="11">
        <v>3</v>
      </c>
      <c r="N38" s="40"/>
      <c r="O38" s="40"/>
      <c r="P38">
        <f t="shared" si="0"/>
        <v>3</v>
      </c>
    </row>
    <row r="39" ht="18.75" spans="5:16">
      <c r="I39" s="44">
        <v>37</v>
      </c>
      <c r="J39" s="10">
        <v>46107</v>
      </c>
      <c r="K39" s="43" t="s">
        <v>114</v>
      </c>
      <c r="L39" s="12" t="s">
        <v>149</v>
      </c>
      <c r="M39" s="11">
        <v>3</v>
      </c>
      <c r="N39" s="41"/>
      <c r="O39" s="44"/>
      <c r="P39">
        <f t="shared" si="0"/>
        <v>3</v>
      </c>
    </row>
    <row r="40" ht="18.75" spans="5:16">
      <c r="I40" s="44">
        <v>38</v>
      </c>
      <c r="J40" s="10">
        <v>46107</v>
      </c>
      <c r="K40" s="43" t="s">
        <v>117</v>
      </c>
      <c r="L40" s="12" t="s">
        <v>149</v>
      </c>
      <c r="M40" s="11">
        <v>2</v>
      </c>
      <c r="N40" s="16">
        <v>1</v>
      </c>
      <c r="O40" s="40" t="s">
        <v>108</v>
      </c>
      <c r="P40">
        <f t="shared" si="0"/>
        <v>3</v>
      </c>
    </row>
    <row r="41" ht="18.75" spans="5:16">
      <c r="I41" s="44">
        <v>39</v>
      </c>
      <c r="J41" s="10">
        <v>46107</v>
      </c>
      <c r="K41" s="43" t="s">
        <v>121</v>
      </c>
      <c r="L41" s="12" t="s">
        <v>149</v>
      </c>
      <c r="M41" s="11">
        <v>2</v>
      </c>
      <c r="N41" s="16">
        <v>1</v>
      </c>
      <c r="O41" s="40" t="s">
        <v>108</v>
      </c>
      <c r="P41">
        <f t="shared" si="0"/>
        <v>3</v>
      </c>
    </row>
    <row r="42" ht="18.75" spans="5:16">
      <c r="I42" s="44">
        <v>40</v>
      </c>
      <c r="J42" s="10">
        <v>46107</v>
      </c>
      <c r="K42" s="43" t="s">
        <v>125</v>
      </c>
      <c r="L42" s="12" t="s">
        <v>149</v>
      </c>
      <c r="M42" s="11">
        <v>3</v>
      </c>
      <c r="N42" s="41"/>
      <c r="O42" s="45"/>
      <c r="P42">
        <f t="shared" si="0"/>
        <v>3</v>
      </c>
    </row>
    <row r="43" ht="18.75" spans="5:16">
      <c r="I43" s="44">
        <v>41</v>
      </c>
      <c r="J43" s="10">
        <v>46107</v>
      </c>
      <c r="K43" s="46" t="s">
        <v>127</v>
      </c>
      <c r="L43" s="12" t="s">
        <v>149</v>
      </c>
      <c r="M43" s="11">
        <v>3</v>
      </c>
      <c r="N43" s="41"/>
      <c r="O43" s="44"/>
      <c r="P43">
        <f t="shared" si="0"/>
        <v>3</v>
      </c>
    </row>
    <row r="44" customFormat="1" ht="18.75" spans="5:16">
      <c r="I44" s="44">
        <v>42</v>
      </c>
      <c r="J44" s="10">
        <v>46107</v>
      </c>
      <c r="K44" s="47" t="s">
        <v>129</v>
      </c>
      <c r="L44" s="12" t="s">
        <v>149</v>
      </c>
      <c r="M44" s="11">
        <v>3</v>
      </c>
      <c r="N44" s="41"/>
      <c r="O44" s="44"/>
      <c r="P44">
        <f t="shared" si="0"/>
        <v>3</v>
      </c>
    </row>
    <row r="45" ht="18.75" spans="5:16">
      <c r="I45" s="44">
        <v>42</v>
      </c>
      <c r="J45" s="10">
        <v>46107</v>
      </c>
      <c r="K45" s="47" t="s">
        <v>129</v>
      </c>
      <c r="L45" s="12" t="s">
        <v>149</v>
      </c>
      <c r="M45" s="11">
        <v>3</v>
      </c>
      <c r="N45" s="41"/>
      <c r="O45" s="44" t="s">
        <v>157</v>
      </c>
      <c r="P45">
        <f t="shared" si="0"/>
        <v>3</v>
      </c>
    </row>
    <row r="46" ht="21" customHeight="1" spans="5:16">
      <c r="M46" s="29">
        <f>SUM(M3:M45)</f>
        <v>80</v>
      </c>
      <c r="N46" s="29">
        <f>SUM(N3:N45)</f>
        <v>49</v>
      </c>
      <c r="P46">
        <f t="shared" si="0"/>
        <v>129</v>
      </c>
    </row>
    <row r="50" ht="14.25" spans="7:9">
      <c r="G50" s="7" t="s">
        <v>147</v>
      </c>
      <c r="H50" s="7" t="s">
        <v>148</v>
      </c>
    </row>
    <row r="51" spans="7:9">
      <c r="G51">
        <f>E33+M46</f>
        <v>116</v>
      </c>
      <c r="H51">
        <f>F33+N46</f>
        <v>82</v>
      </c>
      <c r="I51">
        <f>SUM(G51:H51)</f>
        <v>198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3"/>
  <sheetViews>
    <sheetView workbookViewId="0">
      <pane ySplit="2" topLeftCell="A30" activePane="bottomLeft" state="frozen"/>
      <selection/>
      <selection pane="bottomLeft" activeCell="L23" sqref="L23"/>
    </sheetView>
  </sheetViews>
  <sheetFormatPr defaultColWidth="9.14285714285714" defaultRowHeight="12"/>
  <cols>
    <col min="1" max="1" width="7.85714285714286" customWidth="1"/>
    <col min="2" max="2" width="14.4285714285714" customWidth="1"/>
    <col min="3" max="3" width="15" customWidth="1"/>
    <col min="4" max="4" width="12.1428571428571" customWidth="1"/>
    <col min="5" max="5" width="9.85714285714286" customWidth="1"/>
    <col min="6" max="6" width="10" customWidth="1"/>
    <col min="7" max="7" width="19.5714285714286" customWidth="1"/>
    <col min="9" max="9" width="8.57142857142857" customWidth="1"/>
    <col min="10" max="10" width="11" customWidth="1"/>
    <col min="11" max="11" width="11.4285714285714" customWidth="1"/>
    <col min="12" max="12" width="12.1428571428571" customWidth="1"/>
    <col min="13" max="14" width="10" customWidth="1"/>
    <col min="15" max="15" width="27.1428571428571" customWidth="1"/>
    <col min="16" max="16" width="3.85714285714286" customWidth="1"/>
  </cols>
  <sheetData>
    <row r="1" customFormat="1" ht="38" customHeight="1" spans="1:23">
      <c r="A1" s="2" t="s">
        <v>144</v>
      </c>
      <c r="B1" s="2"/>
      <c r="C1" s="2"/>
      <c r="D1" s="2"/>
      <c r="E1" s="2"/>
      <c r="F1" s="3"/>
      <c r="G1" s="4"/>
      <c r="I1" s="2" t="s">
        <v>145</v>
      </c>
      <c r="J1" s="2"/>
      <c r="K1" s="2"/>
      <c r="L1" s="2"/>
      <c r="M1" s="2"/>
      <c r="N1" s="3"/>
      <c r="O1" s="4"/>
    </row>
    <row r="2" s="1" customFormat="1" ht="32" customHeight="1" spans="1:23">
      <c r="A2" s="5" t="s">
        <v>2</v>
      </c>
      <c r="B2" s="5" t="s">
        <v>136</v>
      </c>
      <c r="C2" s="5" t="s">
        <v>3</v>
      </c>
      <c r="D2" s="6" t="s">
        <v>146</v>
      </c>
      <c r="E2" s="7" t="s">
        <v>147</v>
      </c>
      <c r="F2" s="7" t="s">
        <v>148</v>
      </c>
      <c r="G2" s="7" t="s">
        <v>7</v>
      </c>
      <c r="I2" s="7" t="s">
        <v>2</v>
      </c>
      <c r="J2" s="8" t="s">
        <v>136</v>
      </c>
      <c r="K2" s="5" t="s">
        <v>3</v>
      </c>
      <c r="L2" s="6" t="s">
        <v>146</v>
      </c>
      <c r="M2" s="7" t="s">
        <v>147</v>
      </c>
      <c r="N2" s="7" t="s">
        <v>148</v>
      </c>
      <c r="O2" s="7" t="s">
        <v>7</v>
      </c>
    </row>
    <row r="3" customFormat="1" ht="22" customHeight="1" spans="1:23">
      <c r="A3" s="9">
        <v>1</v>
      </c>
      <c r="B3" s="10">
        <v>46121</v>
      </c>
      <c r="C3" s="11" t="s">
        <v>13</v>
      </c>
      <c r="D3" s="12" t="s">
        <v>152</v>
      </c>
      <c r="E3" s="11">
        <v>1</v>
      </c>
      <c r="F3" s="11">
        <v>1</v>
      </c>
      <c r="G3" s="13"/>
      <c r="H3" s="14"/>
      <c r="I3" s="15">
        <v>1</v>
      </c>
      <c r="J3" s="10">
        <v>46121</v>
      </c>
      <c r="K3" s="11" t="s">
        <v>50</v>
      </c>
      <c r="L3" s="12" t="s">
        <v>152</v>
      </c>
      <c r="M3" s="11">
        <v>2</v>
      </c>
      <c r="N3" s="16"/>
      <c r="O3" s="17"/>
      <c r="P3">
        <f t="shared" ref="P3:P46" si="0">SUM(M3:N3)</f>
        <v>2</v>
      </c>
    </row>
    <row r="4" customFormat="1" ht="22" customHeight="1" spans="1:23">
      <c r="A4" s="9">
        <v>2</v>
      </c>
      <c r="B4" s="10">
        <v>46121</v>
      </c>
      <c r="C4" s="11" t="s">
        <v>16</v>
      </c>
      <c r="D4" s="12" t="s">
        <v>152</v>
      </c>
      <c r="E4" s="11">
        <v>2</v>
      </c>
      <c r="F4" s="16"/>
      <c r="G4" s="18"/>
      <c r="H4" s="14"/>
      <c r="I4" s="15">
        <v>2</v>
      </c>
      <c r="J4" s="10">
        <v>46121</v>
      </c>
      <c r="K4" s="11" t="s">
        <v>55</v>
      </c>
      <c r="L4" s="12" t="s">
        <v>152</v>
      </c>
      <c r="M4" s="11"/>
      <c r="N4" s="11">
        <v>2</v>
      </c>
      <c r="O4" s="17" t="s">
        <v>56</v>
      </c>
      <c r="P4">
        <f t="shared" si="0"/>
        <v>2</v>
      </c>
    </row>
    <row r="5" customFormat="1" ht="22" customHeight="1" spans="1:23">
      <c r="A5" s="9">
        <v>3</v>
      </c>
      <c r="B5" s="10">
        <v>46121</v>
      </c>
      <c r="C5" s="11" t="s">
        <v>17</v>
      </c>
      <c r="D5" s="12" t="s">
        <v>152</v>
      </c>
      <c r="E5" s="11">
        <v>2</v>
      </c>
      <c r="F5" s="16"/>
      <c r="G5" s="18"/>
      <c r="H5" s="14"/>
      <c r="I5" s="15">
        <v>3</v>
      </c>
      <c r="J5" s="10">
        <v>46121</v>
      </c>
      <c r="K5" s="11" t="s">
        <v>57</v>
      </c>
      <c r="L5" s="12" t="s">
        <v>152</v>
      </c>
      <c r="M5" s="11">
        <v>2</v>
      </c>
      <c r="N5" s="16"/>
      <c r="O5" s="17"/>
      <c r="P5">
        <f t="shared" si="0"/>
        <v>2</v>
      </c>
    </row>
    <row r="6" customFormat="1" ht="22" customHeight="1" spans="1:23">
      <c r="A6" s="9">
        <v>4</v>
      </c>
      <c r="B6" s="10">
        <v>46121</v>
      </c>
      <c r="C6" s="11" t="s">
        <v>18</v>
      </c>
      <c r="D6" s="12" t="s">
        <v>152</v>
      </c>
      <c r="E6" s="11">
        <v>2</v>
      </c>
      <c r="F6" s="16"/>
      <c r="G6" s="18"/>
      <c r="H6" s="14"/>
      <c r="I6" s="15">
        <v>4</v>
      </c>
      <c r="J6" s="10">
        <v>46121</v>
      </c>
      <c r="K6" s="11" t="s">
        <v>59</v>
      </c>
      <c r="L6" s="12" t="s">
        <v>152</v>
      </c>
      <c r="M6" s="11">
        <v>1</v>
      </c>
      <c r="N6" s="16">
        <v>1</v>
      </c>
      <c r="O6" s="17" t="s">
        <v>61</v>
      </c>
      <c r="P6">
        <f t="shared" si="0"/>
        <v>2</v>
      </c>
    </row>
    <row r="7" customFormat="1" ht="22" customHeight="1" spans="1:23">
      <c r="A7" s="9">
        <v>5</v>
      </c>
      <c r="B7" s="10">
        <v>46121</v>
      </c>
      <c r="C7" s="11" t="s">
        <v>20</v>
      </c>
      <c r="D7" s="12" t="s">
        <v>152</v>
      </c>
      <c r="E7" s="16"/>
      <c r="F7" s="11">
        <v>2</v>
      </c>
      <c r="G7" s="18"/>
      <c r="H7" s="14"/>
      <c r="I7" s="15">
        <v>5</v>
      </c>
      <c r="J7" s="10">
        <v>46121</v>
      </c>
      <c r="K7" s="11" t="s">
        <v>62</v>
      </c>
      <c r="L7" s="12" t="s">
        <v>152</v>
      </c>
      <c r="M7" s="11">
        <v>2</v>
      </c>
      <c r="N7" s="16"/>
      <c r="O7" s="17" t="s">
        <v>63</v>
      </c>
      <c r="P7">
        <f t="shared" si="0"/>
        <v>2</v>
      </c>
    </row>
    <row r="8" customFormat="1" ht="28.5" spans="1:23">
      <c r="A8" s="9">
        <v>6</v>
      </c>
      <c r="B8" s="10">
        <v>46121</v>
      </c>
      <c r="C8" s="11" t="s">
        <v>21</v>
      </c>
      <c r="D8" s="12" t="s">
        <v>152</v>
      </c>
      <c r="E8" s="11">
        <v>2</v>
      </c>
      <c r="F8" s="16"/>
      <c r="G8" s="18"/>
      <c r="H8" s="14"/>
      <c r="I8" s="15">
        <v>6</v>
      </c>
      <c r="J8" s="10">
        <v>46121</v>
      </c>
      <c r="K8" s="11" t="s">
        <v>64</v>
      </c>
      <c r="L8" s="12" t="s">
        <v>152</v>
      </c>
      <c r="M8" s="11">
        <v>1</v>
      </c>
      <c r="N8" s="16">
        <v>1</v>
      </c>
      <c r="O8" s="19" t="s">
        <v>65</v>
      </c>
      <c r="P8">
        <f t="shared" si="0"/>
        <v>2</v>
      </c>
    </row>
    <row r="9" customFormat="1" ht="22" customHeight="1" spans="1:23">
      <c r="A9" s="9">
        <v>7</v>
      </c>
      <c r="B9" s="10">
        <v>46121</v>
      </c>
      <c r="C9" s="11" t="s">
        <v>22</v>
      </c>
      <c r="D9" s="12" t="s">
        <v>152</v>
      </c>
      <c r="E9" s="11">
        <v>2</v>
      </c>
      <c r="F9" s="16"/>
      <c r="G9" s="20"/>
      <c r="H9" s="14"/>
      <c r="I9" s="15">
        <v>7</v>
      </c>
      <c r="J9" s="10">
        <v>46121</v>
      </c>
      <c r="K9" s="11" t="s">
        <v>66</v>
      </c>
      <c r="L9" s="12" t="s">
        <v>152</v>
      </c>
      <c r="M9" s="11">
        <v>1</v>
      </c>
      <c r="N9" s="16">
        <v>1</v>
      </c>
      <c r="O9" s="17" t="s">
        <v>67</v>
      </c>
      <c r="P9">
        <f t="shared" si="0"/>
        <v>2</v>
      </c>
    </row>
    <row r="10" customFormat="1" ht="22" customHeight="1" spans="1:23">
      <c r="A10" s="9">
        <v>8</v>
      </c>
      <c r="B10" s="10">
        <v>46121</v>
      </c>
      <c r="C10" s="11" t="s">
        <v>23</v>
      </c>
      <c r="D10" s="12" t="s">
        <v>152</v>
      </c>
      <c r="E10" s="11">
        <v>1</v>
      </c>
      <c r="F10" s="11">
        <v>1</v>
      </c>
      <c r="G10" s="20"/>
      <c r="H10" s="14"/>
      <c r="I10" s="15">
        <v>8</v>
      </c>
      <c r="J10" s="10">
        <v>46121</v>
      </c>
      <c r="K10" s="11" t="s">
        <v>68</v>
      </c>
      <c r="L10" s="12" t="s">
        <v>152</v>
      </c>
      <c r="M10" s="11"/>
      <c r="N10" s="11">
        <v>2</v>
      </c>
      <c r="O10" s="17" t="s">
        <v>56</v>
      </c>
      <c r="P10">
        <f t="shared" si="0"/>
        <v>2</v>
      </c>
    </row>
    <row r="11" customFormat="1" ht="22" customHeight="1" spans="1:23">
      <c r="A11" s="9">
        <v>9</v>
      </c>
      <c r="B11" s="10">
        <v>46121</v>
      </c>
      <c r="C11" s="11" t="s">
        <v>24</v>
      </c>
      <c r="D11" s="12" t="s">
        <v>152</v>
      </c>
      <c r="E11" s="11">
        <v>2</v>
      </c>
      <c r="F11" s="16"/>
      <c r="G11" s="20"/>
      <c r="H11" s="14"/>
      <c r="I11" s="15">
        <v>9</v>
      </c>
      <c r="J11" s="10">
        <v>46121</v>
      </c>
      <c r="K11" s="11" t="s">
        <v>69</v>
      </c>
      <c r="L11" s="12" t="s">
        <v>152</v>
      </c>
      <c r="M11" s="11"/>
      <c r="N11" s="11">
        <v>2</v>
      </c>
      <c r="O11" s="17" t="s">
        <v>70</v>
      </c>
      <c r="P11">
        <f t="shared" si="0"/>
        <v>2</v>
      </c>
    </row>
    <row r="12" customFormat="1" ht="22" customHeight="1" spans="1:23">
      <c r="A12" s="9">
        <v>10</v>
      </c>
      <c r="B12" s="10">
        <v>46121</v>
      </c>
      <c r="C12" s="11" t="s">
        <v>25</v>
      </c>
      <c r="D12" s="12" t="s">
        <v>152</v>
      </c>
      <c r="E12" s="16"/>
      <c r="F12" s="11">
        <v>2</v>
      </c>
      <c r="G12" s="20"/>
      <c r="H12" s="14"/>
      <c r="I12" s="15">
        <v>10</v>
      </c>
      <c r="J12" s="10">
        <v>46121</v>
      </c>
      <c r="K12" s="11" t="s">
        <v>71</v>
      </c>
      <c r="L12" s="12" t="s">
        <v>152</v>
      </c>
      <c r="M12" s="11"/>
      <c r="N12" s="11">
        <v>2</v>
      </c>
      <c r="O12" s="17" t="s">
        <v>72</v>
      </c>
      <c r="P12">
        <f t="shared" si="0"/>
        <v>2</v>
      </c>
    </row>
    <row r="13" customFormat="1" ht="22" customHeight="1" spans="1:23">
      <c r="A13" s="9">
        <v>11</v>
      </c>
      <c r="B13" s="10">
        <v>46121</v>
      </c>
      <c r="C13" s="11" t="s">
        <v>26</v>
      </c>
      <c r="D13" s="12" t="s">
        <v>152</v>
      </c>
      <c r="E13" s="11">
        <v>1</v>
      </c>
      <c r="F13" s="11">
        <v>1</v>
      </c>
      <c r="G13" s="20"/>
      <c r="H13" s="14"/>
      <c r="I13" s="15">
        <v>11</v>
      </c>
      <c r="J13" s="10">
        <v>46121</v>
      </c>
      <c r="K13" s="11" t="s">
        <v>73</v>
      </c>
      <c r="L13" s="12" t="s">
        <v>152</v>
      </c>
      <c r="M13" s="11"/>
      <c r="N13" s="11">
        <v>2</v>
      </c>
      <c r="O13" s="17" t="s">
        <v>74</v>
      </c>
      <c r="P13">
        <f t="shared" si="0"/>
        <v>2</v>
      </c>
    </row>
    <row r="14" customFormat="1" ht="22" customHeight="1" spans="1:23">
      <c r="A14" s="9">
        <v>12</v>
      </c>
      <c r="B14" s="10">
        <v>46121</v>
      </c>
      <c r="C14" s="21" t="s">
        <v>27</v>
      </c>
      <c r="D14" s="12" t="s">
        <v>152</v>
      </c>
      <c r="E14" s="11">
        <v>2</v>
      </c>
      <c r="F14" s="22"/>
      <c r="G14" s="20"/>
      <c r="H14" s="14"/>
      <c r="I14" s="15">
        <v>12</v>
      </c>
      <c r="J14" s="10">
        <v>46121</v>
      </c>
      <c r="K14" s="11" t="s">
        <v>75</v>
      </c>
      <c r="L14" s="12" t="s">
        <v>152</v>
      </c>
      <c r="M14" s="11">
        <v>1</v>
      </c>
      <c r="N14" s="16">
        <v>1</v>
      </c>
      <c r="O14" s="17" t="s">
        <v>76</v>
      </c>
      <c r="P14">
        <f t="shared" si="0"/>
        <v>2</v>
      </c>
      <c r="R14" s="48"/>
    </row>
    <row r="15" customFormat="1" ht="22" customHeight="1" spans="1:23">
      <c r="A15" s="9">
        <v>13</v>
      </c>
      <c r="B15" s="10">
        <v>46121</v>
      </c>
      <c r="C15" s="23" t="s">
        <v>28</v>
      </c>
      <c r="D15" s="12" t="s">
        <v>152</v>
      </c>
      <c r="E15" s="24"/>
      <c r="F15" s="11">
        <v>2</v>
      </c>
      <c r="G15" s="25"/>
      <c r="H15" s="14"/>
      <c r="I15" s="15">
        <v>13</v>
      </c>
      <c r="J15" s="10">
        <v>46121</v>
      </c>
      <c r="K15" s="11" t="s">
        <v>77</v>
      </c>
      <c r="L15" s="12" t="s">
        <v>152</v>
      </c>
      <c r="M15" s="11">
        <v>2</v>
      </c>
      <c r="N15" s="16"/>
      <c r="O15" s="17"/>
      <c r="P15">
        <f t="shared" si="0"/>
        <v>2</v>
      </c>
      <c r="R15" s="44"/>
      <c r="S15" s="44"/>
      <c r="T15" s="44"/>
      <c r="U15" s="44"/>
      <c r="V15" s="44"/>
      <c r="W15" s="44"/>
    </row>
    <row r="16" customFormat="1" ht="22" customHeight="1" spans="1:23">
      <c r="A16" s="9">
        <v>14</v>
      </c>
      <c r="B16" s="10">
        <v>46121</v>
      </c>
      <c r="C16" s="23" t="s">
        <v>29</v>
      </c>
      <c r="D16" s="12" t="s">
        <v>152</v>
      </c>
      <c r="E16" s="26"/>
      <c r="F16" s="11">
        <v>2</v>
      </c>
      <c r="G16" s="25"/>
      <c r="H16" s="14"/>
      <c r="I16" s="15">
        <v>14</v>
      </c>
      <c r="J16" s="10">
        <v>46121</v>
      </c>
      <c r="K16" s="11" t="s">
        <v>78</v>
      </c>
      <c r="L16" s="12" t="s">
        <v>152</v>
      </c>
      <c r="M16" s="11">
        <v>1</v>
      </c>
      <c r="N16" s="16">
        <v>1</v>
      </c>
      <c r="O16" s="17" t="s">
        <v>79</v>
      </c>
      <c r="P16">
        <f t="shared" si="0"/>
        <v>2</v>
      </c>
      <c r="R16" s="44"/>
      <c r="S16" s="49" t="s">
        <v>129</v>
      </c>
      <c r="T16" s="45"/>
      <c r="U16" s="45">
        <v>3</v>
      </c>
      <c r="V16" s="45"/>
      <c r="W16" s="50" t="s">
        <v>160</v>
      </c>
    </row>
    <row r="17" customFormat="1" ht="22" customHeight="1" spans="1:23">
      <c r="A17" s="9">
        <v>15</v>
      </c>
      <c r="B17" s="10">
        <v>46121</v>
      </c>
      <c r="C17" s="23" t="s">
        <v>30</v>
      </c>
      <c r="D17" s="12" t="s">
        <v>152</v>
      </c>
      <c r="E17" s="11">
        <v>1</v>
      </c>
      <c r="F17" s="11">
        <v>1</v>
      </c>
      <c r="G17" s="25"/>
      <c r="H17" s="14"/>
      <c r="I17" s="15">
        <v>15</v>
      </c>
      <c r="J17" s="10">
        <v>46121</v>
      </c>
      <c r="K17" s="11" t="s">
        <v>80</v>
      </c>
      <c r="L17" s="12" t="s">
        <v>152</v>
      </c>
      <c r="M17" s="11">
        <v>2</v>
      </c>
      <c r="N17" s="16"/>
      <c r="O17" s="17" t="s">
        <v>81</v>
      </c>
      <c r="P17">
        <f t="shared" si="0"/>
        <v>2</v>
      </c>
      <c r="R17" s="44"/>
      <c r="S17" s="51" t="s">
        <v>125</v>
      </c>
      <c r="T17" s="45"/>
      <c r="U17" s="45"/>
      <c r="V17" s="45">
        <v>1</v>
      </c>
      <c r="W17" s="50" t="s">
        <v>165</v>
      </c>
    </row>
    <row r="18" customFormat="1" ht="22" customHeight="1" spans="1:23">
      <c r="A18" s="9">
        <v>16</v>
      </c>
      <c r="B18" s="10">
        <v>46121</v>
      </c>
      <c r="C18" s="23" t="s">
        <v>31</v>
      </c>
      <c r="D18" s="12" t="s">
        <v>152</v>
      </c>
      <c r="E18" s="11">
        <v>1</v>
      </c>
      <c r="F18" s="11">
        <v>1</v>
      </c>
      <c r="G18" s="25"/>
      <c r="H18" s="14"/>
      <c r="I18" s="15">
        <v>16</v>
      </c>
      <c r="J18" s="10">
        <v>46121</v>
      </c>
      <c r="K18" s="11" t="s">
        <v>82</v>
      </c>
      <c r="L18" s="12" t="s">
        <v>152</v>
      </c>
      <c r="M18" s="11"/>
      <c r="N18" s="11">
        <v>2</v>
      </c>
      <c r="O18" s="17" t="s">
        <v>83</v>
      </c>
      <c r="P18">
        <f t="shared" si="0"/>
        <v>2</v>
      </c>
      <c r="R18" s="44"/>
      <c r="S18" s="44"/>
      <c r="T18" s="44"/>
      <c r="U18" s="44"/>
      <c r="V18" s="44"/>
      <c r="W18" s="44"/>
    </row>
    <row r="19" customFormat="1" ht="22" customHeight="1" spans="1:23">
      <c r="A19" s="9">
        <v>17</v>
      </c>
      <c r="B19" s="10">
        <v>46121</v>
      </c>
      <c r="C19" s="23" t="s">
        <v>32</v>
      </c>
      <c r="D19" s="12" t="s">
        <v>152</v>
      </c>
      <c r="E19" s="11">
        <v>2</v>
      </c>
      <c r="F19" s="26"/>
      <c r="G19" s="25"/>
      <c r="H19" s="14"/>
      <c r="I19" s="15">
        <v>17</v>
      </c>
      <c r="J19" s="10">
        <v>46121</v>
      </c>
      <c r="K19" s="11" t="s">
        <v>84</v>
      </c>
      <c r="L19" s="12" t="s">
        <v>152</v>
      </c>
      <c r="M19" s="11"/>
      <c r="N19" s="11">
        <v>2</v>
      </c>
      <c r="O19" s="17" t="s">
        <v>83</v>
      </c>
      <c r="P19">
        <f t="shared" si="0"/>
        <v>2</v>
      </c>
    </row>
    <row r="20" customFormat="1" ht="22" customHeight="1" spans="1:23">
      <c r="A20" s="9">
        <v>18</v>
      </c>
      <c r="B20" s="10">
        <v>46121</v>
      </c>
      <c r="C20" s="23" t="s">
        <v>33</v>
      </c>
      <c r="D20" s="12" t="s">
        <v>152</v>
      </c>
      <c r="E20" s="11">
        <v>2</v>
      </c>
      <c r="F20" s="26"/>
      <c r="G20" s="25"/>
      <c r="H20" s="14"/>
      <c r="I20" s="15">
        <v>18</v>
      </c>
      <c r="J20" s="10">
        <v>46121</v>
      </c>
      <c r="K20" s="11" t="s">
        <v>85</v>
      </c>
      <c r="L20" s="12" t="s">
        <v>152</v>
      </c>
      <c r="M20" s="11">
        <v>2</v>
      </c>
      <c r="N20" s="16"/>
      <c r="O20" s="17"/>
      <c r="P20">
        <f t="shared" si="0"/>
        <v>2</v>
      </c>
    </row>
    <row r="21" customFormat="1" ht="22" customHeight="1" spans="1:23">
      <c r="A21" s="9">
        <v>19</v>
      </c>
      <c r="B21" s="10">
        <v>46121</v>
      </c>
      <c r="C21" s="27" t="s">
        <v>34</v>
      </c>
      <c r="D21" s="12" t="s">
        <v>152</v>
      </c>
      <c r="E21" s="11">
        <v>2</v>
      </c>
      <c r="F21" s="26"/>
      <c r="G21" s="25"/>
      <c r="H21" s="14"/>
      <c r="I21" s="15">
        <v>19</v>
      </c>
      <c r="J21" s="10">
        <v>46121</v>
      </c>
      <c r="K21" s="11" t="s">
        <v>87</v>
      </c>
      <c r="L21" s="12" t="s">
        <v>152</v>
      </c>
      <c r="M21" s="11"/>
      <c r="N21" s="11">
        <v>2</v>
      </c>
      <c r="O21" s="17" t="s">
        <v>88</v>
      </c>
      <c r="P21">
        <f t="shared" si="0"/>
        <v>2</v>
      </c>
    </row>
    <row r="22" customFormat="1" ht="22" customHeight="1" spans="1:23">
      <c r="A22" s="9">
        <v>20</v>
      </c>
      <c r="B22" s="10">
        <v>46121</v>
      </c>
      <c r="C22" s="23" t="s">
        <v>35</v>
      </c>
      <c r="D22" s="12" t="s">
        <v>152</v>
      </c>
      <c r="E22" s="11">
        <v>1</v>
      </c>
      <c r="F22" s="11">
        <v>1</v>
      </c>
      <c r="G22" s="25"/>
      <c r="H22" s="14"/>
      <c r="I22" s="15">
        <v>20</v>
      </c>
      <c r="J22" s="10">
        <v>46121</v>
      </c>
      <c r="K22" s="11" t="s">
        <v>89</v>
      </c>
      <c r="L22" s="12" t="s">
        <v>152</v>
      </c>
      <c r="M22" s="11"/>
      <c r="N22" s="11">
        <v>2</v>
      </c>
      <c r="O22" s="17" t="s">
        <v>74</v>
      </c>
      <c r="P22">
        <f t="shared" si="0"/>
        <v>2</v>
      </c>
    </row>
    <row r="23" customFormat="1" ht="22" customHeight="1" spans="1:23">
      <c r="A23" s="9">
        <v>21</v>
      </c>
      <c r="B23" s="10">
        <v>46121</v>
      </c>
      <c r="C23" s="23" t="s">
        <v>36</v>
      </c>
      <c r="D23" s="12" t="s">
        <v>152</v>
      </c>
      <c r="E23" s="26"/>
      <c r="F23" s="28">
        <v>6</v>
      </c>
      <c r="G23" s="25" t="s">
        <v>156</v>
      </c>
      <c r="H23" s="14"/>
      <c r="I23" s="15">
        <v>21</v>
      </c>
      <c r="J23" s="10">
        <v>46121</v>
      </c>
      <c r="K23" s="11" t="s">
        <v>90</v>
      </c>
      <c r="L23" s="12" t="s">
        <v>152</v>
      </c>
      <c r="M23" s="11">
        <v>2</v>
      </c>
      <c r="N23" s="16"/>
      <c r="O23" s="17"/>
      <c r="P23">
        <f t="shared" si="0"/>
        <v>2</v>
      </c>
    </row>
    <row r="24" customFormat="1" ht="22" customHeight="1" spans="1:23">
      <c r="A24" s="9"/>
      <c r="B24" s="10"/>
      <c r="C24" s="23"/>
      <c r="D24" s="12"/>
      <c r="E24" s="24"/>
      <c r="F24" s="21"/>
      <c r="G24" s="12"/>
      <c r="H24" s="14"/>
      <c r="I24" s="15">
        <v>22</v>
      </c>
      <c r="J24" s="10">
        <v>46121</v>
      </c>
      <c r="K24" s="11" t="s">
        <v>91</v>
      </c>
      <c r="L24" s="12" t="s">
        <v>152</v>
      </c>
      <c r="M24" s="11">
        <v>2</v>
      </c>
      <c r="N24" s="16"/>
      <c r="O24" s="17"/>
      <c r="P24">
        <f t="shared" si="0"/>
        <v>2</v>
      </c>
    </row>
    <row r="25" customFormat="1" ht="22" customHeight="1" spans="1:23">
      <c r="A25" s="9"/>
      <c r="B25" s="10"/>
      <c r="C25" s="23"/>
      <c r="D25" s="12"/>
      <c r="E25" s="26"/>
      <c r="F25" s="21"/>
      <c r="G25" s="12"/>
      <c r="H25" s="14"/>
      <c r="I25" s="15">
        <v>23</v>
      </c>
      <c r="J25" s="10">
        <v>46121</v>
      </c>
      <c r="K25" s="11" t="s">
        <v>92</v>
      </c>
      <c r="L25" s="12" t="s">
        <v>152</v>
      </c>
      <c r="M25" s="11">
        <v>2</v>
      </c>
      <c r="N25" s="16"/>
      <c r="O25" s="17" t="s">
        <v>93</v>
      </c>
      <c r="P25">
        <f t="shared" si="0"/>
        <v>2</v>
      </c>
    </row>
    <row r="26" customFormat="1" ht="22" customHeight="1" spans="1:23">
      <c r="A26" s="9"/>
      <c r="B26" s="10"/>
      <c r="C26" s="23"/>
      <c r="D26" s="12"/>
      <c r="E26" s="21"/>
      <c r="F26" s="21"/>
      <c r="G26" s="12"/>
      <c r="H26" s="14"/>
      <c r="I26" s="15">
        <v>24</v>
      </c>
      <c r="J26" s="10">
        <v>46121</v>
      </c>
      <c r="K26" s="11" t="s">
        <v>94</v>
      </c>
      <c r="L26" s="12" t="s">
        <v>152</v>
      </c>
      <c r="M26" s="11">
        <v>1</v>
      </c>
      <c r="N26" s="16">
        <v>1</v>
      </c>
      <c r="O26" s="17" t="s">
        <v>95</v>
      </c>
      <c r="P26">
        <f t="shared" si="0"/>
        <v>2</v>
      </c>
    </row>
    <row r="27" customFormat="1" ht="22" customHeight="1" spans="1:23">
      <c r="A27" s="9"/>
      <c r="B27" s="10"/>
      <c r="C27" s="23"/>
      <c r="D27" s="12"/>
      <c r="E27" s="21"/>
      <c r="F27" s="21"/>
      <c r="G27" s="12"/>
      <c r="H27" s="14"/>
      <c r="I27" s="15">
        <v>25</v>
      </c>
      <c r="J27" s="10">
        <v>46121</v>
      </c>
      <c r="K27" s="11" t="s">
        <v>96</v>
      </c>
      <c r="L27" s="12" t="s">
        <v>152</v>
      </c>
      <c r="M27" s="11">
        <v>1</v>
      </c>
      <c r="N27" s="16">
        <v>1</v>
      </c>
      <c r="O27" s="17" t="s">
        <v>95</v>
      </c>
      <c r="P27">
        <f t="shared" si="0"/>
        <v>2</v>
      </c>
    </row>
    <row r="28" customFormat="1" ht="22" customHeight="1" spans="1:23">
      <c r="A28" s="9"/>
      <c r="B28" s="10"/>
      <c r="C28" s="23"/>
      <c r="D28" s="12"/>
      <c r="E28" s="21"/>
      <c r="F28" s="26"/>
      <c r="G28" s="12"/>
      <c r="H28" s="14"/>
      <c r="I28" s="15">
        <v>26</v>
      </c>
      <c r="J28" s="10">
        <v>46121</v>
      </c>
      <c r="K28" s="11" t="s">
        <v>97</v>
      </c>
      <c r="L28" s="12" t="s">
        <v>152</v>
      </c>
      <c r="M28" s="11"/>
      <c r="N28" s="11">
        <v>2</v>
      </c>
      <c r="O28" s="17" t="s">
        <v>98</v>
      </c>
      <c r="P28">
        <f t="shared" si="0"/>
        <v>2</v>
      </c>
    </row>
    <row r="29" customFormat="1" ht="22" customHeight="1" spans="1:23">
      <c r="A29" s="9"/>
      <c r="B29" s="10"/>
      <c r="C29" s="23"/>
      <c r="D29" s="12"/>
      <c r="E29" s="21"/>
      <c r="F29" s="26"/>
      <c r="G29" s="12"/>
      <c r="H29" s="14"/>
      <c r="I29" s="15">
        <v>27</v>
      </c>
      <c r="J29" s="10">
        <v>46121</v>
      </c>
      <c r="K29" s="11" t="s">
        <v>99</v>
      </c>
      <c r="L29" s="12" t="s">
        <v>152</v>
      </c>
      <c r="M29" s="11">
        <v>2</v>
      </c>
      <c r="N29" s="16"/>
      <c r="O29" s="17"/>
      <c r="P29">
        <f t="shared" si="0"/>
        <v>2</v>
      </c>
    </row>
    <row r="30" customFormat="1" ht="22" customHeight="1" spans="1:23">
      <c r="A30" s="9"/>
      <c r="B30" s="10"/>
      <c r="C30" s="27"/>
      <c r="D30" s="12"/>
      <c r="E30" s="21"/>
      <c r="F30" s="26"/>
      <c r="G30" s="12"/>
      <c r="H30" s="14"/>
      <c r="I30" s="15">
        <v>28</v>
      </c>
      <c r="J30" s="10">
        <v>46121</v>
      </c>
      <c r="K30" s="11" t="s">
        <v>101</v>
      </c>
      <c r="L30" s="12" t="s">
        <v>152</v>
      </c>
      <c r="M30" s="11">
        <v>2</v>
      </c>
      <c r="N30" s="16"/>
      <c r="O30" s="17"/>
      <c r="P30">
        <f t="shared" si="0"/>
        <v>2</v>
      </c>
    </row>
    <row r="31" customFormat="1" ht="22" customHeight="1" spans="1:23">
      <c r="A31" s="9"/>
      <c r="B31" s="10"/>
      <c r="C31" s="23"/>
      <c r="D31" s="12"/>
      <c r="E31" s="21"/>
      <c r="F31" s="21"/>
      <c r="G31" s="12"/>
      <c r="H31" s="14"/>
      <c r="I31" s="15">
        <v>29</v>
      </c>
      <c r="J31" s="10">
        <v>46121</v>
      </c>
      <c r="K31" s="11" t="s">
        <v>103</v>
      </c>
      <c r="L31" s="12" t="s">
        <v>152</v>
      </c>
      <c r="M31" s="11">
        <v>2</v>
      </c>
      <c r="N31" s="11"/>
      <c r="O31" s="35"/>
      <c r="P31">
        <f t="shared" si="0"/>
        <v>2</v>
      </c>
    </row>
    <row r="32" customFormat="1" ht="22" customHeight="1" spans="1:23">
      <c r="A32" s="9"/>
      <c r="B32" s="10"/>
      <c r="C32" s="23"/>
      <c r="D32" s="12"/>
      <c r="E32" s="21"/>
      <c r="F32" s="21"/>
      <c r="G32" s="25"/>
      <c r="H32" s="14"/>
      <c r="I32" s="15">
        <v>30</v>
      </c>
      <c r="J32" s="10">
        <v>46121</v>
      </c>
      <c r="K32" s="11" t="s">
        <v>105</v>
      </c>
      <c r="L32" s="12" t="s">
        <v>152</v>
      </c>
      <c r="M32" s="11">
        <v>2</v>
      </c>
      <c r="N32" s="11"/>
      <c r="O32" s="17"/>
      <c r="P32">
        <f t="shared" si="0"/>
        <v>2</v>
      </c>
    </row>
    <row r="33" customFormat="1" ht="22" customHeight="1" spans="1:17">
      <c r="A33" s="29"/>
      <c r="B33" s="30"/>
      <c r="C33" s="31"/>
      <c r="D33" s="32"/>
      <c r="E33" s="14">
        <f>SUM(E3:E32)</f>
        <v>26</v>
      </c>
      <c r="F33" s="14">
        <f>SUM(F3:F32)</f>
        <v>20</v>
      </c>
      <c r="G33" s="33"/>
      <c r="H33" s="14"/>
      <c r="I33" s="15">
        <v>31</v>
      </c>
      <c r="J33" s="10">
        <v>46121</v>
      </c>
      <c r="K33" s="11" t="s">
        <v>106</v>
      </c>
      <c r="L33" s="12" t="s">
        <v>152</v>
      </c>
      <c r="M33" s="11"/>
      <c r="N33" s="11">
        <v>2</v>
      </c>
      <c r="O33" s="17" t="s">
        <v>74</v>
      </c>
      <c r="P33">
        <f t="shared" si="0"/>
        <v>2</v>
      </c>
    </row>
    <row r="34" customFormat="1" ht="22" customHeight="1" spans="1:17">
      <c r="A34" s="29"/>
      <c r="B34" s="30"/>
      <c r="C34" s="31"/>
      <c r="D34" s="32"/>
      <c r="E34" s="34"/>
      <c r="F34" s="34"/>
      <c r="G34" s="33"/>
      <c r="H34" s="14"/>
      <c r="I34" s="15">
        <v>32</v>
      </c>
      <c r="J34" s="10">
        <v>46121</v>
      </c>
      <c r="K34" s="11" t="s">
        <v>107</v>
      </c>
      <c r="L34" s="12" t="s">
        <v>152</v>
      </c>
      <c r="M34" s="11">
        <v>1</v>
      </c>
      <c r="N34" s="11">
        <v>1</v>
      </c>
      <c r="O34" s="17" t="s">
        <v>108</v>
      </c>
      <c r="P34">
        <f t="shared" si="0"/>
        <v>2</v>
      </c>
    </row>
    <row r="35" customFormat="1" ht="22" customHeight="1" spans="1:17">
      <c r="A35" s="29"/>
      <c r="B35" s="30"/>
      <c r="C35" s="31"/>
      <c r="D35" s="32"/>
      <c r="E35" s="34"/>
      <c r="F35" s="34"/>
      <c r="G35" s="33"/>
      <c r="H35" s="14"/>
      <c r="I35" s="15">
        <v>33</v>
      </c>
      <c r="J35" s="10">
        <v>46121</v>
      </c>
      <c r="K35" s="11" t="s">
        <v>109</v>
      </c>
      <c r="L35" s="12" t="s">
        <v>152</v>
      </c>
      <c r="M35" s="11"/>
      <c r="N35" s="11">
        <v>2</v>
      </c>
      <c r="O35" s="17" t="s">
        <v>98</v>
      </c>
      <c r="P35">
        <f t="shared" si="0"/>
        <v>2</v>
      </c>
    </row>
    <row r="36" customFormat="1" ht="22" customHeight="1" spans="1:17">
      <c r="A36" s="29"/>
      <c r="B36" s="30"/>
      <c r="C36" s="31"/>
      <c r="D36" s="32"/>
      <c r="E36" s="34"/>
      <c r="F36" s="34"/>
      <c r="G36" s="33"/>
      <c r="H36" s="14"/>
      <c r="I36" s="15">
        <v>34</v>
      </c>
      <c r="J36" s="10">
        <v>46121</v>
      </c>
      <c r="K36" s="11" t="s">
        <v>110</v>
      </c>
      <c r="L36" s="12" t="s">
        <v>152</v>
      </c>
      <c r="M36" s="11"/>
      <c r="N36" s="11">
        <v>2</v>
      </c>
      <c r="O36" s="17" t="s">
        <v>98</v>
      </c>
      <c r="P36">
        <f t="shared" si="0"/>
        <v>2</v>
      </c>
    </row>
    <row r="37" customFormat="1" ht="22" customHeight="1" spans="1:17">
      <c r="A37" s="29"/>
      <c r="B37" s="30"/>
      <c r="C37" s="31"/>
      <c r="D37" s="32"/>
      <c r="E37" s="34"/>
      <c r="F37" s="34"/>
      <c r="G37" s="33"/>
      <c r="H37" s="14"/>
      <c r="I37" s="15">
        <v>35</v>
      </c>
      <c r="J37" s="10">
        <v>46121</v>
      </c>
      <c r="K37" s="11" t="s">
        <v>111</v>
      </c>
      <c r="L37" s="12" t="s">
        <v>152</v>
      </c>
      <c r="M37" s="11">
        <v>2</v>
      </c>
      <c r="N37" s="11"/>
      <c r="O37" s="17"/>
      <c r="P37">
        <f t="shared" si="0"/>
        <v>2</v>
      </c>
    </row>
    <row r="38" customFormat="1" ht="22" customHeight="1" spans="1:17">
      <c r="A38" s="29"/>
      <c r="B38" s="30"/>
      <c r="C38" s="31"/>
      <c r="D38" s="32"/>
      <c r="E38" s="34"/>
      <c r="F38" s="34"/>
      <c r="G38" s="33"/>
      <c r="H38" s="14"/>
      <c r="I38" s="15">
        <v>36</v>
      </c>
      <c r="J38" s="10">
        <v>46121</v>
      </c>
      <c r="K38" s="11" t="s">
        <v>112</v>
      </c>
      <c r="L38" s="12" t="s">
        <v>152</v>
      </c>
      <c r="M38" s="11">
        <v>2</v>
      </c>
      <c r="N38" s="11"/>
      <c r="O38" s="17"/>
      <c r="P38">
        <f t="shared" si="0"/>
        <v>2</v>
      </c>
    </row>
    <row r="39" customFormat="1" ht="22" customHeight="1" spans="1:17">
      <c r="A39" s="29"/>
      <c r="B39" s="30"/>
      <c r="C39" s="31"/>
      <c r="D39" s="32"/>
      <c r="E39" s="34"/>
      <c r="F39" s="34"/>
      <c r="G39" s="33"/>
      <c r="H39" s="14"/>
      <c r="I39" s="15">
        <v>37</v>
      </c>
      <c r="J39" s="10">
        <v>46121</v>
      </c>
      <c r="K39" s="11" t="s">
        <v>114</v>
      </c>
      <c r="L39" s="12" t="s">
        <v>152</v>
      </c>
      <c r="M39" s="11">
        <v>2</v>
      </c>
      <c r="N39" s="11"/>
      <c r="O39" s="17"/>
      <c r="P39">
        <f t="shared" si="0"/>
        <v>2</v>
      </c>
    </row>
    <row r="40" customFormat="1" ht="22" customHeight="1" spans="1:17">
      <c r="A40" s="29"/>
      <c r="B40" s="30"/>
      <c r="C40" s="31"/>
      <c r="D40" s="32"/>
      <c r="E40" s="34"/>
      <c r="F40" s="34"/>
      <c r="G40" s="33"/>
      <c r="H40" s="14"/>
      <c r="I40" s="15">
        <v>38</v>
      </c>
      <c r="J40" s="10">
        <v>46121</v>
      </c>
      <c r="K40" s="11" t="s">
        <v>117</v>
      </c>
      <c r="L40" s="12" t="s">
        <v>152</v>
      </c>
      <c r="M40" s="11">
        <v>1</v>
      </c>
      <c r="N40" s="11">
        <v>1</v>
      </c>
      <c r="O40" s="17" t="s">
        <v>108</v>
      </c>
      <c r="P40">
        <f t="shared" si="0"/>
        <v>2</v>
      </c>
    </row>
    <row r="41" customFormat="1" ht="22" customHeight="1" spans="1:17">
      <c r="A41" s="29"/>
      <c r="B41" s="30"/>
      <c r="C41" s="31"/>
      <c r="D41" s="32"/>
      <c r="E41" s="34"/>
      <c r="F41" s="34"/>
      <c r="G41" s="33"/>
      <c r="H41" s="14"/>
      <c r="I41" s="15">
        <v>39</v>
      </c>
      <c r="J41" s="10">
        <v>46121</v>
      </c>
      <c r="K41" s="11" t="s">
        <v>121</v>
      </c>
      <c r="L41" s="12" t="s">
        <v>152</v>
      </c>
      <c r="M41" s="11">
        <v>1</v>
      </c>
      <c r="N41" s="11">
        <v>1</v>
      </c>
      <c r="O41" s="17" t="s">
        <v>108</v>
      </c>
      <c r="P41">
        <f t="shared" si="0"/>
        <v>2</v>
      </c>
    </row>
    <row r="42" customFormat="1" ht="22" customHeight="1" spans="1:17">
      <c r="A42" s="29"/>
      <c r="B42" s="30"/>
      <c r="C42" s="31"/>
      <c r="D42" s="32"/>
      <c r="E42" s="34"/>
      <c r="F42" s="34"/>
      <c r="G42" s="33"/>
      <c r="H42" s="14"/>
      <c r="I42" s="15">
        <v>40</v>
      </c>
      <c r="J42" s="10">
        <v>46121</v>
      </c>
      <c r="K42" s="11" t="s">
        <v>125</v>
      </c>
      <c r="L42" s="12" t="s">
        <v>152</v>
      </c>
      <c r="M42" s="11">
        <v>2</v>
      </c>
      <c r="N42" s="11"/>
      <c r="O42" s="17"/>
      <c r="P42">
        <f t="shared" si="0"/>
        <v>2</v>
      </c>
    </row>
    <row r="43" customFormat="1" ht="22" customHeight="1" spans="1:17">
      <c r="A43" s="29"/>
      <c r="B43" s="30"/>
      <c r="C43" s="31"/>
      <c r="D43" s="32"/>
      <c r="E43" s="34"/>
      <c r="F43" s="34"/>
      <c r="G43" s="33"/>
      <c r="H43" s="14"/>
      <c r="I43" s="15">
        <v>41</v>
      </c>
      <c r="J43" s="10">
        <v>46121</v>
      </c>
      <c r="K43" s="11" t="s">
        <v>127</v>
      </c>
      <c r="L43" s="12" t="s">
        <v>152</v>
      </c>
      <c r="M43" s="11">
        <v>2</v>
      </c>
      <c r="N43" s="11"/>
      <c r="O43" s="17"/>
      <c r="P43">
        <f t="shared" si="0"/>
        <v>2</v>
      </c>
    </row>
    <row r="44" customFormat="1" ht="22" customHeight="1" spans="1:17">
      <c r="A44" s="29"/>
      <c r="B44" s="30"/>
      <c r="C44" s="31"/>
      <c r="D44" s="32"/>
      <c r="E44" s="34"/>
      <c r="F44" s="34"/>
      <c r="G44" s="33"/>
      <c r="H44" s="14"/>
      <c r="I44" s="15">
        <v>42</v>
      </c>
      <c r="J44" s="10">
        <v>46121</v>
      </c>
      <c r="K44" s="11" t="s">
        <v>129</v>
      </c>
      <c r="L44" s="12" t="s">
        <v>152</v>
      </c>
      <c r="M44" s="11">
        <v>2</v>
      </c>
      <c r="N44" s="11"/>
      <c r="O44" s="17"/>
      <c r="P44">
        <f t="shared" si="0"/>
        <v>2</v>
      </c>
    </row>
    <row r="45" customFormat="1" ht="22" customHeight="1" spans="1:17">
      <c r="A45" s="29"/>
      <c r="B45" s="30"/>
      <c r="C45" s="31"/>
      <c r="D45" s="32"/>
      <c r="E45" s="34"/>
      <c r="F45" s="34"/>
      <c r="G45" s="33"/>
      <c r="H45" s="14"/>
      <c r="I45" s="15">
        <v>43</v>
      </c>
      <c r="J45" s="10">
        <v>46121</v>
      </c>
      <c r="K45" s="11" t="s">
        <v>129</v>
      </c>
      <c r="L45" s="12" t="s">
        <v>152</v>
      </c>
      <c r="M45" s="11">
        <v>2</v>
      </c>
      <c r="N45" s="11"/>
      <c r="O45" s="17" t="s">
        <v>157</v>
      </c>
      <c r="P45">
        <f t="shared" si="0"/>
        <v>2</v>
      </c>
      <c r="Q45" s="52" t="s">
        <v>167</v>
      </c>
    </row>
    <row r="46" customFormat="1" ht="22" customHeight="1" spans="1:17">
      <c r="A46" s="29"/>
      <c r="B46" s="30"/>
      <c r="C46" s="31"/>
      <c r="D46" s="32"/>
      <c r="E46" s="34"/>
      <c r="F46" s="34"/>
      <c r="G46" s="33"/>
      <c r="H46" s="14"/>
      <c r="I46" s="29"/>
      <c r="J46" s="30"/>
      <c r="K46" s="37"/>
      <c r="L46" s="32"/>
      <c r="M46" s="14">
        <f>SUM(M1:M45)</f>
        <v>50</v>
      </c>
      <c r="N46" s="14">
        <f>SUM(N1:N45)</f>
        <v>36</v>
      </c>
      <c r="O46" s="38"/>
      <c r="P46">
        <f t="shared" si="0"/>
        <v>86</v>
      </c>
    </row>
    <row r="47" customFormat="1" ht="22" customHeight="1" spans="1:17">
      <c r="A47" s="29"/>
      <c r="B47" s="30"/>
      <c r="C47" s="31"/>
      <c r="D47" s="32"/>
      <c r="E47" s="34"/>
      <c r="F47" s="34"/>
      <c r="G47" s="33"/>
      <c r="H47" s="14"/>
      <c r="I47" s="29"/>
      <c r="J47" s="30"/>
      <c r="K47" s="37"/>
      <c r="L47" s="32"/>
      <c r="M47" s="37"/>
      <c r="N47" s="37"/>
      <c r="O47" s="38"/>
    </row>
    <row r="48" customFormat="1" ht="22" customHeight="1" spans="1:17">
      <c r="E48" s="14">
        <f>E33+M46</f>
        <v>76</v>
      </c>
      <c r="F48" s="14">
        <f>F33+N46</f>
        <v>56</v>
      </c>
      <c r="G48">
        <f>SUM(E48:F48)</f>
        <v>132</v>
      </c>
      <c r="H48" s="14"/>
    </row>
    <row r="49" ht="22" customHeight="1"/>
    <row r="50" ht="22" customHeight="1"/>
    <row r="51" ht="22" customHeight="1"/>
    <row r="52" ht="22" customHeight="1"/>
    <row r="53" ht="22" customHeight="1"/>
  </sheetData>
  <mergeCells count="2">
    <mergeCell ref="A1:G1"/>
    <mergeCell ref="I1:O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"/>
  <sheetViews>
    <sheetView workbookViewId="0">
      <pane ySplit="2" topLeftCell="A30" activePane="bottomLeft" state="frozen"/>
      <selection/>
      <selection pane="bottomLeft" activeCell="F23" sqref="F23"/>
    </sheetView>
  </sheetViews>
  <sheetFormatPr defaultColWidth="9.14285714285714" defaultRowHeight="12"/>
  <cols>
    <col min="1" max="1" width="6.28571428571429" customWidth="1"/>
    <col min="2" max="2" width="14.4285714285714" customWidth="1"/>
    <col min="3" max="3" width="15" customWidth="1"/>
    <col min="4" max="4" width="12.1428571428571" customWidth="1"/>
    <col min="5" max="5" width="9.85714285714286" customWidth="1"/>
    <col min="6" max="6" width="10" customWidth="1"/>
    <col min="7" max="7" width="19.5714285714286" customWidth="1"/>
    <col min="9" max="9" width="6.57142857142857" customWidth="1"/>
    <col min="10" max="10" width="11" customWidth="1"/>
    <col min="11" max="11" width="11.4285714285714" customWidth="1"/>
    <col min="12" max="12" width="12.1428571428571" customWidth="1"/>
    <col min="13" max="14" width="10" customWidth="1"/>
    <col min="15" max="15" width="27.1428571428571" customWidth="1"/>
    <col min="16" max="16" width="6.71428571428571" customWidth="1"/>
  </cols>
  <sheetData>
    <row r="1" customFormat="1" ht="27" customHeight="1" spans="1:16">
      <c r="A1" s="2" t="s">
        <v>144</v>
      </c>
      <c r="B1" s="2"/>
      <c r="C1" s="2"/>
      <c r="D1" s="2"/>
      <c r="E1" s="2"/>
      <c r="F1" s="3"/>
      <c r="G1" s="4"/>
      <c r="I1" s="2" t="s">
        <v>145</v>
      </c>
      <c r="J1" s="2"/>
      <c r="K1" s="2"/>
      <c r="L1" s="2"/>
      <c r="M1" s="2"/>
      <c r="N1" s="3"/>
      <c r="O1" s="4"/>
    </row>
    <row r="2" s="1" customFormat="1" ht="32" customHeight="1" spans="1:16">
      <c r="A2" s="5" t="s">
        <v>2</v>
      </c>
      <c r="B2" s="5" t="s">
        <v>136</v>
      </c>
      <c r="C2" s="5" t="s">
        <v>3</v>
      </c>
      <c r="D2" s="6" t="s">
        <v>146</v>
      </c>
      <c r="E2" s="7" t="s">
        <v>147</v>
      </c>
      <c r="F2" s="7" t="s">
        <v>148</v>
      </c>
      <c r="G2" s="7" t="s">
        <v>7</v>
      </c>
      <c r="I2" s="7" t="s">
        <v>2</v>
      </c>
      <c r="J2" s="8" t="s">
        <v>136</v>
      </c>
      <c r="K2" s="5" t="s">
        <v>3</v>
      </c>
      <c r="L2" s="6" t="s">
        <v>146</v>
      </c>
      <c r="M2" s="7" t="s">
        <v>147</v>
      </c>
      <c r="N2" s="7" t="s">
        <v>148</v>
      </c>
      <c r="O2" s="7" t="s">
        <v>7</v>
      </c>
    </row>
    <row r="3" customFormat="1" ht="22" customHeight="1" spans="1:16">
      <c r="A3" s="9">
        <v>1</v>
      </c>
      <c r="B3" s="10">
        <v>46125</v>
      </c>
      <c r="C3" s="11" t="s">
        <v>13</v>
      </c>
      <c r="D3" s="12" t="s">
        <v>149</v>
      </c>
      <c r="E3" s="11">
        <v>1</v>
      </c>
      <c r="F3" s="11">
        <v>2</v>
      </c>
      <c r="G3" s="13"/>
      <c r="H3" s="14">
        <f t="shared" ref="H3:H23" si="0">SUM(E3:F3)</f>
        <v>3</v>
      </c>
      <c r="I3" s="15">
        <v>1</v>
      </c>
      <c r="J3" s="10">
        <v>46125</v>
      </c>
      <c r="K3" s="11" t="s">
        <v>50</v>
      </c>
      <c r="L3" s="12" t="s">
        <v>149</v>
      </c>
      <c r="M3" s="11">
        <v>3</v>
      </c>
      <c r="N3" s="16"/>
      <c r="O3" s="17"/>
      <c r="P3">
        <f t="shared" ref="P3:P46" si="1">SUM(M3:N3)</f>
        <v>3</v>
      </c>
    </row>
    <row r="4" customFormat="1" ht="22" customHeight="1" spans="1:16">
      <c r="A4" s="9">
        <v>2</v>
      </c>
      <c r="B4" s="10">
        <v>46125</v>
      </c>
      <c r="C4" s="11" t="s">
        <v>16</v>
      </c>
      <c r="D4" s="12" t="s">
        <v>149</v>
      </c>
      <c r="E4" s="11">
        <v>3</v>
      </c>
      <c r="F4" s="16"/>
      <c r="G4" s="18"/>
      <c r="H4" s="14">
        <f t="shared" si="0"/>
        <v>3</v>
      </c>
      <c r="I4" s="15">
        <v>2</v>
      </c>
      <c r="J4" s="10">
        <v>46125</v>
      </c>
      <c r="K4" s="11" t="s">
        <v>55</v>
      </c>
      <c r="L4" s="12" t="s">
        <v>149</v>
      </c>
      <c r="M4" s="11"/>
      <c r="N4" s="11">
        <v>3</v>
      </c>
      <c r="O4" s="17" t="s">
        <v>56</v>
      </c>
      <c r="P4">
        <f t="shared" si="1"/>
        <v>3</v>
      </c>
    </row>
    <row r="5" customFormat="1" ht="22" customHeight="1" spans="1:16">
      <c r="A5" s="9">
        <v>3</v>
      </c>
      <c r="B5" s="10">
        <v>46125</v>
      </c>
      <c r="C5" s="11" t="s">
        <v>17</v>
      </c>
      <c r="D5" s="12" t="s">
        <v>149</v>
      </c>
      <c r="E5" s="11">
        <v>3</v>
      </c>
      <c r="F5" s="16"/>
      <c r="G5" s="18"/>
      <c r="H5" s="14">
        <f t="shared" si="0"/>
        <v>3</v>
      </c>
      <c r="I5" s="15">
        <v>3</v>
      </c>
      <c r="J5" s="10">
        <v>46125</v>
      </c>
      <c r="K5" s="11" t="s">
        <v>57</v>
      </c>
      <c r="L5" s="12" t="s">
        <v>149</v>
      </c>
      <c r="M5" s="11">
        <v>3</v>
      </c>
      <c r="N5" s="16"/>
      <c r="O5" s="17"/>
      <c r="P5">
        <f t="shared" si="1"/>
        <v>3</v>
      </c>
    </row>
    <row r="6" customFormat="1" ht="22" customHeight="1" spans="1:16">
      <c r="A6" s="9">
        <v>4</v>
      </c>
      <c r="B6" s="10">
        <v>46125</v>
      </c>
      <c r="C6" s="11" t="s">
        <v>18</v>
      </c>
      <c r="D6" s="12" t="s">
        <v>149</v>
      </c>
      <c r="E6" s="11">
        <v>3</v>
      </c>
      <c r="F6" s="16"/>
      <c r="G6" s="18"/>
      <c r="H6" s="14">
        <f t="shared" si="0"/>
        <v>3</v>
      </c>
      <c r="I6" s="15">
        <v>4</v>
      </c>
      <c r="J6" s="10">
        <v>46125</v>
      </c>
      <c r="K6" s="11" t="s">
        <v>59</v>
      </c>
      <c r="L6" s="12" t="s">
        <v>149</v>
      </c>
      <c r="M6" s="11">
        <v>2</v>
      </c>
      <c r="N6" s="16">
        <v>1</v>
      </c>
      <c r="O6" s="17" t="s">
        <v>61</v>
      </c>
      <c r="P6">
        <f t="shared" si="1"/>
        <v>3</v>
      </c>
    </row>
    <row r="7" customFormat="1" ht="22" customHeight="1" spans="1:16">
      <c r="A7" s="9">
        <v>5</v>
      </c>
      <c r="B7" s="10">
        <v>46125</v>
      </c>
      <c r="C7" s="11" t="s">
        <v>20</v>
      </c>
      <c r="D7" s="12" t="s">
        <v>149</v>
      </c>
      <c r="E7" s="16"/>
      <c r="F7" s="11">
        <v>3</v>
      </c>
      <c r="G7" s="18"/>
      <c r="H7" s="14">
        <f t="shared" si="0"/>
        <v>3</v>
      </c>
      <c r="I7" s="15">
        <v>5</v>
      </c>
      <c r="J7" s="10">
        <v>46125</v>
      </c>
      <c r="K7" s="11" t="s">
        <v>62</v>
      </c>
      <c r="L7" s="12" t="s">
        <v>149</v>
      </c>
      <c r="M7" s="11">
        <v>3</v>
      </c>
      <c r="N7" s="16"/>
      <c r="O7" s="17" t="s">
        <v>63</v>
      </c>
      <c r="P7">
        <f t="shared" si="1"/>
        <v>3</v>
      </c>
    </row>
    <row r="8" customFormat="1" ht="28.5" spans="1:16">
      <c r="A8" s="9">
        <v>6</v>
      </c>
      <c r="B8" s="10">
        <v>46125</v>
      </c>
      <c r="C8" s="11" t="s">
        <v>21</v>
      </c>
      <c r="D8" s="12" t="s">
        <v>149</v>
      </c>
      <c r="E8" s="11">
        <v>3</v>
      </c>
      <c r="F8" s="16"/>
      <c r="G8" s="18"/>
      <c r="H8" s="14">
        <f t="shared" si="0"/>
        <v>3</v>
      </c>
      <c r="I8" s="15">
        <v>6</v>
      </c>
      <c r="J8" s="10">
        <v>46125</v>
      </c>
      <c r="K8" s="11" t="s">
        <v>64</v>
      </c>
      <c r="L8" s="12" t="s">
        <v>149</v>
      </c>
      <c r="M8" s="11">
        <v>2</v>
      </c>
      <c r="N8" s="16">
        <v>1</v>
      </c>
      <c r="O8" s="19" t="s">
        <v>65</v>
      </c>
      <c r="P8">
        <f t="shared" si="1"/>
        <v>3</v>
      </c>
    </row>
    <row r="9" customFormat="1" ht="22" customHeight="1" spans="1:16">
      <c r="A9" s="9">
        <v>7</v>
      </c>
      <c r="B9" s="10">
        <v>46125</v>
      </c>
      <c r="C9" s="11" t="s">
        <v>22</v>
      </c>
      <c r="D9" s="12" t="s">
        <v>149</v>
      </c>
      <c r="E9" s="11">
        <v>3</v>
      </c>
      <c r="F9" s="16"/>
      <c r="G9" s="20"/>
      <c r="H9" s="14">
        <f t="shared" si="0"/>
        <v>3</v>
      </c>
      <c r="I9" s="15">
        <v>7</v>
      </c>
      <c r="J9" s="10">
        <v>46125</v>
      </c>
      <c r="K9" s="11" t="s">
        <v>66</v>
      </c>
      <c r="L9" s="12" t="s">
        <v>149</v>
      </c>
      <c r="M9" s="11">
        <v>2</v>
      </c>
      <c r="N9" s="16">
        <v>1</v>
      </c>
      <c r="O9" s="17" t="s">
        <v>67</v>
      </c>
      <c r="P9">
        <f t="shared" si="1"/>
        <v>3</v>
      </c>
    </row>
    <row r="10" customFormat="1" ht="22" customHeight="1" spans="1:16">
      <c r="A10" s="9">
        <v>8</v>
      </c>
      <c r="B10" s="10">
        <v>46125</v>
      </c>
      <c r="C10" s="11" t="s">
        <v>23</v>
      </c>
      <c r="D10" s="12" t="s">
        <v>149</v>
      </c>
      <c r="E10" s="11">
        <v>1</v>
      </c>
      <c r="F10" s="11">
        <v>2</v>
      </c>
      <c r="G10" s="20"/>
      <c r="H10" s="14">
        <f t="shared" si="0"/>
        <v>3</v>
      </c>
      <c r="I10" s="15">
        <v>8</v>
      </c>
      <c r="J10" s="10">
        <v>46125</v>
      </c>
      <c r="K10" s="11" t="s">
        <v>68</v>
      </c>
      <c r="L10" s="12" t="s">
        <v>149</v>
      </c>
      <c r="M10" s="11"/>
      <c r="N10" s="11">
        <v>3</v>
      </c>
      <c r="O10" s="17" t="s">
        <v>56</v>
      </c>
      <c r="P10">
        <f t="shared" si="1"/>
        <v>3</v>
      </c>
    </row>
    <row r="11" customFormat="1" ht="22" customHeight="1" spans="1:16">
      <c r="A11" s="9">
        <v>9</v>
      </c>
      <c r="B11" s="10">
        <v>46125</v>
      </c>
      <c r="C11" s="11" t="s">
        <v>24</v>
      </c>
      <c r="D11" s="12" t="s">
        <v>149</v>
      </c>
      <c r="E11" s="11">
        <v>3</v>
      </c>
      <c r="F11" s="16"/>
      <c r="G11" s="20"/>
      <c r="H11" s="14">
        <f t="shared" si="0"/>
        <v>3</v>
      </c>
      <c r="I11" s="15">
        <v>9</v>
      </c>
      <c r="J11" s="10">
        <v>46125</v>
      </c>
      <c r="K11" s="11" t="s">
        <v>69</v>
      </c>
      <c r="L11" s="12" t="s">
        <v>149</v>
      </c>
      <c r="M11" s="11"/>
      <c r="N11" s="11">
        <v>3</v>
      </c>
      <c r="O11" s="17" t="s">
        <v>70</v>
      </c>
      <c r="P11">
        <f t="shared" si="1"/>
        <v>3</v>
      </c>
    </row>
    <row r="12" customFormat="1" ht="22" customHeight="1" spans="1:16">
      <c r="A12" s="9">
        <v>10</v>
      </c>
      <c r="B12" s="10">
        <v>46125</v>
      </c>
      <c r="C12" s="11" t="s">
        <v>25</v>
      </c>
      <c r="D12" s="12" t="s">
        <v>149</v>
      </c>
      <c r="E12" s="16"/>
      <c r="F12" s="11">
        <v>3</v>
      </c>
      <c r="G12" s="20"/>
      <c r="H12" s="14">
        <f t="shared" si="0"/>
        <v>3</v>
      </c>
      <c r="I12" s="15">
        <v>10</v>
      </c>
      <c r="J12" s="10">
        <v>46125</v>
      </c>
      <c r="K12" s="11" t="s">
        <v>71</v>
      </c>
      <c r="L12" s="12" t="s">
        <v>149</v>
      </c>
      <c r="M12" s="11"/>
      <c r="N12" s="11">
        <v>3</v>
      </c>
      <c r="O12" s="17" t="s">
        <v>72</v>
      </c>
      <c r="P12">
        <f t="shared" si="1"/>
        <v>3</v>
      </c>
    </row>
    <row r="13" customFormat="1" ht="22" customHeight="1" spans="1:16">
      <c r="A13" s="9">
        <v>11</v>
      </c>
      <c r="B13" s="10">
        <v>46125</v>
      </c>
      <c r="C13" s="11" t="s">
        <v>26</v>
      </c>
      <c r="D13" s="12" t="s">
        <v>149</v>
      </c>
      <c r="E13" s="11">
        <v>1</v>
      </c>
      <c r="F13" s="11">
        <v>2</v>
      </c>
      <c r="G13" s="20"/>
      <c r="H13" s="14">
        <f t="shared" si="0"/>
        <v>3</v>
      </c>
      <c r="I13" s="15">
        <v>11</v>
      </c>
      <c r="J13" s="10">
        <v>46125</v>
      </c>
      <c r="K13" s="11" t="s">
        <v>73</v>
      </c>
      <c r="L13" s="12" t="s">
        <v>149</v>
      </c>
      <c r="M13" s="11"/>
      <c r="N13" s="11">
        <v>3</v>
      </c>
      <c r="O13" s="17" t="s">
        <v>74</v>
      </c>
      <c r="P13">
        <f t="shared" si="1"/>
        <v>3</v>
      </c>
    </row>
    <row r="14" customFormat="1" ht="22" customHeight="1" spans="1:16">
      <c r="A14" s="9">
        <v>12</v>
      </c>
      <c r="B14" s="10">
        <v>46125</v>
      </c>
      <c r="C14" s="21" t="s">
        <v>27</v>
      </c>
      <c r="D14" s="12" t="s">
        <v>149</v>
      </c>
      <c r="E14" s="21">
        <v>3</v>
      </c>
      <c r="F14" s="22"/>
      <c r="G14" s="20"/>
      <c r="H14" s="14">
        <f t="shared" si="0"/>
        <v>3</v>
      </c>
      <c r="I14" s="15">
        <v>12</v>
      </c>
      <c r="J14" s="10">
        <v>46125</v>
      </c>
      <c r="K14" s="11" t="s">
        <v>75</v>
      </c>
      <c r="L14" s="12" t="s">
        <v>149</v>
      </c>
      <c r="M14" s="11">
        <v>2</v>
      </c>
      <c r="N14" s="16">
        <v>1</v>
      </c>
      <c r="O14" s="17" t="s">
        <v>76</v>
      </c>
      <c r="P14">
        <f t="shared" si="1"/>
        <v>3</v>
      </c>
    </row>
    <row r="15" customFormat="1" ht="22" customHeight="1" spans="1:16">
      <c r="A15" s="9">
        <v>13</v>
      </c>
      <c r="B15" s="10">
        <v>46125</v>
      </c>
      <c r="C15" s="23" t="s">
        <v>28</v>
      </c>
      <c r="D15" s="12" t="s">
        <v>149</v>
      </c>
      <c r="E15" s="24"/>
      <c r="F15" s="21">
        <v>3</v>
      </c>
      <c r="G15" s="25"/>
      <c r="H15" s="14">
        <f t="shared" si="0"/>
        <v>3</v>
      </c>
      <c r="I15" s="15">
        <v>13</v>
      </c>
      <c r="J15" s="10">
        <v>46125</v>
      </c>
      <c r="K15" s="11" t="s">
        <v>77</v>
      </c>
      <c r="L15" s="12" t="s">
        <v>149</v>
      </c>
      <c r="M15" s="11">
        <v>3</v>
      </c>
      <c r="N15" s="16"/>
      <c r="O15" s="17"/>
      <c r="P15">
        <f t="shared" si="1"/>
        <v>3</v>
      </c>
    </row>
    <row r="16" customFormat="1" ht="22" customHeight="1" spans="1:16">
      <c r="A16" s="9">
        <v>14</v>
      </c>
      <c r="B16" s="10">
        <v>46125</v>
      </c>
      <c r="C16" s="23" t="s">
        <v>29</v>
      </c>
      <c r="D16" s="12" t="s">
        <v>149</v>
      </c>
      <c r="E16" s="26"/>
      <c r="F16" s="21">
        <v>3</v>
      </c>
      <c r="G16" s="25"/>
      <c r="H16" s="14">
        <f t="shared" si="0"/>
        <v>3</v>
      </c>
      <c r="I16" s="15">
        <v>14</v>
      </c>
      <c r="J16" s="10">
        <v>46125</v>
      </c>
      <c r="K16" s="11" t="s">
        <v>78</v>
      </c>
      <c r="L16" s="12" t="s">
        <v>149</v>
      </c>
      <c r="M16" s="11">
        <v>2</v>
      </c>
      <c r="N16" s="16">
        <v>1</v>
      </c>
      <c r="O16" s="17" t="s">
        <v>79</v>
      </c>
      <c r="P16">
        <f t="shared" si="1"/>
        <v>3</v>
      </c>
    </row>
    <row r="17" customFormat="1" ht="22" customHeight="1" spans="1:16">
      <c r="A17" s="9">
        <v>15</v>
      </c>
      <c r="B17" s="10">
        <v>46125</v>
      </c>
      <c r="C17" s="23" t="s">
        <v>30</v>
      </c>
      <c r="D17" s="12" t="s">
        <v>149</v>
      </c>
      <c r="E17" s="21">
        <v>1</v>
      </c>
      <c r="F17" s="21">
        <v>2</v>
      </c>
      <c r="G17" s="25"/>
      <c r="H17" s="14">
        <f t="shared" si="0"/>
        <v>3</v>
      </c>
      <c r="I17" s="15">
        <v>15</v>
      </c>
      <c r="J17" s="10">
        <v>46125</v>
      </c>
      <c r="K17" s="11" t="s">
        <v>80</v>
      </c>
      <c r="L17" s="12" t="s">
        <v>149</v>
      </c>
      <c r="M17" s="21">
        <v>3</v>
      </c>
      <c r="N17" s="22"/>
      <c r="O17" s="17" t="s">
        <v>81</v>
      </c>
      <c r="P17">
        <f t="shared" si="1"/>
        <v>3</v>
      </c>
    </row>
    <row r="18" customFormat="1" ht="22" customHeight="1" spans="1:16">
      <c r="A18" s="9">
        <v>16</v>
      </c>
      <c r="B18" s="10">
        <v>46125</v>
      </c>
      <c r="C18" s="23" t="s">
        <v>31</v>
      </c>
      <c r="D18" s="12" t="s">
        <v>149</v>
      </c>
      <c r="E18" s="21">
        <v>1</v>
      </c>
      <c r="F18" s="21">
        <v>2</v>
      </c>
      <c r="G18" s="25"/>
      <c r="H18" s="14">
        <f t="shared" si="0"/>
        <v>3</v>
      </c>
      <c r="I18" s="15">
        <v>16</v>
      </c>
      <c r="J18" s="10">
        <v>46125</v>
      </c>
      <c r="K18" s="11" t="s">
        <v>82</v>
      </c>
      <c r="L18" s="12" t="s">
        <v>149</v>
      </c>
      <c r="M18" s="11"/>
      <c r="N18" s="11">
        <v>3</v>
      </c>
      <c r="O18" s="17" t="s">
        <v>83</v>
      </c>
      <c r="P18">
        <f t="shared" si="1"/>
        <v>3</v>
      </c>
    </row>
    <row r="19" customFormat="1" ht="22" customHeight="1" spans="1:16">
      <c r="A19" s="9">
        <v>17</v>
      </c>
      <c r="B19" s="10">
        <v>46125</v>
      </c>
      <c r="C19" s="23" t="s">
        <v>32</v>
      </c>
      <c r="D19" s="12" t="s">
        <v>149</v>
      </c>
      <c r="E19" s="21">
        <v>3</v>
      </c>
      <c r="F19" s="26"/>
      <c r="G19" s="25"/>
      <c r="H19" s="14">
        <f t="shared" si="0"/>
        <v>3</v>
      </c>
      <c r="I19" s="15">
        <v>17</v>
      </c>
      <c r="J19" s="10">
        <v>46125</v>
      </c>
      <c r="K19" s="11" t="s">
        <v>84</v>
      </c>
      <c r="L19" s="12" t="s">
        <v>149</v>
      </c>
      <c r="M19" s="11"/>
      <c r="N19" s="11">
        <v>3</v>
      </c>
      <c r="O19" s="17" t="s">
        <v>83</v>
      </c>
      <c r="P19">
        <f t="shared" si="1"/>
        <v>3</v>
      </c>
    </row>
    <row r="20" customFormat="1" ht="22" customHeight="1" spans="1:16">
      <c r="A20" s="9">
        <v>18</v>
      </c>
      <c r="B20" s="10">
        <v>46125</v>
      </c>
      <c r="C20" s="23" t="s">
        <v>33</v>
      </c>
      <c r="D20" s="12" t="s">
        <v>149</v>
      </c>
      <c r="E20" s="21">
        <v>3</v>
      </c>
      <c r="F20" s="26"/>
      <c r="G20" s="25"/>
      <c r="H20" s="14">
        <f t="shared" si="0"/>
        <v>3</v>
      </c>
      <c r="I20" s="15">
        <v>18</v>
      </c>
      <c r="J20" s="10">
        <v>46125</v>
      </c>
      <c r="K20" s="11" t="s">
        <v>85</v>
      </c>
      <c r="L20" s="12" t="s">
        <v>149</v>
      </c>
      <c r="M20" s="11">
        <v>3</v>
      </c>
      <c r="N20" s="16"/>
      <c r="O20" s="17"/>
      <c r="P20">
        <f t="shared" si="1"/>
        <v>3</v>
      </c>
    </row>
    <row r="21" customFormat="1" ht="22" customHeight="1" spans="1:16">
      <c r="A21" s="9">
        <v>19</v>
      </c>
      <c r="B21" s="10">
        <v>46125</v>
      </c>
      <c r="C21" s="27" t="s">
        <v>34</v>
      </c>
      <c r="D21" s="12" t="s">
        <v>149</v>
      </c>
      <c r="E21" s="21">
        <v>3</v>
      </c>
      <c r="F21" s="26"/>
      <c r="G21" s="25"/>
      <c r="H21" s="14">
        <f t="shared" si="0"/>
        <v>3</v>
      </c>
      <c r="I21" s="15">
        <v>19</v>
      </c>
      <c r="J21" s="10">
        <v>46125</v>
      </c>
      <c r="K21" s="11" t="s">
        <v>87</v>
      </c>
      <c r="L21" s="12" t="s">
        <v>149</v>
      </c>
      <c r="M21" s="11"/>
      <c r="N21" s="11">
        <v>3</v>
      </c>
      <c r="O21" s="17" t="s">
        <v>88</v>
      </c>
      <c r="P21">
        <f t="shared" si="1"/>
        <v>3</v>
      </c>
    </row>
    <row r="22" customFormat="1" ht="22" customHeight="1" spans="1:16">
      <c r="A22" s="9">
        <v>20</v>
      </c>
      <c r="B22" s="10">
        <v>46125</v>
      </c>
      <c r="C22" s="23" t="s">
        <v>35</v>
      </c>
      <c r="D22" s="12" t="s">
        <v>149</v>
      </c>
      <c r="E22" s="21">
        <v>1</v>
      </c>
      <c r="F22" s="21">
        <v>2</v>
      </c>
      <c r="G22" s="25"/>
      <c r="H22" s="14">
        <f t="shared" si="0"/>
        <v>3</v>
      </c>
      <c r="I22" s="15">
        <v>20</v>
      </c>
      <c r="J22" s="10">
        <v>46125</v>
      </c>
      <c r="K22" s="11" t="s">
        <v>89</v>
      </c>
      <c r="L22" s="12" t="s">
        <v>149</v>
      </c>
      <c r="M22" s="11"/>
      <c r="N22" s="11">
        <v>3</v>
      </c>
      <c r="O22" s="17" t="s">
        <v>74</v>
      </c>
      <c r="P22">
        <f t="shared" si="1"/>
        <v>3</v>
      </c>
    </row>
    <row r="23" customFormat="1" ht="22" customHeight="1" spans="1:16">
      <c r="A23" s="9">
        <v>21</v>
      </c>
      <c r="B23" s="10">
        <v>46125</v>
      </c>
      <c r="C23" s="23" t="s">
        <v>36</v>
      </c>
      <c r="D23" s="12" t="s">
        <v>149</v>
      </c>
      <c r="E23" s="26"/>
      <c r="F23" s="28">
        <v>9</v>
      </c>
      <c r="G23" s="25" t="s">
        <v>156</v>
      </c>
      <c r="H23" s="14">
        <f t="shared" si="0"/>
        <v>9</v>
      </c>
      <c r="I23" s="15">
        <v>21</v>
      </c>
      <c r="J23" s="10">
        <v>46125</v>
      </c>
      <c r="K23" s="11" t="s">
        <v>90</v>
      </c>
      <c r="L23" s="12" t="s">
        <v>149</v>
      </c>
      <c r="M23" s="11">
        <v>3</v>
      </c>
      <c r="N23" s="16"/>
      <c r="O23" s="17"/>
      <c r="P23">
        <f t="shared" si="1"/>
        <v>3</v>
      </c>
    </row>
    <row r="24" customFormat="1" ht="22" customHeight="1" spans="1:16">
      <c r="A24" s="9"/>
      <c r="B24" s="10"/>
      <c r="C24" s="23"/>
      <c r="D24" s="12"/>
      <c r="E24" s="24"/>
      <c r="F24" s="21"/>
      <c r="G24" s="12"/>
      <c r="H24" s="14"/>
      <c r="I24" s="15">
        <v>22</v>
      </c>
      <c r="J24" s="10">
        <v>46125</v>
      </c>
      <c r="K24" s="11" t="s">
        <v>91</v>
      </c>
      <c r="L24" s="12" t="s">
        <v>149</v>
      </c>
      <c r="M24" s="11">
        <v>3</v>
      </c>
      <c r="N24" s="16"/>
      <c r="O24" s="17"/>
      <c r="P24">
        <f t="shared" si="1"/>
        <v>3</v>
      </c>
    </row>
    <row r="25" customFormat="1" ht="22" customHeight="1" spans="1:16">
      <c r="A25" s="9"/>
      <c r="B25" s="10"/>
      <c r="C25" s="23"/>
      <c r="D25" s="12"/>
      <c r="E25" s="26"/>
      <c r="F25" s="21"/>
      <c r="G25" s="12"/>
      <c r="H25" s="14"/>
      <c r="I25" s="15">
        <v>23</v>
      </c>
      <c r="J25" s="10">
        <v>46125</v>
      </c>
      <c r="K25" s="11" t="s">
        <v>92</v>
      </c>
      <c r="L25" s="12" t="s">
        <v>149</v>
      </c>
      <c r="M25" s="11">
        <v>3</v>
      </c>
      <c r="N25" s="16"/>
      <c r="O25" s="17" t="s">
        <v>93</v>
      </c>
      <c r="P25">
        <f t="shared" si="1"/>
        <v>3</v>
      </c>
    </row>
    <row r="26" customFormat="1" ht="22" customHeight="1" spans="1:16">
      <c r="A26" s="9"/>
      <c r="B26" s="10"/>
      <c r="C26" s="23"/>
      <c r="D26" s="12"/>
      <c r="E26" s="21"/>
      <c r="F26" s="21"/>
      <c r="G26" s="12"/>
      <c r="H26" s="14"/>
      <c r="I26" s="15">
        <v>24</v>
      </c>
      <c r="J26" s="10">
        <v>46125</v>
      </c>
      <c r="K26" s="11" t="s">
        <v>94</v>
      </c>
      <c r="L26" s="12" t="s">
        <v>149</v>
      </c>
      <c r="M26" s="11">
        <v>2</v>
      </c>
      <c r="N26" s="16">
        <v>1</v>
      </c>
      <c r="O26" s="17" t="s">
        <v>95</v>
      </c>
      <c r="P26">
        <f t="shared" si="1"/>
        <v>3</v>
      </c>
    </row>
    <row r="27" customFormat="1" ht="22" customHeight="1" spans="1:16">
      <c r="A27" s="9"/>
      <c r="B27" s="10"/>
      <c r="C27" s="23"/>
      <c r="D27" s="12"/>
      <c r="E27" s="21"/>
      <c r="F27" s="21"/>
      <c r="G27" s="12"/>
      <c r="H27" s="14"/>
      <c r="I27" s="15">
        <v>25</v>
      </c>
      <c r="J27" s="10">
        <v>46125</v>
      </c>
      <c r="K27" s="11" t="s">
        <v>96</v>
      </c>
      <c r="L27" s="12" t="s">
        <v>149</v>
      </c>
      <c r="M27" s="11">
        <v>2</v>
      </c>
      <c r="N27" s="16">
        <v>1</v>
      </c>
      <c r="O27" s="17" t="s">
        <v>95</v>
      </c>
      <c r="P27">
        <f t="shared" si="1"/>
        <v>3</v>
      </c>
    </row>
    <row r="28" customFormat="1" ht="22" customHeight="1" spans="1:16">
      <c r="A28" s="9"/>
      <c r="B28" s="10"/>
      <c r="C28" s="23"/>
      <c r="D28" s="12"/>
      <c r="E28" s="21"/>
      <c r="F28" s="26"/>
      <c r="G28" s="12"/>
      <c r="H28" s="14"/>
      <c r="I28" s="15">
        <v>26</v>
      </c>
      <c r="J28" s="10">
        <v>46125</v>
      </c>
      <c r="K28" s="11" t="s">
        <v>97</v>
      </c>
      <c r="L28" s="12" t="s">
        <v>149</v>
      </c>
      <c r="M28" s="11"/>
      <c r="N28" s="11">
        <v>3</v>
      </c>
      <c r="O28" s="17" t="s">
        <v>98</v>
      </c>
      <c r="P28">
        <f t="shared" si="1"/>
        <v>3</v>
      </c>
    </row>
    <row r="29" customFormat="1" ht="22" customHeight="1" spans="1:16">
      <c r="A29" s="9"/>
      <c r="B29" s="10"/>
      <c r="C29" s="23"/>
      <c r="D29" s="12"/>
      <c r="E29" s="21"/>
      <c r="F29" s="26"/>
      <c r="G29" s="12"/>
      <c r="H29" s="14"/>
      <c r="I29" s="15">
        <v>27</v>
      </c>
      <c r="J29" s="10">
        <v>46125</v>
      </c>
      <c r="K29" s="11" t="s">
        <v>99</v>
      </c>
      <c r="L29" s="12" t="s">
        <v>149</v>
      </c>
      <c r="M29" s="11">
        <v>3</v>
      </c>
      <c r="N29" s="16"/>
      <c r="O29" s="17"/>
      <c r="P29">
        <f t="shared" si="1"/>
        <v>3</v>
      </c>
    </row>
    <row r="30" customFormat="1" ht="22" customHeight="1" spans="1:16">
      <c r="A30" s="9"/>
      <c r="B30" s="10"/>
      <c r="C30" s="27"/>
      <c r="D30" s="12"/>
      <c r="E30" s="21"/>
      <c r="F30" s="26"/>
      <c r="G30" s="12"/>
      <c r="H30" s="14"/>
      <c r="I30" s="15">
        <v>28</v>
      </c>
      <c r="J30" s="10">
        <v>46125</v>
      </c>
      <c r="K30" s="11" t="s">
        <v>101</v>
      </c>
      <c r="L30" s="12" t="s">
        <v>149</v>
      </c>
      <c r="M30" s="11">
        <v>3</v>
      </c>
      <c r="N30" s="16"/>
      <c r="O30" s="17"/>
      <c r="P30">
        <f t="shared" si="1"/>
        <v>3</v>
      </c>
    </row>
    <row r="31" customFormat="1" ht="22" customHeight="1" spans="1:16">
      <c r="A31" s="9"/>
      <c r="B31" s="10"/>
      <c r="C31" s="23"/>
      <c r="D31" s="12"/>
      <c r="E31" s="21"/>
      <c r="F31" s="21"/>
      <c r="G31" s="12"/>
      <c r="H31" s="14"/>
      <c r="I31" s="15">
        <v>29</v>
      </c>
      <c r="J31" s="10">
        <v>46125</v>
      </c>
      <c r="K31" s="11" t="s">
        <v>103</v>
      </c>
      <c r="L31" s="12" t="s">
        <v>149</v>
      </c>
      <c r="M31" s="11">
        <v>3</v>
      </c>
      <c r="N31" s="11"/>
      <c r="O31" s="35"/>
      <c r="P31">
        <f t="shared" si="1"/>
        <v>3</v>
      </c>
    </row>
    <row r="32" customFormat="1" ht="22" customHeight="1" spans="1:16">
      <c r="A32" s="9"/>
      <c r="B32" s="10"/>
      <c r="C32" s="23"/>
      <c r="D32" s="12"/>
      <c r="E32" s="21"/>
      <c r="F32" s="21"/>
      <c r="G32" s="25"/>
      <c r="H32" s="14"/>
      <c r="I32" s="15">
        <v>30</v>
      </c>
      <c r="J32" s="10">
        <v>46125</v>
      </c>
      <c r="K32" s="11" t="s">
        <v>105</v>
      </c>
      <c r="L32" s="12" t="s">
        <v>149</v>
      </c>
      <c r="M32" s="11">
        <v>3</v>
      </c>
      <c r="N32" s="11"/>
      <c r="O32" s="17"/>
      <c r="P32">
        <f t="shared" si="1"/>
        <v>3</v>
      </c>
    </row>
    <row r="33" customFormat="1" ht="22" customHeight="1" spans="5:16">
      <c r="E33" s="14">
        <f>SUM(E3:E32)</f>
        <v>36</v>
      </c>
      <c r="F33" s="14">
        <f>SUM(F3:F32)</f>
        <v>33</v>
      </c>
      <c r="H33" s="14">
        <f>SUM(H3:H32)</f>
        <v>69</v>
      </c>
      <c r="I33" s="15">
        <v>31</v>
      </c>
      <c r="J33" s="10">
        <v>46125</v>
      </c>
      <c r="K33" s="42" t="s">
        <v>106</v>
      </c>
      <c r="L33" s="12" t="s">
        <v>149</v>
      </c>
      <c r="M33" s="39"/>
      <c r="N33" s="11">
        <v>3</v>
      </c>
      <c r="O33" s="40" t="s">
        <v>74</v>
      </c>
      <c r="P33">
        <f t="shared" si="1"/>
        <v>3</v>
      </c>
    </row>
    <row r="34" customFormat="1" ht="22" customHeight="1" spans="5:16">
      <c r="I34" s="15">
        <v>32</v>
      </c>
      <c r="J34" s="10">
        <v>46125</v>
      </c>
      <c r="K34" s="42" t="s">
        <v>107</v>
      </c>
      <c r="L34" s="12" t="s">
        <v>149</v>
      </c>
      <c r="M34" s="11">
        <v>2</v>
      </c>
      <c r="N34" s="16">
        <v>1</v>
      </c>
      <c r="O34" s="40" t="s">
        <v>108</v>
      </c>
      <c r="P34">
        <f t="shared" si="1"/>
        <v>3</v>
      </c>
    </row>
    <row r="35" customFormat="1" ht="22" customHeight="1" spans="5:16">
      <c r="I35" s="15">
        <v>33</v>
      </c>
      <c r="J35" s="10">
        <v>46125</v>
      </c>
      <c r="K35" s="42" t="s">
        <v>109</v>
      </c>
      <c r="L35" s="12" t="s">
        <v>149</v>
      </c>
      <c r="M35" s="39"/>
      <c r="N35" s="11">
        <v>3</v>
      </c>
      <c r="O35" s="40" t="s">
        <v>98</v>
      </c>
      <c r="P35">
        <f t="shared" si="1"/>
        <v>3</v>
      </c>
    </row>
    <row r="36" ht="22" customHeight="1" spans="5:16">
      <c r="I36" s="15">
        <v>34</v>
      </c>
      <c r="J36" s="10">
        <v>46125</v>
      </c>
      <c r="K36" s="42" t="s">
        <v>110</v>
      </c>
      <c r="L36" s="12" t="s">
        <v>149</v>
      </c>
      <c r="M36" s="39"/>
      <c r="N36" s="11">
        <v>3</v>
      </c>
      <c r="O36" s="40" t="s">
        <v>98</v>
      </c>
      <c r="P36">
        <f t="shared" si="1"/>
        <v>3</v>
      </c>
    </row>
    <row r="37" ht="22" customHeight="1" spans="5:16">
      <c r="I37" s="15">
        <v>35</v>
      </c>
      <c r="J37" s="10">
        <v>46125</v>
      </c>
      <c r="K37" s="42" t="s">
        <v>111</v>
      </c>
      <c r="L37" s="12" t="s">
        <v>149</v>
      </c>
      <c r="M37" s="11">
        <v>3</v>
      </c>
      <c r="N37" s="40"/>
      <c r="O37" s="40"/>
      <c r="P37">
        <f t="shared" si="1"/>
        <v>3</v>
      </c>
    </row>
    <row r="38" ht="22" customHeight="1" spans="5:16">
      <c r="I38" s="15">
        <v>36</v>
      </c>
      <c r="J38" s="10">
        <v>46125</v>
      </c>
      <c r="K38" s="42" t="s">
        <v>112</v>
      </c>
      <c r="L38" s="12" t="s">
        <v>149</v>
      </c>
      <c r="M38" s="11">
        <v>3</v>
      </c>
      <c r="N38" s="40"/>
      <c r="O38" s="40"/>
      <c r="P38">
        <f t="shared" si="1"/>
        <v>3</v>
      </c>
    </row>
    <row r="39" ht="18.75" spans="5:16">
      <c r="I39" s="15">
        <v>37</v>
      </c>
      <c r="J39" s="10">
        <v>46125</v>
      </c>
      <c r="K39" s="43" t="s">
        <v>114</v>
      </c>
      <c r="L39" s="12" t="s">
        <v>149</v>
      </c>
      <c r="M39" s="11">
        <v>3</v>
      </c>
      <c r="N39" s="41"/>
      <c r="O39" s="44"/>
      <c r="P39">
        <f t="shared" si="1"/>
        <v>3</v>
      </c>
    </row>
    <row r="40" ht="18.75" spans="5:16">
      <c r="I40" s="15">
        <v>38</v>
      </c>
      <c r="J40" s="10">
        <v>46125</v>
      </c>
      <c r="K40" s="43" t="s">
        <v>117</v>
      </c>
      <c r="L40" s="12" t="s">
        <v>149</v>
      </c>
      <c r="M40" s="11">
        <v>2</v>
      </c>
      <c r="N40" s="16">
        <v>1</v>
      </c>
      <c r="O40" s="40" t="s">
        <v>108</v>
      </c>
      <c r="P40">
        <f t="shared" si="1"/>
        <v>3</v>
      </c>
    </row>
    <row r="41" ht="18.75" spans="5:16">
      <c r="I41" s="15">
        <v>39</v>
      </c>
      <c r="J41" s="10">
        <v>46125</v>
      </c>
      <c r="K41" s="43" t="s">
        <v>121</v>
      </c>
      <c r="L41" s="12" t="s">
        <v>149</v>
      </c>
      <c r="M41" s="11">
        <v>2</v>
      </c>
      <c r="N41" s="16">
        <v>1</v>
      </c>
      <c r="O41" s="40" t="s">
        <v>108</v>
      </c>
      <c r="P41">
        <f t="shared" si="1"/>
        <v>3</v>
      </c>
    </row>
    <row r="42" ht="18.75" spans="5:16">
      <c r="I42" s="15">
        <v>40</v>
      </c>
      <c r="J42" s="10">
        <v>46125</v>
      </c>
      <c r="K42" s="43" t="s">
        <v>125</v>
      </c>
      <c r="L42" s="12" t="s">
        <v>149</v>
      </c>
      <c r="M42" s="11">
        <v>3</v>
      </c>
      <c r="N42" s="41"/>
      <c r="O42" s="45"/>
      <c r="P42">
        <f t="shared" si="1"/>
        <v>3</v>
      </c>
    </row>
    <row r="43" ht="18.75" spans="5:16">
      <c r="I43" s="15">
        <v>41</v>
      </c>
      <c r="J43" s="10">
        <v>46125</v>
      </c>
      <c r="K43" s="46" t="s">
        <v>127</v>
      </c>
      <c r="L43" s="12" t="s">
        <v>149</v>
      </c>
      <c r="M43" s="11">
        <v>3</v>
      </c>
      <c r="N43" s="41"/>
      <c r="O43" s="44"/>
      <c r="P43">
        <f t="shared" si="1"/>
        <v>3</v>
      </c>
    </row>
    <row r="44" customFormat="1" ht="18.75" spans="5:16">
      <c r="I44" s="15">
        <v>42</v>
      </c>
      <c r="J44" s="10">
        <v>46125</v>
      </c>
      <c r="K44" s="47" t="s">
        <v>129</v>
      </c>
      <c r="L44" s="12" t="s">
        <v>149</v>
      </c>
      <c r="M44" s="11">
        <v>3</v>
      </c>
      <c r="N44" s="41"/>
      <c r="O44" s="44"/>
      <c r="P44">
        <f t="shared" si="1"/>
        <v>3</v>
      </c>
    </row>
    <row r="45" ht="18.75" spans="5:16">
      <c r="I45" s="15">
        <v>43</v>
      </c>
      <c r="J45" s="10">
        <v>46125</v>
      </c>
      <c r="K45" s="47" t="s">
        <v>129</v>
      </c>
      <c r="L45" s="12" t="s">
        <v>149</v>
      </c>
      <c r="M45" s="11">
        <v>3</v>
      </c>
      <c r="N45" s="41"/>
      <c r="O45" s="44" t="s">
        <v>157</v>
      </c>
      <c r="P45">
        <f t="shared" si="1"/>
        <v>3</v>
      </c>
    </row>
    <row r="46" ht="21" customHeight="1" spans="5:16">
      <c r="M46" s="29">
        <f>SUM(M3:M45)</f>
        <v>80</v>
      </c>
      <c r="N46" s="29">
        <f>SUM(N3:N45)</f>
        <v>49</v>
      </c>
      <c r="P46">
        <f t="shared" si="1"/>
        <v>129</v>
      </c>
    </row>
    <row r="50" ht="14.25" spans="7:9">
      <c r="G50" s="7" t="s">
        <v>147</v>
      </c>
      <c r="H50" s="7" t="s">
        <v>148</v>
      </c>
    </row>
    <row r="51" spans="7:9">
      <c r="G51">
        <f>E33+M46</f>
        <v>116</v>
      </c>
      <c r="H51">
        <f>F33+N46</f>
        <v>82</v>
      </c>
      <c r="I51">
        <f>SUM(G51:H51)</f>
        <v>198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3"/>
  <sheetViews>
    <sheetView topLeftCell="B1" workbookViewId="0">
      <pane ySplit="2" topLeftCell="A30" activePane="bottomLeft" state="frozen"/>
      <selection/>
      <selection pane="bottomLeft" activeCell="F44" sqref="F44"/>
    </sheetView>
  </sheetViews>
  <sheetFormatPr defaultColWidth="9.14285714285714" defaultRowHeight="12"/>
  <cols>
    <col min="1" max="1" width="7.85714285714286" customWidth="1"/>
    <col min="2" max="2" width="14.4285714285714" customWidth="1"/>
    <col min="3" max="3" width="15" customWidth="1"/>
    <col min="4" max="4" width="12.1428571428571" customWidth="1"/>
    <col min="5" max="5" width="9.85714285714286" customWidth="1"/>
    <col min="6" max="6" width="10" customWidth="1"/>
    <col min="7" max="7" width="19.5714285714286" customWidth="1"/>
    <col min="9" max="9" width="8.57142857142857" customWidth="1"/>
    <col min="10" max="10" width="11" customWidth="1"/>
    <col min="11" max="11" width="11.4285714285714" customWidth="1"/>
    <col min="12" max="12" width="12.1428571428571" customWidth="1"/>
    <col min="13" max="14" width="10" customWidth="1"/>
    <col min="15" max="15" width="27.1428571428571" customWidth="1"/>
    <col min="16" max="16" width="6.85714285714286" customWidth="1"/>
  </cols>
  <sheetData>
    <row r="1" customFormat="1" ht="38" customHeight="1" spans="1:16">
      <c r="A1" s="2" t="s">
        <v>144</v>
      </c>
      <c r="B1" s="2"/>
      <c r="C1" s="2"/>
      <c r="D1" s="2"/>
      <c r="E1" s="2"/>
      <c r="F1" s="3"/>
      <c r="G1" s="4"/>
      <c r="I1" s="2" t="s">
        <v>145</v>
      </c>
      <c r="J1" s="2"/>
      <c r="K1" s="2"/>
      <c r="L1" s="2"/>
      <c r="M1" s="2"/>
      <c r="N1" s="3"/>
      <c r="O1" s="4"/>
    </row>
    <row r="2" s="1" customFormat="1" ht="32" customHeight="1" spans="1:16">
      <c r="A2" s="5" t="s">
        <v>2</v>
      </c>
      <c r="B2" s="5" t="s">
        <v>136</v>
      </c>
      <c r="C2" s="5" t="s">
        <v>3</v>
      </c>
      <c r="D2" s="6" t="s">
        <v>146</v>
      </c>
      <c r="E2" s="7" t="s">
        <v>147</v>
      </c>
      <c r="F2" s="7" t="s">
        <v>148</v>
      </c>
      <c r="G2" s="7" t="s">
        <v>7</v>
      </c>
      <c r="I2" s="7" t="s">
        <v>2</v>
      </c>
      <c r="J2" s="8" t="s">
        <v>136</v>
      </c>
      <c r="K2" s="5" t="s">
        <v>3</v>
      </c>
      <c r="L2" s="6" t="s">
        <v>146</v>
      </c>
      <c r="M2" s="7" t="s">
        <v>147</v>
      </c>
      <c r="N2" s="7" t="s">
        <v>148</v>
      </c>
      <c r="O2" s="7" t="s">
        <v>7</v>
      </c>
    </row>
    <row r="3" customFormat="1" ht="22" customHeight="1" spans="1:16">
      <c r="A3" s="9">
        <v>1</v>
      </c>
      <c r="B3" s="10">
        <v>46128</v>
      </c>
      <c r="C3" s="11" t="s">
        <v>13</v>
      </c>
      <c r="D3" s="12" t="s">
        <v>152</v>
      </c>
      <c r="E3" s="11">
        <v>1</v>
      </c>
      <c r="F3" s="11">
        <v>1</v>
      </c>
      <c r="G3" s="13"/>
      <c r="H3" s="14"/>
      <c r="I3" s="15">
        <v>1</v>
      </c>
      <c r="J3" s="10">
        <v>46128</v>
      </c>
      <c r="K3" s="11" t="s">
        <v>50</v>
      </c>
      <c r="L3" s="12" t="s">
        <v>152</v>
      </c>
      <c r="M3" s="11">
        <v>2</v>
      </c>
      <c r="N3" s="16"/>
      <c r="O3" s="17"/>
      <c r="P3">
        <f t="shared" ref="P3:P46" si="0">SUM(M3:N3)</f>
        <v>2</v>
      </c>
    </row>
    <row r="4" customFormat="1" ht="22" customHeight="1" spans="1:16">
      <c r="A4" s="9">
        <v>2</v>
      </c>
      <c r="B4" s="10">
        <v>46128</v>
      </c>
      <c r="C4" s="11" t="s">
        <v>16</v>
      </c>
      <c r="D4" s="12" t="s">
        <v>152</v>
      </c>
      <c r="E4" s="11">
        <v>2</v>
      </c>
      <c r="F4" s="16"/>
      <c r="G4" s="18"/>
      <c r="H4" s="14"/>
      <c r="I4" s="15">
        <v>2</v>
      </c>
      <c r="J4" s="10">
        <v>46128</v>
      </c>
      <c r="K4" s="11" t="s">
        <v>55</v>
      </c>
      <c r="L4" s="12" t="s">
        <v>152</v>
      </c>
      <c r="M4" s="11"/>
      <c r="N4" s="11">
        <v>2</v>
      </c>
      <c r="O4" s="17" t="s">
        <v>56</v>
      </c>
      <c r="P4">
        <f t="shared" si="0"/>
        <v>2</v>
      </c>
    </row>
    <row r="5" customFormat="1" ht="22" customHeight="1" spans="1:16">
      <c r="A5" s="9">
        <v>3</v>
      </c>
      <c r="B5" s="10">
        <v>46128</v>
      </c>
      <c r="C5" s="11" t="s">
        <v>17</v>
      </c>
      <c r="D5" s="12" t="s">
        <v>152</v>
      </c>
      <c r="E5" s="11">
        <v>2</v>
      </c>
      <c r="F5" s="16"/>
      <c r="G5" s="18"/>
      <c r="H5" s="14"/>
      <c r="I5" s="15">
        <v>3</v>
      </c>
      <c r="J5" s="10">
        <v>46128</v>
      </c>
      <c r="K5" s="11" t="s">
        <v>57</v>
      </c>
      <c r="L5" s="12" t="s">
        <v>152</v>
      </c>
      <c r="M5" s="11">
        <v>2</v>
      </c>
      <c r="N5" s="16"/>
      <c r="O5" s="17"/>
      <c r="P5">
        <f t="shared" si="0"/>
        <v>2</v>
      </c>
    </row>
    <row r="6" customFormat="1" ht="22" customHeight="1" spans="1:16">
      <c r="A6" s="9">
        <v>4</v>
      </c>
      <c r="B6" s="10">
        <v>46128</v>
      </c>
      <c r="C6" s="11" t="s">
        <v>18</v>
      </c>
      <c r="D6" s="12" t="s">
        <v>152</v>
      </c>
      <c r="E6" s="11">
        <v>2</v>
      </c>
      <c r="F6" s="16"/>
      <c r="G6" s="18"/>
      <c r="H6" s="14"/>
      <c r="I6" s="15">
        <v>4</v>
      </c>
      <c r="J6" s="10">
        <v>46128</v>
      </c>
      <c r="K6" s="11" t="s">
        <v>59</v>
      </c>
      <c r="L6" s="12" t="s">
        <v>152</v>
      </c>
      <c r="M6" s="11">
        <v>1</v>
      </c>
      <c r="N6" s="16">
        <v>1</v>
      </c>
      <c r="O6" s="17" t="s">
        <v>61</v>
      </c>
      <c r="P6">
        <f t="shared" si="0"/>
        <v>2</v>
      </c>
    </row>
    <row r="7" customFormat="1" ht="22" customHeight="1" spans="1:16">
      <c r="A7" s="9">
        <v>5</v>
      </c>
      <c r="B7" s="10">
        <v>46128</v>
      </c>
      <c r="C7" s="11" t="s">
        <v>20</v>
      </c>
      <c r="D7" s="12" t="s">
        <v>152</v>
      </c>
      <c r="E7" s="16"/>
      <c r="F7" s="11">
        <v>2</v>
      </c>
      <c r="G7" s="18"/>
      <c r="H7" s="14"/>
      <c r="I7" s="15">
        <v>5</v>
      </c>
      <c r="J7" s="10">
        <v>46128</v>
      </c>
      <c r="K7" s="11" t="s">
        <v>62</v>
      </c>
      <c r="L7" s="12" t="s">
        <v>152</v>
      </c>
      <c r="M7" s="11">
        <v>2</v>
      </c>
      <c r="N7" s="16"/>
      <c r="O7" s="17" t="s">
        <v>63</v>
      </c>
      <c r="P7">
        <f t="shared" si="0"/>
        <v>2</v>
      </c>
    </row>
    <row r="8" customFormat="1" ht="28.5" spans="1:16">
      <c r="A8" s="9">
        <v>6</v>
      </c>
      <c r="B8" s="10">
        <v>46128</v>
      </c>
      <c r="C8" s="11" t="s">
        <v>21</v>
      </c>
      <c r="D8" s="12" t="s">
        <v>152</v>
      </c>
      <c r="E8" s="11">
        <v>2</v>
      </c>
      <c r="F8" s="16"/>
      <c r="G8" s="18"/>
      <c r="H8" s="14"/>
      <c r="I8" s="15">
        <v>6</v>
      </c>
      <c r="J8" s="10">
        <v>46128</v>
      </c>
      <c r="K8" s="11" t="s">
        <v>64</v>
      </c>
      <c r="L8" s="12" t="s">
        <v>152</v>
      </c>
      <c r="M8" s="11">
        <v>1</v>
      </c>
      <c r="N8" s="16">
        <v>1</v>
      </c>
      <c r="O8" s="19" t="s">
        <v>65</v>
      </c>
      <c r="P8">
        <f t="shared" si="0"/>
        <v>2</v>
      </c>
    </row>
    <row r="9" customFormat="1" ht="22" customHeight="1" spans="1:16">
      <c r="A9" s="9">
        <v>7</v>
      </c>
      <c r="B9" s="10">
        <v>46128</v>
      </c>
      <c r="C9" s="11" t="s">
        <v>22</v>
      </c>
      <c r="D9" s="12" t="s">
        <v>152</v>
      </c>
      <c r="E9" s="11">
        <v>2</v>
      </c>
      <c r="F9" s="16"/>
      <c r="G9" s="20"/>
      <c r="H9" s="14"/>
      <c r="I9" s="15">
        <v>7</v>
      </c>
      <c r="J9" s="10">
        <v>46128</v>
      </c>
      <c r="K9" s="11" t="s">
        <v>66</v>
      </c>
      <c r="L9" s="12" t="s">
        <v>152</v>
      </c>
      <c r="M9" s="11">
        <v>1</v>
      </c>
      <c r="N9" s="16">
        <v>1</v>
      </c>
      <c r="O9" s="17" t="s">
        <v>67</v>
      </c>
      <c r="P9">
        <f t="shared" si="0"/>
        <v>2</v>
      </c>
    </row>
    <row r="10" customFormat="1" ht="22" customHeight="1" spans="1:16">
      <c r="A10" s="9">
        <v>8</v>
      </c>
      <c r="B10" s="10">
        <v>46128</v>
      </c>
      <c r="C10" s="11" t="s">
        <v>23</v>
      </c>
      <c r="D10" s="12" t="s">
        <v>152</v>
      </c>
      <c r="E10" s="11">
        <v>1</v>
      </c>
      <c r="F10" s="11">
        <v>1</v>
      </c>
      <c r="G10" s="20"/>
      <c r="H10" s="14"/>
      <c r="I10" s="15">
        <v>8</v>
      </c>
      <c r="J10" s="10">
        <v>46128</v>
      </c>
      <c r="K10" s="11" t="s">
        <v>68</v>
      </c>
      <c r="L10" s="12" t="s">
        <v>152</v>
      </c>
      <c r="M10" s="11"/>
      <c r="N10" s="11">
        <v>2</v>
      </c>
      <c r="O10" s="17" t="s">
        <v>56</v>
      </c>
      <c r="P10">
        <f t="shared" si="0"/>
        <v>2</v>
      </c>
    </row>
    <row r="11" customFormat="1" ht="22" customHeight="1" spans="1:16">
      <c r="A11" s="9">
        <v>9</v>
      </c>
      <c r="B11" s="10">
        <v>46128</v>
      </c>
      <c r="C11" s="11" t="s">
        <v>24</v>
      </c>
      <c r="D11" s="12" t="s">
        <v>152</v>
      </c>
      <c r="E11" s="11">
        <v>2</v>
      </c>
      <c r="F11" s="16"/>
      <c r="G11" s="20"/>
      <c r="H11" s="14"/>
      <c r="I11" s="15">
        <v>9</v>
      </c>
      <c r="J11" s="10">
        <v>46128</v>
      </c>
      <c r="K11" s="11" t="s">
        <v>69</v>
      </c>
      <c r="L11" s="12" t="s">
        <v>152</v>
      </c>
      <c r="M11" s="11"/>
      <c r="N11" s="11">
        <v>2</v>
      </c>
      <c r="O11" s="17" t="s">
        <v>70</v>
      </c>
      <c r="P11">
        <f t="shared" si="0"/>
        <v>2</v>
      </c>
    </row>
    <row r="12" customFormat="1" ht="22" customHeight="1" spans="1:16">
      <c r="A12" s="9">
        <v>10</v>
      </c>
      <c r="B12" s="10">
        <v>46128</v>
      </c>
      <c r="C12" s="11" t="s">
        <v>25</v>
      </c>
      <c r="D12" s="12" t="s">
        <v>152</v>
      </c>
      <c r="E12" s="16"/>
      <c r="F12" s="11">
        <v>2</v>
      </c>
      <c r="G12" s="20"/>
      <c r="H12" s="14"/>
      <c r="I12" s="15">
        <v>10</v>
      </c>
      <c r="J12" s="10">
        <v>46128</v>
      </c>
      <c r="K12" s="11" t="s">
        <v>71</v>
      </c>
      <c r="L12" s="12" t="s">
        <v>152</v>
      </c>
      <c r="M12" s="11"/>
      <c r="N12" s="11">
        <v>2</v>
      </c>
      <c r="O12" s="17" t="s">
        <v>72</v>
      </c>
      <c r="P12">
        <f t="shared" si="0"/>
        <v>2</v>
      </c>
    </row>
    <row r="13" customFormat="1" ht="22" customHeight="1" spans="1:16">
      <c r="A13" s="9">
        <v>11</v>
      </c>
      <c r="B13" s="10">
        <v>46128</v>
      </c>
      <c r="C13" s="11" t="s">
        <v>26</v>
      </c>
      <c r="D13" s="12" t="s">
        <v>152</v>
      </c>
      <c r="E13" s="11">
        <v>1</v>
      </c>
      <c r="F13" s="11">
        <v>1</v>
      </c>
      <c r="G13" s="20"/>
      <c r="H13" s="14"/>
      <c r="I13" s="15">
        <v>11</v>
      </c>
      <c r="J13" s="10">
        <v>46128</v>
      </c>
      <c r="K13" s="11" t="s">
        <v>73</v>
      </c>
      <c r="L13" s="12" t="s">
        <v>152</v>
      </c>
      <c r="M13" s="11"/>
      <c r="N13" s="11">
        <v>2</v>
      </c>
      <c r="O13" s="17" t="s">
        <v>74</v>
      </c>
      <c r="P13">
        <f t="shared" si="0"/>
        <v>2</v>
      </c>
    </row>
    <row r="14" customFormat="1" ht="22" customHeight="1" spans="1:16">
      <c r="A14" s="9">
        <v>12</v>
      </c>
      <c r="B14" s="10">
        <v>46128</v>
      </c>
      <c r="C14" s="21" t="s">
        <v>27</v>
      </c>
      <c r="D14" s="12" t="s">
        <v>152</v>
      </c>
      <c r="E14" s="11">
        <v>2</v>
      </c>
      <c r="F14" s="22"/>
      <c r="G14" s="20"/>
      <c r="H14" s="14"/>
      <c r="I14" s="15">
        <v>12</v>
      </c>
      <c r="J14" s="10">
        <v>46128</v>
      </c>
      <c r="K14" s="11" t="s">
        <v>75</v>
      </c>
      <c r="L14" s="12" t="s">
        <v>152</v>
      </c>
      <c r="M14" s="11">
        <v>1</v>
      </c>
      <c r="N14" s="16">
        <v>1</v>
      </c>
      <c r="O14" s="17" t="s">
        <v>76</v>
      </c>
      <c r="P14">
        <f t="shared" si="0"/>
        <v>2</v>
      </c>
    </row>
    <row r="15" customFormat="1" ht="22" customHeight="1" spans="1:16">
      <c r="A15" s="9">
        <v>13</v>
      </c>
      <c r="B15" s="10">
        <v>46128</v>
      </c>
      <c r="C15" s="23" t="s">
        <v>28</v>
      </c>
      <c r="D15" s="12" t="s">
        <v>152</v>
      </c>
      <c r="E15" s="24"/>
      <c r="F15" s="11">
        <v>2</v>
      </c>
      <c r="G15" s="25"/>
      <c r="H15" s="14"/>
      <c r="I15" s="15">
        <v>13</v>
      </c>
      <c r="J15" s="10">
        <v>46128</v>
      </c>
      <c r="K15" s="11" t="s">
        <v>77</v>
      </c>
      <c r="L15" s="12" t="s">
        <v>152</v>
      </c>
      <c r="M15" s="11">
        <v>2</v>
      </c>
      <c r="N15" s="16"/>
      <c r="O15" s="17"/>
      <c r="P15">
        <f t="shared" si="0"/>
        <v>2</v>
      </c>
    </row>
    <row r="16" customFormat="1" ht="22" customHeight="1" spans="1:16">
      <c r="A16" s="9">
        <v>14</v>
      </c>
      <c r="B16" s="10">
        <v>46128</v>
      </c>
      <c r="C16" s="23" t="s">
        <v>29</v>
      </c>
      <c r="D16" s="12" t="s">
        <v>152</v>
      </c>
      <c r="E16" s="26"/>
      <c r="F16" s="11">
        <v>2</v>
      </c>
      <c r="G16" s="25"/>
      <c r="H16" s="14"/>
      <c r="I16" s="15">
        <v>14</v>
      </c>
      <c r="J16" s="10">
        <v>46128</v>
      </c>
      <c r="K16" s="11" t="s">
        <v>78</v>
      </c>
      <c r="L16" s="12" t="s">
        <v>152</v>
      </c>
      <c r="M16" s="11">
        <v>1</v>
      </c>
      <c r="N16" s="16">
        <v>1</v>
      </c>
      <c r="O16" s="17" t="s">
        <v>79</v>
      </c>
      <c r="P16">
        <f t="shared" si="0"/>
        <v>2</v>
      </c>
    </row>
    <row r="17" customFormat="1" ht="22" customHeight="1" spans="1:16">
      <c r="A17" s="9">
        <v>15</v>
      </c>
      <c r="B17" s="10">
        <v>46128</v>
      </c>
      <c r="C17" s="23" t="s">
        <v>30</v>
      </c>
      <c r="D17" s="12" t="s">
        <v>152</v>
      </c>
      <c r="E17" s="11">
        <v>1</v>
      </c>
      <c r="F17" s="11">
        <v>1</v>
      </c>
      <c r="G17" s="25"/>
      <c r="H17" s="14"/>
      <c r="I17" s="15">
        <v>15</v>
      </c>
      <c r="J17" s="10">
        <v>46128</v>
      </c>
      <c r="K17" s="11" t="s">
        <v>80</v>
      </c>
      <c r="L17" s="12" t="s">
        <v>152</v>
      </c>
      <c r="M17" s="11">
        <v>2</v>
      </c>
      <c r="N17" s="16"/>
      <c r="O17" s="17" t="s">
        <v>81</v>
      </c>
      <c r="P17">
        <f t="shared" si="0"/>
        <v>2</v>
      </c>
    </row>
    <row r="18" customFormat="1" ht="22" customHeight="1" spans="1:16">
      <c r="A18" s="9">
        <v>16</v>
      </c>
      <c r="B18" s="10">
        <v>46128</v>
      </c>
      <c r="C18" s="23" t="s">
        <v>31</v>
      </c>
      <c r="D18" s="12" t="s">
        <v>152</v>
      </c>
      <c r="E18" s="11">
        <v>1</v>
      </c>
      <c r="F18" s="11">
        <v>1</v>
      </c>
      <c r="G18" s="25"/>
      <c r="H18" s="14"/>
      <c r="I18" s="15">
        <v>16</v>
      </c>
      <c r="J18" s="10">
        <v>46128</v>
      </c>
      <c r="K18" s="11" t="s">
        <v>82</v>
      </c>
      <c r="L18" s="12" t="s">
        <v>152</v>
      </c>
      <c r="M18" s="11"/>
      <c r="N18" s="11">
        <v>2</v>
      </c>
      <c r="O18" s="17" t="s">
        <v>83</v>
      </c>
      <c r="P18">
        <f t="shared" si="0"/>
        <v>2</v>
      </c>
    </row>
    <row r="19" customFormat="1" ht="22" customHeight="1" spans="1:16">
      <c r="A19" s="9">
        <v>17</v>
      </c>
      <c r="B19" s="10">
        <v>46128</v>
      </c>
      <c r="C19" s="23" t="s">
        <v>32</v>
      </c>
      <c r="D19" s="12" t="s">
        <v>152</v>
      </c>
      <c r="E19" s="11">
        <v>2</v>
      </c>
      <c r="F19" s="26"/>
      <c r="G19" s="25"/>
      <c r="H19" s="14"/>
      <c r="I19" s="15">
        <v>17</v>
      </c>
      <c r="J19" s="10">
        <v>46128</v>
      </c>
      <c r="K19" s="11" t="s">
        <v>84</v>
      </c>
      <c r="L19" s="12" t="s">
        <v>152</v>
      </c>
      <c r="M19" s="11"/>
      <c r="N19" s="11">
        <v>2</v>
      </c>
      <c r="O19" s="17" t="s">
        <v>83</v>
      </c>
      <c r="P19">
        <f t="shared" si="0"/>
        <v>2</v>
      </c>
    </row>
    <row r="20" customFormat="1" ht="22" customHeight="1" spans="1:16">
      <c r="A20" s="9">
        <v>18</v>
      </c>
      <c r="B20" s="10">
        <v>46128</v>
      </c>
      <c r="C20" s="23" t="s">
        <v>33</v>
      </c>
      <c r="D20" s="12" t="s">
        <v>152</v>
      </c>
      <c r="E20" s="11">
        <v>2</v>
      </c>
      <c r="F20" s="26"/>
      <c r="G20" s="25"/>
      <c r="H20" s="14"/>
      <c r="I20" s="15">
        <v>18</v>
      </c>
      <c r="J20" s="10">
        <v>46128</v>
      </c>
      <c r="K20" s="11" t="s">
        <v>85</v>
      </c>
      <c r="L20" s="12" t="s">
        <v>152</v>
      </c>
      <c r="M20" s="11">
        <v>2</v>
      </c>
      <c r="N20" s="16"/>
      <c r="O20" s="17"/>
      <c r="P20">
        <f t="shared" si="0"/>
        <v>2</v>
      </c>
    </row>
    <row r="21" customFormat="1" ht="22" customHeight="1" spans="1:16">
      <c r="A21" s="9">
        <v>19</v>
      </c>
      <c r="B21" s="10">
        <v>46128</v>
      </c>
      <c r="C21" s="27" t="s">
        <v>34</v>
      </c>
      <c r="D21" s="12" t="s">
        <v>152</v>
      </c>
      <c r="E21" s="11">
        <v>2</v>
      </c>
      <c r="F21" s="26"/>
      <c r="G21" s="25"/>
      <c r="H21" s="14"/>
      <c r="I21" s="15">
        <v>19</v>
      </c>
      <c r="J21" s="10">
        <v>46128</v>
      </c>
      <c r="K21" s="11" t="s">
        <v>87</v>
      </c>
      <c r="L21" s="12" t="s">
        <v>152</v>
      </c>
      <c r="M21" s="11"/>
      <c r="N21" s="11">
        <v>2</v>
      </c>
      <c r="O21" s="17" t="s">
        <v>88</v>
      </c>
      <c r="P21">
        <f t="shared" si="0"/>
        <v>2</v>
      </c>
    </row>
    <row r="22" customFormat="1" ht="22" customHeight="1" spans="1:16">
      <c r="A22" s="9">
        <v>20</v>
      </c>
      <c r="B22" s="10">
        <v>46128</v>
      </c>
      <c r="C22" s="23" t="s">
        <v>35</v>
      </c>
      <c r="D22" s="12" t="s">
        <v>152</v>
      </c>
      <c r="E22" s="11">
        <v>1</v>
      </c>
      <c r="F22" s="11">
        <v>1</v>
      </c>
      <c r="G22" s="25"/>
      <c r="H22" s="14"/>
      <c r="I22" s="15">
        <v>20</v>
      </c>
      <c r="J22" s="10">
        <v>46128</v>
      </c>
      <c r="K22" s="11" t="s">
        <v>89</v>
      </c>
      <c r="L22" s="12" t="s">
        <v>152</v>
      </c>
      <c r="M22" s="11"/>
      <c r="N22" s="11">
        <v>2</v>
      </c>
      <c r="O22" s="17" t="s">
        <v>74</v>
      </c>
      <c r="P22">
        <f t="shared" si="0"/>
        <v>2</v>
      </c>
    </row>
    <row r="23" customFormat="1" ht="22" customHeight="1" spans="1:16">
      <c r="A23" s="9">
        <v>21</v>
      </c>
      <c r="B23" s="10">
        <v>46128</v>
      </c>
      <c r="C23" s="23" t="s">
        <v>36</v>
      </c>
      <c r="D23" s="12" t="s">
        <v>152</v>
      </c>
      <c r="E23" s="26"/>
      <c r="F23" s="28">
        <v>6</v>
      </c>
      <c r="G23" s="25" t="s">
        <v>156</v>
      </c>
      <c r="H23" s="14"/>
      <c r="I23" s="15">
        <v>21</v>
      </c>
      <c r="J23" s="10">
        <v>46128</v>
      </c>
      <c r="K23" s="11" t="s">
        <v>90</v>
      </c>
      <c r="L23" s="12" t="s">
        <v>152</v>
      </c>
      <c r="M23" s="11">
        <v>2</v>
      </c>
      <c r="N23" s="16"/>
      <c r="O23" s="17"/>
      <c r="P23">
        <f t="shared" si="0"/>
        <v>2</v>
      </c>
    </row>
    <row r="24" customFormat="1" ht="22" customHeight="1" spans="1:16">
      <c r="A24" s="29"/>
      <c r="B24" s="30"/>
      <c r="C24" s="31"/>
      <c r="D24" s="32"/>
      <c r="E24" s="14">
        <f>SUM(E3:E23)</f>
        <v>26</v>
      </c>
      <c r="F24" s="14">
        <f ca="1">SUM(F3:F32)</f>
        <v>20</v>
      </c>
      <c r="G24" s="33"/>
      <c r="H24" s="14"/>
      <c r="I24" s="15">
        <v>22</v>
      </c>
      <c r="J24" s="10">
        <v>46128</v>
      </c>
      <c r="K24" s="11" t="s">
        <v>91</v>
      </c>
      <c r="L24" s="12" t="s">
        <v>152</v>
      </c>
      <c r="M24" s="11">
        <v>2</v>
      </c>
      <c r="N24" s="16"/>
      <c r="O24" s="17"/>
      <c r="P24">
        <f t="shared" si="0"/>
        <v>2</v>
      </c>
    </row>
    <row r="25" customFormat="1" ht="22" customHeight="1" spans="1:16">
      <c r="A25" s="29"/>
      <c r="B25" s="30"/>
      <c r="C25" s="31"/>
      <c r="D25" s="32"/>
      <c r="G25" s="33"/>
      <c r="H25" s="14"/>
      <c r="I25" s="15">
        <v>23</v>
      </c>
      <c r="J25" s="10">
        <v>46128</v>
      </c>
      <c r="K25" s="11" t="s">
        <v>92</v>
      </c>
      <c r="L25" s="12" t="s">
        <v>152</v>
      </c>
      <c r="M25" s="11">
        <v>2</v>
      </c>
      <c r="N25" s="16"/>
      <c r="O25" s="17" t="s">
        <v>93</v>
      </c>
      <c r="P25">
        <f t="shared" si="0"/>
        <v>2</v>
      </c>
    </row>
    <row r="26" customFormat="1" ht="22" customHeight="1" spans="1:16">
      <c r="A26" s="29"/>
      <c r="B26" s="30"/>
      <c r="C26" s="31"/>
      <c r="D26" s="32"/>
      <c r="E26" s="34"/>
      <c r="F26" s="34"/>
      <c r="G26" s="33"/>
      <c r="H26" s="14"/>
      <c r="I26" s="15">
        <v>24</v>
      </c>
      <c r="J26" s="10">
        <v>46128</v>
      </c>
      <c r="K26" s="11" t="s">
        <v>94</v>
      </c>
      <c r="L26" s="12" t="s">
        <v>152</v>
      </c>
      <c r="M26" s="11">
        <v>1</v>
      </c>
      <c r="N26" s="16">
        <v>1</v>
      </c>
      <c r="O26" s="17" t="s">
        <v>95</v>
      </c>
      <c r="P26">
        <f t="shared" si="0"/>
        <v>2</v>
      </c>
    </row>
    <row r="27" customFormat="1" ht="22" customHeight="1" spans="1:16">
      <c r="A27" s="29"/>
      <c r="B27" s="30"/>
      <c r="C27" s="31"/>
      <c r="D27" s="32"/>
      <c r="E27" s="34"/>
      <c r="F27" s="34"/>
      <c r="G27" s="33"/>
      <c r="H27" s="14"/>
      <c r="I27" s="15">
        <v>25</v>
      </c>
      <c r="J27" s="10">
        <v>46128</v>
      </c>
      <c r="K27" s="11" t="s">
        <v>96</v>
      </c>
      <c r="L27" s="12" t="s">
        <v>152</v>
      </c>
      <c r="M27" s="11">
        <v>1</v>
      </c>
      <c r="N27" s="16">
        <v>1</v>
      </c>
      <c r="O27" s="17" t="s">
        <v>95</v>
      </c>
      <c r="P27">
        <f t="shared" si="0"/>
        <v>2</v>
      </c>
    </row>
    <row r="28" customFormat="1" ht="22" customHeight="1" spans="1:16">
      <c r="A28" s="29"/>
      <c r="B28" s="30"/>
      <c r="C28" s="31"/>
      <c r="D28" s="32"/>
      <c r="E28" s="34"/>
      <c r="F28" s="34"/>
      <c r="G28" s="33"/>
      <c r="H28" s="14"/>
      <c r="I28" s="15">
        <v>26</v>
      </c>
      <c r="J28" s="10">
        <v>46128</v>
      </c>
      <c r="K28" s="11" t="s">
        <v>97</v>
      </c>
      <c r="L28" s="12" t="s">
        <v>152</v>
      </c>
      <c r="M28" s="11"/>
      <c r="N28" s="11">
        <v>2</v>
      </c>
      <c r="O28" s="17" t="s">
        <v>98</v>
      </c>
      <c r="P28">
        <f t="shared" si="0"/>
        <v>2</v>
      </c>
    </row>
    <row r="29" customFormat="1" ht="22" customHeight="1" spans="1:16">
      <c r="A29" s="29"/>
      <c r="B29" s="30"/>
      <c r="C29" s="31"/>
      <c r="D29" s="32"/>
      <c r="E29" s="34"/>
      <c r="F29" s="34"/>
      <c r="G29" s="33"/>
      <c r="H29" s="14"/>
      <c r="I29" s="15">
        <v>27</v>
      </c>
      <c r="J29" s="10">
        <v>46128</v>
      </c>
      <c r="K29" s="11" t="s">
        <v>99</v>
      </c>
      <c r="L29" s="12" t="s">
        <v>152</v>
      </c>
      <c r="M29" s="11">
        <v>2</v>
      </c>
      <c r="N29" s="16"/>
      <c r="O29" s="17"/>
      <c r="P29">
        <f t="shared" si="0"/>
        <v>2</v>
      </c>
    </row>
    <row r="30" customFormat="1" ht="22" customHeight="1" spans="1:16">
      <c r="A30" s="29"/>
      <c r="B30" s="30"/>
      <c r="C30" s="31"/>
      <c r="D30" s="32"/>
      <c r="E30" s="34"/>
      <c r="F30" s="34"/>
      <c r="G30" s="33"/>
      <c r="H30" s="14"/>
      <c r="I30" s="15">
        <v>28</v>
      </c>
      <c r="J30" s="10">
        <v>46128</v>
      </c>
      <c r="K30" s="11" t="s">
        <v>101</v>
      </c>
      <c r="L30" s="12" t="s">
        <v>152</v>
      </c>
      <c r="M30" s="11">
        <v>2</v>
      </c>
      <c r="N30" s="16"/>
      <c r="O30" s="17"/>
      <c r="P30">
        <f t="shared" si="0"/>
        <v>2</v>
      </c>
    </row>
    <row r="31" customFormat="1" ht="22" customHeight="1" spans="1:16">
      <c r="A31" s="29"/>
      <c r="B31" s="30"/>
      <c r="C31" s="31"/>
      <c r="D31" s="32"/>
      <c r="E31" s="34"/>
      <c r="F31" s="34"/>
      <c r="G31" s="33"/>
      <c r="H31" s="14"/>
      <c r="I31" s="15">
        <v>29</v>
      </c>
      <c r="J31" s="10">
        <v>46128</v>
      </c>
      <c r="K31" s="11" t="s">
        <v>103</v>
      </c>
      <c r="L31" s="12" t="s">
        <v>152</v>
      </c>
      <c r="M31" s="11">
        <v>2</v>
      </c>
      <c r="N31" s="11"/>
      <c r="O31" s="35"/>
      <c r="P31">
        <f t="shared" si="0"/>
        <v>2</v>
      </c>
    </row>
    <row r="32" customFormat="1" ht="22" customHeight="1" spans="1:16">
      <c r="A32" s="29"/>
      <c r="B32" s="30"/>
      <c r="C32" s="31"/>
      <c r="D32" s="32"/>
      <c r="E32" s="34"/>
      <c r="F32" s="34"/>
      <c r="G32" s="33"/>
      <c r="H32" s="14"/>
      <c r="I32" s="15">
        <v>30</v>
      </c>
      <c r="J32" s="10">
        <v>46128</v>
      </c>
      <c r="K32" s="11" t="s">
        <v>105</v>
      </c>
      <c r="L32" s="12" t="s">
        <v>152</v>
      </c>
      <c r="M32" s="11">
        <v>2</v>
      </c>
      <c r="N32" s="11"/>
      <c r="O32" s="17"/>
      <c r="P32">
        <f t="shared" si="0"/>
        <v>2</v>
      </c>
    </row>
    <row r="33" customFormat="1" ht="22" customHeight="1" spans="1:17">
      <c r="A33" s="29"/>
      <c r="B33" s="30"/>
      <c r="C33" s="31"/>
      <c r="D33" s="32"/>
      <c r="G33" s="33"/>
      <c r="H33" s="14"/>
      <c r="I33" s="15">
        <v>31</v>
      </c>
      <c r="J33" s="10">
        <v>46128</v>
      </c>
      <c r="K33" s="11" t="s">
        <v>106</v>
      </c>
      <c r="L33" s="12" t="s">
        <v>152</v>
      </c>
      <c r="M33" s="11"/>
      <c r="N33" s="11">
        <v>2</v>
      </c>
      <c r="O33" s="17" t="s">
        <v>74</v>
      </c>
      <c r="P33">
        <f t="shared" si="0"/>
        <v>2</v>
      </c>
    </row>
    <row r="34" customFormat="1" ht="22" customHeight="1" spans="1:17">
      <c r="A34" s="29"/>
      <c r="B34" s="30"/>
      <c r="C34" s="31"/>
      <c r="D34" s="32"/>
      <c r="E34" s="34"/>
      <c r="F34" s="34"/>
      <c r="G34" s="33"/>
      <c r="H34" s="14"/>
      <c r="I34" s="15">
        <v>32</v>
      </c>
      <c r="J34" s="10">
        <v>46128</v>
      </c>
      <c r="K34" s="11" t="s">
        <v>107</v>
      </c>
      <c r="L34" s="12" t="s">
        <v>152</v>
      </c>
      <c r="M34" s="11">
        <v>1</v>
      </c>
      <c r="N34" s="11">
        <v>1</v>
      </c>
      <c r="O34" s="17" t="s">
        <v>108</v>
      </c>
      <c r="P34">
        <f t="shared" si="0"/>
        <v>2</v>
      </c>
    </row>
    <row r="35" customFormat="1" ht="22" customHeight="1" spans="1:17">
      <c r="A35" s="29"/>
      <c r="B35" s="30"/>
      <c r="C35" s="31"/>
      <c r="D35" s="32"/>
      <c r="E35" s="34"/>
      <c r="F35" s="34"/>
      <c r="G35" s="33"/>
      <c r="H35" s="14"/>
      <c r="I35" s="15">
        <v>33</v>
      </c>
      <c r="J35" s="10">
        <v>46128</v>
      </c>
      <c r="K35" s="11" t="s">
        <v>109</v>
      </c>
      <c r="L35" s="12" t="s">
        <v>152</v>
      </c>
      <c r="M35" s="11"/>
      <c r="N35" s="11">
        <v>2</v>
      </c>
      <c r="O35" s="17" t="s">
        <v>98</v>
      </c>
      <c r="P35">
        <f t="shared" si="0"/>
        <v>2</v>
      </c>
    </row>
    <row r="36" customFormat="1" ht="22" customHeight="1" spans="1:17">
      <c r="A36" s="29"/>
      <c r="B36" s="30"/>
      <c r="C36" s="31"/>
      <c r="D36" s="32"/>
      <c r="E36" s="34"/>
      <c r="F36" s="34"/>
      <c r="G36" s="33"/>
      <c r="H36" s="14"/>
      <c r="I36" s="15">
        <v>34</v>
      </c>
      <c r="J36" s="10">
        <v>46128</v>
      </c>
      <c r="K36" s="11" t="s">
        <v>110</v>
      </c>
      <c r="L36" s="12" t="s">
        <v>152</v>
      </c>
      <c r="M36" s="11"/>
      <c r="N36" s="11">
        <v>2</v>
      </c>
      <c r="O36" s="17" t="s">
        <v>98</v>
      </c>
      <c r="P36">
        <f t="shared" si="0"/>
        <v>2</v>
      </c>
    </row>
    <row r="37" customFormat="1" ht="22" customHeight="1" spans="1:17">
      <c r="A37" s="29"/>
      <c r="B37" s="30"/>
      <c r="C37" s="31"/>
      <c r="D37" s="32"/>
      <c r="E37" s="34"/>
      <c r="F37" s="34"/>
      <c r="G37" s="33"/>
      <c r="H37" s="14"/>
      <c r="I37" s="15">
        <v>35</v>
      </c>
      <c r="J37" s="10">
        <v>46128</v>
      </c>
      <c r="K37" s="11" t="s">
        <v>111</v>
      </c>
      <c r="L37" s="12" t="s">
        <v>152</v>
      </c>
      <c r="M37" s="11">
        <v>2</v>
      </c>
      <c r="N37" s="11"/>
      <c r="O37" s="17"/>
      <c r="P37">
        <f t="shared" si="0"/>
        <v>2</v>
      </c>
    </row>
    <row r="38" customFormat="1" ht="22" customHeight="1" spans="1:17">
      <c r="A38" s="29"/>
      <c r="B38" s="30"/>
      <c r="C38" s="31"/>
      <c r="D38" s="32"/>
      <c r="E38" s="34"/>
      <c r="F38" s="34"/>
      <c r="G38" s="33"/>
      <c r="H38" s="14"/>
      <c r="I38" s="15">
        <v>36</v>
      </c>
      <c r="J38" s="10">
        <v>46128</v>
      </c>
      <c r="K38" s="11" t="s">
        <v>112</v>
      </c>
      <c r="L38" s="12" t="s">
        <v>152</v>
      </c>
      <c r="M38" s="11">
        <v>2</v>
      </c>
      <c r="N38" s="11"/>
      <c r="O38" s="17"/>
      <c r="P38">
        <f t="shared" si="0"/>
        <v>2</v>
      </c>
    </row>
    <row r="39" customFormat="1" ht="22" customHeight="1" spans="1:17">
      <c r="A39" s="29"/>
      <c r="B39" s="30"/>
      <c r="C39" s="31"/>
      <c r="D39" s="32"/>
      <c r="E39" s="34"/>
      <c r="F39" s="34"/>
      <c r="G39" s="33"/>
      <c r="H39" s="14"/>
      <c r="I39" s="15">
        <v>37</v>
      </c>
      <c r="J39" s="10">
        <v>46128</v>
      </c>
      <c r="K39" s="11" t="s">
        <v>114</v>
      </c>
      <c r="L39" s="12" t="s">
        <v>152</v>
      </c>
      <c r="M39" s="11">
        <v>2</v>
      </c>
      <c r="N39" s="11"/>
      <c r="O39" s="17"/>
      <c r="P39">
        <f t="shared" si="0"/>
        <v>2</v>
      </c>
    </row>
    <row r="40" customFormat="1" ht="22" customHeight="1" spans="1:17">
      <c r="A40" s="29"/>
      <c r="B40" s="30"/>
      <c r="C40" s="31"/>
      <c r="D40" s="32"/>
      <c r="E40" s="34"/>
      <c r="F40" s="34"/>
      <c r="G40" s="33"/>
      <c r="H40" s="14"/>
      <c r="I40" s="15">
        <v>38</v>
      </c>
      <c r="J40" s="10">
        <v>46128</v>
      </c>
      <c r="K40" s="11" t="s">
        <v>117</v>
      </c>
      <c r="L40" s="12" t="s">
        <v>152</v>
      </c>
      <c r="M40" s="11">
        <v>1</v>
      </c>
      <c r="N40" s="11">
        <v>1</v>
      </c>
      <c r="O40" s="17" t="s">
        <v>108</v>
      </c>
      <c r="P40">
        <f t="shared" si="0"/>
        <v>2</v>
      </c>
    </row>
    <row r="41" customFormat="1" ht="22" customHeight="1" spans="1:17">
      <c r="A41" s="29"/>
      <c r="B41" s="30"/>
      <c r="C41" s="31"/>
      <c r="D41" s="32"/>
      <c r="E41" s="34"/>
      <c r="F41" s="34"/>
      <c r="G41" s="33"/>
      <c r="H41" s="14"/>
      <c r="I41" s="15">
        <v>39</v>
      </c>
      <c r="J41" s="10">
        <v>46128</v>
      </c>
      <c r="K41" s="11" t="s">
        <v>121</v>
      </c>
      <c r="L41" s="12" t="s">
        <v>152</v>
      </c>
      <c r="M41" s="11">
        <v>1</v>
      </c>
      <c r="N41" s="11">
        <v>1</v>
      </c>
      <c r="O41" s="17" t="s">
        <v>108</v>
      </c>
      <c r="P41">
        <f t="shared" si="0"/>
        <v>2</v>
      </c>
    </row>
    <row r="42" customFormat="1" ht="22" customHeight="1" spans="1:17">
      <c r="A42" s="29"/>
      <c r="B42" s="30"/>
      <c r="C42" s="31"/>
      <c r="D42" s="32"/>
      <c r="E42" s="34"/>
      <c r="F42" s="34"/>
      <c r="G42" s="33"/>
      <c r="H42" s="14"/>
      <c r="I42" s="15">
        <v>40</v>
      </c>
      <c r="J42" s="10">
        <v>46128</v>
      </c>
      <c r="K42" s="11" t="s">
        <v>125</v>
      </c>
      <c r="L42" s="12" t="s">
        <v>152</v>
      </c>
      <c r="M42" s="11">
        <v>2</v>
      </c>
      <c r="N42" s="11"/>
      <c r="O42" s="17"/>
      <c r="P42">
        <f t="shared" si="0"/>
        <v>2</v>
      </c>
    </row>
    <row r="43" customFormat="1" ht="22" customHeight="1" spans="1:17">
      <c r="A43" s="29"/>
      <c r="B43" s="30"/>
      <c r="C43" s="31"/>
      <c r="D43" s="32"/>
      <c r="E43" s="34"/>
      <c r="F43" s="34"/>
      <c r="G43" s="33"/>
      <c r="H43" s="14"/>
      <c r="I43" s="15">
        <v>41</v>
      </c>
      <c r="J43" s="10">
        <v>46128</v>
      </c>
      <c r="K43" s="11" t="s">
        <v>127</v>
      </c>
      <c r="L43" s="12" t="s">
        <v>152</v>
      </c>
      <c r="M43" s="11">
        <v>2</v>
      </c>
      <c r="N43" s="11"/>
      <c r="O43" s="17"/>
      <c r="P43">
        <f t="shared" si="0"/>
        <v>2</v>
      </c>
    </row>
    <row r="44" customFormat="1" ht="22" customHeight="1" spans="1:17">
      <c r="A44" s="29"/>
      <c r="B44" s="30"/>
      <c r="C44" s="31"/>
      <c r="D44" s="32"/>
      <c r="E44" s="34"/>
      <c r="F44" s="34"/>
      <c r="G44" s="33"/>
      <c r="H44" s="14"/>
      <c r="I44" s="15">
        <v>42</v>
      </c>
      <c r="J44" s="10">
        <v>46128</v>
      </c>
      <c r="K44" s="36" t="s">
        <v>129</v>
      </c>
      <c r="L44" s="12" t="s">
        <v>152</v>
      </c>
      <c r="M44" s="11">
        <v>2</v>
      </c>
      <c r="N44" s="11"/>
      <c r="O44" s="17"/>
      <c r="P44">
        <f t="shared" si="0"/>
        <v>2</v>
      </c>
    </row>
    <row r="45" customFormat="1" ht="22" customHeight="1" spans="1:17">
      <c r="A45" s="29"/>
      <c r="B45" s="30"/>
      <c r="C45" s="31"/>
      <c r="D45" s="32"/>
      <c r="E45" s="34"/>
      <c r="F45" s="34"/>
      <c r="G45" s="33"/>
      <c r="H45" s="14"/>
      <c r="I45" s="14"/>
      <c r="J45" s="14"/>
      <c r="K45" s="14"/>
      <c r="L45" s="14"/>
      <c r="M45" s="14"/>
      <c r="N45" s="14"/>
      <c r="O45" s="14"/>
      <c r="P45" s="14"/>
      <c r="Q45" s="14"/>
    </row>
    <row r="46" customFormat="1" ht="22" customHeight="1" spans="1:17">
      <c r="A46" s="29"/>
      <c r="B46" s="30"/>
      <c r="C46" s="31"/>
      <c r="D46" s="32"/>
      <c r="E46" s="34"/>
      <c r="F46" s="34"/>
      <c r="G46" s="33"/>
      <c r="H46" s="14"/>
      <c r="I46" s="29"/>
      <c r="J46" s="30"/>
      <c r="K46" s="37"/>
      <c r="L46" s="32"/>
      <c r="M46" s="14">
        <f>SUM(M1:M45)</f>
        <v>48</v>
      </c>
      <c r="N46" s="14">
        <f>SUM(N1:N45)</f>
        <v>36</v>
      </c>
      <c r="O46" s="38"/>
      <c r="P46">
        <f>SUM(M46:N46)</f>
        <v>84</v>
      </c>
    </row>
    <row r="47" customFormat="1" ht="22" customHeight="1" spans="1:17">
      <c r="A47" s="29"/>
      <c r="B47" s="30"/>
      <c r="C47" s="31"/>
      <c r="D47" s="32"/>
      <c r="E47" s="34"/>
      <c r="F47" s="34"/>
      <c r="G47" s="33"/>
      <c r="H47" s="14"/>
      <c r="I47" s="29"/>
      <c r="J47" s="30"/>
      <c r="K47" s="37"/>
      <c r="L47" s="32"/>
      <c r="M47" s="37"/>
      <c r="N47" s="37"/>
      <c r="O47" s="38"/>
    </row>
    <row r="48" customFormat="1" ht="22" customHeight="1" spans="1:17">
      <c r="E48" s="14"/>
      <c r="F48" s="14"/>
      <c r="G48"/>
      <c r="H48" s="14">
        <f>46+84</f>
        <v>130</v>
      </c>
    </row>
    <row r="49" ht="22" customHeight="1"/>
    <row r="50" ht="22" customHeight="1"/>
    <row r="51" ht="22" customHeight="1"/>
    <row r="52" ht="22" customHeight="1"/>
    <row r="53" ht="22" customHeight="1"/>
  </sheetData>
  <mergeCells count="2">
    <mergeCell ref="A1:G1"/>
    <mergeCell ref="I1:O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3"/>
  <sheetViews>
    <sheetView workbookViewId="0">
      <pane ySplit="2" topLeftCell="A17" activePane="bottomLeft" state="frozen"/>
      <selection/>
      <selection pane="bottomLeft" activeCell="K55" sqref="K55"/>
    </sheetView>
  </sheetViews>
  <sheetFormatPr defaultColWidth="9.14285714285714" defaultRowHeight="12"/>
  <cols>
    <col min="1" max="1" width="6.28571428571429" customWidth="1"/>
    <col min="2" max="2" width="14.4285714285714" customWidth="1"/>
    <col min="3" max="3" width="15" customWidth="1"/>
    <col min="4" max="4" width="12.1428571428571" customWidth="1"/>
    <col min="5" max="5" width="9.85714285714286" customWidth="1"/>
    <col min="6" max="6" width="10" customWidth="1"/>
    <col min="7" max="7" width="19.5714285714286" customWidth="1"/>
    <col min="9" max="9" width="6.57142857142857" customWidth="1"/>
    <col min="10" max="10" width="11" customWidth="1"/>
    <col min="11" max="11" width="11.4285714285714" customWidth="1"/>
    <col min="12" max="12" width="12.1428571428571" customWidth="1"/>
    <col min="13" max="14" width="10" customWidth="1"/>
    <col min="15" max="15" width="27.1428571428571" customWidth="1"/>
    <col min="16" max="16" width="6.71428571428571" customWidth="1"/>
  </cols>
  <sheetData>
    <row r="1" customFormat="1" ht="27" customHeight="1" spans="1:16">
      <c r="A1" s="2" t="s">
        <v>144</v>
      </c>
      <c r="B1" s="2"/>
      <c r="C1" s="2"/>
      <c r="D1" s="2"/>
      <c r="E1" s="2"/>
      <c r="F1" s="3"/>
      <c r="G1" s="4"/>
      <c r="I1" s="2" t="s">
        <v>145</v>
      </c>
      <c r="J1" s="2"/>
      <c r="K1" s="2"/>
      <c r="L1" s="2"/>
      <c r="M1" s="2"/>
      <c r="N1" s="3"/>
      <c r="O1" s="4"/>
    </row>
    <row r="2" s="1" customFormat="1" ht="32" customHeight="1" spans="1:16">
      <c r="A2" s="5" t="s">
        <v>2</v>
      </c>
      <c r="B2" s="5" t="s">
        <v>136</v>
      </c>
      <c r="C2" s="5" t="s">
        <v>3</v>
      </c>
      <c r="D2" s="6" t="s">
        <v>146</v>
      </c>
      <c r="E2" s="7" t="s">
        <v>147</v>
      </c>
      <c r="F2" s="7" t="s">
        <v>148</v>
      </c>
      <c r="G2" s="7" t="s">
        <v>7</v>
      </c>
      <c r="I2" s="7" t="s">
        <v>2</v>
      </c>
      <c r="J2" s="8" t="s">
        <v>136</v>
      </c>
      <c r="K2" s="5" t="s">
        <v>3</v>
      </c>
      <c r="L2" s="6" t="s">
        <v>146</v>
      </c>
      <c r="M2" s="7" t="s">
        <v>147</v>
      </c>
      <c r="N2" s="7" t="s">
        <v>148</v>
      </c>
      <c r="O2" s="7" t="s">
        <v>7</v>
      </c>
    </row>
    <row r="3" customFormat="1" ht="22" customHeight="1" spans="1:16">
      <c r="A3" s="9">
        <v>1</v>
      </c>
      <c r="B3" s="10">
        <v>46132</v>
      </c>
      <c r="C3" s="11" t="s">
        <v>13</v>
      </c>
      <c r="D3" s="12" t="s">
        <v>149</v>
      </c>
      <c r="E3" s="11">
        <v>1</v>
      </c>
      <c r="F3" s="11">
        <v>2</v>
      </c>
      <c r="G3" s="13"/>
      <c r="H3" s="14">
        <f t="shared" ref="H3:H23" si="0">SUM(E3:F3)</f>
        <v>3</v>
      </c>
      <c r="I3" s="15">
        <v>1</v>
      </c>
      <c r="J3" s="10">
        <v>46132</v>
      </c>
      <c r="K3" s="11" t="s">
        <v>50</v>
      </c>
      <c r="L3" s="12" t="s">
        <v>149</v>
      </c>
      <c r="M3" s="11">
        <v>3</v>
      </c>
      <c r="N3" s="16"/>
      <c r="O3" s="17"/>
      <c r="P3">
        <f t="shared" ref="P3:P46" si="1">SUM(M3:N3)</f>
        <v>3</v>
      </c>
    </row>
    <row r="4" customFormat="1" ht="22" customHeight="1" spans="1:16">
      <c r="A4" s="9">
        <v>2</v>
      </c>
      <c r="B4" s="10">
        <v>46132</v>
      </c>
      <c r="C4" s="11" t="s">
        <v>16</v>
      </c>
      <c r="D4" s="12" t="s">
        <v>149</v>
      </c>
      <c r="E4" s="11">
        <v>3</v>
      </c>
      <c r="F4" s="16"/>
      <c r="G4" s="18"/>
      <c r="H4" s="14">
        <f t="shared" si="0"/>
        <v>3</v>
      </c>
      <c r="I4" s="15">
        <v>2</v>
      </c>
      <c r="J4" s="10">
        <v>46132</v>
      </c>
      <c r="K4" s="11" t="s">
        <v>55</v>
      </c>
      <c r="L4" s="12" t="s">
        <v>149</v>
      </c>
      <c r="M4" s="11"/>
      <c r="N4" s="11">
        <v>3</v>
      </c>
      <c r="O4" s="17" t="s">
        <v>56</v>
      </c>
      <c r="P4">
        <f t="shared" si="1"/>
        <v>3</v>
      </c>
    </row>
    <row r="5" customFormat="1" ht="22" customHeight="1" spans="1:16">
      <c r="A5" s="9">
        <v>3</v>
      </c>
      <c r="B5" s="10">
        <v>46132</v>
      </c>
      <c r="C5" s="11" t="s">
        <v>17</v>
      </c>
      <c r="D5" s="12" t="s">
        <v>149</v>
      </c>
      <c r="E5" s="11">
        <v>3</v>
      </c>
      <c r="F5" s="16"/>
      <c r="G5" s="18"/>
      <c r="H5" s="14">
        <f t="shared" si="0"/>
        <v>3</v>
      </c>
      <c r="I5" s="15">
        <v>3</v>
      </c>
      <c r="J5" s="10">
        <v>46132</v>
      </c>
      <c r="K5" s="11" t="s">
        <v>57</v>
      </c>
      <c r="L5" s="12" t="s">
        <v>149</v>
      </c>
      <c r="M5" s="11">
        <v>3</v>
      </c>
      <c r="N5" s="16"/>
      <c r="O5" s="17"/>
      <c r="P5">
        <f t="shared" si="1"/>
        <v>3</v>
      </c>
    </row>
    <row r="6" customFormat="1" ht="22" customHeight="1" spans="1:16">
      <c r="A6" s="9">
        <v>4</v>
      </c>
      <c r="B6" s="10">
        <v>46132</v>
      </c>
      <c r="C6" s="11" t="s">
        <v>18</v>
      </c>
      <c r="D6" s="12" t="s">
        <v>149</v>
      </c>
      <c r="E6" s="11">
        <v>3</v>
      </c>
      <c r="F6" s="16"/>
      <c r="G6" s="18"/>
      <c r="H6" s="14">
        <f t="shared" si="0"/>
        <v>3</v>
      </c>
      <c r="I6" s="15">
        <v>4</v>
      </c>
      <c r="J6" s="10">
        <v>46132</v>
      </c>
      <c r="K6" s="11" t="s">
        <v>59</v>
      </c>
      <c r="L6" s="12" t="s">
        <v>149</v>
      </c>
      <c r="M6" s="11">
        <v>2</v>
      </c>
      <c r="N6" s="16">
        <v>1</v>
      </c>
      <c r="O6" s="17" t="s">
        <v>61</v>
      </c>
      <c r="P6">
        <f t="shared" si="1"/>
        <v>3</v>
      </c>
    </row>
    <row r="7" customFormat="1" ht="22" customHeight="1" spans="1:16">
      <c r="A7" s="9">
        <v>5</v>
      </c>
      <c r="B7" s="10">
        <v>46132</v>
      </c>
      <c r="C7" s="11" t="s">
        <v>20</v>
      </c>
      <c r="D7" s="12" t="s">
        <v>149</v>
      </c>
      <c r="E7" s="16"/>
      <c r="F7" s="11">
        <v>3</v>
      </c>
      <c r="G7" s="18"/>
      <c r="H7" s="14">
        <f t="shared" si="0"/>
        <v>3</v>
      </c>
      <c r="I7" s="15">
        <v>5</v>
      </c>
      <c r="J7" s="10">
        <v>46132</v>
      </c>
      <c r="K7" s="11" t="s">
        <v>62</v>
      </c>
      <c r="L7" s="12" t="s">
        <v>149</v>
      </c>
      <c r="M7" s="11">
        <v>3</v>
      </c>
      <c r="N7" s="16"/>
      <c r="O7" s="17" t="s">
        <v>63</v>
      </c>
      <c r="P7">
        <f t="shared" si="1"/>
        <v>3</v>
      </c>
    </row>
    <row r="8" customFormat="1" ht="28.5" spans="1:16">
      <c r="A8" s="9">
        <v>6</v>
      </c>
      <c r="B8" s="10">
        <v>46132</v>
      </c>
      <c r="C8" s="11" t="s">
        <v>21</v>
      </c>
      <c r="D8" s="12" t="s">
        <v>149</v>
      </c>
      <c r="E8" s="11">
        <v>3</v>
      </c>
      <c r="F8" s="16"/>
      <c r="G8" s="18"/>
      <c r="H8" s="14">
        <f t="shared" si="0"/>
        <v>3</v>
      </c>
      <c r="I8" s="15">
        <v>6</v>
      </c>
      <c r="J8" s="10">
        <v>46132</v>
      </c>
      <c r="K8" s="11" t="s">
        <v>64</v>
      </c>
      <c r="L8" s="12" t="s">
        <v>149</v>
      </c>
      <c r="M8" s="11">
        <v>2</v>
      </c>
      <c r="N8" s="16">
        <v>1</v>
      </c>
      <c r="O8" s="19" t="s">
        <v>65</v>
      </c>
      <c r="P8">
        <f t="shared" si="1"/>
        <v>3</v>
      </c>
    </row>
    <row r="9" customFormat="1" ht="22" customHeight="1" spans="1:16">
      <c r="A9" s="9">
        <v>7</v>
      </c>
      <c r="B9" s="10">
        <v>46132</v>
      </c>
      <c r="C9" s="11" t="s">
        <v>22</v>
      </c>
      <c r="D9" s="12" t="s">
        <v>149</v>
      </c>
      <c r="E9" s="11">
        <v>3</v>
      </c>
      <c r="F9" s="16"/>
      <c r="G9" s="20"/>
      <c r="H9" s="14">
        <f t="shared" si="0"/>
        <v>3</v>
      </c>
      <c r="I9" s="15">
        <v>7</v>
      </c>
      <c r="J9" s="10">
        <v>46132</v>
      </c>
      <c r="K9" s="11" t="s">
        <v>66</v>
      </c>
      <c r="L9" s="12" t="s">
        <v>149</v>
      </c>
      <c r="M9" s="11">
        <v>2</v>
      </c>
      <c r="N9" s="16">
        <v>1</v>
      </c>
      <c r="O9" s="17" t="s">
        <v>67</v>
      </c>
      <c r="P9">
        <f t="shared" si="1"/>
        <v>3</v>
      </c>
    </row>
    <row r="10" customFormat="1" ht="22" customHeight="1" spans="1:16">
      <c r="A10" s="9">
        <v>8</v>
      </c>
      <c r="B10" s="10">
        <v>46132</v>
      </c>
      <c r="C10" s="11" t="s">
        <v>23</v>
      </c>
      <c r="D10" s="12" t="s">
        <v>149</v>
      </c>
      <c r="E10" s="11">
        <v>1</v>
      </c>
      <c r="F10" s="11">
        <v>2</v>
      </c>
      <c r="G10" s="20"/>
      <c r="H10" s="14">
        <f t="shared" si="0"/>
        <v>3</v>
      </c>
      <c r="I10" s="15">
        <v>8</v>
      </c>
      <c r="J10" s="10">
        <v>46132</v>
      </c>
      <c r="K10" s="11" t="s">
        <v>68</v>
      </c>
      <c r="L10" s="12" t="s">
        <v>149</v>
      </c>
      <c r="M10" s="11"/>
      <c r="N10" s="11">
        <v>3</v>
      </c>
      <c r="O10" s="17" t="s">
        <v>56</v>
      </c>
      <c r="P10">
        <f t="shared" si="1"/>
        <v>3</v>
      </c>
    </row>
    <row r="11" customFormat="1" ht="22" customHeight="1" spans="1:16">
      <c r="A11" s="9">
        <v>9</v>
      </c>
      <c r="B11" s="10">
        <v>46132</v>
      </c>
      <c r="C11" s="11" t="s">
        <v>24</v>
      </c>
      <c r="D11" s="12" t="s">
        <v>149</v>
      </c>
      <c r="E11" s="11">
        <v>3</v>
      </c>
      <c r="F11" s="16"/>
      <c r="G11" s="20"/>
      <c r="H11" s="14">
        <f t="shared" si="0"/>
        <v>3</v>
      </c>
      <c r="I11" s="15">
        <v>9</v>
      </c>
      <c r="J11" s="10">
        <v>46132</v>
      </c>
      <c r="K11" s="11" t="s">
        <v>69</v>
      </c>
      <c r="L11" s="12" t="s">
        <v>149</v>
      </c>
      <c r="M11" s="11"/>
      <c r="N11" s="11">
        <v>3</v>
      </c>
      <c r="O11" s="17" t="s">
        <v>70</v>
      </c>
      <c r="P11">
        <f t="shared" si="1"/>
        <v>3</v>
      </c>
    </row>
    <row r="12" customFormat="1" ht="22" customHeight="1" spans="1:16">
      <c r="A12" s="9">
        <v>10</v>
      </c>
      <c r="B12" s="10">
        <v>46132</v>
      </c>
      <c r="C12" s="11" t="s">
        <v>25</v>
      </c>
      <c r="D12" s="12" t="s">
        <v>149</v>
      </c>
      <c r="E12" s="16"/>
      <c r="F12" s="11">
        <v>3</v>
      </c>
      <c r="G12" s="20"/>
      <c r="H12" s="14">
        <f t="shared" si="0"/>
        <v>3</v>
      </c>
      <c r="I12" s="15">
        <v>10</v>
      </c>
      <c r="J12" s="10">
        <v>46132</v>
      </c>
      <c r="K12" s="11" t="s">
        <v>71</v>
      </c>
      <c r="L12" s="12" t="s">
        <v>149</v>
      </c>
      <c r="M12" s="11"/>
      <c r="N12" s="11">
        <v>3</v>
      </c>
      <c r="O12" s="17" t="s">
        <v>72</v>
      </c>
      <c r="P12">
        <f t="shared" si="1"/>
        <v>3</v>
      </c>
    </row>
    <row r="13" customFormat="1" ht="22" customHeight="1" spans="1:16">
      <c r="A13" s="9">
        <v>11</v>
      </c>
      <c r="B13" s="10">
        <v>46132</v>
      </c>
      <c r="C13" s="11" t="s">
        <v>26</v>
      </c>
      <c r="D13" s="12" t="s">
        <v>149</v>
      </c>
      <c r="E13" s="11">
        <v>1</v>
      </c>
      <c r="F13" s="11">
        <v>2</v>
      </c>
      <c r="G13" s="20"/>
      <c r="H13" s="14">
        <f t="shared" si="0"/>
        <v>3</v>
      </c>
      <c r="I13" s="15">
        <v>11</v>
      </c>
      <c r="J13" s="10">
        <v>46132</v>
      </c>
      <c r="K13" s="11" t="s">
        <v>73</v>
      </c>
      <c r="L13" s="12" t="s">
        <v>149</v>
      </c>
      <c r="M13" s="11"/>
      <c r="N13" s="11">
        <v>3</v>
      </c>
      <c r="O13" s="17" t="s">
        <v>74</v>
      </c>
      <c r="P13">
        <f t="shared" si="1"/>
        <v>3</v>
      </c>
    </row>
    <row r="14" customFormat="1" ht="22" customHeight="1" spans="1:16">
      <c r="A14" s="9">
        <v>12</v>
      </c>
      <c r="B14" s="10">
        <v>46132</v>
      </c>
      <c r="C14" s="21" t="s">
        <v>27</v>
      </c>
      <c r="D14" s="12" t="s">
        <v>149</v>
      </c>
      <c r="E14" s="21">
        <v>3</v>
      </c>
      <c r="F14" s="22"/>
      <c r="G14" s="20"/>
      <c r="H14" s="14">
        <f t="shared" si="0"/>
        <v>3</v>
      </c>
      <c r="I14" s="15">
        <v>12</v>
      </c>
      <c r="J14" s="10">
        <v>46132</v>
      </c>
      <c r="K14" s="11" t="s">
        <v>75</v>
      </c>
      <c r="L14" s="12" t="s">
        <v>149</v>
      </c>
      <c r="M14" s="11">
        <v>2</v>
      </c>
      <c r="N14" s="16">
        <v>1</v>
      </c>
      <c r="O14" s="17" t="s">
        <v>76</v>
      </c>
      <c r="P14">
        <f t="shared" si="1"/>
        <v>3</v>
      </c>
    </row>
    <row r="15" customFormat="1" ht="22" customHeight="1" spans="1:16">
      <c r="A15" s="9">
        <v>13</v>
      </c>
      <c r="B15" s="10">
        <v>46132</v>
      </c>
      <c r="C15" s="23" t="s">
        <v>28</v>
      </c>
      <c r="D15" s="12" t="s">
        <v>149</v>
      </c>
      <c r="E15" s="24"/>
      <c r="F15" s="21">
        <v>3</v>
      </c>
      <c r="G15" s="25"/>
      <c r="H15" s="14">
        <f t="shared" si="0"/>
        <v>3</v>
      </c>
      <c r="I15" s="15">
        <v>13</v>
      </c>
      <c r="J15" s="10">
        <v>46132</v>
      </c>
      <c r="K15" s="11" t="s">
        <v>77</v>
      </c>
      <c r="L15" s="12" t="s">
        <v>149</v>
      </c>
      <c r="M15" s="11">
        <v>3</v>
      </c>
      <c r="N15" s="16"/>
      <c r="O15" s="17"/>
      <c r="P15">
        <f t="shared" si="1"/>
        <v>3</v>
      </c>
    </row>
    <row r="16" customFormat="1" ht="22" customHeight="1" spans="1:16">
      <c r="A16" s="9">
        <v>14</v>
      </c>
      <c r="B16" s="10">
        <v>46132</v>
      </c>
      <c r="C16" s="23" t="s">
        <v>29</v>
      </c>
      <c r="D16" s="12" t="s">
        <v>149</v>
      </c>
      <c r="E16" s="26"/>
      <c r="F16" s="21">
        <v>3</v>
      </c>
      <c r="G16" s="25"/>
      <c r="H16" s="14">
        <f t="shared" si="0"/>
        <v>3</v>
      </c>
      <c r="I16" s="15">
        <v>14</v>
      </c>
      <c r="J16" s="10">
        <v>46132</v>
      </c>
      <c r="K16" s="11" t="s">
        <v>78</v>
      </c>
      <c r="L16" s="12" t="s">
        <v>149</v>
      </c>
      <c r="M16" s="11">
        <v>2</v>
      </c>
      <c r="N16" s="16">
        <v>1</v>
      </c>
      <c r="O16" s="17" t="s">
        <v>79</v>
      </c>
      <c r="P16">
        <f t="shared" si="1"/>
        <v>3</v>
      </c>
    </row>
    <row r="17" customFormat="1" ht="22" customHeight="1" spans="1:16">
      <c r="A17" s="9">
        <v>15</v>
      </c>
      <c r="B17" s="10">
        <v>46132</v>
      </c>
      <c r="C17" s="23" t="s">
        <v>30</v>
      </c>
      <c r="D17" s="12" t="s">
        <v>149</v>
      </c>
      <c r="E17" s="21">
        <v>1</v>
      </c>
      <c r="F17" s="21">
        <v>2</v>
      </c>
      <c r="G17" s="25"/>
      <c r="H17" s="14">
        <f t="shared" si="0"/>
        <v>3</v>
      </c>
      <c r="I17" s="15">
        <v>15</v>
      </c>
      <c r="J17" s="10">
        <v>46132</v>
      </c>
      <c r="K17" s="11" t="s">
        <v>80</v>
      </c>
      <c r="L17" s="12" t="s">
        <v>149</v>
      </c>
      <c r="M17" s="21">
        <v>3</v>
      </c>
      <c r="N17" s="22"/>
      <c r="O17" s="17" t="s">
        <v>81</v>
      </c>
      <c r="P17">
        <f t="shared" si="1"/>
        <v>3</v>
      </c>
    </row>
    <row r="18" customFormat="1" ht="22" customHeight="1" spans="1:16">
      <c r="A18" s="9">
        <v>16</v>
      </c>
      <c r="B18" s="10">
        <v>46132</v>
      </c>
      <c r="C18" s="23" t="s">
        <v>31</v>
      </c>
      <c r="D18" s="12" t="s">
        <v>149</v>
      </c>
      <c r="E18" s="21">
        <v>1</v>
      </c>
      <c r="F18" s="21">
        <v>2</v>
      </c>
      <c r="G18" s="25"/>
      <c r="H18" s="14">
        <f t="shared" si="0"/>
        <v>3</v>
      </c>
      <c r="I18" s="15">
        <v>16</v>
      </c>
      <c r="J18" s="10">
        <v>46132</v>
      </c>
      <c r="K18" s="11" t="s">
        <v>82</v>
      </c>
      <c r="L18" s="12" t="s">
        <v>149</v>
      </c>
      <c r="M18" s="11"/>
      <c r="N18" s="11">
        <v>3</v>
      </c>
      <c r="O18" s="17" t="s">
        <v>83</v>
      </c>
      <c r="P18">
        <f t="shared" si="1"/>
        <v>3</v>
      </c>
    </row>
    <row r="19" customFormat="1" ht="22" customHeight="1" spans="1:16">
      <c r="A19" s="9">
        <v>17</v>
      </c>
      <c r="B19" s="10">
        <v>46132</v>
      </c>
      <c r="C19" s="23" t="s">
        <v>32</v>
      </c>
      <c r="D19" s="12" t="s">
        <v>149</v>
      </c>
      <c r="E19" s="21">
        <v>3</v>
      </c>
      <c r="F19" s="26"/>
      <c r="G19" s="25"/>
      <c r="H19" s="14">
        <f t="shared" si="0"/>
        <v>3</v>
      </c>
      <c r="I19" s="15">
        <v>17</v>
      </c>
      <c r="J19" s="10">
        <v>46132</v>
      </c>
      <c r="K19" s="11" t="s">
        <v>84</v>
      </c>
      <c r="L19" s="12" t="s">
        <v>149</v>
      </c>
      <c r="M19" s="11"/>
      <c r="N19" s="11">
        <v>3</v>
      </c>
      <c r="O19" s="17" t="s">
        <v>83</v>
      </c>
      <c r="P19">
        <f t="shared" si="1"/>
        <v>3</v>
      </c>
    </row>
    <row r="20" customFormat="1" ht="22" customHeight="1" spans="1:16">
      <c r="A20" s="9">
        <v>18</v>
      </c>
      <c r="B20" s="10">
        <v>46132</v>
      </c>
      <c r="C20" s="23" t="s">
        <v>33</v>
      </c>
      <c r="D20" s="12" t="s">
        <v>149</v>
      </c>
      <c r="E20" s="21">
        <v>3</v>
      </c>
      <c r="F20" s="26"/>
      <c r="G20" s="25"/>
      <c r="H20" s="14">
        <f t="shared" si="0"/>
        <v>3</v>
      </c>
      <c r="I20" s="15">
        <v>18</v>
      </c>
      <c r="J20" s="10">
        <v>46132</v>
      </c>
      <c r="K20" s="11" t="s">
        <v>85</v>
      </c>
      <c r="L20" s="12" t="s">
        <v>149</v>
      </c>
      <c r="M20" s="11">
        <v>3</v>
      </c>
      <c r="N20" s="16"/>
      <c r="O20" s="17"/>
      <c r="P20">
        <f t="shared" si="1"/>
        <v>3</v>
      </c>
    </row>
    <row r="21" customFormat="1" ht="22" customHeight="1" spans="1:16">
      <c r="A21" s="9">
        <v>19</v>
      </c>
      <c r="B21" s="10">
        <v>46132</v>
      </c>
      <c r="C21" s="27" t="s">
        <v>34</v>
      </c>
      <c r="D21" s="12" t="s">
        <v>149</v>
      </c>
      <c r="E21" s="21">
        <v>3</v>
      </c>
      <c r="F21" s="26"/>
      <c r="G21" s="25"/>
      <c r="H21" s="14">
        <f t="shared" si="0"/>
        <v>3</v>
      </c>
      <c r="I21" s="15">
        <v>19</v>
      </c>
      <c r="J21" s="10">
        <v>46132</v>
      </c>
      <c r="K21" s="11" t="s">
        <v>87</v>
      </c>
      <c r="L21" s="12" t="s">
        <v>149</v>
      </c>
      <c r="M21" s="11"/>
      <c r="N21" s="11">
        <v>3</v>
      </c>
      <c r="O21" s="17" t="s">
        <v>88</v>
      </c>
      <c r="P21">
        <f t="shared" si="1"/>
        <v>3</v>
      </c>
    </row>
    <row r="22" customFormat="1" ht="22" customHeight="1" spans="1:16">
      <c r="A22" s="9">
        <v>20</v>
      </c>
      <c r="B22" s="10">
        <v>46132</v>
      </c>
      <c r="C22" s="23" t="s">
        <v>35</v>
      </c>
      <c r="D22" s="12" t="s">
        <v>149</v>
      </c>
      <c r="E22" s="21">
        <v>1</v>
      </c>
      <c r="F22" s="21">
        <v>2</v>
      </c>
      <c r="G22" s="25"/>
      <c r="H22" s="14">
        <f t="shared" si="0"/>
        <v>3</v>
      </c>
      <c r="I22" s="15">
        <v>20</v>
      </c>
      <c r="J22" s="10">
        <v>46132</v>
      </c>
      <c r="K22" s="11" t="s">
        <v>89</v>
      </c>
      <c r="L22" s="12" t="s">
        <v>149</v>
      </c>
      <c r="M22" s="11"/>
      <c r="N22" s="11">
        <v>3</v>
      </c>
      <c r="O22" s="17" t="s">
        <v>74</v>
      </c>
      <c r="P22">
        <f t="shared" si="1"/>
        <v>3</v>
      </c>
    </row>
    <row r="23" customFormat="1" ht="22" customHeight="1" spans="1:16">
      <c r="A23" s="9">
        <v>21</v>
      </c>
      <c r="B23" s="10">
        <v>46132</v>
      </c>
      <c r="C23" s="23" t="s">
        <v>36</v>
      </c>
      <c r="D23" s="12" t="s">
        <v>149</v>
      </c>
      <c r="E23" s="26"/>
      <c r="F23" s="28">
        <v>9</v>
      </c>
      <c r="G23" s="25" t="s">
        <v>156</v>
      </c>
      <c r="H23" s="14">
        <f t="shared" si="0"/>
        <v>9</v>
      </c>
      <c r="I23" s="15">
        <v>21</v>
      </c>
      <c r="J23" s="10">
        <v>46132</v>
      </c>
      <c r="K23" s="11" t="s">
        <v>90</v>
      </c>
      <c r="L23" s="12" t="s">
        <v>149</v>
      </c>
      <c r="M23" s="11">
        <v>3</v>
      </c>
      <c r="N23" s="16"/>
      <c r="O23" s="17"/>
      <c r="P23">
        <f t="shared" si="1"/>
        <v>3</v>
      </c>
    </row>
    <row r="24" customFormat="1" ht="22" customHeight="1" spans="1:16">
      <c r="A24" s="9"/>
      <c r="B24" s="10"/>
      <c r="C24" s="23"/>
      <c r="D24" s="12"/>
      <c r="E24" s="24"/>
      <c r="F24" s="21"/>
      <c r="G24" s="12"/>
      <c r="H24" s="14"/>
      <c r="I24" s="15">
        <v>22</v>
      </c>
      <c r="J24" s="10">
        <v>46132</v>
      </c>
      <c r="K24" s="11" t="s">
        <v>91</v>
      </c>
      <c r="L24" s="12" t="s">
        <v>149</v>
      </c>
      <c r="M24" s="11">
        <v>3</v>
      </c>
      <c r="N24" s="16"/>
      <c r="O24" s="17"/>
      <c r="P24">
        <f t="shared" si="1"/>
        <v>3</v>
      </c>
    </row>
    <row r="25" customFormat="1" ht="22" customHeight="1" spans="1:16">
      <c r="E25">
        <f>SUM(E3:E24)</f>
        <v>36</v>
      </c>
      <c r="F25">
        <f>SUM(F3:F24)</f>
        <v>33</v>
      </c>
      <c r="H25" s="14"/>
      <c r="I25" s="15">
        <v>23</v>
      </c>
      <c r="J25" s="10">
        <v>46132</v>
      </c>
      <c r="K25" s="11" t="s">
        <v>92</v>
      </c>
      <c r="L25" s="12" t="s">
        <v>149</v>
      </c>
      <c r="M25" s="11">
        <v>3</v>
      </c>
      <c r="N25" s="16"/>
      <c r="O25" s="17" t="s">
        <v>93</v>
      </c>
      <c r="P25">
        <f t="shared" si="1"/>
        <v>3</v>
      </c>
    </row>
    <row r="26" customFormat="1" ht="22" customHeight="1" spans="1:16">
      <c r="E26" s="14"/>
      <c r="F26" s="14"/>
      <c r="H26" s="14">
        <f>SUM(H3:H24)</f>
        <v>69</v>
      </c>
      <c r="I26" s="15">
        <v>24</v>
      </c>
      <c r="J26" s="10">
        <v>46132</v>
      </c>
      <c r="K26" s="11" t="s">
        <v>94</v>
      </c>
      <c r="L26" s="12" t="s">
        <v>149</v>
      </c>
      <c r="M26" s="11">
        <v>2</v>
      </c>
      <c r="N26" s="16">
        <v>1</v>
      </c>
      <c r="O26" s="17" t="s">
        <v>95</v>
      </c>
      <c r="P26">
        <f t="shared" si="1"/>
        <v>3</v>
      </c>
    </row>
    <row r="27" customFormat="1" ht="22" customHeight="1" spans="1:16">
      <c r="H27" s="14"/>
      <c r="I27" s="15">
        <v>25</v>
      </c>
      <c r="J27" s="10">
        <v>46132</v>
      </c>
      <c r="K27" s="11" t="s">
        <v>96</v>
      </c>
      <c r="L27" s="12" t="s">
        <v>149</v>
      </c>
      <c r="M27" s="11">
        <v>2</v>
      </c>
      <c r="N27" s="16">
        <v>1</v>
      </c>
      <c r="O27" s="17" t="s">
        <v>95</v>
      </c>
      <c r="P27">
        <f t="shared" si="1"/>
        <v>3</v>
      </c>
    </row>
    <row r="28" customFormat="1" ht="22" customHeight="1" spans="1:16">
      <c r="H28" s="14"/>
      <c r="I28" s="15">
        <v>26</v>
      </c>
      <c r="J28" s="10">
        <v>46132</v>
      </c>
      <c r="K28" s="11" t="s">
        <v>97</v>
      </c>
      <c r="L28" s="12" t="s">
        <v>149</v>
      </c>
      <c r="M28" s="11"/>
      <c r="N28" s="11">
        <v>3</v>
      </c>
      <c r="O28" s="17" t="s">
        <v>98</v>
      </c>
      <c r="P28">
        <f t="shared" si="1"/>
        <v>3</v>
      </c>
    </row>
    <row r="29" customFormat="1" ht="22" customHeight="1" spans="1:16">
      <c r="H29" s="14"/>
      <c r="I29" s="15">
        <v>27</v>
      </c>
      <c r="J29" s="10">
        <v>46132</v>
      </c>
      <c r="K29" s="11" t="s">
        <v>99</v>
      </c>
      <c r="L29" s="12" t="s">
        <v>149</v>
      </c>
      <c r="M29" s="11">
        <v>3</v>
      </c>
      <c r="N29" s="16"/>
      <c r="O29" s="17"/>
      <c r="P29">
        <f t="shared" si="1"/>
        <v>3</v>
      </c>
    </row>
    <row r="30" customFormat="1" ht="22" customHeight="1" spans="1:16">
      <c r="H30" s="14"/>
      <c r="I30" s="15">
        <v>28</v>
      </c>
      <c r="J30" s="10">
        <v>46132</v>
      </c>
      <c r="K30" s="11" t="s">
        <v>101</v>
      </c>
      <c r="L30" s="12" t="s">
        <v>149</v>
      </c>
      <c r="M30" s="11">
        <v>3</v>
      </c>
      <c r="N30" s="16"/>
      <c r="O30" s="17"/>
      <c r="P30">
        <f t="shared" si="1"/>
        <v>3</v>
      </c>
    </row>
    <row r="31" customFormat="1" ht="22" customHeight="1" spans="1:16">
      <c r="H31" s="14"/>
      <c r="I31" s="15">
        <v>29</v>
      </c>
      <c r="J31" s="10">
        <v>46132</v>
      </c>
      <c r="K31" s="11" t="s">
        <v>103</v>
      </c>
      <c r="L31" s="12" t="s">
        <v>149</v>
      </c>
      <c r="M31" s="11">
        <v>3</v>
      </c>
      <c r="N31" s="11"/>
      <c r="O31" s="35"/>
      <c r="P31">
        <f t="shared" si="1"/>
        <v>3</v>
      </c>
    </row>
    <row r="32" customFormat="1" ht="22" customHeight="1" spans="1:16">
      <c r="H32" s="14"/>
      <c r="I32" s="15">
        <v>30</v>
      </c>
      <c r="J32" s="10">
        <v>46132</v>
      </c>
      <c r="K32" s="11" t="s">
        <v>105</v>
      </c>
      <c r="L32" s="12" t="s">
        <v>149</v>
      </c>
      <c r="M32" s="11">
        <v>3</v>
      </c>
      <c r="N32" s="11"/>
      <c r="O32" s="17"/>
      <c r="P32">
        <f t="shared" si="1"/>
        <v>3</v>
      </c>
    </row>
    <row r="33" customFormat="1" ht="22" customHeight="1" spans="9:16">
      <c r="I33" s="15">
        <v>31</v>
      </c>
      <c r="J33" s="10">
        <v>46132</v>
      </c>
      <c r="K33" s="11" t="s">
        <v>106</v>
      </c>
      <c r="L33" s="12" t="s">
        <v>149</v>
      </c>
      <c r="M33" s="39"/>
      <c r="N33" s="11">
        <v>3</v>
      </c>
      <c r="O33" s="17" t="s">
        <v>74</v>
      </c>
      <c r="P33">
        <f t="shared" si="1"/>
        <v>3</v>
      </c>
    </row>
    <row r="34" customFormat="1" ht="22" customHeight="1" spans="9:16">
      <c r="I34" s="15">
        <v>32</v>
      </c>
      <c r="J34" s="10">
        <v>46132</v>
      </c>
      <c r="K34" s="11" t="s">
        <v>107</v>
      </c>
      <c r="L34" s="12" t="s">
        <v>149</v>
      </c>
      <c r="M34" s="11">
        <v>2</v>
      </c>
      <c r="N34" s="16">
        <v>1</v>
      </c>
      <c r="O34" s="17" t="s">
        <v>108</v>
      </c>
      <c r="P34">
        <f t="shared" si="1"/>
        <v>3</v>
      </c>
    </row>
    <row r="35" customFormat="1" ht="22" customHeight="1" spans="9:16">
      <c r="I35" s="15">
        <v>33</v>
      </c>
      <c r="J35" s="10">
        <v>46132</v>
      </c>
      <c r="K35" s="11" t="s">
        <v>109</v>
      </c>
      <c r="L35" s="12" t="s">
        <v>149</v>
      </c>
      <c r="M35" s="39"/>
      <c r="N35" s="11">
        <v>3</v>
      </c>
      <c r="O35" s="17" t="s">
        <v>98</v>
      </c>
      <c r="P35">
        <f t="shared" si="1"/>
        <v>3</v>
      </c>
    </row>
    <row r="36" ht="22" customHeight="1" spans="9:16">
      <c r="I36" s="15">
        <v>34</v>
      </c>
      <c r="J36" s="10">
        <v>46132</v>
      </c>
      <c r="K36" s="11" t="s">
        <v>110</v>
      </c>
      <c r="L36" s="12" t="s">
        <v>149</v>
      </c>
      <c r="M36" s="39"/>
      <c r="N36" s="11">
        <v>3</v>
      </c>
      <c r="O36" s="17" t="s">
        <v>98</v>
      </c>
      <c r="P36">
        <f t="shared" si="1"/>
        <v>3</v>
      </c>
    </row>
    <row r="37" ht="22" customHeight="1" spans="9:16">
      <c r="I37" s="15">
        <v>35</v>
      </c>
      <c r="J37" s="10">
        <v>46132</v>
      </c>
      <c r="K37" s="11" t="s">
        <v>111</v>
      </c>
      <c r="L37" s="12" t="s">
        <v>149</v>
      </c>
      <c r="M37" s="11">
        <v>3</v>
      </c>
      <c r="N37" s="40"/>
      <c r="O37" s="17"/>
      <c r="P37">
        <f t="shared" si="1"/>
        <v>3</v>
      </c>
    </row>
    <row r="38" ht="22" customHeight="1" spans="9:16">
      <c r="I38" s="15">
        <v>36</v>
      </c>
      <c r="J38" s="10">
        <v>46132</v>
      </c>
      <c r="K38" s="11" t="s">
        <v>112</v>
      </c>
      <c r="L38" s="12" t="s">
        <v>149</v>
      </c>
      <c r="M38" s="11">
        <v>3</v>
      </c>
      <c r="N38" s="40"/>
      <c r="O38" s="17"/>
      <c r="P38">
        <f t="shared" si="1"/>
        <v>3</v>
      </c>
    </row>
    <row r="39" ht="18.75" spans="9:16">
      <c r="I39" s="15">
        <v>37</v>
      </c>
      <c r="J39" s="10">
        <v>46132</v>
      </c>
      <c r="K39" s="11" t="s">
        <v>114</v>
      </c>
      <c r="L39" s="12" t="s">
        <v>149</v>
      </c>
      <c r="M39" s="11">
        <v>3</v>
      </c>
      <c r="N39" s="41"/>
      <c r="O39" s="17"/>
      <c r="P39">
        <f t="shared" si="1"/>
        <v>3</v>
      </c>
    </row>
    <row r="40" ht="21" customHeight="1" spans="9:16">
      <c r="I40" s="15">
        <v>38</v>
      </c>
      <c r="J40" s="10">
        <v>46132</v>
      </c>
      <c r="K40" s="11" t="s">
        <v>117</v>
      </c>
      <c r="L40" s="12" t="s">
        <v>149</v>
      </c>
      <c r="M40" s="11">
        <v>2</v>
      </c>
      <c r="N40" s="16">
        <v>1</v>
      </c>
      <c r="O40" s="17" t="s">
        <v>108</v>
      </c>
      <c r="P40">
        <f t="shared" si="1"/>
        <v>3</v>
      </c>
    </row>
    <row r="41" ht="21" customHeight="1" spans="9:16">
      <c r="I41" s="15">
        <v>39</v>
      </c>
      <c r="J41" s="10">
        <v>46132</v>
      </c>
      <c r="K41" s="11" t="s">
        <v>121</v>
      </c>
      <c r="L41" s="12" t="s">
        <v>149</v>
      </c>
      <c r="M41" s="11">
        <v>2</v>
      </c>
      <c r="N41" s="16">
        <v>1</v>
      </c>
      <c r="O41" s="17" t="s">
        <v>108</v>
      </c>
      <c r="P41">
        <f t="shared" si="1"/>
        <v>3</v>
      </c>
    </row>
    <row r="42" ht="21" customHeight="1" spans="9:16">
      <c r="I42" s="15">
        <v>40</v>
      </c>
      <c r="J42" s="10">
        <v>46132</v>
      </c>
      <c r="K42" s="11" t="s">
        <v>125</v>
      </c>
      <c r="L42" s="12" t="s">
        <v>149</v>
      </c>
      <c r="M42" s="11">
        <v>3</v>
      </c>
      <c r="N42" s="41"/>
      <c r="O42" s="17"/>
      <c r="P42">
        <f t="shared" si="1"/>
        <v>3</v>
      </c>
    </row>
    <row r="43" ht="21" customHeight="1" spans="9:16">
      <c r="I43" s="15">
        <v>41</v>
      </c>
      <c r="J43" s="10">
        <v>46132</v>
      </c>
      <c r="K43" s="11" t="s">
        <v>127</v>
      </c>
      <c r="L43" s="12" t="s">
        <v>149</v>
      </c>
      <c r="M43" s="11">
        <v>3</v>
      </c>
      <c r="N43" s="41"/>
      <c r="O43" s="17"/>
      <c r="P43">
        <f t="shared" si="1"/>
        <v>3</v>
      </c>
    </row>
    <row r="44" customFormat="1" ht="21" customHeight="1" spans="9:16">
      <c r="I44" s="15">
        <v>42</v>
      </c>
      <c r="J44" s="10">
        <v>46132</v>
      </c>
      <c r="K44" s="11" t="s">
        <v>129</v>
      </c>
      <c r="L44" s="12" t="s">
        <v>149</v>
      </c>
      <c r="M44" s="11">
        <v>3</v>
      </c>
      <c r="N44" s="41"/>
      <c r="O44" s="17"/>
      <c r="P44">
        <f t="shared" si="1"/>
        <v>3</v>
      </c>
    </row>
    <row r="45" ht="21" customHeight="1" spans="9:16">
      <c r="I45" s="15">
        <v>43</v>
      </c>
      <c r="J45" s="10">
        <v>46132</v>
      </c>
      <c r="K45" s="11" t="s">
        <v>129</v>
      </c>
      <c r="L45" s="12" t="s">
        <v>149</v>
      </c>
      <c r="M45" s="11">
        <v>3</v>
      </c>
      <c r="N45" s="41"/>
      <c r="O45" s="17" t="s">
        <v>157</v>
      </c>
      <c r="P45">
        <f t="shared" si="1"/>
        <v>3</v>
      </c>
    </row>
    <row r="46" ht="21" customHeight="1" spans="9:16">
      <c r="M46" s="29">
        <f>SUM(M3:M45)</f>
        <v>80</v>
      </c>
      <c r="N46" s="29">
        <f>SUM(N3:N45)</f>
        <v>49</v>
      </c>
      <c r="P46">
        <f t="shared" si="1"/>
        <v>129</v>
      </c>
    </row>
    <row r="50" ht="14.25" spans="7:9">
      <c r="G50" s="7" t="s">
        <v>147</v>
      </c>
      <c r="H50" s="7" t="s">
        <v>148</v>
      </c>
    </row>
    <row r="51" spans="7:9">
      <c r="G51">
        <f>E26+M46</f>
        <v>80</v>
      </c>
      <c r="H51">
        <f>F26+N46</f>
        <v>49</v>
      </c>
      <c r="I51">
        <f>SUM(G51:H51)</f>
        <v>129</v>
      </c>
    </row>
    <row r="53" spans="7:9">
      <c r="I53">
        <f>+I51+H26</f>
        <v>198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3"/>
  <sheetViews>
    <sheetView tabSelected="1" topLeftCell="C1" workbookViewId="0">
      <pane ySplit="2" topLeftCell="A3" activePane="bottomLeft" state="frozen"/>
      <selection/>
      <selection pane="bottomLeft" activeCell="L47" sqref="L47"/>
    </sheetView>
  </sheetViews>
  <sheetFormatPr defaultColWidth="9.14285714285714" defaultRowHeight="12"/>
  <cols>
    <col min="1" max="1" width="7.85714285714286" customWidth="1"/>
    <col min="2" max="2" width="14.4285714285714" customWidth="1"/>
    <col min="3" max="3" width="15" customWidth="1"/>
    <col min="4" max="4" width="12.1428571428571" customWidth="1"/>
    <col min="5" max="5" width="9.85714285714286" customWidth="1"/>
    <col min="6" max="6" width="10" customWidth="1"/>
    <col min="7" max="7" width="19.5714285714286" customWidth="1"/>
    <col min="9" max="9" width="8.57142857142857" customWidth="1"/>
    <col min="10" max="10" width="11" customWidth="1"/>
    <col min="11" max="11" width="11.4285714285714" customWidth="1"/>
    <col min="12" max="12" width="12.1428571428571" customWidth="1"/>
    <col min="13" max="14" width="10" customWidth="1"/>
    <col min="15" max="15" width="27.1428571428571" customWidth="1"/>
    <col min="16" max="16" width="6.85714285714286" customWidth="1"/>
  </cols>
  <sheetData>
    <row r="1" customFormat="1" ht="38" customHeight="1" spans="1:16">
      <c r="A1" s="2" t="s">
        <v>144</v>
      </c>
      <c r="B1" s="2"/>
      <c r="C1" s="2"/>
      <c r="D1" s="2"/>
      <c r="E1" s="2"/>
      <c r="F1" s="3"/>
      <c r="G1" s="4"/>
      <c r="I1" s="2" t="s">
        <v>145</v>
      </c>
      <c r="J1" s="2"/>
      <c r="K1" s="2"/>
      <c r="L1" s="2"/>
      <c r="M1" s="2"/>
      <c r="N1" s="3"/>
      <c r="O1" s="4"/>
    </row>
    <row r="2" s="1" customFormat="1" ht="32" customHeight="1" spans="1:16">
      <c r="A2" s="5" t="s">
        <v>2</v>
      </c>
      <c r="B2" s="5" t="s">
        <v>136</v>
      </c>
      <c r="C2" s="5" t="s">
        <v>3</v>
      </c>
      <c r="D2" s="6" t="s">
        <v>146</v>
      </c>
      <c r="E2" s="7" t="s">
        <v>147</v>
      </c>
      <c r="F2" s="7" t="s">
        <v>148</v>
      </c>
      <c r="G2" s="7" t="s">
        <v>7</v>
      </c>
      <c r="I2" s="7" t="s">
        <v>2</v>
      </c>
      <c r="J2" s="8" t="s">
        <v>136</v>
      </c>
      <c r="K2" s="5" t="s">
        <v>3</v>
      </c>
      <c r="L2" s="6" t="s">
        <v>146</v>
      </c>
      <c r="M2" s="7" t="s">
        <v>147</v>
      </c>
      <c r="N2" s="7" t="s">
        <v>148</v>
      </c>
      <c r="O2" s="7" t="s">
        <v>7</v>
      </c>
    </row>
    <row r="3" customFormat="1" ht="22" customHeight="1" spans="1:16">
      <c r="A3" s="9">
        <v>1</v>
      </c>
      <c r="B3" s="10">
        <v>46135</v>
      </c>
      <c r="C3" s="11" t="s">
        <v>13</v>
      </c>
      <c r="D3" s="12" t="s">
        <v>152</v>
      </c>
      <c r="E3" s="11">
        <v>1</v>
      </c>
      <c r="F3" s="11">
        <v>1</v>
      </c>
      <c r="G3" s="13"/>
      <c r="H3" s="14"/>
      <c r="I3" s="15">
        <v>1</v>
      </c>
      <c r="J3" s="10">
        <v>46135</v>
      </c>
      <c r="K3" s="11" t="s">
        <v>50</v>
      </c>
      <c r="L3" s="12" t="s">
        <v>152</v>
      </c>
      <c r="M3" s="11">
        <v>2</v>
      </c>
      <c r="N3" s="16"/>
      <c r="O3" s="17"/>
      <c r="P3">
        <f t="shared" ref="P3:P44" si="0">SUM(M3:N3)</f>
        <v>2</v>
      </c>
    </row>
    <row r="4" customFormat="1" ht="22" customHeight="1" spans="1:16">
      <c r="A4" s="9">
        <v>2</v>
      </c>
      <c r="B4" s="10">
        <v>46135</v>
      </c>
      <c r="C4" s="11" t="s">
        <v>16</v>
      </c>
      <c r="D4" s="12" t="s">
        <v>152</v>
      </c>
      <c r="E4" s="11">
        <v>2</v>
      </c>
      <c r="F4" s="16"/>
      <c r="G4" s="18"/>
      <c r="H4" s="14"/>
      <c r="I4" s="15">
        <v>2</v>
      </c>
      <c r="J4" s="10">
        <v>46135</v>
      </c>
      <c r="K4" s="11" t="s">
        <v>55</v>
      </c>
      <c r="L4" s="12" t="s">
        <v>152</v>
      </c>
      <c r="M4" s="11"/>
      <c r="N4" s="11">
        <v>2</v>
      </c>
      <c r="O4" s="17" t="s">
        <v>56</v>
      </c>
      <c r="P4">
        <f t="shared" si="0"/>
        <v>2</v>
      </c>
    </row>
    <row r="5" customFormat="1" ht="22" customHeight="1" spans="1:16">
      <c r="A5" s="9">
        <v>3</v>
      </c>
      <c r="B5" s="10">
        <v>46135</v>
      </c>
      <c r="C5" s="11" t="s">
        <v>17</v>
      </c>
      <c r="D5" s="12" t="s">
        <v>152</v>
      </c>
      <c r="E5" s="11">
        <v>2</v>
      </c>
      <c r="F5" s="16"/>
      <c r="G5" s="18"/>
      <c r="H5" s="14"/>
      <c r="I5" s="15">
        <v>3</v>
      </c>
      <c r="J5" s="10">
        <v>46135</v>
      </c>
      <c r="K5" s="11" t="s">
        <v>57</v>
      </c>
      <c r="L5" s="12" t="s">
        <v>152</v>
      </c>
      <c r="M5" s="11">
        <v>2</v>
      </c>
      <c r="N5" s="16"/>
      <c r="O5" s="17"/>
      <c r="P5">
        <f t="shared" si="0"/>
        <v>2</v>
      </c>
    </row>
    <row r="6" customFormat="1" ht="22" customHeight="1" spans="1:16">
      <c r="A6" s="9">
        <v>4</v>
      </c>
      <c r="B6" s="10">
        <v>46135</v>
      </c>
      <c r="C6" s="11" t="s">
        <v>18</v>
      </c>
      <c r="D6" s="12" t="s">
        <v>152</v>
      </c>
      <c r="E6" s="11">
        <v>2</v>
      </c>
      <c r="F6" s="16"/>
      <c r="G6" s="18"/>
      <c r="H6" s="14"/>
      <c r="I6" s="15">
        <v>4</v>
      </c>
      <c r="J6" s="10">
        <v>46135</v>
      </c>
      <c r="K6" s="11" t="s">
        <v>59</v>
      </c>
      <c r="L6" s="12" t="s">
        <v>152</v>
      </c>
      <c r="M6" s="11">
        <v>1</v>
      </c>
      <c r="N6" s="16">
        <v>1</v>
      </c>
      <c r="O6" s="17" t="s">
        <v>61</v>
      </c>
      <c r="P6">
        <f t="shared" si="0"/>
        <v>2</v>
      </c>
    </row>
    <row r="7" customFormat="1" ht="22" customHeight="1" spans="1:16">
      <c r="A7" s="9">
        <v>5</v>
      </c>
      <c r="B7" s="10">
        <v>46135</v>
      </c>
      <c r="C7" s="11" t="s">
        <v>20</v>
      </c>
      <c r="D7" s="12" t="s">
        <v>152</v>
      </c>
      <c r="E7" s="16"/>
      <c r="F7" s="11">
        <v>2</v>
      </c>
      <c r="G7" s="18"/>
      <c r="H7" s="14"/>
      <c r="I7" s="15">
        <v>5</v>
      </c>
      <c r="J7" s="10">
        <v>46135</v>
      </c>
      <c r="K7" s="11" t="s">
        <v>62</v>
      </c>
      <c r="L7" s="12" t="s">
        <v>152</v>
      </c>
      <c r="M7" s="11">
        <v>2</v>
      </c>
      <c r="N7" s="16"/>
      <c r="O7" s="17" t="s">
        <v>63</v>
      </c>
      <c r="P7">
        <f t="shared" si="0"/>
        <v>2</v>
      </c>
    </row>
    <row r="8" customFormat="1" ht="28.5" spans="1:16">
      <c r="A8" s="9">
        <v>6</v>
      </c>
      <c r="B8" s="10">
        <v>46135</v>
      </c>
      <c r="C8" s="11" t="s">
        <v>21</v>
      </c>
      <c r="D8" s="12" t="s">
        <v>152</v>
      </c>
      <c r="E8" s="11">
        <v>2</v>
      </c>
      <c r="F8" s="16"/>
      <c r="G8" s="18"/>
      <c r="H8" s="14"/>
      <c r="I8" s="15">
        <v>6</v>
      </c>
      <c r="J8" s="10">
        <v>46135</v>
      </c>
      <c r="K8" s="11" t="s">
        <v>64</v>
      </c>
      <c r="L8" s="12" t="s">
        <v>152</v>
      </c>
      <c r="M8" s="11">
        <v>1</v>
      </c>
      <c r="N8" s="16">
        <v>1</v>
      </c>
      <c r="O8" s="19" t="s">
        <v>65</v>
      </c>
      <c r="P8">
        <f t="shared" si="0"/>
        <v>2</v>
      </c>
    </row>
    <row r="9" customFormat="1" ht="22" customHeight="1" spans="1:16">
      <c r="A9" s="9">
        <v>7</v>
      </c>
      <c r="B9" s="10">
        <v>46135</v>
      </c>
      <c r="C9" s="11" t="s">
        <v>22</v>
      </c>
      <c r="D9" s="12" t="s">
        <v>152</v>
      </c>
      <c r="E9" s="11">
        <v>2</v>
      </c>
      <c r="F9" s="16"/>
      <c r="G9" s="20"/>
      <c r="H9" s="14"/>
      <c r="I9" s="15">
        <v>7</v>
      </c>
      <c r="J9" s="10">
        <v>46135</v>
      </c>
      <c r="K9" s="11" t="s">
        <v>66</v>
      </c>
      <c r="L9" s="12" t="s">
        <v>152</v>
      </c>
      <c r="M9" s="11">
        <v>1</v>
      </c>
      <c r="N9" s="16">
        <v>1</v>
      </c>
      <c r="O9" s="17" t="s">
        <v>67</v>
      </c>
      <c r="P9">
        <f t="shared" si="0"/>
        <v>2</v>
      </c>
    </row>
    <row r="10" customFormat="1" ht="22" customHeight="1" spans="1:16">
      <c r="A10" s="9">
        <v>8</v>
      </c>
      <c r="B10" s="10">
        <v>46135</v>
      </c>
      <c r="C10" s="11" t="s">
        <v>23</v>
      </c>
      <c r="D10" s="12" t="s">
        <v>152</v>
      </c>
      <c r="E10" s="11">
        <v>1</v>
      </c>
      <c r="F10" s="11">
        <v>1</v>
      </c>
      <c r="G10" s="20"/>
      <c r="H10" s="14"/>
      <c r="I10" s="15">
        <v>8</v>
      </c>
      <c r="J10" s="10">
        <v>46135</v>
      </c>
      <c r="K10" s="11" t="s">
        <v>68</v>
      </c>
      <c r="L10" s="12" t="s">
        <v>152</v>
      </c>
      <c r="M10" s="11"/>
      <c r="N10" s="11">
        <v>2</v>
      </c>
      <c r="O10" s="17" t="s">
        <v>56</v>
      </c>
      <c r="P10">
        <f t="shared" si="0"/>
        <v>2</v>
      </c>
    </row>
    <row r="11" customFormat="1" ht="22" customHeight="1" spans="1:16">
      <c r="A11" s="9">
        <v>9</v>
      </c>
      <c r="B11" s="10">
        <v>46135</v>
      </c>
      <c r="C11" s="11" t="s">
        <v>24</v>
      </c>
      <c r="D11" s="12" t="s">
        <v>152</v>
      </c>
      <c r="E11" s="11">
        <v>2</v>
      </c>
      <c r="F11" s="16"/>
      <c r="G11" s="20"/>
      <c r="H11" s="14"/>
      <c r="I11" s="15">
        <v>9</v>
      </c>
      <c r="J11" s="10">
        <v>46135</v>
      </c>
      <c r="K11" s="11" t="s">
        <v>69</v>
      </c>
      <c r="L11" s="12" t="s">
        <v>152</v>
      </c>
      <c r="M11" s="11"/>
      <c r="N11" s="11">
        <v>2</v>
      </c>
      <c r="O11" s="17" t="s">
        <v>70</v>
      </c>
      <c r="P11">
        <f t="shared" si="0"/>
        <v>2</v>
      </c>
    </row>
    <row r="12" customFormat="1" ht="22" customHeight="1" spans="1:16">
      <c r="A12" s="9">
        <v>10</v>
      </c>
      <c r="B12" s="10">
        <v>46135</v>
      </c>
      <c r="C12" s="11" t="s">
        <v>25</v>
      </c>
      <c r="D12" s="12" t="s">
        <v>152</v>
      </c>
      <c r="E12" s="16"/>
      <c r="F12" s="11">
        <v>2</v>
      </c>
      <c r="G12" s="20"/>
      <c r="H12" s="14"/>
      <c r="I12" s="15">
        <v>10</v>
      </c>
      <c r="J12" s="10">
        <v>46135</v>
      </c>
      <c r="K12" s="11" t="s">
        <v>71</v>
      </c>
      <c r="L12" s="12" t="s">
        <v>152</v>
      </c>
      <c r="M12" s="11"/>
      <c r="N12" s="11">
        <v>2</v>
      </c>
      <c r="O12" s="17" t="s">
        <v>72</v>
      </c>
      <c r="P12">
        <f t="shared" si="0"/>
        <v>2</v>
      </c>
    </row>
    <row r="13" customFormat="1" ht="22" customHeight="1" spans="1:16">
      <c r="A13" s="9">
        <v>11</v>
      </c>
      <c r="B13" s="10">
        <v>46135</v>
      </c>
      <c r="C13" s="11" t="s">
        <v>26</v>
      </c>
      <c r="D13" s="12" t="s">
        <v>152</v>
      </c>
      <c r="E13" s="11">
        <v>1</v>
      </c>
      <c r="F13" s="11">
        <v>1</v>
      </c>
      <c r="G13" s="20"/>
      <c r="H13" s="14"/>
      <c r="I13" s="15">
        <v>11</v>
      </c>
      <c r="J13" s="10">
        <v>46135</v>
      </c>
      <c r="K13" s="11" t="s">
        <v>73</v>
      </c>
      <c r="L13" s="12" t="s">
        <v>152</v>
      </c>
      <c r="M13" s="11"/>
      <c r="N13" s="11">
        <v>2</v>
      </c>
      <c r="O13" s="17" t="s">
        <v>74</v>
      </c>
      <c r="P13">
        <f t="shared" si="0"/>
        <v>2</v>
      </c>
    </row>
    <row r="14" customFormat="1" ht="22" customHeight="1" spans="1:16">
      <c r="A14" s="9">
        <v>12</v>
      </c>
      <c r="B14" s="10">
        <v>46135</v>
      </c>
      <c r="C14" s="21" t="s">
        <v>27</v>
      </c>
      <c r="D14" s="12" t="s">
        <v>152</v>
      </c>
      <c r="E14" s="11">
        <v>2</v>
      </c>
      <c r="F14" s="22"/>
      <c r="G14" s="20"/>
      <c r="H14" s="14"/>
      <c r="I14" s="15">
        <v>12</v>
      </c>
      <c r="J14" s="10">
        <v>46135</v>
      </c>
      <c r="K14" s="11" t="s">
        <v>75</v>
      </c>
      <c r="L14" s="12" t="s">
        <v>152</v>
      </c>
      <c r="M14" s="11">
        <v>1</v>
      </c>
      <c r="N14" s="16">
        <v>1</v>
      </c>
      <c r="O14" s="17" t="s">
        <v>76</v>
      </c>
      <c r="P14">
        <f t="shared" si="0"/>
        <v>2</v>
      </c>
    </row>
    <row r="15" customFormat="1" ht="22" customHeight="1" spans="1:16">
      <c r="A15" s="9">
        <v>13</v>
      </c>
      <c r="B15" s="10">
        <v>46135</v>
      </c>
      <c r="C15" s="23" t="s">
        <v>28</v>
      </c>
      <c r="D15" s="12" t="s">
        <v>152</v>
      </c>
      <c r="E15" s="24"/>
      <c r="F15" s="11">
        <v>2</v>
      </c>
      <c r="G15" s="25"/>
      <c r="H15" s="14"/>
      <c r="I15" s="15">
        <v>13</v>
      </c>
      <c r="J15" s="10">
        <v>46135</v>
      </c>
      <c r="K15" s="11" t="s">
        <v>77</v>
      </c>
      <c r="L15" s="12" t="s">
        <v>152</v>
      </c>
      <c r="M15" s="11">
        <v>2</v>
      </c>
      <c r="N15" s="16"/>
      <c r="O15" s="17"/>
      <c r="P15">
        <f t="shared" si="0"/>
        <v>2</v>
      </c>
    </row>
    <row r="16" customFormat="1" ht="22" customHeight="1" spans="1:16">
      <c r="A16" s="9">
        <v>14</v>
      </c>
      <c r="B16" s="10">
        <v>46135</v>
      </c>
      <c r="C16" s="23" t="s">
        <v>29</v>
      </c>
      <c r="D16" s="12" t="s">
        <v>152</v>
      </c>
      <c r="E16" s="26"/>
      <c r="F16" s="11">
        <v>2</v>
      </c>
      <c r="G16" s="25"/>
      <c r="H16" s="14"/>
      <c r="I16" s="15">
        <v>14</v>
      </c>
      <c r="J16" s="10">
        <v>46135</v>
      </c>
      <c r="K16" s="11" t="s">
        <v>78</v>
      </c>
      <c r="L16" s="12" t="s">
        <v>152</v>
      </c>
      <c r="M16" s="11">
        <v>1</v>
      </c>
      <c r="N16" s="16">
        <v>1</v>
      </c>
      <c r="O16" s="17" t="s">
        <v>79</v>
      </c>
      <c r="P16">
        <f t="shared" si="0"/>
        <v>2</v>
      </c>
    </row>
    <row r="17" customFormat="1" ht="22" customHeight="1" spans="1:16">
      <c r="A17" s="9">
        <v>15</v>
      </c>
      <c r="B17" s="10">
        <v>46135</v>
      </c>
      <c r="C17" s="23" t="s">
        <v>30</v>
      </c>
      <c r="D17" s="12" t="s">
        <v>152</v>
      </c>
      <c r="E17" s="11">
        <v>1</v>
      </c>
      <c r="F17" s="11">
        <v>1</v>
      </c>
      <c r="G17" s="25"/>
      <c r="H17" s="14"/>
      <c r="I17" s="15">
        <v>15</v>
      </c>
      <c r="J17" s="10">
        <v>46135</v>
      </c>
      <c r="K17" s="11" t="s">
        <v>80</v>
      </c>
      <c r="L17" s="12" t="s">
        <v>152</v>
      </c>
      <c r="M17" s="11">
        <v>2</v>
      </c>
      <c r="N17" s="16"/>
      <c r="O17" s="17" t="s">
        <v>81</v>
      </c>
      <c r="P17">
        <f t="shared" si="0"/>
        <v>2</v>
      </c>
    </row>
    <row r="18" customFormat="1" ht="22" customHeight="1" spans="1:16">
      <c r="A18" s="9">
        <v>16</v>
      </c>
      <c r="B18" s="10">
        <v>46135</v>
      </c>
      <c r="C18" s="23" t="s">
        <v>31</v>
      </c>
      <c r="D18" s="12" t="s">
        <v>152</v>
      </c>
      <c r="E18" s="11">
        <v>1</v>
      </c>
      <c r="F18" s="11">
        <v>1</v>
      </c>
      <c r="G18" s="25"/>
      <c r="H18" s="14"/>
      <c r="I18" s="15">
        <v>16</v>
      </c>
      <c r="J18" s="10">
        <v>46135</v>
      </c>
      <c r="K18" s="11" t="s">
        <v>82</v>
      </c>
      <c r="L18" s="12" t="s">
        <v>152</v>
      </c>
      <c r="M18" s="11"/>
      <c r="N18" s="11">
        <v>2</v>
      </c>
      <c r="O18" s="17" t="s">
        <v>83</v>
      </c>
      <c r="P18">
        <f t="shared" si="0"/>
        <v>2</v>
      </c>
    </row>
    <row r="19" customFormat="1" ht="22" customHeight="1" spans="1:16">
      <c r="A19" s="9">
        <v>17</v>
      </c>
      <c r="B19" s="10">
        <v>46135</v>
      </c>
      <c r="C19" s="23" t="s">
        <v>32</v>
      </c>
      <c r="D19" s="12" t="s">
        <v>152</v>
      </c>
      <c r="E19" s="11">
        <v>2</v>
      </c>
      <c r="F19" s="26"/>
      <c r="G19" s="25"/>
      <c r="H19" s="14"/>
      <c r="I19" s="15">
        <v>17</v>
      </c>
      <c r="J19" s="10">
        <v>46135</v>
      </c>
      <c r="K19" s="11" t="s">
        <v>84</v>
      </c>
      <c r="L19" s="12" t="s">
        <v>152</v>
      </c>
      <c r="M19" s="11"/>
      <c r="N19" s="11">
        <v>2</v>
      </c>
      <c r="O19" s="17" t="s">
        <v>83</v>
      </c>
      <c r="P19">
        <f t="shared" si="0"/>
        <v>2</v>
      </c>
    </row>
    <row r="20" customFormat="1" ht="22" customHeight="1" spans="1:16">
      <c r="A20" s="9">
        <v>18</v>
      </c>
      <c r="B20" s="10">
        <v>46135</v>
      </c>
      <c r="C20" s="23" t="s">
        <v>33</v>
      </c>
      <c r="D20" s="12" t="s">
        <v>152</v>
      </c>
      <c r="E20" s="11">
        <v>2</v>
      </c>
      <c r="F20" s="26"/>
      <c r="G20" s="25"/>
      <c r="H20" s="14"/>
      <c r="I20" s="15">
        <v>18</v>
      </c>
      <c r="J20" s="10">
        <v>46135</v>
      </c>
      <c r="K20" s="11" t="s">
        <v>85</v>
      </c>
      <c r="L20" s="12" t="s">
        <v>152</v>
      </c>
      <c r="M20" s="11">
        <v>2</v>
      </c>
      <c r="N20" s="16"/>
      <c r="O20" s="17"/>
      <c r="P20">
        <f t="shared" si="0"/>
        <v>2</v>
      </c>
    </row>
    <row r="21" customFormat="1" ht="22" customHeight="1" spans="1:16">
      <c r="A21" s="9">
        <v>19</v>
      </c>
      <c r="B21" s="10">
        <v>46135</v>
      </c>
      <c r="C21" s="27" t="s">
        <v>34</v>
      </c>
      <c r="D21" s="12" t="s">
        <v>152</v>
      </c>
      <c r="E21" s="11">
        <v>2</v>
      </c>
      <c r="F21" s="26"/>
      <c r="G21" s="25"/>
      <c r="H21" s="14"/>
      <c r="I21" s="15">
        <v>19</v>
      </c>
      <c r="J21" s="10">
        <v>46135</v>
      </c>
      <c r="K21" s="11" t="s">
        <v>87</v>
      </c>
      <c r="L21" s="12" t="s">
        <v>152</v>
      </c>
      <c r="M21" s="11"/>
      <c r="N21" s="11">
        <v>2</v>
      </c>
      <c r="O21" s="17" t="s">
        <v>88</v>
      </c>
      <c r="P21">
        <f t="shared" si="0"/>
        <v>2</v>
      </c>
    </row>
    <row r="22" customFormat="1" ht="22" customHeight="1" spans="1:16">
      <c r="A22" s="9">
        <v>20</v>
      </c>
      <c r="B22" s="10">
        <v>46135</v>
      </c>
      <c r="C22" s="23" t="s">
        <v>35</v>
      </c>
      <c r="D22" s="12" t="s">
        <v>152</v>
      </c>
      <c r="E22" s="11">
        <v>1</v>
      </c>
      <c r="F22" s="11">
        <v>1</v>
      </c>
      <c r="G22" s="25"/>
      <c r="H22" s="14"/>
      <c r="I22" s="15">
        <v>20</v>
      </c>
      <c r="J22" s="10">
        <v>46135</v>
      </c>
      <c r="K22" s="11" t="s">
        <v>89</v>
      </c>
      <c r="L22" s="12" t="s">
        <v>152</v>
      </c>
      <c r="M22" s="11"/>
      <c r="N22" s="11">
        <v>2</v>
      </c>
      <c r="O22" s="17" t="s">
        <v>74</v>
      </c>
      <c r="P22">
        <f t="shared" si="0"/>
        <v>2</v>
      </c>
    </row>
    <row r="23" customFormat="1" ht="22" customHeight="1" spans="1:16">
      <c r="A23" s="9">
        <v>21</v>
      </c>
      <c r="B23" s="10">
        <v>46135</v>
      </c>
      <c r="C23" s="23" t="s">
        <v>36</v>
      </c>
      <c r="D23" s="12" t="s">
        <v>152</v>
      </c>
      <c r="E23" s="26"/>
      <c r="F23" s="28">
        <v>6</v>
      </c>
      <c r="G23" s="25" t="s">
        <v>156</v>
      </c>
      <c r="H23" s="14"/>
      <c r="I23" s="15">
        <v>21</v>
      </c>
      <c r="J23" s="10">
        <v>46135</v>
      </c>
      <c r="K23" s="11" t="s">
        <v>90</v>
      </c>
      <c r="L23" s="12" t="s">
        <v>152</v>
      </c>
      <c r="M23" s="11">
        <v>2</v>
      </c>
      <c r="N23" s="16"/>
      <c r="O23" s="17"/>
      <c r="P23">
        <f t="shared" si="0"/>
        <v>2</v>
      </c>
    </row>
    <row r="24" customFormat="1" ht="22" customHeight="1" spans="1:16">
      <c r="A24" s="29"/>
      <c r="B24" s="30"/>
      <c r="C24" s="31"/>
      <c r="D24" s="32"/>
      <c r="E24" s="14">
        <f>SUM(E3:E23)</f>
        <v>26</v>
      </c>
      <c r="F24" s="14">
        <f ca="1">SUM(F3:F32)</f>
        <v>20</v>
      </c>
      <c r="G24" s="33"/>
      <c r="H24" s="14"/>
      <c r="I24" s="15">
        <v>22</v>
      </c>
      <c r="J24" s="10">
        <v>46135</v>
      </c>
      <c r="K24" s="11" t="s">
        <v>91</v>
      </c>
      <c r="L24" s="12" t="s">
        <v>152</v>
      </c>
      <c r="M24" s="11">
        <v>2</v>
      </c>
      <c r="N24" s="16"/>
      <c r="O24" s="17"/>
      <c r="P24">
        <f t="shared" si="0"/>
        <v>2</v>
      </c>
    </row>
    <row r="25" customFormat="1" ht="22" customHeight="1" spans="1:16">
      <c r="A25" s="29"/>
      <c r="B25" s="30"/>
      <c r="C25" s="31"/>
      <c r="D25" s="32"/>
      <c r="G25" s="33"/>
      <c r="H25" s="14"/>
      <c r="I25" s="15">
        <v>23</v>
      </c>
      <c r="J25" s="10">
        <v>46135</v>
      </c>
      <c r="K25" s="11" t="s">
        <v>92</v>
      </c>
      <c r="L25" s="12" t="s">
        <v>152</v>
      </c>
      <c r="M25" s="11">
        <v>2</v>
      </c>
      <c r="N25" s="16"/>
      <c r="O25" s="17" t="s">
        <v>93</v>
      </c>
      <c r="P25">
        <f t="shared" si="0"/>
        <v>2</v>
      </c>
    </row>
    <row r="26" customFormat="1" ht="22" customHeight="1" spans="1:16">
      <c r="A26" s="29"/>
      <c r="B26" s="30"/>
      <c r="C26" s="31"/>
      <c r="D26" s="32"/>
      <c r="E26" s="34"/>
      <c r="F26" s="34"/>
      <c r="G26" s="33"/>
      <c r="H26" s="14"/>
      <c r="I26" s="15">
        <v>24</v>
      </c>
      <c r="J26" s="10">
        <v>46135</v>
      </c>
      <c r="K26" s="11" t="s">
        <v>94</v>
      </c>
      <c r="L26" s="12" t="s">
        <v>152</v>
      </c>
      <c r="M26" s="11">
        <v>1</v>
      </c>
      <c r="N26" s="16">
        <v>1</v>
      </c>
      <c r="O26" s="17" t="s">
        <v>95</v>
      </c>
      <c r="P26">
        <f t="shared" si="0"/>
        <v>2</v>
      </c>
    </row>
    <row r="27" customFormat="1" ht="22" customHeight="1" spans="1:16">
      <c r="A27" s="29"/>
      <c r="B27" s="30"/>
      <c r="C27" s="31"/>
      <c r="D27" s="32"/>
      <c r="E27" s="34"/>
      <c r="F27" s="34"/>
      <c r="G27" s="33"/>
      <c r="H27" s="14"/>
      <c r="I27" s="15">
        <v>25</v>
      </c>
      <c r="J27" s="10">
        <v>46135</v>
      </c>
      <c r="K27" s="11" t="s">
        <v>96</v>
      </c>
      <c r="L27" s="12" t="s">
        <v>152</v>
      </c>
      <c r="M27" s="11">
        <v>1</v>
      </c>
      <c r="N27" s="16">
        <v>1</v>
      </c>
      <c r="O27" s="17" t="s">
        <v>95</v>
      </c>
      <c r="P27">
        <f t="shared" si="0"/>
        <v>2</v>
      </c>
    </row>
    <row r="28" customFormat="1" ht="22" customHeight="1" spans="1:16">
      <c r="A28" s="29"/>
      <c r="B28" s="30"/>
      <c r="C28" s="31"/>
      <c r="D28" s="32"/>
      <c r="E28" s="34"/>
      <c r="F28" s="34"/>
      <c r="G28" s="33"/>
      <c r="H28" s="14"/>
      <c r="I28" s="15">
        <v>26</v>
      </c>
      <c r="J28" s="10">
        <v>46135</v>
      </c>
      <c r="K28" s="11" t="s">
        <v>97</v>
      </c>
      <c r="L28" s="12" t="s">
        <v>152</v>
      </c>
      <c r="M28" s="11"/>
      <c r="N28" s="11">
        <v>2</v>
      </c>
      <c r="O28" s="17" t="s">
        <v>98</v>
      </c>
      <c r="P28">
        <f t="shared" si="0"/>
        <v>2</v>
      </c>
    </row>
    <row r="29" customFormat="1" ht="22" customHeight="1" spans="1:16">
      <c r="A29" s="29"/>
      <c r="B29" s="30"/>
      <c r="C29" s="31"/>
      <c r="D29" s="32"/>
      <c r="E29" s="34"/>
      <c r="F29" s="34"/>
      <c r="G29" s="33"/>
      <c r="H29" s="14"/>
      <c r="I29" s="15">
        <v>27</v>
      </c>
      <c r="J29" s="10">
        <v>46135</v>
      </c>
      <c r="K29" s="11" t="s">
        <v>99</v>
      </c>
      <c r="L29" s="12" t="s">
        <v>152</v>
      </c>
      <c r="M29" s="11">
        <v>2</v>
      </c>
      <c r="N29" s="16"/>
      <c r="O29" s="17"/>
      <c r="P29">
        <f t="shared" si="0"/>
        <v>2</v>
      </c>
    </row>
    <row r="30" customFormat="1" ht="22" customHeight="1" spans="1:16">
      <c r="A30" s="29"/>
      <c r="B30" s="30"/>
      <c r="C30" s="31"/>
      <c r="D30" s="32"/>
      <c r="E30" s="34"/>
      <c r="F30" s="34"/>
      <c r="G30" s="33"/>
      <c r="H30" s="14"/>
      <c r="I30" s="15">
        <v>28</v>
      </c>
      <c r="J30" s="10">
        <v>46135</v>
      </c>
      <c r="K30" s="11" t="s">
        <v>101</v>
      </c>
      <c r="L30" s="12" t="s">
        <v>152</v>
      </c>
      <c r="M30" s="11">
        <v>2</v>
      </c>
      <c r="N30" s="16"/>
      <c r="O30" s="17"/>
      <c r="P30">
        <f t="shared" si="0"/>
        <v>2</v>
      </c>
    </row>
    <row r="31" customFormat="1" ht="22" customHeight="1" spans="1:16">
      <c r="A31" s="29"/>
      <c r="B31" s="30"/>
      <c r="C31" s="31"/>
      <c r="D31" s="32"/>
      <c r="E31" s="34"/>
      <c r="F31" s="34"/>
      <c r="G31" s="33"/>
      <c r="H31" s="14"/>
      <c r="I31" s="15">
        <v>29</v>
      </c>
      <c r="J31" s="10">
        <v>46135</v>
      </c>
      <c r="K31" s="11" t="s">
        <v>103</v>
      </c>
      <c r="L31" s="12" t="s">
        <v>152</v>
      </c>
      <c r="M31" s="11">
        <v>2</v>
      </c>
      <c r="N31" s="11"/>
      <c r="O31" s="35"/>
      <c r="P31">
        <f t="shared" si="0"/>
        <v>2</v>
      </c>
    </row>
    <row r="32" customFormat="1" ht="22" customHeight="1" spans="1:16">
      <c r="A32" s="29"/>
      <c r="B32" s="30"/>
      <c r="C32" s="31"/>
      <c r="D32" s="32"/>
      <c r="E32" s="34"/>
      <c r="F32" s="34"/>
      <c r="G32" s="33"/>
      <c r="H32" s="14"/>
      <c r="I32" s="15">
        <v>30</v>
      </c>
      <c r="J32" s="10">
        <v>46135</v>
      </c>
      <c r="K32" s="11" t="s">
        <v>105</v>
      </c>
      <c r="L32" s="12" t="s">
        <v>152</v>
      </c>
      <c r="M32" s="11">
        <v>2</v>
      </c>
      <c r="N32" s="11"/>
      <c r="O32" s="17"/>
      <c r="P32">
        <f t="shared" si="0"/>
        <v>2</v>
      </c>
    </row>
    <row r="33" customFormat="1" ht="22" customHeight="1" spans="1:17">
      <c r="A33" s="29"/>
      <c r="B33" s="30"/>
      <c r="C33" s="31"/>
      <c r="D33" s="32"/>
      <c r="G33" s="33"/>
      <c r="H33" s="14"/>
      <c r="I33" s="15">
        <v>31</v>
      </c>
      <c r="J33" s="10">
        <v>46135</v>
      </c>
      <c r="K33" s="11" t="s">
        <v>106</v>
      </c>
      <c r="L33" s="12" t="s">
        <v>152</v>
      </c>
      <c r="M33" s="11"/>
      <c r="N33" s="11">
        <v>2</v>
      </c>
      <c r="O33" s="17" t="s">
        <v>74</v>
      </c>
      <c r="P33">
        <f t="shared" si="0"/>
        <v>2</v>
      </c>
    </row>
    <row r="34" customFormat="1" ht="22" customHeight="1" spans="1:17">
      <c r="A34" s="29"/>
      <c r="B34" s="30"/>
      <c r="C34" s="31"/>
      <c r="D34" s="32"/>
      <c r="E34" s="34"/>
      <c r="F34" s="34"/>
      <c r="G34" s="33"/>
      <c r="H34" s="14"/>
      <c r="I34" s="15">
        <v>32</v>
      </c>
      <c r="J34" s="10">
        <v>46135</v>
      </c>
      <c r="K34" s="11" t="s">
        <v>107</v>
      </c>
      <c r="L34" s="12" t="s">
        <v>152</v>
      </c>
      <c r="M34" s="11">
        <v>1</v>
      </c>
      <c r="N34" s="11">
        <v>1</v>
      </c>
      <c r="O34" s="17" t="s">
        <v>108</v>
      </c>
      <c r="P34">
        <f t="shared" si="0"/>
        <v>2</v>
      </c>
    </row>
    <row r="35" customFormat="1" ht="22" customHeight="1" spans="1:17">
      <c r="A35" s="29"/>
      <c r="B35" s="30"/>
      <c r="C35" s="31"/>
      <c r="D35" s="32"/>
      <c r="E35" s="34"/>
      <c r="F35" s="34"/>
      <c r="G35" s="33"/>
      <c r="H35" s="14"/>
      <c r="I35" s="15">
        <v>33</v>
      </c>
      <c r="J35" s="10">
        <v>46135</v>
      </c>
      <c r="K35" s="11" t="s">
        <v>109</v>
      </c>
      <c r="L35" s="12" t="s">
        <v>152</v>
      </c>
      <c r="M35" s="11"/>
      <c r="N35" s="11">
        <v>2</v>
      </c>
      <c r="O35" s="17" t="s">
        <v>98</v>
      </c>
      <c r="P35">
        <f t="shared" si="0"/>
        <v>2</v>
      </c>
    </row>
    <row r="36" customFormat="1" ht="22" customHeight="1" spans="1:17">
      <c r="A36" s="29"/>
      <c r="B36" s="30"/>
      <c r="C36" s="31"/>
      <c r="D36" s="32"/>
      <c r="E36" s="34"/>
      <c r="F36" s="34"/>
      <c r="G36" s="33"/>
      <c r="H36" s="14"/>
      <c r="I36" s="15">
        <v>34</v>
      </c>
      <c r="J36" s="10">
        <v>46135</v>
      </c>
      <c r="K36" s="11" t="s">
        <v>110</v>
      </c>
      <c r="L36" s="12" t="s">
        <v>152</v>
      </c>
      <c r="M36" s="11"/>
      <c r="N36" s="11">
        <v>2</v>
      </c>
      <c r="O36" s="17" t="s">
        <v>98</v>
      </c>
      <c r="P36">
        <f t="shared" si="0"/>
        <v>2</v>
      </c>
    </row>
    <row r="37" customFormat="1" ht="22" customHeight="1" spans="1:17">
      <c r="A37" s="29"/>
      <c r="B37" s="30"/>
      <c r="C37" s="31"/>
      <c r="D37" s="32"/>
      <c r="E37" s="34"/>
      <c r="F37" s="34"/>
      <c r="G37" s="33"/>
      <c r="H37" s="14"/>
      <c r="I37" s="15">
        <v>35</v>
      </c>
      <c r="J37" s="10">
        <v>46135</v>
      </c>
      <c r="K37" s="11" t="s">
        <v>111</v>
      </c>
      <c r="L37" s="12" t="s">
        <v>152</v>
      </c>
      <c r="M37" s="11">
        <v>2</v>
      </c>
      <c r="N37" s="11"/>
      <c r="O37" s="17"/>
      <c r="P37">
        <f t="shared" si="0"/>
        <v>2</v>
      </c>
    </row>
    <row r="38" customFormat="1" ht="22" customHeight="1" spans="1:17">
      <c r="A38" s="29"/>
      <c r="B38" s="30"/>
      <c r="C38" s="31"/>
      <c r="D38" s="32"/>
      <c r="E38" s="34"/>
      <c r="F38" s="34"/>
      <c r="G38" s="33"/>
      <c r="H38" s="14"/>
      <c r="I38" s="15">
        <v>36</v>
      </c>
      <c r="J38" s="10">
        <v>46135</v>
      </c>
      <c r="K38" s="11" t="s">
        <v>112</v>
      </c>
      <c r="L38" s="12" t="s">
        <v>152</v>
      </c>
      <c r="M38" s="11">
        <v>2</v>
      </c>
      <c r="N38" s="11"/>
      <c r="O38" s="17"/>
      <c r="P38">
        <f t="shared" si="0"/>
        <v>2</v>
      </c>
    </row>
    <row r="39" customFormat="1" ht="22" customHeight="1" spans="1:17">
      <c r="A39" s="29"/>
      <c r="B39" s="30"/>
      <c r="C39" s="31"/>
      <c r="D39" s="32"/>
      <c r="E39" s="34"/>
      <c r="F39" s="34"/>
      <c r="G39" s="33"/>
      <c r="H39" s="14"/>
      <c r="I39" s="15">
        <v>37</v>
      </c>
      <c r="J39" s="10">
        <v>46135</v>
      </c>
      <c r="K39" s="11" t="s">
        <v>114</v>
      </c>
      <c r="L39" s="12" t="s">
        <v>152</v>
      </c>
      <c r="M39" s="11">
        <v>2</v>
      </c>
      <c r="N39" s="11"/>
      <c r="O39" s="17"/>
      <c r="P39">
        <f t="shared" si="0"/>
        <v>2</v>
      </c>
    </row>
    <row r="40" customFormat="1" ht="22" customHeight="1" spans="1:17">
      <c r="A40" s="29"/>
      <c r="B40" s="30"/>
      <c r="C40" s="31"/>
      <c r="D40" s="32"/>
      <c r="E40" s="34"/>
      <c r="F40" s="34"/>
      <c r="G40" s="33"/>
      <c r="H40" s="14"/>
      <c r="I40" s="15">
        <v>38</v>
      </c>
      <c r="J40" s="10">
        <v>46135</v>
      </c>
      <c r="K40" s="11" t="s">
        <v>117</v>
      </c>
      <c r="L40" s="12" t="s">
        <v>152</v>
      </c>
      <c r="M40" s="11">
        <v>1</v>
      </c>
      <c r="N40" s="11">
        <v>1</v>
      </c>
      <c r="O40" s="17" t="s">
        <v>108</v>
      </c>
      <c r="P40">
        <f t="shared" si="0"/>
        <v>2</v>
      </c>
    </row>
    <row r="41" customFormat="1" ht="22" customHeight="1" spans="1:17">
      <c r="A41" s="29"/>
      <c r="B41" s="30"/>
      <c r="C41" s="31"/>
      <c r="D41" s="32"/>
      <c r="E41" s="34"/>
      <c r="F41" s="34"/>
      <c r="G41" s="33"/>
      <c r="H41" s="14"/>
      <c r="I41" s="15">
        <v>39</v>
      </c>
      <c r="J41" s="10">
        <v>46135</v>
      </c>
      <c r="K41" s="11" t="s">
        <v>121</v>
      </c>
      <c r="L41" s="12" t="s">
        <v>152</v>
      </c>
      <c r="M41" s="11">
        <v>1</v>
      </c>
      <c r="N41" s="11">
        <v>1</v>
      </c>
      <c r="O41" s="17" t="s">
        <v>108</v>
      </c>
      <c r="P41">
        <f t="shared" si="0"/>
        <v>2</v>
      </c>
    </row>
    <row r="42" customFormat="1" ht="22" customHeight="1" spans="1:17">
      <c r="A42" s="29"/>
      <c r="B42" s="30"/>
      <c r="C42" s="31"/>
      <c r="D42" s="32"/>
      <c r="E42" s="34"/>
      <c r="F42" s="34"/>
      <c r="G42" s="33"/>
      <c r="H42" s="14"/>
      <c r="I42" s="15">
        <v>40</v>
      </c>
      <c r="J42" s="10">
        <v>46135</v>
      </c>
      <c r="K42" s="11" t="s">
        <v>125</v>
      </c>
      <c r="L42" s="12" t="s">
        <v>152</v>
      </c>
      <c r="M42" s="11">
        <v>2</v>
      </c>
      <c r="N42" s="11"/>
      <c r="O42" s="17"/>
      <c r="P42">
        <f t="shared" si="0"/>
        <v>2</v>
      </c>
    </row>
    <row r="43" customFormat="1" ht="22" customHeight="1" spans="1:17">
      <c r="A43" s="29"/>
      <c r="B43" s="30"/>
      <c r="C43" s="31"/>
      <c r="D43" s="32"/>
      <c r="E43" s="34"/>
      <c r="F43" s="34"/>
      <c r="G43" s="33"/>
      <c r="H43" s="14"/>
      <c r="I43" s="15">
        <v>41</v>
      </c>
      <c r="J43" s="10">
        <v>46135</v>
      </c>
      <c r="K43" s="11" t="s">
        <v>127</v>
      </c>
      <c r="L43" s="12" t="s">
        <v>152</v>
      </c>
      <c r="M43" s="11">
        <v>2</v>
      </c>
      <c r="N43" s="11"/>
      <c r="O43" s="17"/>
      <c r="P43">
        <f t="shared" si="0"/>
        <v>2</v>
      </c>
    </row>
    <row r="44" customFormat="1" ht="22" customHeight="1" spans="1:17">
      <c r="A44" s="29"/>
      <c r="B44" s="30"/>
      <c r="C44" s="31"/>
      <c r="D44" s="32"/>
      <c r="E44" s="34"/>
      <c r="F44" s="34"/>
      <c r="G44" s="33"/>
      <c r="H44" s="14"/>
      <c r="I44" s="15">
        <v>42</v>
      </c>
      <c r="J44" s="10">
        <v>46135</v>
      </c>
      <c r="K44" s="36" t="s">
        <v>129</v>
      </c>
      <c r="L44" s="12" t="s">
        <v>152</v>
      </c>
      <c r="M44" s="11">
        <v>2</v>
      </c>
      <c r="N44" s="11"/>
      <c r="O44" s="17"/>
      <c r="P44">
        <f t="shared" si="0"/>
        <v>2</v>
      </c>
    </row>
    <row r="45" customFormat="1" ht="22" customHeight="1" spans="1:17">
      <c r="A45" s="29"/>
      <c r="B45" s="30"/>
      <c r="C45" s="31"/>
      <c r="D45" s="32"/>
      <c r="E45" s="34"/>
      <c r="F45" s="34"/>
      <c r="G45" s="33"/>
      <c r="H45" s="14"/>
      <c r="I45" s="14"/>
      <c r="J45" s="14"/>
      <c r="K45" s="14"/>
      <c r="L45" s="14"/>
      <c r="M45" s="14"/>
      <c r="N45" s="14"/>
      <c r="O45" s="14"/>
      <c r="P45" s="14"/>
      <c r="Q45" s="14"/>
    </row>
    <row r="46" customFormat="1" ht="22" customHeight="1" spans="1:17">
      <c r="A46" s="29"/>
      <c r="B46" s="30"/>
      <c r="C46" s="31"/>
      <c r="D46" s="32"/>
      <c r="E46" s="34"/>
      <c r="F46" s="34"/>
      <c r="G46" s="33"/>
      <c r="H46" s="14"/>
      <c r="I46" s="29"/>
      <c r="J46" s="30"/>
      <c r="K46" s="37"/>
      <c r="L46" s="32"/>
      <c r="M46" s="14">
        <f>SUM(M1:M45)</f>
        <v>48</v>
      </c>
      <c r="N46" s="14">
        <f>SUM(N1:N45)</f>
        <v>36</v>
      </c>
      <c r="O46" s="38"/>
      <c r="P46">
        <f>SUM(M46:N46)</f>
        <v>84</v>
      </c>
    </row>
    <row r="47" customFormat="1" ht="22" customHeight="1" spans="1:17">
      <c r="A47" s="29"/>
      <c r="B47" s="30"/>
      <c r="C47" s="31"/>
      <c r="D47" s="32"/>
      <c r="E47" s="34"/>
      <c r="F47" s="34"/>
      <c r="G47" s="33"/>
      <c r="H47" s="14"/>
      <c r="I47" s="29"/>
      <c r="J47" s="30"/>
      <c r="K47" s="37"/>
      <c r="L47" s="32"/>
      <c r="M47" s="37"/>
      <c r="N47" s="37"/>
      <c r="O47" s="38"/>
    </row>
    <row r="48" customFormat="1" ht="22" customHeight="1" spans="1:17">
      <c r="E48" s="14"/>
      <c r="F48" s="14"/>
      <c r="H48" s="14">
        <f>46+84</f>
        <v>130</v>
      </c>
    </row>
    <row r="49" ht="22" customHeight="1"/>
    <row r="50" ht="22" customHeight="1"/>
    <row r="51" ht="22" customHeight="1"/>
    <row r="52" ht="22" customHeight="1"/>
    <row r="53" ht="22" customHeight="1"/>
  </sheetData>
  <mergeCells count="2">
    <mergeCell ref="A1:G1"/>
    <mergeCell ref="I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老师</vt:lpstr>
      <vt:lpstr>学生</vt:lpstr>
      <vt:lpstr>领奶表</vt:lpstr>
      <vt:lpstr>签收</vt:lpstr>
      <vt:lpstr>配送汇总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2026-04-17T02:02:40Z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A5E5FF03DC3344B6AB7B0804B0AAA305_13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