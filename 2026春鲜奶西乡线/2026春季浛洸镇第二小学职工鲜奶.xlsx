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1535" tabRatio="868" firstSheet="7" activeTab="16"/>
  </bookViews>
  <sheets>
    <sheet name="老师" sheetId="1" r:id="rId1"/>
    <sheet name="领奶表" sheetId="5" r:id="rId2"/>
    <sheet name="配送汇总" sheetId="6" r:id="rId3"/>
    <sheet name="签收" sheetId="8" r:id="rId4"/>
    <sheet name="3.9" sheetId="2" r:id="rId5"/>
    <sheet name="3.12" sheetId="7" r:id="rId6"/>
    <sheet name="3.16" sheetId="9" r:id="rId7"/>
    <sheet name="3.19" sheetId="10" r:id="rId8"/>
    <sheet name="3.23" sheetId="11" r:id="rId9"/>
    <sheet name="3.26" sheetId="12" r:id="rId10"/>
    <sheet name="3.30" sheetId="13" r:id="rId11"/>
    <sheet name="4.2" sheetId="14" r:id="rId12"/>
    <sheet name="4.7" sheetId="15" r:id="rId13"/>
    <sheet name="4.9" sheetId="16" r:id="rId14"/>
    <sheet name="4.13" sheetId="17" r:id="rId15"/>
    <sheet name="4.16" sheetId="18" r:id="rId16"/>
    <sheet name="4.20" sheetId="19" r:id="rId17"/>
    <sheet name="4.23" sheetId="20" r:id="rId18"/>
  </sheets>
  <definedNames>
    <definedName name="_xlnm._FilterDatabase" localSheetId="0" hidden="1">老师!$A$4:$Y$43</definedName>
    <definedName name="_xlnm._FilterDatabase" localSheetId="2" hidden="1">配送汇总!$A$1:$Y$30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<sst xmlns="http://schemas.openxmlformats.org/spreadsheetml/2006/main" count="990" uniqueCount="67">
  <si>
    <t>2026春季浛洸镇第二小学教职工巴氏鲜奶补贴订购申请表（20份起送，特殊申请除外</t>
  </si>
  <si>
    <t>本学期3月15日前订购一份赠送1本笔记本+1支花梨木圆珠笔</t>
  </si>
  <si>
    <t>序号</t>
  </si>
  <si>
    <t>职工姓名</t>
  </si>
  <si>
    <t>联系电话</t>
  </si>
  <si>
    <t>订购种类（打√）</t>
  </si>
  <si>
    <t>订购份数（100盒/210元）</t>
  </si>
  <si>
    <t>备注</t>
  </si>
  <si>
    <r>
      <rPr>
        <b/>
        <sz val="11"/>
        <color rgb="FF000000"/>
        <rFont val="宋体"/>
        <charset val="134"/>
      </rPr>
      <t>鲜奶（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保质期7天</t>
    </r>
  </si>
  <si>
    <r>
      <rPr>
        <b/>
        <sz val="11"/>
        <color rgb="FF000000"/>
        <rFont val="宋体"/>
        <charset val="134"/>
      </rPr>
      <t>乳酸（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保质期15天</t>
    </r>
  </si>
  <si>
    <r>
      <rPr>
        <b/>
        <sz val="11"/>
        <color rgb="FF000000"/>
        <rFont val="宋体"/>
        <charset val="134"/>
      </rPr>
      <t>市场原价</t>
    </r>
    <r>
      <rPr>
        <sz val="10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（3.5元/盒）</t>
    </r>
  </si>
  <si>
    <r>
      <rPr>
        <b/>
        <sz val="11"/>
        <color rgb="FF000000"/>
        <rFont val="宋体"/>
        <charset val="134"/>
      </rPr>
      <t>职工优惠价6折购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（2.1元/盒）</t>
    </r>
  </si>
  <si>
    <t>如果二个打√就各50支</t>
  </si>
  <si>
    <t>冯敏婷</t>
  </si>
  <si>
    <t>✓</t>
  </si>
  <si>
    <t>已收款</t>
  </si>
  <si>
    <t>张美婷1</t>
  </si>
  <si>
    <t>✔️</t>
  </si>
  <si>
    <t>张美婷2</t>
  </si>
  <si>
    <t>张美婷3</t>
  </si>
  <si>
    <t>彭海玲</t>
  </si>
  <si>
    <t>张美婷4</t>
  </si>
  <si>
    <t>陈炜宇</t>
  </si>
  <si>
    <t>赖翠美</t>
  </si>
  <si>
    <t>陈房军</t>
  </si>
  <si>
    <t>✔</t>
  </si>
  <si>
    <t>杨桃</t>
  </si>
  <si>
    <t>谢秀云</t>
  </si>
  <si>
    <t>李梓航</t>
  </si>
  <si>
    <t>☑️</t>
  </si>
  <si>
    <t>郭婷婷</t>
  </si>
  <si>
    <t>张桂兰</t>
  </si>
  <si>
    <t>陈勇强</t>
  </si>
  <si>
    <t>谢金红1</t>
  </si>
  <si>
    <t>谢金红2</t>
  </si>
  <si>
    <t>陈石胡</t>
  </si>
  <si>
    <t>赖兰香</t>
  </si>
  <si>
    <t>张美婷5</t>
  </si>
  <si>
    <t>郝秀丽</t>
  </si>
  <si>
    <t>3/12新增，已收款</t>
  </si>
  <si>
    <t>朱玉琼</t>
  </si>
  <si>
    <t>3/13新增</t>
  </si>
  <si>
    <t>谢秀群</t>
  </si>
  <si>
    <t>3.28新增</t>
  </si>
  <si>
    <t>付玉芬1</t>
  </si>
  <si>
    <t>付玉芬2</t>
  </si>
  <si>
    <t>刘冰琦</t>
  </si>
  <si>
    <t>4.1新增</t>
  </si>
  <si>
    <t>梁伟丽</t>
  </si>
  <si>
    <t>浛洸镇第二小学教师鲜奶领奶表</t>
  </si>
  <si>
    <t>（ ）月份（填写领取数量/盒）</t>
  </si>
  <si>
    <t>姓名</t>
  </si>
  <si>
    <t>订购份数</t>
  </si>
  <si>
    <t>总计</t>
  </si>
  <si>
    <t>剩余</t>
  </si>
  <si>
    <t>续订已收款</t>
  </si>
  <si>
    <t>浛洸镇第二小学教师鲜奶赠品领取表</t>
  </si>
  <si>
    <t>配送日期</t>
  </si>
  <si>
    <t>礼品份数
（笔记本+笔）</t>
  </si>
  <si>
    <t>签名</t>
  </si>
  <si>
    <t>3.30送</t>
  </si>
  <si>
    <t>配送天数</t>
  </si>
  <si>
    <t>鲜</t>
  </si>
  <si>
    <t>酸</t>
  </si>
  <si>
    <t>3天</t>
  </si>
  <si>
    <t>4天</t>
  </si>
  <si>
    <t>补发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</si>
</sst>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7">
    <font>
      <sz val="10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0"/>
      <name val="宋体"/>
      <charset val="134"/>
      <scheme val="minor"/>
    </font>
    <font>
      <b/>
      <sz val="14"/>
      <color rgb="FF000000"/>
      <name val="宋体"/>
      <charset val="134"/>
    </font>
    <font>
      <b/>
      <sz val="14"/>
      <name val="宋体"/>
      <charset val="134"/>
    </font>
    <font>
      <b/>
      <sz val="12"/>
      <color rgb="FF000000"/>
      <name val="宋体"/>
      <charset val="134"/>
    </font>
    <font>
      <b/>
      <sz val="12"/>
      <name val="宋体"/>
      <charset val="134"/>
    </font>
    <font>
      <sz val="12"/>
      <color theme="1"/>
      <name val="宋体"/>
      <charset val="134"/>
      <scheme val="minor"/>
    </font>
    <font>
      <sz val="12"/>
      <name val="宋体"/>
      <charset val="134"/>
      <scheme val="minor"/>
    </font>
    <font>
      <sz val="12"/>
      <name val="宋体"/>
      <charset val="134"/>
    </font>
    <font>
      <sz val="12"/>
      <color rgb="FF000000"/>
      <name val="宋体"/>
      <charset val="134"/>
    </font>
    <font>
      <sz val="12"/>
      <color rgb="FF000000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2"/>
      <color rgb="FFFF0000"/>
      <name val="宋体"/>
      <charset val="134"/>
    </font>
    <font>
      <sz val="12"/>
      <color rgb="FFFF0000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8"/>
      <name val="宋体"/>
      <charset val="134"/>
      <scheme val="minor"/>
    </font>
    <font>
      <sz val="8"/>
      <name val="宋体"/>
      <charset val="134"/>
    </font>
    <font>
      <sz val="10"/>
      <color rgb="FF000000"/>
      <name val="宋体"/>
      <charset val="134"/>
    </font>
    <font>
      <sz val="11"/>
      <color theme="1"/>
      <name val="宋体"/>
      <charset val="134"/>
    </font>
    <font>
      <b/>
      <sz val="12"/>
      <color theme="1"/>
      <name val="宋体"/>
      <charset val="134"/>
    </font>
    <font>
      <sz val="11"/>
      <color rgb="FF000000"/>
      <name val="宋体"/>
      <charset val="134"/>
    </font>
    <font>
      <sz val="10"/>
      <color rgb="FF000000"/>
      <name val="宋体"/>
      <charset val="134"/>
      <scheme val="minor"/>
    </font>
    <font>
      <b/>
      <sz val="16"/>
      <color rgb="FF000000"/>
      <name val="宋体"/>
      <charset val="134"/>
    </font>
    <font>
      <b/>
      <sz val="16"/>
      <color rgb="FFDE3C36"/>
      <name val="宋体"/>
      <charset val="134"/>
    </font>
    <font>
      <b/>
      <sz val="11"/>
      <color rgb="FF000000"/>
      <name val="宋体"/>
      <charset val="134"/>
    </font>
    <font>
      <b/>
      <sz val="11"/>
      <color rgb="FFDE3C3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Alignment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3" fillId="3" borderId="10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4" borderId="13" applyNumberFormat="0" applyAlignment="0" applyProtection="0">
      <alignment vertical="center"/>
    </xf>
    <xf numFmtId="0" fontId="37" fillId="5" borderId="14" applyNumberFormat="0" applyAlignment="0" applyProtection="0">
      <alignment vertical="center"/>
    </xf>
    <xf numFmtId="0" fontId="38" fillId="5" borderId="13" applyNumberFormat="0" applyAlignment="0" applyProtection="0">
      <alignment vertical="center"/>
    </xf>
    <xf numFmtId="0" fontId="39" fillId="6" borderId="15" applyNumberFormat="0" applyAlignment="0" applyProtection="0">
      <alignment vertical="center"/>
    </xf>
    <xf numFmtId="0" fontId="40" fillId="0" borderId="16" applyNumberFormat="0" applyFill="0" applyAlignment="0" applyProtection="0">
      <alignment vertical="center"/>
    </xf>
    <xf numFmtId="0" fontId="41" fillId="0" borderId="17" applyNumberFormat="0" applyFill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4" fillId="0" borderId="2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/>
    </xf>
    <xf numFmtId="0" fontId="5" fillId="0" borderId="3" xfId="0" applyNumberFormat="1" applyFont="1" applyFill="1" applyBorder="1" applyAlignment="1">
      <alignment horizontal="center" vertical="center"/>
    </xf>
    <xf numFmtId="0" fontId="6" fillId="0" borderId="3" xfId="0" applyNumberFormat="1" applyFont="1" applyFill="1" applyBorder="1" applyAlignment="1">
      <alignment horizontal="center" vertical="center"/>
    </xf>
    <xf numFmtId="0" fontId="6" fillId="0" borderId="4" xfId="0" applyNumberFormat="1" applyFont="1" applyFill="1" applyBorder="1" applyAlignment="1">
      <alignment horizontal="center" vertical="center"/>
    </xf>
    <xf numFmtId="0" fontId="6" fillId="0" borderId="5" xfId="0" applyNumberFormat="1" applyFont="1" applyFill="1" applyBorder="1" applyAlignment="1">
      <alignment horizontal="center" vertical="center"/>
    </xf>
    <xf numFmtId="0" fontId="5" fillId="0" borderId="5" xfId="0" applyNumberFormat="1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58" fontId="8" fillId="0" borderId="5" xfId="0" applyNumberFormat="1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58" fontId="8" fillId="0" borderId="5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2" fillId="0" borderId="0" xfId="0" applyFont="1">
      <alignment vertical="center"/>
    </xf>
    <xf numFmtId="0" fontId="3" fillId="0" borderId="2" xfId="0" applyNumberFormat="1" applyFont="1" applyFill="1" applyBorder="1" applyAlignment="1">
      <alignment horizontal="center" vertical="center"/>
    </xf>
    <xf numFmtId="0" fontId="5" fillId="0" borderId="4" xfId="0" applyNumberFormat="1" applyFont="1" applyFill="1" applyBorder="1" applyAlignment="1">
      <alignment horizontal="center" vertical="center"/>
    </xf>
    <xf numFmtId="58" fontId="7" fillId="0" borderId="5" xfId="0" applyNumberFormat="1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58" fontId="7" fillId="0" borderId="5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3" fillId="0" borderId="0" xfId="0" applyFont="1">
      <alignment vertical="center"/>
    </xf>
    <xf numFmtId="0" fontId="14" fillId="0" borderId="7" xfId="0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/>
    </xf>
    <xf numFmtId="58" fontId="15" fillId="0" borderId="5" xfId="0" applyNumberFormat="1" applyFont="1" applyFill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5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/>
    </xf>
    <xf numFmtId="0" fontId="5" fillId="0" borderId="5" xfId="0" applyNumberFormat="1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58" fontId="7" fillId="0" borderId="0" xfId="0" applyNumberFormat="1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17" fillId="0" borderId="0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2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18" fillId="0" borderId="5" xfId="0" applyNumberFormat="1" applyFont="1" applyFill="1" applyBorder="1" applyAlignment="1">
      <alignment horizontal="center" vertical="center"/>
    </xf>
    <xf numFmtId="0" fontId="18" fillId="0" borderId="5" xfId="0" applyNumberFormat="1" applyFont="1" applyFill="1" applyBorder="1" applyAlignment="1">
      <alignment horizontal="center" vertical="center" wrapText="1"/>
    </xf>
    <xf numFmtId="58" fontId="18" fillId="0" borderId="5" xfId="0" applyNumberFormat="1" applyFont="1" applyFill="1" applyBorder="1" applyAlignment="1">
      <alignment horizontal="center" vertical="center" wrapText="1"/>
    </xf>
    <xf numFmtId="58" fontId="18" fillId="0" borderId="5" xfId="0" applyNumberFormat="1" applyFont="1" applyFill="1" applyBorder="1" applyAlignment="1">
      <alignment horizontal="center" vertical="center"/>
    </xf>
    <xf numFmtId="0" fontId="17" fillId="0" borderId="5" xfId="0" applyNumberFormat="1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19" fillId="0" borderId="5" xfId="0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20" fillId="0" borderId="0" xfId="0" applyNumberFormat="1" applyFont="1" applyFill="1" applyBorder="1" applyAlignment="1">
      <alignment vertical="center"/>
    </xf>
    <xf numFmtId="0" fontId="21" fillId="0" borderId="0" xfId="0" applyNumberFormat="1" applyFont="1" applyFill="1" applyBorder="1" applyAlignment="1">
      <alignment horizontal="center" vertical="center" wrapText="1"/>
    </xf>
    <xf numFmtId="0" fontId="20" fillId="0" borderId="0" xfId="0" applyNumberFormat="1" applyFont="1" applyFill="1" applyBorder="1" applyAlignment="1">
      <alignment horizontal="center" vertical="center"/>
    </xf>
    <xf numFmtId="0" fontId="10" fillId="0" borderId="5" xfId="0" applyNumberFormat="1" applyFont="1" applyFill="1" applyBorder="1" applyAlignment="1">
      <alignment horizontal="center" vertical="center"/>
    </xf>
    <xf numFmtId="0" fontId="21" fillId="0" borderId="5" xfId="0" applyNumberFormat="1" applyFont="1" applyFill="1" applyBorder="1" applyAlignment="1">
      <alignment horizontal="center" vertical="center" wrapText="1"/>
    </xf>
    <xf numFmtId="0" fontId="22" fillId="0" borderId="5" xfId="0" applyNumberFormat="1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20" fillId="0" borderId="5" xfId="0" applyNumberFormat="1" applyFont="1" applyFill="1" applyBorder="1" applyAlignment="1">
      <alignment vertical="center"/>
    </xf>
    <xf numFmtId="0" fontId="23" fillId="0" borderId="5" xfId="0" applyNumberFormat="1" applyFont="1" applyFill="1" applyBorder="1" applyAlignment="1">
      <alignment horizontal="left" vertical="center"/>
    </xf>
    <xf numFmtId="0" fontId="22" fillId="0" borderId="0" xfId="0" applyNumberFormat="1" applyFont="1" applyFill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23" fillId="2" borderId="7" xfId="0" applyFont="1" applyFill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/>
    </xf>
    <xf numFmtId="0" fontId="23" fillId="0" borderId="7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89"/>
  <sheetViews>
    <sheetView topLeftCell="A6" workbookViewId="0">
      <selection activeCell="J30" sqref="J30"/>
    </sheetView>
  </sheetViews>
  <sheetFormatPr defaultColWidth="14" defaultRowHeight="18" customHeight="1"/>
  <cols>
    <col min="1" max="1" width="5.14285714285714" customWidth="1"/>
    <col min="2" max="2" width="10.7142857142857" customWidth="1"/>
    <col min="4" max="7" width="7.14285714285714" customWidth="1"/>
    <col min="8" max="8" width="12" customWidth="1"/>
  </cols>
  <sheetData>
    <row r="1" ht="20.25" customHeight="1" spans="1:25">
      <c r="A1" s="82" t="s">
        <v>0</v>
      </c>
      <c r="B1" s="82"/>
      <c r="C1" s="82"/>
      <c r="D1" s="82"/>
      <c r="E1" s="82"/>
      <c r="F1" s="82"/>
      <c r="G1" s="82"/>
      <c r="H1" s="82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</row>
    <row r="2" ht="20.25" customHeight="1" spans="1:25">
      <c r="A2" s="84" t="s">
        <v>1</v>
      </c>
      <c r="B2" s="84"/>
      <c r="C2" s="84"/>
      <c r="D2" s="84"/>
      <c r="E2" s="84"/>
      <c r="F2" s="84"/>
      <c r="G2" s="84"/>
      <c r="H2" s="84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</row>
    <row r="3" customHeight="1" spans="1:25">
      <c r="A3" s="85" t="s">
        <v>2</v>
      </c>
      <c r="B3" s="85" t="s">
        <v>3</v>
      </c>
      <c r="C3" s="85" t="s">
        <v>4</v>
      </c>
      <c r="D3" s="86" t="s">
        <v>5</v>
      </c>
      <c r="E3" s="86"/>
      <c r="F3" s="86" t="s">
        <v>6</v>
      </c>
      <c r="G3" s="86"/>
      <c r="H3" s="85" t="s">
        <v>7</v>
      </c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</row>
    <row r="4" ht="94.5" spans="1:25">
      <c r="A4" s="85"/>
      <c r="B4" s="85"/>
      <c r="C4" s="85"/>
      <c r="D4" s="87" t="s">
        <v>8</v>
      </c>
      <c r="E4" s="87" t="s">
        <v>9</v>
      </c>
      <c r="F4" s="87" t="s">
        <v>10</v>
      </c>
      <c r="G4" s="87" t="s">
        <v>11</v>
      </c>
      <c r="H4" s="88" t="s">
        <v>12</v>
      </c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</row>
    <row r="5" customHeight="1" spans="1:25">
      <c r="A5" s="89">
        <v>1</v>
      </c>
      <c r="B5" s="89" t="s">
        <v>13</v>
      </c>
      <c r="C5" s="89">
        <v>13533623452</v>
      </c>
      <c r="D5" s="89" t="s">
        <v>14</v>
      </c>
      <c r="E5" s="90"/>
      <c r="F5" s="89">
        <v>350</v>
      </c>
      <c r="G5" s="89">
        <v>210</v>
      </c>
      <c r="H5" s="90"/>
      <c r="I5" s="91" t="s">
        <v>15</v>
      </c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</row>
    <row r="6" customHeight="1" spans="1:25">
      <c r="A6" s="89">
        <v>2</v>
      </c>
      <c r="B6" s="89" t="s">
        <v>16</v>
      </c>
      <c r="C6" s="89">
        <v>15768022371</v>
      </c>
      <c r="D6" s="89" t="s">
        <v>17</v>
      </c>
      <c r="E6" s="90"/>
      <c r="F6" s="89">
        <v>350</v>
      </c>
      <c r="G6" s="89">
        <v>210</v>
      </c>
      <c r="H6" s="90"/>
      <c r="I6" s="91" t="s">
        <v>15</v>
      </c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</row>
    <row r="7" customHeight="1" spans="1:25">
      <c r="A7" s="89">
        <v>3</v>
      </c>
      <c r="B7" s="89" t="s">
        <v>18</v>
      </c>
      <c r="C7" s="89">
        <v>15768022371</v>
      </c>
      <c r="D7" s="90"/>
      <c r="E7" s="89" t="s">
        <v>17</v>
      </c>
      <c r="F7" s="89">
        <v>350</v>
      </c>
      <c r="G7" s="89">
        <v>210</v>
      </c>
      <c r="H7" s="90"/>
      <c r="I7" s="91" t="s">
        <v>15</v>
      </c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</row>
    <row r="8" customHeight="1" spans="1:25">
      <c r="A8" s="89">
        <v>4</v>
      </c>
      <c r="B8" s="89" t="s">
        <v>19</v>
      </c>
      <c r="C8" s="89">
        <v>15768022371</v>
      </c>
      <c r="D8" s="89" t="s">
        <v>17</v>
      </c>
      <c r="E8" s="90"/>
      <c r="F8" s="89">
        <v>350</v>
      </c>
      <c r="G8" s="89">
        <v>210</v>
      </c>
      <c r="H8" s="90"/>
      <c r="I8" s="91" t="s">
        <v>15</v>
      </c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</row>
    <row r="9" customHeight="1" spans="1:25">
      <c r="A9" s="89">
        <v>5</v>
      </c>
      <c r="B9" s="89" t="s">
        <v>20</v>
      </c>
      <c r="C9" s="89">
        <v>13435298861</v>
      </c>
      <c r="D9" s="90"/>
      <c r="E9" s="89" t="s">
        <v>14</v>
      </c>
      <c r="F9" s="89">
        <v>350</v>
      </c>
      <c r="G9" s="89">
        <v>210</v>
      </c>
      <c r="H9" s="90"/>
      <c r="I9" s="91" t="s">
        <v>15</v>
      </c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</row>
    <row r="10" customHeight="1" spans="1:25">
      <c r="A10" s="89">
        <v>6</v>
      </c>
      <c r="B10" s="89" t="s">
        <v>21</v>
      </c>
      <c r="C10" s="89">
        <v>15768022371</v>
      </c>
      <c r="D10" s="90"/>
      <c r="E10" s="89" t="s">
        <v>17</v>
      </c>
      <c r="F10" s="89">
        <v>350</v>
      </c>
      <c r="G10" s="89">
        <v>210</v>
      </c>
      <c r="H10" s="90"/>
      <c r="I10" s="91" t="s">
        <v>15</v>
      </c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</row>
    <row r="11" customHeight="1" spans="1:25">
      <c r="A11" s="89">
        <v>7</v>
      </c>
      <c r="B11" s="89" t="s">
        <v>22</v>
      </c>
      <c r="C11" s="89">
        <v>13729680125</v>
      </c>
      <c r="D11" s="89" t="s">
        <v>14</v>
      </c>
      <c r="E11" s="90"/>
      <c r="F11" s="89">
        <v>350</v>
      </c>
      <c r="G11" s="89">
        <v>210</v>
      </c>
      <c r="H11" s="90"/>
      <c r="I11" s="91" t="s">
        <v>15</v>
      </c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</row>
    <row r="12" customHeight="1" spans="1:25">
      <c r="A12" s="89">
        <v>8</v>
      </c>
      <c r="B12" s="89" t="s">
        <v>23</v>
      </c>
      <c r="C12" s="89">
        <v>13620583311</v>
      </c>
      <c r="D12" s="90"/>
      <c r="E12" s="89" t="s">
        <v>17</v>
      </c>
      <c r="F12" s="89">
        <v>350</v>
      </c>
      <c r="G12" s="89">
        <v>210</v>
      </c>
      <c r="H12" s="90"/>
      <c r="I12" s="91" t="s">
        <v>15</v>
      </c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</row>
    <row r="13" customHeight="1" spans="1:25">
      <c r="A13" s="89">
        <v>9</v>
      </c>
      <c r="B13" s="89" t="s">
        <v>24</v>
      </c>
      <c r="C13" s="89">
        <v>15323132781</v>
      </c>
      <c r="D13" s="90"/>
      <c r="E13" s="89" t="s">
        <v>25</v>
      </c>
      <c r="F13" s="89">
        <v>350</v>
      </c>
      <c r="G13" s="89">
        <v>210</v>
      </c>
      <c r="H13" s="90"/>
      <c r="I13" s="91" t="s">
        <v>15</v>
      </c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</row>
    <row r="14" customHeight="1" spans="1:25">
      <c r="A14" s="89">
        <v>10</v>
      </c>
      <c r="B14" s="89" t="s">
        <v>26</v>
      </c>
      <c r="C14" s="89">
        <v>18218210258</v>
      </c>
      <c r="D14" s="89" t="s">
        <v>25</v>
      </c>
      <c r="E14" s="89" t="s">
        <v>25</v>
      </c>
      <c r="F14" s="89">
        <v>350</v>
      </c>
      <c r="G14" s="89">
        <v>210</v>
      </c>
      <c r="H14" s="90"/>
      <c r="I14" s="91" t="s">
        <v>15</v>
      </c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</row>
    <row r="15" customHeight="1" spans="1:25">
      <c r="A15" s="89">
        <v>11</v>
      </c>
      <c r="B15" s="89" t="s">
        <v>27</v>
      </c>
      <c r="C15" s="89">
        <v>18820492512</v>
      </c>
      <c r="D15" s="89" t="s">
        <v>25</v>
      </c>
      <c r="E15" s="89" t="s">
        <v>25</v>
      </c>
      <c r="F15" s="89">
        <v>350</v>
      </c>
      <c r="G15" s="89">
        <v>210</v>
      </c>
      <c r="H15" s="90"/>
      <c r="I15" s="91" t="s">
        <v>15</v>
      </c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</row>
    <row r="16" customHeight="1" spans="1:25">
      <c r="A16" s="89">
        <v>12</v>
      </c>
      <c r="B16" s="89" t="s">
        <v>28</v>
      </c>
      <c r="C16" s="89">
        <v>18475811424</v>
      </c>
      <c r="D16" s="89" t="s">
        <v>29</v>
      </c>
      <c r="E16" s="89" t="s">
        <v>29</v>
      </c>
      <c r="F16" s="89">
        <v>350</v>
      </c>
      <c r="G16" s="89">
        <v>210</v>
      </c>
      <c r="H16" s="90"/>
      <c r="I16" s="91" t="s">
        <v>15</v>
      </c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</row>
    <row r="17" customHeight="1" spans="1:25">
      <c r="A17" s="89">
        <v>13</v>
      </c>
      <c r="B17" s="89" t="s">
        <v>30</v>
      </c>
      <c r="C17" s="89">
        <v>13416597880</v>
      </c>
      <c r="D17" s="90"/>
      <c r="E17" s="89" t="s">
        <v>25</v>
      </c>
      <c r="F17" s="89">
        <v>350</v>
      </c>
      <c r="G17" s="89">
        <v>210</v>
      </c>
      <c r="H17" s="90"/>
      <c r="I17" s="91" t="s">
        <v>15</v>
      </c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</row>
    <row r="18" customHeight="1" spans="1:25">
      <c r="A18" s="89">
        <v>14</v>
      </c>
      <c r="B18" s="89" t="s">
        <v>31</v>
      </c>
      <c r="C18" s="89">
        <v>13431954225</v>
      </c>
      <c r="D18" s="89" t="s">
        <v>25</v>
      </c>
      <c r="E18" s="90"/>
      <c r="F18" s="89">
        <v>350</v>
      </c>
      <c r="G18" s="89">
        <v>210</v>
      </c>
      <c r="H18" s="90"/>
      <c r="I18" s="91" t="s">
        <v>15</v>
      </c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</row>
    <row r="19" customHeight="1" spans="1:25">
      <c r="A19" s="89">
        <v>15</v>
      </c>
      <c r="B19" s="89" t="s">
        <v>32</v>
      </c>
      <c r="C19" s="89">
        <v>15170659052</v>
      </c>
      <c r="D19" s="89" t="s">
        <v>14</v>
      </c>
      <c r="E19" s="89" t="s">
        <v>14</v>
      </c>
      <c r="F19" s="89">
        <v>350</v>
      </c>
      <c r="G19" s="89">
        <v>210</v>
      </c>
      <c r="H19" s="90"/>
      <c r="I19" s="91" t="s">
        <v>15</v>
      </c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</row>
    <row r="20" customHeight="1" spans="1:25">
      <c r="A20" s="89">
        <v>16</v>
      </c>
      <c r="B20" s="89" t="s">
        <v>33</v>
      </c>
      <c r="C20" s="89">
        <v>13680044210</v>
      </c>
      <c r="D20" s="89" t="s">
        <v>25</v>
      </c>
      <c r="E20" s="90"/>
      <c r="F20" s="89">
        <v>350</v>
      </c>
      <c r="G20" s="89">
        <v>210</v>
      </c>
      <c r="H20" s="90"/>
      <c r="I20" s="91" t="s">
        <v>15</v>
      </c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</row>
    <row r="21" customHeight="1" spans="1:25">
      <c r="A21" s="89">
        <v>17</v>
      </c>
      <c r="B21" s="89" t="s">
        <v>34</v>
      </c>
      <c r="C21" s="89">
        <v>13680044210</v>
      </c>
      <c r="D21" s="89" t="s">
        <v>25</v>
      </c>
      <c r="E21" s="92"/>
      <c r="F21" s="89">
        <v>350</v>
      </c>
      <c r="G21" s="89">
        <v>210</v>
      </c>
      <c r="H21" s="90"/>
      <c r="I21" s="91" t="s">
        <v>15</v>
      </c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</row>
    <row r="22" customHeight="1" spans="1:25">
      <c r="A22" s="89">
        <v>18</v>
      </c>
      <c r="B22" s="91" t="s">
        <v>35</v>
      </c>
      <c r="C22" s="91">
        <v>13926622020</v>
      </c>
      <c r="D22" s="93" t="s">
        <v>25</v>
      </c>
      <c r="E22" s="91"/>
      <c r="F22" s="93">
        <v>350</v>
      </c>
      <c r="G22" s="93">
        <v>210</v>
      </c>
      <c r="H22" s="91" t="s">
        <v>15</v>
      </c>
      <c r="I22" s="91" t="s">
        <v>15</v>
      </c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</row>
    <row r="23" customHeight="1" spans="1:25">
      <c r="A23" s="89">
        <v>19</v>
      </c>
      <c r="B23" s="89" t="s">
        <v>36</v>
      </c>
      <c r="C23" s="89">
        <v>13535056501</v>
      </c>
      <c r="D23" s="89" t="s">
        <v>17</v>
      </c>
      <c r="E23" s="89" t="s">
        <v>17</v>
      </c>
      <c r="F23" s="89">
        <v>350</v>
      </c>
      <c r="G23" s="89">
        <v>210</v>
      </c>
      <c r="H23" s="90"/>
      <c r="I23" s="83" t="s">
        <v>15</v>
      </c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</row>
    <row r="24" customHeight="1" spans="1:25">
      <c r="A24" s="89">
        <v>20</v>
      </c>
      <c r="B24" s="89" t="s">
        <v>37</v>
      </c>
      <c r="C24" s="89">
        <v>15768022371</v>
      </c>
      <c r="D24" s="90"/>
      <c r="E24" s="89" t="s">
        <v>17</v>
      </c>
      <c r="F24" s="89">
        <v>350</v>
      </c>
      <c r="G24" s="89">
        <v>210</v>
      </c>
      <c r="H24" s="90"/>
      <c r="I24" s="91" t="s">
        <v>15</v>
      </c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</row>
    <row r="25" customHeight="1" spans="1:25">
      <c r="A25" s="89">
        <v>21</v>
      </c>
      <c r="B25" s="90" t="s">
        <v>38</v>
      </c>
      <c r="C25" s="90"/>
      <c r="D25" s="89" t="s">
        <v>17</v>
      </c>
      <c r="E25" s="89" t="s">
        <v>17</v>
      </c>
      <c r="F25" s="89">
        <v>350</v>
      </c>
      <c r="G25" s="89">
        <v>210</v>
      </c>
      <c r="H25" s="94" t="s">
        <v>39</v>
      </c>
      <c r="I25" s="91" t="s">
        <v>15</v>
      </c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</row>
    <row r="26" customHeight="1" spans="1:25">
      <c r="A26" s="89">
        <v>22</v>
      </c>
      <c r="B26" s="90" t="s">
        <v>40</v>
      </c>
      <c r="C26" s="90"/>
      <c r="D26" s="89" t="s">
        <v>17</v>
      </c>
      <c r="E26" s="90"/>
      <c r="F26" s="89">
        <v>350</v>
      </c>
      <c r="G26" s="89">
        <v>210</v>
      </c>
      <c r="H26" s="94" t="s">
        <v>41</v>
      </c>
      <c r="I26" s="91" t="s">
        <v>15</v>
      </c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</row>
    <row r="27" customHeight="1" spans="1:25">
      <c r="A27" s="89">
        <v>23</v>
      </c>
      <c r="B27" s="90" t="s">
        <v>42</v>
      </c>
      <c r="C27" s="90">
        <v>15992023690</v>
      </c>
      <c r="D27" s="90"/>
      <c r="E27" s="89" t="s">
        <v>17</v>
      </c>
      <c r="F27" s="89">
        <v>350</v>
      </c>
      <c r="G27" s="89">
        <v>210</v>
      </c>
      <c r="H27" s="90" t="s">
        <v>43</v>
      </c>
      <c r="I27" s="91" t="s">
        <v>15</v>
      </c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</row>
    <row r="28" customHeight="1" spans="1:25">
      <c r="A28" s="89">
        <v>24</v>
      </c>
      <c r="B28" s="90" t="s">
        <v>44</v>
      </c>
      <c r="C28" s="90">
        <v>13727181524</v>
      </c>
      <c r="D28" s="89" t="s">
        <v>17</v>
      </c>
      <c r="E28" s="90"/>
      <c r="F28" s="89">
        <v>350</v>
      </c>
      <c r="G28" s="89">
        <v>210</v>
      </c>
      <c r="H28" s="90" t="s">
        <v>43</v>
      </c>
      <c r="I28" s="83" t="s">
        <v>15</v>
      </c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</row>
    <row r="29" customHeight="1" spans="1:25">
      <c r="A29" s="89">
        <v>31</v>
      </c>
      <c r="B29" s="90" t="s">
        <v>45</v>
      </c>
      <c r="C29" s="90"/>
      <c r="D29" s="90"/>
      <c r="E29" s="89" t="s">
        <v>17</v>
      </c>
      <c r="F29" s="89">
        <v>350</v>
      </c>
      <c r="G29" s="89">
        <v>210</v>
      </c>
      <c r="H29" s="90"/>
      <c r="I29" s="83" t="s">
        <v>15</v>
      </c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</row>
    <row r="30" customHeight="1" spans="1:25">
      <c r="A30" s="89">
        <v>32</v>
      </c>
      <c r="B30" s="90" t="s">
        <v>46</v>
      </c>
      <c r="C30" s="90">
        <v>13926629068</v>
      </c>
      <c r="D30" s="89" t="s">
        <v>17</v>
      </c>
      <c r="E30" s="90"/>
      <c r="F30" s="89">
        <v>350</v>
      </c>
      <c r="G30" s="89">
        <v>210</v>
      </c>
      <c r="H30" s="90" t="s">
        <v>47</v>
      </c>
      <c r="I30" s="91" t="s">
        <v>15</v>
      </c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</row>
    <row r="31" customHeight="1" spans="1:25">
      <c r="A31" s="89">
        <v>33</v>
      </c>
      <c r="B31" s="2" t="s">
        <v>48</v>
      </c>
      <c r="C31" s="90"/>
      <c r="D31" s="89" t="s">
        <v>17</v>
      </c>
      <c r="E31" s="90"/>
      <c r="F31" s="89">
        <v>350</v>
      </c>
      <c r="G31" s="89">
        <v>210</v>
      </c>
      <c r="H31" s="90" t="s">
        <v>47</v>
      </c>
      <c r="I31" s="91" t="s">
        <v>15</v>
      </c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</row>
    <row r="32" customHeight="1" spans="1:25">
      <c r="A32" s="89">
        <v>34</v>
      </c>
      <c r="B32" s="90"/>
      <c r="C32" s="90"/>
      <c r="D32" s="90"/>
      <c r="E32" s="90"/>
      <c r="F32" s="89">
        <v>350</v>
      </c>
      <c r="G32" s="89">
        <v>210</v>
      </c>
      <c r="H32" s="90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</row>
    <row r="33" customHeight="1" spans="1:25">
      <c r="A33" s="89">
        <v>35</v>
      </c>
      <c r="B33" s="90"/>
      <c r="C33" s="90"/>
      <c r="D33" s="90"/>
      <c r="E33" s="90"/>
      <c r="F33" s="89">
        <v>350</v>
      </c>
      <c r="G33" s="89">
        <v>210</v>
      </c>
      <c r="H33" s="90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</row>
    <row r="34" customHeight="1" spans="1:25">
      <c r="A34" s="89">
        <v>36</v>
      </c>
      <c r="B34" s="90"/>
      <c r="C34" s="90"/>
      <c r="D34" s="90"/>
      <c r="E34" s="90"/>
      <c r="F34" s="89">
        <v>350</v>
      </c>
      <c r="G34" s="89">
        <v>210</v>
      </c>
      <c r="H34" s="90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</row>
    <row r="35" customHeight="1" spans="1:25">
      <c r="A35" s="89">
        <v>37</v>
      </c>
      <c r="B35" s="90"/>
      <c r="C35" s="90"/>
      <c r="D35" s="90"/>
      <c r="E35" s="90"/>
      <c r="F35" s="89">
        <v>350</v>
      </c>
      <c r="G35" s="89">
        <v>210</v>
      </c>
      <c r="H35" s="90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</row>
    <row r="36" customHeight="1" spans="1:25">
      <c r="A36" s="89">
        <v>38</v>
      </c>
      <c r="B36" s="90"/>
      <c r="C36" s="90"/>
      <c r="D36" s="90"/>
      <c r="E36" s="90"/>
      <c r="F36" s="89">
        <v>350</v>
      </c>
      <c r="G36" s="89">
        <v>210</v>
      </c>
      <c r="H36" s="90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</row>
    <row r="37" customHeight="1" spans="1:25">
      <c r="A37" s="89">
        <v>39</v>
      </c>
      <c r="B37" s="90"/>
      <c r="C37" s="90"/>
      <c r="D37" s="90"/>
      <c r="E37" s="90"/>
      <c r="F37" s="89">
        <v>350</v>
      </c>
      <c r="G37" s="89">
        <v>210</v>
      </c>
      <c r="H37" s="90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</row>
    <row r="38" customHeight="1" spans="1:25">
      <c r="A38" s="89">
        <v>40</v>
      </c>
      <c r="B38" s="90"/>
      <c r="C38" s="90"/>
      <c r="D38" s="90"/>
      <c r="E38" s="90"/>
      <c r="F38" s="89">
        <v>350</v>
      </c>
      <c r="G38" s="89">
        <v>210</v>
      </c>
      <c r="H38" s="90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</row>
    <row r="39" customHeight="1" spans="1:25">
      <c r="A39" s="89">
        <v>41</v>
      </c>
      <c r="B39" s="90"/>
      <c r="C39" s="90"/>
      <c r="D39" s="90"/>
      <c r="E39" s="90"/>
      <c r="F39" s="89">
        <v>350</v>
      </c>
      <c r="G39" s="89">
        <v>210</v>
      </c>
      <c r="H39" s="90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</row>
    <row r="40" customHeight="1" spans="1:25">
      <c r="A40" s="89">
        <v>42</v>
      </c>
      <c r="B40" s="90"/>
      <c r="C40" s="90"/>
      <c r="D40" s="90"/>
      <c r="E40" s="90"/>
      <c r="F40" s="89">
        <v>350</v>
      </c>
      <c r="G40" s="89">
        <v>210</v>
      </c>
      <c r="H40" s="90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</row>
    <row r="41" customHeight="1" spans="1:25">
      <c r="A41" s="89">
        <v>43</v>
      </c>
      <c r="B41" s="90"/>
      <c r="C41" s="90"/>
      <c r="D41" s="90"/>
      <c r="E41" s="90"/>
      <c r="F41" s="89">
        <v>350</v>
      </c>
      <c r="G41" s="89">
        <v>210</v>
      </c>
      <c r="H41" s="90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</row>
    <row r="42" customHeight="1" spans="1:25">
      <c r="A42" s="89">
        <v>44</v>
      </c>
      <c r="B42" s="90"/>
      <c r="C42" s="90"/>
      <c r="D42" s="90"/>
      <c r="E42" s="90"/>
      <c r="F42" s="89">
        <v>350</v>
      </c>
      <c r="G42" s="89">
        <v>210</v>
      </c>
      <c r="H42" s="90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</row>
    <row r="43" customHeight="1" spans="1:25">
      <c r="A43" s="89">
        <v>45</v>
      </c>
      <c r="B43" s="90"/>
      <c r="C43" s="90"/>
      <c r="D43" s="90"/>
      <c r="E43" s="90"/>
      <c r="F43" s="89">
        <v>350</v>
      </c>
      <c r="G43" s="89">
        <v>210</v>
      </c>
      <c r="H43" s="90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</row>
    <row r="44" customHeight="1" spans="1:25">
      <c r="A44" s="83"/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</row>
    <row r="45" customHeight="1" spans="1:25">
      <c r="A45" s="83"/>
      <c r="B45" s="83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</row>
    <row r="46" customHeight="1" spans="1:25">
      <c r="A46" s="83"/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</row>
    <row r="47" customHeight="1" spans="1:25">
      <c r="A47" s="83"/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</row>
    <row r="48" customHeight="1" spans="1:25">
      <c r="A48" s="83"/>
      <c r="B48" s="83"/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</row>
    <row r="49" customHeight="1" spans="1:25">
      <c r="A49" s="83"/>
      <c r="B49" s="83"/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</row>
    <row r="50" customHeight="1" spans="1:25">
      <c r="A50" s="83"/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</row>
    <row r="51" customHeight="1" spans="1:25">
      <c r="A51" s="83"/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</row>
    <row r="52" customHeight="1" spans="1:25">
      <c r="A52" s="83"/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</row>
    <row r="53" customHeight="1" spans="1:25">
      <c r="A53" s="83"/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</row>
    <row r="54" customHeight="1" spans="1:25">
      <c r="A54" s="83"/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</row>
    <row r="55" customHeight="1" spans="1:25">
      <c r="A55" s="83"/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</row>
    <row r="56" customHeight="1" spans="1:25">
      <c r="A56" s="83"/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</row>
    <row r="57" customHeight="1" spans="1:25">
      <c r="A57" s="83"/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</row>
    <row r="58" customHeight="1" spans="1:25">
      <c r="A58" s="83"/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</row>
    <row r="59" customHeight="1" spans="1:25">
      <c r="A59" s="83"/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</row>
    <row r="60" customHeight="1" spans="1:25">
      <c r="A60" s="83"/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</row>
    <row r="61" customHeight="1" spans="1:25">
      <c r="A61" s="83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</row>
    <row r="62" customHeight="1" spans="1:25">
      <c r="A62" s="83"/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</row>
    <row r="63" customHeight="1" spans="1:25">
      <c r="A63" s="83"/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</row>
    <row r="64" customHeight="1" spans="1:25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</row>
    <row r="65" customHeight="1" spans="1:25">
      <c r="A65" s="83"/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</row>
    <row r="66" customHeight="1" spans="1:25">
      <c r="A66" s="83"/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</row>
    <row r="67" customHeight="1" spans="1:25">
      <c r="A67" s="83"/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</row>
    <row r="68" customHeight="1" spans="1:25">
      <c r="A68" s="83"/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</row>
    <row r="69" customHeight="1" spans="1:25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</row>
    <row r="70" customHeight="1" spans="1:25">
      <c r="A70" s="83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</row>
    <row r="71" customHeight="1" spans="1:25">
      <c r="A71" s="83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</row>
    <row r="72" customHeight="1" spans="1:25">
      <c r="A72" s="83"/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</row>
    <row r="73" customHeight="1" spans="1:25">
      <c r="A73" s="83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</row>
    <row r="74" customHeight="1" spans="1:25">
      <c r="A74" s="83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</row>
    <row r="75" customHeight="1" spans="1:25">
      <c r="A75" s="83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</row>
    <row r="76" customHeight="1" spans="1:25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</row>
    <row r="77" customHeight="1" spans="1:25">
      <c r="A77" s="83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</row>
    <row r="78" customHeight="1" spans="1:25">
      <c r="A78" s="83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</row>
    <row r="79" customHeight="1" spans="1:25">
      <c r="A79" s="83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</row>
    <row r="80" customHeight="1" spans="1:25">
      <c r="A80" s="83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</row>
    <row r="81" customHeight="1" spans="1:25">
      <c r="A81" s="83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</row>
    <row r="82" customHeight="1" spans="1:25">
      <c r="A82" s="83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</row>
    <row r="83" customHeight="1" spans="1:25">
      <c r="A83" s="83"/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</row>
    <row r="84" customHeight="1" spans="1:25">
      <c r="A84" s="83"/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</row>
    <row r="85" customHeight="1" spans="1:25">
      <c r="A85" s="83"/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</row>
    <row r="86" customHeight="1" spans="1:25">
      <c r="A86" s="83"/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</row>
    <row r="87" customHeight="1" spans="1:25">
      <c r="A87" s="83"/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</row>
    <row r="88" customHeight="1" spans="1:25">
      <c r="A88" s="83"/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</row>
    <row r="89" customHeight="1" spans="1:25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</row>
    <row r="90" customHeight="1" spans="1:25">
      <c r="A90" s="83"/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</row>
    <row r="91" customHeight="1" spans="1:25">
      <c r="A91" s="83"/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</row>
    <row r="92" customHeight="1" spans="1:25">
      <c r="A92" s="83"/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</row>
    <row r="93" customHeight="1" spans="1:25">
      <c r="A93" s="83"/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</row>
    <row r="94" customHeight="1" spans="1:25">
      <c r="A94" s="83"/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</row>
    <row r="95" customHeight="1" spans="1:25">
      <c r="A95" s="83"/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</row>
    <row r="96" customHeight="1" spans="1:25">
      <c r="A96" s="83"/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</row>
    <row r="97" customHeight="1" spans="1:25">
      <c r="A97" s="83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</row>
    <row r="98" customHeight="1" spans="1:25">
      <c r="A98" s="83"/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</row>
    <row r="99" customHeight="1" spans="1:25">
      <c r="A99" s="83"/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</row>
    <row r="100" customHeight="1" spans="1:25">
      <c r="A100" s="83"/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</row>
    <row r="101" customHeight="1" spans="1:25">
      <c r="A101" s="83"/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</row>
    <row r="102" customHeight="1" spans="1:25">
      <c r="A102" s="83"/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</row>
    <row r="103" customHeight="1" spans="1:25">
      <c r="A103" s="83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</row>
    <row r="104" customHeight="1" spans="1:25">
      <c r="A104" s="83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</row>
    <row r="105" customHeight="1" spans="1:25">
      <c r="A105" s="83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</row>
    <row r="106" customHeight="1" spans="1:25">
      <c r="A106" s="83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</row>
    <row r="107" customHeight="1" spans="1:25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</row>
    <row r="108" customHeight="1" spans="1:25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</row>
    <row r="109" customHeight="1" spans="1:25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</row>
    <row r="110" customHeight="1" spans="1:25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</row>
    <row r="111" customHeight="1" spans="1:25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</row>
    <row r="112" customHeight="1" spans="1:25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</row>
    <row r="113" customHeight="1" spans="1:25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</row>
    <row r="114" customHeight="1" spans="1:25">
      <c r="A114" s="83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</row>
    <row r="115" customHeight="1" spans="1:25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</row>
    <row r="116" customHeight="1" spans="1:25">
      <c r="A116" s="83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</row>
    <row r="117" customHeight="1" spans="1:25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</row>
    <row r="118" customHeight="1" spans="1:25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</row>
    <row r="119" customHeight="1" spans="1:25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</row>
    <row r="120" customHeight="1" spans="1:25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</row>
    <row r="121" customHeight="1" spans="1:25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</row>
    <row r="122" customHeight="1" spans="1:25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</row>
    <row r="123" customHeight="1" spans="1:25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</row>
    <row r="124" customHeight="1" spans="1:25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</row>
    <row r="125" customHeight="1" spans="1:25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</row>
    <row r="126" customHeight="1" spans="1:25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</row>
    <row r="127" customHeight="1" spans="1:25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</row>
    <row r="128" customHeight="1" spans="1:25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</row>
    <row r="129" customHeight="1" spans="1:25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</row>
    <row r="130" customHeight="1" spans="1:25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</row>
    <row r="131" customHeight="1" spans="1:25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</row>
    <row r="132" customHeight="1" spans="1:25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</row>
    <row r="133" customHeight="1" spans="1:25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</row>
    <row r="134" customHeight="1" spans="1:25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</row>
    <row r="135" customHeight="1" spans="1:25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</row>
    <row r="136" customHeight="1" spans="1:25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</row>
    <row r="137" customHeight="1" spans="1:25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</row>
    <row r="138" customHeight="1" spans="1:25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</row>
    <row r="139" customHeight="1" spans="1:25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</row>
    <row r="140" customHeight="1" spans="1:25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</row>
    <row r="141" customHeight="1" spans="1:25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</row>
    <row r="142" customHeight="1" spans="1:25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</row>
    <row r="143" customHeight="1" spans="1:25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</row>
    <row r="144" customHeight="1" spans="1:25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</row>
    <row r="145" customHeight="1" spans="1:25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</row>
    <row r="146" customHeight="1" spans="1:25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</row>
    <row r="147" customHeight="1" spans="1:25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</row>
    <row r="148" customHeight="1" spans="1:25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</row>
    <row r="149" customHeight="1" spans="1:25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</row>
    <row r="150" customHeight="1" spans="1:25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</row>
    <row r="151" customHeight="1" spans="1:25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</row>
    <row r="152" customHeight="1" spans="1:25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</row>
    <row r="153" customHeight="1" spans="1:25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</row>
    <row r="154" customHeight="1" spans="1:25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</row>
    <row r="155" customHeight="1" spans="1:25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</row>
    <row r="156" customHeight="1" spans="1:25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</row>
    <row r="157" customHeight="1" spans="1:25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</row>
    <row r="158" customHeight="1" spans="1:25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</row>
    <row r="159" customHeight="1" spans="1:25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</row>
    <row r="160" customHeight="1" spans="1:25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</row>
    <row r="161" customHeight="1" spans="1:25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</row>
    <row r="162" customHeight="1" spans="1:25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</row>
    <row r="163" customHeight="1" spans="1:25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</row>
    <row r="164" customHeight="1" spans="1:25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</row>
    <row r="165" customHeight="1" spans="1:25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</row>
    <row r="166" customHeight="1" spans="1:25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</row>
    <row r="167" customHeight="1" spans="1:25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</row>
    <row r="168" customHeight="1" spans="1:25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</row>
    <row r="169" customHeight="1" spans="1:25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</row>
    <row r="170" customHeight="1" spans="1:25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</row>
    <row r="171" customHeight="1" spans="1:25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</row>
    <row r="172" customHeight="1" spans="1:25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</row>
    <row r="173" customHeight="1" spans="1:25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</row>
    <row r="174" customHeight="1" spans="1:25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</row>
    <row r="175" customHeight="1" spans="1:25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</row>
    <row r="176" customHeight="1" spans="1:25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</row>
    <row r="177" customHeight="1" spans="1:25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</row>
    <row r="178" customHeight="1" spans="1:25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</row>
    <row r="179" customHeight="1" spans="1:25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</row>
    <row r="180" customHeight="1" spans="1:25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</row>
    <row r="181" customHeight="1" spans="1:25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</row>
    <row r="182" customHeight="1" spans="1:25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</row>
    <row r="183" customHeight="1" spans="1:25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</row>
    <row r="184" customHeight="1" spans="1:25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</row>
    <row r="185" customHeight="1" spans="1:25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</row>
    <row r="186" customHeight="1" spans="1:25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</row>
    <row r="187" customHeight="1" spans="1:25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</row>
    <row r="188" customHeight="1" spans="1:25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</row>
    <row r="189" customHeight="1" spans="1:25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</row>
  </sheetData>
  <autoFilter xmlns:etc="http://www.wps.cn/officeDocument/2017/etCustomData" ref="A4:Y43" etc:filterBottomFollowUsedRange="0">
    <extLst/>
  </autoFilter>
  <mergeCells count="7">
    <mergeCell ref="A1:H1"/>
    <mergeCell ref="A2:H2"/>
    <mergeCell ref="D3:E3"/>
    <mergeCell ref="F3:G3"/>
    <mergeCell ref="A3:A4"/>
    <mergeCell ref="B3:B4"/>
    <mergeCell ref="C3:C4"/>
  </mergeCells>
  <pageMargins left="0.75" right="0.75" top="1" bottom="1" header="0.5" footer="0.5"/>
  <pageSetup paperSize="256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71"/>
  <sheetViews>
    <sheetView workbookViewId="0">
      <selection activeCell="D22" sqref="D22"/>
    </sheetView>
  </sheetViews>
  <sheetFormatPr defaultColWidth="10.2857142857143" defaultRowHeight="13.5"/>
  <cols>
    <col min="1" max="1" width="3.88571428571429" style="74" customWidth="1"/>
    <col min="2" max="2" width="13.7142857142857" style="74" customWidth="1"/>
    <col min="3" max="3" width="4.42857142857143" style="72" customWidth="1"/>
    <col min="4" max="6" width="4" style="72" customWidth="1"/>
    <col min="7" max="7" width="3.87619047619048" style="72" customWidth="1"/>
    <col min="8" max="12" width="4.28571428571429" style="72" customWidth="1"/>
    <col min="13" max="13" width="4.00952380952381" style="72" customWidth="1"/>
    <col min="14" max="14" width="4.28571428571429" style="72" customWidth="1"/>
    <col min="15" max="15" width="4.00952380952381" style="72" customWidth="1"/>
    <col min="16" max="16" width="3.87619047619048" style="72" customWidth="1"/>
    <col min="17" max="17" width="4.28571428571429" style="72" customWidth="1"/>
    <col min="18" max="19" width="4.14285714285714" style="72" customWidth="1"/>
    <col min="20" max="20" width="4.57142857142857" style="72" customWidth="1"/>
    <col min="21" max="25" width="4.14285714285714" style="72" customWidth="1"/>
    <col min="26" max="27" width="4.57142857142857" style="72" customWidth="1"/>
    <col min="28" max="28" width="4.16190476190476" style="72" customWidth="1"/>
    <col min="29" max="30" width="4.28571428571429" style="72" customWidth="1"/>
    <col min="31" max="31" width="4.00952380952381" style="72" customWidth="1"/>
    <col min="32" max="32" width="3.85714285714286" style="72" customWidth="1"/>
    <col min="33" max="34" width="4.28571428571429" style="72" customWidth="1"/>
    <col min="35" max="36" width="4.57142857142857" style="72" customWidth="1"/>
    <col min="37" max="37" width="4.28571428571429" style="72" customWidth="1"/>
    <col min="38" max="38" width="3.85714285714286" style="72" customWidth="1"/>
    <col min="39" max="16384" width="10.2857142857143" style="72"/>
  </cols>
  <sheetData>
    <row r="1" s="72" customFormat="1" ht="26" customHeight="1" spans="1:38">
      <c r="A1" s="47" t="s">
        <v>49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</row>
    <row r="2" s="72" customFormat="1" ht="26" customHeight="1" spans="1:38">
      <c r="A2" s="75" t="s">
        <v>50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</row>
    <row r="3" s="73" customFormat="1" ht="40" customHeight="1" spans="1:38">
      <c r="A3" s="76" t="s">
        <v>2</v>
      </c>
      <c r="B3" s="76" t="s">
        <v>51</v>
      </c>
      <c r="C3" s="48">
        <v>1</v>
      </c>
      <c r="D3" s="48">
        <v>2</v>
      </c>
      <c r="E3" s="48">
        <v>3</v>
      </c>
      <c r="F3" s="48">
        <v>4</v>
      </c>
      <c r="G3" s="48">
        <v>5</v>
      </c>
      <c r="H3" s="48">
        <v>6</v>
      </c>
      <c r="I3" s="48">
        <v>7</v>
      </c>
      <c r="J3" s="48">
        <v>8</v>
      </c>
      <c r="K3" s="48">
        <v>9</v>
      </c>
      <c r="L3" s="48">
        <v>10</v>
      </c>
      <c r="M3" s="48">
        <v>11</v>
      </c>
      <c r="N3" s="48">
        <v>12</v>
      </c>
      <c r="O3" s="48">
        <v>13</v>
      </c>
      <c r="P3" s="48">
        <v>14</v>
      </c>
      <c r="Q3" s="48">
        <v>15</v>
      </c>
      <c r="R3" s="48">
        <v>16</v>
      </c>
      <c r="S3" s="48">
        <v>17</v>
      </c>
      <c r="T3" s="48">
        <v>18</v>
      </c>
      <c r="U3" s="48">
        <v>19</v>
      </c>
      <c r="V3" s="48">
        <v>20</v>
      </c>
      <c r="W3" s="48">
        <v>21</v>
      </c>
      <c r="X3" s="48">
        <v>22</v>
      </c>
      <c r="Y3" s="48">
        <v>23</v>
      </c>
      <c r="Z3" s="48">
        <v>24</v>
      </c>
      <c r="AA3" s="48">
        <v>25</v>
      </c>
      <c r="AB3" s="48">
        <v>26</v>
      </c>
      <c r="AC3" s="48">
        <v>27</v>
      </c>
      <c r="AD3" s="48">
        <v>28</v>
      </c>
      <c r="AE3" s="48">
        <v>29</v>
      </c>
      <c r="AF3" s="48">
        <v>40</v>
      </c>
      <c r="AG3" s="48"/>
      <c r="AH3" s="48"/>
      <c r="AI3" s="48"/>
      <c r="AJ3" s="48"/>
      <c r="AK3" s="48"/>
      <c r="AL3" s="48"/>
    </row>
    <row r="4" s="72" customFormat="1" ht="25" customHeight="1" spans="1:38">
      <c r="A4" s="77">
        <v>1</v>
      </c>
      <c r="B4" s="78"/>
      <c r="C4" s="77"/>
      <c r="D4" s="77"/>
      <c r="E4" s="77"/>
      <c r="F4" s="77"/>
      <c r="G4" s="77"/>
      <c r="H4" s="77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</row>
    <row r="5" s="72" customFormat="1" ht="25" customHeight="1" spans="1:38">
      <c r="A5" s="77">
        <v>2</v>
      </c>
      <c r="B5" s="78"/>
      <c r="C5" s="77"/>
      <c r="D5" s="77"/>
      <c r="E5" s="77"/>
      <c r="F5" s="77"/>
      <c r="G5" s="77"/>
      <c r="H5" s="77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  <c r="AG5" s="79"/>
      <c r="AH5" s="79"/>
      <c r="AI5" s="79"/>
      <c r="AJ5" s="79"/>
      <c r="AK5" s="79"/>
      <c r="AL5" s="79"/>
    </row>
    <row r="6" s="72" customFormat="1" ht="25" customHeight="1" spans="1:38">
      <c r="A6" s="77">
        <v>3</v>
      </c>
      <c r="B6" s="78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</row>
    <row r="7" s="72" customFormat="1" ht="25" customHeight="1" spans="1:38">
      <c r="A7" s="77">
        <v>4</v>
      </c>
      <c r="B7" s="78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</row>
    <row r="8" s="72" customFormat="1" ht="25" customHeight="1" spans="1:38">
      <c r="A8" s="77">
        <v>5</v>
      </c>
      <c r="B8" s="78"/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</row>
    <row r="9" s="72" customFormat="1" ht="25" customHeight="1" spans="1:38">
      <c r="A9" s="77">
        <v>6</v>
      </c>
      <c r="B9" s="78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</row>
    <row r="10" s="72" customFormat="1" ht="25" customHeight="1" spans="1:38">
      <c r="A10" s="77">
        <v>7</v>
      </c>
      <c r="B10" s="78"/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</row>
    <row r="11" s="72" customFormat="1" ht="25" customHeight="1" spans="1:38">
      <c r="A11" s="77">
        <v>8</v>
      </c>
      <c r="B11" s="80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</row>
    <row r="12" s="72" customFormat="1" ht="25" customHeight="1" spans="1:38">
      <c r="A12" s="77">
        <v>9</v>
      </c>
      <c r="B12" s="80"/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</row>
    <row r="13" s="72" customFormat="1" ht="15" customHeight="1" spans="1:38">
      <c r="A13" s="81"/>
      <c r="B13" s="81"/>
    </row>
    <row r="14" s="72" customFormat="1" ht="15" customHeight="1" spans="1:38">
      <c r="A14" s="81"/>
      <c r="B14" s="81"/>
    </row>
    <row r="15" s="72" customFormat="1" ht="15" customHeight="1" spans="1:38">
      <c r="A15" s="81"/>
      <c r="B15" s="81"/>
    </row>
    <row r="16" s="72" customFormat="1" ht="15" customHeight="1" spans="1:38">
      <c r="A16" s="81"/>
      <c r="B16" s="81"/>
    </row>
    <row r="17" s="72" customFormat="1" ht="15" customHeight="1" spans="1:2">
      <c r="A17" s="81"/>
      <c r="B17" s="81"/>
    </row>
    <row r="18" s="72" customFormat="1" ht="15" customHeight="1" spans="1:2">
      <c r="A18" s="81"/>
      <c r="B18" s="81"/>
    </row>
    <row r="19" s="72" customFormat="1" ht="15" customHeight="1" spans="1:2">
      <c r="A19" s="81"/>
      <c r="B19" s="81"/>
    </row>
    <row r="20" s="72" customFormat="1" ht="15" customHeight="1" spans="1:2">
      <c r="A20" s="81"/>
      <c r="B20" s="81"/>
    </row>
    <row r="21" s="72" customFormat="1" ht="15" customHeight="1" spans="1:2">
      <c r="A21" s="81"/>
      <c r="B21" s="81"/>
    </row>
    <row r="22" s="72" customFormat="1" ht="15" customHeight="1" spans="1:2">
      <c r="A22" s="81"/>
      <c r="B22" s="81"/>
    </row>
    <row r="23" s="72" customFormat="1" ht="15" customHeight="1" spans="1:2">
      <c r="A23" s="81"/>
      <c r="B23" s="81"/>
    </row>
    <row r="24" s="72" customFormat="1" ht="15" customHeight="1" spans="1:2">
      <c r="A24" s="81"/>
      <c r="B24" s="81"/>
    </row>
    <row r="25" s="72" customFormat="1" ht="15" customHeight="1" spans="1:2">
      <c r="A25" s="81"/>
      <c r="B25" s="81"/>
    </row>
    <row r="26" s="72" customFormat="1" ht="15" customHeight="1" spans="1:2">
      <c r="A26" s="81"/>
      <c r="B26" s="81"/>
    </row>
    <row r="27" s="72" customFormat="1" ht="15" customHeight="1" spans="1:2">
      <c r="A27" s="81"/>
      <c r="B27" s="81"/>
    </row>
    <row r="28" s="72" customFormat="1" ht="15" customHeight="1" spans="1:2">
      <c r="A28" s="81"/>
      <c r="B28" s="81"/>
    </row>
    <row r="29" s="72" customFormat="1" ht="15" customHeight="1" spans="1:2">
      <c r="A29" s="81"/>
      <c r="B29" s="81"/>
    </row>
    <row r="30" s="72" customFormat="1" ht="15" customHeight="1" spans="1:2">
      <c r="A30" s="81"/>
      <c r="B30" s="81"/>
    </row>
    <row r="31" s="72" customFormat="1" ht="15" customHeight="1" spans="1:2">
      <c r="A31" s="81"/>
      <c r="B31" s="81"/>
    </row>
    <row r="32" s="72" customFormat="1" ht="15" customHeight="1" spans="1:2">
      <c r="A32" s="81"/>
      <c r="B32" s="81"/>
    </row>
    <row r="33" s="72" customFormat="1" ht="15" customHeight="1" spans="1:2">
      <c r="A33" s="81"/>
      <c r="B33" s="81"/>
    </row>
    <row r="34" s="72" customFormat="1" ht="15" customHeight="1" spans="1:2">
      <c r="A34" s="81"/>
      <c r="B34" s="81"/>
    </row>
    <row r="35" s="72" customFormat="1" ht="15" customHeight="1" spans="1:2">
      <c r="A35" s="81"/>
      <c r="B35" s="81"/>
    </row>
    <row r="36" s="72" customFormat="1" ht="15" customHeight="1" spans="1:2">
      <c r="A36" s="81"/>
      <c r="B36" s="81"/>
    </row>
    <row r="37" s="72" customFormat="1" ht="15" customHeight="1" spans="1:2">
      <c r="A37" s="81"/>
      <c r="B37" s="81"/>
    </row>
    <row r="38" s="72" customFormat="1" ht="15" customHeight="1" spans="1:2">
      <c r="A38" s="81"/>
      <c r="B38" s="81"/>
    </row>
    <row r="39" s="72" customFormat="1" ht="15" customHeight="1" spans="1:2">
      <c r="A39" s="81"/>
      <c r="B39" s="81"/>
    </row>
    <row r="40" s="72" customFormat="1" ht="15" customHeight="1" spans="1:2">
      <c r="A40" s="81"/>
      <c r="B40" s="81"/>
    </row>
    <row r="41" s="72" customFormat="1" ht="15" customHeight="1" spans="1:2">
      <c r="A41" s="81"/>
      <c r="B41" s="81"/>
    </row>
    <row r="42" s="72" customFormat="1" ht="15" customHeight="1" spans="1:2">
      <c r="A42" s="81"/>
      <c r="B42" s="81"/>
    </row>
    <row r="43" s="72" customFormat="1" ht="15" customHeight="1" spans="1:2">
      <c r="A43" s="81"/>
      <c r="B43" s="81"/>
    </row>
    <row r="44" s="72" customFormat="1" ht="15" customHeight="1" spans="1:2">
      <c r="A44" s="81"/>
      <c r="B44" s="81"/>
    </row>
    <row r="45" s="72" customFormat="1" ht="15" customHeight="1" spans="1:2">
      <c r="A45" s="81"/>
      <c r="B45" s="81"/>
    </row>
    <row r="46" s="72" customFormat="1" ht="15" customHeight="1" spans="1:2">
      <c r="A46" s="81"/>
      <c r="B46" s="81"/>
    </row>
    <row r="47" s="72" customFormat="1" ht="15" customHeight="1" spans="1:2">
      <c r="A47" s="81"/>
      <c r="B47" s="81"/>
    </row>
    <row r="48" s="72" customFormat="1" ht="15" customHeight="1" spans="1:2">
      <c r="A48" s="81"/>
      <c r="B48" s="81"/>
    </row>
    <row r="49" s="72" customFormat="1" ht="15" customHeight="1" spans="1:2">
      <c r="A49" s="81"/>
      <c r="B49" s="81"/>
    </row>
    <row r="50" s="72" customFormat="1" ht="15" customHeight="1" spans="1:2">
      <c r="A50" s="81"/>
      <c r="B50" s="81"/>
    </row>
    <row r="51" s="72" customFormat="1" ht="15" customHeight="1" spans="1:2">
      <c r="A51" s="81"/>
      <c r="B51" s="81"/>
    </row>
    <row r="52" s="72" customFormat="1" ht="15" customHeight="1" spans="1:2">
      <c r="A52" s="81"/>
      <c r="B52" s="81"/>
    </row>
    <row r="53" s="72" customFormat="1" ht="15" customHeight="1" spans="1:2">
      <c r="A53" s="81"/>
      <c r="B53" s="81"/>
    </row>
    <row r="54" s="72" customFormat="1" ht="15" customHeight="1" spans="1:2">
      <c r="A54" s="81"/>
      <c r="B54" s="81"/>
    </row>
    <row r="55" s="72" customFormat="1" ht="15" customHeight="1" spans="1:2">
      <c r="A55" s="81"/>
      <c r="B55" s="81"/>
    </row>
    <row r="56" s="72" customFormat="1" ht="15" customHeight="1" spans="1:2">
      <c r="A56" s="81"/>
      <c r="B56" s="81"/>
    </row>
    <row r="57" s="72" customFormat="1" ht="15" customHeight="1" spans="1:2">
      <c r="A57" s="81"/>
      <c r="B57" s="81"/>
    </row>
    <row r="58" s="72" customFormat="1" ht="15" customHeight="1" spans="1:2">
      <c r="A58" s="81"/>
      <c r="B58" s="81"/>
    </row>
    <row r="59" s="72" customFormat="1" ht="15" customHeight="1" spans="1:2">
      <c r="A59" s="81"/>
      <c r="B59" s="81"/>
    </row>
    <row r="60" s="72" customFormat="1" ht="15" customHeight="1" spans="1:2">
      <c r="A60" s="81"/>
      <c r="B60" s="81"/>
    </row>
    <row r="61" s="72" customFormat="1" ht="15" customHeight="1" spans="1:2">
      <c r="A61" s="81"/>
      <c r="B61" s="81"/>
    </row>
    <row r="62" s="72" customFormat="1" ht="15" customHeight="1" spans="1:2">
      <c r="A62" s="81"/>
      <c r="B62" s="81"/>
    </row>
    <row r="63" s="72" customFormat="1" ht="15" customHeight="1" spans="1:2">
      <c r="A63" s="81"/>
      <c r="B63" s="81"/>
    </row>
    <row r="64" s="72" customFormat="1" ht="15" customHeight="1" spans="1:2">
      <c r="A64" s="81"/>
      <c r="B64" s="81"/>
    </row>
    <row r="65" s="72" customFormat="1" ht="15" customHeight="1" spans="1:2">
      <c r="A65" s="81"/>
      <c r="B65" s="81"/>
    </row>
    <row r="66" s="72" customFormat="1" ht="15" customHeight="1" spans="1:2">
      <c r="A66" s="81"/>
      <c r="B66" s="81"/>
    </row>
    <row r="67" s="72" customFormat="1" ht="15" customHeight="1" spans="1:2">
      <c r="A67" s="81"/>
      <c r="B67" s="81"/>
    </row>
    <row r="68" s="72" customFormat="1" ht="15" customHeight="1" spans="1:2">
      <c r="A68" s="81"/>
      <c r="B68" s="81"/>
    </row>
    <row r="69" s="72" customFormat="1" ht="15" customHeight="1" spans="1:2">
      <c r="A69" s="81"/>
      <c r="B69" s="81"/>
    </row>
    <row r="70" s="72" customFormat="1" ht="15" customHeight="1" spans="1:2">
      <c r="A70" s="81"/>
      <c r="B70" s="81"/>
    </row>
    <row r="71" s="72" customFormat="1" spans="1:2">
      <c r="A71" s="74"/>
      <c r="B71" s="74"/>
    </row>
  </sheetData>
  <mergeCells count="2">
    <mergeCell ref="A1:AL1"/>
    <mergeCell ref="A2:AL2"/>
  </mergeCells>
  <pageMargins left="0.196527777777778" right="0.156944444444444" top="0.472222222222222" bottom="0.196527777777778" header="0.354166666666667" footer="0.156944444444444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1"/>
  <sheetViews>
    <sheetView workbookViewId="0">
      <pane xSplit="3" ySplit="2" topLeftCell="D13" activePane="bottomRight" state="frozen"/>
      <selection/>
      <selection pane="topRight"/>
      <selection pane="bottomLeft"/>
      <selection pane="bottomRight" activeCell="S27" sqref="S27"/>
    </sheetView>
  </sheetViews>
  <sheetFormatPr defaultColWidth="9.14285714285714" defaultRowHeight="23" customHeight="1"/>
  <cols>
    <col min="1" max="1" width="9.14285714285714" style="57"/>
    <col min="2" max="2" width="10.7142857142857" style="57" customWidth="1"/>
    <col min="3" max="3" width="10" style="57" customWidth="1"/>
    <col min="4" max="9" width="7.42857142857143" style="57" customWidth="1"/>
    <col min="10" max="10" width="8.28571428571429" style="57" customWidth="1"/>
    <col min="11" max="22" width="7" style="57" customWidth="1"/>
    <col min="23" max="16384" width="9.14285714285714" style="57"/>
  </cols>
  <sheetData>
    <row r="1" s="55" customFormat="1" customHeight="1" spans="1:25">
      <c r="A1" s="58" t="s">
        <v>49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</row>
    <row r="2" s="56" customFormat="1" ht="20" customHeight="1" spans="1:25">
      <c r="A2" s="60" t="s">
        <v>2</v>
      </c>
      <c r="B2" s="60" t="s">
        <v>51</v>
      </c>
      <c r="C2" s="61" t="s">
        <v>52</v>
      </c>
      <c r="D2" s="62">
        <v>46090</v>
      </c>
      <c r="E2" s="62">
        <v>46093</v>
      </c>
      <c r="F2" s="62">
        <v>46097</v>
      </c>
      <c r="G2" s="63">
        <v>46100</v>
      </c>
      <c r="H2" s="63">
        <v>46104</v>
      </c>
      <c r="I2" s="63">
        <v>46107</v>
      </c>
      <c r="J2" s="63">
        <v>46111</v>
      </c>
      <c r="K2" s="63">
        <v>46114</v>
      </c>
      <c r="L2" s="63">
        <v>46119</v>
      </c>
      <c r="M2" s="63">
        <v>46121</v>
      </c>
      <c r="N2" s="63">
        <v>46125</v>
      </c>
      <c r="O2" s="63">
        <v>46128</v>
      </c>
      <c r="P2" s="63">
        <v>46132</v>
      </c>
      <c r="Q2" s="63">
        <v>46135</v>
      </c>
      <c r="R2" s="63">
        <v>46139</v>
      </c>
      <c r="S2" s="63">
        <v>46142</v>
      </c>
      <c r="T2" s="63"/>
      <c r="U2" s="63"/>
      <c r="V2" s="63"/>
      <c r="W2" s="64" t="s">
        <v>53</v>
      </c>
      <c r="X2" s="56" t="s">
        <v>54</v>
      </c>
    </row>
    <row r="3" s="51" customFormat="1" customHeight="1" spans="1:25">
      <c r="A3" s="49">
        <v>1</v>
      </c>
      <c r="B3" s="33" t="s">
        <v>13</v>
      </c>
      <c r="C3" s="65">
        <v>100</v>
      </c>
      <c r="D3" s="65">
        <v>3</v>
      </c>
      <c r="E3" s="65">
        <v>4</v>
      </c>
      <c r="F3" s="65">
        <v>3</v>
      </c>
      <c r="G3" s="65">
        <v>4</v>
      </c>
      <c r="H3" s="65">
        <f>SUMIF('3.23'!$C$3:C24,B3,'3.23'!$I$3:I27)</f>
        <v>3</v>
      </c>
      <c r="I3" s="65">
        <f>SUMIF('3.26'!$C$3:D24,B3,'3.26'!$I$3:J27)</f>
        <v>4</v>
      </c>
      <c r="J3" s="65">
        <f>SUMIF('3.30'!$C$3:E24,B3,'3.30'!$I$3:K27)</f>
        <v>3</v>
      </c>
      <c r="K3" s="65">
        <f>SUMIF('4.2'!$C$3:F24,B3,'4.2'!$I$3:L27)</f>
        <v>4</v>
      </c>
      <c r="L3" s="65">
        <f>SUMIF('4.7'!$C$3:G24,B3,'4.7'!$I$3:M27)</f>
        <v>3</v>
      </c>
      <c r="M3" s="65">
        <f>SUMIF('4.9'!$C$3:H24,B3,'4.9'!$I$3:N27)</f>
        <v>4</v>
      </c>
      <c r="N3" s="65">
        <f>SUMIF('4.13'!$C$3:I24,B3,'4.13'!$I$3:O27)</f>
        <v>3</v>
      </c>
      <c r="O3" s="65">
        <f>SUMIF('4.16'!$C$3:J24,B3,'4.16'!$I$3:P27)</f>
        <v>4</v>
      </c>
      <c r="P3" s="65">
        <f>SUMIF('4.20'!$C$3:K24,B3,'4.20'!$I$3:Q27)</f>
        <v>3</v>
      </c>
      <c r="Q3" s="65">
        <f>SUMIF('4.23'!$C$3:L24,B3,'4.23'!$I$3:R27)</f>
        <v>4</v>
      </c>
      <c r="R3" s="65"/>
      <c r="S3" s="65"/>
      <c r="T3" s="65"/>
      <c r="U3" s="65"/>
      <c r="V3" s="49"/>
      <c r="W3" s="49">
        <f>SUM(D4:V4)</f>
        <v>49</v>
      </c>
      <c r="X3" s="51">
        <f>100-W4</f>
        <v>51</v>
      </c>
    </row>
    <row r="4" s="51" customFormat="1" customHeight="1" spans="1:25">
      <c r="A4" s="49">
        <v>2</v>
      </c>
      <c r="B4" s="33" t="s">
        <v>16</v>
      </c>
      <c r="C4" s="65">
        <v>100</v>
      </c>
      <c r="D4" s="65">
        <v>3</v>
      </c>
      <c r="E4" s="65">
        <v>4</v>
      </c>
      <c r="F4" s="65">
        <v>3</v>
      </c>
      <c r="G4" s="65">
        <v>4</v>
      </c>
      <c r="H4" s="65">
        <f>SUMIF('3.23'!$C$3:C25,B4,'3.23'!$I$3:I28)</f>
        <v>3</v>
      </c>
      <c r="I4" s="65">
        <f>SUMIF('3.26'!$C$3:D25,B4,'3.26'!$I$3:J28)</f>
        <v>4</v>
      </c>
      <c r="J4" s="65">
        <f>SUMIF('3.30'!$C$3:E25,B4,'3.30'!$I$3:K28)</f>
        <v>3</v>
      </c>
      <c r="K4" s="65">
        <f>SUMIF('4.2'!$C$3:F25,B4,'4.2'!$I$3:L28)</f>
        <v>4</v>
      </c>
      <c r="L4" s="65">
        <f>SUMIF('4.7'!$C$3:G25,B4,'4.7'!$I$3:M28)</f>
        <v>3</v>
      </c>
      <c r="M4" s="65">
        <f>SUMIF('4.9'!$C$3:H25,B4,'4.9'!$I$3:N28)</f>
        <v>4</v>
      </c>
      <c r="N4" s="65">
        <f>SUMIF('4.13'!$C$3:I25,B4,'4.13'!$I$3:O28)</f>
        <v>3</v>
      </c>
      <c r="O4" s="65">
        <f>SUMIF('4.16'!$C$3:J25,B4,'4.16'!$I$3:P28)</f>
        <v>4</v>
      </c>
      <c r="P4" s="65">
        <f>SUMIF('4.20'!$C$3:K25,B4,'4.20'!$I$3:Q28)</f>
        <v>3</v>
      </c>
      <c r="Q4" s="65">
        <f>SUMIF('4.23'!$C$3:L25,B4,'4.23'!$I$3:R28)</f>
        <v>4</v>
      </c>
      <c r="R4" s="65"/>
      <c r="S4" s="65"/>
      <c r="T4" s="65"/>
      <c r="U4" s="65"/>
      <c r="V4" s="49"/>
      <c r="W4" s="49">
        <f>SUM(D4:V4)</f>
        <v>49</v>
      </c>
      <c r="X4" s="51">
        <f>140-W4</f>
        <v>91</v>
      </c>
      <c r="Y4" s="57" t="s">
        <v>55</v>
      </c>
    </row>
    <row r="5" s="51" customFormat="1" customHeight="1" spans="1:25">
      <c r="A5" s="49">
        <v>3</v>
      </c>
      <c r="B5" s="33" t="s">
        <v>18</v>
      </c>
      <c r="C5" s="65">
        <v>100</v>
      </c>
      <c r="D5" s="65">
        <v>3</v>
      </c>
      <c r="E5" s="65">
        <v>4</v>
      </c>
      <c r="F5" s="65">
        <v>3</v>
      </c>
      <c r="G5" s="65">
        <v>4</v>
      </c>
      <c r="H5" s="65">
        <f>SUMIF('3.23'!$C$3:C26,B5,'3.23'!$I$3:I29)</f>
        <v>3</v>
      </c>
      <c r="I5" s="65">
        <f>SUMIF('3.26'!$C$3:D26,B5,'3.26'!$I$3:J29)</f>
        <v>4</v>
      </c>
      <c r="J5" s="65">
        <f>SUMIF('3.30'!$C$3:E26,B5,'3.30'!$I$3:K29)</f>
        <v>3</v>
      </c>
      <c r="K5" s="65">
        <f>SUMIF('4.2'!$C$3:F26,B5,'4.2'!$I$3:L29)</f>
        <v>4</v>
      </c>
      <c r="L5" s="65">
        <f>SUMIF('4.7'!$C$3:G26,B5,'4.7'!$I$3:M29)</f>
        <v>3</v>
      </c>
      <c r="M5" s="65">
        <f>SUMIF('4.9'!$C$3:H26,B5,'4.9'!$I$3:N29)</f>
        <v>4</v>
      </c>
      <c r="N5" s="65">
        <f>SUMIF('4.13'!$C$3:I26,B5,'4.13'!$I$3:O29)</f>
        <v>3</v>
      </c>
      <c r="O5" s="65">
        <f>SUMIF('4.16'!$C$3:J26,B5,'4.16'!$I$3:P29)</f>
        <v>4</v>
      </c>
      <c r="P5" s="65">
        <f>SUMIF('4.20'!$C$3:K26,B5,'4.20'!$I$3:Q29)</f>
        <v>3</v>
      </c>
      <c r="Q5" s="65">
        <f>SUMIF('4.23'!$C$3:L26,B5,'4.23'!$I$3:R29)</f>
        <v>4</v>
      </c>
      <c r="R5" s="65"/>
      <c r="S5" s="65"/>
      <c r="T5" s="65"/>
      <c r="U5" s="65"/>
      <c r="V5" s="49"/>
      <c r="W5" s="49">
        <f>SUM(D5:V5)</f>
        <v>49</v>
      </c>
      <c r="X5" s="51">
        <f>140-W5</f>
        <v>91</v>
      </c>
      <c r="Y5" s="57" t="s">
        <v>55</v>
      </c>
    </row>
    <row r="6" s="51" customFormat="1" customHeight="1" spans="1:25">
      <c r="A6" s="49">
        <v>4</v>
      </c>
      <c r="B6" s="33" t="s">
        <v>19</v>
      </c>
      <c r="C6" s="65">
        <v>100</v>
      </c>
      <c r="D6" s="65">
        <v>3</v>
      </c>
      <c r="E6" s="65">
        <v>4</v>
      </c>
      <c r="F6" s="65">
        <v>3</v>
      </c>
      <c r="G6" s="65">
        <v>4</v>
      </c>
      <c r="H6" s="65">
        <f>SUMIF('3.23'!$C$3:C27,B6,'3.23'!$I$3:I30)</f>
        <v>3</v>
      </c>
      <c r="I6" s="65">
        <f>SUMIF('3.26'!$C$3:D27,B6,'3.26'!$I$3:J30)</f>
        <v>4</v>
      </c>
      <c r="J6" s="65">
        <f>SUMIF('3.30'!$C$3:E27,B6,'3.30'!$I$3:K30)</f>
        <v>3</v>
      </c>
      <c r="K6" s="65">
        <f>SUMIF('4.2'!$C$3:F27,B6,'4.2'!$I$3:L30)</f>
        <v>4</v>
      </c>
      <c r="L6" s="65">
        <f>SUMIF('4.7'!$C$3:G27,B6,'4.7'!$I$3:M30)</f>
        <v>3</v>
      </c>
      <c r="M6" s="65">
        <f>SUMIF('4.9'!$C$3:H27,B6,'4.9'!$I$3:N30)</f>
        <v>4</v>
      </c>
      <c r="N6" s="65">
        <f>SUMIF('4.13'!$C$3:I27,B6,'4.13'!$I$3:O30)</f>
        <v>3</v>
      </c>
      <c r="O6" s="65">
        <f>SUMIF('4.16'!$C$3:J27,B6,'4.16'!$I$3:P30)</f>
        <v>4</v>
      </c>
      <c r="P6" s="65">
        <f>SUMIF('4.20'!$C$3:K27,B6,'4.20'!$I$3:Q30)</f>
        <v>3</v>
      </c>
      <c r="Q6" s="65">
        <f>SUMIF('4.23'!$C$3:L27,B6,'4.23'!$I$3:R30)</f>
        <v>4</v>
      </c>
      <c r="R6" s="65"/>
      <c r="S6" s="65"/>
      <c r="T6" s="65"/>
      <c r="U6" s="65"/>
      <c r="V6" s="49"/>
      <c r="W6" s="49">
        <f>SUM(D6:V6)</f>
        <v>49</v>
      </c>
      <c r="X6" s="51">
        <f t="shared" ref="X6:X8" si="0">100-W6</f>
        <v>51</v>
      </c>
    </row>
    <row r="7" s="51" customFormat="1" customHeight="1" spans="1:25">
      <c r="A7" s="49">
        <v>5</v>
      </c>
      <c r="B7" s="33" t="s">
        <v>21</v>
      </c>
      <c r="C7" s="65">
        <v>100</v>
      </c>
      <c r="D7" s="65">
        <v>3</v>
      </c>
      <c r="E7" s="65">
        <v>4</v>
      </c>
      <c r="F7" s="65">
        <v>3</v>
      </c>
      <c r="G7" s="65">
        <v>4</v>
      </c>
      <c r="H7" s="65">
        <f>SUMIF('3.23'!$C$3:C28,B7,'3.23'!$I$3:I31)</f>
        <v>3</v>
      </c>
      <c r="I7" s="65">
        <f>SUMIF('3.26'!$C$3:D28,B7,'3.26'!$I$3:J31)</f>
        <v>4</v>
      </c>
      <c r="J7" s="65">
        <f>SUMIF('3.30'!$C$3:E28,B7,'3.30'!$I$3:K31)</f>
        <v>3</v>
      </c>
      <c r="K7" s="65">
        <f>SUMIF('4.2'!$C$3:F28,B7,'4.2'!$I$3:L31)</f>
        <v>4</v>
      </c>
      <c r="L7" s="65">
        <f>SUMIF('4.7'!$C$3:G28,B7,'4.7'!$I$3:M31)</f>
        <v>3</v>
      </c>
      <c r="M7" s="65">
        <f>SUMIF('4.9'!$C$3:H28,B7,'4.9'!$I$3:N31)</f>
        <v>4</v>
      </c>
      <c r="N7" s="65">
        <f>SUMIF('4.13'!$C$3:I28,B7,'4.13'!$I$3:O31)</f>
        <v>3</v>
      </c>
      <c r="O7" s="65">
        <f>SUMIF('4.16'!$C$3:J28,B7,'4.16'!$I$3:P31)</f>
        <v>4</v>
      </c>
      <c r="P7" s="65">
        <f>SUMIF('4.20'!$C$3:K28,B7,'4.20'!$I$3:Q31)</f>
        <v>3</v>
      </c>
      <c r="Q7" s="65">
        <f>SUMIF('4.23'!$C$3:L28,B7,'4.23'!$I$3:R31)</f>
        <v>4</v>
      </c>
      <c r="R7" s="65"/>
      <c r="S7" s="65"/>
      <c r="T7" s="65"/>
      <c r="U7" s="65"/>
      <c r="V7" s="49"/>
      <c r="W7" s="49">
        <f>SUM(D7:V7)</f>
        <v>49</v>
      </c>
      <c r="X7" s="51">
        <f t="shared" si="0"/>
        <v>51</v>
      </c>
    </row>
    <row r="8" s="51" customFormat="1" customHeight="1" spans="1:25">
      <c r="A8" s="49">
        <v>6</v>
      </c>
      <c r="B8" s="19" t="s">
        <v>37</v>
      </c>
      <c r="C8" s="65">
        <v>100</v>
      </c>
      <c r="D8" s="65">
        <v>0</v>
      </c>
      <c r="E8" s="65">
        <v>7</v>
      </c>
      <c r="F8" s="65">
        <v>3</v>
      </c>
      <c r="G8" s="65">
        <v>4</v>
      </c>
      <c r="H8" s="65">
        <f>SUMIF('3.23'!$C$3:C29,B8,'3.23'!$I$3:I32)</f>
        <v>3</v>
      </c>
      <c r="I8" s="65">
        <f>SUMIF('3.26'!$C$3:D29,B8,'3.26'!$I$3:J32)</f>
        <v>4</v>
      </c>
      <c r="J8" s="65">
        <f>SUMIF('3.30'!$C$3:E29,B8,'3.30'!$I$3:K32)</f>
        <v>3</v>
      </c>
      <c r="K8" s="65">
        <f>SUMIF('4.2'!$C$3:F29,B8,'4.2'!$I$3:L32)</f>
        <v>4</v>
      </c>
      <c r="L8" s="65">
        <f>SUMIF('4.7'!$C$3:G29,B8,'4.7'!$I$3:M32)</f>
        <v>3</v>
      </c>
      <c r="M8" s="65">
        <f>SUMIF('4.9'!$C$3:H29,B8,'4.9'!$I$3:N32)</f>
        <v>4</v>
      </c>
      <c r="N8" s="65">
        <f>SUMIF('4.13'!$C$3:I29,B8,'4.13'!$I$3:O32)</f>
        <v>3</v>
      </c>
      <c r="O8" s="65">
        <f>SUMIF('4.16'!$C$3:J29,B8,'4.16'!$I$3:P32)</f>
        <v>4</v>
      </c>
      <c r="P8" s="65">
        <f>SUMIF('4.20'!$C$3:K29,B8,'4.20'!$I$3:Q32)</f>
        <v>3</v>
      </c>
      <c r="Q8" s="65">
        <f>SUMIF('4.23'!$C$3:L29,B8,'4.23'!$I$3:R32)</f>
        <v>4</v>
      </c>
      <c r="R8" s="65"/>
      <c r="S8" s="65"/>
      <c r="T8" s="65"/>
      <c r="U8" s="65"/>
      <c r="V8" s="66"/>
      <c r="W8" s="49">
        <f>SUM(D8:V8)</f>
        <v>49</v>
      </c>
      <c r="X8" s="51">
        <f t="shared" si="0"/>
        <v>51</v>
      </c>
    </row>
    <row r="9" s="51" customFormat="1" customHeight="1" spans="1:25">
      <c r="A9" s="49">
        <v>7</v>
      </c>
      <c r="B9" s="33" t="s">
        <v>20</v>
      </c>
      <c r="C9" s="65">
        <v>100</v>
      </c>
      <c r="D9" s="65">
        <v>3</v>
      </c>
      <c r="E9" s="65">
        <v>4</v>
      </c>
      <c r="F9" s="65">
        <v>3</v>
      </c>
      <c r="G9" s="65">
        <v>4</v>
      </c>
      <c r="H9" s="65">
        <f>SUMIF('3.23'!$C$3:C30,B9,'3.23'!$I$3:I33)</f>
        <v>3</v>
      </c>
      <c r="I9" s="65">
        <f>SUMIF('3.26'!$C$3:D30,B9,'3.26'!$I$3:J33)</f>
        <v>4</v>
      </c>
      <c r="J9" s="65">
        <f>SUMIF('3.30'!$C$3:E30,B9,'3.30'!$I$3:K33)</f>
        <v>3</v>
      </c>
      <c r="K9" s="65">
        <f>SUMIF('4.2'!$C$3:F30,B9,'4.2'!$I$3:L33)</f>
        <v>4</v>
      </c>
      <c r="L9" s="65">
        <f>SUMIF('4.7'!$C$3:G30,B9,'4.7'!$I$3:M33)</f>
        <v>3</v>
      </c>
      <c r="M9" s="65">
        <f>SUMIF('4.9'!$C$3:H30,B9,'4.9'!$I$3:N33)</f>
        <v>4</v>
      </c>
      <c r="N9" s="65">
        <f>SUMIF('4.13'!$C$3:I30,B9,'4.13'!$I$3:O33)</f>
        <v>3</v>
      </c>
      <c r="O9" s="65">
        <f>SUMIF('4.16'!$C$3:J30,B9,'4.16'!$I$3:P33)</f>
        <v>4</v>
      </c>
      <c r="P9" s="65">
        <f>SUMIF('4.20'!$C$3:K30,B9,'4.20'!$I$3:Q33)</f>
        <v>3</v>
      </c>
      <c r="Q9" s="65">
        <f>SUMIF('4.23'!$C$3:L30,B9,'4.23'!$I$3:R33)</f>
        <v>4</v>
      </c>
      <c r="R9" s="65"/>
      <c r="S9" s="65"/>
      <c r="T9" s="65"/>
      <c r="U9" s="65"/>
      <c r="V9" s="49"/>
      <c r="W9" s="49">
        <f t="shared" ref="W9:W33" si="1">SUM(D9:V9)</f>
        <v>49</v>
      </c>
      <c r="X9" s="51">
        <f t="shared" ref="X9:X33" si="2">100-W9</f>
        <v>51</v>
      </c>
    </row>
    <row r="10" s="51" customFormat="1" customHeight="1" spans="1:25">
      <c r="A10" s="49">
        <v>8</v>
      </c>
      <c r="B10" s="33" t="s">
        <v>22</v>
      </c>
      <c r="C10" s="65">
        <v>100</v>
      </c>
      <c r="D10" s="65">
        <v>3</v>
      </c>
      <c r="E10" s="65">
        <v>4</v>
      </c>
      <c r="F10" s="65">
        <v>3</v>
      </c>
      <c r="G10" s="65">
        <v>4</v>
      </c>
      <c r="H10" s="65">
        <f>SUMIF('3.23'!$C$3:C31,B10,'3.23'!$I$3:I34)</f>
        <v>3</v>
      </c>
      <c r="I10" s="65">
        <f>SUMIF('3.26'!$C$3:D31,B10,'3.26'!$I$3:J34)</f>
        <v>4</v>
      </c>
      <c r="J10" s="65">
        <f>SUMIF('3.30'!$C$3:E31,B10,'3.30'!$I$3:K34)</f>
        <v>3</v>
      </c>
      <c r="K10" s="65">
        <f>SUMIF('4.2'!$C$3:F31,B10,'4.2'!$I$3:L34)</f>
        <v>4</v>
      </c>
      <c r="L10" s="65">
        <f>SUMIF('4.7'!$C$3:G31,B10,'4.7'!$I$3:M34)</f>
        <v>3</v>
      </c>
      <c r="M10" s="65">
        <f>SUMIF('4.9'!$C$3:H31,B10,'4.9'!$I$3:N34)</f>
        <v>4</v>
      </c>
      <c r="N10" s="65">
        <f>SUMIF('4.13'!$C$3:I31,B10,'4.13'!$I$3:O34)</f>
        <v>3</v>
      </c>
      <c r="O10" s="65">
        <f>SUMIF('4.16'!$C$3:J31,B10,'4.16'!$I$3:P34)</f>
        <v>4</v>
      </c>
      <c r="P10" s="65">
        <f>SUMIF('4.20'!$C$3:K31,B10,'4.20'!$I$3:Q34)</f>
        <v>3</v>
      </c>
      <c r="Q10" s="65">
        <f>SUMIF('4.23'!$C$3:L31,B10,'4.23'!$I$3:R34)</f>
        <v>4</v>
      </c>
      <c r="R10" s="65"/>
      <c r="S10" s="65"/>
      <c r="T10" s="65"/>
      <c r="U10" s="65"/>
      <c r="V10" s="49"/>
      <c r="W10" s="49">
        <f t="shared" si="1"/>
        <v>49</v>
      </c>
      <c r="X10" s="51">
        <f>140-W10</f>
        <v>91</v>
      </c>
    </row>
    <row r="11" customHeight="1" spans="1:25">
      <c r="A11" s="49">
        <v>9</v>
      </c>
      <c r="B11" s="33" t="s">
        <v>23</v>
      </c>
      <c r="C11" s="65">
        <v>100</v>
      </c>
      <c r="D11" s="65">
        <v>3</v>
      </c>
      <c r="E11" s="65">
        <v>4</v>
      </c>
      <c r="F11" s="65">
        <v>3</v>
      </c>
      <c r="G11" s="65">
        <v>4</v>
      </c>
      <c r="H11" s="65">
        <f>SUMIF('3.23'!$C$3:C32,B11,'3.23'!$I$3:I35)</f>
        <v>3</v>
      </c>
      <c r="I11" s="65">
        <f>SUMIF('3.26'!$C$3:D32,B11,'3.26'!$I$3:J35)</f>
        <v>4</v>
      </c>
      <c r="J11" s="65">
        <f>SUMIF('3.30'!$C$3:E32,B11,'3.30'!$I$3:K35)</f>
        <v>3</v>
      </c>
      <c r="K11" s="65">
        <f>SUMIF('4.2'!$C$3:F32,B11,'4.2'!$I$3:L35)</f>
        <v>4</v>
      </c>
      <c r="L11" s="65">
        <f>SUMIF('4.7'!$C$3:G32,B11,'4.7'!$I$3:M35)</f>
        <v>3</v>
      </c>
      <c r="M11" s="65">
        <f>SUMIF('4.9'!$C$3:H32,B11,'4.9'!$I$3:N35)</f>
        <v>4</v>
      </c>
      <c r="N11" s="65">
        <f>SUMIF('4.13'!$C$3:I32,B11,'4.13'!$I$3:O35)</f>
        <v>3</v>
      </c>
      <c r="O11" s="65">
        <f>SUMIF('4.16'!$C$3:J32,B11,'4.16'!$I$3:P35)</f>
        <v>4</v>
      </c>
      <c r="P11" s="65">
        <f>SUMIF('4.20'!$C$3:K32,B11,'4.20'!$I$3:Q35)</f>
        <v>3</v>
      </c>
      <c r="Q11" s="65">
        <f>SUMIF('4.23'!$C$3:L32,B11,'4.23'!$I$3:R35)</f>
        <v>4</v>
      </c>
      <c r="R11" s="65"/>
      <c r="S11" s="65"/>
      <c r="T11" s="65"/>
      <c r="U11" s="65"/>
      <c r="V11" s="66"/>
      <c r="W11" s="49">
        <f t="shared" si="1"/>
        <v>49</v>
      </c>
      <c r="X11" s="51">
        <f t="shared" si="2"/>
        <v>51</v>
      </c>
    </row>
    <row r="12" customHeight="1" spans="1:25">
      <c r="A12" s="49">
        <v>10</v>
      </c>
      <c r="B12" s="33" t="s">
        <v>24</v>
      </c>
      <c r="C12" s="65">
        <v>100</v>
      </c>
      <c r="D12" s="65">
        <v>3</v>
      </c>
      <c r="E12" s="65">
        <v>4</v>
      </c>
      <c r="F12" s="65">
        <v>3</v>
      </c>
      <c r="G12" s="65">
        <v>4</v>
      </c>
      <c r="H12" s="65">
        <f>SUMIF('3.23'!$C$3:C33,B12,'3.23'!$I$3:I36)</f>
        <v>3</v>
      </c>
      <c r="I12" s="65">
        <f>SUMIF('3.26'!$C$3:D33,B12,'3.26'!$I$3:J36)</f>
        <v>4</v>
      </c>
      <c r="J12" s="65">
        <f>SUMIF('3.30'!$C$3:E33,B12,'3.30'!$I$3:K36)</f>
        <v>3</v>
      </c>
      <c r="K12" s="65">
        <f>SUMIF('4.2'!$C$3:F33,B12,'4.2'!$I$3:L36)</f>
        <v>4</v>
      </c>
      <c r="L12" s="65">
        <f>SUMIF('4.7'!$C$3:G33,B12,'4.7'!$I$3:M36)</f>
        <v>3</v>
      </c>
      <c r="M12" s="65">
        <f>SUMIF('4.9'!$C$3:H33,B12,'4.9'!$I$3:N36)</f>
        <v>4</v>
      </c>
      <c r="N12" s="65">
        <f>SUMIF('4.13'!$C$3:I33,B12,'4.13'!$I$3:O36)</f>
        <v>3</v>
      </c>
      <c r="O12" s="65">
        <f>SUMIF('4.16'!$C$3:J33,B12,'4.16'!$I$3:P36)</f>
        <v>4</v>
      </c>
      <c r="P12" s="65">
        <f>SUMIF('4.20'!$C$3:K33,B12,'4.20'!$I$3:Q36)</f>
        <v>3</v>
      </c>
      <c r="Q12" s="65">
        <f>SUMIF('4.23'!$C$3:L33,B12,'4.23'!$I$3:R36)</f>
        <v>4</v>
      </c>
      <c r="R12" s="65"/>
      <c r="S12" s="65"/>
      <c r="T12" s="65"/>
      <c r="U12" s="65"/>
      <c r="V12" s="66"/>
      <c r="W12" s="49">
        <f t="shared" si="1"/>
        <v>49</v>
      </c>
      <c r="X12" s="51">
        <f t="shared" si="2"/>
        <v>51</v>
      </c>
    </row>
    <row r="13" customHeight="1" spans="1:25">
      <c r="A13" s="49">
        <v>11</v>
      </c>
      <c r="B13" s="33" t="s">
        <v>26</v>
      </c>
      <c r="C13" s="65">
        <v>100</v>
      </c>
      <c r="D13" s="65">
        <v>3</v>
      </c>
      <c r="E13" s="65">
        <v>4</v>
      </c>
      <c r="F13" s="65">
        <v>3</v>
      </c>
      <c r="G13" s="65">
        <v>4</v>
      </c>
      <c r="H13" s="65">
        <f>SUMIF('3.23'!$C$3:C34,B13,'3.23'!$I$3:I37)</f>
        <v>3</v>
      </c>
      <c r="I13" s="65">
        <f>SUMIF('3.26'!$C$3:D34,B13,'3.26'!$I$3:J37)</f>
        <v>4</v>
      </c>
      <c r="J13" s="65">
        <f>SUMIF('3.30'!$C$3:E34,B13,'3.30'!$I$3:K37)</f>
        <v>3</v>
      </c>
      <c r="K13" s="65">
        <f>SUMIF('4.2'!$C$3:F34,B13,'4.2'!$I$3:L37)</f>
        <v>4</v>
      </c>
      <c r="L13" s="65">
        <f>SUMIF('4.7'!$C$3:G34,B13,'4.7'!$I$3:M37)</f>
        <v>3</v>
      </c>
      <c r="M13" s="65">
        <f>SUMIF('4.9'!$C$3:H34,B13,'4.9'!$I$3:N37)</f>
        <v>4</v>
      </c>
      <c r="N13" s="65">
        <f>SUMIF('4.13'!$C$3:I34,B13,'4.13'!$I$3:O37)</f>
        <v>3</v>
      </c>
      <c r="O13" s="65">
        <f>SUMIF('4.16'!$C$3:J34,B13,'4.16'!$I$3:P37)</f>
        <v>4</v>
      </c>
      <c r="P13" s="65">
        <f>SUMIF('4.20'!$C$3:K34,B13,'4.20'!$I$3:Q37)</f>
        <v>3</v>
      </c>
      <c r="Q13" s="65">
        <f>SUMIF('4.23'!$C$3:L34,B13,'4.23'!$I$3:R37)</f>
        <v>4</v>
      </c>
      <c r="R13" s="65"/>
      <c r="S13" s="65"/>
      <c r="T13" s="65"/>
      <c r="U13" s="65"/>
      <c r="V13" s="66"/>
      <c r="W13" s="49">
        <f t="shared" si="1"/>
        <v>49</v>
      </c>
      <c r="X13" s="51">
        <f>140-W13</f>
        <v>91</v>
      </c>
      <c r="Y13" s="57" t="s">
        <v>55</v>
      </c>
    </row>
    <row r="14" customHeight="1" spans="1:25">
      <c r="A14" s="49">
        <v>12</v>
      </c>
      <c r="B14" s="33" t="s">
        <v>27</v>
      </c>
      <c r="C14" s="65">
        <v>100</v>
      </c>
      <c r="D14" s="65">
        <v>3</v>
      </c>
      <c r="E14" s="65">
        <v>4</v>
      </c>
      <c r="F14" s="65">
        <v>3</v>
      </c>
      <c r="G14" s="65">
        <v>4</v>
      </c>
      <c r="H14" s="65">
        <f>SUMIF('3.23'!$C$3:C35,B14,'3.23'!$I$3:I38)</f>
        <v>3</v>
      </c>
      <c r="I14" s="65">
        <f>SUMIF('3.26'!$C$3:D35,B14,'3.26'!$I$3:J38)</f>
        <v>4</v>
      </c>
      <c r="J14" s="65">
        <f>SUMIF('3.30'!$C$3:E35,B14,'3.30'!$I$3:K38)</f>
        <v>3</v>
      </c>
      <c r="K14" s="65">
        <f>SUMIF('4.2'!$C$3:F35,B14,'4.2'!$I$3:L38)</f>
        <v>4</v>
      </c>
      <c r="L14" s="65">
        <f>SUMIF('4.7'!$C$3:G35,B14,'4.7'!$I$3:M38)</f>
        <v>3</v>
      </c>
      <c r="M14" s="65">
        <f>SUMIF('4.9'!$C$3:H35,B14,'4.9'!$I$3:N38)</f>
        <v>4</v>
      </c>
      <c r="N14" s="65">
        <f>SUMIF('4.13'!$C$3:I35,B14,'4.13'!$I$3:O38)</f>
        <v>3</v>
      </c>
      <c r="O14" s="65">
        <f>SUMIF('4.16'!$C$3:J35,B14,'4.16'!$I$3:P38)</f>
        <v>4</v>
      </c>
      <c r="P14" s="65">
        <f>SUMIF('4.20'!$C$3:K35,B14,'4.20'!$I$3:Q38)</f>
        <v>3</v>
      </c>
      <c r="Q14" s="65">
        <f>SUMIF('4.23'!$C$3:L35,B14,'4.23'!$I$3:R38)</f>
        <v>4</v>
      </c>
      <c r="R14" s="65"/>
      <c r="S14" s="65"/>
      <c r="T14" s="65"/>
      <c r="U14" s="65"/>
      <c r="V14" s="66"/>
      <c r="W14" s="49">
        <f>SUM(D15:V15)</f>
        <v>49</v>
      </c>
      <c r="X14" s="51">
        <f>100-W15</f>
        <v>51</v>
      </c>
    </row>
    <row r="15" customHeight="1" spans="1:25">
      <c r="A15" s="49">
        <v>13</v>
      </c>
      <c r="B15" s="33" t="s">
        <v>28</v>
      </c>
      <c r="C15" s="65">
        <v>100</v>
      </c>
      <c r="D15" s="65">
        <v>3</v>
      </c>
      <c r="E15" s="65">
        <v>4</v>
      </c>
      <c r="F15" s="65">
        <v>3</v>
      </c>
      <c r="G15" s="65">
        <v>4</v>
      </c>
      <c r="H15" s="65">
        <f>SUMIF('3.23'!$C$3:C36,B15,'3.23'!$I$3:I39)</f>
        <v>3</v>
      </c>
      <c r="I15" s="65">
        <f>SUMIF('3.26'!$C$3:D36,B15,'3.26'!$I$3:J39)</f>
        <v>4</v>
      </c>
      <c r="J15" s="65">
        <f>SUMIF('3.30'!$C$3:E36,B15,'3.30'!$I$3:K39)</f>
        <v>3</v>
      </c>
      <c r="K15" s="65">
        <f>SUMIF('4.2'!$C$3:F36,B15,'4.2'!$I$3:L39)</f>
        <v>4</v>
      </c>
      <c r="L15" s="65">
        <f>SUMIF('4.7'!$C$3:G36,B15,'4.7'!$I$3:M39)</f>
        <v>3</v>
      </c>
      <c r="M15" s="65">
        <f>SUMIF('4.9'!$C$3:H36,B15,'4.9'!$I$3:N39)</f>
        <v>4</v>
      </c>
      <c r="N15" s="65">
        <f>SUMIF('4.13'!$C$3:I36,B15,'4.13'!$I$3:O39)</f>
        <v>3</v>
      </c>
      <c r="O15" s="65">
        <f>SUMIF('4.16'!$C$3:J36,B15,'4.16'!$I$3:P39)</f>
        <v>4</v>
      </c>
      <c r="P15" s="65">
        <f>SUMIF('4.20'!$C$3:K36,B15,'4.20'!$I$3:Q39)</f>
        <v>3</v>
      </c>
      <c r="Q15" s="65">
        <f>SUMIF('4.23'!$C$3:L36,B15,'4.23'!$I$3:R39)</f>
        <v>4</v>
      </c>
      <c r="R15" s="65"/>
      <c r="S15" s="65"/>
      <c r="T15" s="65"/>
      <c r="U15" s="65"/>
      <c r="V15" s="66"/>
      <c r="W15" s="49">
        <f t="shared" si="1"/>
        <v>49</v>
      </c>
      <c r="X15" s="51">
        <f t="shared" si="2"/>
        <v>51</v>
      </c>
    </row>
    <row r="16" customHeight="1" spans="1:25">
      <c r="A16" s="49">
        <v>14</v>
      </c>
      <c r="B16" s="33" t="s">
        <v>30</v>
      </c>
      <c r="C16" s="65">
        <v>100</v>
      </c>
      <c r="D16" s="65">
        <v>3</v>
      </c>
      <c r="E16" s="65">
        <v>4</v>
      </c>
      <c r="F16" s="65">
        <v>3</v>
      </c>
      <c r="G16" s="65">
        <v>4</v>
      </c>
      <c r="H16" s="65">
        <f>SUMIF('3.23'!$C$3:C37,B16,'3.23'!$I$3:I40)</f>
        <v>3</v>
      </c>
      <c r="I16" s="65">
        <f>SUMIF('3.26'!$C$3:D37,B16,'3.26'!$I$3:J40)</f>
        <v>4</v>
      </c>
      <c r="J16" s="65">
        <f>SUMIF('3.30'!$C$3:E37,B16,'3.30'!$I$3:K40)</f>
        <v>3</v>
      </c>
      <c r="K16" s="65">
        <f>SUMIF('4.2'!$C$3:F37,B16,'4.2'!$I$3:L40)</f>
        <v>4</v>
      </c>
      <c r="L16" s="65">
        <f>SUMIF('4.7'!$C$3:G37,B16,'4.7'!$I$3:M40)</f>
        <v>3</v>
      </c>
      <c r="M16" s="65">
        <f>SUMIF('4.9'!$C$3:H37,B16,'4.9'!$I$3:N40)</f>
        <v>4</v>
      </c>
      <c r="N16" s="65">
        <f>SUMIF('4.13'!$C$3:I37,B16,'4.13'!$I$3:O40)</f>
        <v>3</v>
      </c>
      <c r="O16" s="65">
        <f>SUMIF('4.16'!$C$3:J37,B16,'4.16'!$I$3:P40)</f>
        <v>4</v>
      </c>
      <c r="P16" s="65">
        <f>SUMIF('4.20'!$C$3:K37,B16,'4.20'!$I$3:Q40)</f>
        <v>3</v>
      </c>
      <c r="Q16" s="65">
        <f>SUMIF('4.23'!$C$3:L37,B16,'4.23'!$I$3:R40)</f>
        <v>4</v>
      </c>
      <c r="R16" s="65"/>
      <c r="S16" s="65"/>
      <c r="T16" s="65"/>
      <c r="U16" s="65"/>
      <c r="V16" s="66"/>
      <c r="W16" s="49">
        <f t="shared" si="1"/>
        <v>49</v>
      </c>
      <c r="X16" s="51">
        <f t="shared" si="2"/>
        <v>51</v>
      </c>
    </row>
    <row r="17" customHeight="1" spans="1:25">
      <c r="A17" s="49">
        <v>15</v>
      </c>
      <c r="B17" s="33" t="s">
        <v>31</v>
      </c>
      <c r="C17" s="65">
        <v>100</v>
      </c>
      <c r="D17" s="65">
        <v>3</v>
      </c>
      <c r="E17" s="65">
        <v>4</v>
      </c>
      <c r="F17" s="65">
        <v>3</v>
      </c>
      <c r="G17" s="65">
        <v>4</v>
      </c>
      <c r="H17" s="65">
        <f>SUMIF('3.23'!$C$3:C38,B17,'3.23'!$I$3:I41)</f>
        <v>3</v>
      </c>
      <c r="I17" s="65">
        <f>SUMIF('3.26'!$C$3:D38,B17,'3.26'!$I$3:J41)</f>
        <v>4</v>
      </c>
      <c r="J17" s="65">
        <f>SUMIF('3.30'!$C$3:E38,B17,'3.30'!$I$3:K41)</f>
        <v>3</v>
      </c>
      <c r="K17" s="65">
        <f>SUMIF('4.2'!$C$3:F38,B17,'4.2'!$I$3:L41)</f>
        <v>4</v>
      </c>
      <c r="L17" s="65">
        <f>SUMIF('4.7'!$C$3:G38,B17,'4.7'!$I$3:M41)</f>
        <v>3</v>
      </c>
      <c r="M17" s="65">
        <f>SUMIF('4.9'!$C$3:H38,B17,'4.9'!$I$3:N41)</f>
        <v>4</v>
      </c>
      <c r="N17" s="65">
        <f>SUMIF('4.13'!$C$3:I38,B17,'4.13'!$I$3:O41)</f>
        <v>3</v>
      </c>
      <c r="O17" s="65">
        <f>SUMIF('4.16'!$C$3:J38,B17,'4.16'!$I$3:P41)</f>
        <v>4</v>
      </c>
      <c r="P17" s="65">
        <f>SUMIF('4.20'!$C$3:K38,B17,'4.20'!$I$3:Q41)</f>
        <v>3</v>
      </c>
      <c r="Q17" s="65">
        <f>SUMIF('4.23'!$C$3:L38,B17,'4.23'!$I$3:R41)</f>
        <v>4</v>
      </c>
      <c r="R17" s="65"/>
      <c r="S17" s="65"/>
      <c r="T17" s="65"/>
      <c r="U17" s="65"/>
      <c r="V17" s="66"/>
      <c r="W17" s="49">
        <f t="shared" si="1"/>
        <v>49</v>
      </c>
      <c r="X17" s="51">
        <f t="shared" si="2"/>
        <v>51</v>
      </c>
    </row>
    <row r="18" customHeight="1" spans="1:25">
      <c r="A18" s="49">
        <v>16</v>
      </c>
      <c r="B18" s="33" t="s">
        <v>32</v>
      </c>
      <c r="C18" s="65">
        <v>100</v>
      </c>
      <c r="D18" s="65">
        <v>3</v>
      </c>
      <c r="E18" s="65">
        <v>4</v>
      </c>
      <c r="F18" s="65">
        <v>3</v>
      </c>
      <c r="G18" s="65">
        <v>4</v>
      </c>
      <c r="H18" s="65">
        <f>SUMIF('3.23'!$C$3:C39,B18,'3.23'!$I$3:I42)</f>
        <v>3</v>
      </c>
      <c r="I18" s="65">
        <f>SUMIF('3.26'!$C$3:D39,B18,'3.26'!$I$3:J42)</f>
        <v>4</v>
      </c>
      <c r="J18" s="65">
        <f>SUMIF('3.30'!$C$3:E39,B18,'3.30'!$I$3:K42)</f>
        <v>3</v>
      </c>
      <c r="K18" s="65">
        <f>SUMIF('4.2'!$C$3:F39,B18,'4.2'!$I$3:L42)</f>
        <v>4</v>
      </c>
      <c r="L18" s="65">
        <f>SUMIF('4.7'!$C$3:G39,B18,'4.7'!$I$3:M42)</f>
        <v>3</v>
      </c>
      <c r="M18" s="65">
        <f>SUMIF('4.9'!$C$3:H39,B18,'4.9'!$I$3:N42)</f>
        <v>4</v>
      </c>
      <c r="N18" s="65">
        <f>SUMIF('4.13'!$C$3:I39,B18,'4.13'!$I$3:O42)</f>
        <v>3</v>
      </c>
      <c r="O18" s="65">
        <f>SUMIF('4.16'!$C$3:J39,B18,'4.16'!$I$3:P42)</f>
        <v>4</v>
      </c>
      <c r="P18" s="65">
        <f>SUMIF('4.20'!$C$3:K39,B18,'4.20'!$I$3:Q42)</f>
        <v>3</v>
      </c>
      <c r="Q18" s="65">
        <f>SUMIF('4.23'!$C$3:L39,B18,'4.23'!$I$3:R42)</f>
        <v>4</v>
      </c>
      <c r="R18" s="65"/>
      <c r="S18" s="65"/>
      <c r="T18" s="65"/>
      <c r="U18" s="65"/>
      <c r="V18" s="66"/>
      <c r="W18" s="49">
        <f t="shared" si="1"/>
        <v>49</v>
      </c>
      <c r="X18" s="51">
        <f t="shared" si="2"/>
        <v>51</v>
      </c>
    </row>
    <row r="19" customHeight="1" spans="1:25">
      <c r="A19" s="49">
        <v>17</v>
      </c>
      <c r="B19" s="33" t="s">
        <v>33</v>
      </c>
      <c r="C19" s="65">
        <v>100</v>
      </c>
      <c r="D19" s="65">
        <v>3</v>
      </c>
      <c r="E19" s="65">
        <v>4</v>
      </c>
      <c r="F19" s="65">
        <v>3</v>
      </c>
      <c r="G19" s="65">
        <v>4</v>
      </c>
      <c r="H19" s="65">
        <f>SUMIF('3.23'!$C$3:C40,B19,'3.23'!$I$3:I43)</f>
        <v>3</v>
      </c>
      <c r="I19" s="65">
        <f>SUMIF('3.26'!$C$3:D40,B19,'3.26'!$I$3:J43)</f>
        <v>4</v>
      </c>
      <c r="J19" s="65">
        <f>SUMIF('3.30'!$C$3:E40,B19,'3.30'!$I$3:K43)</f>
        <v>3</v>
      </c>
      <c r="K19" s="65">
        <f>SUMIF('4.2'!$C$3:F40,B19,'4.2'!$I$3:L43)</f>
        <v>4</v>
      </c>
      <c r="L19" s="65">
        <f>SUMIF('4.7'!$C$3:G40,B19,'4.7'!$I$3:M43)</f>
        <v>3</v>
      </c>
      <c r="M19" s="65">
        <f>SUMIF('4.9'!$C$3:H40,B19,'4.9'!$I$3:N43)</f>
        <v>4</v>
      </c>
      <c r="N19" s="65">
        <f>SUMIF('4.13'!$C$3:I40,B19,'4.13'!$I$3:O43)</f>
        <v>3</v>
      </c>
      <c r="O19" s="65">
        <f>SUMIF('4.16'!$C$3:J40,B19,'4.16'!$I$3:P43)</f>
        <v>4</v>
      </c>
      <c r="P19" s="65">
        <f>SUMIF('4.20'!$C$3:K40,B19,'4.20'!$I$3:Q43)</f>
        <v>3</v>
      </c>
      <c r="Q19" s="65">
        <f>SUMIF('4.23'!$C$3:L40,B19,'4.23'!$I$3:R43)</f>
        <v>4</v>
      </c>
      <c r="R19" s="65"/>
      <c r="S19" s="65"/>
      <c r="T19" s="65"/>
      <c r="U19" s="65"/>
      <c r="V19" s="66"/>
      <c r="W19" s="49">
        <f t="shared" si="1"/>
        <v>49</v>
      </c>
      <c r="X19" s="51">
        <f t="shared" si="2"/>
        <v>51</v>
      </c>
    </row>
    <row r="20" customHeight="1" spans="1:25">
      <c r="A20" s="49">
        <v>18</v>
      </c>
      <c r="B20" s="33" t="s">
        <v>34</v>
      </c>
      <c r="C20" s="65">
        <v>100</v>
      </c>
      <c r="D20" s="65">
        <v>3</v>
      </c>
      <c r="E20" s="65">
        <v>4</v>
      </c>
      <c r="F20" s="65">
        <v>3</v>
      </c>
      <c r="G20" s="65">
        <v>4</v>
      </c>
      <c r="H20" s="65">
        <f>SUMIF('3.23'!$C$3:C41,B20,'3.23'!$I$3:I44)</f>
        <v>3</v>
      </c>
      <c r="I20" s="65">
        <f>SUMIF('3.26'!$C$3:D41,B20,'3.26'!$I$3:J44)</f>
        <v>4</v>
      </c>
      <c r="J20" s="65">
        <f>SUMIF('3.30'!$C$3:E41,B20,'3.30'!$I$3:K44)</f>
        <v>3</v>
      </c>
      <c r="K20" s="65">
        <f>SUMIF('4.2'!$C$3:F41,B20,'4.2'!$I$3:L44)</f>
        <v>4</v>
      </c>
      <c r="L20" s="65">
        <f>SUMIF('4.7'!$C$3:G41,B20,'4.7'!$I$3:M44)</f>
        <v>3</v>
      </c>
      <c r="M20" s="65">
        <f>SUMIF('4.9'!$C$3:H41,B20,'4.9'!$I$3:N44)</f>
        <v>4</v>
      </c>
      <c r="N20" s="65">
        <f>SUMIF('4.13'!$C$3:I41,B20,'4.13'!$I$3:O44)</f>
        <v>3</v>
      </c>
      <c r="O20" s="65">
        <f>SUMIF('4.16'!$C$3:J41,B20,'4.16'!$I$3:P44)</f>
        <v>4</v>
      </c>
      <c r="P20" s="65">
        <f>SUMIF('4.20'!$C$3:K41,B20,'4.20'!$I$3:Q44)</f>
        <v>3</v>
      </c>
      <c r="Q20" s="65">
        <f>SUMIF('4.23'!$C$3:L41,B20,'4.23'!$I$3:R44)</f>
        <v>4</v>
      </c>
      <c r="R20" s="65"/>
      <c r="S20" s="65"/>
      <c r="T20" s="65"/>
      <c r="U20" s="65"/>
      <c r="V20" s="66"/>
      <c r="W20" s="49">
        <f t="shared" si="1"/>
        <v>49</v>
      </c>
      <c r="X20" s="51">
        <f t="shared" si="2"/>
        <v>51</v>
      </c>
    </row>
    <row r="21" customHeight="1" spans="1:25">
      <c r="A21" s="49">
        <v>19</v>
      </c>
      <c r="B21" s="19" t="s">
        <v>35</v>
      </c>
      <c r="C21" s="65">
        <v>100</v>
      </c>
      <c r="D21" s="65">
        <v>3</v>
      </c>
      <c r="E21" s="65">
        <v>4</v>
      </c>
      <c r="F21" s="65">
        <v>3</v>
      </c>
      <c r="G21" s="65">
        <v>4</v>
      </c>
      <c r="H21" s="65">
        <f>SUMIF('3.23'!$C$3:C42,B21,'3.23'!$I$3:I45)</f>
        <v>3</v>
      </c>
      <c r="I21" s="65">
        <f>SUMIF('3.26'!$C$3:D42,B21,'3.26'!$I$3:J45)</f>
        <v>4</v>
      </c>
      <c r="J21" s="65">
        <f>SUMIF('3.30'!$C$3:E42,B21,'3.30'!$I$3:K45)</f>
        <v>3</v>
      </c>
      <c r="K21" s="65">
        <f>SUMIF('4.2'!$C$3:F42,B21,'4.2'!$I$3:L45)</f>
        <v>4</v>
      </c>
      <c r="L21" s="65">
        <f>SUMIF('4.7'!$C$3:G42,B21,'4.7'!$I$3:M45)</f>
        <v>3</v>
      </c>
      <c r="M21" s="65">
        <f>SUMIF('4.9'!$C$3:H42,B21,'4.9'!$I$3:N45)</f>
        <v>4</v>
      </c>
      <c r="N21" s="65">
        <f>SUMIF('4.13'!$C$3:I42,B21,'4.13'!$I$3:O45)</f>
        <v>3</v>
      </c>
      <c r="O21" s="65">
        <f>SUMIF('4.16'!$C$3:J42,B21,'4.16'!$I$3:P45)</f>
        <v>4</v>
      </c>
      <c r="P21" s="65">
        <f>SUMIF('4.20'!$C$3:K42,B21,'4.20'!$I$3:Q45)</f>
        <v>3</v>
      </c>
      <c r="Q21" s="65">
        <f>SUMIF('4.23'!$C$3:L42,B21,'4.23'!$I$3:R45)</f>
        <v>4</v>
      </c>
      <c r="R21" s="65"/>
      <c r="S21" s="65"/>
      <c r="T21" s="65"/>
      <c r="U21" s="65"/>
      <c r="V21" s="66"/>
      <c r="W21" s="49">
        <f t="shared" si="1"/>
        <v>49</v>
      </c>
      <c r="X21" s="51">
        <f>140-W21</f>
        <v>91</v>
      </c>
      <c r="Y21" s="57" t="s">
        <v>55</v>
      </c>
    </row>
    <row r="22" customHeight="1" spans="1:25">
      <c r="A22" s="49">
        <v>20</v>
      </c>
      <c r="B22" s="19" t="s">
        <v>36</v>
      </c>
      <c r="C22" s="65">
        <v>100</v>
      </c>
      <c r="D22" s="65">
        <v>0</v>
      </c>
      <c r="E22" s="65">
        <v>7</v>
      </c>
      <c r="F22" s="65">
        <v>3</v>
      </c>
      <c r="G22" s="65">
        <v>4</v>
      </c>
      <c r="H22" s="65">
        <f>SUMIF('3.23'!$C$3:C43,B22,'3.23'!$I$3:I46)</f>
        <v>3</v>
      </c>
      <c r="I22" s="65">
        <f>SUMIF('3.26'!$C$3:D43,B22,'3.26'!$I$3:J46)</f>
        <v>4</v>
      </c>
      <c r="J22" s="65">
        <f>SUMIF('3.30'!$C$3:E43,B22,'3.30'!$I$3:K46)</f>
        <v>3</v>
      </c>
      <c r="K22" s="65">
        <f>SUMIF('4.2'!$C$3:F43,B22,'4.2'!$I$3:L46)</f>
        <v>4</v>
      </c>
      <c r="L22" s="65">
        <f>SUMIF('4.7'!$C$3:G43,B22,'4.7'!$I$3:M46)</f>
        <v>3</v>
      </c>
      <c r="M22" s="65">
        <f>SUMIF('4.9'!$C$3:H43,B22,'4.9'!$I$3:N46)</f>
        <v>4</v>
      </c>
      <c r="N22" s="65">
        <f>SUMIF('4.13'!$C$3:I43,B22,'4.13'!$I$3:O46)</f>
        <v>3</v>
      </c>
      <c r="O22" s="65">
        <f>SUMIF('4.16'!$C$3:J43,B22,'4.16'!$I$3:P46)</f>
        <v>4</v>
      </c>
      <c r="P22" s="65">
        <f>SUMIF('4.20'!$C$3:K43,B22,'4.20'!$I$3:Q46)</f>
        <v>3</v>
      </c>
      <c r="Q22" s="65">
        <f>SUMIF('4.23'!$C$3:L43,B22,'4.23'!$I$3:R46)</f>
        <v>4</v>
      </c>
      <c r="R22" s="65"/>
      <c r="S22" s="65"/>
      <c r="T22" s="65"/>
      <c r="U22" s="65"/>
      <c r="V22" s="66"/>
      <c r="W22" s="49">
        <f t="shared" si="1"/>
        <v>49</v>
      </c>
      <c r="X22" s="51">
        <f>140-W22</f>
        <v>91</v>
      </c>
      <c r="Y22" s="57" t="s">
        <v>55</v>
      </c>
    </row>
    <row r="23" customHeight="1" spans="1:25">
      <c r="A23" s="49">
        <v>21</v>
      </c>
      <c r="B23" s="18" t="s">
        <v>38</v>
      </c>
      <c r="C23" s="65">
        <v>100</v>
      </c>
      <c r="D23" s="65">
        <v>0</v>
      </c>
      <c r="E23" s="65">
        <v>0</v>
      </c>
      <c r="F23" s="65">
        <v>6</v>
      </c>
      <c r="G23" s="65">
        <v>8</v>
      </c>
      <c r="H23" s="65">
        <f>SUMIF('3.23'!$C$3:C44,B23,'3.23'!$I$3:I47)</f>
        <v>3</v>
      </c>
      <c r="I23" s="65">
        <f>SUMIF('3.26'!$C$3:D44,B23,'3.26'!$I$3:J47)</f>
        <v>4</v>
      </c>
      <c r="J23" s="65">
        <f>SUMIF('3.30'!$C$3:E44,B23,'3.30'!$I$3:K47)</f>
        <v>3</v>
      </c>
      <c r="K23" s="65">
        <f>SUMIF('4.2'!$C$3:F44,B23,'4.2'!$I$3:L47)</f>
        <v>4</v>
      </c>
      <c r="L23" s="65">
        <f>SUMIF('4.7'!$C$3:G44,B23,'4.7'!$I$3:M47)</f>
        <v>3</v>
      </c>
      <c r="M23" s="65">
        <f>SUMIF('4.9'!$C$3:H44,B23,'4.9'!$I$3:N47)</f>
        <v>4</v>
      </c>
      <c r="N23" s="65">
        <f>SUMIF('4.13'!$C$3:I44,B23,'4.13'!$I$3:O47)</f>
        <v>3</v>
      </c>
      <c r="O23" s="65">
        <f>SUMIF('4.16'!$C$3:J44,B23,'4.16'!$I$3:P47)</f>
        <v>4</v>
      </c>
      <c r="P23" s="65">
        <f>SUMIF('4.20'!$C$3:K44,B23,'4.20'!$I$3:Q47)</f>
        <v>3</v>
      </c>
      <c r="Q23" s="65">
        <f>SUMIF('4.23'!$C$3:L44,B23,'4.23'!$I$3:R47)</f>
        <v>4</v>
      </c>
      <c r="R23" s="65"/>
      <c r="S23" s="65"/>
      <c r="T23" s="65"/>
      <c r="U23" s="65"/>
      <c r="V23" s="66"/>
      <c r="W23" s="49">
        <f>SUM(D24:V24)</f>
        <v>49</v>
      </c>
      <c r="X23" s="51">
        <f>100-W24</f>
        <v>51</v>
      </c>
    </row>
    <row r="24" customHeight="1" spans="1:25">
      <c r="A24" s="49">
        <v>22</v>
      </c>
      <c r="B24" s="41" t="s">
        <v>40</v>
      </c>
      <c r="C24" s="65">
        <v>100</v>
      </c>
      <c r="D24" s="65">
        <v>0</v>
      </c>
      <c r="E24" s="65">
        <v>0</v>
      </c>
      <c r="F24" s="65">
        <v>6</v>
      </c>
      <c r="G24" s="65">
        <v>8</v>
      </c>
      <c r="H24" s="65">
        <f>SUMIF('3.23'!$C$3:C45,B24,'3.23'!$I$3:I48)</f>
        <v>3</v>
      </c>
      <c r="I24" s="65">
        <f>SUMIF('3.26'!$C$3:D45,B24,'3.26'!$I$3:J48)</f>
        <v>4</v>
      </c>
      <c r="J24" s="65">
        <f>SUMIF('3.30'!$C$3:E45,B24,'3.30'!$I$3:K48)</f>
        <v>3</v>
      </c>
      <c r="K24" s="65">
        <f>SUMIF('4.2'!$C$3:F45,B24,'4.2'!$I$3:L48)</f>
        <v>4</v>
      </c>
      <c r="L24" s="65">
        <f>SUMIF('4.7'!$C$3:G45,B24,'4.7'!$I$3:M48)</f>
        <v>3</v>
      </c>
      <c r="M24" s="65">
        <f>SUMIF('4.9'!$C$3:H45,B24,'4.9'!$I$3:N48)</f>
        <v>4</v>
      </c>
      <c r="N24" s="65">
        <f>SUMIF('4.13'!$C$3:I45,B24,'4.13'!$I$3:O48)</f>
        <v>3</v>
      </c>
      <c r="O24" s="65">
        <f>SUMIF('4.16'!$C$3:J45,B24,'4.16'!$I$3:P48)</f>
        <v>4</v>
      </c>
      <c r="P24" s="65">
        <f>SUMIF('4.20'!$C$3:K45,B24,'4.20'!$I$3:Q48)</f>
        <v>3</v>
      </c>
      <c r="Q24" s="65">
        <f>SUMIF('4.23'!$C$3:L45,B24,'4.23'!$I$3:R48)</f>
        <v>4</v>
      </c>
      <c r="R24" s="65"/>
      <c r="S24" s="65"/>
      <c r="T24" s="65"/>
      <c r="U24" s="65"/>
      <c r="V24" s="66"/>
      <c r="W24" s="49">
        <f>SUM(D24:V24)</f>
        <v>49</v>
      </c>
      <c r="X24" s="51">
        <f>100-W24</f>
        <v>51</v>
      </c>
    </row>
    <row r="25" customHeight="1" spans="1:25">
      <c r="A25" s="49">
        <v>23</v>
      </c>
      <c r="B25" s="18" t="s">
        <v>42</v>
      </c>
      <c r="C25" s="65">
        <v>100</v>
      </c>
      <c r="D25" s="65"/>
      <c r="E25" s="65"/>
      <c r="F25" s="65"/>
      <c r="G25" s="65"/>
      <c r="H25" s="65"/>
      <c r="I25" s="65">
        <f>SUMIF('3.26'!$C$3:D46,B25,'3.26'!$I$3:J49)</f>
        <v>0</v>
      </c>
      <c r="J25" s="65">
        <f>SUMIF('3.30'!$C$3:E46,B25,'3.30'!$I$3:K49)</f>
        <v>0</v>
      </c>
      <c r="K25" s="65">
        <f>SUMIF('4.2'!$C$3:F46,B25,'4.2'!$I$3:L49)</f>
        <v>4</v>
      </c>
      <c r="L25" s="65">
        <f>SUMIF('4.7'!$C$3:G46,B25,'4.7'!$I$3:M49)</f>
        <v>3</v>
      </c>
      <c r="M25" s="65">
        <f>SUMIF('4.9'!$C$3:H46,B25,'4.9'!$I$3:N49)</f>
        <v>4</v>
      </c>
      <c r="N25" s="65">
        <f>SUMIF('4.13'!$C$3:I46,B25,'4.13'!$I$3:O49)</f>
        <v>3</v>
      </c>
      <c r="O25" s="65">
        <f>SUMIF('4.16'!$C$3:J46,B25,'4.16'!$I$3:P49)</f>
        <v>4</v>
      </c>
      <c r="P25" s="65">
        <f>SUMIF('4.20'!$C$3:K46,B25,'4.20'!$I$3:Q49)</f>
        <v>3</v>
      </c>
      <c r="Q25" s="65">
        <f>SUMIF('4.23'!$C$3:L46,B25,'4.23'!$I$3:R49)</f>
        <v>4</v>
      </c>
      <c r="R25" s="65"/>
      <c r="S25" s="65"/>
      <c r="T25" s="65"/>
      <c r="U25" s="65"/>
      <c r="V25" s="66"/>
      <c r="W25" s="49">
        <f>SUM(D25:V25)</f>
        <v>25</v>
      </c>
      <c r="X25" s="51">
        <f>100-W25</f>
        <v>75</v>
      </c>
      <c r="Y25" s="57" t="s">
        <v>55</v>
      </c>
    </row>
    <row r="26" customHeight="1" spans="1:25">
      <c r="A26" s="49">
        <v>24</v>
      </c>
      <c r="B26" s="18" t="s">
        <v>44</v>
      </c>
      <c r="C26" s="65">
        <v>100</v>
      </c>
      <c r="D26" s="65"/>
      <c r="E26" s="65"/>
      <c r="F26" s="65"/>
      <c r="G26" s="65"/>
      <c r="H26" s="65"/>
      <c r="I26" s="65"/>
      <c r="J26" s="65"/>
      <c r="K26" s="65">
        <f>SUMIF('4.2'!$C$3:F47,B26,'4.2'!$I$3:L50)</f>
        <v>4</v>
      </c>
      <c r="L26" s="65">
        <f>SUMIF('4.7'!$C$3:G47,B26,'4.7'!$I$3:M50)</f>
        <v>3</v>
      </c>
      <c r="M26" s="65">
        <f>SUMIF('4.9'!$C$3:H47,B26,'4.9'!$I$3:N50)</f>
        <v>4</v>
      </c>
      <c r="N26" s="65">
        <f>SUMIF('4.13'!$C$3:I47,B26,'4.13'!$I$3:O50)</f>
        <v>3</v>
      </c>
      <c r="O26" s="65">
        <f>SUMIF('4.16'!$C$3:J47,B26,'4.16'!$I$3:P50)</f>
        <v>4</v>
      </c>
      <c r="P26" s="65">
        <f>SUMIF('4.20'!$C$3:K47,B26,'4.20'!$I$3:Q50)</f>
        <v>3</v>
      </c>
      <c r="Q26" s="65">
        <f>SUMIF('4.23'!$C$3:L47,B26,'4.23'!$I$3:R50)</f>
        <v>4</v>
      </c>
      <c r="R26" s="65"/>
      <c r="S26" s="65"/>
      <c r="T26" s="65"/>
      <c r="U26" s="65"/>
      <c r="V26" s="66"/>
      <c r="W26" s="49"/>
      <c r="X26" s="51"/>
    </row>
    <row r="27" customHeight="1" spans="1:25">
      <c r="A27" s="49">
        <v>25</v>
      </c>
      <c r="B27" s="18" t="s">
        <v>45</v>
      </c>
      <c r="C27" s="65">
        <v>100</v>
      </c>
      <c r="D27" s="67"/>
      <c r="E27" s="67"/>
      <c r="F27" s="67"/>
      <c r="G27" s="67"/>
      <c r="H27" s="68"/>
      <c r="I27" s="68"/>
      <c r="J27" s="68"/>
      <c r="K27" s="65">
        <f>SUMIF('4.2'!$C$3:F48,B27,'4.2'!$I$3:L51)</f>
        <v>4</v>
      </c>
      <c r="L27" s="65">
        <f>SUMIF('4.7'!$C$3:G48,B27,'4.7'!$I$3:M51)</f>
        <v>3</v>
      </c>
      <c r="M27" s="65">
        <f>SUMIF('4.9'!$C$3:H48,B27,'4.9'!$I$3:N51)</f>
        <v>4</v>
      </c>
      <c r="N27" s="65">
        <f>SUMIF('4.13'!$C$3:I48,B27,'4.13'!$I$3:O51)</f>
        <v>3</v>
      </c>
      <c r="O27" s="65">
        <f>SUMIF('4.16'!$C$3:J48,B27,'4.16'!$I$3:P51)</f>
        <v>4</v>
      </c>
      <c r="P27" s="65">
        <f>SUMIF('4.20'!$C$3:K48,B27,'4.20'!$I$3:Q51)</f>
        <v>3</v>
      </c>
      <c r="Q27" s="65">
        <f>SUMIF('4.23'!$C$3:L48,B27,'4.23'!$I$3:R51)</f>
        <v>4</v>
      </c>
      <c r="R27" s="68"/>
      <c r="S27" s="68"/>
      <c r="T27" s="68"/>
      <c r="U27" s="68"/>
      <c r="V27" s="67"/>
      <c r="W27" s="69"/>
      <c r="X27" s="51"/>
    </row>
    <row r="28" customHeight="1" spans="1:25">
      <c r="A28" s="49">
        <v>26</v>
      </c>
      <c r="B28" s="18" t="s">
        <v>46</v>
      </c>
      <c r="C28" s="65">
        <v>100</v>
      </c>
      <c r="D28" s="66"/>
      <c r="E28" s="66"/>
      <c r="F28" s="66"/>
      <c r="G28" s="66"/>
      <c r="H28" s="65"/>
      <c r="I28" s="65"/>
      <c r="J28" s="65"/>
      <c r="K28" s="65"/>
      <c r="L28" s="65">
        <f>SUMIF('4.7'!$C$3:G49,B28,'4.7'!$I$3:M52)</f>
        <v>3</v>
      </c>
      <c r="M28" s="65">
        <f>SUMIF('4.9'!$C$3:H49,B28,'4.9'!$I$3:N52)</f>
        <v>4</v>
      </c>
      <c r="N28" s="65">
        <f>SUMIF('4.13'!$C$3:I49,B28,'4.13'!$I$3:O52)</f>
        <v>3</v>
      </c>
      <c r="O28" s="65">
        <f>SUMIF('4.16'!$C$3:J49,B28,'4.16'!$I$3:P52)</f>
        <v>4</v>
      </c>
      <c r="P28" s="65">
        <f>SUMIF('4.20'!$C$3:K49,B28,'4.20'!$I$3:Q52)</f>
        <v>3</v>
      </c>
      <c r="Q28" s="65">
        <f>SUMIF('4.23'!$C$3:L49,B28,'4.23'!$I$3:R52)</f>
        <v>4</v>
      </c>
      <c r="R28" s="68"/>
      <c r="S28" s="68"/>
      <c r="T28" s="68"/>
      <c r="U28" s="68"/>
      <c r="V28" s="66"/>
      <c r="W28" s="49"/>
      <c r="X28" s="51"/>
    </row>
    <row r="29" customHeight="1" spans="1:25">
      <c r="A29" s="49">
        <v>27</v>
      </c>
      <c r="B29" s="18" t="s">
        <v>48</v>
      </c>
      <c r="C29" s="65">
        <v>100</v>
      </c>
      <c r="D29" s="66"/>
      <c r="E29" s="66"/>
      <c r="F29" s="66"/>
      <c r="G29" s="66"/>
      <c r="H29" s="65"/>
      <c r="I29" s="65"/>
      <c r="J29" s="65"/>
      <c r="K29" s="65"/>
      <c r="L29" s="65">
        <f>SUMIF('4.7'!$C$3:G50,B29,'4.7'!$I$3:M53)</f>
        <v>3</v>
      </c>
      <c r="M29" s="65">
        <f>SUMIF('4.9'!$C$3:H50,B29,'4.9'!$I$3:N53)</f>
        <v>4</v>
      </c>
      <c r="N29" s="65">
        <f>SUMIF('4.13'!$C$3:I50,B29,'4.13'!$I$3:O53)</f>
        <v>3</v>
      </c>
      <c r="O29" s="65">
        <f>SUMIF('4.16'!$C$3:J50,B29,'4.16'!$I$3:P53)</f>
        <v>4</v>
      </c>
      <c r="P29" s="65">
        <f>SUMIF('4.20'!$C$3:K50,B29,'4.20'!$I$3:Q53)</f>
        <v>3</v>
      </c>
      <c r="Q29" s="65">
        <f>SUMIF('4.23'!$C$3:L50,B29,'4.23'!$I$3:R53)</f>
        <v>4</v>
      </c>
      <c r="R29" s="68"/>
      <c r="S29" s="68"/>
      <c r="T29" s="68"/>
      <c r="U29" s="68"/>
      <c r="V29" s="66"/>
      <c r="W29" s="49"/>
      <c r="X29" s="51"/>
    </row>
    <row r="30" customHeight="1" spans="1:25">
      <c r="A30" s="49"/>
      <c r="B30" s="70"/>
      <c r="C30" s="65"/>
      <c r="D30" s="66"/>
      <c r="E30" s="66"/>
      <c r="F30" s="66"/>
      <c r="G30" s="66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6"/>
      <c r="W30" s="49"/>
      <c r="X30" s="51"/>
    </row>
    <row r="31" customHeight="1" spans="1:25">
      <c r="A31" s="66"/>
      <c r="B31" s="71"/>
      <c r="C31" s="71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>
        <f>SUM(N3:N30)</f>
        <v>81</v>
      </c>
      <c r="O31" s="66">
        <f t="shared" ref="O31:V31" si="3">SUM(O3:O30)</f>
        <v>108</v>
      </c>
      <c r="P31" s="66">
        <f t="shared" si="3"/>
        <v>81</v>
      </c>
      <c r="Q31" s="66">
        <f t="shared" si="3"/>
        <v>108</v>
      </c>
      <c r="R31" s="66">
        <f t="shared" si="3"/>
        <v>0</v>
      </c>
      <c r="S31" s="66">
        <f t="shared" si="3"/>
        <v>0</v>
      </c>
      <c r="T31" s="66">
        <f t="shared" si="3"/>
        <v>0</v>
      </c>
      <c r="U31" s="66">
        <f t="shared" si="3"/>
        <v>0</v>
      </c>
      <c r="V31" s="66">
        <f t="shared" si="3"/>
        <v>0</v>
      </c>
      <c r="W31" s="66"/>
    </row>
  </sheetData>
  <mergeCells count="1">
    <mergeCell ref="A1:W1"/>
  </mergeCells>
  <pageMargins left="0.75" right="0.75" top="1" bottom="1" header="0.5" footer="0.5"/>
  <pageSetup paperSize="256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"/>
  <sheetViews>
    <sheetView topLeftCell="A11" workbookViewId="0">
      <selection activeCell="F25" sqref="F25"/>
    </sheetView>
  </sheetViews>
  <sheetFormatPr defaultColWidth="9.14285714285714" defaultRowHeight="12" outlineLevelCol="5"/>
  <cols>
    <col min="1" max="1" width="8.71428571428571" customWidth="1"/>
    <col min="2" max="2" width="14.4285714285714" customWidth="1"/>
    <col min="3" max="3" width="17" customWidth="1"/>
    <col min="4" max="4" width="20.8571428571429" customWidth="1"/>
    <col min="5" max="5" width="19.4285714285714" customWidth="1"/>
    <col min="6" max="6" width="20.8571428571429" customWidth="1"/>
  </cols>
  <sheetData>
    <row r="1" ht="29" customHeight="1" spans="1:6">
      <c r="A1" s="47" t="s">
        <v>56</v>
      </c>
      <c r="B1" s="47"/>
      <c r="C1" s="47"/>
      <c r="D1" s="47"/>
      <c r="E1" s="47"/>
      <c r="F1" s="47"/>
    </row>
    <row r="2" s="1" customFormat="1" ht="39" customHeight="1" spans="1:6">
      <c r="A2" s="11" t="s">
        <v>2</v>
      </c>
      <c r="B2" s="11" t="s">
        <v>57</v>
      </c>
      <c r="C2" s="11" t="s">
        <v>3</v>
      </c>
      <c r="D2" s="48" t="s">
        <v>58</v>
      </c>
      <c r="E2" s="11" t="s">
        <v>59</v>
      </c>
      <c r="F2" s="11" t="s">
        <v>7</v>
      </c>
    </row>
    <row r="3" ht="26" customHeight="1" spans="1:6">
      <c r="A3" s="49">
        <v>1</v>
      </c>
      <c r="B3" s="32">
        <v>46093</v>
      </c>
      <c r="C3" s="33" t="s">
        <v>13</v>
      </c>
      <c r="D3" s="50">
        <v>1</v>
      </c>
      <c r="E3" s="28"/>
      <c r="F3" s="16"/>
    </row>
    <row r="4" ht="26" customHeight="1" spans="1:6">
      <c r="A4" s="49">
        <v>2</v>
      </c>
      <c r="B4" s="32">
        <v>46093</v>
      </c>
      <c r="C4" s="33" t="s">
        <v>16</v>
      </c>
      <c r="D4" s="50">
        <v>1</v>
      </c>
      <c r="E4" s="28"/>
      <c r="F4" s="17"/>
    </row>
    <row r="5" ht="26" customHeight="1" spans="1:6">
      <c r="A5" s="49">
        <v>3</v>
      </c>
      <c r="B5" s="32">
        <v>46093</v>
      </c>
      <c r="C5" s="33" t="s">
        <v>18</v>
      </c>
      <c r="D5" s="50">
        <v>1</v>
      </c>
      <c r="E5" s="28"/>
      <c r="F5" s="17"/>
    </row>
    <row r="6" ht="26" customHeight="1" spans="1:6">
      <c r="A6" s="49">
        <v>4</v>
      </c>
      <c r="B6" s="32">
        <v>46093</v>
      </c>
      <c r="C6" s="33" t="s">
        <v>19</v>
      </c>
      <c r="D6" s="50">
        <v>1</v>
      </c>
      <c r="E6" s="28"/>
      <c r="F6" s="17"/>
    </row>
    <row r="7" ht="26" customHeight="1" spans="1:6">
      <c r="A7" s="49">
        <v>5</v>
      </c>
      <c r="B7" s="32">
        <v>46093</v>
      </c>
      <c r="C7" s="33" t="s">
        <v>21</v>
      </c>
      <c r="D7" s="50">
        <v>1</v>
      </c>
      <c r="E7" s="28"/>
      <c r="F7" s="17"/>
    </row>
    <row r="8" ht="26" customHeight="1" spans="1:6">
      <c r="A8" s="49">
        <v>6</v>
      </c>
      <c r="B8" s="32">
        <v>46093</v>
      </c>
      <c r="C8" s="19" t="s">
        <v>37</v>
      </c>
      <c r="D8" s="50">
        <v>1</v>
      </c>
      <c r="E8" s="28"/>
      <c r="F8" s="17"/>
    </row>
    <row r="9" ht="26" customHeight="1" spans="1:6">
      <c r="A9" s="49">
        <v>7</v>
      </c>
      <c r="B9" s="32">
        <v>46093</v>
      </c>
      <c r="C9" s="19" t="s">
        <v>37</v>
      </c>
      <c r="D9" s="50">
        <v>1</v>
      </c>
      <c r="E9" s="50"/>
      <c r="F9" s="20"/>
    </row>
    <row r="10" customFormat="1" ht="26" customHeight="1" spans="1:6">
      <c r="A10" s="49">
        <v>8</v>
      </c>
      <c r="B10" s="32">
        <v>46093</v>
      </c>
      <c r="C10" s="33" t="s">
        <v>20</v>
      </c>
      <c r="D10" s="50">
        <v>1</v>
      </c>
      <c r="E10" s="50"/>
      <c r="F10" s="20"/>
    </row>
    <row r="11" ht="26" customHeight="1" spans="1:6">
      <c r="A11" s="49">
        <v>9</v>
      </c>
      <c r="B11" s="32">
        <v>46093</v>
      </c>
      <c r="C11" s="33" t="s">
        <v>22</v>
      </c>
      <c r="D11" s="50">
        <v>1</v>
      </c>
      <c r="E11" s="50"/>
      <c r="F11" s="20"/>
    </row>
    <row r="12" ht="26" customHeight="1" spans="1:6">
      <c r="A12" s="49">
        <v>10</v>
      </c>
      <c r="B12" s="32">
        <v>46093</v>
      </c>
      <c r="C12" s="33" t="s">
        <v>23</v>
      </c>
      <c r="D12" s="50">
        <v>1</v>
      </c>
      <c r="E12" s="50"/>
      <c r="F12" s="20"/>
    </row>
    <row r="13" ht="26" customHeight="1" spans="1:6">
      <c r="A13" s="49">
        <v>11</v>
      </c>
      <c r="B13" s="32">
        <v>46093</v>
      </c>
      <c r="C13" s="33" t="s">
        <v>24</v>
      </c>
      <c r="D13" s="50">
        <v>1</v>
      </c>
      <c r="E13" s="50"/>
      <c r="F13" s="20"/>
    </row>
    <row r="14" ht="26" customHeight="1" spans="1:6">
      <c r="A14" s="49">
        <v>12</v>
      </c>
      <c r="B14" s="32">
        <v>46093</v>
      </c>
      <c r="C14" s="33" t="s">
        <v>26</v>
      </c>
      <c r="D14" s="50">
        <v>1</v>
      </c>
      <c r="E14" s="50"/>
      <c r="F14" s="20"/>
    </row>
    <row r="15" ht="26" customHeight="1" spans="1:6">
      <c r="A15" s="49">
        <v>13</v>
      </c>
      <c r="B15" s="32">
        <v>46093</v>
      </c>
      <c r="C15" s="33" t="s">
        <v>27</v>
      </c>
      <c r="D15" s="50">
        <v>1</v>
      </c>
      <c r="E15" s="50"/>
      <c r="F15" s="20"/>
    </row>
    <row r="16" ht="26" customHeight="1" spans="1:6">
      <c r="A16" s="49">
        <v>14</v>
      </c>
      <c r="B16" s="32">
        <v>46093</v>
      </c>
      <c r="C16" s="33" t="s">
        <v>28</v>
      </c>
      <c r="D16" s="50">
        <v>1</v>
      </c>
      <c r="E16" s="50"/>
      <c r="F16" s="20"/>
    </row>
    <row r="17" ht="26" customHeight="1" spans="1:6">
      <c r="A17" s="49">
        <v>15</v>
      </c>
      <c r="B17" s="32">
        <v>46093</v>
      </c>
      <c r="C17" s="33" t="s">
        <v>30</v>
      </c>
      <c r="D17" s="50">
        <v>1</v>
      </c>
      <c r="E17" s="50"/>
      <c r="F17" s="20"/>
    </row>
    <row r="18" ht="26" customHeight="1" spans="1:6">
      <c r="A18" s="49">
        <v>16</v>
      </c>
      <c r="B18" s="32">
        <v>46093</v>
      </c>
      <c r="C18" s="33" t="s">
        <v>31</v>
      </c>
      <c r="D18" s="50">
        <v>1</v>
      </c>
      <c r="E18" s="50"/>
      <c r="F18" s="20"/>
    </row>
    <row r="19" ht="26" customHeight="1" spans="1:6">
      <c r="A19" s="49">
        <v>17</v>
      </c>
      <c r="B19" s="32">
        <v>46093</v>
      </c>
      <c r="C19" s="33" t="s">
        <v>32</v>
      </c>
      <c r="D19" s="50">
        <v>1</v>
      </c>
      <c r="E19" s="50"/>
      <c r="F19" s="20"/>
    </row>
    <row r="20" ht="26" customHeight="1" spans="1:6">
      <c r="A20" s="49">
        <v>18</v>
      </c>
      <c r="B20" s="32">
        <v>46093</v>
      </c>
      <c r="C20" s="33" t="s">
        <v>33</v>
      </c>
      <c r="D20" s="50">
        <v>1</v>
      </c>
      <c r="E20" s="50"/>
      <c r="F20" s="20"/>
    </row>
    <row r="21" ht="26" customHeight="1" spans="1:6">
      <c r="A21" s="49">
        <v>19</v>
      </c>
      <c r="B21" s="32">
        <v>46093</v>
      </c>
      <c r="C21" s="33" t="s">
        <v>34</v>
      </c>
      <c r="D21" s="50">
        <v>1</v>
      </c>
      <c r="E21" s="50"/>
      <c r="F21" s="20"/>
    </row>
    <row r="22" ht="26" customHeight="1" spans="1:6">
      <c r="A22" s="49">
        <v>20</v>
      </c>
      <c r="B22" s="32">
        <v>46093</v>
      </c>
      <c r="C22" s="33" t="s">
        <v>35</v>
      </c>
      <c r="D22" s="50">
        <v>1</v>
      </c>
      <c r="E22" s="50"/>
      <c r="F22" s="20"/>
    </row>
    <row r="23" ht="26" customHeight="1" spans="1:6">
      <c r="A23" s="49">
        <v>21</v>
      </c>
      <c r="B23" s="32">
        <v>46093</v>
      </c>
      <c r="C23" s="33" t="s">
        <v>36</v>
      </c>
      <c r="D23" s="50">
        <v>1</v>
      </c>
      <c r="E23" s="50"/>
      <c r="F23" s="20"/>
    </row>
    <row r="24" ht="26" customHeight="1" spans="1:6">
      <c r="A24" s="51"/>
      <c r="B24" s="52"/>
      <c r="C24" s="19" t="s">
        <v>38</v>
      </c>
      <c r="D24" s="53">
        <v>1</v>
      </c>
      <c r="E24" s="53"/>
      <c r="F24" s="54" t="s">
        <v>60</v>
      </c>
    </row>
    <row r="25" ht="26" customHeight="1" spans="1:6">
      <c r="A25" s="51"/>
      <c r="B25" s="52"/>
      <c r="C25" s="19" t="s">
        <v>40</v>
      </c>
      <c r="D25" s="53">
        <v>1</v>
      </c>
      <c r="E25" s="53"/>
      <c r="F25" s="54" t="s">
        <v>60</v>
      </c>
    </row>
    <row r="26" ht="26" customHeight="1" spans="1:6">
      <c r="A26" s="51"/>
      <c r="B26" s="52"/>
      <c r="C26" s="53"/>
      <c r="D26" s="53"/>
      <c r="E26" s="53"/>
      <c r="F26" s="54"/>
    </row>
    <row r="27" ht="26" customHeight="1" spans="1:6">
      <c r="A27" s="51"/>
      <c r="B27" s="52"/>
      <c r="C27" s="53"/>
      <c r="D27" s="53"/>
      <c r="E27" s="53"/>
      <c r="F27" s="54"/>
    </row>
    <row r="28" ht="26" customHeight="1" spans="1:6">
      <c r="A28" s="51"/>
      <c r="B28" s="52"/>
      <c r="C28" s="53"/>
      <c r="D28" s="53"/>
      <c r="E28" s="53"/>
      <c r="F28" s="54"/>
    </row>
    <row r="29" ht="20" customHeight="1" spans="1:6">
      <c r="D29">
        <v>23</v>
      </c>
    </row>
  </sheetData>
  <mergeCells count="1">
    <mergeCell ref="A1:F1"/>
  </mergeCells>
  <pageMargins left="0.393055555555556" right="0.393055555555556" top="1" bottom="1" header="0.5" footer="0.5"/>
  <pageSetup paperSize="9" orientation="portrait" horizontalDpi="6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topLeftCell="A3" workbookViewId="0">
      <selection activeCell="I7" sqref="I7"/>
    </sheetView>
  </sheetViews>
  <sheetFormatPr defaultColWidth="9.14285714285714" defaultRowHeight="12" outlineLevelCol="6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7">
      <c r="A1" s="3" t="s">
        <v>49</v>
      </c>
      <c r="B1" s="3"/>
      <c r="C1" s="3"/>
      <c r="D1" s="3"/>
      <c r="E1" s="3"/>
      <c r="F1" s="30"/>
      <c r="G1" s="6"/>
    </row>
    <row r="2" s="1" customFormat="1" ht="32" customHeight="1" spans="1:7">
      <c r="A2" s="7" t="s">
        <v>2</v>
      </c>
      <c r="B2" s="7" t="s">
        <v>57</v>
      </c>
      <c r="C2" s="7" t="s">
        <v>3</v>
      </c>
      <c r="D2" s="31" t="s">
        <v>61</v>
      </c>
      <c r="E2" s="11" t="s">
        <v>62</v>
      </c>
      <c r="F2" s="11" t="s">
        <v>63</v>
      </c>
      <c r="G2" s="11" t="s">
        <v>7</v>
      </c>
    </row>
    <row r="3" ht="22" customHeight="1" spans="1:7">
      <c r="A3" s="12">
        <v>1</v>
      </c>
      <c r="B3" s="32">
        <v>46090</v>
      </c>
      <c r="C3" s="33" t="s">
        <v>13</v>
      </c>
      <c r="D3" s="33" t="s">
        <v>64</v>
      </c>
      <c r="E3" s="33">
        <v>3</v>
      </c>
      <c r="F3" s="34"/>
      <c r="G3" s="16"/>
    </row>
    <row r="4" ht="22" customHeight="1" spans="1:7">
      <c r="A4" s="12">
        <v>2</v>
      </c>
      <c r="B4" s="32">
        <v>46090</v>
      </c>
      <c r="C4" s="33" t="s">
        <v>16</v>
      </c>
      <c r="D4" s="33" t="s">
        <v>64</v>
      </c>
      <c r="E4" s="33">
        <v>3</v>
      </c>
      <c r="F4" s="34"/>
      <c r="G4" s="17"/>
    </row>
    <row r="5" ht="22" customHeight="1" spans="1:7">
      <c r="A5" s="12">
        <v>4</v>
      </c>
      <c r="B5" s="32">
        <v>46090</v>
      </c>
      <c r="C5" s="33" t="s">
        <v>18</v>
      </c>
      <c r="D5" s="33" t="s">
        <v>64</v>
      </c>
      <c r="E5" s="34"/>
      <c r="F5" s="33">
        <v>3</v>
      </c>
      <c r="G5" s="17"/>
    </row>
    <row r="6" ht="22" customHeight="1" spans="1:7">
      <c r="A6" s="12">
        <v>4</v>
      </c>
      <c r="B6" s="32">
        <v>46090</v>
      </c>
      <c r="C6" s="33" t="s">
        <v>21</v>
      </c>
      <c r="D6" s="33" t="s">
        <v>64</v>
      </c>
      <c r="E6" s="33">
        <v>3</v>
      </c>
      <c r="F6" s="34"/>
      <c r="G6" s="17"/>
    </row>
    <row r="7" ht="22" customHeight="1" spans="1:7">
      <c r="A7" s="12">
        <v>5</v>
      </c>
      <c r="B7" s="32">
        <v>46090</v>
      </c>
      <c r="C7" s="33" t="s">
        <v>21</v>
      </c>
      <c r="D7" s="33" t="s">
        <v>64</v>
      </c>
      <c r="E7" s="34"/>
      <c r="F7" s="33">
        <v>3</v>
      </c>
      <c r="G7" s="17"/>
    </row>
    <row r="8" ht="22" customHeight="1" spans="1:7">
      <c r="A8" s="12">
        <v>6</v>
      </c>
      <c r="B8" s="32">
        <v>46090</v>
      </c>
      <c r="C8" s="33" t="s">
        <v>20</v>
      </c>
      <c r="D8" s="33" t="s">
        <v>64</v>
      </c>
      <c r="E8" s="34"/>
      <c r="F8" s="33">
        <v>3</v>
      </c>
      <c r="G8" s="17"/>
    </row>
    <row r="9" ht="22" customHeight="1" spans="1:7">
      <c r="A9" s="12">
        <v>7</v>
      </c>
      <c r="B9" s="32">
        <v>46090</v>
      </c>
      <c r="C9" s="33" t="s">
        <v>22</v>
      </c>
      <c r="D9" s="33" t="s">
        <v>64</v>
      </c>
      <c r="E9" s="33">
        <v>3</v>
      </c>
      <c r="F9" s="34"/>
      <c r="G9" s="20"/>
    </row>
    <row r="10" ht="22" customHeight="1" spans="1:7">
      <c r="A10" s="12">
        <v>8</v>
      </c>
      <c r="B10" s="32">
        <v>46090</v>
      </c>
      <c r="C10" s="33" t="s">
        <v>23</v>
      </c>
      <c r="D10" s="33" t="s">
        <v>64</v>
      </c>
      <c r="E10" s="34"/>
      <c r="F10" s="33">
        <v>3</v>
      </c>
      <c r="G10" s="20"/>
    </row>
    <row r="11" customFormat="1" ht="22" customHeight="1" spans="1:7">
      <c r="A11" s="12">
        <v>9</v>
      </c>
      <c r="B11" s="32">
        <v>46090</v>
      </c>
      <c r="C11" s="33" t="s">
        <v>24</v>
      </c>
      <c r="D11" s="33" t="s">
        <v>64</v>
      </c>
      <c r="E11" s="34"/>
      <c r="F11" s="33">
        <v>3</v>
      </c>
      <c r="G11" s="20"/>
    </row>
    <row r="12" customFormat="1" ht="22" customHeight="1" spans="1:7">
      <c r="A12" s="12">
        <v>10</v>
      </c>
      <c r="B12" s="32">
        <v>46090</v>
      </c>
      <c r="C12" s="33" t="s">
        <v>26</v>
      </c>
      <c r="D12" s="33" t="s">
        <v>64</v>
      </c>
      <c r="E12" s="33">
        <v>2</v>
      </c>
      <c r="F12" s="33">
        <v>1</v>
      </c>
      <c r="G12" s="20"/>
    </row>
    <row r="13" customFormat="1" ht="22" customHeight="1" spans="1:7">
      <c r="A13" s="12">
        <v>11</v>
      </c>
      <c r="B13" s="32">
        <v>46090</v>
      </c>
      <c r="C13" s="33" t="s">
        <v>27</v>
      </c>
      <c r="D13" s="33" t="s">
        <v>64</v>
      </c>
      <c r="E13" s="33">
        <v>2</v>
      </c>
      <c r="F13" s="33">
        <v>1</v>
      </c>
      <c r="G13" s="20"/>
    </row>
    <row r="14" customFormat="1" ht="22" customHeight="1" spans="1:7">
      <c r="A14" s="12">
        <v>12</v>
      </c>
      <c r="B14" s="32">
        <v>46090</v>
      </c>
      <c r="C14" s="33" t="s">
        <v>28</v>
      </c>
      <c r="D14" s="33" t="s">
        <v>64</v>
      </c>
      <c r="E14" s="33">
        <v>2</v>
      </c>
      <c r="F14" s="33">
        <v>1</v>
      </c>
      <c r="G14" s="20"/>
    </row>
    <row r="15" customFormat="1" ht="22" customHeight="1" spans="1:7">
      <c r="A15" s="12">
        <v>14</v>
      </c>
      <c r="B15" s="32">
        <v>46090</v>
      </c>
      <c r="C15" s="33" t="s">
        <v>30</v>
      </c>
      <c r="D15" s="33" t="s">
        <v>64</v>
      </c>
      <c r="E15" s="34"/>
      <c r="F15" s="33">
        <v>3</v>
      </c>
      <c r="G15" s="20"/>
    </row>
    <row r="16" customFormat="1" ht="22" customHeight="1" spans="1:7">
      <c r="A16" s="12">
        <v>14</v>
      </c>
      <c r="B16" s="32">
        <v>46090</v>
      </c>
      <c r="C16" s="33" t="s">
        <v>31</v>
      </c>
      <c r="D16" s="33" t="s">
        <v>64</v>
      </c>
      <c r="E16" s="33">
        <v>3</v>
      </c>
      <c r="F16" s="34"/>
      <c r="G16" s="20"/>
    </row>
    <row r="17" customFormat="1" ht="22" customHeight="1" spans="1:7">
      <c r="A17" s="12">
        <v>15</v>
      </c>
      <c r="B17" s="32">
        <v>46090</v>
      </c>
      <c r="C17" s="33" t="s">
        <v>32</v>
      </c>
      <c r="D17" s="33" t="s">
        <v>64</v>
      </c>
      <c r="E17" s="33">
        <v>2</v>
      </c>
      <c r="F17" s="33">
        <v>1</v>
      </c>
      <c r="G17" s="20"/>
    </row>
    <row r="18" customFormat="1" ht="22" customHeight="1" spans="1:7">
      <c r="A18" s="12">
        <v>16</v>
      </c>
      <c r="B18" s="32">
        <v>46090</v>
      </c>
      <c r="C18" s="33" t="s">
        <v>33</v>
      </c>
      <c r="D18" s="33" t="s">
        <v>64</v>
      </c>
      <c r="E18" s="33">
        <v>3</v>
      </c>
      <c r="F18" s="34"/>
      <c r="G18" s="20"/>
    </row>
    <row r="19" customFormat="1" ht="22" customHeight="1" spans="1:7">
      <c r="A19" s="12">
        <v>17</v>
      </c>
      <c r="B19" s="32">
        <v>46090</v>
      </c>
      <c r="C19" s="33" t="s">
        <v>34</v>
      </c>
      <c r="D19" s="33" t="s">
        <v>64</v>
      </c>
      <c r="E19" s="33">
        <v>3</v>
      </c>
      <c r="F19" s="35"/>
      <c r="G19" s="20"/>
    </row>
    <row r="20" customFormat="1" ht="22" customHeight="1" spans="1:7">
      <c r="A20" s="12">
        <v>18</v>
      </c>
      <c r="B20" s="32">
        <v>46090</v>
      </c>
      <c r="C20" s="19" t="s">
        <v>35</v>
      </c>
      <c r="D20" s="33" t="s">
        <v>64</v>
      </c>
      <c r="E20" s="33">
        <v>3</v>
      </c>
      <c r="F20" s="20"/>
      <c r="G20" s="20"/>
    </row>
    <row r="21" customFormat="1" ht="22" customHeight="1" spans="1:7">
      <c r="A21" s="12">
        <v>19</v>
      </c>
      <c r="B21" s="32"/>
      <c r="C21" s="19"/>
      <c r="D21" s="46"/>
      <c r="E21" s="16"/>
      <c r="F21" s="20"/>
      <c r="G21" s="20"/>
    </row>
    <row r="22" customFormat="1" ht="22" customHeight="1" spans="1:7">
      <c r="A22" s="12">
        <v>20</v>
      </c>
      <c r="B22" s="32"/>
      <c r="C22" s="19"/>
      <c r="D22" s="46"/>
      <c r="E22" s="16"/>
      <c r="F22" s="20"/>
      <c r="G22" s="20"/>
    </row>
    <row r="23" customFormat="1" ht="22" customHeight="1" spans="1:7">
      <c r="A23" s="12">
        <v>21</v>
      </c>
      <c r="B23" s="32"/>
      <c r="C23" s="19"/>
      <c r="D23" s="46"/>
      <c r="E23" s="16"/>
      <c r="F23" s="20"/>
      <c r="G23" s="20"/>
    </row>
    <row r="24" customFormat="1" ht="22" customHeight="1" spans="1:7">
      <c r="A24" s="12"/>
      <c r="B24" s="32"/>
      <c r="C24" s="19"/>
      <c r="D24" s="46"/>
      <c r="E24" s="16"/>
      <c r="F24" s="20"/>
      <c r="G24" s="20"/>
    </row>
    <row r="25" customFormat="1" ht="22" customHeight="1" spans="1:7">
      <c r="A25" s="12"/>
      <c r="B25" s="36"/>
      <c r="C25" s="19"/>
      <c r="D25" s="37"/>
      <c r="E25" s="38"/>
      <c r="F25" s="28"/>
      <c r="G25" s="28"/>
    </row>
    <row r="26" ht="13.5" spans="1:7">
      <c r="E26" s="39">
        <f>SUM(E3:E25)</f>
        <v>32</v>
      </c>
      <c r="F26" s="39">
        <f>SUM(F3:F25)</f>
        <v>22</v>
      </c>
    </row>
  </sheetData>
  <mergeCells count="1">
    <mergeCell ref="A1:G1"/>
  </mergeCells>
  <pageMargins left="0.75" right="0.75" top="1" bottom="1" header="0.5" footer="0.5"/>
  <pageSetup paperSize="256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"/>
  <sheetViews>
    <sheetView topLeftCell="A5" workbookViewId="0">
      <selection activeCell="I7" sqref="I7"/>
    </sheetView>
  </sheetViews>
  <sheetFormatPr defaultColWidth="9.14285714285714" defaultRowHeight="12" outlineLevelCol="6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7">
      <c r="A1" s="3" t="s">
        <v>49</v>
      </c>
      <c r="B1" s="3"/>
      <c r="C1" s="3"/>
      <c r="D1" s="3"/>
      <c r="E1" s="3"/>
      <c r="F1" s="30"/>
      <c r="G1" s="6"/>
    </row>
    <row r="2" s="1" customFormat="1" ht="32" customHeight="1" spans="1:7">
      <c r="A2" s="7" t="s">
        <v>2</v>
      </c>
      <c r="B2" s="7" t="s">
        <v>57</v>
      </c>
      <c r="C2" s="7" t="s">
        <v>3</v>
      </c>
      <c r="D2" s="31" t="s">
        <v>61</v>
      </c>
      <c r="E2" s="11" t="s">
        <v>62</v>
      </c>
      <c r="F2" s="11" t="s">
        <v>63</v>
      </c>
      <c r="G2" s="11" t="s">
        <v>7</v>
      </c>
    </row>
    <row r="3" ht="22" customHeight="1" spans="1:7">
      <c r="A3" s="12">
        <v>1</v>
      </c>
      <c r="B3" s="32">
        <v>46093</v>
      </c>
      <c r="C3" s="33" t="s">
        <v>13</v>
      </c>
      <c r="D3" s="33" t="s">
        <v>65</v>
      </c>
      <c r="E3" s="33">
        <v>4</v>
      </c>
      <c r="F3" s="34"/>
      <c r="G3" s="16"/>
    </row>
    <row r="4" ht="22" customHeight="1" spans="1:7">
      <c r="A4" s="12">
        <v>2</v>
      </c>
      <c r="B4" s="32">
        <v>46093</v>
      </c>
      <c r="C4" s="33" t="s">
        <v>16</v>
      </c>
      <c r="D4" s="33" t="s">
        <v>65</v>
      </c>
      <c r="E4" s="33">
        <v>4</v>
      </c>
      <c r="F4" s="34"/>
      <c r="G4" s="17"/>
    </row>
    <row r="5" ht="22" customHeight="1" spans="1:7">
      <c r="A5" s="12">
        <v>3</v>
      </c>
      <c r="B5" s="32">
        <v>46093</v>
      </c>
      <c r="C5" s="33" t="s">
        <v>18</v>
      </c>
      <c r="D5" s="33" t="s">
        <v>65</v>
      </c>
      <c r="E5" s="34"/>
      <c r="F5" s="33">
        <v>4</v>
      </c>
      <c r="G5" s="17"/>
    </row>
    <row r="6" ht="22" customHeight="1" spans="1:7">
      <c r="A6" s="12">
        <v>4</v>
      </c>
      <c r="B6" s="32">
        <v>46093</v>
      </c>
      <c r="C6" s="33" t="s">
        <v>19</v>
      </c>
      <c r="D6" s="33" t="s">
        <v>65</v>
      </c>
      <c r="E6" s="33">
        <v>4</v>
      </c>
      <c r="F6" s="34"/>
      <c r="G6" s="17"/>
    </row>
    <row r="7" ht="22" customHeight="1" spans="1:7">
      <c r="A7" s="12">
        <v>5</v>
      </c>
      <c r="B7" s="32">
        <v>46093</v>
      </c>
      <c r="C7" s="33" t="s">
        <v>21</v>
      </c>
      <c r="D7" s="33" t="s">
        <v>65</v>
      </c>
      <c r="E7" s="34"/>
      <c r="F7" s="33">
        <v>4</v>
      </c>
      <c r="G7" s="17"/>
    </row>
    <row r="8" customFormat="1" ht="22" customHeight="1" spans="1:7">
      <c r="A8" s="12">
        <v>6</v>
      </c>
      <c r="B8" s="32">
        <v>46093</v>
      </c>
      <c r="C8" s="19" t="s">
        <v>37</v>
      </c>
      <c r="D8" s="19" t="s">
        <v>65</v>
      </c>
      <c r="E8" s="19"/>
      <c r="F8" s="19">
        <v>4</v>
      </c>
      <c r="G8" s="19"/>
    </row>
    <row r="9" customFormat="1" ht="22" customHeight="1" spans="1:7">
      <c r="A9" s="12">
        <v>7</v>
      </c>
      <c r="B9" s="32">
        <v>46093</v>
      </c>
      <c r="C9" s="19" t="s">
        <v>37</v>
      </c>
      <c r="D9" s="19" t="s">
        <v>64</v>
      </c>
      <c r="E9" s="19"/>
      <c r="F9" s="19">
        <v>3</v>
      </c>
      <c r="G9" s="19" t="s">
        <v>66</v>
      </c>
    </row>
    <row r="10" ht="22" customHeight="1" spans="1:7">
      <c r="A10" s="12">
        <v>8</v>
      </c>
      <c r="B10" s="32">
        <v>46093</v>
      </c>
      <c r="C10" s="33" t="s">
        <v>20</v>
      </c>
      <c r="D10" s="33" t="s">
        <v>65</v>
      </c>
      <c r="E10" s="34"/>
      <c r="F10" s="33">
        <v>4</v>
      </c>
      <c r="G10" s="17"/>
    </row>
    <row r="11" ht="22" customHeight="1" spans="1:7">
      <c r="A11" s="12">
        <v>9</v>
      </c>
      <c r="B11" s="32">
        <v>46093</v>
      </c>
      <c r="C11" s="33" t="s">
        <v>22</v>
      </c>
      <c r="D11" s="33" t="s">
        <v>65</v>
      </c>
      <c r="E11" s="33">
        <v>4</v>
      </c>
      <c r="F11" s="34"/>
      <c r="G11" s="20"/>
    </row>
    <row r="12" ht="22" customHeight="1" spans="1:7">
      <c r="A12" s="12">
        <v>10</v>
      </c>
      <c r="B12" s="32">
        <v>46093</v>
      </c>
      <c r="C12" s="33" t="s">
        <v>23</v>
      </c>
      <c r="D12" s="33" t="s">
        <v>65</v>
      </c>
      <c r="E12" s="34"/>
      <c r="F12" s="33">
        <v>4</v>
      </c>
      <c r="G12" s="20"/>
    </row>
    <row r="13" customFormat="1" ht="22" customHeight="1" spans="1:7">
      <c r="A13" s="12">
        <v>11</v>
      </c>
      <c r="B13" s="32">
        <v>46093</v>
      </c>
      <c r="C13" s="33" t="s">
        <v>24</v>
      </c>
      <c r="D13" s="33" t="s">
        <v>65</v>
      </c>
      <c r="E13" s="34"/>
      <c r="F13" s="33">
        <v>4</v>
      </c>
      <c r="G13" s="20"/>
    </row>
    <row r="14" customFormat="1" ht="22" customHeight="1" spans="1:7">
      <c r="A14" s="12">
        <v>12</v>
      </c>
      <c r="B14" s="32">
        <v>46093</v>
      </c>
      <c r="C14" s="33" t="s">
        <v>26</v>
      </c>
      <c r="D14" s="33" t="s">
        <v>65</v>
      </c>
      <c r="E14" s="33">
        <v>2</v>
      </c>
      <c r="F14" s="33">
        <v>2</v>
      </c>
      <c r="G14" s="20"/>
    </row>
    <row r="15" customFormat="1" ht="22" customHeight="1" spans="1:7">
      <c r="A15" s="12">
        <v>13</v>
      </c>
      <c r="B15" s="32">
        <v>46093</v>
      </c>
      <c r="C15" s="33" t="s">
        <v>27</v>
      </c>
      <c r="D15" s="33" t="s">
        <v>65</v>
      </c>
      <c r="E15" s="33">
        <v>2</v>
      </c>
      <c r="F15" s="33">
        <v>2</v>
      </c>
      <c r="G15" s="20"/>
    </row>
    <row r="16" customFormat="1" ht="22" customHeight="1" spans="1:7">
      <c r="A16" s="12">
        <v>14</v>
      </c>
      <c r="B16" s="32">
        <v>46093</v>
      </c>
      <c r="C16" s="33" t="s">
        <v>28</v>
      </c>
      <c r="D16" s="33" t="s">
        <v>65</v>
      </c>
      <c r="E16" s="33">
        <v>2</v>
      </c>
      <c r="F16" s="33">
        <v>2</v>
      </c>
      <c r="G16" s="20"/>
    </row>
    <row r="17" customFormat="1" ht="22" customHeight="1" spans="1:7">
      <c r="A17" s="12">
        <v>15</v>
      </c>
      <c r="B17" s="32">
        <v>46093</v>
      </c>
      <c r="C17" s="33" t="s">
        <v>30</v>
      </c>
      <c r="D17" s="33" t="s">
        <v>65</v>
      </c>
      <c r="E17" s="34"/>
      <c r="F17" s="33">
        <v>4</v>
      </c>
      <c r="G17" s="20"/>
    </row>
    <row r="18" customFormat="1" ht="22" customHeight="1" spans="1:7">
      <c r="A18" s="12">
        <v>16</v>
      </c>
      <c r="B18" s="32">
        <v>46093</v>
      </c>
      <c r="C18" s="33" t="s">
        <v>31</v>
      </c>
      <c r="D18" s="33" t="s">
        <v>65</v>
      </c>
      <c r="E18" s="33">
        <v>4</v>
      </c>
      <c r="F18" s="34"/>
      <c r="G18" s="20"/>
    </row>
    <row r="19" customFormat="1" ht="22" customHeight="1" spans="1:7">
      <c r="A19" s="12">
        <v>17</v>
      </c>
      <c r="B19" s="32">
        <v>46093</v>
      </c>
      <c r="C19" s="33" t="s">
        <v>32</v>
      </c>
      <c r="D19" s="33" t="s">
        <v>65</v>
      </c>
      <c r="E19" s="33">
        <v>2</v>
      </c>
      <c r="F19" s="33">
        <v>2</v>
      </c>
      <c r="G19" s="20"/>
    </row>
    <row r="20" customFormat="1" ht="22" customHeight="1" spans="1:7">
      <c r="A20" s="12">
        <v>18</v>
      </c>
      <c r="B20" s="32">
        <v>46093</v>
      </c>
      <c r="C20" s="33" t="s">
        <v>33</v>
      </c>
      <c r="D20" s="33" t="s">
        <v>65</v>
      </c>
      <c r="E20" s="33">
        <v>4</v>
      </c>
      <c r="F20" s="34"/>
      <c r="G20" s="20"/>
    </row>
    <row r="21" customFormat="1" ht="22" customHeight="1" spans="1:7">
      <c r="A21" s="12">
        <v>19</v>
      </c>
      <c r="B21" s="32">
        <v>46093</v>
      </c>
      <c r="C21" s="33" t="s">
        <v>34</v>
      </c>
      <c r="D21" s="33" t="s">
        <v>65</v>
      </c>
      <c r="E21" s="33">
        <v>4</v>
      </c>
      <c r="F21" s="35"/>
      <c r="G21" s="20"/>
    </row>
    <row r="22" customFormat="1" ht="22" customHeight="1" spans="1:7">
      <c r="A22" s="12">
        <v>20</v>
      </c>
      <c r="B22" s="32">
        <v>46093</v>
      </c>
      <c r="C22" s="19" t="s">
        <v>35</v>
      </c>
      <c r="D22" s="33" t="s">
        <v>65</v>
      </c>
      <c r="E22" s="33">
        <v>4</v>
      </c>
      <c r="F22" s="20"/>
      <c r="G22" s="20"/>
    </row>
    <row r="23" customFormat="1" ht="22" customHeight="1" spans="1:7">
      <c r="A23" s="12">
        <v>21</v>
      </c>
      <c r="B23" s="32">
        <v>46093</v>
      </c>
      <c r="C23" s="19" t="s">
        <v>36</v>
      </c>
      <c r="D23" s="19" t="s">
        <v>65</v>
      </c>
      <c r="E23" s="19">
        <v>2</v>
      </c>
      <c r="F23" s="19">
        <v>2</v>
      </c>
      <c r="G23" s="19"/>
    </row>
    <row r="24" customFormat="1" ht="22" customHeight="1" spans="1:7">
      <c r="A24" s="12">
        <v>22</v>
      </c>
      <c r="B24" s="32">
        <v>46093</v>
      </c>
      <c r="C24" s="19" t="s">
        <v>36</v>
      </c>
      <c r="D24" s="19" t="s">
        <v>64</v>
      </c>
      <c r="E24" s="19">
        <v>2</v>
      </c>
      <c r="F24" s="19">
        <v>1</v>
      </c>
      <c r="G24" s="19" t="s">
        <v>66</v>
      </c>
    </row>
    <row r="25" customFormat="1" ht="22" customHeight="1" spans="1:7">
      <c r="A25" s="12"/>
      <c r="B25" s="32"/>
      <c r="C25" s="19"/>
      <c r="D25" s="46"/>
      <c r="E25" s="16"/>
      <c r="F25" s="20"/>
      <c r="G25" s="20"/>
    </row>
    <row r="26" customFormat="1" ht="22" customHeight="1" spans="1:7">
      <c r="A26" s="12"/>
      <c r="B26" s="32"/>
      <c r="C26" s="19"/>
      <c r="D26" s="46"/>
      <c r="E26" s="16"/>
      <c r="F26" s="20"/>
      <c r="G26" s="20"/>
    </row>
    <row r="27" customFormat="1" ht="22" customHeight="1" spans="1:7">
      <c r="A27" s="12"/>
      <c r="B27" s="36"/>
      <c r="C27" s="19"/>
      <c r="D27" s="37"/>
      <c r="E27" s="38"/>
      <c r="F27" s="28"/>
      <c r="G27" s="28"/>
    </row>
    <row r="28" ht="13.5" spans="1:7">
      <c r="E28" s="39">
        <f>SUM(E3:E27)</f>
        <v>44</v>
      </c>
      <c r="F28" s="39">
        <f>SUM(F3:F27)</f>
        <v>42</v>
      </c>
    </row>
  </sheetData>
  <mergeCells count="1">
    <mergeCell ref="A1:G1"/>
  </mergeCells>
  <pageMargins left="0.75" right="0.75" top="1" bottom="1" header="0.5" footer="0.5"/>
  <pageSetup paperSize="256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"/>
  <sheetViews>
    <sheetView zoomScale="90" zoomScaleNormal="90" workbookViewId="0">
      <selection activeCell="A1" sqref="$A1:$XFD1048576"/>
    </sheetView>
  </sheetViews>
  <sheetFormatPr defaultColWidth="9.14285714285714" defaultRowHeight="12" outlineLevelCol="6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7">
      <c r="A1" s="3" t="s">
        <v>49</v>
      </c>
      <c r="B1" s="3"/>
      <c r="C1" s="3"/>
      <c r="D1" s="3"/>
      <c r="E1" s="3"/>
      <c r="F1" s="30"/>
      <c r="G1" s="6"/>
    </row>
    <row r="2" s="1" customFormat="1" ht="32" customHeight="1" spans="1:7">
      <c r="A2" s="7" t="s">
        <v>2</v>
      </c>
      <c r="B2" s="7" t="s">
        <v>57</v>
      </c>
      <c r="C2" s="7" t="s">
        <v>3</v>
      </c>
      <c r="D2" s="31" t="s">
        <v>61</v>
      </c>
      <c r="E2" s="11" t="s">
        <v>62</v>
      </c>
      <c r="F2" s="11" t="s">
        <v>63</v>
      </c>
      <c r="G2" s="11" t="s">
        <v>7</v>
      </c>
    </row>
    <row r="3" ht="22" customHeight="1" spans="1:7">
      <c r="A3" s="12">
        <v>1</v>
      </c>
      <c r="B3" s="32">
        <v>46097</v>
      </c>
      <c r="C3" s="33" t="s">
        <v>13</v>
      </c>
      <c r="D3" s="33" t="s">
        <v>64</v>
      </c>
      <c r="E3" s="33">
        <v>3</v>
      </c>
      <c r="F3" s="34"/>
      <c r="G3" s="16"/>
    </row>
    <row r="4" ht="22" customHeight="1" spans="1:7">
      <c r="A4" s="12">
        <v>2</v>
      </c>
      <c r="B4" s="32">
        <v>46097</v>
      </c>
      <c r="C4" s="33" t="s">
        <v>16</v>
      </c>
      <c r="D4" s="33" t="s">
        <v>64</v>
      </c>
      <c r="E4" s="33">
        <v>3</v>
      </c>
      <c r="F4" s="34"/>
      <c r="G4" s="17"/>
    </row>
    <row r="5" ht="22" customHeight="1" spans="1:7">
      <c r="A5" s="12">
        <v>3</v>
      </c>
      <c r="B5" s="32">
        <v>46097</v>
      </c>
      <c r="C5" s="33" t="s">
        <v>18</v>
      </c>
      <c r="D5" s="33" t="s">
        <v>64</v>
      </c>
      <c r="E5" s="34"/>
      <c r="F5" s="33">
        <v>3</v>
      </c>
      <c r="G5" s="17"/>
    </row>
    <row r="6" ht="22" customHeight="1" spans="1:7">
      <c r="A6" s="12">
        <v>4</v>
      </c>
      <c r="B6" s="32">
        <v>46097</v>
      </c>
      <c r="C6" s="33" t="s">
        <v>19</v>
      </c>
      <c r="D6" s="33" t="s">
        <v>64</v>
      </c>
      <c r="E6" s="33">
        <v>3</v>
      </c>
      <c r="F6" s="34"/>
      <c r="G6" s="17"/>
    </row>
    <row r="7" ht="22" customHeight="1" spans="1:7">
      <c r="A7" s="12">
        <v>5</v>
      </c>
      <c r="B7" s="32">
        <v>46097</v>
      </c>
      <c r="C7" s="33" t="s">
        <v>21</v>
      </c>
      <c r="D7" s="33" t="s">
        <v>64</v>
      </c>
      <c r="E7" s="34"/>
      <c r="F7" s="33">
        <v>3</v>
      </c>
      <c r="G7" s="17"/>
    </row>
    <row r="8" customFormat="1" ht="22" customHeight="1" spans="1:7">
      <c r="A8" s="12">
        <v>6</v>
      </c>
      <c r="B8" s="32">
        <v>46097</v>
      </c>
      <c r="C8" s="19" t="s">
        <v>37</v>
      </c>
      <c r="D8" s="33" t="s">
        <v>64</v>
      </c>
      <c r="E8" s="19"/>
      <c r="F8" s="33">
        <v>3</v>
      </c>
      <c r="G8" s="19"/>
    </row>
    <row r="9" ht="22" customHeight="1" spans="1:7">
      <c r="A9" s="12">
        <v>8</v>
      </c>
      <c r="B9" s="32">
        <v>46097</v>
      </c>
      <c r="C9" s="33" t="s">
        <v>20</v>
      </c>
      <c r="D9" s="33" t="s">
        <v>64</v>
      </c>
      <c r="E9" s="34"/>
      <c r="F9" s="33">
        <v>3</v>
      </c>
      <c r="G9" s="17"/>
    </row>
    <row r="10" ht="22" customHeight="1" spans="1:7">
      <c r="A10" s="12">
        <v>9</v>
      </c>
      <c r="B10" s="32">
        <v>46097</v>
      </c>
      <c r="C10" s="33" t="s">
        <v>22</v>
      </c>
      <c r="D10" s="33" t="s">
        <v>64</v>
      </c>
      <c r="E10" s="33">
        <v>3</v>
      </c>
      <c r="F10" s="34"/>
      <c r="G10" s="20"/>
    </row>
    <row r="11" ht="22" customHeight="1" spans="1:7">
      <c r="A11" s="12">
        <v>10</v>
      </c>
      <c r="B11" s="32">
        <v>46097</v>
      </c>
      <c r="C11" s="33" t="s">
        <v>23</v>
      </c>
      <c r="D11" s="33" t="s">
        <v>64</v>
      </c>
      <c r="E11" s="34"/>
      <c r="F11" s="33">
        <v>3</v>
      </c>
      <c r="G11" s="20"/>
    </row>
    <row r="12" customFormat="1" ht="22" customHeight="1" spans="1:7">
      <c r="A12" s="12">
        <v>11</v>
      </c>
      <c r="B12" s="32">
        <v>46097</v>
      </c>
      <c r="C12" s="33" t="s">
        <v>24</v>
      </c>
      <c r="D12" s="33" t="s">
        <v>64</v>
      </c>
      <c r="E12" s="34"/>
      <c r="F12" s="33">
        <v>3</v>
      </c>
      <c r="G12" s="20"/>
    </row>
    <row r="13" customFormat="1" ht="22" customHeight="1" spans="1:7">
      <c r="A13" s="12">
        <v>12</v>
      </c>
      <c r="B13" s="32">
        <v>46097</v>
      </c>
      <c r="C13" s="33" t="s">
        <v>26</v>
      </c>
      <c r="D13" s="33" t="s">
        <v>64</v>
      </c>
      <c r="E13" s="33">
        <v>2</v>
      </c>
      <c r="F13" s="33">
        <v>1</v>
      </c>
      <c r="G13" s="20"/>
    </row>
    <row r="14" customFormat="1" ht="22" customHeight="1" spans="1:7">
      <c r="A14" s="12">
        <v>13</v>
      </c>
      <c r="B14" s="32">
        <v>46097</v>
      </c>
      <c r="C14" s="33" t="s">
        <v>27</v>
      </c>
      <c r="D14" s="33" t="s">
        <v>64</v>
      </c>
      <c r="E14" s="33">
        <v>2</v>
      </c>
      <c r="F14" s="33">
        <v>1</v>
      </c>
      <c r="G14" s="20"/>
    </row>
    <row r="15" customFormat="1" ht="22" customHeight="1" spans="1:7">
      <c r="A15" s="12">
        <v>14</v>
      </c>
      <c r="B15" s="32">
        <v>46097</v>
      </c>
      <c r="C15" s="33" t="s">
        <v>28</v>
      </c>
      <c r="D15" s="33" t="s">
        <v>64</v>
      </c>
      <c r="E15" s="33">
        <v>2</v>
      </c>
      <c r="F15" s="33">
        <v>1</v>
      </c>
      <c r="G15" s="20"/>
    </row>
    <row r="16" customFormat="1" ht="22" customHeight="1" spans="1:7">
      <c r="A16" s="12">
        <v>15</v>
      </c>
      <c r="B16" s="32">
        <v>46097</v>
      </c>
      <c r="C16" s="33" t="s">
        <v>30</v>
      </c>
      <c r="D16" s="33" t="s">
        <v>64</v>
      </c>
      <c r="E16" s="34"/>
      <c r="F16" s="33">
        <v>3</v>
      </c>
      <c r="G16" s="20"/>
    </row>
    <row r="17" customFormat="1" ht="22" customHeight="1" spans="1:7">
      <c r="A17" s="12">
        <v>16</v>
      </c>
      <c r="B17" s="32">
        <v>46097</v>
      </c>
      <c r="C17" s="33" t="s">
        <v>31</v>
      </c>
      <c r="D17" s="33" t="s">
        <v>64</v>
      </c>
      <c r="E17" s="33">
        <v>3</v>
      </c>
      <c r="F17" s="34"/>
      <c r="G17" s="20"/>
    </row>
    <row r="18" customFormat="1" ht="22" customHeight="1" spans="1:7">
      <c r="A18" s="12">
        <v>17</v>
      </c>
      <c r="B18" s="32">
        <v>46097</v>
      </c>
      <c r="C18" s="33" t="s">
        <v>32</v>
      </c>
      <c r="D18" s="33" t="s">
        <v>64</v>
      </c>
      <c r="E18" s="33">
        <v>2</v>
      </c>
      <c r="F18" s="33">
        <v>1</v>
      </c>
      <c r="G18" s="20"/>
    </row>
    <row r="19" customFormat="1" ht="22" customHeight="1" spans="1:7">
      <c r="A19" s="12">
        <v>18</v>
      </c>
      <c r="B19" s="32">
        <v>46097</v>
      </c>
      <c r="C19" s="33" t="s">
        <v>33</v>
      </c>
      <c r="D19" s="33" t="s">
        <v>64</v>
      </c>
      <c r="E19" s="33">
        <v>3</v>
      </c>
      <c r="F19" s="34"/>
      <c r="G19" s="20"/>
    </row>
    <row r="20" customFormat="1" ht="22" customHeight="1" spans="1:7">
      <c r="A20" s="12">
        <v>19</v>
      </c>
      <c r="B20" s="32">
        <v>46097</v>
      </c>
      <c r="C20" s="33" t="s">
        <v>34</v>
      </c>
      <c r="D20" s="33" t="s">
        <v>64</v>
      </c>
      <c r="E20" s="33">
        <v>3</v>
      </c>
      <c r="F20" s="35"/>
      <c r="G20" s="20"/>
    </row>
    <row r="21" customFormat="1" ht="22" customHeight="1" spans="1:7">
      <c r="A21" s="12">
        <v>20</v>
      </c>
      <c r="B21" s="32">
        <v>46097</v>
      </c>
      <c r="C21" s="19" t="s">
        <v>35</v>
      </c>
      <c r="D21" s="33" t="s">
        <v>64</v>
      </c>
      <c r="E21" s="33">
        <v>3</v>
      </c>
      <c r="F21" s="20"/>
      <c r="G21" s="20"/>
    </row>
    <row r="22" customFormat="1" ht="22" customHeight="1" spans="1:7">
      <c r="A22" s="12">
        <v>21</v>
      </c>
      <c r="B22" s="32">
        <v>46097</v>
      </c>
      <c r="C22" s="19" t="s">
        <v>36</v>
      </c>
      <c r="D22" s="33" t="s">
        <v>64</v>
      </c>
      <c r="E22" s="19">
        <v>2</v>
      </c>
      <c r="F22" s="19">
        <v>1</v>
      </c>
      <c r="G22" s="19"/>
    </row>
    <row r="23" customFormat="1" ht="22" customHeight="1" spans="1:7">
      <c r="A23" s="12">
        <v>23</v>
      </c>
      <c r="B23" s="32">
        <v>46097</v>
      </c>
      <c r="C23" s="19" t="s">
        <v>38</v>
      </c>
      <c r="D23" s="33" t="s">
        <v>64</v>
      </c>
      <c r="E23" s="19">
        <v>2</v>
      </c>
      <c r="F23" s="19">
        <v>1</v>
      </c>
      <c r="G23" s="19"/>
    </row>
    <row r="24" customFormat="1" ht="22" customHeight="1" spans="1:7">
      <c r="A24" s="12">
        <v>25</v>
      </c>
      <c r="B24" s="32">
        <v>46097</v>
      </c>
      <c r="C24" s="19" t="s">
        <v>40</v>
      </c>
      <c r="D24" s="33" t="s">
        <v>64</v>
      </c>
      <c r="E24" s="33">
        <v>3</v>
      </c>
      <c r="F24" s="19"/>
      <c r="G24" s="19"/>
    </row>
    <row r="25" customFormat="1" ht="22" customHeight="1" spans="1:7">
      <c r="A25" s="12">
        <v>24</v>
      </c>
      <c r="B25" s="32">
        <v>46097</v>
      </c>
      <c r="C25" s="19" t="s">
        <v>38</v>
      </c>
      <c r="D25" s="33" t="s">
        <v>64</v>
      </c>
      <c r="E25" s="19">
        <v>1</v>
      </c>
      <c r="F25" s="19">
        <v>2</v>
      </c>
      <c r="G25" s="19" t="s">
        <v>66</v>
      </c>
    </row>
    <row r="26" customFormat="1" ht="22" customHeight="1" spans="1:7">
      <c r="A26" s="12">
        <v>26</v>
      </c>
      <c r="B26" s="32">
        <v>46097</v>
      </c>
      <c r="C26" s="19" t="s">
        <v>40</v>
      </c>
      <c r="D26" s="33" t="s">
        <v>64</v>
      </c>
      <c r="E26" s="33">
        <v>3</v>
      </c>
      <c r="F26" s="41"/>
      <c r="G26" s="19" t="s">
        <v>66</v>
      </c>
    </row>
    <row r="27" customFormat="1" ht="22" customHeight="1" spans="1:7">
      <c r="A27" s="12"/>
      <c r="B27" s="36"/>
      <c r="C27" s="19"/>
      <c r="D27" s="37"/>
      <c r="E27" s="38"/>
      <c r="F27" s="28"/>
      <c r="G27" s="28"/>
    </row>
    <row r="28" ht="13.5" spans="1:7">
      <c r="E28" s="39">
        <f>SUM(E3:E27)</f>
        <v>43</v>
      </c>
      <c r="F28" s="39">
        <f>SUM(F3:F27)</f>
        <v>29</v>
      </c>
    </row>
  </sheetData>
  <mergeCells count="1">
    <mergeCell ref="A1:G1"/>
  </mergeCells>
  <pageMargins left="0.75" right="0.75" top="1" bottom="1" header="0.5" footer="0.5"/>
  <pageSetup paperSize="256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"/>
  <sheetViews>
    <sheetView topLeftCell="A5" workbookViewId="0">
      <selection activeCell="E18" sqref="E18"/>
    </sheetView>
  </sheetViews>
  <sheetFormatPr defaultColWidth="9.14285714285714" defaultRowHeight="12" outlineLevelCol="6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7">
      <c r="A1" s="3" t="s">
        <v>49</v>
      </c>
      <c r="B1" s="3"/>
      <c r="C1" s="3"/>
      <c r="D1" s="3"/>
      <c r="E1" s="3"/>
      <c r="F1" s="30"/>
      <c r="G1" s="6"/>
    </row>
    <row r="2" s="1" customFormat="1" ht="32" customHeight="1" spans="1:7">
      <c r="A2" s="7" t="s">
        <v>2</v>
      </c>
      <c r="B2" s="7" t="s">
        <v>57</v>
      </c>
      <c r="C2" s="7" t="s">
        <v>3</v>
      </c>
      <c r="D2" s="31" t="s">
        <v>61</v>
      </c>
      <c r="E2" s="11" t="s">
        <v>62</v>
      </c>
      <c r="F2" s="11" t="s">
        <v>63</v>
      </c>
      <c r="G2" s="11" t="s">
        <v>7</v>
      </c>
    </row>
    <row r="3" ht="22" customHeight="1" spans="1:7">
      <c r="A3" s="12">
        <v>1</v>
      </c>
      <c r="B3" s="32">
        <v>46100</v>
      </c>
      <c r="C3" s="33" t="s">
        <v>13</v>
      </c>
      <c r="D3" s="33" t="s">
        <v>65</v>
      </c>
      <c r="E3" s="33">
        <v>4</v>
      </c>
      <c r="F3" s="34"/>
      <c r="G3" s="16"/>
    </row>
    <row r="4" ht="22" customHeight="1" spans="1:7">
      <c r="A4" s="12">
        <v>2</v>
      </c>
      <c r="B4" s="32">
        <v>46100</v>
      </c>
      <c r="C4" s="33" t="s">
        <v>16</v>
      </c>
      <c r="D4" s="33" t="s">
        <v>65</v>
      </c>
      <c r="E4" s="33">
        <v>4</v>
      </c>
      <c r="F4" s="34"/>
      <c r="G4" s="17"/>
    </row>
    <row r="5" ht="22" customHeight="1" spans="1:7">
      <c r="A5" s="12">
        <v>3</v>
      </c>
      <c r="B5" s="32">
        <v>46100</v>
      </c>
      <c r="C5" s="33" t="s">
        <v>18</v>
      </c>
      <c r="D5" s="33" t="s">
        <v>65</v>
      </c>
      <c r="E5" s="34"/>
      <c r="F5" s="33">
        <v>4</v>
      </c>
      <c r="G5" s="17"/>
    </row>
    <row r="6" ht="22" customHeight="1" spans="1:7">
      <c r="A6" s="12">
        <v>4</v>
      </c>
      <c r="B6" s="32">
        <v>46100</v>
      </c>
      <c r="C6" s="33" t="s">
        <v>19</v>
      </c>
      <c r="D6" s="33" t="s">
        <v>65</v>
      </c>
      <c r="E6" s="33">
        <v>4</v>
      </c>
      <c r="F6" s="34"/>
      <c r="G6" s="17"/>
    </row>
    <row r="7" ht="22" customHeight="1" spans="1:7">
      <c r="A7" s="12">
        <v>5</v>
      </c>
      <c r="B7" s="32">
        <v>46100</v>
      </c>
      <c r="C7" s="33" t="s">
        <v>21</v>
      </c>
      <c r="D7" s="33" t="s">
        <v>65</v>
      </c>
      <c r="E7" s="34"/>
      <c r="F7" s="33">
        <v>4</v>
      </c>
      <c r="G7" s="17"/>
    </row>
    <row r="8" customFormat="1" ht="22" customHeight="1" spans="1:7">
      <c r="A8" s="12">
        <v>6</v>
      </c>
      <c r="B8" s="32">
        <v>46100</v>
      </c>
      <c r="C8" s="19" t="s">
        <v>37</v>
      </c>
      <c r="D8" s="33" t="s">
        <v>65</v>
      </c>
      <c r="E8" s="19"/>
      <c r="F8" s="33">
        <v>4</v>
      </c>
      <c r="G8" s="19"/>
    </row>
    <row r="9" ht="22" customHeight="1" spans="1:7">
      <c r="A9" s="12">
        <v>8</v>
      </c>
      <c r="B9" s="32">
        <v>46100</v>
      </c>
      <c r="C9" s="33" t="s">
        <v>20</v>
      </c>
      <c r="D9" s="33" t="s">
        <v>65</v>
      </c>
      <c r="E9" s="34"/>
      <c r="F9" s="33">
        <v>4</v>
      </c>
      <c r="G9" s="17"/>
    </row>
    <row r="10" ht="22" customHeight="1" spans="1:7">
      <c r="A10" s="12">
        <v>9</v>
      </c>
      <c r="B10" s="32">
        <v>46100</v>
      </c>
      <c r="C10" s="33" t="s">
        <v>22</v>
      </c>
      <c r="D10" s="33" t="s">
        <v>65</v>
      </c>
      <c r="E10" s="33">
        <v>4</v>
      </c>
      <c r="F10" s="34"/>
      <c r="G10" s="20"/>
    </row>
    <row r="11" ht="22" customHeight="1" spans="1:7">
      <c r="A11" s="12">
        <v>10</v>
      </c>
      <c r="B11" s="32">
        <v>46100</v>
      </c>
      <c r="C11" s="33" t="s">
        <v>23</v>
      </c>
      <c r="D11" s="33" t="s">
        <v>65</v>
      </c>
      <c r="E11" s="34"/>
      <c r="F11" s="33">
        <v>4</v>
      </c>
      <c r="G11" s="20"/>
    </row>
    <row r="12" customFormat="1" ht="22" customHeight="1" spans="1:7">
      <c r="A12" s="12">
        <v>11</v>
      </c>
      <c r="B12" s="32">
        <v>46100</v>
      </c>
      <c r="C12" s="33" t="s">
        <v>24</v>
      </c>
      <c r="D12" s="33" t="s">
        <v>65</v>
      </c>
      <c r="E12" s="34"/>
      <c r="F12" s="33">
        <v>4</v>
      </c>
      <c r="G12" s="20"/>
    </row>
    <row r="13" customFormat="1" ht="22" customHeight="1" spans="1:7">
      <c r="A13" s="12">
        <v>12</v>
      </c>
      <c r="B13" s="32">
        <v>46100</v>
      </c>
      <c r="C13" s="33" t="s">
        <v>26</v>
      </c>
      <c r="D13" s="33" t="s">
        <v>65</v>
      </c>
      <c r="E13" s="33">
        <v>2</v>
      </c>
      <c r="F13" s="33">
        <v>2</v>
      </c>
      <c r="G13" s="20"/>
    </row>
    <row r="14" customFormat="1" ht="22" customHeight="1" spans="1:7">
      <c r="A14" s="12">
        <v>13</v>
      </c>
      <c r="B14" s="32">
        <v>46100</v>
      </c>
      <c r="C14" s="33" t="s">
        <v>27</v>
      </c>
      <c r="D14" s="33" t="s">
        <v>65</v>
      </c>
      <c r="E14" s="33">
        <v>2</v>
      </c>
      <c r="F14" s="33">
        <v>2</v>
      </c>
      <c r="G14" s="20"/>
    </row>
    <row r="15" customFormat="1" ht="22" customHeight="1" spans="1:7">
      <c r="A15" s="12">
        <v>14</v>
      </c>
      <c r="B15" s="32">
        <v>46100</v>
      </c>
      <c r="C15" s="33" t="s">
        <v>28</v>
      </c>
      <c r="D15" s="33" t="s">
        <v>65</v>
      </c>
      <c r="E15" s="33">
        <v>2</v>
      </c>
      <c r="F15" s="33">
        <v>2</v>
      </c>
      <c r="G15" s="20"/>
    </row>
    <row r="16" customFormat="1" ht="22" customHeight="1" spans="1:7">
      <c r="A16" s="12">
        <v>15</v>
      </c>
      <c r="B16" s="32">
        <v>46100</v>
      </c>
      <c r="C16" s="33" t="s">
        <v>30</v>
      </c>
      <c r="D16" s="33" t="s">
        <v>65</v>
      </c>
      <c r="E16" s="34"/>
      <c r="F16" s="33">
        <v>4</v>
      </c>
      <c r="G16" s="20"/>
    </row>
    <row r="17" customFormat="1" ht="22" customHeight="1" spans="1:7">
      <c r="A17" s="12">
        <v>16</v>
      </c>
      <c r="B17" s="32">
        <v>46100</v>
      </c>
      <c r="C17" s="33" t="s">
        <v>31</v>
      </c>
      <c r="D17" s="33" t="s">
        <v>65</v>
      </c>
      <c r="E17" s="33">
        <v>4</v>
      </c>
      <c r="F17" s="34"/>
      <c r="G17" s="20"/>
    </row>
    <row r="18" customFormat="1" ht="22" customHeight="1" spans="1:7">
      <c r="A18" s="12">
        <v>17</v>
      </c>
      <c r="B18" s="32">
        <v>46100</v>
      </c>
      <c r="C18" s="33" t="s">
        <v>32</v>
      </c>
      <c r="D18" s="33" t="s">
        <v>65</v>
      </c>
      <c r="E18" s="33">
        <v>2</v>
      </c>
      <c r="F18" s="33">
        <v>2</v>
      </c>
      <c r="G18" s="20"/>
    </row>
    <row r="19" customFormat="1" ht="22" customHeight="1" spans="1:7">
      <c r="A19" s="12">
        <v>18</v>
      </c>
      <c r="B19" s="32">
        <v>46100</v>
      </c>
      <c r="C19" s="33" t="s">
        <v>33</v>
      </c>
      <c r="D19" s="33" t="s">
        <v>65</v>
      </c>
      <c r="E19" s="33">
        <v>4</v>
      </c>
      <c r="F19" s="34"/>
      <c r="G19" s="20"/>
    </row>
    <row r="20" customFormat="1" ht="22" customHeight="1" spans="1:7">
      <c r="A20" s="12">
        <v>19</v>
      </c>
      <c r="B20" s="32">
        <v>46100</v>
      </c>
      <c r="C20" s="33" t="s">
        <v>34</v>
      </c>
      <c r="D20" s="33" t="s">
        <v>65</v>
      </c>
      <c r="E20" s="33">
        <v>4</v>
      </c>
      <c r="F20" s="35"/>
      <c r="G20" s="20"/>
    </row>
    <row r="21" customFormat="1" ht="22" customHeight="1" spans="1:7">
      <c r="A21" s="12">
        <v>20</v>
      </c>
      <c r="B21" s="32">
        <v>46100</v>
      </c>
      <c r="C21" s="19" t="s">
        <v>35</v>
      </c>
      <c r="D21" s="33" t="s">
        <v>65</v>
      </c>
      <c r="E21" s="33">
        <v>4</v>
      </c>
      <c r="F21" s="20"/>
      <c r="G21" s="20"/>
    </row>
    <row r="22" customFormat="1" ht="22" customHeight="1" spans="1:7">
      <c r="A22" s="12">
        <v>21</v>
      </c>
      <c r="B22" s="32">
        <v>46100</v>
      </c>
      <c r="C22" s="19" t="s">
        <v>36</v>
      </c>
      <c r="D22" s="33" t="s">
        <v>65</v>
      </c>
      <c r="E22" s="19">
        <v>2</v>
      </c>
      <c r="F22" s="19">
        <v>2</v>
      </c>
      <c r="G22" s="19"/>
    </row>
    <row r="23" customFormat="1" ht="22" customHeight="1" spans="1:7">
      <c r="A23" s="12">
        <v>23</v>
      </c>
      <c r="B23" s="32">
        <v>46100</v>
      </c>
      <c r="C23" s="19" t="s">
        <v>38</v>
      </c>
      <c r="D23" s="33" t="s">
        <v>65</v>
      </c>
      <c r="E23" s="19">
        <v>2</v>
      </c>
      <c r="F23" s="19">
        <v>2</v>
      </c>
      <c r="G23" s="19"/>
    </row>
    <row r="24" customFormat="1" ht="22" customHeight="1" spans="1:7">
      <c r="A24" s="12">
        <v>25</v>
      </c>
      <c r="B24" s="32">
        <v>46100</v>
      </c>
      <c r="C24" s="19" t="s">
        <v>40</v>
      </c>
      <c r="D24" s="33" t="s">
        <v>65</v>
      </c>
      <c r="E24" s="33">
        <v>4</v>
      </c>
      <c r="F24" s="19"/>
      <c r="G24" s="19"/>
    </row>
    <row r="25" customFormat="1" ht="22" customHeight="1" spans="1:7">
      <c r="A25" s="12">
        <v>24</v>
      </c>
      <c r="B25" s="32">
        <v>46100</v>
      </c>
      <c r="C25" s="19" t="s">
        <v>38</v>
      </c>
      <c r="D25" s="33" t="s">
        <v>64</v>
      </c>
      <c r="E25" s="19">
        <v>2</v>
      </c>
      <c r="F25" s="19">
        <v>2</v>
      </c>
      <c r="G25" s="19" t="s">
        <v>66</v>
      </c>
    </row>
    <row r="26" customFormat="1" ht="22" customHeight="1" spans="1:7">
      <c r="A26" s="12">
        <v>26</v>
      </c>
      <c r="B26" s="32">
        <v>46100</v>
      </c>
      <c r="C26" s="19" t="s">
        <v>40</v>
      </c>
      <c r="D26" s="33" t="s">
        <v>64</v>
      </c>
      <c r="E26" s="33">
        <v>4</v>
      </c>
      <c r="F26" s="41"/>
      <c r="G26" s="19" t="s">
        <v>66</v>
      </c>
    </row>
    <row r="27" customFormat="1" ht="22" customHeight="1" spans="1:7">
      <c r="A27" s="12"/>
      <c r="B27" s="32">
        <v>46100</v>
      </c>
      <c r="C27" s="19"/>
      <c r="D27" s="37"/>
      <c r="E27" s="38"/>
      <c r="F27" s="28"/>
      <c r="G27" s="28"/>
    </row>
    <row r="28" customFormat="1" ht="13.5" spans="1:7">
      <c r="E28" s="39">
        <f>SUM(E3:E27)</f>
        <v>54</v>
      </c>
      <c r="F28" s="39">
        <f>SUM(F3:F27)</f>
        <v>42</v>
      </c>
    </row>
  </sheetData>
  <mergeCells count="1">
    <mergeCell ref="A1:G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"/>
  <sheetViews>
    <sheetView topLeftCell="A3" workbookViewId="0">
      <selection activeCell="I3" sqref="I3:I28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9">
      <c r="A1" s="3" t="s">
        <v>49</v>
      </c>
      <c r="B1" s="3"/>
      <c r="C1" s="3"/>
      <c r="D1" s="3"/>
      <c r="E1" s="3"/>
      <c r="F1" s="30"/>
      <c r="G1" s="6"/>
    </row>
    <row r="2" s="1" customFormat="1" ht="32" customHeight="1" spans="1:9">
      <c r="A2" s="7" t="s">
        <v>2</v>
      </c>
      <c r="B2" s="7" t="s">
        <v>57</v>
      </c>
      <c r="C2" s="7" t="s">
        <v>3</v>
      </c>
      <c r="D2" s="31" t="s">
        <v>61</v>
      </c>
      <c r="E2" s="11" t="s">
        <v>62</v>
      </c>
      <c r="F2" s="11" t="s">
        <v>63</v>
      </c>
      <c r="G2" s="11" t="s">
        <v>7</v>
      </c>
    </row>
    <row r="3" ht="22" customHeight="1" spans="1:9">
      <c r="A3" s="12">
        <v>1</v>
      </c>
      <c r="B3" s="32">
        <v>46104</v>
      </c>
      <c r="C3" s="33" t="s">
        <v>13</v>
      </c>
      <c r="D3" s="33" t="s">
        <v>64</v>
      </c>
      <c r="E3" s="33">
        <v>3</v>
      </c>
      <c r="F3" s="34"/>
      <c r="G3" s="16"/>
      <c r="I3">
        <f>E3+F3</f>
        <v>3</v>
      </c>
    </row>
    <row r="4" ht="22" customHeight="1" spans="1:9">
      <c r="A4" s="12">
        <v>2</v>
      </c>
      <c r="B4" s="32">
        <v>46104</v>
      </c>
      <c r="C4" s="33" t="s">
        <v>16</v>
      </c>
      <c r="D4" s="33" t="s">
        <v>64</v>
      </c>
      <c r="E4" s="33">
        <v>3</v>
      </c>
      <c r="F4" s="34"/>
      <c r="G4" s="17"/>
      <c r="I4">
        <f t="shared" ref="I4:I28" si="0">E4+F4</f>
        <v>3</v>
      </c>
    </row>
    <row r="5" ht="22" customHeight="1" spans="1:9">
      <c r="A5" s="12">
        <v>3</v>
      </c>
      <c r="B5" s="32">
        <v>46104</v>
      </c>
      <c r="C5" s="33" t="s">
        <v>18</v>
      </c>
      <c r="D5" s="33" t="s">
        <v>64</v>
      </c>
      <c r="E5" s="34"/>
      <c r="F5" s="33">
        <v>3</v>
      </c>
      <c r="G5" s="17"/>
      <c r="I5">
        <f t="shared" si="0"/>
        <v>3</v>
      </c>
    </row>
    <row r="6" ht="22" customHeight="1" spans="1:9">
      <c r="A6" s="12">
        <v>4</v>
      </c>
      <c r="B6" s="32">
        <v>46104</v>
      </c>
      <c r="C6" s="33" t="s">
        <v>19</v>
      </c>
      <c r="D6" s="33" t="s">
        <v>64</v>
      </c>
      <c r="E6" s="33">
        <v>3</v>
      </c>
      <c r="F6" s="34"/>
      <c r="G6" s="17"/>
      <c r="I6">
        <f t="shared" si="0"/>
        <v>3</v>
      </c>
    </row>
    <row r="7" ht="22" customHeight="1" spans="1:9">
      <c r="A7" s="12">
        <v>5</v>
      </c>
      <c r="B7" s="32">
        <v>46104</v>
      </c>
      <c r="C7" s="33" t="s">
        <v>21</v>
      </c>
      <c r="D7" s="33" t="s">
        <v>64</v>
      </c>
      <c r="E7" s="34"/>
      <c r="F7" s="33">
        <v>3</v>
      </c>
      <c r="G7" s="17"/>
      <c r="I7">
        <f t="shared" si="0"/>
        <v>3</v>
      </c>
    </row>
    <row r="8" customFormat="1" ht="22" customHeight="1" spans="1:9">
      <c r="A8" s="12">
        <v>6</v>
      </c>
      <c r="B8" s="32">
        <v>46104</v>
      </c>
      <c r="C8" s="19" t="s">
        <v>37</v>
      </c>
      <c r="D8" s="33" t="s">
        <v>64</v>
      </c>
      <c r="E8" s="19"/>
      <c r="F8" s="33">
        <v>3</v>
      </c>
      <c r="G8" s="19"/>
      <c r="I8">
        <f t="shared" si="0"/>
        <v>3</v>
      </c>
    </row>
    <row r="9" ht="22" customHeight="1" spans="1:9">
      <c r="A9" s="12">
        <v>8</v>
      </c>
      <c r="B9" s="32">
        <v>46104</v>
      </c>
      <c r="C9" s="33" t="s">
        <v>20</v>
      </c>
      <c r="D9" s="33" t="s">
        <v>64</v>
      </c>
      <c r="E9" s="34"/>
      <c r="F9" s="33">
        <v>3</v>
      </c>
      <c r="G9" s="17"/>
      <c r="I9">
        <f t="shared" si="0"/>
        <v>3</v>
      </c>
    </row>
    <row r="10" ht="22" customHeight="1" spans="1:9">
      <c r="A10" s="12">
        <v>9</v>
      </c>
      <c r="B10" s="32">
        <v>46104</v>
      </c>
      <c r="C10" s="33" t="s">
        <v>22</v>
      </c>
      <c r="D10" s="33" t="s">
        <v>64</v>
      </c>
      <c r="E10" s="33">
        <v>3</v>
      </c>
      <c r="F10" s="34"/>
      <c r="G10" s="20"/>
      <c r="I10">
        <f t="shared" si="0"/>
        <v>3</v>
      </c>
    </row>
    <row r="11" ht="22" customHeight="1" spans="1:9">
      <c r="A11" s="12">
        <v>10</v>
      </c>
      <c r="B11" s="32">
        <v>46104</v>
      </c>
      <c r="C11" s="33" t="s">
        <v>23</v>
      </c>
      <c r="D11" s="33" t="s">
        <v>64</v>
      </c>
      <c r="E11" s="34"/>
      <c r="F11" s="33">
        <v>3</v>
      </c>
      <c r="G11" s="20"/>
      <c r="I11">
        <f t="shared" si="0"/>
        <v>3</v>
      </c>
    </row>
    <row r="12" customFormat="1" ht="22" customHeight="1" spans="1:9">
      <c r="A12" s="12">
        <v>11</v>
      </c>
      <c r="B12" s="32">
        <v>46104</v>
      </c>
      <c r="C12" s="33" t="s">
        <v>24</v>
      </c>
      <c r="D12" s="33" t="s">
        <v>64</v>
      </c>
      <c r="E12" s="34"/>
      <c r="F12" s="33">
        <v>3</v>
      </c>
      <c r="G12" s="20"/>
      <c r="I12">
        <f t="shared" si="0"/>
        <v>3</v>
      </c>
    </row>
    <row r="13" customFormat="1" ht="22" customHeight="1" spans="1:9">
      <c r="A13" s="12">
        <v>12</v>
      </c>
      <c r="B13" s="32">
        <v>46104</v>
      </c>
      <c r="C13" s="33" t="s">
        <v>26</v>
      </c>
      <c r="D13" s="33" t="s">
        <v>64</v>
      </c>
      <c r="E13" s="33">
        <v>2</v>
      </c>
      <c r="F13" s="33">
        <v>1</v>
      </c>
      <c r="G13" s="20"/>
      <c r="I13">
        <f t="shared" si="0"/>
        <v>3</v>
      </c>
    </row>
    <row r="14" customFormat="1" ht="22" customHeight="1" spans="1:9">
      <c r="A14" s="12">
        <v>13</v>
      </c>
      <c r="B14" s="32">
        <v>46104</v>
      </c>
      <c r="C14" s="33" t="s">
        <v>27</v>
      </c>
      <c r="D14" s="33" t="s">
        <v>64</v>
      </c>
      <c r="E14" s="33">
        <v>2</v>
      </c>
      <c r="F14" s="33">
        <v>1</v>
      </c>
      <c r="G14" s="20"/>
      <c r="I14">
        <f t="shared" si="0"/>
        <v>3</v>
      </c>
    </row>
    <row r="15" customFormat="1" ht="22" customHeight="1" spans="1:9">
      <c r="A15" s="12">
        <v>14</v>
      </c>
      <c r="B15" s="32">
        <v>46104</v>
      </c>
      <c r="C15" s="33" t="s">
        <v>28</v>
      </c>
      <c r="D15" s="33" t="s">
        <v>64</v>
      </c>
      <c r="E15" s="33">
        <v>2</v>
      </c>
      <c r="F15" s="33">
        <v>1</v>
      </c>
      <c r="G15" s="20"/>
      <c r="I15">
        <f t="shared" si="0"/>
        <v>3</v>
      </c>
    </row>
    <row r="16" customFormat="1" ht="22" customHeight="1" spans="1:9">
      <c r="A16" s="12">
        <v>15</v>
      </c>
      <c r="B16" s="32">
        <v>46104</v>
      </c>
      <c r="C16" s="33" t="s">
        <v>30</v>
      </c>
      <c r="D16" s="33" t="s">
        <v>64</v>
      </c>
      <c r="E16" s="34"/>
      <c r="F16" s="33">
        <v>3</v>
      </c>
      <c r="G16" s="20"/>
      <c r="I16">
        <f t="shared" si="0"/>
        <v>3</v>
      </c>
    </row>
    <row r="17" customFormat="1" ht="22" customHeight="1" spans="1:9">
      <c r="A17" s="12">
        <v>16</v>
      </c>
      <c r="B17" s="32">
        <v>46104</v>
      </c>
      <c r="C17" s="33" t="s">
        <v>31</v>
      </c>
      <c r="D17" s="33" t="s">
        <v>64</v>
      </c>
      <c r="E17" s="33">
        <v>3</v>
      </c>
      <c r="F17" s="34"/>
      <c r="G17" s="20"/>
      <c r="I17">
        <f t="shared" si="0"/>
        <v>3</v>
      </c>
    </row>
    <row r="18" customFormat="1" ht="22" customHeight="1" spans="1:9">
      <c r="A18" s="12">
        <v>17</v>
      </c>
      <c r="B18" s="32">
        <v>46104</v>
      </c>
      <c r="C18" s="33" t="s">
        <v>32</v>
      </c>
      <c r="D18" s="33" t="s">
        <v>64</v>
      </c>
      <c r="E18" s="33">
        <v>2</v>
      </c>
      <c r="F18" s="33">
        <v>1</v>
      </c>
      <c r="G18" s="20"/>
      <c r="I18">
        <f t="shared" si="0"/>
        <v>3</v>
      </c>
    </row>
    <row r="19" customFormat="1" ht="22" customHeight="1" spans="1:9">
      <c r="A19" s="12">
        <v>18</v>
      </c>
      <c r="B19" s="32">
        <v>46104</v>
      </c>
      <c r="C19" s="33" t="s">
        <v>33</v>
      </c>
      <c r="D19" s="33" t="s">
        <v>64</v>
      </c>
      <c r="E19" s="33">
        <v>3</v>
      </c>
      <c r="F19" s="34"/>
      <c r="G19" s="20"/>
      <c r="I19">
        <f t="shared" si="0"/>
        <v>3</v>
      </c>
    </row>
    <row r="20" customFormat="1" ht="22" customHeight="1" spans="1:9">
      <c r="A20" s="12">
        <v>19</v>
      </c>
      <c r="B20" s="32">
        <v>46104</v>
      </c>
      <c r="C20" s="33" t="s">
        <v>34</v>
      </c>
      <c r="D20" s="33" t="s">
        <v>64</v>
      </c>
      <c r="E20" s="33">
        <v>3</v>
      </c>
      <c r="F20" s="35"/>
      <c r="G20" s="20"/>
      <c r="I20">
        <f t="shared" si="0"/>
        <v>3</v>
      </c>
    </row>
    <row r="21" customFormat="1" ht="22" customHeight="1" spans="1:9">
      <c r="A21" s="12">
        <v>20</v>
      </c>
      <c r="B21" s="32">
        <v>46104</v>
      </c>
      <c r="C21" s="19" t="s">
        <v>35</v>
      </c>
      <c r="D21" s="33" t="s">
        <v>64</v>
      </c>
      <c r="E21" s="33">
        <v>3</v>
      </c>
      <c r="F21" s="20"/>
      <c r="G21" s="20"/>
      <c r="I21">
        <f t="shared" si="0"/>
        <v>3</v>
      </c>
    </row>
    <row r="22" customFormat="1" ht="22" customHeight="1" spans="1:9">
      <c r="A22" s="12">
        <v>21</v>
      </c>
      <c r="B22" s="32">
        <v>46104</v>
      </c>
      <c r="C22" s="19" t="s">
        <v>36</v>
      </c>
      <c r="D22" s="33" t="s">
        <v>64</v>
      </c>
      <c r="E22" s="19">
        <v>2</v>
      </c>
      <c r="F22" s="19">
        <v>1</v>
      </c>
      <c r="G22" s="19"/>
      <c r="I22">
        <f t="shared" si="0"/>
        <v>3</v>
      </c>
    </row>
    <row r="23" customFormat="1" ht="22" customHeight="1" spans="1:9">
      <c r="A23" s="12">
        <v>23</v>
      </c>
      <c r="B23" s="32">
        <v>46104</v>
      </c>
      <c r="C23" s="19" t="s">
        <v>38</v>
      </c>
      <c r="D23" s="33" t="s">
        <v>64</v>
      </c>
      <c r="E23" s="19">
        <v>2</v>
      </c>
      <c r="F23" s="19">
        <v>1</v>
      </c>
      <c r="G23" s="19"/>
      <c r="I23">
        <f t="shared" si="0"/>
        <v>3</v>
      </c>
    </row>
    <row r="24" customFormat="1" ht="22" customHeight="1" spans="1:9">
      <c r="A24" s="12">
        <v>25</v>
      </c>
      <c r="B24" s="32">
        <v>46104</v>
      </c>
      <c r="C24" s="19" t="s">
        <v>40</v>
      </c>
      <c r="D24" s="33" t="s">
        <v>64</v>
      </c>
      <c r="E24" s="33">
        <v>3</v>
      </c>
      <c r="F24" s="19"/>
      <c r="G24" s="19"/>
      <c r="I24">
        <f t="shared" si="0"/>
        <v>3</v>
      </c>
    </row>
    <row r="25" customFormat="1" ht="22" customHeight="1" spans="1:9">
      <c r="A25" s="12"/>
      <c r="B25" s="32"/>
      <c r="C25" s="19"/>
      <c r="D25" s="33"/>
      <c r="E25" s="19"/>
      <c r="F25" s="19"/>
      <c r="G25" s="19"/>
      <c r="I25">
        <f t="shared" si="0"/>
        <v>0</v>
      </c>
    </row>
    <row r="26" customFormat="1" ht="22" customHeight="1" spans="1:9">
      <c r="A26" s="12"/>
      <c r="B26" s="32"/>
      <c r="C26" s="19"/>
      <c r="D26" s="33"/>
      <c r="E26" s="33"/>
      <c r="F26" s="41"/>
      <c r="G26" s="19"/>
      <c r="I26">
        <f t="shared" si="0"/>
        <v>0</v>
      </c>
    </row>
    <row r="27" customFormat="1" ht="22" customHeight="1" spans="1:9">
      <c r="A27" s="12"/>
      <c r="B27" s="36"/>
      <c r="C27" s="19"/>
      <c r="D27" s="37"/>
      <c r="E27" s="38"/>
      <c r="F27" s="28"/>
      <c r="G27" s="28"/>
      <c r="I27">
        <f t="shared" si="0"/>
        <v>0</v>
      </c>
    </row>
    <row r="28" customFormat="1" ht="13.5" spans="1:9">
      <c r="E28" s="39">
        <f>SUM(E3:E27)</f>
        <v>39</v>
      </c>
      <c r="F28" s="39">
        <f>SUM(F3:F27)</f>
        <v>27</v>
      </c>
      <c r="I28">
        <f t="shared" si="0"/>
        <v>66</v>
      </c>
    </row>
  </sheetData>
  <mergeCells count="1">
    <mergeCell ref="A1:G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"/>
  <sheetViews>
    <sheetView topLeftCell="A7" workbookViewId="0">
      <selection activeCell="I3" sqref="I3:I28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9">
      <c r="A1" s="3" t="s">
        <v>49</v>
      </c>
      <c r="B1" s="3"/>
      <c r="C1" s="3"/>
      <c r="D1" s="3"/>
      <c r="E1" s="3"/>
      <c r="F1" s="30"/>
      <c r="G1" s="6"/>
    </row>
    <row r="2" s="1" customFormat="1" ht="32" customHeight="1" spans="1:9">
      <c r="A2" s="7" t="s">
        <v>2</v>
      </c>
      <c r="B2" s="7" t="s">
        <v>57</v>
      </c>
      <c r="C2" s="7" t="s">
        <v>3</v>
      </c>
      <c r="D2" s="31" t="s">
        <v>61</v>
      </c>
      <c r="E2" s="11" t="s">
        <v>62</v>
      </c>
      <c r="F2" s="11" t="s">
        <v>63</v>
      </c>
      <c r="G2" s="11" t="s">
        <v>7</v>
      </c>
    </row>
    <row r="3" ht="22" customHeight="1" spans="1:9">
      <c r="A3" s="12">
        <v>1</v>
      </c>
      <c r="B3" s="32">
        <v>46107</v>
      </c>
      <c r="C3" s="33" t="s">
        <v>13</v>
      </c>
      <c r="D3" s="33" t="s">
        <v>65</v>
      </c>
      <c r="E3" s="33">
        <v>4</v>
      </c>
      <c r="F3" s="34"/>
      <c r="G3" s="16"/>
      <c r="I3">
        <f>E3+F3</f>
        <v>4</v>
      </c>
    </row>
    <row r="4" ht="22" customHeight="1" spans="1:9">
      <c r="A4" s="12">
        <v>2</v>
      </c>
      <c r="B4" s="32">
        <v>46107</v>
      </c>
      <c r="C4" s="33" t="s">
        <v>16</v>
      </c>
      <c r="D4" s="33" t="s">
        <v>65</v>
      </c>
      <c r="E4" s="33">
        <v>4</v>
      </c>
      <c r="F4" s="34"/>
      <c r="G4" s="17"/>
      <c r="I4">
        <f t="shared" ref="I4:I28" si="0">E4+F4</f>
        <v>4</v>
      </c>
    </row>
    <row r="5" ht="22" customHeight="1" spans="1:9">
      <c r="A5" s="12">
        <v>3</v>
      </c>
      <c r="B5" s="32">
        <v>46107</v>
      </c>
      <c r="C5" s="33" t="s">
        <v>18</v>
      </c>
      <c r="D5" s="33" t="s">
        <v>65</v>
      </c>
      <c r="E5" s="34"/>
      <c r="F5" s="33">
        <v>4</v>
      </c>
      <c r="G5" s="17"/>
      <c r="I5">
        <f t="shared" si="0"/>
        <v>4</v>
      </c>
    </row>
    <row r="6" ht="22" customHeight="1" spans="1:9">
      <c r="A6" s="12">
        <v>4</v>
      </c>
      <c r="B6" s="32">
        <v>46107</v>
      </c>
      <c r="C6" s="33" t="s">
        <v>19</v>
      </c>
      <c r="D6" s="33" t="s">
        <v>65</v>
      </c>
      <c r="E6" s="33">
        <v>4</v>
      </c>
      <c r="F6" s="34"/>
      <c r="G6" s="17"/>
      <c r="I6">
        <f t="shared" si="0"/>
        <v>4</v>
      </c>
    </row>
    <row r="7" ht="22" customHeight="1" spans="1:9">
      <c r="A7" s="12">
        <v>5</v>
      </c>
      <c r="B7" s="32">
        <v>46107</v>
      </c>
      <c r="C7" s="33" t="s">
        <v>21</v>
      </c>
      <c r="D7" s="33" t="s">
        <v>65</v>
      </c>
      <c r="E7" s="34"/>
      <c r="F7" s="33">
        <v>4</v>
      </c>
      <c r="G7" s="17"/>
      <c r="I7">
        <f t="shared" si="0"/>
        <v>4</v>
      </c>
    </row>
    <row r="8" customFormat="1" ht="22" customHeight="1" spans="1:9">
      <c r="A8" s="12">
        <v>6</v>
      </c>
      <c r="B8" s="32">
        <v>46107</v>
      </c>
      <c r="C8" s="19" t="s">
        <v>37</v>
      </c>
      <c r="D8" s="33" t="s">
        <v>65</v>
      </c>
      <c r="E8" s="19"/>
      <c r="F8" s="33">
        <v>4</v>
      </c>
      <c r="G8" s="19"/>
      <c r="I8">
        <f t="shared" si="0"/>
        <v>4</v>
      </c>
    </row>
    <row r="9" ht="22" customHeight="1" spans="1:9">
      <c r="A9" s="12">
        <v>7</v>
      </c>
      <c r="B9" s="32">
        <v>46107</v>
      </c>
      <c r="C9" s="33" t="s">
        <v>20</v>
      </c>
      <c r="D9" s="33" t="s">
        <v>65</v>
      </c>
      <c r="E9" s="34"/>
      <c r="F9" s="33">
        <v>4</v>
      </c>
      <c r="G9" s="17"/>
      <c r="I9">
        <f t="shared" si="0"/>
        <v>4</v>
      </c>
    </row>
    <row r="10" ht="22" customHeight="1" spans="1:9">
      <c r="A10" s="12">
        <v>8</v>
      </c>
      <c r="B10" s="32">
        <v>46107</v>
      </c>
      <c r="C10" s="33" t="s">
        <v>22</v>
      </c>
      <c r="D10" s="33" t="s">
        <v>65</v>
      </c>
      <c r="E10" s="33">
        <v>4</v>
      </c>
      <c r="F10" s="34"/>
      <c r="G10" s="20"/>
      <c r="I10">
        <f t="shared" si="0"/>
        <v>4</v>
      </c>
    </row>
    <row r="11" ht="22" customHeight="1" spans="1:9">
      <c r="A11" s="12">
        <v>9</v>
      </c>
      <c r="B11" s="32">
        <v>46107</v>
      </c>
      <c r="C11" s="33" t="s">
        <v>23</v>
      </c>
      <c r="D11" s="33" t="s">
        <v>65</v>
      </c>
      <c r="E11" s="34"/>
      <c r="F11" s="33">
        <v>4</v>
      </c>
      <c r="G11" s="20"/>
      <c r="I11">
        <f t="shared" si="0"/>
        <v>4</v>
      </c>
    </row>
    <row r="12" customFormat="1" ht="22" customHeight="1" spans="1:9">
      <c r="A12" s="12">
        <v>10</v>
      </c>
      <c r="B12" s="32">
        <v>46107</v>
      </c>
      <c r="C12" s="33" t="s">
        <v>24</v>
      </c>
      <c r="D12" s="33" t="s">
        <v>65</v>
      </c>
      <c r="E12" s="34"/>
      <c r="F12" s="33">
        <v>4</v>
      </c>
      <c r="G12" s="20"/>
      <c r="I12">
        <f t="shared" si="0"/>
        <v>4</v>
      </c>
    </row>
    <row r="13" customFormat="1" ht="22" customHeight="1" spans="1:9">
      <c r="A13" s="12">
        <v>11</v>
      </c>
      <c r="B13" s="32">
        <v>46107</v>
      </c>
      <c r="C13" s="33" t="s">
        <v>26</v>
      </c>
      <c r="D13" s="33" t="s">
        <v>65</v>
      </c>
      <c r="E13" s="33">
        <v>2</v>
      </c>
      <c r="F13" s="33">
        <v>2</v>
      </c>
      <c r="G13" s="20"/>
      <c r="I13">
        <f t="shared" si="0"/>
        <v>4</v>
      </c>
    </row>
    <row r="14" customFormat="1" ht="22" customHeight="1" spans="1:9">
      <c r="A14" s="12">
        <v>12</v>
      </c>
      <c r="B14" s="32">
        <v>46107</v>
      </c>
      <c r="C14" s="33" t="s">
        <v>27</v>
      </c>
      <c r="D14" s="33" t="s">
        <v>65</v>
      </c>
      <c r="E14" s="33">
        <v>2</v>
      </c>
      <c r="F14" s="33">
        <v>2</v>
      </c>
      <c r="G14" s="20"/>
      <c r="I14">
        <f t="shared" si="0"/>
        <v>4</v>
      </c>
    </row>
    <row r="15" customFormat="1" ht="22" customHeight="1" spans="1:9">
      <c r="A15" s="12">
        <v>13</v>
      </c>
      <c r="B15" s="32">
        <v>46107</v>
      </c>
      <c r="C15" s="33" t="s">
        <v>28</v>
      </c>
      <c r="D15" s="33" t="s">
        <v>65</v>
      </c>
      <c r="E15" s="33">
        <v>2</v>
      </c>
      <c r="F15" s="33">
        <v>2</v>
      </c>
      <c r="G15" s="20"/>
      <c r="I15">
        <f t="shared" si="0"/>
        <v>4</v>
      </c>
    </row>
    <row r="16" customFormat="1" ht="22" customHeight="1" spans="1:9">
      <c r="A16" s="12">
        <v>14</v>
      </c>
      <c r="B16" s="32">
        <v>46107</v>
      </c>
      <c r="C16" s="33" t="s">
        <v>30</v>
      </c>
      <c r="D16" s="33" t="s">
        <v>65</v>
      </c>
      <c r="E16" s="34"/>
      <c r="F16" s="33">
        <v>4</v>
      </c>
      <c r="G16" s="20"/>
      <c r="I16">
        <f t="shared" si="0"/>
        <v>4</v>
      </c>
    </row>
    <row r="17" customFormat="1" ht="22" customHeight="1" spans="1:9">
      <c r="A17" s="12">
        <v>15</v>
      </c>
      <c r="B17" s="32">
        <v>46107</v>
      </c>
      <c r="C17" s="33" t="s">
        <v>31</v>
      </c>
      <c r="D17" s="33" t="s">
        <v>65</v>
      </c>
      <c r="E17" s="33">
        <v>4</v>
      </c>
      <c r="F17" s="34"/>
      <c r="G17" s="20"/>
      <c r="I17">
        <f t="shared" si="0"/>
        <v>4</v>
      </c>
    </row>
    <row r="18" customFormat="1" ht="22" customHeight="1" spans="1:9">
      <c r="A18" s="12">
        <v>16</v>
      </c>
      <c r="B18" s="32">
        <v>46107</v>
      </c>
      <c r="C18" s="33" t="s">
        <v>32</v>
      </c>
      <c r="D18" s="33" t="s">
        <v>65</v>
      </c>
      <c r="E18" s="33">
        <v>2</v>
      </c>
      <c r="F18" s="33">
        <v>2</v>
      </c>
      <c r="G18" s="20"/>
      <c r="I18">
        <f t="shared" si="0"/>
        <v>4</v>
      </c>
    </row>
    <row r="19" customFormat="1" ht="22" customHeight="1" spans="1:9">
      <c r="A19" s="12">
        <v>17</v>
      </c>
      <c r="B19" s="32">
        <v>46107</v>
      </c>
      <c r="C19" s="33" t="s">
        <v>33</v>
      </c>
      <c r="D19" s="33" t="s">
        <v>65</v>
      </c>
      <c r="E19" s="33">
        <v>4</v>
      </c>
      <c r="F19" s="34"/>
      <c r="G19" s="20"/>
      <c r="I19">
        <f t="shared" si="0"/>
        <v>4</v>
      </c>
    </row>
    <row r="20" customFormat="1" ht="22" customHeight="1" spans="1:9">
      <c r="A20" s="12">
        <v>18</v>
      </c>
      <c r="B20" s="32">
        <v>46107</v>
      </c>
      <c r="C20" s="33" t="s">
        <v>34</v>
      </c>
      <c r="D20" s="33" t="s">
        <v>65</v>
      </c>
      <c r="E20" s="33">
        <v>4</v>
      </c>
      <c r="F20" s="35"/>
      <c r="G20" s="20"/>
      <c r="I20">
        <f t="shared" si="0"/>
        <v>4</v>
      </c>
    </row>
    <row r="21" customFormat="1" ht="22" customHeight="1" spans="1:9">
      <c r="A21" s="12">
        <v>19</v>
      </c>
      <c r="B21" s="32">
        <v>46107</v>
      </c>
      <c r="C21" s="19" t="s">
        <v>35</v>
      </c>
      <c r="D21" s="33" t="s">
        <v>65</v>
      </c>
      <c r="E21" s="33">
        <v>4</v>
      </c>
      <c r="F21" s="20"/>
      <c r="G21" s="20"/>
      <c r="I21">
        <f t="shared" si="0"/>
        <v>4</v>
      </c>
    </row>
    <row r="22" customFormat="1" ht="22" customHeight="1" spans="1:9">
      <c r="A22" s="12">
        <v>20</v>
      </c>
      <c r="B22" s="32">
        <v>46107</v>
      </c>
      <c r="C22" s="19" t="s">
        <v>36</v>
      </c>
      <c r="D22" s="33" t="s">
        <v>65</v>
      </c>
      <c r="E22" s="33">
        <v>2</v>
      </c>
      <c r="F22" s="33">
        <v>2</v>
      </c>
      <c r="G22" s="19"/>
      <c r="I22">
        <f t="shared" si="0"/>
        <v>4</v>
      </c>
    </row>
    <row r="23" customFormat="1" ht="22" customHeight="1" spans="1:9">
      <c r="A23" s="12">
        <v>21</v>
      </c>
      <c r="B23" s="32">
        <v>46107</v>
      </c>
      <c r="C23" s="19" t="s">
        <v>38</v>
      </c>
      <c r="D23" s="33" t="s">
        <v>65</v>
      </c>
      <c r="E23" s="33">
        <v>2</v>
      </c>
      <c r="F23" s="33">
        <v>2</v>
      </c>
      <c r="G23" s="19"/>
      <c r="I23">
        <f t="shared" si="0"/>
        <v>4</v>
      </c>
    </row>
    <row r="24" customFormat="1" ht="22" customHeight="1" spans="1:9">
      <c r="A24" s="12">
        <v>22</v>
      </c>
      <c r="B24" s="32">
        <v>46107</v>
      </c>
      <c r="C24" s="19" t="s">
        <v>40</v>
      </c>
      <c r="D24" s="33" t="s">
        <v>65</v>
      </c>
      <c r="E24" s="33">
        <v>4</v>
      </c>
      <c r="F24" s="19"/>
      <c r="G24" s="19"/>
      <c r="I24">
        <f t="shared" si="0"/>
        <v>4</v>
      </c>
    </row>
    <row r="25" customFormat="1" ht="22" customHeight="1" spans="1:9">
      <c r="A25" s="12"/>
      <c r="B25" s="32"/>
      <c r="C25" s="19"/>
      <c r="D25" s="33"/>
      <c r="E25" s="19"/>
      <c r="F25" s="19"/>
      <c r="G25" s="19"/>
      <c r="I25">
        <f t="shared" si="0"/>
        <v>0</v>
      </c>
    </row>
    <row r="26" customFormat="1" ht="22" customHeight="1" spans="1:9">
      <c r="A26" s="12"/>
      <c r="B26" s="32"/>
      <c r="C26" s="19"/>
      <c r="D26" s="33"/>
      <c r="E26" s="33"/>
      <c r="F26" s="41"/>
      <c r="G26" s="19"/>
      <c r="I26">
        <f t="shared" si="0"/>
        <v>0</v>
      </c>
    </row>
    <row r="27" customFormat="1" ht="22" customHeight="1" spans="1:9">
      <c r="A27" s="12"/>
      <c r="B27" s="36"/>
      <c r="C27" s="19"/>
      <c r="D27" s="37"/>
      <c r="E27" s="38"/>
      <c r="F27" s="28"/>
      <c r="G27" s="28"/>
      <c r="I27">
        <f t="shared" si="0"/>
        <v>0</v>
      </c>
    </row>
    <row r="28" customFormat="1" ht="13.5" spans="1:9">
      <c r="E28" s="39">
        <f>SUM(E3:E27)</f>
        <v>48</v>
      </c>
      <c r="F28" s="39">
        <f>SUM(F3:F27)</f>
        <v>40</v>
      </c>
      <c r="I28">
        <f t="shared" si="0"/>
        <v>88</v>
      </c>
    </row>
  </sheetData>
  <mergeCells count="1">
    <mergeCell ref="A1:G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workbookViewId="0">
      <pane ySplit="2" topLeftCell="A12" activePane="bottomLeft" state="frozen"/>
      <selection/>
      <selection pane="bottomLeft" activeCell="I3" sqref="I3:I27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25" customHeight="1" spans="1:9">
      <c r="A1" s="3" t="s">
        <v>49</v>
      </c>
      <c r="B1" s="3"/>
      <c r="C1" s="3"/>
      <c r="D1" s="3"/>
      <c r="E1" s="3"/>
      <c r="F1" s="30"/>
      <c r="G1" s="6"/>
    </row>
    <row r="2" s="1" customFormat="1" ht="32" customHeight="1" spans="1:9">
      <c r="A2" s="7" t="s">
        <v>2</v>
      </c>
      <c r="B2" s="7" t="s">
        <v>57</v>
      </c>
      <c r="C2" s="7" t="s">
        <v>3</v>
      </c>
      <c r="D2" s="31" t="s">
        <v>61</v>
      </c>
      <c r="E2" s="11" t="s">
        <v>62</v>
      </c>
      <c r="F2" s="11" t="s">
        <v>63</v>
      </c>
      <c r="G2" s="11" t="s">
        <v>7</v>
      </c>
    </row>
    <row r="3" ht="22" customHeight="1" spans="1:9">
      <c r="A3" s="12">
        <v>1</v>
      </c>
      <c r="B3" s="32">
        <v>46111</v>
      </c>
      <c r="C3" s="33" t="s">
        <v>13</v>
      </c>
      <c r="D3" s="33" t="s">
        <v>64</v>
      </c>
      <c r="E3" s="33">
        <v>3</v>
      </c>
      <c r="F3" s="34"/>
      <c r="G3" s="16"/>
      <c r="I3">
        <f>E3+F3</f>
        <v>3</v>
      </c>
    </row>
    <row r="4" ht="22" customHeight="1" spans="1:9">
      <c r="A4" s="12">
        <v>2</v>
      </c>
      <c r="B4" s="32">
        <v>46111</v>
      </c>
      <c r="C4" s="33" t="s">
        <v>16</v>
      </c>
      <c r="D4" s="33" t="s">
        <v>64</v>
      </c>
      <c r="E4" s="33">
        <v>3</v>
      </c>
      <c r="F4" s="34"/>
      <c r="G4" s="17"/>
      <c r="I4">
        <f t="shared" ref="I4:I27" si="0">E4+F4</f>
        <v>3</v>
      </c>
    </row>
    <row r="5" ht="22" customHeight="1" spans="1:9">
      <c r="A5" s="12">
        <v>3</v>
      </c>
      <c r="B5" s="32">
        <v>46111</v>
      </c>
      <c r="C5" s="33" t="s">
        <v>18</v>
      </c>
      <c r="D5" s="33" t="s">
        <v>64</v>
      </c>
      <c r="E5" s="34"/>
      <c r="F5" s="33">
        <v>3</v>
      </c>
      <c r="G5" s="17"/>
      <c r="I5">
        <f t="shared" si="0"/>
        <v>3</v>
      </c>
    </row>
    <row r="6" ht="22" customHeight="1" spans="1:9">
      <c r="A6" s="12">
        <v>4</v>
      </c>
      <c r="B6" s="32">
        <v>46111</v>
      </c>
      <c r="C6" s="33" t="s">
        <v>19</v>
      </c>
      <c r="D6" s="33" t="s">
        <v>64</v>
      </c>
      <c r="E6" s="33">
        <v>3</v>
      </c>
      <c r="F6" s="34"/>
      <c r="G6" s="17"/>
      <c r="I6">
        <f t="shared" si="0"/>
        <v>3</v>
      </c>
    </row>
    <row r="7" ht="22" customHeight="1" spans="1:9">
      <c r="A7" s="12">
        <v>5</v>
      </c>
      <c r="B7" s="32">
        <v>46111</v>
      </c>
      <c r="C7" s="33" t="s">
        <v>21</v>
      </c>
      <c r="D7" s="33" t="s">
        <v>64</v>
      </c>
      <c r="E7" s="34"/>
      <c r="F7" s="33">
        <v>3</v>
      </c>
      <c r="G7" s="17"/>
      <c r="I7">
        <f t="shared" si="0"/>
        <v>3</v>
      </c>
    </row>
    <row r="8" customFormat="1" ht="22" customHeight="1" spans="1:9">
      <c r="A8" s="12">
        <v>6</v>
      </c>
      <c r="B8" s="32">
        <v>46111</v>
      </c>
      <c r="C8" s="19" t="s">
        <v>37</v>
      </c>
      <c r="D8" s="33" t="s">
        <v>64</v>
      </c>
      <c r="E8" s="19"/>
      <c r="F8" s="33">
        <v>3</v>
      </c>
      <c r="G8" s="19"/>
      <c r="I8">
        <f t="shared" si="0"/>
        <v>3</v>
      </c>
    </row>
    <row r="9" ht="22" customHeight="1" spans="1:9">
      <c r="A9" s="12">
        <v>7</v>
      </c>
      <c r="B9" s="32">
        <v>46111</v>
      </c>
      <c r="C9" s="33" t="s">
        <v>20</v>
      </c>
      <c r="D9" s="33" t="s">
        <v>64</v>
      </c>
      <c r="E9" s="34"/>
      <c r="F9" s="33">
        <v>3</v>
      </c>
      <c r="G9" s="17"/>
      <c r="I9">
        <f t="shared" si="0"/>
        <v>3</v>
      </c>
    </row>
    <row r="10" ht="22" customHeight="1" spans="1:9">
      <c r="A10" s="12">
        <v>8</v>
      </c>
      <c r="B10" s="32">
        <v>46111</v>
      </c>
      <c r="C10" s="33" t="s">
        <v>22</v>
      </c>
      <c r="D10" s="33" t="s">
        <v>64</v>
      </c>
      <c r="E10" s="33">
        <v>3</v>
      </c>
      <c r="F10" s="34"/>
      <c r="G10" s="20"/>
      <c r="I10">
        <f t="shared" si="0"/>
        <v>3</v>
      </c>
    </row>
    <row r="11" ht="22" customHeight="1" spans="1:9">
      <c r="A11" s="12">
        <v>9</v>
      </c>
      <c r="B11" s="32">
        <v>46111</v>
      </c>
      <c r="C11" s="33" t="s">
        <v>23</v>
      </c>
      <c r="D11" s="33" t="s">
        <v>64</v>
      </c>
      <c r="E11" s="34"/>
      <c r="F11" s="33">
        <v>3</v>
      </c>
      <c r="G11" s="20"/>
      <c r="I11">
        <f t="shared" si="0"/>
        <v>3</v>
      </c>
    </row>
    <row r="12" customFormat="1" ht="22" customHeight="1" spans="1:9">
      <c r="A12" s="12">
        <v>10</v>
      </c>
      <c r="B12" s="32">
        <v>46111</v>
      </c>
      <c r="C12" s="33" t="s">
        <v>24</v>
      </c>
      <c r="D12" s="33" t="s">
        <v>64</v>
      </c>
      <c r="E12" s="34"/>
      <c r="F12" s="33">
        <v>3</v>
      </c>
      <c r="G12" s="20"/>
      <c r="I12">
        <f t="shared" si="0"/>
        <v>3</v>
      </c>
    </row>
    <row r="13" customFormat="1" ht="22" customHeight="1" spans="1:9">
      <c r="A13" s="12">
        <v>11</v>
      </c>
      <c r="B13" s="32">
        <v>46111</v>
      </c>
      <c r="C13" s="33" t="s">
        <v>26</v>
      </c>
      <c r="D13" s="33" t="s">
        <v>64</v>
      </c>
      <c r="E13" s="33">
        <v>2</v>
      </c>
      <c r="F13" s="33">
        <v>1</v>
      </c>
      <c r="G13" s="20"/>
      <c r="I13">
        <f t="shared" si="0"/>
        <v>3</v>
      </c>
    </row>
    <row r="14" customFormat="1" ht="22" customHeight="1" spans="1:9">
      <c r="A14" s="12">
        <v>12</v>
      </c>
      <c r="B14" s="32">
        <v>46111</v>
      </c>
      <c r="C14" s="33" t="s">
        <v>27</v>
      </c>
      <c r="D14" s="33" t="s">
        <v>64</v>
      </c>
      <c r="E14" s="33">
        <v>2</v>
      </c>
      <c r="F14" s="33">
        <v>1</v>
      </c>
      <c r="G14" s="20"/>
      <c r="I14">
        <f t="shared" si="0"/>
        <v>3</v>
      </c>
    </row>
    <row r="15" customFormat="1" ht="22" customHeight="1" spans="1:9">
      <c r="A15" s="12">
        <v>13</v>
      </c>
      <c r="B15" s="32">
        <v>46111</v>
      </c>
      <c r="C15" s="33" t="s">
        <v>28</v>
      </c>
      <c r="D15" s="33" t="s">
        <v>64</v>
      </c>
      <c r="E15" s="33">
        <v>2</v>
      </c>
      <c r="F15" s="33">
        <v>1</v>
      </c>
      <c r="G15" s="20"/>
      <c r="I15">
        <f t="shared" si="0"/>
        <v>3</v>
      </c>
    </row>
    <row r="16" customFormat="1" ht="22" customHeight="1" spans="1:9">
      <c r="A16" s="12">
        <v>14</v>
      </c>
      <c r="B16" s="32">
        <v>46111</v>
      </c>
      <c r="C16" s="33" t="s">
        <v>30</v>
      </c>
      <c r="D16" s="33" t="s">
        <v>64</v>
      </c>
      <c r="E16" s="34"/>
      <c r="F16" s="33">
        <v>3</v>
      </c>
      <c r="G16" s="20"/>
      <c r="I16">
        <f t="shared" si="0"/>
        <v>3</v>
      </c>
    </row>
    <row r="17" customFormat="1" ht="22" customHeight="1" spans="1:9">
      <c r="A17" s="12">
        <v>15</v>
      </c>
      <c r="B17" s="32">
        <v>46111</v>
      </c>
      <c r="C17" s="33" t="s">
        <v>31</v>
      </c>
      <c r="D17" s="33" t="s">
        <v>64</v>
      </c>
      <c r="E17" s="33">
        <v>3</v>
      </c>
      <c r="F17" s="34"/>
      <c r="G17" s="20"/>
      <c r="I17">
        <f t="shared" si="0"/>
        <v>3</v>
      </c>
    </row>
    <row r="18" customFormat="1" ht="22" customHeight="1" spans="1:9">
      <c r="A18" s="12">
        <v>16</v>
      </c>
      <c r="B18" s="32">
        <v>46111</v>
      </c>
      <c r="C18" s="33" t="s">
        <v>32</v>
      </c>
      <c r="D18" s="33" t="s">
        <v>64</v>
      </c>
      <c r="E18" s="33">
        <v>2</v>
      </c>
      <c r="F18" s="33">
        <v>1</v>
      </c>
      <c r="G18" s="20"/>
      <c r="I18">
        <f t="shared" si="0"/>
        <v>3</v>
      </c>
    </row>
    <row r="19" customFormat="1" ht="22" customHeight="1" spans="1:9">
      <c r="A19" s="12">
        <v>17</v>
      </c>
      <c r="B19" s="32">
        <v>46111</v>
      </c>
      <c r="C19" s="33" t="s">
        <v>33</v>
      </c>
      <c r="D19" s="33" t="s">
        <v>64</v>
      </c>
      <c r="E19" s="33">
        <v>3</v>
      </c>
      <c r="F19" s="34"/>
      <c r="G19" s="20"/>
      <c r="I19">
        <f t="shared" si="0"/>
        <v>3</v>
      </c>
    </row>
    <row r="20" customFormat="1" ht="22" customHeight="1" spans="1:9">
      <c r="A20" s="12">
        <v>18</v>
      </c>
      <c r="B20" s="32">
        <v>46111</v>
      </c>
      <c r="C20" s="33" t="s">
        <v>34</v>
      </c>
      <c r="D20" s="33" t="s">
        <v>64</v>
      </c>
      <c r="E20" s="33">
        <v>3</v>
      </c>
      <c r="F20" s="35"/>
      <c r="G20" s="20"/>
      <c r="I20">
        <f t="shared" si="0"/>
        <v>3</v>
      </c>
    </row>
    <row r="21" customFormat="1" ht="22" customHeight="1" spans="1:9">
      <c r="A21" s="12">
        <v>19</v>
      </c>
      <c r="B21" s="32">
        <v>46111</v>
      </c>
      <c r="C21" s="19" t="s">
        <v>35</v>
      </c>
      <c r="D21" s="33" t="s">
        <v>64</v>
      </c>
      <c r="E21" s="33">
        <v>3</v>
      </c>
      <c r="F21" s="20"/>
      <c r="G21" s="20"/>
      <c r="I21">
        <f t="shared" si="0"/>
        <v>3</v>
      </c>
    </row>
    <row r="22" customFormat="1" ht="22" customHeight="1" spans="1:9">
      <c r="A22" s="12">
        <v>20</v>
      </c>
      <c r="B22" s="32">
        <v>46111</v>
      </c>
      <c r="C22" s="19" t="s">
        <v>36</v>
      </c>
      <c r="D22" s="33" t="s">
        <v>64</v>
      </c>
      <c r="E22" s="19">
        <v>2</v>
      </c>
      <c r="F22" s="19">
        <v>1</v>
      </c>
      <c r="G22" s="19"/>
      <c r="I22">
        <f t="shared" si="0"/>
        <v>3</v>
      </c>
    </row>
    <row r="23" customFormat="1" ht="22" customHeight="1" spans="1:9">
      <c r="A23" s="12">
        <v>21</v>
      </c>
      <c r="B23" s="32">
        <v>46111</v>
      </c>
      <c r="C23" s="19" t="s">
        <v>38</v>
      </c>
      <c r="D23" s="33" t="s">
        <v>64</v>
      </c>
      <c r="E23" s="19">
        <v>2</v>
      </c>
      <c r="F23" s="19">
        <v>1</v>
      </c>
      <c r="G23" s="19"/>
      <c r="I23">
        <f t="shared" si="0"/>
        <v>3</v>
      </c>
    </row>
    <row r="24" customFormat="1" ht="22" customHeight="1" spans="1:9">
      <c r="A24" s="12">
        <v>22</v>
      </c>
      <c r="B24" s="32">
        <v>46111</v>
      </c>
      <c r="C24" s="19" t="s">
        <v>40</v>
      </c>
      <c r="D24" s="33" t="s">
        <v>64</v>
      </c>
      <c r="E24" s="33">
        <v>3</v>
      </c>
      <c r="F24" s="19"/>
      <c r="G24" s="19"/>
      <c r="I24">
        <f t="shared" si="0"/>
        <v>3</v>
      </c>
    </row>
    <row r="25" customFormat="1" ht="22" customHeight="1" spans="1:9">
      <c r="A25" s="12"/>
      <c r="B25" s="32"/>
      <c r="C25" s="19"/>
      <c r="D25" s="33"/>
      <c r="E25" s="33"/>
      <c r="F25" s="41"/>
      <c r="G25" s="19"/>
      <c r="I25">
        <f t="shared" si="0"/>
        <v>0</v>
      </c>
    </row>
    <row r="26" customFormat="1" ht="22" customHeight="1" spans="1:9">
      <c r="A26" s="12"/>
      <c r="B26" s="36"/>
      <c r="C26" s="19"/>
      <c r="D26" s="37"/>
      <c r="E26" s="38"/>
      <c r="F26" s="28"/>
      <c r="G26" s="28"/>
      <c r="I26">
        <f t="shared" si="0"/>
        <v>0</v>
      </c>
    </row>
    <row r="27" customFormat="1" ht="13.5" spans="1:9">
      <c r="E27" s="39">
        <f>SUM(E3:E26)</f>
        <v>39</v>
      </c>
      <c r="F27" s="39">
        <f>SUM(F3:F26)</f>
        <v>27</v>
      </c>
      <c r="I27">
        <f t="shared" si="0"/>
        <v>66</v>
      </c>
    </row>
    <row r="29" customFormat="1" ht="22" customHeight="1" spans="1:9">
      <c r="A29" s="12"/>
      <c r="B29" s="42">
        <v>46114</v>
      </c>
      <c r="C29" s="43" t="s">
        <v>42</v>
      </c>
      <c r="D29" s="44" t="s">
        <v>65</v>
      </c>
      <c r="E29" s="40"/>
      <c r="F29" s="40">
        <v>4</v>
      </c>
      <c r="G29" s="19"/>
    </row>
    <row r="30" customFormat="1" ht="22" customHeight="1" spans="1:9">
      <c r="A30" s="12"/>
      <c r="B30" s="42">
        <v>46114</v>
      </c>
      <c r="C30" s="43" t="s">
        <v>44</v>
      </c>
      <c r="D30" s="44" t="s">
        <v>65</v>
      </c>
      <c r="E30" s="40">
        <v>4</v>
      </c>
      <c r="F30" s="45"/>
      <c r="G30" s="19"/>
    </row>
    <row r="31" customFormat="1" ht="22" customHeight="1" spans="1:9">
      <c r="A31" s="12"/>
      <c r="B31" s="42">
        <v>46114</v>
      </c>
      <c r="C31" s="43" t="s">
        <v>45</v>
      </c>
      <c r="D31" s="44" t="s">
        <v>65</v>
      </c>
      <c r="E31" s="40"/>
      <c r="F31" s="45">
        <v>4</v>
      </c>
      <c r="G31" s="19"/>
    </row>
  </sheetData>
  <mergeCells count="1">
    <mergeCell ref="A1:G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"/>
  <sheetViews>
    <sheetView workbookViewId="0">
      <pane ySplit="2" topLeftCell="A11" activePane="bottomLeft" state="frozen"/>
      <selection/>
      <selection pane="bottomLeft" activeCell="E28" sqref="E28:E29"/>
    </sheetView>
  </sheetViews>
  <sheetFormatPr defaultColWidth="9.14285714285714" defaultRowHeight="12"/>
  <cols>
    <col min="1" max="1" width="12.1428571428571" customWidth="1"/>
    <col min="2" max="2" width="14.4285714285714" style="2" customWidth="1"/>
    <col min="3" max="3" width="26" style="2" customWidth="1"/>
    <col min="4" max="6" width="12.1428571428571" style="2" customWidth="1"/>
    <col min="7" max="7" width="25.2857142857143" customWidth="1"/>
  </cols>
  <sheetData>
    <row r="1" ht="27" customHeight="1" spans="1:9">
      <c r="A1" s="3" t="s">
        <v>49</v>
      </c>
      <c r="B1" s="4"/>
      <c r="C1" s="4"/>
      <c r="D1" s="4"/>
      <c r="E1" s="4"/>
      <c r="F1" s="5"/>
      <c r="G1" s="6"/>
    </row>
    <row r="2" s="1" customFormat="1" ht="32" customHeight="1" spans="1:9">
      <c r="A2" s="7" t="s">
        <v>2</v>
      </c>
      <c r="B2" s="8" t="s">
        <v>57</v>
      </c>
      <c r="C2" s="8" t="s">
        <v>3</v>
      </c>
      <c r="D2" s="9" t="s">
        <v>61</v>
      </c>
      <c r="E2" s="10" t="s">
        <v>62</v>
      </c>
      <c r="F2" s="10" t="s">
        <v>63</v>
      </c>
      <c r="G2" s="11" t="s">
        <v>7</v>
      </c>
    </row>
    <row r="3" ht="22" customHeight="1" spans="1:9">
      <c r="A3" s="12">
        <v>1</v>
      </c>
      <c r="B3" s="13">
        <v>46114</v>
      </c>
      <c r="C3" s="14" t="s">
        <v>13</v>
      </c>
      <c r="D3" s="14" t="s">
        <v>65</v>
      </c>
      <c r="E3" s="14">
        <v>4</v>
      </c>
      <c r="F3" s="15"/>
      <c r="G3" s="16"/>
      <c r="I3">
        <f>E3+F3</f>
        <v>4</v>
      </c>
    </row>
    <row r="4" ht="22" customHeight="1" spans="1:9">
      <c r="A4" s="12">
        <v>2</v>
      </c>
      <c r="B4" s="13">
        <v>46114</v>
      </c>
      <c r="C4" s="14" t="s">
        <v>16</v>
      </c>
      <c r="D4" s="14" t="s">
        <v>65</v>
      </c>
      <c r="E4" s="14">
        <v>4</v>
      </c>
      <c r="F4" s="15"/>
      <c r="G4" s="17"/>
      <c r="I4">
        <f t="shared" ref="I4:I31" si="0">E4+F4</f>
        <v>4</v>
      </c>
    </row>
    <row r="5" ht="22" customHeight="1" spans="1:9">
      <c r="A5" s="12">
        <v>3</v>
      </c>
      <c r="B5" s="13">
        <v>46114</v>
      </c>
      <c r="C5" s="14" t="s">
        <v>18</v>
      </c>
      <c r="D5" s="14" t="s">
        <v>65</v>
      </c>
      <c r="E5" s="15"/>
      <c r="F5" s="14">
        <v>4</v>
      </c>
      <c r="G5" s="17"/>
      <c r="I5">
        <f t="shared" si="0"/>
        <v>4</v>
      </c>
    </row>
    <row r="6" ht="22" customHeight="1" spans="1:9">
      <c r="A6" s="12">
        <v>4</v>
      </c>
      <c r="B6" s="13">
        <v>46114</v>
      </c>
      <c r="C6" s="14" t="s">
        <v>19</v>
      </c>
      <c r="D6" s="14" t="s">
        <v>65</v>
      </c>
      <c r="E6" s="14">
        <v>4</v>
      </c>
      <c r="F6" s="15"/>
      <c r="G6" s="17"/>
      <c r="I6">
        <f t="shared" si="0"/>
        <v>4</v>
      </c>
    </row>
    <row r="7" ht="22" customHeight="1" spans="1:9">
      <c r="A7" s="12">
        <v>5</v>
      </c>
      <c r="B7" s="13">
        <v>46114</v>
      </c>
      <c r="C7" s="14" t="s">
        <v>21</v>
      </c>
      <c r="D7" s="14" t="s">
        <v>65</v>
      </c>
      <c r="E7" s="15"/>
      <c r="F7" s="14">
        <v>4</v>
      </c>
      <c r="G7" s="17"/>
      <c r="I7">
        <f t="shared" si="0"/>
        <v>4</v>
      </c>
    </row>
    <row r="8" customFormat="1" ht="22" customHeight="1" spans="1:9">
      <c r="A8" s="12">
        <v>6</v>
      </c>
      <c r="B8" s="13">
        <v>46114</v>
      </c>
      <c r="C8" s="18" t="s">
        <v>37</v>
      </c>
      <c r="D8" s="14" t="s">
        <v>65</v>
      </c>
      <c r="E8" s="18"/>
      <c r="F8" s="14">
        <v>4</v>
      </c>
      <c r="G8" s="19"/>
      <c r="I8">
        <f t="shared" si="0"/>
        <v>4</v>
      </c>
    </row>
    <row r="9" ht="22" customHeight="1" spans="1:9">
      <c r="A9" s="12">
        <v>7</v>
      </c>
      <c r="B9" s="13">
        <v>46114</v>
      </c>
      <c r="C9" s="14" t="s">
        <v>20</v>
      </c>
      <c r="D9" s="14" t="s">
        <v>65</v>
      </c>
      <c r="E9" s="15"/>
      <c r="F9" s="14">
        <v>4</v>
      </c>
      <c r="G9" s="17"/>
      <c r="I9">
        <f t="shared" si="0"/>
        <v>4</v>
      </c>
    </row>
    <row r="10" ht="22" customHeight="1" spans="1:9">
      <c r="A10" s="12">
        <v>8</v>
      </c>
      <c r="B10" s="13">
        <v>46114</v>
      </c>
      <c r="C10" s="14" t="s">
        <v>22</v>
      </c>
      <c r="D10" s="14" t="s">
        <v>65</v>
      </c>
      <c r="E10" s="14">
        <v>4</v>
      </c>
      <c r="F10" s="15"/>
      <c r="G10" s="20"/>
      <c r="I10">
        <f t="shared" si="0"/>
        <v>4</v>
      </c>
    </row>
    <row r="11" ht="22" customHeight="1" spans="1:9">
      <c r="A11" s="12">
        <v>9</v>
      </c>
      <c r="B11" s="13">
        <v>46114</v>
      </c>
      <c r="C11" s="14" t="s">
        <v>23</v>
      </c>
      <c r="D11" s="14" t="s">
        <v>65</v>
      </c>
      <c r="E11" s="15"/>
      <c r="F11" s="14">
        <v>4</v>
      </c>
      <c r="G11" s="20"/>
      <c r="I11">
        <f t="shared" si="0"/>
        <v>4</v>
      </c>
    </row>
    <row r="12" customFormat="1" ht="22" customHeight="1" spans="1:9">
      <c r="A12" s="12">
        <v>10</v>
      </c>
      <c r="B12" s="13">
        <v>46114</v>
      </c>
      <c r="C12" s="14" t="s">
        <v>24</v>
      </c>
      <c r="D12" s="14" t="s">
        <v>65</v>
      </c>
      <c r="E12" s="15"/>
      <c r="F12" s="14">
        <v>4</v>
      </c>
      <c r="G12" s="20"/>
      <c r="I12">
        <f t="shared" si="0"/>
        <v>4</v>
      </c>
    </row>
    <row r="13" customFormat="1" ht="22" customHeight="1" spans="1:9">
      <c r="A13" s="12">
        <v>11</v>
      </c>
      <c r="B13" s="13">
        <v>46114</v>
      </c>
      <c r="C13" s="14" t="s">
        <v>26</v>
      </c>
      <c r="D13" s="14" t="s">
        <v>65</v>
      </c>
      <c r="E13" s="14">
        <v>2</v>
      </c>
      <c r="F13" s="14">
        <v>2</v>
      </c>
      <c r="G13" s="20"/>
      <c r="I13">
        <f t="shared" si="0"/>
        <v>4</v>
      </c>
    </row>
    <row r="14" customFormat="1" ht="22" customHeight="1" spans="1:9">
      <c r="A14" s="12">
        <v>12</v>
      </c>
      <c r="B14" s="13">
        <v>46114</v>
      </c>
      <c r="C14" s="14" t="s">
        <v>27</v>
      </c>
      <c r="D14" s="14" t="s">
        <v>65</v>
      </c>
      <c r="E14" s="14">
        <v>2</v>
      </c>
      <c r="F14" s="14">
        <v>2</v>
      </c>
      <c r="G14" s="20"/>
      <c r="I14">
        <f t="shared" si="0"/>
        <v>4</v>
      </c>
    </row>
    <row r="15" customFormat="1" ht="22" customHeight="1" spans="1:9">
      <c r="A15" s="12">
        <v>13</v>
      </c>
      <c r="B15" s="13">
        <v>46114</v>
      </c>
      <c r="C15" s="14" t="s">
        <v>28</v>
      </c>
      <c r="D15" s="14" t="s">
        <v>65</v>
      </c>
      <c r="E15" s="14">
        <v>2</v>
      </c>
      <c r="F15" s="14">
        <v>2</v>
      </c>
      <c r="G15" s="20"/>
      <c r="I15">
        <f t="shared" si="0"/>
        <v>4</v>
      </c>
    </row>
    <row r="16" customFormat="1" ht="22" customHeight="1" spans="1:9">
      <c r="A16" s="12">
        <v>14</v>
      </c>
      <c r="B16" s="13">
        <v>46114</v>
      </c>
      <c r="C16" s="14" t="s">
        <v>30</v>
      </c>
      <c r="D16" s="14" t="s">
        <v>65</v>
      </c>
      <c r="E16" s="15"/>
      <c r="F16" s="14">
        <v>4</v>
      </c>
      <c r="G16" s="20"/>
      <c r="I16">
        <f t="shared" si="0"/>
        <v>4</v>
      </c>
    </row>
    <row r="17" customFormat="1" ht="22" customHeight="1" spans="1:9">
      <c r="A17" s="12">
        <v>15</v>
      </c>
      <c r="B17" s="13">
        <v>46114</v>
      </c>
      <c r="C17" s="14" t="s">
        <v>31</v>
      </c>
      <c r="D17" s="14" t="s">
        <v>65</v>
      </c>
      <c r="E17" s="14">
        <v>4</v>
      </c>
      <c r="F17" s="15"/>
      <c r="G17" s="20"/>
      <c r="I17">
        <f t="shared" si="0"/>
        <v>4</v>
      </c>
    </row>
    <row r="18" customFormat="1" ht="22" customHeight="1" spans="1:9">
      <c r="A18" s="12">
        <v>16</v>
      </c>
      <c r="B18" s="13">
        <v>46114</v>
      </c>
      <c r="C18" s="14" t="s">
        <v>32</v>
      </c>
      <c r="D18" s="14" t="s">
        <v>65</v>
      </c>
      <c r="E18" s="14">
        <v>2</v>
      </c>
      <c r="F18" s="14">
        <v>2</v>
      </c>
      <c r="G18" s="20"/>
      <c r="I18">
        <f t="shared" si="0"/>
        <v>4</v>
      </c>
    </row>
    <row r="19" customFormat="1" ht="22" customHeight="1" spans="1:9">
      <c r="A19" s="12">
        <v>17</v>
      </c>
      <c r="B19" s="13">
        <v>46114</v>
      </c>
      <c r="C19" s="14" t="s">
        <v>33</v>
      </c>
      <c r="D19" s="14" t="s">
        <v>65</v>
      </c>
      <c r="E19" s="14">
        <v>4</v>
      </c>
      <c r="F19" s="15"/>
      <c r="G19" s="20"/>
      <c r="I19">
        <f t="shared" si="0"/>
        <v>4</v>
      </c>
    </row>
    <row r="20" customFormat="1" ht="22" customHeight="1" spans="1:9">
      <c r="A20" s="12">
        <v>18</v>
      </c>
      <c r="B20" s="13">
        <v>46114</v>
      </c>
      <c r="C20" s="14" t="s">
        <v>34</v>
      </c>
      <c r="D20" s="14" t="s">
        <v>65</v>
      </c>
      <c r="E20" s="14">
        <v>4</v>
      </c>
      <c r="F20" s="21"/>
      <c r="G20" s="20"/>
      <c r="I20">
        <f t="shared" si="0"/>
        <v>4</v>
      </c>
    </row>
    <row r="21" customFormat="1" ht="22" customHeight="1" spans="1:9">
      <c r="A21" s="12">
        <v>19</v>
      </c>
      <c r="B21" s="13">
        <v>46114</v>
      </c>
      <c r="C21" s="18" t="s">
        <v>35</v>
      </c>
      <c r="D21" s="14" t="s">
        <v>65</v>
      </c>
      <c r="E21" s="14">
        <v>4</v>
      </c>
      <c r="F21" s="22"/>
      <c r="G21" s="20"/>
      <c r="I21">
        <f t="shared" si="0"/>
        <v>4</v>
      </c>
    </row>
    <row r="22" customFormat="1" ht="22" customHeight="1" spans="1:9">
      <c r="A22" s="12">
        <v>20</v>
      </c>
      <c r="B22" s="13">
        <v>46114</v>
      </c>
      <c r="C22" s="18" t="s">
        <v>36</v>
      </c>
      <c r="D22" s="14" t="s">
        <v>65</v>
      </c>
      <c r="E22" s="14">
        <v>2</v>
      </c>
      <c r="F22" s="14">
        <v>2</v>
      </c>
      <c r="G22" s="19"/>
      <c r="I22">
        <f t="shared" si="0"/>
        <v>4</v>
      </c>
    </row>
    <row r="23" customFormat="1" ht="22" customHeight="1" spans="1:9">
      <c r="A23" s="12">
        <v>21</v>
      </c>
      <c r="B23" s="13">
        <v>46114</v>
      </c>
      <c r="C23" s="18" t="s">
        <v>38</v>
      </c>
      <c r="D23" s="14" t="s">
        <v>65</v>
      </c>
      <c r="E23" s="14">
        <v>2</v>
      </c>
      <c r="F23" s="14">
        <v>2</v>
      </c>
      <c r="G23" s="19"/>
      <c r="I23">
        <f t="shared" si="0"/>
        <v>4</v>
      </c>
    </row>
    <row r="24" customFormat="1" ht="22" customHeight="1" spans="1:9">
      <c r="A24" s="12">
        <v>22</v>
      </c>
      <c r="B24" s="13">
        <v>46114</v>
      </c>
      <c r="C24" s="18" t="s">
        <v>40</v>
      </c>
      <c r="D24" s="14" t="s">
        <v>65</v>
      </c>
      <c r="E24" s="14">
        <v>4</v>
      </c>
      <c r="F24" s="18"/>
      <c r="G24" s="19"/>
      <c r="I24">
        <f t="shared" si="0"/>
        <v>4</v>
      </c>
    </row>
    <row r="25" customFormat="1" ht="22" customHeight="1" spans="1:9">
      <c r="A25" s="12">
        <v>23</v>
      </c>
      <c r="B25" s="13">
        <v>46114</v>
      </c>
      <c r="C25" s="18" t="s">
        <v>42</v>
      </c>
      <c r="D25" s="14" t="s">
        <v>65</v>
      </c>
      <c r="E25" s="18"/>
      <c r="F25" s="18">
        <v>4</v>
      </c>
      <c r="G25" s="19"/>
      <c r="I25">
        <f t="shared" si="0"/>
        <v>4</v>
      </c>
    </row>
    <row r="26" customFormat="1" ht="22" customHeight="1" spans="1:9">
      <c r="A26" s="12">
        <v>24</v>
      </c>
      <c r="B26" s="13">
        <v>46114</v>
      </c>
      <c r="C26" s="18" t="s">
        <v>44</v>
      </c>
      <c r="D26" s="14" t="s">
        <v>65</v>
      </c>
      <c r="E26" s="18">
        <v>4</v>
      </c>
      <c r="F26" s="23"/>
      <c r="G26" s="19"/>
      <c r="I26">
        <f t="shared" si="0"/>
        <v>4</v>
      </c>
    </row>
    <row r="27" customFormat="1" ht="22" customHeight="1" spans="1:9">
      <c r="A27" s="12">
        <v>25</v>
      </c>
      <c r="B27" s="13">
        <v>46114</v>
      </c>
      <c r="C27" s="18" t="s">
        <v>45</v>
      </c>
      <c r="D27" s="14" t="s">
        <v>65</v>
      </c>
      <c r="E27" s="18"/>
      <c r="F27" s="23">
        <v>4</v>
      </c>
      <c r="G27" s="19"/>
      <c r="I27">
        <f t="shared" si="0"/>
        <v>4</v>
      </c>
    </row>
    <row r="28" customFormat="1" ht="22" customHeight="1" spans="1:9">
      <c r="A28" s="12"/>
      <c r="B28" s="13"/>
      <c r="C28" s="40" t="s">
        <v>46</v>
      </c>
      <c r="D28" s="14"/>
      <c r="E28" s="18"/>
      <c r="F28" s="18"/>
      <c r="G28" s="19"/>
      <c r="I28">
        <f t="shared" si="0"/>
        <v>0</v>
      </c>
    </row>
    <row r="29" customFormat="1" ht="22" customHeight="1" spans="1:9">
      <c r="A29" s="12"/>
      <c r="B29" s="13"/>
      <c r="C29" s="40" t="s">
        <v>48</v>
      </c>
      <c r="D29" s="14"/>
      <c r="E29" s="14"/>
      <c r="F29" s="23"/>
      <c r="G29" s="19"/>
      <c r="I29">
        <f t="shared" si="0"/>
        <v>0</v>
      </c>
    </row>
    <row r="30" customFormat="1" ht="22" customHeight="1" spans="1:9">
      <c r="A30" s="12"/>
      <c r="B30" s="24"/>
      <c r="C30" s="18"/>
      <c r="D30" s="25"/>
      <c r="E30" s="26"/>
      <c r="F30" s="27"/>
      <c r="G30" s="28"/>
      <c r="I30">
        <f t="shared" si="0"/>
        <v>0</v>
      </c>
    </row>
    <row r="31" customFormat="1" ht="13.5" spans="1:9">
      <c r="B31" s="2"/>
      <c r="C31" s="2"/>
      <c r="D31" s="2"/>
      <c r="E31" s="29">
        <f>SUM(E3:E30)</f>
        <v>52</v>
      </c>
      <c r="F31" s="29">
        <f>SUM(F3:F30)</f>
        <v>48</v>
      </c>
      <c r="I31">
        <f t="shared" si="0"/>
        <v>100</v>
      </c>
    </row>
    <row r="33" customFormat="1"/>
    <row r="34" customFormat="1"/>
  </sheetData>
  <mergeCells count="1">
    <mergeCell ref="A1:G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workbookViewId="0">
      <pane ySplit="2" topLeftCell="A11" activePane="bottomLeft" state="frozen"/>
      <selection/>
      <selection pane="bottomLeft" activeCell="F27" sqref="F27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25" customHeight="1" spans="1:9">
      <c r="A1" s="3" t="s">
        <v>49</v>
      </c>
      <c r="B1" s="3"/>
      <c r="C1" s="3"/>
      <c r="D1" s="3"/>
      <c r="E1" s="3"/>
      <c r="F1" s="30"/>
      <c r="G1" s="6"/>
    </row>
    <row r="2" s="1" customFormat="1" ht="32" customHeight="1" spans="1:9">
      <c r="A2" s="7" t="s">
        <v>2</v>
      </c>
      <c r="B2" s="7" t="s">
        <v>57</v>
      </c>
      <c r="C2" s="7" t="s">
        <v>3</v>
      </c>
      <c r="D2" s="31" t="s">
        <v>61</v>
      </c>
      <c r="E2" s="11" t="s">
        <v>62</v>
      </c>
      <c r="F2" s="11" t="s">
        <v>63</v>
      </c>
      <c r="G2" s="11" t="s">
        <v>7</v>
      </c>
    </row>
    <row r="3" ht="22" customHeight="1" spans="1:9">
      <c r="A3" s="12">
        <v>1</v>
      </c>
      <c r="B3" s="32">
        <v>46119</v>
      </c>
      <c r="C3" s="33" t="s">
        <v>13</v>
      </c>
      <c r="D3" s="33" t="s">
        <v>64</v>
      </c>
      <c r="E3" s="33">
        <v>3</v>
      </c>
      <c r="F3" s="34"/>
      <c r="G3" s="16"/>
      <c r="I3">
        <f>E3+F3</f>
        <v>3</v>
      </c>
    </row>
    <row r="4" ht="22" customHeight="1" spans="1:9">
      <c r="A4" s="12">
        <v>2</v>
      </c>
      <c r="B4" s="32">
        <v>46119</v>
      </c>
      <c r="C4" s="33" t="s">
        <v>16</v>
      </c>
      <c r="D4" s="33" t="s">
        <v>64</v>
      </c>
      <c r="E4" s="33">
        <v>3</v>
      </c>
      <c r="F4" s="34"/>
      <c r="G4" s="17"/>
      <c r="I4">
        <f t="shared" ref="I4:I31" si="0">E4+F4</f>
        <v>3</v>
      </c>
    </row>
    <row r="5" ht="22" customHeight="1" spans="1:9">
      <c r="A5" s="12">
        <v>3</v>
      </c>
      <c r="B5" s="32">
        <v>46119</v>
      </c>
      <c r="C5" s="33" t="s">
        <v>18</v>
      </c>
      <c r="D5" s="33" t="s">
        <v>64</v>
      </c>
      <c r="E5" s="34"/>
      <c r="F5" s="33">
        <v>3</v>
      </c>
      <c r="G5" s="17"/>
      <c r="I5">
        <f t="shared" si="0"/>
        <v>3</v>
      </c>
    </row>
    <row r="6" ht="22" customHeight="1" spans="1:9">
      <c r="A6" s="12">
        <v>4</v>
      </c>
      <c r="B6" s="32">
        <v>46119</v>
      </c>
      <c r="C6" s="33" t="s">
        <v>19</v>
      </c>
      <c r="D6" s="33" t="s">
        <v>64</v>
      </c>
      <c r="E6" s="33">
        <v>3</v>
      </c>
      <c r="F6" s="34"/>
      <c r="G6" s="17"/>
      <c r="I6">
        <f t="shared" si="0"/>
        <v>3</v>
      </c>
    </row>
    <row r="7" ht="22" customHeight="1" spans="1:9">
      <c r="A7" s="12">
        <v>5</v>
      </c>
      <c r="B7" s="32">
        <v>46119</v>
      </c>
      <c r="C7" s="33" t="s">
        <v>21</v>
      </c>
      <c r="D7" s="33" t="s">
        <v>64</v>
      </c>
      <c r="E7" s="34"/>
      <c r="F7" s="33">
        <v>3</v>
      </c>
      <c r="G7" s="17"/>
      <c r="I7">
        <f t="shared" si="0"/>
        <v>3</v>
      </c>
    </row>
    <row r="8" customFormat="1" ht="22" customHeight="1" spans="1:9">
      <c r="A8" s="12">
        <v>6</v>
      </c>
      <c r="B8" s="32">
        <v>46119</v>
      </c>
      <c r="C8" s="19" t="s">
        <v>37</v>
      </c>
      <c r="D8" s="33" t="s">
        <v>64</v>
      </c>
      <c r="E8" s="19"/>
      <c r="F8" s="33">
        <v>3</v>
      </c>
      <c r="G8" s="19"/>
      <c r="I8">
        <f t="shared" si="0"/>
        <v>3</v>
      </c>
    </row>
    <row r="9" ht="22" customHeight="1" spans="1:9">
      <c r="A9" s="12">
        <v>7</v>
      </c>
      <c r="B9" s="32">
        <v>46119</v>
      </c>
      <c r="C9" s="33" t="s">
        <v>20</v>
      </c>
      <c r="D9" s="33" t="s">
        <v>64</v>
      </c>
      <c r="E9" s="34"/>
      <c r="F9" s="33">
        <v>3</v>
      </c>
      <c r="G9" s="17"/>
      <c r="I9">
        <f t="shared" si="0"/>
        <v>3</v>
      </c>
    </row>
    <row r="10" ht="22" customHeight="1" spans="1:9">
      <c r="A10" s="12">
        <v>8</v>
      </c>
      <c r="B10" s="32">
        <v>46119</v>
      </c>
      <c r="C10" s="33" t="s">
        <v>22</v>
      </c>
      <c r="D10" s="33" t="s">
        <v>64</v>
      </c>
      <c r="E10" s="33">
        <v>3</v>
      </c>
      <c r="F10" s="34"/>
      <c r="G10" s="20"/>
      <c r="I10">
        <f t="shared" si="0"/>
        <v>3</v>
      </c>
    </row>
    <row r="11" ht="22" customHeight="1" spans="1:9">
      <c r="A11" s="12">
        <v>9</v>
      </c>
      <c r="B11" s="32">
        <v>46119</v>
      </c>
      <c r="C11" s="33" t="s">
        <v>23</v>
      </c>
      <c r="D11" s="33" t="s">
        <v>64</v>
      </c>
      <c r="E11" s="34"/>
      <c r="F11" s="33">
        <v>3</v>
      </c>
      <c r="G11" s="20"/>
      <c r="I11">
        <f t="shared" si="0"/>
        <v>3</v>
      </c>
    </row>
    <row r="12" customFormat="1" ht="22" customHeight="1" spans="1:9">
      <c r="A12" s="12">
        <v>10</v>
      </c>
      <c r="B12" s="32">
        <v>46119</v>
      </c>
      <c r="C12" s="33" t="s">
        <v>24</v>
      </c>
      <c r="D12" s="33" t="s">
        <v>64</v>
      </c>
      <c r="E12" s="34"/>
      <c r="F12" s="33">
        <v>3</v>
      </c>
      <c r="G12" s="20"/>
      <c r="I12">
        <f t="shared" si="0"/>
        <v>3</v>
      </c>
    </row>
    <row r="13" customFormat="1" ht="22" customHeight="1" spans="1:9">
      <c r="A13" s="12">
        <v>11</v>
      </c>
      <c r="B13" s="32">
        <v>46119</v>
      </c>
      <c r="C13" s="33" t="s">
        <v>26</v>
      </c>
      <c r="D13" s="33" t="s">
        <v>64</v>
      </c>
      <c r="E13" s="33">
        <v>2</v>
      </c>
      <c r="F13" s="33">
        <v>1</v>
      </c>
      <c r="G13" s="20"/>
      <c r="I13">
        <f t="shared" si="0"/>
        <v>3</v>
      </c>
    </row>
    <row r="14" customFormat="1" ht="22" customHeight="1" spans="1:9">
      <c r="A14" s="12">
        <v>12</v>
      </c>
      <c r="B14" s="32">
        <v>46119</v>
      </c>
      <c r="C14" s="33" t="s">
        <v>27</v>
      </c>
      <c r="D14" s="33" t="s">
        <v>64</v>
      </c>
      <c r="E14" s="33">
        <v>2</v>
      </c>
      <c r="F14" s="33">
        <v>1</v>
      </c>
      <c r="G14" s="20"/>
      <c r="I14">
        <f t="shared" si="0"/>
        <v>3</v>
      </c>
    </row>
    <row r="15" customFormat="1" ht="22" customHeight="1" spans="1:9">
      <c r="A15" s="12">
        <v>13</v>
      </c>
      <c r="B15" s="32">
        <v>46119</v>
      </c>
      <c r="C15" s="33" t="s">
        <v>28</v>
      </c>
      <c r="D15" s="33" t="s">
        <v>64</v>
      </c>
      <c r="E15" s="33">
        <v>2</v>
      </c>
      <c r="F15" s="33">
        <v>1</v>
      </c>
      <c r="G15" s="20"/>
      <c r="I15">
        <f t="shared" si="0"/>
        <v>3</v>
      </c>
    </row>
    <row r="16" customFormat="1" ht="22" customHeight="1" spans="1:9">
      <c r="A16" s="12">
        <v>14</v>
      </c>
      <c r="B16" s="32">
        <v>46119</v>
      </c>
      <c r="C16" s="33" t="s">
        <v>30</v>
      </c>
      <c r="D16" s="33" t="s">
        <v>64</v>
      </c>
      <c r="E16" s="34"/>
      <c r="F16" s="33">
        <v>3</v>
      </c>
      <c r="G16" s="20"/>
      <c r="I16">
        <f t="shared" si="0"/>
        <v>3</v>
      </c>
    </row>
    <row r="17" customFormat="1" ht="22" customHeight="1" spans="1:9">
      <c r="A17" s="12">
        <v>15</v>
      </c>
      <c r="B17" s="32">
        <v>46119</v>
      </c>
      <c r="C17" s="33" t="s">
        <v>31</v>
      </c>
      <c r="D17" s="33" t="s">
        <v>64</v>
      </c>
      <c r="E17" s="33">
        <v>3</v>
      </c>
      <c r="F17" s="34"/>
      <c r="G17" s="20"/>
      <c r="I17">
        <f t="shared" si="0"/>
        <v>3</v>
      </c>
    </row>
    <row r="18" customFormat="1" ht="22" customHeight="1" spans="1:9">
      <c r="A18" s="12">
        <v>16</v>
      </c>
      <c r="B18" s="32">
        <v>46119</v>
      </c>
      <c r="C18" s="33" t="s">
        <v>32</v>
      </c>
      <c r="D18" s="33" t="s">
        <v>64</v>
      </c>
      <c r="E18" s="33">
        <v>2</v>
      </c>
      <c r="F18" s="33">
        <v>1</v>
      </c>
      <c r="G18" s="20"/>
      <c r="I18">
        <f t="shared" si="0"/>
        <v>3</v>
      </c>
    </row>
    <row r="19" customFormat="1" ht="22" customHeight="1" spans="1:9">
      <c r="A19" s="12">
        <v>17</v>
      </c>
      <c r="B19" s="32">
        <v>46119</v>
      </c>
      <c r="C19" s="33" t="s">
        <v>33</v>
      </c>
      <c r="D19" s="33" t="s">
        <v>64</v>
      </c>
      <c r="E19" s="33">
        <v>3</v>
      </c>
      <c r="F19" s="34"/>
      <c r="G19" s="20"/>
      <c r="I19">
        <f t="shared" si="0"/>
        <v>3</v>
      </c>
    </row>
    <row r="20" customFormat="1" ht="22" customHeight="1" spans="1:9">
      <c r="A20" s="12">
        <v>18</v>
      </c>
      <c r="B20" s="32">
        <v>46119</v>
      </c>
      <c r="C20" s="33" t="s">
        <v>34</v>
      </c>
      <c r="D20" s="33" t="s">
        <v>64</v>
      </c>
      <c r="E20" s="33">
        <v>3</v>
      </c>
      <c r="F20" s="35"/>
      <c r="G20" s="20"/>
      <c r="I20">
        <f t="shared" si="0"/>
        <v>3</v>
      </c>
    </row>
    <row r="21" customFormat="1" ht="22" customHeight="1" spans="1:9">
      <c r="A21" s="12">
        <v>19</v>
      </c>
      <c r="B21" s="32">
        <v>46119</v>
      </c>
      <c r="C21" s="19" t="s">
        <v>35</v>
      </c>
      <c r="D21" s="33" t="s">
        <v>64</v>
      </c>
      <c r="E21" s="33">
        <v>3</v>
      </c>
      <c r="F21" s="20"/>
      <c r="G21" s="20"/>
      <c r="I21">
        <f t="shared" si="0"/>
        <v>3</v>
      </c>
    </row>
    <row r="22" customFormat="1" ht="22" customHeight="1" spans="1:9">
      <c r="A22" s="12">
        <v>20</v>
      </c>
      <c r="B22" s="32">
        <v>46119</v>
      </c>
      <c r="C22" s="19" t="s">
        <v>36</v>
      </c>
      <c r="D22" s="33" t="s">
        <v>64</v>
      </c>
      <c r="E22" s="19">
        <v>2</v>
      </c>
      <c r="F22" s="19">
        <v>1</v>
      </c>
      <c r="G22" s="19"/>
      <c r="I22">
        <f t="shared" si="0"/>
        <v>3</v>
      </c>
    </row>
    <row r="23" customFormat="1" ht="22" customHeight="1" spans="1:9">
      <c r="A23" s="12">
        <v>21</v>
      </c>
      <c r="B23" s="32">
        <v>46119</v>
      </c>
      <c r="C23" s="19" t="s">
        <v>38</v>
      </c>
      <c r="D23" s="33" t="s">
        <v>64</v>
      </c>
      <c r="E23" s="19">
        <v>2</v>
      </c>
      <c r="F23" s="19">
        <v>1</v>
      </c>
      <c r="G23" s="19"/>
      <c r="I23">
        <f t="shared" si="0"/>
        <v>3</v>
      </c>
    </row>
    <row r="24" customFormat="1" ht="22" customHeight="1" spans="1:9">
      <c r="A24" s="12">
        <v>22</v>
      </c>
      <c r="B24" s="32">
        <v>46119</v>
      </c>
      <c r="C24" s="19" t="s">
        <v>40</v>
      </c>
      <c r="D24" s="33" t="s">
        <v>64</v>
      </c>
      <c r="E24" s="33">
        <v>3</v>
      </c>
      <c r="F24" s="19"/>
      <c r="G24" s="19"/>
      <c r="I24">
        <f t="shared" si="0"/>
        <v>3</v>
      </c>
    </row>
    <row r="25" customFormat="1" ht="22" customHeight="1" spans="1:9">
      <c r="A25" s="12">
        <v>23</v>
      </c>
      <c r="B25" s="32">
        <v>46119</v>
      </c>
      <c r="C25" s="19" t="s">
        <v>42</v>
      </c>
      <c r="D25" s="33" t="s">
        <v>64</v>
      </c>
      <c r="E25" s="33"/>
      <c r="F25" s="19">
        <v>3</v>
      </c>
      <c r="G25" s="19"/>
      <c r="I25">
        <f t="shared" si="0"/>
        <v>3</v>
      </c>
    </row>
    <row r="26" customFormat="1" ht="22" customHeight="1" spans="1:9">
      <c r="A26" s="12">
        <v>24</v>
      </c>
      <c r="B26" s="32">
        <v>46119</v>
      </c>
      <c r="C26" s="19" t="s">
        <v>44</v>
      </c>
      <c r="D26" s="33" t="s">
        <v>64</v>
      </c>
      <c r="E26" s="33">
        <v>3</v>
      </c>
      <c r="F26" s="19"/>
      <c r="G26" s="19"/>
      <c r="I26">
        <f t="shared" si="0"/>
        <v>3</v>
      </c>
    </row>
    <row r="27" customFormat="1" ht="22" customHeight="1" spans="1:9">
      <c r="A27" s="12">
        <v>25</v>
      </c>
      <c r="B27" s="32">
        <v>46119</v>
      </c>
      <c r="C27" s="19" t="s">
        <v>45</v>
      </c>
      <c r="D27" s="33" t="s">
        <v>64</v>
      </c>
      <c r="E27" s="33"/>
      <c r="F27" s="19">
        <v>3</v>
      </c>
      <c r="G27" s="19"/>
      <c r="I27">
        <f t="shared" si="0"/>
        <v>3</v>
      </c>
    </row>
    <row r="28" customFormat="1" ht="22" customHeight="1" spans="1:9">
      <c r="A28" s="12">
        <v>26</v>
      </c>
      <c r="B28" s="32">
        <v>46119</v>
      </c>
      <c r="C28" s="19" t="s">
        <v>46</v>
      </c>
      <c r="D28" s="33" t="s">
        <v>64</v>
      </c>
      <c r="E28" s="33">
        <v>3</v>
      </c>
      <c r="F28" s="19"/>
      <c r="G28" s="19"/>
      <c r="I28">
        <f t="shared" si="0"/>
        <v>3</v>
      </c>
    </row>
    <row r="29" customFormat="1" ht="22" customHeight="1" spans="1:9">
      <c r="A29" s="12">
        <v>27</v>
      </c>
      <c r="B29" s="32">
        <v>46119</v>
      </c>
      <c r="C29" s="19" t="s">
        <v>48</v>
      </c>
      <c r="D29" s="33" t="s">
        <v>64</v>
      </c>
      <c r="E29" s="33">
        <v>3</v>
      </c>
      <c r="F29" s="19"/>
      <c r="G29" s="19"/>
      <c r="I29">
        <f t="shared" si="0"/>
        <v>3</v>
      </c>
    </row>
    <row r="30" customFormat="1" ht="22" customHeight="1" spans="1:9">
      <c r="A30" s="12"/>
      <c r="B30" s="36"/>
      <c r="C30" s="19"/>
      <c r="D30" s="37"/>
      <c r="E30" s="38"/>
      <c r="F30" s="28"/>
      <c r="G30" s="28"/>
      <c r="I30">
        <f t="shared" si="0"/>
        <v>0</v>
      </c>
    </row>
    <row r="31" customFormat="1" ht="13.5" spans="1:9">
      <c r="E31" s="39">
        <f>SUM(E3:E30)</f>
        <v>48</v>
      </c>
      <c r="F31" s="39">
        <f>SUM(F3:F30)</f>
        <v>33</v>
      </c>
      <c r="I31">
        <f t="shared" si="0"/>
        <v>81</v>
      </c>
    </row>
  </sheetData>
  <mergeCells count="1">
    <mergeCell ref="A1:G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"/>
  <sheetViews>
    <sheetView workbookViewId="0">
      <pane ySplit="2" topLeftCell="A9" activePane="bottomLeft" state="frozen"/>
      <selection/>
      <selection pane="bottomLeft" activeCell="C23" sqref="C23"/>
    </sheetView>
  </sheetViews>
  <sheetFormatPr defaultColWidth="9.14285714285714" defaultRowHeight="12"/>
  <cols>
    <col min="1" max="1" width="8.57142857142857" customWidth="1"/>
    <col min="2" max="2" width="14.4285714285714" style="2" customWidth="1"/>
    <col min="3" max="3" width="18.1428571428571" style="2" customWidth="1"/>
    <col min="4" max="6" width="12.1428571428571" style="2" customWidth="1"/>
    <col min="7" max="7" width="25.2857142857143" customWidth="1"/>
  </cols>
  <sheetData>
    <row r="1" ht="27" customHeight="1" spans="1:9">
      <c r="A1" s="3" t="s">
        <v>49</v>
      </c>
      <c r="B1" s="4"/>
      <c r="C1" s="4"/>
      <c r="D1" s="4"/>
      <c r="E1" s="4"/>
      <c r="F1" s="5"/>
      <c r="G1" s="6"/>
    </row>
    <row r="2" s="1" customFormat="1" ht="32" customHeight="1" spans="1:9">
      <c r="A2" s="7" t="s">
        <v>2</v>
      </c>
      <c r="B2" s="8" t="s">
        <v>57</v>
      </c>
      <c r="C2" s="8" t="s">
        <v>3</v>
      </c>
      <c r="D2" s="9" t="s">
        <v>61</v>
      </c>
      <c r="E2" s="10" t="s">
        <v>62</v>
      </c>
      <c r="F2" s="10" t="s">
        <v>63</v>
      </c>
      <c r="G2" s="11" t="s">
        <v>7</v>
      </c>
    </row>
    <row r="3" ht="22" customHeight="1" spans="1:9">
      <c r="A3" s="12">
        <v>1</v>
      </c>
      <c r="B3" s="13">
        <v>46121</v>
      </c>
      <c r="C3" s="14" t="s">
        <v>13</v>
      </c>
      <c r="D3" s="14" t="s">
        <v>65</v>
      </c>
      <c r="E3" s="14">
        <v>4</v>
      </c>
      <c r="F3" s="15"/>
      <c r="G3" s="16"/>
      <c r="I3">
        <f>E3+F3</f>
        <v>4</v>
      </c>
    </row>
    <row r="4" ht="22" customHeight="1" spans="1:9">
      <c r="A4" s="12">
        <v>2</v>
      </c>
      <c r="B4" s="13">
        <v>46121</v>
      </c>
      <c r="C4" s="14" t="s">
        <v>16</v>
      </c>
      <c r="D4" s="14" t="s">
        <v>65</v>
      </c>
      <c r="E4" s="14">
        <v>4</v>
      </c>
      <c r="F4" s="15"/>
      <c r="G4" s="17"/>
      <c r="I4">
        <f t="shared" ref="I4:I31" si="0">E4+F4</f>
        <v>4</v>
      </c>
    </row>
    <row r="5" ht="22" customHeight="1" spans="1:9">
      <c r="A5" s="12">
        <v>3</v>
      </c>
      <c r="B5" s="13">
        <v>46121</v>
      </c>
      <c r="C5" s="14" t="s">
        <v>18</v>
      </c>
      <c r="D5" s="14" t="s">
        <v>65</v>
      </c>
      <c r="E5" s="15"/>
      <c r="F5" s="14">
        <v>4</v>
      </c>
      <c r="G5" s="17"/>
      <c r="I5">
        <f t="shared" si="0"/>
        <v>4</v>
      </c>
    </row>
    <row r="6" ht="22" customHeight="1" spans="1:9">
      <c r="A6" s="12">
        <v>4</v>
      </c>
      <c r="B6" s="13">
        <v>46121</v>
      </c>
      <c r="C6" s="14" t="s">
        <v>19</v>
      </c>
      <c r="D6" s="14" t="s">
        <v>65</v>
      </c>
      <c r="E6" s="14">
        <v>4</v>
      </c>
      <c r="F6" s="15"/>
      <c r="G6" s="17"/>
      <c r="I6">
        <f t="shared" si="0"/>
        <v>4</v>
      </c>
    </row>
    <row r="7" ht="22" customHeight="1" spans="1:9">
      <c r="A7" s="12">
        <v>5</v>
      </c>
      <c r="B7" s="13">
        <v>46121</v>
      </c>
      <c r="C7" s="14" t="s">
        <v>21</v>
      </c>
      <c r="D7" s="14" t="s">
        <v>65</v>
      </c>
      <c r="E7" s="15"/>
      <c r="F7" s="14">
        <v>4</v>
      </c>
      <c r="G7" s="17"/>
      <c r="I7">
        <f t="shared" si="0"/>
        <v>4</v>
      </c>
    </row>
    <row r="8" customFormat="1" ht="22" customHeight="1" spans="1:9">
      <c r="A8" s="12">
        <v>6</v>
      </c>
      <c r="B8" s="13">
        <v>46121</v>
      </c>
      <c r="C8" s="18" t="s">
        <v>37</v>
      </c>
      <c r="D8" s="14" t="s">
        <v>65</v>
      </c>
      <c r="E8" s="18"/>
      <c r="F8" s="14">
        <v>4</v>
      </c>
      <c r="G8" s="19"/>
      <c r="I8">
        <f t="shared" si="0"/>
        <v>4</v>
      </c>
    </row>
    <row r="9" ht="22" customHeight="1" spans="1:9">
      <c r="A9" s="12">
        <v>7</v>
      </c>
      <c r="B9" s="13">
        <v>46121</v>
      </c>
      <c r="C9" s="14" t="s">
        <v>20</v>
      </c>
      <c r="D9" s="14" t="s">
        <v>65</v>
      </c>
      <c r="E9" s="15"/>
      <c r="F9" s="14">
        <v>4</v>
      </c>
      <c r="G9" s="17"/>
      <c r="I9">
        <f t="shared" si="0"/>
        <v>4</v>
      </c>
    </row>
    <row r="10" ht="22" customHeight="1" spans="1:9">
      <c r="A10" s="12">
        <v>8</v>
      </c>
      <c r="B10" s="13">
        <v>46121</v>
      </c>
      <c r="C10" s="14" t="s">
        <v>22</v>
      </c>
      <c r="D10" s="14" t="s">
        <v>65</v>
      </c>
      <c r="E10" s="14">
        <v>4</v>
      </c>
      <c r="F10" s="15"/>
      <c r="G10" s="20"/>
      <c r="I10">
        <f t="shared" si="0"/>
        <v>4</v>
      </c>
    </row>
    <row r="11" ht="22" customHeight="1" spans="1:9">
      <c r="A11" s="12">
        <v>9</v>
      </c>
      <c r="B11" s="13">
        <v>46121</v>
      </c>
      <c r="C11" s="14" t="s">
        <v>23</v>
      </c>
      <c r="D11" s="14" t="s">
        <v>65</v>
      </c>
      <c r="E11" s="15"/>
      <c r="F11" s="14">
        <v>4</v>
      </c>
      <c r="G11" s="20"/>
      <c r="I11">
        <f t="shared" si="0"/>
        <v>4</v>
      </c>
    </row>
    <row r="12" customFormat="1" ht="22" customHeight="1" spans="1:9">
      <c r="A12" s="12">
        <v>10</v>
      </c>
      <c r="B12" s="13">
        <v>46121</v>
      </c>
      <c r="C12" s="14" t="s">
        <v>24</v>
      </c>
      <c r="D12" s="14" t="s">
        <v>65</v>
      </c>
      <c r="E12" s="15"/>
      <c r="F12" s="14">
        <v>4</v>
      </c>
      <c r="G12" s="20"/>
      <c r="I12">
        <f t="shared" si="0"/>
        <v>4</v>
      </c>
    </row>
    <row r="13" customFormat="1" ht="22" customHeight="1" spans="1:9">
      <c r="A13" s="12">
        <v>11</v>
      </c>
      <c r="B13" s="13">
        <v>46121</v>
      </c>
      <c r="C13" s="14" t="s">
        <v>26</v>
      </c>
      <c r="D13" s="14" t="s">
        <v>65</v>
      </c>
      <c r="E13" s="14">
        <v>2</v>
      </c>
      <c r="F13" s="14">
        <v>2</v>
      </c>
      <c r="G13" s="20"/>
      <c r="I13">
        <f t="shared" si="0"/>
        <v>4</v>
      </c>
    </row>
    <row r="14" customFormat="1" ht="22" customHeight="1" spans="1:9">
      <c r="A14" s="12">
        <v>12</v>
      </c>
      <c r="B14" s="13">
        <v>46121</v>
      </c>
      <c r="C14" s="14" t="s">
        <v>27</v>
      </c>
      <c r="D14" s="14" t="s">
        <v>65</v>
      </c>
      <c r="E14" s="14">
        <v>2</v>
      </c>
      <c r="F14" s="14">
        <v>2</v>
      </c>
      <c r="G14" s="20"/>
      <c r="I14">
        <f t="shared" si="0"/>
        <v>4</v>
      </c>
    </row>
    <row r="15" customFormat="1" ht="22" customHeight="1" spans="1:9">
      <c r="A15" s="12">
        <v>13</v>
      </c>
      <c r="B15" s="13">
        <v>46121</v>
      </c>
      <c r="C15" s="14" t="s">
        <v>28</v>
      </c>
      <c r="D15" s="14" t="s">
        <v>65</v>
      </c>
      <c r="E15" s="14">
        <v>2</v>
      </c>
      <c r="F15" s="14">
        <v>2</v>
      </c>
      <c r="G15" s="20"/>
      <c r="I15">
        <f t="shared" si="0"/>
        <v>4</v>
      </c>
    </row>
    <row r="16" customFormat="1" ht="22" customHeight="1" spans="1:9">
      <c r="A16" s="12">
        <v>14</v>
      </c>
      <c r="B16" s="13">
        <v>46121</v>
      </c>
      <c r="C16" s="14" t="s">
        <v>30</v>
      </c>
      <c r="D16" s="14" t="s">
        <v>65</v>
      </c>
      <c r="E16" s="15"/>
      <c r="F16" s="14">
        <v>4</v>
      </c>
      <c r="G16" s="20"/>
      <c r="I16">
        <f t="shared" si="0"/>
        <v>4</v>
      </c>
    </row>
    <row r="17" customFormat="1" ht="22" customHeight="1" spans="1:9">
      <c r="A17" s="12">
        <v>15</v>
      </c>
      <c r="B17" s="13">
        <v>46121</v>
      </c>
      <c r="C17" s="14" t="s">
        <v>31</v>
      </c>
      <c r="D17" s="14" t="s">
        <v>65</v>
      </c>
      <c r="E17" s="14">
        <v>4</v>
      </c>
      <c r="F17" s="15"/>
      <c r="G17" s="20"/>
      <c r="I17">
        <f t="shared" si="0"/>
        <v>4</v>
      </c>
    </row>
    <row r="18" customFormat="1" ht="22" customHeight="1" spans="1:9">
      <c r="A18" s="12">
        <v>16</v>
      </c>
      <c r="B18" s="13">
        <v>46121</v>
      </c>
      <c r="C18" s="14" t="s">
        <v>32</v>
      </c>
      <c r="D18" s="14" t="s">
        <v>65</v>
      </c>
      <c r="E18" s="14">
        <v>2</v>
      </c>
      <c r="F18" s="14">
        <v>2</v>
      </c>
      <c r="G18" s="20"/>
      <c r="I18">
        <f t="shared" si="0"/>
        <v>4</v>
      </c>
    </row>
    <row r="19" customFormat="1" ht="22" customHeight="1" spans="1:9">
      <c r="A19" s="12">
        <v>17</v>
      </c>
      <c r="B19" s="13">
        <v>46121</v>
      </c>
      <c r="C19" s="14" t="s">
        <v>33</v>
      </c>
      <c r="D19" s="14" t="s">
        <v>65</v>
      </c>
      <c r="E19" s="14">
        <v>4</v>
      </c>
      <c r="F19" s="15"/>
      <c r="G19" s="20"/>
      <c r="I19">
        <f t="shared" si="0"/>
        <v>4</v>
      </c>
    </row>
    <row r="20" customFormat="1" ht="22" customHeight="1" spans="1:9">
      <c r="A20" s="12">
        <v>18</v>
      </c>
      <c r="B20" s="13">
        <v>46121</v>
      </c>
      <c r="C20" s="14" t="s">
        <v>34</v>
      </c>
      <c r="D20" s="14" t="s">
        <v>65</v>
      </c>
      <c r="E20" s="14">
        <v>4</v>
      </c>
      <c r="F20" s="21"/>
      <c r="G20" s="20"/>
      <c r="I20">
        <f t="shared" si="0"/>
        <v>4</v>
      </c>
    </row>
    <row r="21" customFormat="1" ht="22" customHeight="1" spans="1:9">
      <c r="A21" s="12">
        <v>19</v>
      </c>
      <c r="B21" s="13">
        <v>46121</v>
      </c>
      <c r="C21" s="18" t="s">
        <v>35</v>
      </c>
      <c r="D21" s="14" t="s">
        <v>65</v>
      </c>
      <c r="E21" s="14">
        <v>4</v>
      </c>
      <c r="F21" s="22"/>
      <c r="G21" s="20"/>
      <c r="I21">
        <f t="shared" si="0"/>
        <v>4</v>
      </c>
    </row>
    <row r="22" customFormat="1" ht="22" customHeight="1" spans="1:9">
      <c r="A22" s="12">
        <v>20</v>
      </c>
      <c r="B22" s="13">
        <v>46121</v>
      </c>
      <c r="C22" s="18" t="s">
        <v>36</v>
      </c>
      <c r="D22" s="14" t="s">
        <v>65</v>
      </c>
      <c r="E22" s="14">
        <v>2</v>
      </c>
      <c r="F22" s="14">
        <v>2</v>
      </c>
      <c r="G22" s="19"/>
      <c r="I22">
        <f t="shared" si="0"/>
        <v>4</v>
      </c>
    </row>
    <row r="23" customFormat="1" ht="22" customHeight="1" spans="1:9">
      <c r="A23" s="12">
        <v>21</v>
      </c>
      <c r="B23" s="13">
        <v>46121</v>
      </c>
      <c r="C23" s="18" t="s">
        <v>38</v>
      </c>
      <c r="D23" s="14" t="s">
        <v>65</v>
      </c>
      <c r="E23" s="14">
        <v>2</v>
      </c>
      <c r="F23" s="14">
        <v>2</v>
      </c>
      <c r="G23" s="19"/>
      <c r="I23">
        <f t="shared" si="0"/>
        <v>4</v>
      </c>
    </row>
    <row r="24" customFormat="1" ht="22" customHeight="1" spans="1:9">
      <c r="A24" s="12">
        <v>22</v>
      </c>
      <c r="B24" s="13">
        <v>46121</v>
      </c>
      <c r="C24" s="18" t="s">
        <v>40</v>
      </c>
      <c r="D24" s="14" t="s">
        <v>65</v>
      </c>
      <c r="E24" s="14">
        <v>4</v>
      </c>
      <c r="F24" s="18"/>
      <c r="G24" s="19"/>
      <c r="I24">
        <f t="shared" si="0"/>
        <v>4</v>
      </c>
    </row>
    <row r="25" customFormat="1" ht="22" customHeight="1" spans="1:9">
      <c r="A25" s="12">
        <v>23</v>
      </c>
      <c r="B25" s="13">
        <v>46121</v>
      </c>
      <c r="C25" s="18" t="s">
        <v>42</v>
      </c>
      <c r="D25" s="14" t="s">
        <v>65</v>
      </c>
      <c r="E25" s="18"/>
      <c r="F25" s="18">
        <v>4</v>
      </c>
      <c r="G25" s="19"/>
      <c r="I25">
        <f t="shared" si="0"/>
        <v>4</v>
      </c>
    </row>
    <row r="26" customFormat="1" ht="22" customHeight="1" spans="1:9">
      <c r="A26" s="12">
        <v>24</v>
      </c>
      <c r="B26" s="13">
        <v>46121</v>
      </c>
      <c r="C26" s="18" t="s">
        <v>44</v>
      </c>
      <c r="D26" s="14" t="s">
        <v>65</v>
      </c>
      <c r="E26" s="18">
        <v>4</v>
      </c>
      <c r="F26" s="23"/>
      <c r="G26" s="19"/>
      <c r="I26">
        <f t="shared" si="0"/>
        <v>4</v>
      </c>
    </row>
    <row r="27" customFormat="1" ht="22" customHeight="1" spans="1:9">
      <c r="A27" s="12">
        <v>25</v>
      </c>
      <c r="B27" s="13">
        <v>46121</v>
      </c>
      <c r="C27" s="18" t="s">
        <v>45</v>
      </c>
      <c r="D27" s="14" t="s">
        <v>65</v>
      </c>
      <c r="E27" s="18"/>
      <c r="F27" s="23">
        <v>4</v>
      </c>
      <c r="G27" s="19"/>
      <c r="I27">
        <f t="shared" si="0"/>
        <v>4</v>
      </c>
    </row>
    <row r="28" customFormat="1" ht="22" customHeight="1" spans="1:9">
      <c r="A28" s="12">
        <v>26</v>
      </c>
      <c r="B28" s="13">
        <v>46121</v>
      </c>
      <c r="C28" s="18" t="s">
        <v>46</v>
      </c>
      <c r="D28" s="14" t="s">
        <v>65</v>
      </c>
      <c r="E28" s="18">
        <v>4</v>
      </c>
      <c r="F28" s="23"/>
      <c r="G28" s="19"/>
      <c r="I28">
        <f t="shared" si="0"/>
        <v>4</v>
      </c>
    </row>
    <row r="29" customFormat="1" ht="22" customHeight="1" spans="1:9">
      <c r="A29" s="12">
        <v>27</v>
      </c>
      <c r="B29" s="13">
        <v>46121</v>
      </c>
      <c r="C29" s="18" t="s">
        <v>48</v>
      </c>
      <c r="D29" s="14" t="s">
        <v>65</v>
      </c>
      <c r="E29" s="18">
        <v>4</v>
      </c>
      <c r="F29" s="23"/>
      <c r="G29" s="19"/>
      <c r="I29">
        <f t="shared" si="0"/>
        <v>4</v>
      </c>
    </row>
    <row r="30" customFormat="1" ht="22" customHeight="1" spans="1:9">
      <c r="A30" s="12"/>
      <c r="B30" s="24"/>
      <c r="C30" s="18"/>
      <c r="D30" s="25"/>
      <c r="E30" s="26"/>
      <c r="F30" s="27"/>
      <c r="G30" s="28"/>
      <c r="I30">
        <f t="shared" si="0"/>
        <v>0</v>
      </c>
    </row>
    <row r="31" customFormat="1" ht="13.5" spans="1:9">
      <c r="B31" s="2"/>
      <c r="C31" s="2"/>
      <c r="D31" s="2"/>
      <c r="E31" s="29">
        <f>SUM(E3:E30)</f>
        <v>60</v>
      </c>
      <c r="F31" s="29">
        <f>SUM(F3:F30)</f>
        <v>48</v>
      </c>
      <c r="I31">
        <f t="shared" si="0"/>
        <v>108</v>
      </c>
    </row>
    <row r="33" customFormat="1"/>
    <row r="34" customFormat="1"/>
  </sheetData>
  <mergeCells count="1">
    <mergeCell ref="A1:G1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workbookViewId="0">
      <pane ySplit="2" topLeftCell="A9" activePane="bottomLeft" state="frozen"/>
      <selection/>
      <selection pane="bottomLeft" activeCell="E23" sqref="E23:F23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25" customHeight="1" spans="1:9">
      <c r="A1" s="3" t="s">
        <v>49</v>
      </c>
      <c r="B1" s="3"/>
      <c r="C1" s="3"/>
      <c r="D1" s="3"/>
      <c r="E1" s="3"/>
      <c r="F1" s="30"/>
      <c r="G1" s="6"/>
    </row>
    <row r="2" s="1" customFormat="1" ht="32" customHeight="1" spans="1:9">
      <c r="A2" s="7" t="s">
        <v>2</v>
      </c>
      <c r="B2" s="7" t="s">
        <v>57</v>
      </c>
      <c r="C2" s="7" t="s">
        <v>3</v>
      </c>
      <c r="D2" s="31" t="s">
        <v>61</v>
      </c>
      <c r="E2" s="11" t="s">
        <v>62</v>
      </c>
      <c r="F2" s="11" t="s">
        <v>63</v>
      </c>
      <c r="G2" s="11" t="s">
        <v>7</v>
      </c>
    </row>
    <row r="3" ht="22" customHeight="1" spans="1:9">
      <c r="A3" s="12">
        <v>1</v>
      </c>
      <c r="B3" s="32">
        <v>46125</v>
      </c>
      <c r="C3" s="33" t="s">
        <v>13</v>
      </c>
      <c r="D3" s="33" t="s">
        <v>64</v>
      </c>
      <c r="E3" s="33">
        <v>3</v>
      </c>
      <c r="F3" s="34"/>
      <c r="G3" s="16"/>
      <c r="I3">
        <f>E3+F3</f>
        <v>3</v>
      </c>
    </row>
    <row r="4" ht="22" customHeight="1" spans="1:9">
      <c r="A4" s="12">
        <v>2</v>
      </c>
      <c r="B4" s="32">
        <v>46125</v>
      </c>
      <c r="C4" s="33" t="s">
        <v>16</v>
      </c>
      <c r="D4" s="33" t="s">
        <v>64</v>
      </c>
      <c r="E4" s="33">
        <v>3</v>
      </c>
      <c r="F4" s="34"/>
      <c r="G4" s="17"/>
      <c r="I4">
        <f t="shared" ref="I4:I31" si="0">E4+F4</f>
        <v>3</v>
      </c>
    </row>
    <row r="5" ht="22" customHeight="1" spans="1:9">
      <c r="A5" s="12">
        <v>3</v>
      </c>
      <c r="B5" s="32">
        <v>46125</v>
      </c>
      <c r="C5" s="33" t="s">
        <v>18</v>
      </c>
      <c r="D5" s="33" t="s">
        <v>64</v>
      </c>
      <c r="E5" s="34"/>
      <c r="F5" s="33">
        <v>3</v>
      </c>
      <c r="G5" s="17"/>
      <c r="I5">
        <f t="shared" si="0"/>
        <v>3</v>
      </c>
    </row>
    <row r="6" ht="22" customHeight="1" spans="1:9">
      <c r="A6" s="12">
        <v>4</v>
      </c>
      <c r="B6" s="32">
        <v>46125</v>
      </c>
      <c r="C6" s="33" t="s">
        <v>19</v>
      </c>
      <c r="D6" s="33" t="s">
        <v>64</v>
      </c>
      <c r="E6" s="33">
        <v>3</v>
      </c>
      <c r="F6" s="34"/>
      <c r="G6" s="17"/>
      <c r="I6">
        <f t="shared" si="0"/>
        <v>3</v>
      </c>
    </row>
    <row r="7" ht="22" customHeight="1" spans="1:9">
      <c r="A7" s="12">
        <v>5</v>
      </c>
      <c r="B7" s="32">
        <v>46125</v>
      </c>
      <c r="C7" s="33" t="s">
        <v>21</v>
      </c>
      <c r="D7" s="33" t="s">
        <v>64</v>
      </c>
      <c r="E7" s="34"/>
      <c r="F7" s="33">
        <v>3</v>
      </c>
      <c r="G7" s="17"/>
      <c r="I7">
        <f t="shared" si="0"/>
        <v>3</v>
      </c>
    </row>
    <row r="8" customFormat="1" ht="22" customHeight="1" spans="1:9">
      <c r="A8" s="12">
        <v>6</v>
      </c>
      <c r="B8" s="32">
        <v>46125</v>
      </c>
      <c r="C8" s="19" t="s">
        <v>37</v>
      </c>
      <c r="D8" s="33" t="s">
        <v>64</v>
      </c>
      <c r="E8" s="19"/>
      <c r="F8" s="33">
        <v>3</v>
      </c>
      <c r="G8" s="19"/>
      <c r="I8">
        <f t="shared" si="0"/>
        <v>3</v>
      </c>
    </row>
    <row r="9" ht="22" customHeight="1" spans="1:9">
      <c r="A9" s="12">
        <v>7</v>
      </c>
      <c r="B9" s="32">
        <v>46125</v>
      </c>
      <c r="C9" s="33" t="s">
        <v>20</v>
      </c>
      <c r="D9" s="33" t="s">
        <v>64</v>
      </c>
      <c r="E9" s="34"/>
      <c r="F9" s="33">
        <v>3</v>
      </c>
      <c r="G9" s="17"/>
      <c r="I9">
        <f t="shared" si="0"/>
        <v>3</v>
      </c>
    </row>
    <row r="10" ht="22" customHeight="1" spans="1:9">
      <c r="A10" s="12">
        <v>8</v>
      </c>
      <c r="B10" s="32">
        <v>46125</v>
      </c>
      <c r="C10" s="33" t="s">
        <v>22</v>
      </c>
      <c r="D10" s="33" t="s">
        <v>64</v>
      </c>
      <c r="E10" s="33">
        <v>3</v>
      </c>
      <c r="F10" s="34"/>
      <c r="G10" s="20"/>
      <c r="I10">
        <f t="shared" si="0"/>
        <v>3</v>
      </c>
    </row>
    <row r="11" ht="22" customHeight="1" spans="1:9">
      <c r="A11" s="12">
        <v>9</v>
      </c>
      <c r="B11" s="32">
        <v>46125</v>
      </c>
      <c r="C11" s="33" t="s">
        <v>23</v>
      </c>
      <c r="D11" s="33" t="s">
        <v>64</v>
      </c>
      <c r="E11" s="34"/>
      <c r="F11" s="33">
        <v>3</v>
      </c>
      <c r="G11" s="20"/>
      <c r="I11">
        <f t="shared" si="0"/>
        <v>3</v>
      </c>
    </row>
    <row r="12" customFormat="1" ht="22" customHeight="1" spans="1:9">
      <c r="A12" s="12">
        <v>10</v>
      </c>
      <c r="B12" s="32">
        <v>46125</v>
      </c>
      <c r="C12" s="33" t="s">
        <v>24</v>
      </c>
      <c r="D12" s="33" t="s">
        <v>64</v>
      </c>
      <c r="E12" s="34"/>
      <c r="F12" s="33">
        <v>3</v>
      </c>
      <c r="G12" s="20"/>
      <c r="I12">
        <f t="shared" si="0"/>
        <v>3</v>
      </c>
    </row>
    <row r="13" customFormat="1" ht="22" customHeight="1" spans="1:9">
      <c r="A13" s="12">
        <v>11</v>
      </c>
      <c r="B13" s="32">
        <v>46125</v>
      </c>
      <c r="C13" s="33" t="s">
        <v>26</v>
      </c>
      <c r="D13" s="33" t="s">
        <v>64</v>
      </c>
      <c r="E13" s="33">
        <v>2</v>
      </c>
      <c r="F13" s="33">
        <v>1</v>
      </c>
      <c r="G13" s="20"/>
      <c r="I13">
        <f t="shared" si="0"/>
        <v>3</v>
      </c>
    </row>
    <row r="14" customFormat="1" ht="22" customHeight="1" spans="1:9">
      <c r="A14" s="12">
        <v>12</v>
      </c>
      <c r="B14" s="32">
        <v>46125</v>
      </c>
      <c r="C14" s="33" t="s">
        <v>27</v>
      </c>
      <c r="D14" s="33" t="s">
        <v>64</v>
      </c>
      <c r="E14" s="33">
        <v>2</v>
      </c>
      <c r="F14" s="33">
        <v>1</v>
      </c>
      <c r="G14" s="20"/>
      <c r="I14">
        <f t="shared" si="0"/>
        <v>3</v>
      </c>
    </row>
    <row r="15" customFormat="1" ht="22" customHeight="1" spans="1:9">
      <c r="A15" s="12">
        <v>13</v>
      </c>
      <c r="B15" s="32">
        <v>46125</v>
      </c>
      <c r="C15" s="33" t="s">
        <v>28</v>
      </c>
      <c r="D15" s="33" t="s">
        <v>64</v>
      </c>
      <c r="E15" s="33">
        <v>2</v>
      </c>
      <c r="F15" s="33">
        <v>1</v>
      </c>
      <c r="G15" s="20"/>
      <c r="I15">
        <f t="shared" si="0"/>
        <v>3</v>
      </c>
    </row>
    <row r="16" customFormat="1" ht="22" customHeight="1" spans="1:9">
      <c r="A16" s="12">
        <v>14</v>
      </c>
      <c r="B16" s="32">
        <v>46125</v>
      </c>
      <c r="C16" s="33" t="s">
        <v>30</v>
      </c>
      <c r="D16" s="33" t="s">
        <v>64</v>
      </c>
      <c r="E16" s="34"/>
      <c r="F16" s="33">
        <v>3</v>
      </c>
      <c r="G16" s="20"/>
      <c r="I16">
        <f t="shared" si="0"/>
        <v>3</v>
      </c>
    </row>
    <row r="17" customFormat="1" ht="22" customHeight="1" spans="1:9">
      <c r="A17" s="12">
        <v>15</v>
      </c>
      <c r="B17" s="32">
        <v>46125</v>
      </c>
      <c r="C17" s="33" t="s">
        <v>31</v>
      </c>
      <c r="D17" s="33" t="s">
        <v>64</v>
      </c>
      <c r="E17" s="33">
        <v>3</v>
      </c>
      <c r="F17" s="34"/>
      <c r="G17" s="20"/>
      <c r="I17">
        <f t="shared" si="0"/>
        <v>3</v>
      </c>
    </row>
    <row r="18" customFormat="1" ht="22" customHeight="1" spans="1:9">
      <c r="A18" s="12">
        <v>16</v>
      </c>
      <c r="B18" s="32">
        <v>46125</v>
      </c>
      <c r="C18" s="33" t="s">
        <v>32</v>
      </c>
      <c r="D18" s="33" t="s">
        <v>64</v>
      </c>
      <c r="E18" s="33">
        <v>2</v>
      </c>
      <c r="F18" s="33">
        <v>1</v>
      </c>
      <c r="G18" s="20"/>
      <c r="I18">
        <f t="shared" si="0"/>
        <v>3</v>
      </c>
    </row>
    <row r="19" customFormat="1" ht="22" customHeight="1" spans="1:9">
      <c r="A19" s="12">
        <v>17</v>
      </c>
      <c r="B19" s="32">
        <v>46125</v>
      </c>
      <c r="C19" s="33" t="s">
        <v>33</v>
      </c>
      <c r="D19" s="33" t="s">
        <v>64</v>
      </c>
      <c r="E19" s="33">
        <v>3</v>
      </c>
      <c r="F19" s="34"/>
      <c r="G19" s="20"/>
      <c r="I19">
        <f t="shared" si="0"/>
        <v>3</v>
      </c>
    </row>
    <row r="20" customFormat="1" ht="22" customHeight="1" spans="1:9">
      <c r="A20" s="12">
        <v>18</v>
      </c>
      <c r="B20" s="32">
        <v>46125</v>
      </c>
      <c r="C20" s="33" t="s">
        <v>34</v>
      </c>
      <c r="D20" s="33" t="s">
        <v>64</v>
      </c>
      <c r="E20" s="33">
        <v>3</v>
      </c>
      <c r="F20" s="35"/>
      <c r="G20" s="20"/>
      <c r="I20">
        <f t="shared" si="0"/>
        <v>3</v>
      </c>
    </row>
    <row r="21" customFormat="1" ht="22" customHeight="1" spans="1:9">
      <c r="A21" s="12">
        <v>19</v>
      </c>
      <c r="B21" s="32">
        <v>46125</v>
      </c>
      <c r="C21" s="19" t="s">
        <v>35</v>
      </c>
      <c r="D21" s="33" t="s">
        <v>64</v>
      </c>
      <c r="E21" s="33">
        <v>3</v>
      </c>
      <c r="F21" s="20"/>
      <c r="G21" s="20"/>
      <c r="I21">
        <f t="shared" si="0"/>
        <v>3</v>
      </c>
    </row>
    <row r="22" customFormat="1" ht="22" customHeight="1" spans="1:9">
      <c r="A22" s="12">
        <v>20</v>
      </c>
      <c r="B22" s="32">
        <v>46125</v>
      </c>
      <c r="C22" s="19" t="s">
        <v>36</v>
      </c>
      <c r="D22" s="33" t="s">
        <v>64</v>
      </c>
      <c r="E22" s="19">
        <v>2</v>
      </c>
      <c r="F22" s="19">
        <v>1</v>
      </c>
      <c r="G22" s="19"/>
      <c r="I22">
        <f t="shared" si="0"/>
        <v>3</v>
      </c>
    </row>
    <row r="23" customFormat="1" ht="22" customHeight="1" spans="1:9">
      <c r="A23" s="12">
        <v>21</v>
      </c>
      <c r="B23" s="32">
        <v>46125</v>
      </c>
      <c r="C23" s="19" t="s">
        <v>38</v>
      </c>
      <c r="D23" s="33" t="s">
        <v>64</v>
      </c>
      <c r="E23" s="19">
        <v>2</v>
      </c>
      <c r="F23" s="19">
        <v>1</v>
      </c>
      <c r="G23" s="19"/>
      <c r="I23">
        <f t="shared" si="0"/>
        <v>3</v>
      </c>
    </row>
    <row r="24" customFormat="1" ht="22" customHeight="1" spans="1:9">
      <c r="A24" s="12">
        <v>22</v>
      </c>
      <c r="B24" s="32">
        <v>46125</v>
      </c>
      <c r="C24" s="19" t="s">
        <v>40</v>
      </c>
      <c r="D24" s="33" t="s">
        <v>64</v>
      </c>
      <c r="E24" s="33">
        <v>3</v>
      </c>
      <c r="F24" s="19"/>
      <c r="G24" s="19"/>
      <c r="I24">
        <f t="shared" si="0"/>
        <v>3</v>
      </c>
    </row>
    <row r="25" customFormat="1" ht="22" customHeight="1" spans="1:9">
      <c r="A25" s="12">
        <v>23</v>
      </c>
      <c r="B25" s="32">
        <v>46125</v>
      </c>
      <c r="C25" s="19" t="s">
        <v>42</v>
      </c>
      <c r="D25" s="33" t="s">
        <v>64</v>
      </c>
      <c r="E25" s="33"/>
      <c r="F25" s="19">
        <v>3</v>
      </c>
      <c r="G25" s="19"/>
      <c r="I25">
        <f t="shared" si="0"/>
        <v>3</v>
      </c>
    </row>
    <row r="26" customFormat="1" ht="22" customHeight="1" spans="1:9">
      <c r="A26" s="12">
        <v>24</v>
      </c>
      <c r="B26" s="32">
        <v>46125</v>
      </c>
      <c r="C26" s="19" t="s">
        <v>44</v>
      </c>
      <c r="D26" s="33" t="s">
        <v>64</v>
      </c>
      <c r="E26" s="33">
        <v>3</v>
      </c>
      <c r="F26" s="19"/>
      <c r="G26" s="19"/>
      <c r="I26">
        <f t="shared" si="0"/>
        <v>3</v>
      </c>
    </row>
    <row r="27" customFormat="1" ht="22" customHeight="1" spans="1:9">
      <c r="A27" s="12">
        <v>25</v>
      </c>
      <c r="B27" s="32">
        <v>46125</v>
      </c>
      <c r="C27" s="19" t="s">
        <v>45</v>
      </c>
      <c r="D27" s="33" t="s">
        <v>64</v>
      </c>
      <c r="E27" s="33"/>
      <c r="F27" s="19">
        <v>3</v>
      </c>
      <c r="G27" s="19"/>
      <c r="I27">
        <f t="shared" si="0"/>
        <v>3</v>
      </c>
    </row>
    <row r="28" customFormat="1" ht="22" customHeight="1" spans="1:9">
      <c r="A28" s="12">
        <v>26</v>
      </c>
      <c r="B28" s="32">
        <v>46125</v>
      </c>
      <c r="C28" s="19" t="s">
        <v>46</v>
      </c>
      <c r="D28" s="33" t="s">
        <v>64</v>
      </c>
      <c r="E28" s="33">
        <v>3</v>
      </c>
      <c r="F28" s="19"/>
      <c r="G28" s="19"/>
      <c r="I28">
        <f t="shared" si="0"/>
        <v>3</v>
      </c>
    </row>
    <row r="29" customFormat="1" ht="22" customHeight="1" spans="1:9">
      <c r="A29" s="12">
        <v>27</v>
      </c>
      <c r="B29" s="32">
        <v>46125</v>
      </c>
      <c r="C29" s="19" t="s">
        <v>48</v>
      </c>
      <c r="D29" s="33" t="s">
        <v>64</v>
      </c>
      <c r="E29" s="33">
        <v>3</v>
      </c>
      <c r="F29" s="19"/>
      <c r="G29" s="19"/>
      <c r="I29">
        <f t="shared" si="0"/>
        <v>3</v>
      </c>
    </row>
    <row r="30" customFormat="1" ht="22" customHeight="1" spans="1:9">
      <c r="A30" s="12"/>
      <c r="B30" s="36"/>
      <c r="C30" s="19"/>
      <c r="D30" s="37"/>
      <c r="E30" s="38"/>
      <c r="F30" s="28"/>
      <c r="G30" s="28"/>
      <c r="I30">
        <f t="shared" si="0"/>
        <v>0</v>
      </c>
    </row>
    <row r="31" customFormat="1" ht="13.5" spans="1:9">
      <c r="E31" s="39">
        <f>SUM(E3:E30)</f>
        <v>48</v>
      </c>
      <c r="F31" s="39">
        <f>SUM(F3:F30)</f>
        <v>33</v>
      </c>
      <c r="I31">
        <f t="shared" si="0"/>
        <v>81</v>
      </c>
    </row>
  </sheetData>
  <mergeCells count="1">
    <mergeCell ref="A1:G1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"/>
  <sheetViews>
    <sheetView workbookViewId="0">
      <pane ySplit="2" topLeftCell="A17" activePane="bottomLeft" state="frozen"/>
      <selection/>
      <selection pane="bottomLeft" activeCell="E23" sqref="E23:F23"/>
    </sheetView>
  </sheetViews>
  <sheetFormatPr defaultColWidth="9.14285714285714" defaultRowHeight="12"/>
  <cols>
    <col min="1" max="1" width="8.57142857142857" customWidth="1"/>
    <col min="2" max="2" width="14.4285714285714" style="2" customWidth="1"/>
    <col min="3" max="3" width="18.1428571428571" style="2" customWidth="1"/>
    <col min="4" max="6" width="12.1428571428571" style="2" customWidth="1"/>
    <col min="7" max="7" width="25.2857142857143" customWidth="1"/>
  </cols>
  <sheetData>
    <row r="1" ht="27" customHeight="1" spans="1:9">
      <c r="A1" s="3" t="s">
        <v>49</v>
      </c>
      <c r="B1" s="4"/>
      <c r="C1" s="4"/>
      <c r="D1" s="4"/>
      <c r="E1" s="4"/>
      <c r="F1" s="5"/>
      <c r="G1" s="6"/>
    </row>
    <row r="2" s="1" customFormat="1" ht="32" customHeight="1" spans="1:9">
      <c r="A2" s="7" t="s">
        <v>2</v>
      </c>
      <c r="B2" s="8" t="s">
        <v>57</v>
      </c>
      <c r="C2" s="8" t="s">
        <v>3</v>
      </c>
      <c r="D2" s="9" t="s">
        <v>61</v>
      </c>
      <c r="E2" s="10" t="s">
        <v>62</v>
      </c>
      <c r="F2" s="10" t="s">
        <v>63</v>
      </c>
      <c r="G2" s="11" t="s">
        <v>7</v>
      </c>
    </row>
    <row r="3" ht="22" customHeight="1" spans="1:9">
      <c r="A3" s="12">
        <v>1</v>
      </c>
      <c r="B3" s="13">
        <v>46128</v>
      </c>
      <c r="C3" s="14" t="s">
        <v>13</v>
      </c>
      <c r="D3" s="14" t="s">
        <v>65</v>
      </c>
      <c r="E3" s="14">
        <v>4</v>
      </c>
      <c r="F3" s="15"/>
      <c r="G3" s="16"/>
      <c r="I3">
        <f>E3+F3</f>
        <v>4</v>
      </c>
    </row>
    <row r="4" ht="22" customHeight="1" spans="1:9">
      <c r="A4" s="12">
        <v>2</v>
      </c>
      <c r="B4" s="13">
        <v>46128</v>
      </c>
      <c r="C4" s="14" t="s">
        <v>16</v>
      </c>
      <c r="D4" s="14" t="s">
        <v>65</v>
      </c>
      <c r="E4" s="14">
        <v>4</v>
      </c>
      <c r="F4" s="15"/>
      <c r="G4" s="17"/>
      <c r="I4">
        <f t="shared" ref="I4:I31" si="0">E4+F4</f>
        <v>4</v>
      </c>
    </row>
    <row r="5" ht="22" customHeight="1" spans="1:9">
      <c r="A5" s="12">
        <v>3</v>
      </c>
      <c r="B5" s="13">
        <v>46128</v>
      </c>
      <c r="C5" s="14" t="s">
        <v>18</v>
      </c>
      <c r="D5" s="14" t="s">
        <v>65</v>
      </c>
      <c r="E5" s="15"/>
      <c r="F5" s="14">
        <v>4</v>
      </c>
      <c r="G5" s="17"/>
      <c r="I5">
        <f t="shared" si="0"/>
        <v>4</v>
      </c>
    </row>
    <row r="6" ht="22" customHeight="1" spans="1:9">
      <c r="A6" s="12">
        <v>4</v>
      </c>
      <c r="B6" s="13">
        <v>46128</v>
      </c>
      <c r="C6" s="14" t="s">
        <v>19</v>
      </c>
      <c r="D6" s="14" t="s">
        <v>65</v>
      </c>
      <c r="E6" s="14">
        <v>4</v>
      </c>
      <c r="F6" s="15"/>
      <c r="G6" s="17"/>
      <c r="I6">
        <f t="shared" si="0"/>
        <v>4</v>
      </c>
    </row>
    <row r="7" ht="22" customHeight="1" spans="1:9">
      <c r="A7" s="12">
        <v>5</v>
      </c>
      <c r="B7" s="13">
        <v>46128</v>
      </c>
      <c r="C7" s="14" t="s">
        <v>21</v>
      </c>
      <c r="D7" s="14" t="s">
        <v>65</v>
      </c>
      <c r="E7" s="15"/>
      <c r="F7" s="14">
        <v>4</v>
      </c>
      <c r="G7" s="17"/>
      <c r="I7">
        <f t="shared" si="0"/>
        <v>4</v>
      </c>
    </row>
    <row r="8" customFormat="1" ht="22" customHeight="1" spans="1:9">
      <c r="A8" s="12">
        <v>6</v>
      </c>
      <c r="B8" s="13">
        <v>46128</v>
      </c>
      <c r="C8" s="18" t="s">
        <v>37</v>
      </c>
      <c r="D8" s="14" t="s">
        <v>65</v>
      </c>
      <c r="E8" s="18"/>
      <c r="F8" s="14">
        <v>4</v>
      </c>
      <c r="G8" s="19"/>
      <c r="I8">
        <f t="shared" si="0"/>
        <v>4</v>
      </c>
    </row>
    <row r="9" ht="22" customHeight="1" spans="1:9">
      <c r="A9" s="12">
        <v>7</v>
      </c>
      <c r="B9" s="13">
        <v>46128</v>
      </c>
      <c r="C9" s="14" t="s">
        <v>20</v>
      </c>
      <c r="D9" s="14" t="s">
        <v>65</v>
      </c>
      <c r="E9" s="15"/>
      <c r="F9" s="14">
        <v>4</v>
      </c>
      <c r="G9" s="17"/>
      <c r="I9">
        <f t="shared" si="0"/>
        <v>4</v>
      </c>
    </row>
    <row r="10" ht="22" customHeight="1" spans="1:9">
      <c r="A10" s="12">
        <v>8</v>
      </c>
      <c r="B10" s="13">
        <v>46128</v>
      </c>
      <c r="C10" s="14" t="s">
        <v>22</v>
      </c>
      <c r="D10" s="14" t="s">
        <v>65</v>
      </c>
      <c r="E10" s="14">
        <v>4</v>
      </c>
      <c r="F10" s="15"/>
      <c r="G10" s="20"/>
      <c r="I10">
        <f t="shared" si="0"/>
        <v>4</v>
      </c>
    </row>
    <row r="11" ht="22" customHeight="1" spans="1:9">
      <c r="A11" s="12">
        <v>9</v>
      </c>
      <c r="B11" s="13">
        <v>46128</v>
      </c>
      <c r="C11" s="14" t="s">
        <v>23</v>
      </c>
      <c r="D11" s="14" t="s">
        <v>65</v>
      </c>
      <c r="E11" s="15"/>
      <c r="F11" s="14">
        <v>4</v>
      </c>
      <c r="G11" s="20"/>
      <c r="I11">
        <f t="shared" si="0"/>
        <v>4</v>
      </c>
    </row>
    <row r="12" customFormat="1" ht="22" customHeight="1" spans="1:9">
      <c r="A12" s="12">
        <v>10</v>
      </c>
      <c r="B12" s="13">
        <v>46128</v>
      </c>
      <c r="C12" s="14" t="s">
        <v>24</v>
      </c>
      <c r="D12" s="14" t="s">
        <v>65</v>
      </c>
      <c r="E12" s="15"/>
      <c r="F12" s="14">
        <v>4</v>
      </c>
      <c r="G12" s="20"/>
      <c r="I12">
        <f t="shared" si="0"/>
        <v>4</v>
      </c>
    </row>
    <row r="13" customFormat="1" ht="22" customHeight="1" spans="1:9">
      <c r="A13" s="12">
        <v>11</v>
      </c>
      <c r="B13" s="13">
        <v>46128</v>
      </c>
      <c r="C13" s="14" t="s">
        <v>26</v>
      </c>
      <c r="D13" s="14" t="s">
        <v>65</v>
      </c>
      <c r="E13" s="14">
        <v>2</v>
      </c>
      <c r="F13" s="14">
        <v>2</v>
      </c>
      <c r="G13" s="20"/>
      <c r="I13">
        <f t="shared" si="0"/>
        <v>4</v>
      </c>
    </row>
    <row r="14" customFormat="1" ht="22" customHeight="1" spans="1:9">
      <c r="A14" s="12">
        <v>12</v>
      </c>
      <c r="B14" s="13">
        <v>46128</v>
      </c>
      <c r="C14" s="14" t="s">
        <v>27</v>
      </c>
      <c r="D14" s="14" t="s">
        <v>65</v>
      </c>
      <c r="E14" s="14">
        <v>2</v>
      </c>
      <c r="F14" s="14">
        <v>2</v>
      </c>
      <c r="G14" s="20"/>
      <c r="I14">
        <f t="shared" si="0"/>
        <v>4</v>
      </c>
    </row>
    <row r="15" customFormat="1" ht="22" customHeight="1" spans="1:9">
      <c r="A15" s="12">
        <v>13</v>
      </c>
      <c r="B15" s="13">
        <v>46128</v>
      </c>
      <c r="C15" s="14" t="s">
        <v>28</v>
      </c>
      <c r="D15" s="14" t="s">
        <v>65</v>
      </c>
      <c r="E15" s="14">
        <v>2</v>
      </c>
      <c r="F15" s="14">
        <v>2</v>
      </c>
      <c r="G15" s="20"/>
      <c r="I15">
        <f t="shared" si="0"/>
        <v>4</v>
      </c>
    </row>
    <row r="16" customFormat="1" ht="22" customHeight="1" spans="1:9">
      <c r="A16" s="12">
        <v>14</v>
      </c>
      <c r="B16" s="13">
        <v>46128</v>
      </c>
      <c r="C16" s="14" t="s">
        <v>30</v>
      </c>
      <c r="D16" s="14" t="s">
        <v>65</v>
      </c>
      <c r="E16" s="15"/>
      <c r="F16" s="14">
        <v>4</v>
      </c>
      <c r="G16" s="20"/>
      <c r="I16">
        <f t="shared" si="0"/>
        <v>4</v>
      </c>
    </row>
    <row r="17" customFormat="1" ht="22" customHeight="1" spans="1:9">
      <c r="A17" s="12">
        <v>15</v>
      </c>
      <c r="B17" s="13">
        <v>46128</v>
      </c>
      <c r="C17" s="14" t="s">
        <v>31</v>
      </c>
      <c r="D17" s="14" t="s">
        <v>65</v>
      </c>
      <c r="E17" s="14">
        <v>4</v>
      </c>
      <c r="F17" s="15"/>
      <c r="G17" s="20"/>
      <c r="I17">
        <f t="shared" si="0"/>
        <v>4</v>
      </c>
    </row>
    <row r="18" customFormat="1" ht="22" customHeight="1" spans="1:9">
      <c r="A18" s="12">
        <v>16</v>
      </c>
      <c r="B18" s="13">
        <v>46128</v>
      </c>
      <c r="C18" s="14" t="s">
        <v>32</v>
      </c>
      <c r="D18" s="14" t="s">
        <v>65</v>
      </c>
      <c r="E18" s="14">
        <v>2</v>
      </c>
      <c r="F18" s="14">
        <v>2</v>
      </c>
      <c r="G18" s="20"/>
      <c r="I18">
        <f t="shared" si="0"/>
        <v>4</v>
      </c>
    </row>
    <row r="19" customFormat="1" ht="22" customHeight="1" spans="1:9">
      <c r="A19" s="12">
        <v>17</v>
      </c>
      <c r="B19" s="13">
        <v>46128</v>
      </c>
      <c r="C19" s="14" t="s">
        <v>33</v>
      </c>
      <c r="D19" s="14" t="s">
        <v>65</v>
      </c>
      <c r="E19" s="14">
        <v>4</v>
      </c>
      <c r="F19" s="15"/>
      <c r="G19" s="20"/>
      <c r="I19">
        <f t="shared" si="0"/>
        <v>4</v>
      </c>
    </row>
    <row r="20" customFormat="1" ht="22" customHeight="1" spans="1:9">
      <c r="A20" s="12">
        <v>18</v>
      </c>
      <c r="B20" s="13">
        <v>46128</v>
      </c>
      <c r="C20" s="14" t="s">
        <v>34</v>
      </c>
      <c r="D20" s="14" t="s">
        <v>65</v>
      </c>
      <c r="E20" s="14">
        <v>4</v>
      </c>
      <c r="F20" s="21"/>
      <c r="G20" s="20"/>
      <c r="I20">
        <f t="shared" si="0"/>
        <v>4</v>
      </c>
    </row>
    <row r="21" customFormat="1" ht="22" customHeight="1" spans="1:9">
      <c r="A21" s="12">
        <v>19</v>
      </c>
      <c r="B21" s="13">
        <v>46128</v>
      </c>
      <c r="C21" s="18" t="s">
        <v>35</v>
      </c>
      <c r="D21" s="14" t="s">
        <v>65</v>
      </c>
      <c r="E21" s="14">
        <v>4</v>
      </c>
      <c r="F21" s="22"/>
      <c r="G21" s="20"/>
      <c r="I21">
        <f t="shared" si="0"/>
        <v>4</v>
      </c>
    </row>
    <row r="22" customFormat="1" ht="22" customHeight="1" spans="1:9">
      <c r="A22" s="12">
        <v>20</v>
      </c>
      <c r="B22" s="13">
        <v>46128</v>
      </c>
      <c r="C22" s="18" t="s">
        <v>36</v>
      </c>
      <c r="D22" s="14" t="s">
        <v>65</v>
      </c>
      <c r="E22" s="14">
        <v>2</v>
      </c>
      <c r="F22" s="14">
        <v>2</v>
      </c>
      <c r="G22" s="19"/>
      <c r="I22">
        <f t="shared" si="0"/>
        <v>4</v>
      </c>
    </row>
    <row r="23" customFormat="1" ht="22" customHeight="1" spans="1:9">
      <c r="A23" s="12">
        <v>21</v>
      </c>
      <c r="B23" s="13">
        <v>46128</v>
      </c>
      <c r="C23" s="18" t="s">
        <v>38</v>
      </c>
      <c r="D23" s="14" t="s">
        <v>65</v>
      </c>
      <c r="E23" s="14">
        <v>2</v>
      </c>
      <c r="F23" s="14">
        <v>2</v>
      </c>
      <c r="G23" s="19"/>
      <c r="I23">
        <f t="shared" si="0"/>
        <v>4</v>
      </c>
    </row>
    <row r="24" customFormat="1" ht="22" customHeight="1" spans="1:9">
      <c r="A24" s="12">
        <v>22</v>
      </c>
      <c r="B24" s="13">
        <v>46128</v>
      </c>
      <c r="C24" s="18" t="s">
        <v>40</v>
      </c>
      <c r="D24" s="14" t="s">
        <v>65</v>
      </c>
      <c r="E24" s="14">
        <v>4</v>
      </c>
      <c r="F24" s="18"/>
      <c r="G24" s="19"/>
      <c r="I24">
        <f t="shared" si="0"/>
        <v>4</v>
      </c>
    </row>
    <row r="25" customFormat="1" ht="22" customHeight="1" spans="1:9">
      <c r="A25" s="12">
        <v>23</v>
      </c>
      <c r="B25" s="13">
        <v>46128</v>
      </c>
      <c r="C25" s="18" t="s">
        <v>42</v>
      </c>
      <c r="D25" s="14" t="s">
        <v>65</v>
      </c>
      <c r="E25" s="18"/>
      <c r="F25" s="18">
        <v>4</v>
      </c>
      <c r="G25" s="19"/>
      <c r="I25">
        <f t="shared" si="0"/>
        <v>4</v>
      </c>
    </row>
    <row r="26" customFormat="1" ht="22" customHeight="1" spans="1:9">
      <c r="A26" s="12">
        <v>24</v>
      </c>
      <c r="B26" s="13">
        <v>46128</v>
      </c>
      <c r="C26" s="18" t="s">
        <v>44</v>
      </c>
      <c r="D26" s="14" t="s">
        <v>65</v>
      </c>
      <c r="E26" s="18">
        <v>4</v>
      </c>
      <c r="F26" s="23"/>
      <c r="G26" s="19"/>
      <c r="I26">
        <f t="shared" si="0"/>
        <v>4</v>
      </c>
    </row>
    <row r="27" customFormat="1" ht="22" customHeight="1" spans="1:9">
      <c r="A27" s="12">
        <v>25</v>
      </c>
      <c r="B27" s="13">
        <v>46128</v>
      </c>
      <c r="C27" s="18" t="s">
        <v>45</v>
      </c>
      <c r="D27" s="14" t="s">
        <v>65</v>
      </c>
      <c r="E27" s="18"/>
      <c r="F27" s="23">
        <v>4</v>
      </c>
      <c r="G27" s="19"/>
      <c r="I27">
        <f t="shared" si="0"/>
        <v>4</v>
      </c>
    </row>
    <row r="28" customFormat="1" ht="22" customHeight="1" spans="1:9">
      <c r="A28" s="12">
        <v>26</v>
      </c>
      <c r="B28" s="13">
        <v>46128</v>
      </c>
      <c r="C28" s="18" t="s">
        <v>46</v>
      </c>
      <c r="D28" s="14" t="s">
        <v>65</v>
      </c>
      <c r="E28" s="18">
        <v>4</v>
      </c>
      <c r="F28" s="23"/>
      <c r="G28" s="19"/>
      <c r="I28">
        <f t="shared" si="0"/>
        <v>4</v>
      </c>
    </row>
    <row r="29" customFormat="1" ht="22" customHeight="1" spans="1:9">
      <c r="A29" s="12">
        <v>27</v>
      </c>
      <c r="B29" s="13">
        <v>46128</v>
      </c>
      <c r="C29" s="18" t="s">
        <v>48</v>
      </c>
      <c r="D29" s="14" t="s">
        <v>65</v>
      </c>
      <c r="E29" s="18">
        <v>4</v>
      </c>
      <c r="F29" s="23"/>
      <c r="G29" s="19"/>
      <c r="I29">
        <f t="shared" si="0"/>
        <v>4</v>
      </c>
    </row>
    <row r="30" customFormat="1" ht="22" customHeight="1" spans="1:9">
      <c r="A30" s="12"/>
      <c r="B30" s="24"/>
      <c r="C30" s="18"/>
      <c r="D30" s="25"/>
      <c r="E30" s="26"/>
      <c r="F30" s="27"/>
      <c r="G30" s="28"/>
      <c r="I30">
        <f t="shared" si="0"/>
        <v>0</v>
      </c>
    </row>
    <row r="31" customFormat="1" ht="13.5" spans="1:9">
      <c r="B31" s="2"/>
      <c r="C31" s="2"/>
      <c r="D31" s="2"/>
      <c r="E31" s="29">
        <f>SUM(E3:E30)</f>
        <v>60</v>
      </c>
      <c r="F31" s="29">
        <f>SUM(F3:F30)</f>
        <v>48</v>
      </c>
      <c r="I31">
        <f t="shared" si="0"/>
        <v>108</v>
      </c>
    </row>
    <row r="33" customFormat="1"/>
    <row r="34" customFormat="1"/>
  </sheetData>
  <mergeCells count="1">
    <mergeCell ref="A1:G1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tabSelected="1" workbookViewId="0">
      <pane ySplit="2" topLeftCell="A17" activePane="bottomLeft" state="frozen"/>
      <selection/>
      <selection pane="bottomLeft" activeCell="F36" sqref="F36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25" customHeight="1" spans="1:9">
      <c r="A1" s="3" t="s">
        <v>49</v>
      </c>
      <c r="B1" s="3"/>
      <c r="C1" s="3"/>
      <c r="D1" s="3"/>
      <c r="E1" s="3"/>
      <c r="F1" s="30"/>
      <c r="G1" s="6"/>
    </row>
    <row r="2" s="1" customFormat="1" ht="32" customHeight="1" spans="1:9">
      <c r="A2" s="7" t="s">
        <v>2</v>
      </c>
      <c r="B2" s="7" t="s">
        <v>57</v>
      </c>
      <c r="C2" s="7" t="s">
        <v>3</v>
      </c>
      <c r="D2" s="31" t="s">
        <v>61</v>
      </c>
      <c r="E2" s="11" t="s">
        <v>62</v>
      </c>
      <c r="F2" s="11" t="s">
        <v>63</v>
      </c>
      <c r="G2" s="11" t="s">
        <v>7</v>
      </c>
    </row>
    <row r="3" ht="22" customHeight="1" spans="1:9">
      <c r="A3" s="12">
        <v>1</v>
      </c>
      <c r="B3" s="32">
        <v>46132</v>
      </c>
      <c r="C3" s="33" t="s">
        <v>13</v>
      </c>
      <c r="D3" s="33" t="s">
        <v>64</v>
      </c>
      <c r="E3" s="33">
        <v>3</v>
      </c>
      <c r="F3" s="34"/>
      <c r="G3" s="16"/>
      <c r="I3">
        <f t="shared" ref="I3:I31" si="0">E3+F3</f>
        <v>3</v>
      </c>
    </row>
    <row r="4" ht="22" customHeight="1" spans="1:9">
      <c r="A4" s="12">
        <v>2</v>
      </c>
      <c r="B4" s="32">
        <v>46132</v>
      </c>
      <c r="C4" s="33" t="s">
        <v>16</v>
      </c>
      <c r="D4" s="33" t="s">
        <v>64</v>
      </c>
      <c r="E4" s="33">
        <v>3</v>
      </c>
      <c r="F4" s="34"/>
      <c r="G4" s="17"/>
      <c r="I4">
        <f t="shared" si="0"/>
        <v>3</v>
      </c>
    </row>
    <row r="5" ht="22" customHeight="1" spans="1:9">
      <c r="A5" s="12">
        <v>3</v>
      </c>
      <c r="B5" s="32">
        <v>46132</v>
      </c>
      <c r="C5" s="33" t="s">
        <v>18</v>
      </c>
      <c r="D5" s="33" t="s">
        <v>64</v>
      </c>
      <c r="E5" s="34"/>
      <c r="F5" s="33">
        <v>3</v>
      </c>
      <c r="G5" s="17"/>
      <c r="I5">
        <f t="shared" si="0"/>
        <v>3</v>
      </c>
    </row>
    <row r="6" ht="22" customHeight="1" spans="1:9">
      <c r="A6" s="12">
        <v>4</v>
      </c>
      <c r="B6" s="32">
        <v>46132</v>
      </c>
      <c r="C6" s="33" t="s">
        <v>19</v>
      </c>
      <c r="D6" s="33" t="s">
        <v>64</v>
      </c>
      <c r="E6" s="33">
        <v>3</v>
      </c>
      <c r="F6" s="34"/>
      <c r="G6" s="17"/>
      <c r="I6">
        <f t="shared" si="0"/>
        <v>3</v>
      </c>
    </row>
    <row r="7" ht="22" customHeight="1" spans="1:9">
      <c r="A7" s="12">
        <v>5</v>
      </c>
      <c r="B7" s="32">
        <v>46132</v>
      </c>
      <c r="C7" s="33" t="s">
        <v>21</v>
      </c>
      <c r="D7" s="33" t="s">
        <v>64</v>
      </c>
      <c r="E7" s="34"/>
      <c r="F7" s="33">
        <v>3</v>
      </c>
      <c r="G7" s="17"/>
      <c r="I7">
        <f t="shared" si="0"/>
        <v>3</v>
      </c>
    </row>
    <row r="8" customFormat="1" ht="22" customHeight="1" spans="1:9">
      <c r="A8" s="12">
        <v>6</v>
      </c>
      <c r="B8" s="32">
        <v>46132</v>
      </c>
      <c r="C8" s="19" t="s">
        <v>37</v>
      </c>
      <c r="D8" s="33" t="s">
        <v>64</v>
      </c>
      <c r="E8" s="19"/>
      <c r="F8" s="33">
        <v>3</v>
      </c>
      <c r="G8" s="19"/>
      <c r="I8">
        <f t="shared" si="0"/>
        <v>3</v>
      </c>
    </row>
    <row r="9" ht="22" customHeight="1" spans="1:9">
      <c r="A9" s="12">
        <v>7</v>
      </c>
      <c r="B9" s="32">
        <v>46132</v>
      </c>
      <c r="C9" s="33" t="s">
        <v>20</v>
      </c>
      <c r="D9" s="33" t="s">
        <v>64</v>
      </c>
      <c r="E9" s="34"/>
      <c r="F9" s="33">
        <v>3</v>
      </c>
      <c r="G9" s="17"/>
      <c r="I9">
        <f t="shared" si="0"/>
        <v>3</v>
      </c>
    </row>
    <row r="10" ht="22" customHeight="1" spans="1:9">
      <c r="A10" s="12">
        <v>8</v>
      </c>
      <c r="B10" s="32">
        <v>46132</v>
      </c>
      <c r="C10" s="33" t="s">
        <v>22</v>
      </c>
      <c r="D10" s="33" t="s">
        <v>64</v>
      </c>
      <c r="E10" s="33">
        <v>3</v>
      </c>
      <c r="F10" s="34"/>
      <c r="G10" s="20"/>
      <c r="I10">
        <f t="shared" si="0"/>
        <v>3</v>
      </c>
    </row>
    <row r="11" ht="22" customHeight="1" spans="1:9">
      <c r="A11" s="12">
        <v>9</v>
      </c>
      <c r="B11" s="32">
        <v>46132</v>
      </c>
      <c r="C11" s="33" t="s">
        <v>23</v>
      </c>
      <c r="D11" s="33" t="s">
        <v>64</v>
      </c>
      <c r="E11" s="34"/>
      <c r="F11" s="33">
        <v>3</v>
      </c>
      <c r="G11" s="20"/>
      <c r="I11">
        <f t="shared" si="0"/>
        <v>3</v>
      </c>
    </row>
    <row r="12" customFormat="1" ht="22" customHeight="1" spans="1:9">
      <c r="A12" s="12">
        <v>10</v>
      </c>
      <c r="B12" s="32">
        <v>46132</v>
      </c>
      <c r="C12" s="33" t="s">
        <v>24</v>
      </c>
      <c r="D12" s="33" t="s">
        <v>64</v>
      </c>
      <c r="E12" s="34"/>
      <c r="F12" s="33">
        <v>3</v>
      </c>
      <c r="G12" s="20"/>
      <c r="I12">
        <f t="shared" si="0"/>
        <v>3</v>
      </c>
    </row>
    <row r="13" customFormat="1" ht="22" customHeight="1" spans="1:9">
      <c r="A13" s="12">
        <v>11</v>
      </c>
      <c r="B13" s="32">
        <v>46132</v>
      </c>
      <c r="C13" s="33" t="s">
        <v>26</v>
      </c>
      <c r="D13" s="33" t="s">
        <v>64</v>
      </c>
      <c r="E13" s="33">
        <v>2</v>
      </c>
      <c r="F13" s="33">
        <v>1</v>
      </c>
      <c r="G13" s="20"/>
      <c r="I13">
        <f t="shared" si="0"/>
        <v>3</v>
      </c>
    </row>
    <row r="14" customFormat="1" ht="22" customHeight="1" spans="1:9">
      <c r="A14" s="12">
        <v>12</v>
      </c>
      <c r="B14" s="32">
        <v>46132</v>
      </c>
      <c r="C14" s="33" t="s">
        <v>27</v>
      </c>
      <c r="D14" s="33" t="s">
        <v>64</v>
      </c>
      <c r="E14" s="33">
        <v>2</v>
      </c>
      <c r="F14" s="33">
        <v>1</v>
      </c>
      <c r="G14" s="20"/>
      <c r="I14">
        <f t="shared" si="0"/>
        <v>3</v>
      </c>
    </row>
    <row r="15" customFormat="1" ht="22" customHeight="1" spans="1:9">
      <c r="A15" s="12">
        <v>13</v>
      </c>
      <c r="B15" s="32">
        <v>46132</v>
      </c>
      <c r="C15" s="33" t="s">
        <v>28</v>
      </c>
      <c r="D15" s="33" t="s">
        <v>64</v>
      </c>
      <c r="E15" s="33">
        <v>2</v>
      </c>
      <c r="F15" s="33">
        <v>1</v>
      </c>
      <c r="G15" s="20"/>
      <c r="I15">
        <f t="shared" si="0"/>
        <v>3</v>
      </c>
    </row>
    <row r="16" customFormat="1" ht="22" customHeight="1" spans="1:9">
      <c r="A16" s="12">
        <v>14</v>
      </c>
      <c r="B16" s="32">
        <v>46132</v>
      </c>
      <c r="C16" s="33" t="s">
        <v>30</v>
      </c>
      <c r="D16" s="33" t="s">
        <v>64</v>
      </c>
      <c r="E16" s="34"/>
      <c r="F16" s="33">
        <v>3</v>
      </c>
      <c r="G16" s="20"/>
      <c r="I16">
        <f t="shared" si="0"/>
        <v>3</v>
      </c>
    </row>
    <row r="17" customFormat="1" ht="22" customHeight="1" spans="1:9">
      <c r="A17" s="12">
        <v>15</v>
      </c>
      <c r="B17" s="32">
        <v>46132</v>
      </c>
      <c r="C17" s="33" t="s">
        <v>31</v>
      </c>
      <c r="D17" s="33" t="s">
        <v>64</v>
      </c>
      <c r="E17" s="33">
        <v>3</v>
      </c>
      <c r="F17" s="34"/>
      <c r="G17" s="20"/>
      <c r="I17">
        <f t="shared" si="0"/>
        <v>3</v>
      </c>
    </row>
    <row r="18" customFormat="1" ht="22" customHeight="1" spans="1:9">
      <c r="A18" s="12">
        <v>16</v>
      </c>
      <c r="B18" s="32">
        <v>46132</v>
      </c>
      <c r="C18" s="33" t="s">
        <v>32</v>
      </c>
      <c r="D18" s="33" t="s">
        <v>64</v>
      </c>
      <c r="E18" s="33">
        <v>2</v>
      </c>
      <c r="F18" s="33">
        <v>1</v>
      </c>
      <c r="G18" s="20"/>
      <c r="I18">
        <f t="shared" si="0"/>
        <v>3</v>
      </c>
    </row>
    <row r="19" customFormat="1" ht="22" customHeight="1" spans="1:9">
      <c r="A19" s="12">
        <v>17</v>
      </c>
      <c r="B19" s="32">
        <v>46132</v>
      </c>
      <c r="C19" s="33" t="s">
        <v>33</v>
      </c>
      <c r="D19" s="33" t="s">
        <v>64</v>
      </c>
      <c r="E19" s="33">
        <v>3</v>
      </c>
      <c r="F19" s="34"/>
      <c r="G19" s="20"/>
      <c r="I19">
        <f t="shared" si="0"/>
        <v>3</v>
      </c>
    </row>
    <row r="20" customFormat="1" ht="22" customHeight="1" spans="1:9">
      <c r="A20" s="12">
        <v>18</v>
      </c>
      <c r="B20" s="32">
        <v>46132</v>
      </c>
      <c r="C20" s="33" t="s">
        <v>34</v>
      </c>
      <c r="D20" s="33" t="s">
        <v>64</v>
      </c>
      <c r="E20" s="33">
        <v>3</v>
      </c>
      <c r="F20" s="35"/>
      <c r="G20" s="20"/>
      <c r="I20">
        <f t="shared" si="0"/>
        <v>3</v>
      </c>
    </row>
    <row r="21" customFormat="1" ht="22" customHeight="1" spans="1:9">
      <c r="A21" s="12">
        <v>19</v>
      </c>
      <c r="B21" s="32">
        <v>46132</v>
      </c>
      <c r="C21" s="19" t="s">
        <v>35</v>
      </c>
      <c r="D21" s="33" t="s">
        <v>64</v>
      </c>
      <c r="E21" s="33">
        <v>3</v>
      </c>
      <c r="F21" s="20"/>
      <c r="G21" s="20"/>
      <c r="I21">
        <f t="shared" si="0"/>
        <v>3</v>
      </c>
    </row>
    <row r="22" customFormat="1" ht="22" customHeight="1" spans="1:9">
      <c r="A22" s="12">
        <v>20</v>
      </c>
      <c r="B22" s="32">
        <v>46132</v>
      </c>
      <c r="C22" s="19" t="s">
        <v>36</v>
      </c>
      <c r="D22" s="33" t="s">
        <v>64</v>
      </c>
      <c r="E22" s="19">
        <v>2</v>
      </c>
      <c r="F22" s="19">
        <v>1</v>
      </c>
      <c r="G22" s="19"/>
      <c r="I22">
        <f t="shared" si="0"/>
        <v>3</v>
      </c>
    </row>
    <row r="23" customFormat="1" ht="22" customHeight="1" spans="1:9">
      <c r="A23" s="12">
        <v>21</v>
      </c>
      <c r="B23" s="32">
        <v>46132</v>
      </c>
      <c r="C23" s="19" t="s">
        <v>38</v>
      </c>
      <c r="D23" s="33" t="s">
        <v>64</v>
      </c>
      <c r="E23" s="19">
        <v>2</v>
      </c>
      <c r="F23" s="19">
        <v>1</v>
      </c>
      <c r="G23" s="19"/>
      <c r="I23">
        <f t="shared" si="0"/>
        <v>3</v>
      </c>
    </row>
    <row r="24" customFormat="1" ht="22" customHeight="1" spans="1:9">
      <c r="A24" s="12">
        <v>22</v>
      </c>
      <c r="B24" s="32">
        <v>46132</v>
      </c>
      <c r="C24" s="19" t="s">
        <v>40</v>
      </c>
      <c r="D24" s="33" t="s">
        <v>64</v>
      </c>
      <c r="E24" s="33">
        <v>3</v>
      </c>
      <c r="F24" s="19"/>
      <c r="G24" s="19"/>
      <c r="I24">
        <f t="shared" si="0"/>
        <v>3</v>
      </c>
    </row>
    <row r="25" customFormat="1" ht="22" customHeight="1" spans="1:9">
      <c r="A25" s="12">
        <v>23</v>
      </c>
      <c r="B25" s="32">
        <v>46132</v>
      </c>
      <c r="C25" s="19" t="s">
        <v>42</v>
      </c>
      <c r="D25" s="33" t="s">
        <v>64</v>
      </c>
      <c r="E25" s="33"/>
      <c r="F25" s="19">
        <v>3</v>
      </c>
      <c r="G25" s="19"/>
      <c r="I25">
        <f t="shared" si="0"/>
        <v>3</v>
      </c>
    </row>
    <row r="26" customFormat="1" ht="22" customHeight="1" spans="1:9">
      <c r="A26" s="12">
        <v>24</v>
      </c>
      <c r="B26" s="32">
        <v>46132</v>
      </c>
      <c r="C26" s="19" t="s">
        <v>44</v>
      </c>
      <c r="D26" s="33" t="s">
        <v>64</v>
      </c>
      <c r="E26" s="33">
        <v>3</v>
      </c>
      <c r="F26" s="19"/>
      <c r="G26" s="19"/>
      <c r="I26">
        <f t="shared" si="0"/>
        <v>3</v>
      </c>
    </row>
    <row r="27" customFormat="1" ht="22" customHeight="1" spans="1:9">
      <c r="A27" s="12">
        <v>25</v>
      </c>
      <c r="B27" s="32">
        <v>46132</v>
      </c>
      <c r="C27" s="19" t="s">
        <v>45</v>
      </c>
      <c r="D27" s="33" t="s">
        <v>64</v>
      </c>
      <c r="E27" s="33"/>
      <c r="F27" s="19">
        <v>3</v>
      </c>
      <c r="G27" s="19"/>
      <c r="I27">
        <f t="shared" si="0"/>
        <v>3</v>
      </c>
    </row>
    <row r="28" customFormat="1" ht="22" customHeight="1" spans="1:9">
      <c r="A28" s="12">
        <v>26</v>
      </c>
      <c r="B28" s="32">
        <v>46132</v>
      </c>
      <c r="C28" s="19" t="s">
        <v>46</v>
      </c>
      <c r="D28" s="33" t="s">
        <v>64</v>
      </c>
      <c r="E28" s="33">
        <v>3</v>
      </c>
      <c r="F28" s="19"/>
      <c r="G28" s="19"/>
      <c r="I28">
        <f t="shared" si="0"/>
        <v>3</v>
      </c>
    </row>
    <row r="29" customFormat="1" ht="22" customHeight="1" spans="1:9">
      <c r="A29" s="12">
        <v>27</v>
      </c>
      <c r="B29" s="32">
        <v>46132</v>
      </c>
      <c r="C29" s="19" t="s">
        <v>48</v>
      </c>
      <c r="D29" s="33" t="s">
        <v>64</v>
      </c>
      <c r="E29" s="33">
        <v>3</v>
      </c>
      <c r="F29" s="19"/>
      <c r="G29" s="19"/>
      <c r="I29">
        <f t="shared" si="0"/>
        <v>3</v>
      </c>
    </row>
    <row r="30" customFormat="1" ht="22" customHeight="1" spans="1:9">
      <c r="A30" s="12"/>
      <c r="B30" s="36"/>
      <c r="C30" s="19"/>
      <c r="D30" s="37"/>
      <c r="E30" s="38"/>
      <c r="F30" s="28"/>
      <c r="G30" s="28"/>
      <c r="I30">
        <f t="shared" si="0"/>
        <v>0</v>
      </c>
    </row>
    <row r="31" customFormat="1" ht="13.5" spans="1:9">
      <c r="E31" s="39">
        <f>SUM(E3:E30)</f>
        <v>48</v>
      </c>
      <c r="F31" s="39">
        <f>SUM(F3:F30)</f>
        <v>33</v>
      </c>
      <c r="I31">
        <f t="shared" si="0"/>
        <v>81</v>
      </c>
    </row>
  </sheetData>
  <mergeCells count="1">
    <mergeCell ref="A1:G1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"/>
  <sheetViews>
    <sheetView workbookViewId="0">
      <pane ySplit="2" topLeftCell="A15" activePane="bottomLeft" state="frozen"/>
      <selection/>
      <selection pane="bottomLeft" activeCell="G33" sqref="G33"/>
    </sheetView>
  </sheetViews>
  <sheetFormatPr defaultColWidth="9.14285714285714" defaultRowHeight="12"/>
  <cols>
    <col min="1" max="1" width="8.57142857142857" customWidth="1"/>
    <col min="2" max="2" width="14.4285714285714" style="2" customWidth="1"/>
    <col min="3" max="3" width="18.1428571428571" style="2" customWidth="1"/>
    <col min="4" max="6" width="12.1428571428571" style="2" customWidth="1"/>
    <col min="7" max="7" width="25.2857142857143" customWidth="1"/>
  </cols>
  <sheetData>
    <row r="1" ht="27" customHeight="1" spans="1:9">
      <c r="A1" s="3" t="s">
        <v>49</v>
      </c>
      <c r="B1" s="4"/>
      <c r="C1" s="4"/>
      <c r="D1" s="4"/>
      <c r="E1" s="4"/>
      <c r="F1" s="5"/>
      <c r="G1" s="6"/>
    </row>
    <row r="2" s="1" customFormat="1" ht="32" customHeight="1" spans="1:9">
      <c r="A2" s="7" t="s">
        <v>2</v>
      </c>
      <c r="B2" s="8" t="s">
        <v>57</v>
      </c>
      <c r="C2" s="8" t="s">
        <v>3</v>
      </c>
      <c r="D2" s="9" t="s">
        <v>61</v>
      </c>
      <c r="E2" s="10" t="s">
        <v>62</v>
      </c>
      <c r="F2" s="10" t="s">
        <v>63</v>
      </c>
      <c r="G2" s="11" t="s">
        <v>7</v>
      </c>
    </row>
    <row r="3" ht="22" customHeight="1" spans="1:9">
      <c r="A3" s="12">
        <v>1</v>
      </c>
      <c r="B3" s="13">
        <v>46135</v>
      </c>
      <c r="C3" s="14" t="s">
        <v>13</v>
      </c>
      <c r="D3" s="14" t="s">
        <v>65</v>
      </c>
      <c r="E3" s="14">
        <v>4</v>
      </c>
      <c r="F3" s="15"/>
      <c r="G3" s="16"/>
      <c r="I3">
        <f t="shared" ref="I3:I31" si="0">E3+F3</f>
        <v>4</v>
      </c>
    </row>
    <row r="4" ht="22" customHeight="1" spans="1:9">
      <c r="A4" s="12">
        <v>2</v>
      </c>
      <c r="B4" s="13">
        <v>46135</v>
      </c>
      <c r="C4" s="14" t="s">
        <v>16</v>
      </c>
      <c r="D4" s="14" t="s">
        <v>65</v>
      </c>
      <c r="E4" s="14">
        <v>4</v>
      </c>
      <c r="F4" s="15"/>
      <c r="G4" s="17"/>
      <c r="I4">
        <f t="shared" si="0"/>
        <v>4</v>
      </c>
    </row>
    <row r="5" ht="22" customHeight="1" spans="1:9">
      <c r="A5" s="12">
        <v>3</v>
      </c>
      <c r="B5" s="13">
        <v>46135</v>
      </c>
      <c r="C5" s="14" t="s">
        <v>18</v>
      </c>
      <c r="D5" s="14" t="s">
        <v>65</v>
      </c>
      <c r="E5" s="15"/>
      <c r="F5" s="14">
        <v>4</v>
      </c>
      <c r="G5" s="17"/>
      <c r="I5">
        <f t="shared" si="0"/>
        <v>4</v>
      </c>
    </row>
    <row r="6" ht="22" customHeight="1" spans="1:9">
      <c r="A6" s="12">
        <v>4</v>
      </c>
      <c r="B6" s="13">
        <v>46135</v>
      </c>
      <c r="C6" s="14" t="s">
        <v>19</v>
      </c>
      <c r="D6" s="14" t="s">
        <v>65</v>
      </c>
      <c r="E6" s="14">
        <v>4</v>
      </c>
      <c r="F6" s="15"/>
      <c r="G6" s="17"/>
      <c r="I6">
        <f t="shared" si="0"/>
        <v>4</v>
      </c>
    </row>
    <row r="7" ht="22" customHeight="1" spans="1:9">
      <c r="A7" s="12">
        <v>5</v>
      </c>
      <c r="B7" s="13">
        <v>46135</v>
      </c>
      <c r="C7" s="14" t="s">
        <v>21</v>
      </c>
      <c r="D7" s="14" t="s">
        <v>65</v>
      </c>
      <c r="E7" s="15"/>
      <c r="F7" s="14">
        <v>4</v>
      </c>
      <c r="G7" s="17"/>
      <c r="I7">
        <f t="shared" si="0"/>
        <v>4</v>
      </c>
    </row>
    <row r="8" customFormat="1" ht="22" customHeight="1" spans="1:9">
      <c r="A8" s="12">
        <v>6</v>
      </c>
      <c r="B8" s="13">
        <v>46135</v>
      </c>
      <c r="C8" s="18" t="s">
        <v>37</v>
      </c>
      <c r="D8" s="14" t="s">
        <v>65</v>
      </c>
      <c r="E8" s="18"/>
      <c r="F8" s="14">
        <v>4</v>
      </c>
      <c r="G8" s="19"/>
      <c r="I8">
        <f t="shared" si="0"/>
        <v>4</v>
      </c>
    </row>
    <row r="9" ht="22" customHeight="1" spans="1:9">
      <c r="A9" s="12">
        <v>7</v>
      </c>
      <c r="B9" s="13">
        <v>46135</v>
      </c>
      <c r="C9" s="14" t="s">
        <v>20</v>
      </c>
      <c r="D9" s="14" t="s">
        <v>65</v>
      </c>
      <c r="E9" s="15"/>
      <c r="F9" s="14">
        <v>4</v>
      </c>
      <c r="G9" s="17"/>
      <c r="I9">
        <f t="shared" si="0"/>
        <v>4</v>
      </c>
    </row>
    <row r="10" ht="22" customHeight="1" spans="1:9">
      <c r="A10" s="12">
        <v>8</v>
      </c>
      <c r="B10" s="13">
        <v>46135</v>
      </c>
      <c r="C10" s="14" t="s">
        <v>22</v>
      </c>
      <c r="D10" s="14" t="s">
        <v>65</v>
      </c>
      <c r="E10" s="14">
        <v>4</v>
      </c>
      <c r="F10" s="15"/>
      <c r="G10" s="20"/>
      <c r="I10">
        <f t="shared" si="0"/>
        <v>4</v>
      </c>
    </row>
    <row r="11" ht="22" customHeight="1" spans="1:9">
      <c r="A11" s="12">
        <v>9</v>
      </c>
      <c r="B11" s="13">
        <v>46135</v>
      </c>
      <c r="C11" s="14" t="s">
        <v>23</v>
      </c>
      <c r="D11" s="14" t="s">
        <v>65</v>
      </c>
      <c r="E11" s="15"/>
      <c r="F11" s="14">
        <v>4</v>
      </c>
      <c r="G11" s="20"/>
      <c r="I11">
        <f t="shared" si="0"/>
        <v>4</v>
      </c>
    </row>
    <row r="12" customFormat="1" ht="22" customHeight="1" spans="1:9">
      <c r="A12" s="12">
        <v>10</v>
      </c>
      <c r="B12" s="13">
        <v>46135</v>
      </c>
      <c r="C12" s="14" t="s">
        <v>24</v>
      </c>
      <c r="D12" s="14" t="s">
        <v>65</v>
      </c>
      <c r="E12" s="15"/>
      <c r="F12" s="14">
        <v>4</v>
      </c>
      <c r="G12" s="20"/>
      <c r="I12">
        <f t="shared" si="0"/>
        <v>4</v>
      </c>
    </row>
    <row r="13" customFormat="1" ht="22" customHeight="1" spans="1:9">
      <c r="A13" s="12">
        <v>11</v>
      </c>
      <c r="B13" s="13">
        <v>46135</v>
      </c>
      <c r="C13" s="14" t="s">
        <v>26</v>
      </c>
      <c r="D13" s="14" t="s">
        <v>65</v>
      </c>
      <c r="E13" s="14">
        <v>2</v>
      </c>
      <c r="F13" s="14">
        <v>2</v>
      </c>
      <c r="G13" s="20"/>
      <c r="I13">
        <f t="shared" si="0"/>
        <v>4</v>
      </c>
    </row>
    <row r="14" customFormat="1" ht="22" customHeight="1" spans="1:9">
      <c r="A14" s="12">
        <v>12</v>
      </c>
      <c r="B14" s="13">
        <v>46135</v>
      </c>
      <c r="C14" s="14" t="s">
        <v>27</v>
      </c>
      <c r="D14" s="14" t="s">
        <v>65</v>
      </c>
      <c r="E14" s="14">
        <v>2</v>
      </c>
      <c r="F14" s="14">
        <v>2</v>
      </c>
      <c r="G14" s="20"/>
      <c r="I14">
        <f t="shared" si="0"/>
        <v>4</v>
      </c>
    </row>
    <row r="15" customFormat="1" ht="22" customHeight="1" spans="1:9">
      <c r="A15" s="12">
        <v>13</v>
      </c>
      <c r="B15" s="13">
        <v>46135</v>
      </c>
      <c r="C15" s="14" t="s">
        <v>28</v>
      </c>
      <c r="D15" s="14" t="s">
        <v>65</v>
      </c>
      <c r="E15" s="14">
        <v>2</v>
      </c>
      <c r="F15" s="14">
        <v>2</v>
      </c>
      <c r="G15" s="20"/>
      <c r="I15">
        <f t="shared" si="0"/>
        <v>4</v>
      </c>
    </row>
    <row r="16" customFormat="1" ht="22" customHeight="1" spans="1:9">
      <c r="A16" s="12">
        <v>14</v>
      </c>
      <c r="B16" s="13">
        <v>46135</v>
      </c>
      <c r="C16" s="14" t="s">
        <v>30</v>
      </c>
      <c r="D16" s="14" t="s">
        <v>65</v>
      </c>
      <c r="E16" s="15"/>
      <c r="F16" s="14">
        <v>4</v>
      </c>
      <c r="G16" s="20"/>
      <c r="I16">
        <f t="shared" si="0"/>
        <v>4</v>
      </c>
    </row>
    <row r="17" customFormat="1" ht="22" customHeight="1" spans="1:9">
      <c r="A17" s="12">
        <v>15</v>
      </c>
      <c r="B17" s="13">
        <v>46135</v>
      </c>
      <c r="C17" s="14" t="s">
        <v>31</v>
      </c>
      <c r="D17" s="14" t="s">
        <v>65</v>
      </c>
      <c r="E17" s="14">
        <v>4</v>
      </c>
      <c r="F17" s="15"/>
      <c r="G17" s="20"/>
      <c r="I17">
        <f t="shared" si="0"/>
        <v>4</v>
      </c>
    </row>
    <row r="18" customFormat="1" ht="22" customHeight="1" spans="1:9">
      <c r="A18" s="12">
        <v>16</v>
      </c>
      <c r="B18" s="13">
        <v>46135</v>
      </c>
      <c r="C18" s="14" t="s">
        <v>32</v>
      </c>
      <c r="D18" s="14" t="s">
        <v>65</v>
      </c>
      <c r="E18" s="14">
        <v>2</v>
      </c>
      <c r="F18" s="14">
        <v>2</v>
      </c>
      <c r="G18" s="20"/>
      <c r="I18">
        <f t="shared" si="0"/>
        <v>4</v>
      </c>
    </row>
    <row r="19" customFormat="1" ht="22" customHeight="1" spans="1:9">
      <c r="A19" s="12">
        <v>17</v>
      </c>
      <c r="B19" s="13">
        <v>46135</v>
      </c>
      <c r="C19" s="14" t="s">
        <v>33</v>
      </c>
      <c r="D19" s="14" t="s">
        <v>65</v>
      </c>
      <c r="E19" s="14">
        <v>4</v>
      </c>
      <c r="F19" s="15"/>
      <c r="G19" s="20"/>
      <c r="I19">
        <f t="shared" si="0"/>
        <v>4</v>
      </c>
    </row>
    <row r="20" customFormat="1" ht="22" customHeight="1" spans="1:9">
      <c r="A20" s="12">
        <v>18</v>
      </c>
      <c r="B20" s="13">
        <v>46135</v>
      </c>
      <c r="C20" s="14" t="s">
        <v>34</v>
      </c>
      <c r="D20" s="14" t="s">
        <v>65</v>
      </c>
      <c r="E20" s="14">
        <v>4</v>
      </c>
      <c r="F20" s="21"/>
      <c r="G20" s="20"/>
      <c r="I20">
        <f t="shared" si="0"/>
        <v>4</v>
      </c>
    </row>
    <row r="21" customFormat="1" ht="22" customHeight="1" spans="1:9">
      <c r="A21" s="12">
        <v>19</v>
      </c>
      <c r="B21" s="13">
        <v>46135</v>
      </c>
      <c r="C21" s="18" t="s">
        <v>35</v>
      </c>
      <c r="D21" s="14" t="s">
        <v>65</v>
      </c>
      <c r="E21" s="14">
        <v>4</v>
      </c>
      <c r="F21" s="22"/>
      <c r="G21" s="20"/>
      <c r="I21">
        <f t="shared" si="0"/>
        <v>4</v>
      </c>
    </row>
    <row r="22" customFormat="1" ht="22" customHeight="1" spans="1:9">
      <c r="A22" s="12">
        <v>20</v>
      </c>
      <c r="B22" s="13">
        <v>46135</v>
      </c>
      <c r="C22" s="18" t="s">
        <v>36</v>
      </c>
      <c r="D22" s="14" t="s">
        <v>65</v>
      </c>
      <c r="E22" s="14">
        <v>2</v>
      </c>
      <c r="F22" s="14">
        <v>2</v>
      </c>
      <c r="G22" s="19"/>
      <c r="I22">
        <f t="shared" si="0"/>
        <v>4</v>
      </c>
    </row>
    <row r="23" customFormat="1" ht="22" customHeight="1" spans="1:9">
      <c r="A23" s="12">
        <v>21</v>
      </c>
      <c r="B23" s="13">
        <v>46135</v>
      </c>
      <c r="C23" s="18" t="s">
        <v>38</v>
      </c>
      <c r="D23" s="14" t="s">
        <v>65</v>
      </c>
      <c r="E23" s="14">
        <v>2</v>
      </c>
      <c r="F23" s="14">
        <v>2</v>
      </c>
      <c r="G23" s="19"/>
      <c r="I23">
        <f t="shared" si="0"/>
        <v>4</v>
      </c>
    </row>
    <row r="24" customFormat="1" ht="22" customHeight="1" spans="1:9">
      <c r="A24" s="12">
        <v>22</v>
      </c>
      <c r="B24" s="13">
        <v>46135</v>
      </c>
      <c r="C24" s="18" t="s">
        <v>40</v>
      </c>
      <c r="D24" s="14" t="s">
        <v>65</v>
      </c>
      <c r="E24" s="14">
        <v>4</v>
      </c>
      <c r="F24" s="18"/>
      <c r="G24" s="19"/>
      <c r="I24">
        <f t="shared" si="0"/>
        <v>4</v>
      </c>
    </row>
    <row r="25" customFormat="1" ht="22" customHeight="1" spans="1:9">
      <c r="A25" s="12">
        <v>23</v>
      </c>
      <c r="B25" s="13">
        <v>46135</v>
      </c>
      <c r="C25" s="18" t="s">
        <v>42</v>
      </c>
      <c r="D25" s="14" t="s">
        <v>65</v>
      </c>
      <c r="E25" s="18"/>
      <c r="F25" s="18">
        <v>4</v>
      </c>
      <c r="G25" s="19"/>
      <c r="I25">
        <f t="shared" si="0"/>
        <v>4</v>
      </c>
    </row>
    <row r="26" customFormat="1" ht="22" customHeight="1" spans="1:9">
      <c r="A26" s="12">
        <v>24</v>
      </c>
      <c r="B26" s="13">
        <v>46135</v>
      </c>
      <c r="C26" s="18" t="s">
        <v>44</v>
      </c>
      <c r="D26" s="14" t="s">
        <v>65</v>
      </c>
      <c r="E26" s="18">
        <v>4</v>
      </c>
      <c r="F26" s="23"/>
      <c r="G26" s="19"/>
      <c r="I26">
        <f t="shared" si="0"/>
        <v>4</v>
      </c>
    </row>
    <row r="27" customFormat="1" ht="22" customHeight="1" spans="1:9">
      <c r="A27" s="12">
        <v>25</v>
      </c>
      <c r="B27" s="13">
        <v>46135</v>
      </c>
      <c r="C27" s="18" t="s">
        <v>45</v>
      </c>
      <c r="D27" s="14" t="s">
        <v>65</v>
      </c>
      <c r="E27" s="18"/>
      <c r="F27" s="23">
        <v>4</v>
      </c>
      <c r="G27" s="19"/>
      <c r="I27">
        <f t="shared" si="0"/>
        <v>4</v>
      </c>
    </row>
    <row r="28" customFormat="1" ht="22" customHeight="1" spans="1:9">
      <c r="A28" s="12">
        <v>26</v>
      </c>
      <c r="B28" s="13">
        <v>46135</v>
      </c>
      <c r="C28" s="18" t="s">
        <v>46</v>
      </c>
      <c r="D28" s="14" t="s">
        <v>65</v>
      </c>
      <c r="E28" s="18">
        <v>4</v>
      </c>
      <c r="F28" s="23"/>
      <c r="G28" s="19"/>
      <c r="I28">
        <f t="shared" si="0"/>
        <v>4</v>
      </c>
    </row>
    <row r="29" customFormat="1" ht="22" customHeight="1" spans="1:9">
      <c r="A29" s="12">
        <v>27</v>
      </c>
      <c r="B29" s="13">
        <v>46135</v>
      </c>
      <c r="C29" s="18" t="s">
        <v>48</v>
      </c>
      <c r="D29" s="14" t="s">
        <v>65</v>
      </c>
      <c r="E29" s="18">
        <v>4</v>
      </c>
      <c r="F29" s="23"/>
      <c r="G29" s="19"/>
      <c r="I29">
        <f t="shared" si="0"/>
        <v>4</v>
      </c>
    </row>
    <row r="30" customFormat="1" ht="22" customHeight="1" spans="1:9">
      <c r="A30" s="12"/>
      <c r="B30" s="24"/>
      <c r="C30" s="18"/>
      <c r="D30" s="25"/>
      <c r="E30" s="26"/>
      <c r="F30" s="27"/>
      <c r="G30" s="28"/>
      <c r="I30">
        <f t="shared" si="0"/>
        <v>0</v>
      </c>
    </row>
    <row r="31" customFormat="1" ht="13.5" spans="1:9">
      <c r="B31" s="2"/>
      <c r="C31" s="2"/>
      <c r="D31" s="2"/>
      <c r="E31" s="29">
        <f>SUM(E3:E30)</f>
        <v>60</v>
      </c>
      <c r="F31" s="29">
        <f>SUM(F3:F30)</f>
        <v>48</v>
      </c>
      <c r="I31">
        <f t="shared" si="0"/>
        <v>108</v>
      </c>
    </row>
    <row r="33" customFormat="1"/>
    <row r="34" customFormat="1"/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老师</vt:lpstr>
      <vt:lpstr>领奶表</vt:lpstr>
      <vt:lpstr>配送汇总</vt:lpstr>
      <vt:lpstr>签收</vt:lpstr>
      <vt:lpstr>3.9</vt:lpstr>
      <vt:lpstr>3.12</vt:lpstr>
      <vt:lpstr>3.16</vt:lpstr>
      <vt:lpstr>3.19</vt:lpstr>
      <vt:lpstr>3.23</vt:lpstr>
      <vt:lpstr>3.26</vt:lpstr>
      <vt:lpstr>3.30</vt:lpstr>
      <vt:lpstr>4.2</vt:lpstr>
      <vt:lpstr>4.7</vt:lpstr>
      <vt:lpstr>4.9</vt:lpstr>
      <vt:lpstr>4.13</vt:lpstr>
      <vt:lpstr>4.16</vt:lpstr>
      <vt:lpstr>4.20</vt:lpstr>
      <vt:lpstr>4.23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張榮強</cp:lastModifiedBy>
  <dcterms:created xsi:type="dcterms:W3CDTF">2025-02-18T07:47:00Z</dcterms:created>
  <dcterms:modified xsi:type="dcterms:W3CDTF">2026-04-17T02:19:21Z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A5E5FF03DC3344B6AB7B0804B0AAA305_13</vt:lpwstr>
  </property>
  <property fmtid="{D5CDD505-2E9C-101B-9397-08002B2CF9AE}" pid="3" name="KSOProductBuildVer">
    <vt:lpwstr>2052-12.1.0.25865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