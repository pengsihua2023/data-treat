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1535" tabRatio="846" firstSheet="1" activeTab="3"/>
  </bookViews>
  <sheets>
    <sheet name="老师" sheetId="1" r:id="rId1"/>
    <sheet name="领奶表" sheetId="5" r:id="rId2"/>
    <sheet name="签收" sheetId="8" r:id="rId3"/>
    <sheet name="配送汇总" sheetId="6" r:id="rId4"/>
    <sheet name="3.9" sheetId="2" r:id="rId5"/>
    <sheet name="3.12" sheetId="7" r:id="rId6"/>
    <sheet name="3.16" sheetId="9" r:id="rId7"/>
    <sheet name="3.19" sheetId="10" r:id="rId8"/>
    <sheet name="3.23" sheetId="11" r:id="rId9"/>
    <sheet name="3.26" sheetId="12" r:id="rId10"/>
    <sheet name="3.30" sheetId="13" r:id="rId11"/>
    <sheet name="4.2" sheetId="14" r:id="rId12"/>
    <sheet name="4.7" sheetId="15" r:id="rId13"/>
    <sheet name="4.9" sheetId="16" r:id="rId14"/>
    <sheet name="4.13" sheetId="17" r:id="rId15"/>
    <sheet name="4.16" sheetId="18" r:id="rId16"/>
    <sheet name="4.20" sheetId="20" r:id="rId17"/>
    <sheet name="4.23" sheetId="21" r:id="rId18"/>
    <sheet name="4.27" sheetId="22" r:id="rId19"/>
    <sheet name="4.30" sheetId="23" r:id="rId20"/>
  </sheets>
  <definedNames>
    <definedName name="_xlnm._FilterDatabase" localSheetId="3" hidden="1">配送汇总!$A$1:$AD$33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<sst xmlns="http://schemas.openxmlformats.org/spreadsheetml/2006/main" count="933" uniqueCount="81">
  <si>
    <t>2026春季石灰铺中学教职工巴氏鲜奶补贴订购申请表（20份起送，特殊申请除外</t>
  </si>
  <si>
    <t>本学期3月15日前订购一份赠送1本笔记本+1支花梨木圆珠笔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</si>
  <si>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</si>
  <si>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</si>
  <si>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</si>
  <si>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</si>
  <si>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</si>
  <si>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</si>
  <si>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</si>
  <si>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</si>
  <si>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</si>
  <si>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</si>
  <si>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</si>
  <si>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份数</t>
  </si>
  <si>
    <t>合计</t>
  </si>
  <si>
    <t>收款情况</t>
  </si>
  <si>
    <t>钟春兰</t>
  </si>
  <si>
    <t>✓</t>
  </si>
  <si>
    <t>已收费</t>
  </si>
  <si>
    <t>江秀兰</t>
  </si>
  <si>
    <t>√</t>
  </si>
  <si>
    <t>刘伍妹</t>
  </si>
  <si>
    <t>✔</t>
  </si>
  <si>
    <t>钟结花</t>
  </si>
  <si>
    <t>订2份，一份酸奶，一份鲜奶</t>
  </si>
  <si>
    <t>黄桂芳</t>
  </si>
  <si>
    <t>已发微信</t>
  </si>
  <si>
    <t>谭艳文</t>
  </si>
  <si>
    <t>✔️</t>
  </si>
  <si>
    <t>李翠媛</t>
  </si>
  <si>
    <t>3/20加订1份，一共2份</t>
  </si>
  <si>
    <t>黄美玲</t>
  </si>
  <si>
    <t>陈学玲</t>
  </si>
  <si>
    <t>曾辉玲</t>
  </si>
  <si>
    <t>麦秋婵</t>
  </si>
  <si>
    <t>黄神娣</t>
  </si>
  <si>
    <t>李铁映</t>
  </si>
  <si>
    <t>5月1号后配送</t>
  </si>
  <si>
    <t>付小霞</t>
  </si>
  <si>
    <t>钟欢乐</t>
  </si>
  <si>
    <t>李秀群</t>
  </si>
  <si>
    <t>4支酸奶，3支鲜奶
3天送2酸1鲜 4天送2酸2鲜</t>
  </si>
  <si>
    <t>巫月云</t>
  </si>
  <si>
    <t>3/12加单</t>
  </si>
  <si>
    <t>罗开府</t>
  </si>
  <si>
    <t>3/30新增，已收款</t>
  </si>
  <si>
    <t>英德市石灰铺中学教师鲜奶领奶表</t>
  </si>
  <si>
    <t>（ ）月份（填写领取数量/盒）</t>
  </si>
  <si>
    <t>姓名</t>
  </si>
  <si>
    <t>石灰铺中学教师鲜奶赠品领取表</t>
  </si>
  <si>
    <t>配送日期</t>
  </si>
  <si>
    <t>礼品份数
（笔记本+笔）</t>
  </si>
  <si>
    <t>签名</t>
  </si>
  <si>
    <t>钟结花1</t>
  </si>
  <si>
    <t>钟结花2</t>
  </si>
  <si>
    <t>名单发群+分发老师</t>
  </si>
  <si>
    <t>3.19送</t>
  </si>
  <si>
    <t xml:space="preserve">                                                   英德市石灰铺中学教师鲜奶领奶表</t>
  </si>
  <si>
    <t>订购份数</t>
  </si>
  <si>
    <t>总计</t>
  </si>
  <si>
    <t>剩余</t>
  </si>
  <si>
    <t>李翠媛1</t>
  </si>
  <si>
    <t>李翠媛2</t>
  </si>
  <si>
    <t>石灰铺中学教师鲜奶领奶表</t>
  </si>
  <si>
    <t>配送天数</t>
  </si>
  <si>
    <t>鲜</t>
  </si>
  <si>
    <t>酸</t>
  </si>
  <si>
    <t>3天</t>
  </si>
  <si>
    <t>一份酸奶，一份鲜奶</t>
  </si>
  <si>
    <t>补发</t>
  </si>
  <si>
    <t>4天</t>
  </si>
  <si>
    <t>2酸一鲜</t>
  </si>
  <si>
    <t>名单发老师</t>
  </si>
  <si>
    <t>补送</t>
  </si>
  <si>
    <t>分几次补送，补完为止</t>
  </si>
  <si>
    <t>每批补两支，补到和其他老师数量一致</t>
  </si>
  <si>
    <t>1鲜2酸</t>
  </si>
  <si>
    <t>已补完，下次不需再补</t>
  </si>
  <si>
    <t>5月1日后再送</t>
  </si>
  <si>
    <t>汇总</t>
  </si>
  <si>
    <t>已补发完，下次不用补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</si>
</sst>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5">
    <font>
      <sz val="10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12"/>
      <name val="宋体"/>
      <charset val="0"/>
    </font>
    <font>
      <sz val="10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1"/>
      <name val="宋体"/>
      <charset val="0"/>
    </font>
    <font>
      <sz val="10"/>
      <name val="宋体"/>
      <charset val="134"/>
      <scheme val="minor"/>
    </font>
    <font>
      <sz val="8"/>
      <name val="宋体"/>
      <charset val="134"/>
      <scheme val="minor"/>
    </font>
    <font>
      <b/>
      <sz val="14"/>
      <name val="宋体"/>
      <charset val="134"/>
    </font>
    <font>
      <sz val="8"/>
      <name val="宋体"/>
      <charset val="134"/>
    </font>
    <font>
      <sz val="10"/>
      <color rgb="FF000000"/>
      <name val="宋体"/>
      <charset val="134"/>
    </font>
    <font>
      <sz val="12"/>
      <color rgb="FFFF0000"/>
      <name val="宋体"/>
      <charset val="134"/>
      <scheme val="minor"/>
    </font>
    <font>
      <sz val="11"/>
      <color theme="1"/>
      <name val="宋体"/>
      <charset val="134"/>
    </font>
    <font>
      <b/>
      <sz val="12"/>
      <color theme="1"/>
      <name val="宋体"/>
      <charset val="134"/>
    </font>
    <font>
      <b/>
      <sz val="16"/>
      <color rgb="FF000000"/>
      <name val="宋体"/>
      <charset val="134"/>
    </font>
    <font>
      <b/>
      <sz val="16"/>
      <color rgb="FFDE3C36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3" borderId="10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4" borderId="13" applyNumberFormat="0" applyAlignment="0" applyProtection="0">
      <alignment vertical="center"/>
    </xf>
    <xf numFmtId="0" fontId="35" fillId="5" borderId="14" applyNumberFormat="0" applyAlignment="0" applyProtection="0">
      <alignment vertical="center"/>
    </xf>
    <xf numFmtId="0" fontId="36" fillId="5" borderId="13" applyNumberFormat="0" applyAlignment="0" applyProtection="0">
      <alignment vertical="center"/>
    </xf>
    <xf numFmtId="0" fontId="37" fillId="6" borderId="15" applyNumberFormat="0" applyAlignment="0" applyProtection="0">
      <alignment vertical="center"/>
    </xf>
    <xf numFmtId="0" fontId="38" fillId="0" borderId="16" applyNumberFormat="0" applyFill="0" applyAlignment="0" applyProtection="0">
      <alignment vertical="center"/>
    </xf>
    <xf numFmtId="0" fontId="39" fillId="0" borderId="17" applyNumberFormat="0" applyFill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</cellStyleXfs>
  <cellXfs count="8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0" fontId="3" fillId="0" borderId="4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58" fontId="4" fillId="0" borderId="5" xfId="0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49" fontId="7" fillId="0" borderId="5" xfId="0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5" fillId="0" borderId="5" xfId="0" applyFont="1" applyBorder="1" applyAlignment="1">
      <alignment horizontal="center" vertical="center" wrapText="1"/>
    </xf>
    <xf numFmtId="0" fontId="9" fillId="0" borderId="0" xfId="0" applyFont="1">
      <alignment vertical="center"/>
    </xf>
    <xf numFmtId="0" fontId="4" fillId="0" borderId="0" xfId="0" applyFont="1">
      <alignment vertical="center"/>
    </xf>
    <xf numFmtId="58" fontId="4" fillId="0" borderId="5" xfId="0" applyNumberFormat="1" applyFont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49" fontId="13" fillId="0" borderId="5" xfId="0" applyNumberFormat="1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4" fillId="0" borderId="0" xfId="0" applyNumberFormat="1" applyFont="1" applyFill="1" applyBorder="1" applyAlignment="1">
      <alignment horizontal="center" vertical="center"/>
    </xf>
    <xf numFmtId="0" fontId="15" fillId="0" borderId="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2" xfId="0" applyNumberFormat="1" applyFont="1" applyFill="1" applyBorder="1" applyAlignment="1">
      <alignment horizontal="center" vertical="center" wrapText="1"/>
    </xf>
    <xf numFmtId="0" fontId="16" fillId="0" borderId="0" xfId="0" applyNumberFormat="1" applyFont="1" applyFill="1" applyBorder="1" applyAlignment="1">
      <alignment horizontal="center" vertical="center" wrapText="1"/>
    </xf>
    <xf numFmtId="0" fontId="17" fillId="0" borderId="5" xfId="0" applyNumberFormat="1" applyFont="1" applyFill="1" applyBorder="1" applyAlignment="1">
      <alignment horizontal="center" vertical="center"/>
    </xf>
    <xf numFmtId="0" fontId="17" fillId="0" borderId="5" xfId="0" applyNumberFormat="1" applyFont="1" applyFill="1" applyBorder="1" applyAlignment="1">
      <alignment horizontal="center" vertical="center" wrapText="1"/>
    </xf>
    <xf numFmtId="58" fontId="17" fillId="0" borderId="5" xfId="0" applyNumberFormat="1" applyFont="1" applyFill="1" applyBorder="1" applyAlignment="1">
      <alignment horizontal="center" vertical="center" wrapText="1"/>
    </xf>
    <xf numFmtId="58" fontId="17" fillId="0" borderId="5" xfId="0" applyNumberFormat="1" applyFont="1" applyFill="1" applyBorder="1" applyAlignment="1">
      <alignment horizontal="center" vertical="center"/>
    </xf>
    <xf numFmtId="0" fontId="15" fillId="0" borderId="5" xfId="0" applyNumberFormat="1" applyFont="1" applyFill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18" fillId="0" borderId="7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18" fillId="0" borderId="7" xfId="0" applyFont="1" applyBorder="1" applyAlignment="1">
      <alignment horizontal="left" vertical="center"/>
    </xf>
    <xf numFmtId="0" fontId="19" fillId="0" borderId="5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8" fillId="0" borderId="3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2" fillId="0" borderId="5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58" fontId="4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20" fillId="0" borderId="0" xfId="0" applyNumberFormat="1" applyFont="1" applyFill="1" applyBorder="1" applyAlignment="1">
      <alignment vertical="center"/>
    </xf>
    <xf numFmtId="0" fontId="21" fillId="0" borderId="0" xfId="0" applyNumberFormat="1" applyFont="1" applyFill="1" applyBorder="1" applyAlignment="1">
      <alignment horizontal="center" vertical="center" wrapText="1"/>
    </xf>
    <xf numFmtId="0" fontId="20" fillId="0" borderId="0" xfId="0" applyNumberFormat="1" applyFont="1" applyFill="1" applyBorder="1" applyAlignment="1">
      <alignment horizontal="center" vertical="center"/>
    </xf>
    <xf numFmtId="0" fontId="5" fillId="0" borderId="5" xfId="0" applyNumberFormat="1" applyFont="1" applyFill="1" applyBorder="1" applyAlignment="1">
      <alignment horizontal="center" vertical="center"/>
    </xf>
    <xf numFmtId="0" fontId="21" fillId="0" borderId="5" xfId="0" applyNumberFormat="1" applyFont="1" applyFill="1" applyBorder="1" applyAlignment="1">
      <alignment horizontal="center" vertical="center" wrapText="1"/>
    </xf>
    <xf numFmtId="0" fontId="11" fillId="0" borderId="5" xfId="0" applyNumberFormat="1" applyFont="1" applyFill="1" applyBorder="1" applyAlignment="1">
      <alignment horizontal="center" vertical="center"/>
    </xf>
    <xf numFmtId="0" fontId="20" fillId="0" borderId="5" xfId="0" applyNumberFormat="1" applyFont="1" applyFill="1" applyBorder="1" applyAlignment="1">
      <alignment vertical="center"/>
    </xf>
    <xf numFmtId="0" fontId="11" fillId="0" borderId="0" xfId="0" applyNumberFormat="1" applyFont="1" applyFill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/>
    </xf>
    <xf numFmtId="49" fontId="13" fillId="2" borderId="5" xfId="0" applyNumberFormat="1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3" Type="http://schemas.openxmlformats.org/officeDocument/2006/relationships/styles" Target="styles.xml"/><Relationship Id="rId22" Type="http://schemas.openxmlformats.org/officeDocument/2006/relationships/sharedStrings" Target="sharedStrings.xml"/><Relationship Id="rId21" Type="http://schemas.openxmlformats.org/officeDocument/2006/relationships/theme" Target="theme/theme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8"/>
  <sheetViews>
    <sheetView workbookViewId="0">
      <selection activeCell="L13" sqref="L13"/>
    </sheetView>
  </sheetViews>
  <sheetFormatPr defaultColWidth="14" defaultRowHeight="18" customHeight="1"/>
  <cols>
    <col min="1" max="1" width="3.57142857142857" customWidth="1"/>
    <col min="4" max="6" width="7.14285714285714" customWidth="1"/>
    <col min="8" max="8" width="23.2857142857143" customWidth="1"/>
    <col min="9" max="10" width="5.57142857142857" customWidth="1"/>
  </cols>
  <sheetData>
    <row r="1" ht="20.25" customHeight="1" spans="1:25">
      <c r="A1" s="74" t="s">
        <v>0</v>
      </c>
      <c r="B1" s="74"/>
      <c r="C1" s="74"/>
      <c r="D1" s="74"/>
      <c r="E1" s="74"/>
      <c r="F1" s="74"/>
      <c r="G1" s="74"/>
      <c r="H1" s="74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</row>
    <row r="2" ht="20.25" customHeight="1" spans="1:25">
      <c r="A2" s="76" t="s">
        <v>1</v>
      </c>
      <c r="B2" s="76"/>
      <c r="C2" s="76"/>
      <c r="D2" s="76"/>
      <c r="E2" s="76"/>
      <c r="F2" s="76"/>
      <c r="G2" s="76"/>
      <c r="H2" s="76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</row>
    <row r="3" customHeight="1" spans="1:25">
      <c r="A3" s="77" t="s">
        <v>2</v>
      </c>
      <c r="B3" s="77" t="s">
        <v>3</v>
      </c>
      <c r="C3" s="77" t="s">
        <v>4</v>
      </c>
      <c r="D3" s="78" t="s">
        <v>5</v>
      </c>
      <c r="E3" s="78"/>
      <c r="F3" s="78" t="s">
        <v>6</v>
      </c>
      <c r="G3" s="78"/>
      <c r="H3" s="77" t="s">
        <v>7</v>
      </c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</row>
    <row r="4" ht="67.5" spans="1:25">
      <c r="A4" s="77"/>
      <c r="B4" s="77"/>
      <c r="C4" s="77"/>
      <c r="D4" s="79" t="s">
        <v>8</v>
      </c>
      <c r="E4" s="79" t="s">
        <v>9</v>
      </c>
      <c r="F4" s="79" t="s">
        <v>10</v>
      </c>
      <c r="G4" s="79" t="s">
        <v>11</v>
      </c>
      <c r="H4" s="80" t="s">
        <v>12</v>
      </c>
      <c r="I4" s="75" t="s">
        <v>13</v>
      </c>
      <c r="J4" s="75" t="s">
        <v>14</v>
      </c>
      <c r="K4" s="75" t="s">
        <v>15</v>
      </c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</row>
    <row r="5" customHeight="1" spans="1:25">
      <c r="A5" s="46">
        <v>1</v>
      </c>
      <c r="B5" s="46" t="s">
        <v>16</v>
      </c>
      <c r="C5" s="46">
        <v>13729638969</v>
      </c>
      <c r="D5" s="25"/>
      <c r="E5" s="46" t="s">
        <v>17</v>
      </c>
      <c r="F5" s="46">
        <v>350</v>
      </c>
      <c r="G5" s="46">
        <v>210</v>
      </c>
      <c r="H5" s="25"/>
      <c r="I5" s="75">
        <v>1</v>
      </c>
      <c r="J5" s="75">
        <f t="shared" ref="J5:J22" si="0">G5*I5</f>
        <v>210</v>
      </c>
      <c r="K5" s="81" t="s">
        <v>18</v>
      </c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</row>
    <row r="6" customHeight="1" spans="1:25">
      <c r="A6" s="46">
        <v>2</v>
      </c>
      <c r="B6" s="48" t="s">
        <v>19</v>
      </c>
      <c r="C6" s="46">
        <v>13610564895</v>
      </c>
      <c r="D6" s="25"/>
      <c r="E6" s="46" t="s">
        <v>20</v>
      </c>
      <c r="F6" s="46">
        <v>350</v>
      </c>
      <c r="G6" s="46">
        <v>210</v>
      </c>
      <c r="H6" s="25"/>
      <c r="I6" s="75">
        <v>1</v>
      </c>
      <c r="J6" s="75">
        <f t="shared" si="0"/>
        <v>210</v>
      </c>
      <c r="K6" s="81" t="s">
        <v>18</v>
      </c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</row>
    <row r="7" customHeight="1" spans="1:25">
      <c r="A7" s="46">
        <v>3</v>
      </c>
      <c r="B7" s="46" t="s">
        <v>21</v>
      </c>
      <c r="C7" s="46">
        <v>18024850729</v>
      </c>
      <c r="D7" s="25"/>
      <c r="E7" s="46" t="s">
        <v>22</v>
      </c>
      <c r="F7" s="46">
        <v>350</v>
      </c>
      <c r="G7" s="46">
        <v>210</v>
      </c>
      <c r="H7" s="25"/>
      <c r="I7" s="75">
        <v>1</v>
      </c>
      <c r="J7" s="75">
        <f t="shared" si="0"/>
        <v>210</v>
      </c>
      <c r="K7" s="81" t="s">
        <v>18</v>
      </c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</row>
    <row r="8" ht="27" customHeight="1" spans="1:25">
      <c r="A8" s="46">
        <v>4</v>
      </c>
      <c r="B8" s="46" t="s">
        <v>23</v>
      </c>
      <c r="C8" s="46">
        <v>15914989890</v>
      </c>
      <c r="D8" s="46" t="s">
        <v>22</v>
      </c>
      <c r="E8" s="46" t="s">
        <v>22</v>
      </c>
      <c r="F8" s="46">
        <v>350</v>
      </c>
      <c r="G8" s="46">
        <v>210</v>
      </c>
      <c r="H8" s="48" t="s">
        <v>24</v>
      </c>
      <c r="I8" s="75">
        <v>2</v>
      </c>
      <c r="J8" s="75">
        <f t="shared" si="0"/>
        <v>420</v>
      </c>
      <c r="K8" s="81" t="s">
        <v>18</v>
      </c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</row>
    <row r="9" customHeight="1" spans="1:25">
      <c r="A9" s="46">
        <v>5</v>
      </c>
      <c r="B9" s="46" t="s">
        <v>25</v>
      </c>
      <c r="C9" s="46">
        <v>13413594099</v>
      </c>
      <c r="D9" s="25"/>
      <c r="E9" s="46" t="s">
        <v>22</v>
      </c>
      <c r="F9" s="46">
        <v>350</v>
      </c>
      <c r="G9" s="46">
        <v>210</v>
      </c>
      <c r="H9" s="25"/>
      <c r="I9" s="75">
        <v>1</v>
      </c>
      <c r="J9" s="75">
        <f t="shared" si="0"/>
        <v>210</v>
      </c>
      <c r="K9" s="75"/>
      <c r="L9" s="75" t="s">
        <v>26</v>
      </c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</row>
    <row r="10" customHeight="1" spans="1:25">
      <c r="A10" s="46">
        <v>6</v>
      </c>
      <c r="B10" s="46" t="s">
        <v>27</v>
      </c>
      <c r="C10" s="46">
        <v>15820119505</v>
      </c>
      <c r="D10" s="25"/>
      <c r="E10" s="46" t="s">
        <v>28</v>
      </c>
      <c r="F10" s="46">
        <v>350</v>
      </c>
      <c r="G10" s="46">
        <v>210</v>
      </c>
      <c r="H10" s="25"/>
      <c r="I10" s="75">
        <v>1</v>
      </c>
      <c r="J10" s="75">
        <f t="shared" si="0"/>
        <v>210</v>
      </c>
      <c r="K10" s="81" t="s">
        <v>18</v>
      </c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</row>
    <row r="11" customHeight="1" spans="1:25">
      <c r="A11" s="46">
        <v>7</v>
      </c>
      <c r="B11" s="46" t="s">
        <v>29</v>
      </c>
      <c r="C11" s="46">
        <v>15219510981</v>
      </c>
      <c r="D11" s="46" t="s">
        <v>20</v>
      </c>
      <c r="E11" s="46" t="s">
        <v>20</v>
      </c>
      <c r="F11" s="46">
        <v>350</v>
      </c>
      <c r="G11" s="46">
        <v>210</v>
      </c>
      <c r="H11" s="25" t="s">
        <v>30</v>
      </c>
      <c r="I11" s="75">
        <v>2</v>
      </c>
      <c r="J11" s="75">
        <f t="shared" si="0"/>
        <v>420</v>
      </c>
      <c r="K11" s="81" t="s">
        <v>18</v>
      </c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</row>
    <row r="12" customHeight="1" spans="1:25">
      <c r="A12" s="46">
        <v>8</v>
      </c>
      <c r="B12" s="46" t="s">
        <v>31</v>
      </c>
      <c r="C12" s="46">
        <v>15219828925</v>
      </c>
      <c r="D12" s="46" t="s">
        <v>20</v>
      </c>
      <c r="E12" s="46" t="s">
        <v>20</v>
      </c>
      <c r="F12" s="46">
        <v>350</v>
      </c>
      <c r="G12" s="46">
        <v>210</v>
      </c>
      <c r="H12" s="25"/>
      <c r="I12" s="75">
        <v>1</v>
      </c>
      <c r="J12" s="75">
        <f t="shared" si="0"/>
        <v>210</v>
      </c>
      <c r="K12" s="81" t="s">
        <v>18</v>
      </c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</row>
    <row r="13" customHeight="1" spans="1:25">
      <c r="A13" s="46">
        <v>9</v>
      </c>
      <c r="B13" s="46" t="s">
        <v>32</v>
      </c>
      <c r="C13" s="46">
        <v>13535998904</v>
      </c>
      <c r="D13" s="46" t="s">
        <v>20</v>
      </c>
      <c r="E13" s="46" t="s">
        <v>20</v>
      </c>
      <c r="F13" s="46">
        <v>350</v>
      </c>
      <c r="G13" s="46">
        <v>210</v>
      </c>
      <c r="H13" s="25"/>
      <c r="I13" s="75">
        <v>1</v>
      </c>
      <c r="J13" s="75">
        <f t="shared" si="0"/>
        <v>210</v>
      </c>
      <c r="K13" s="81" t="s">
        <v>18</v>
      </c>
      <c r="L13" s="75" t="s">
        <v>26</v>
      </c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</row>
    <row r="14" customHeight="1" spans="1:25">
      <c r="A14" s="46">
        <v>10</v>
      </c>
      <c r="B14" s="46" t="s">
        <v>33</v>
      </c>
      <c r="C14" s="46">
        <v>18814382439</v>
      </c>
      <c r="D14" s="46" t="s">
        <v>17</v>
      </c>
      <c r="E14" s="25"/>
      <c r="F14" s="46">
        <v>350</v>
      </c>
      <c r="G14" s="46">
        <v>210</v>
      </c>
      <c r="H14" s="25"/>
      <c r="I14" s="75">
        <v>1</v>
      </c>
      <c r="J14" s="75">
        <f t="shared" si="0"/>
        <v>210</v>
      </c>
      <c r="K14" s="81" t="s">
        <v>18</v>
      </c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</row>
    <row r="15" customHeight="1" spans="1:25">
      <c r="A15" s="46">
        <v>11</v>
      </c>
      <c r="B15" s="46" t="s">
        <v>34</v>
      </c>
      <c r="C15" s="46">
        <v>13726974907</v>
      </c>
      <c r="D15" s="25"/>
      <c r="E15" s="46" t="s">
        <v>17</v>
      </c>
      <c r="F15" s="46">
        <v>350</v>
      </c>
      <c r="G15" s="46">
        <v>210</v>
      </c>
      <c r="H15" s="25"/>
      <c r="I15" s="75">
        <v>1</v>
      </c>
      <c r="J15" s="75">
        <f t="shared" si="0"/>
        <v>210</v>
      </c>
      <c r="K15" s="81" t="s">
        <v>18</v>
      </c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</row>
    <row r="16" customHeight="1" spans="1:25">
      <c r="A16" s="46">
        <v>12</v>
      </c>
      <c r="B16" s="46" t="s">
        <v>35</v>
      </c>
      <c r="C16" s="46">
        <v>13631061481</v>
      </c>
      <c r="D16" s="46" t="s">
        <v>20</v>
      </c>
      <c r="E16" s="25"/>
      <c r="F16" s="46">
        <v>350</v>
      </c>
      <c r="G16" s="46">
        <v>210</v>
      </c>
      <c r="H16" s="25"/>
      <c r="I16" s="75">
        <v>1</v>
      </c>
      <c r="J16" s="75">
        <f t="shared" si="0"/>
        <v>210</v>
      </c>
      <c r="K16" s="81" t="s">
        <v>18</v>
      </c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</row>
    <row r="17" customHeight="1" spans="1:25">
      <c r="A17" s="46">
        <v>13</v>
      </c>
      <c r="B17" s="46" t="s">
        <v>36</v>
      </c>
      <c r="C17" s="46">
        <v>13232962525</v>
      </c>
      <c r="D17" s="25"/>
      <c r="E17" s="46" t="s">
        <v>20</v>
      </c>
      <c r="F17" s="46">
        <v>350</v>
      </c>
      <c r="G17" s="46">
        <v>210</v>
      </c>
      <c r="H17" s="46" t="s">
        <v>37</v>
      </c>
      <c r="I17" s="75">
        <v>1</v>
      </c>
      <c r="J17" s="75">
        <f t="shared" si="0"/>
        <v>210</v>
      </c>
      <c r="K17" s="81" t="s">
        <v>18</v>
      </c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</row>
    <row r="18" customHeight="1" spans="1:25">
      <c r="A18" s="46">
        <v>14</v>
      </c>
      <c r="B18" s="46" t="s">
        <v>38</v>
      </c>
      <c r="C18" s="46">
        <v>13729659982</v>
      </c>
      <c r="D18" s="25"/>
      <c r="E18" s="46" t="s">
        <v>20</v>
      </c>
      <c r="F18" s="46">
        <v>350</v>
      </c>
      <c r="G18" s="46">
        <v>210</v>
      </c>
      <c r="H18" s="25"/>
      <c r="I18" s="75">
        <v>1</v>
      </c>
      <c r="J18" s="75">
        <f t="shared" si="0"/>
        <v>210</v>
      </c>
      <c r="K18" s="81" t="s">
        <v>18</v>
      </c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</row>
    <row r="19" customHeight="1" spans="1:25">
      <c r="A19" s="46">
        <v>15</v>
      </c>
      <c r="B19" s="82" t="s">
        <v>39</v>
      </c>
      <c r="C19" s="25"/>
      <c r="D19" s="46" t="s">
        <v>20</v>
      </c>
      <c r="E19" s="25"/>
      <c r="F19" s="46">
        <v>350</v>
      </c>
      <c r="G19" s="46">
        <v>210</v>
      </c>
      <c r="H19" s="81" t="s">
        <v>18</v>
      </c>
      <c r="I19" s="75">
        <v>1</v>
      </c>
      <c r="J19" s="75">
        <f t="shared" si="0"/>
        <v>210</v>
      </c>
      <c r="K19" s="81" t="s">
        <v>18</v>
      </c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</row>
    <row r="20" ht="28" customHeight="1" spans="1:25">
      <c r="A20" s="46">
        <v>16</v>
      </c>
      <c r="B20" s="25" t="s">
        <v>40</v>
      </c>
      <c r="C20" s="25">
        <v>13553900381</v>
      </c>
      <c r="D20" s="46" t="s">
        <v>20</v>
      </c>
      <c r="E20" s="46" t="s">
        <v>20</v>
      </c>
      <c r="F20" s="46">
        <v>350</v>
      </c>
      <c r="G20" s="46">
        <v>210</v>
      </c>
      <c r="H20" s="83" t="s">
        <v>41</v>
      </c>
      <c r="I20" s="75">
        <v>1</v>
      </c>
      <c r="J20" s="75">
        <f t="shared" si="0"/>
        <v>210</v>
      </c>
      <c r="K20" s="81" t="s">
        <v>18</v>
      </c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</row>
    <row r="21" customHeight="1" spans="1:25">
      <c r="A21" s="46">
        <v>17</v>
      </c>
      <c r="B21" s="25" t="s">
        <v>42</v>
      </c>
      <c r="C21" s="25">
        <v>13620582241</v>
      </c>
      <c r="D21" s="25"/>
      <c r="E21" s="46" t="s">
        <v>20</v>
      </c>
      <c r="F21" s="46">
        <v>350</v>
      </c>
      <c r="G21" s="46">
        <v>210</v>
      </c>
      <c r="H21" s="25" t="s">
        <v>43</v>
      </c>
      <c r="I21" s="75">
        <v>1</v>
      </c>
      <c r="J21" s="75">
        <f t="shared" si="0"/>
        <v>210</v>
      </c>
      <c r="K21" s="81" t="s">
        <v>18</v>
      </c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</row>
    <row r="22" customHeight="1" spans="1:25">
      <c r="A22" s="46">
        <v>18</v>
      </c>
      <c r="B22" s="25" t="s">
        <v>44</v>
      </c>
      <c r="C22" s="25">
        <v>15917513204</v>
      </c>
      <c r="D22" s="25"/>
      <c r="E22" s="46" t="s">
        <v>17</v>
      </c>
      <c r="F22" s="46">
        <v>350</v>
      </c>
      <c r="G22" s="46">
        <v>210</v>
      </c>
      <c r="H22" s="25" t="s">
        <v>45</v>
      </c>
      <c r="I22" s="75">
        <v>1</v>
      </c>
      <c r="J22" s="75">
        <f t="shared" si="0"/>
        <v>210</v>
      </c>
      <c r="K22" s="81" t="s">
        <v>18</v>
      </c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</row>
    <row r="23" customHeight="1" spans="1:25">
      <c r="A23" s="46">
        <v>19</v>
      </c>
      <c r="B23" s="25"/>
      <c r="C23" s="25"/>
      <c r="D23" s="25"/>
      <c r="E23" s="25"/>
      <c r="F23" s="46">
        <v>350</v>
      </c>
      <c r="G23" s="46">
        <v>210</v>
      </c>
      <c r="H23" s="2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</row>
    <row r="24" customHeight="1" spans="1:25">
      <c r="A24" s="46">
        <v>20</v>
      </c>
      <c r="B24" s="25"/>
      <c r="C24" s="25"/>
      <c r="D24" s="25"/>
      <c r="E24" s="25"/>
      <c r="F24" s="46">
        <v>350</v>
      </c>
      <c r="G24" s="46">
        <v>210</v>
      </c>
      <c r="H24" s="2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</row>
    <row r="25" customHeight="1" spans="1:25">
      <c r="A25" s="46">
        <v>21</v>
      </c>
      <c r="B25" s="25"/>
      <c r="C25" s="25"/>
      <c r="D25" s="25"/>
      <c r="E25" s="25"/>
      <c r="F25" s="46">
        <v>350</v>
      </c>
      <c r="G25" s="46">
        <v>210</v>
      </c>
      <c r="H25" s="2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</row>
    <row r="26" customHeight="1" spans="1:25">
      <c r="A26" s="46">
        <v>22</v>
      </c>
      <c r="B26" s="25"/>
      <c r="C26" s="25"/>
      <c r="D26" s="25"/>
      <c r="E26" s="25"/>
      <c r="F26" s="46">
        <v>350</v>
      </c>
      <c r="G26" s="46">
        <v>210</v>
      </c>
      <c r="H26" s="2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</row>
    <row r="27" customHeight="1" spans="1:25">
      <c r="A27" s="46">
        <v>23</v>
      </c>
      <c r="B27" s="25"/>
      <c r="C27" s="25"/>
      <c r="D27" s="25"/>
      <c r="E27" s="25"/>
      <c r="F27" s="46">
        <v>350</v>
      </c>
      <c r="G27" s="46">
        <v>210</v>
      </c>
      <c r="H27" s="2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</row>
    <row r="28" customHeight="1" spans="1:25">
      <c r="A28" s="46">
        <v>24</v>
      </c>
      <c r="B28" s="25"/>
      <c r="C28" s="25"/>
      <c r="D28" s="25"/>
      <c r="E28" s="25"/>
      <c r="F28" s="46">
        <v>350</v>
      </c>
      <c r="G28" s="46">
        <v>210</v>
      </c>
      <c r="H28" s="2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</row>
    <row r="29" customHeight="1" spans="1:25">
      <c r="A29" s="46">
        <v>25</v>
      </c>
      <c r="B29" s="25"/>
      <c r="C29" s="25"/>
      <c r="D29" s="25"/>
      <c r="E29" s="25"/>
      <c r="F29" s="46">
        <v>350</v>
      </c>
      <c r="G29" s="46">
        <v>210</v>
      </c>
      <c r="H29" s="2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</row>
    <row r="30" customHeight="1" spans="1:25">
      <c r="A30" s="46">
        <v>26</v>
      </c>
      <c r="B30" s="25"/>
      <c r="C30" s="25"/>
      <c r="D30" s="25"/>
      <c r="E30" s="25"/>
      <c r="F30" s="46">
        <v>350</v>
      </c>
      <c r="G30" s="46">
        <v>210</v>
      </c>
      <c r="H30" s="2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</row>
    <row r="31" customHeight="1" spans="1:25">
      <c r="A31" s="46">
        <v>27</v>
      </c>
      <c r="B31" s="25"/>
      <c r="C31" s="25"/>
      <c r="D31" s="25"/>
      <c r="E31" s="25"/>
      <c r="F31" s="46">
        <v>350</v>
      </c>
      <c r="G31" s="46">
        <v>210</v>
      </c>
      <c r="H31" s="2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</row>
    <row r="32" customHeight="1" spans="1:25">
      <c r="A32" s="46">
        <v>28</v>
      </c>
      <c r="B32" s="25"/>
      <c r="C32" s="25"/>
      <c r="D32" s="25"/>
      <c r="E32" s="25"/>
      <c r="F32" s="46">
        <v>350</v>
      </c>
      <c r="G32" s="46">
        <v>210</v>
      </c>
      <c r="H32" s="2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</row>
    <row r="33" customHeight="1" spans="1:25">
      <c r="A33" s="46">
        <v>29</v>
      </c>
      <c r="B33" s="25"/>
      <c r="C33" s="25"/>
      <c r="D33" s="25"/>
      <c r="E33" s="25"/>
      <c r="F33" s="46">
        <v>350</v>
      </c>
      <c r="G33" s="46">
        <v>210</v>
      </c>
      <c r="H33" s="2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</row>
    <row r="34" customHeight="1" spans="1:25">
      <c r="A34" s="46">
        <v>30</v>
      </c>
      <c r="B34" s="25"/>
      <c r="C34" s="25"/>
      <c r="D34" s="25"/>
      <c r="E34" s="25"/>
      <c r="F34" s="46">
        <v>350</v>
      </c>
      <c r="G34" s="46">
        <v>210</v>
      </c>
      <c r="H34" s="2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</row>
    <row r="35" customHeight="1" spans="1:25">
      <c r="A35" s="46">
        <v>31</v>
      </c>
      <c r="B35" s="25"/>
      <c r="C35" s="25"/>
      <c r="D35" s="25"/>
      <c r="E35" s="25"/>
      <c r="F35" s="46">
        <v>350</v>
      </c>
      <c r="G35" s="46">
        <v>210</v>
      </c>
      <c r="H35" s="2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</row>
    <row r="36" customHeight="1" spans="1:25">
      <c r="A36" s="46">
        <v>32</v>
      </c>
      <c r="B36" s="25"/>
      <c r="C36" s="25"/>
      <c r="D36" s="25"/>
      <c r="E36" s="25"/>
      <c r="F36" s="46">
        <v>350</v>
      </c>
      <c r="G36" s="46">
        <v>210</v>
      </c>
      <c r="H36" s="2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</row>
    <row r="37" customHeight="1" spans="1:25">
      <c r="A37" s="46">
        <v>33</v>
      </c>
      <c r="B37" s="25"/>
      <c r="C37" s="25"/>
      <c r="D37" s="25"/>
      <c r="E37" s="25"/>
      <c r="F37" s="46">
        <v>350</v>
      </c>
      <c r="G37" s="46">
        <v>210</v>
      </c>
      <c r="H37" s="2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</row>
    <row r="38" customHeight="1" spans="1:25">
      <c r="A38" s="46">
        <v>34</v>
      </c>
      <c r="B38" s="25"/>
      <c r="C38" s="25"/>
      <c r="D38" s="25"/>
      <c r="E38" s="25"/>
      <c r="F38" s="46">
        <v>350</v>
      </c>
      <c r="G38" s="46">
        <v>210</v>
      </c>
      <c r="H38" s="2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</row>
    <row r="39" customHeight="1" spans="1:25">
      <c r="A39" s="46">
        <v>35</v>
      </c>
      <c r="B39" s="25"/>
      <c r="C39" s="25"/>
      <c r="D39" s="25"/>
      <c r="E39" s="25"/>
      <c r="F39" s="46">
        <v>350</v>
      </c>
      <c r="G39" s="46">
        <v>210</v>
      </c>
      <c r="H39" s="2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</row>
    <row r="40" customHeight="1" spans="1:25">
      <c r="A40" s="46">
        <v>36</v>
      </c>
      <c r="B40" s="25"/>
      <c r="C40" s="25"/>
      <c r="D40" s="25"/>
      <c r="E40" s="25"/>
      <c r="F40" s="46">
        <v>350</v>
      </c>
      <c r="G40" s="46">
        <v>210</v>
      </c>
      <c r="H40" s="2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</row>
    <row r="41" customHeight="1" spans="1:25">
      <c r="A41" s="46">
        <v>37</v>
      </c>
      <c r="B41" s="25"/>
      <c r="C41" s="25"/>
      <c r="D41" s="25"/>
      <c r="E41" s="25"/>
      <c r="F41" s="46">
        <v>350</v>
      </c>
      <c r="G41" s="46">
        <v>210</v>
      </c>
      <c r="H41" s="2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</row>
    <row r="42" customHeight="1" spans="1:25">
      <c r="A42" s="46">
        <v>38</v>
      </c>
      <c r="B42" s="25"/>
      <c r="C42" s="25"/>
      <c r="D42" s="25"/>
      <c r="E42" s="25"/>
      <c r="F42" s="46">
        <v>350</v>
      </c>
      <c r="G42" s="46">
        <v>210</v>
      </c>
      <c r="H42" s="2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</row>
    <row r="43" customHeight="1" spans="1:25">
      <c r="A43" s="75"/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</row>
    <row r="44" customHeight="1" spans="1:25">
      <c r="A44" s="75"/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</row>
    <row r="45" customHeight="1" spans="1:25">
      <c r="A45" s="75"/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</row>
    <row r="46" customHeight="1" spans="1:25">
      <c r="A46" s="75"/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</row>
    <row r="47" customHeight="1" spans="1:25">
      <c r="A47" s="75"/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</row>
    <row r="48" customHeight="1" spans="1:25">
      <c r="A48" s="75"/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</row>
    <row r="49" customHeight="1" spans="1:25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</row>
    <row r="50" customHeight="1" spans="1:25">
      <c r="A50" s="75"/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</row>
    <row r="51" customHeight="1" spans="1:25">
      <c r="A51" s="75"/>
      <c r="B51" s="75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</row>
    <row r="52" customHeight="1" spans="1:25">
      <c r="A52" s="75"/>
      <c r="B52" s="75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</row>
    <row r="53" customHeight="1" spans="1:25">
      <c r="A53" s="75"/>
      <c r="B53" s="75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</row>
    <row r="54" customHeight="1" spans="1:25">
      <c r="A54" s="75"/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</row>
    <row r="55" customHeight="1" spans="1:25">
      <c r="A55" s="75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</row>
    <row r="56" customHeight="1" spans="1:25">
      <c r="A56" s="75"/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</row>
    <row r="57" customHeight="1" spans="1:25">
      <c r="A57" s="75"/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</row>
    <row r="58" customHeight="1" spans="1:25">
      <c r="A58" s="75"/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</row>
    <row r="59" customHeight="1" spans="1:25">
      <c r="A59" s="75"/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</row>
    <row r="60" customHeight="1" spans="1:25">
      <c r="A60" s="75"/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</row>
    <row r="61" customHeight="1" spans="1:25">
      <c r="A61" s="75"/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</row>
    <row r="62" customHeight="1" spans="1:25">
      <c r="A62" s="75"/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</row>
    <row r="63" customHeight="1" spans="1:25">
      <c r="A63" s="75"/>
      <c r="B63" s="75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</row>
    <row r="64" customHeight="1" spans="1:25">
      <c r="A64" s="75"/>
      <c r="B64" s="75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</row>
    <row r="65" customHeight="1" spans="1:25">
      <c r="A65" s="75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</row>
    <row r="66" customHeight="1" spans="1:25">
      <c r="A66" s="75"/>
      <c r="B66" s="75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</row>
    <row r="67" customHeight="1" spans="1:25">
      <c r="A67" s="75"/>
      <c r="B67" s="75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</row>
    <row r="68" customHeight="1" spans="1:25">
      <c r="A68" s="75"/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</row>
    <row r="69" customHeight="1" spans="1:25">
      <c r="A69" s="75"/>
      <c r="B69" s="75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</row>
    <row r="70" customHeight="1" spans="1:25">
      <c r="A70" s="75"/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</row>
    <row r="71" customHeight="1" spans="1:25">
      <c r="A71" s="75"/>
      <c r="B71" s="75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</row>
    <row r="72" customHeight="1" spans="1:25">
      <c r="A72" s="75"/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</row>
    <row r="73" customHeight="1" spans="1:25">
      <c r="A73" s="75"/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</row>
    <row r="74" customHeight="1" spans="1:25">
      <c r="A74" s="75"/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</row>
    <row r="75" customHeight="1" spans="1:25">
      <c r="A75" s="75"/>
      <c r="B75" s="75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</row>
    <row r="76" customHeight="1" spans="1:25">
      <c r="A76" s="75"/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</row>
    <row r="77" customHeight="1" spans="1:25">
      <c r="A77" s="75"/>
      <c r="B77" s="75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</row>
    <row r="78" customHeight="1" spans="1:25">
      <c r="A78" s="75"/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</row>
    <row r="79" customHeight="1" spans="1:25">
      <c r="A79" s="75"/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</row>
    <row r="80" customHeight="1" spans="1:25">
      <c r="A80" s="75"/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</row>
    <row r="81" customHeight="1" spans="1:25">
      <c r="A81" s="75"/>
      <c r="B81" s="75"/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</row>
    <row r="82" customHeight="1" spans="1:25">
      <c r="A82" s="75"/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</row>
    <row r="83" customHeight="1" spans="1:25">
      <c r="A83" s="75"/>
      <c r="B83" s="75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</row>
    <row r="84" customHeight="1" spans="1:25">
      <c r="A84" s="75"/>
      <c r="B84" s="75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</row>
    <row r="85" customHeight="1" spans="1:25">
      <c r="A85" s="75"/>
      <c r="B85" s="75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</row>
    <row r="86" customHeight="1" spans="1:25">
      <c r="A86" s="75"/>
      <c r="B86" s="75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</row>
    <row r="87" customHeight="1" spans="1:25">
      <c r="A87" s="75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</row>
    <row r="88" customHeight="1" spans="1:25">
      <c r="A88" s="75"/>
      <c r="B88" s="75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</row>
    <row r="89" customHeight="1" spans="1:25">
      <c r="A89" s="75"/>
      <c r="B89" s="75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</row>
    <row r="90" customHeight="1" spans="1:25">
      <c r="A90" s="75"/>
      <c r="B90" s="75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</row>
    <row r="91" customHeight="1" spans="1:25">
      <c r="A91" s="75"/>
      <c r="B91" s="75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</row>
    <row r="92" customHeight="1" spans="1:25">
      <c r="A92" s="75"/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</row>
    <row r="93" customHeight="1" spans="1:25">
      <c r="A93" s="75"/>
      <c r="B93" s="75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</row>
    <row r="94" customHeight="1" spans="1:25">
      <c r="A94" s="75"/>
      <c r="B94" s="75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</row>
    <row r="95" customHeight="1" spans="1:25">
      <c r="A95" s="75"/>
      <c r="B95" s="75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</row>
    <row r="96" customHeight="1" spans="1:25">
      <c r="A96" s="75"/>
      <c r="B96" s="75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</row>
    <row r="97" customHeight="1" spans="1:25">
      <c r="A97" s="75"/>
      <c r="B97" s="75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</row>
    <row r="98" customHeight="1" spans="1:25">
      <c r="A98" s="75"/>
      <c r="B98" s="75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</row>
    <row r="99" customHeight="1" spans="1:25">
      <c r="A99" s="75"/>
      <c r="B99" s="75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</row>
    <row r="100" customHeight="1" spans="1:25">
      <c r="A100" s="75"/>
      <c r="B100" s="75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</row>
    <row r="101" customHeight="1" spans="1:25">
      <c r="A101" s="75"/>
      <c r="B101" s="75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</row>
    <row r="102" customHeight="1" spans="1:25">
      <c r="A102" s="75"/>
      <c r="B102" s="75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</row>
    <row r="103" customHeight="1" spans="1:25">
      <c r="A103" s="75"/>
      <c r="B103" s="75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</row>
    <row r="104" customHeight="1" spans="1:25">
      <c r="A104" s="75"/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</row>
    <row r="105" customHeight="1" spans="1:25">
      <c r="A105" s="75"/>
      <c r="B105" s="75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</row>
    <row r="106" customHeight="1" spans="1:25">
      <c r="A106" s="75"/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</row>
    <row r="107" customHeight="1" spans="1:25">
      <c r="A107" s="75"/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</row>
    <row r="108" customHeight="1" spans="1:25">
      <c r="A108" s="75"/>
      <c r="B108" s="75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</row>
    <row r="109" customHeight="1" spans="1:25">
      <c r="A109" s="75"/>
      <c r="B109" s="75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</row>
    <row r="110" customHeight="1" spans="1:25">
      <c r="A110" s="75"/>
      <c r="B110" s="75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</row>
    <row r="111" customHeight="1" spans="1:25">
      <c r="A111" s="75"/>
      <c r="B111" s="75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</row>
    <row r="112" customHeight="1" spans="1:25">
      <c r="A112" s="75"/>
      <c r="B112" s="75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</row>
    <row r="113" customHeight="1" spans="1:25">
      <c r="A113" s="75"/>
      <c r="B113" s="75"/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</row>
    <row r="114" customHeight="1" spans="1:25">
      <c r="A114" s="75"/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</row>
    <row r="115" customHeight="1" spans="1:25">
      <c r="A115" s="75"/>
      <c r="B115" s="75"/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</row>
    <row r="116" customHeight="1" spans="1:25">
      <c r="A116" s="75"/>
      <c r="B116" s="75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</row>
    <row r="117" customHeight="1" spans="1:25">
      <c r="A117" s="75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</row>
    <row r="118" customHeight="1" spans="1:25">
      <c r="A118" s="75"/>
      <c r="B118" s="75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</row>
    <row r="119" customHeight="1" spans="1:25">
      <c r="A119" s="75"/>
      <c r="B119" s="75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</row>
    <row r="120" customHeight="1" spans="1:25">
      <c r="A120" s="75"/>
      <c r="B120" s="75"/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</row>
    <row r="121" customHeight="1" spans="1:25">
      <c r="A121" s="75"/>
      <c r="B121" s="75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</row>
    <row r="122" customHeight="1" spans="1:25">
      <c r="A122" s="75"/>
      <c r="B122" s="75"/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</row>
    <row r="123" customHeight="1" spans="1:25">
      <c r="A123" s="75"/>
      <c r="B123" s="75"/>
      <c r="C123" s="75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</row>
    <row r="124" customHeight="1" spans="1:25">
      <c r="A124" s="75"/>
      <c r="B124" s="75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</row>
    <row r="125" customHeight="1" spans="1:25">
      <c r="A125" s="75"/>
      <c r="B125" s="75"/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</row>
    <row r="126" customHeight="1" spans="1:25">
      <c r="A126" s="75"/>
      <c r="B126" s="75"/>
      <c r="C126" s="75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</row>
    <row r="127" customHeight="1" spans="1:25">
      <c r="A127" s="75"/>
      <c r="B127" s="75"/>
      <c r="C127" s="75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</row>
    <row r="128" customHeight="1" spans="1:25">
      <c r="A128" s="75"/>
      <c r="B128" s="75"/>
      <c r="C128" s="75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</row>
    <row r="129" customHeight="1" spans="1:25">
      <c r="A129" s="75"/>
      <c r="B129" s="75"/>
      <c r="C129" s="75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</row>
    <row r="130" customHeight="1" spans="1:25">
      <c r="A130" s="75"/>
      <c r="B130" s="75"/>
      <c r="C130" s="75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</row>
    <row r="131" customHeight="1" spans="1:25">
      <c r="A131" s="75"/>
      <c r="B131" s="75"/>
      <c r="C131" s="75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</row>
    <row r="132" customHeight="1" spans="1:25">
      <c r="A132" s="75"/>
      <c r="B132" s="75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</row>
    <row r="133" customHeight="1" spans="1:25">
      <c r="A133" s="75"/>
      <c r="B133" s="75"/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</row>
    <row r="134" customHeight="1" spans="1:25">
      <c r="A134" s="75"/>
      <c r="B134" s="75"/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</row>
    <row r="135" customHeight="1" spans="1:25">
      <c r="A135" s="75"/>
      <c r="B135" s="75"/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</row>
    <row r="136" customHeight="1" spans="1:25">
      <c r="A136" s="75"/>
      <c r="B136" s="75"/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</row>
    <row r="137" customHeight="1" spans="1:25">
      <c r="A137" s="75"/>
      <c r="B137" s="75"/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</row>
    <row r="138" customHeight="1" spans="1:25">
      <c r="A138" s="75"/>
      <c r="B138" s="75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</row>
    <row r="139" customHeight="1" spans="1:25">
      <c r="A139" s="75"/>
      <c r="B139" s="75"/>
      <c r="C139" s="75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</row>
    <row r="140" customHeight="1" spans="1:25">
      <c r="A140" s="75"/>
      <c r="B140" s="75"/>
      <c r="C140" s="75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</row>
    <row r="141" customHeight="1" spans="1:25">
      <c r="A141" s="75"/>
      <c r="B141" s="75"/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</row>
    <row r="142" customHeight="1" spans="1:25">
      <c r="A142" s="75"/>
      <c r="B142" s="75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</row>
    <row r="143" customHeight="1" spans="1:25">
      <c r="A143" s="75"/>
      <c r="B143" s="75"/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</row>
    <row r="144" customHeight="1" spans="1:25">
      <c r="A144" s="75"/>
      <c r="B144" s="75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</row>
    <row r="145" customHeight="1" spans="1:25">
      <c r="A145" s="75"/>
      <c r="B145" s="75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</row>
    <row r="146" customHeight="1" spans="1:25">
      <c r="A146" s="75"/>
      <c r="B146" s="75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</row>
    <row r="147" customHeight="1" spans="1:25">
      <c r="A147" s="75"/>
      <c r="B147" s="75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</row>
    <row r="148" customHeight="1" spans="1:25">
      <c r="A148" s="75"/>
      <c r="B148" s="75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</row>
    <row r="149" customHeight="1" spans="1:25">
      <c r="A149" s="75"/>
      <c r="B149" s="75"/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</row>
    <row r="150" customHeight="1" spans="1:25">
      <c r="A150" s="75"/>
      <c r="B150" s="75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</row>
    <row r="151" customHeight="1" spans="1:25">
      <c r="A151" s="75"/>
      <c r="B151" s="75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</row>
    <row r="152" customHeight="1" spans="1:25">
      <c r="A152" s="75"/>
      <c r="B152" s="75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</row>
    <row r="153" customHeight="1" spans="1:25">
      <c r="A153" s="75"/>
      <c r="B153" s="75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</row>
    <row r="154" customHeight="1" spans="1:25">
      <c r="A154" s="75"/>
      <c r="B154" s="75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</row>
    <row r="155" customHeight="1" spans="1:25">
      <c r="A155" s="75"/>
      <c r="B155" s="75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</row>
    <row r="156" customHeight="1" spans="1:25">
      <c r="A156" s="75"/>
      <c r="B156" s="75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</row>
    <row r="157" customHeight="1" spans="1:25">
      <c r="A157" s="75"/>
      <c r="B157" s="75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</row>
    <row r="158" customHeight="1" spans="1:25">
      <c r="A158" s="75"/>
      <c r="B158" s="75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</row>
    <row r="159" customHeight="1" spans="1:25">
      <c r="A159" s="75"/>
      <c r="B159" s="75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</row>
    <row r="160" customHeight="1" spans="1:25">
      <c r="A160" s="75"/>
      <c r="B160" s="75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</row>
    <row r="161" customHeight="1" spans="1:25">
      <c r="A161" s="75"/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</row>
    <row r="162" customHeight="1" spans="1:25">
      <c r="A162" s="75"/>
      <c r="B162" s="75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</row>
    <row r="163" customHeight="1" spans="1:25">
      <c r="A163" s="75"/>
      <c r="B163" s="75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</row>
    <row r="164" customHeight="1" spans="1:25">
      <c r="A164" s="75"/>
      <c r="B164" s="75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</row>
    <row r="165" customHeight="1" spans="1:25">
      <c r="A165" s="75"/>
      <c r="B165" s="75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</row>
    <row r="166" customHeight="1" spans="1:25">
      <c r="A166" s="75"/>
      <c r="B166" s="75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</row>
    <row r="167" customHeight="1" spans="1:25">
      <c r="A167" s="75"/>
      <c r="B167" s="75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</row>
    <row r="168" customHeight="1" spans="1:25">
      <c r="A168" s="75"/>
      <c r="B168" s="75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</row>
    <row r="169" customHeight="1" spans="1:25">
      <c r="A169" s="75"/>
      <c r="B169" s="75"/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</row>
    <row r="170" customHeight="1" spans="1:25">
      <c r="A170" s="75"/>
      <c r="B170" s="75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</row>
    <row r="171" customHeight="1" spans="1:25">
      <c r="A171" s="75"/>
      <c r="B171" s="75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</row>
    <row r="172" customHeight="1" spans="1:25">
      <c r="A172" s="75"/>
      <c r="B172" s="75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</row>
    <row r="173" customHeight="1" spans="1:25">
      <c r="A173" s="75"/>
      <c r="B173" s="75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</row>
    <row r="174" customHeight="1" spans="1:25">
      <c r="A174" s="75"/>
      <c r="B174" s="75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</row>
    <row r="175" customHeight="1" spans="1:25">
      <c r="A175" s="75"/>
      <c r="B175" s="75"/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</row>
    <row r="176" customHeight="1" spans="1:25">
      <c r="A176" s="75"/>
      <c r="B176" s="75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</row>
    <row r="177" customHeight="1" spans="1:25">
      <c r="A177" s="75"/>
      <c r="B177" s="75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</row>
    <row r="178" customHeight="1" spans="1:25">
      <c r="A178" s="75"/>
      <c r="B178" s="75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</row>
    <row r="179" customHeight="1" spans="1:25">
      <c r="A179" s="75"/>
      <c r="B179" s="75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</row>
    <row r="180" customHeight="1" spans="1:25">
      <c r="A180" s="75"/>
      <c r="B180" s="75"/>
      <c r="C180" s="75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</row>
    <row r="181" customHeight="1" spans="1:25">
      <c r="A181" s="75"/>
      <c r="B181" s="75"/>
      <c r="C181" s="75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</row>
    <row r="182" customHeight="1" spans="1:25">
      <c r="A182" s="75"/>
      <c r="B182" s="75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</row>
    <row r="183" customHeight="1" spans="1:25">
      <c r="A183" s="75"/>
      <c r="B183" s="75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</row>
    <row r="184" customHeight="1" spans="1:25">
      <c r="A184" s="75"/>
      <c r="B184" s="75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</row>
    <row r="185" customHeight="1" spans="1:25">
      <c r="A185" s="75"/>
      <c r="B185" s="75"/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</row>
    <row r="186" customHeight="1" spans="1:25">
      <c r="A186" s="75"/>
      <c r="B186" s="75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</row>
    <row r="187" customHeight="1" spans="1:25">
      <c r="A187" s="75"/>
      <c r="B187" s="75"/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</row>
    <row r="188" customHeight="1" spans="1:25">
      <c r="A188" s="75"/>
      <c r="B188" s="75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</row>
  </sheetData>
  <mergeCells count="7">
    <mergeCell ref="A1:H1"/>
    <mergeCell ref="A2:H2"/>
    <mergeCell ref="D3:E3"/>
    <mergeCell ref="F3:G3"/>
    <mergeCell ref="A3:A4"/>
    <mergeCell ref="B3:B4"/>
    <mergeCell ref="C3:C4"/>
  </mergeCells>
  <pageMargins left="0.75" right="0.75" top="1" bottom="1" header="0.5" footer="0.5"/>
  <pageSetup paperSize="256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1"/>
  <sheetViews>
    <sheetView workbookViewId="0">
      <selection activeCell="B4" sqref="B4"/>
    </sheetView>
  </sheetViews>
  <sheetFormatPr defaultColWidth="10.2857142857143" defaultRowHeight="13.5"/>
  <cols>
    <col min="1" max="1" width="3.88571428571429" style="68" customWidth="1"/>
    <col min="2" max="2" width="13.7142857142857" style="68" customWidth="1"/>
    <col min="3" max="3" width="4.42857142857143" style="66" customWidth="1"/>
    <col min="4" max="6" width="4" style="66" customWidth="1"/>
    <col min="7" max="7" width="3.87619047619048" style="66" customWidth="1"/>
    <col min="8" max="12" width="4.28571428571429" style="66" customWidth="1"/>
    <col min="13" max="13" width="4.00952380952381" style="66" customWidth="1"/>
    <col min="14" max="14" width="4.28571428571429" style="66" customWidth="1"/>
    <col min="15" max="15" width="4.00952380952381" style="66" customWidth="1"/>
    <col min="16" max="16" width="3.87619047619048" style="66" customWidth="1"/>
    <col min="17" max="17" width="4.28571428571429" style="66" customWidth="1"/>
    <col min="18" max="19" width="4.14285714285714" style="66" customWidth="1"/>
    <col min="20" max="20" width="4.57142857142857" style="66" customWidth="1"/>
    <col min="21" max="25" width="4.14285714285714" style="66" customWidth="1"/>
    <col min="26" max="27" width="4.57142857142857" style="66" customWidth="1"/>
    <col min="28" max="28" width="4.16190476190476" style="66" customWidth="1"/>
    <col min="29" max="30" width="4.28571428571429" style="66" customWidth="1"/>
    <col min="31" max="31" width="4.00952380952381" style="66" customWidth="1"/>
    <col min="32" max="32" width="3.85714285714286" style="66" customWidth="1"/>
    <col min="33" max="34" width="4.28571428571429" style="66" customWidth="1"/>
    <col min="35" max="36" width="4.57142857142857" style="66" customWidth="1"/>
    <col min="37" max="37" width="4.28571428571429" style="66" customWidth="1"/>
    <col min="38" max="38" width="3.85714285714286" style="66" customWidth="1"/>
    <col min="39" max="16384" width="10.2857142857143" style="66"/>
  </cols>
  <sheetData>
    <row r="1" s="66" customFormat="1" ht="26" customHeight="1" spans="1:38">
      <c r="A1" s="59" t="s">
        <v>46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</row>
    <row r="2" s="66" customFormat="1" ht="26" customHeight="1" spans="1:38">
      <c r="A2" s="69" t="s">
        <v>47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</row>
    <row r="3" s="67" customFormat="1" ht="40" customHeight="1" spans="1:38">
      <c r="A3" s="70" t="s">
        <v>2</v>
      </c>
      <c r="B3" s="70" t="s">
        <v>48</v>
      </c>
      <c r="C3" s="60">
        <v>1</v>
      </c>
      <c r="D3" s="60">
        <v>2</v>
      </c>
      <c r="E3" s="60">
        <v>3</v>
      </c>
      <c r="F3" s="60">
        <v>4</v>
      </c>
      <c r="G3" s="60">
        <v>5</v>
      </c>
      <c r="H3" s="60">
        <v>6</v>
      </c>
      <c r="I3" s="60">
        <v>7</v>
      </c>
      <c r="J3" s="60">
        <v>8</v>
      </c>
      <c r="K3" s="60">
        <v>9</v>
      </c>
      <c r="L3" s="60">
        <v>10</v>
      </c>
      <c r="M3" s="60">
        <v>11</v>
      </c>
      <c r="N3" s="60">
        <v>12</v>
      </c>
      <c r="O3" s="60">
        <v>13</v>
      </c>
      <c r="P3" s="60">
        <v>14</v>
      </c>
      <c r="Q3" s="60">
        <v>15</v>
      </c>
      <c r="R3" s="60">
        <v>16</v>
      </c>
      <c r="S3" s="60">
        <v>17</v>
      </c>
      <c r="T3" s="60">
        <v>18</v>
      </c>
      <c r="U3" s="60">
        <v>19</v>
      </c>
      <c r="V3" s="60">
        <v>20</v>
      </c>
      <c r="W3" s="60">
        <v>21</v>
      </c>
      <c r="X3" s="60">
        <v>22</v>
      </c>
      <c r="Y3" s="60">
        <v>23</v>
      </c>
      <c r="Z3" s="60">
        <v>24</v>
      </c>
      <c r="AA3" s="60">
        <v>25</v>
      </c>
      <c r="AB3" s="60">
        <v>26</v>
      </c>
      <c r="AC3" s="60">
        <v>27</v>
      </c>
      <c r="AD3" s="60">
        <v>28</v>
      </c>
      <c r="AE3" s="60">
        <v>29</v>
      </c>
      <c r="AF3" s="60">
        <v>30</v>
      </c>
      <c r="AG3" s="60"/>
      <c r="AH3" s="60"/>
      <c r="AI3" s="60"/>
      <c r="AJ3" s="60"/>
      <c r="AK3" s="60"/>
      <c r="AL3" s="60"/>
    </row>
    <row r="4" s="66" customFormat="1" ht="25" customHeight="1" spans="1:38">
      <c r="A4" s="71">
        <v>1</v>
      </c>
      <c r="B4" s="46" t="s">
        <v>16</v>
      </c>
      <c r="C4" s="71"/>
      <c r="D4" s="71"/>
      <c r="E4" s="71"/>
      <c r="F4" s="71"/>
      <c r="G4" s="71"/>
      <c r="H4" s="71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</row>
    <row r="5" s="66" customFormat="1" ht="25" customHeight="1" spans="1:38">
      <c r="A5" s="71">
        <v>2</v>
      </c>
      <c r="B5" s="48" t="s">
        <v>19</v>
      </c>
      <c r="C5" s="71"/>
      <c r="D5" s="71"/>
      <c r="E5" s="71"/>
      <c r="F5" s="71"/>
      <c r="G5" s="71"/>
      <c r="H5" s="71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</row>
    <row r="6" s="66" customFormat="1" ht="25" customHeight="1" spans="1:38">
      <c r="A6" s="71">
        <v>3</v>
      </c>
      <c r="B6" s="46" t="s">
        <v>21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</row>
    <row r="7" s="66" customFormat="1" ht="25" customHeight="1" spans="1:38">
      <c r="A7" s="71">
        <v>13</v>
      </c>
      <c r="B7" s="46" t="s">
        <v>23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</row>
    <row r="8" s="66" customFormat="1" ht="25" customHeight="1" spans="1:38">
      <c r="A8" s="71">
        <v>14</v>
      </c>
      <c r="B8" s="46" t="s">
        <v>25</v>
      </c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</row>
    <row r="9" s="66" customFormat="1" ht="25" customHeight="1" spans="1:38">
      <c r="A9" s="71">
        <v>15</v>
      </c>
      <c r="B9" s="46" t="s">
        <v>27</v>
      </c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</row>
    <row r="10" s="66" customFormat="1" ht="25" customHeight="1" spans="1:38">
      <c r="A10" s="71">
        <v>16</v>
      </c>
      <c r="B10" s="46" t="s">
        <v>29</v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</row>
    <row r="11" s="66" customFormat="1" ht="25" customHeight="1" spans="1:38">
      <c r="A11" s="71">
        <v>17</v>
      </c>
      <c r="B11" s="46" t="s">
        <v>31</v>
      </c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</row>
    <row r="12" s="66" customFormat="1" ht="25" customHeight="1" spans="1:38">
      <c r="A12" s="71">
        <v>18</v>
      </c>
      <c r="B12" s="46" t="s">
        <v>32</v>
      </c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</row>
    <row r="13" s="66" customFormat="1" ht="15" customHeight="1" spans="1:38">
      <c r="A13" s="73"/>
      <c r="B13" s="46" t="s">
        <v>33</v>
      </c>
    </row>
    <row r="14" s="66" customFormat="1" ht="15" customHeight="1" spans="1:38">
      <c r="A14" s="73"/>
      <c r="B14" s="46" t="s">
        <v>34</v>
      </c>
    </row>
    <row r="15" s="66" customFormat="1" ht="15" customHeight="1" spans="1:38">
      <c r="A15" s="73"/>
      <c r="B15" s="46" t="s">
        <v>35</v>
      </c>
    </row>
    <row r="16" s="66" customFormat="1" ht="15" customHeight="1" spans="1:38">
      <c r="A16" s="73"/>
      <c r="B16" s="46" t="s">
        <v>36</v>
      </c>
    </row>
    <row r="17" s="66" customFormat="1" ht="15" customHeight="1" spans="1:2">
      <c r="A17" s="73"/>
      <c r="B17" s="46" t="s">
        <v>38</v>
      </c>
    </row>
    <row r="18" s="66" customFormat="1" ht="15" customHeight="1" spans="1:2">
      <c r="A18" s="73"/>
      <c r="B18" s="73"/>
    </row>
    <row r="19" s="66" customFormat="1" ht="15" customHeight="1" spans="1:2">
      <c r="A19" s="73"/>
      <c r="B19" s="73"/>
    </row>
    <row r="20" s="66" customFormat="1" ht="15" customHeight="1" spans="1:2">
      <c r="A20" s="73"/>
      <c r="B20" s="73"/>
    </row>
    <row r="21" s="66" customFormat="1" ht="15" customHeight="1" spans="1:2">
      <c r="A21" s="73"/>
      <c r="B21" s="73"/>
    </row>
    <row r="22" s="66" customFormat="1" ht="15" customHeight="1" spans="1:2">
      <c r="A22" s="73"/>
      <c r="B22" s="73"/>
    </row>
    <row r="23" s="66" customFormat="1" ht="15" customHeight="1" spans="1:2">
      <c r="A23" s="73"/>
      <c r="B23" s="73"/>
    </row>
    <row r="24" s="66" customFormat="1" ht="15" customHeight="1" spans="1:2">
      <c r="A24" s="73"/>
      <c r="B24" s="73"/>
    </row>
    <row r="25" s="66" customFormat="1" ht="15" customHeight="1" spans="1:2">
      <c r="A25" s="73"/>
      <c r="B25" s="73"/>
    </row>
    <row r="26" s="66" customFormat="1" ht="15" customHeight="1" spans="1:2">
      <c r="A26" s="73"/>
      <c r="B26" s="73"/>
    </row>
    <row r="27" s="66" customFormat="1" ht="15" customHeight="1" spans="1:2">
      <c r="A27" s="73"/>
      <c r="B27" s="73"/>
    </row>
    <row r="28" s="66" customFormat="1" ht="15" customHeight="1" spans="1:2">
      <c r="A28" s="73"/>
      <c r="B28" s="73"/>
    </row>
    <row r="29" s="66" customFormat="1" ht="15" customHeight="1" spans="1:2">
      <c r="A29" s="73"/>
      <c r="B29" s="73"/>
    </row>
    <row r="30" s="66" customFormat="1" ht="15" customHeight="1" spans="1:2">
      <c r="A30" s="73"/>
      <c r="B30" s="73"/>
    </row>
    <row r="31" s="66" customFormat="1" ht="15" customHeight="1" spans="1:2">
      <c r="A31" s="73"/>
      <c r="B31" s="73"/>
    </row>
    <row r="32" s="66" customFormat="1" ht="15" customHeight="1" spans="1:2">
      <c r="A32" s="73"/>
      <c r="B32" s="73"/>
    </row>
    <row r="33" s="66" customFormat="1" ht="15" customHeight="1" spans="1:2">
      <c r="A33" s="73"/>
      <c r="B33" s="73"/>
    </row>
    <row r="34" s="66" customFormat="1" ht="15" customHeight="1" spans="1:2">
      <c r="A34" s="73"/>
      <c r="B34" s="73"/>
    </row>
    <row r="35" s="66" customFormat="1" ht="15" customHeight="1" spans="1:2">
      <c r="A35" s="73"/>
      <c r="B35" s="73"/>
    </row>
    <row r="36" s="66" customFormat="1" ht="15" customHeight="1" spans="1:2">
      <c r="A36" s="73"/>
      <c r="B36" s="73"/>
    </row>
    <row r="37" s="66" customFormat="1" ht="15" customHeight="1" spans="1:2">
      <c r="A37" s="73"/>
      <c r="B37" s="73"/>
    </row>
    <row r="38" s="66" customFormat="1" ht="15" customHeight="1" spans="1:2">
      <c r="A38" s="73"/>
      <c r="B38" s="73"/>
    </row>
    <row r="39" s="66" customFormat="1" ht="15" customHeight="1" spans="1:2">
      <c r="A39" s="73"/>
      <c r="B39" s="73"/>
    </row>
    <row r="40" s="66" customFormat="1" ht="15" customHeight="1" spans="1:2">
      <c r="A40" s="73"/>
      <c r="B40" s="73"/>
    </row>
    <row r="41" s="66" customFormat="1" ht="15" customHeight="1" spans="1:2">
      <c r="A41" s="73"/>
      <c r="B41" s="73"/>
    </row>
    <row r="42" s="66" customFormat="1" ht="15" customHeight="1" spans="1:2">
      <c r="A42" s="73"/>
      <c r="B42" s="73"/>
    </row>
    <row r="43" s="66" customFormat="1" ht="15" customHeight="1" spans="1:2">
      <c r="A43" s="73"/>
      <c r="B43" s="73"/>
    </row>
    <row r="44" s="66" customFormat="1" ht="15" customHeight="1" spans="1:2">
      <c r="A44" s="73"/>
      <c r="B44" s="73"/>
    </row>
    <row r="45" s="66" customFormat="1" ht="15" customHeight="1" spans="1:2">
      <c r="A45" s="73"/>
      <c r="B45" s="73"/>
    </row>
    <row r="46" s="66" customFormat="1" ht="15" customHeight="1" spans="1:2">
      <c r="A46" s="73"/>
      <c r="B46" s="73"/>
    </row>
    <row r="47" s="66" customFormat="1" ht="15" customHeight="1" spans="1:2">
      <c r="A47" s="73"/>
      <c r="B47" s="73"/>
    </row>
    <row r="48" s="66" customFormat="1" ht="15" customHeight="1" spans="1:2">
      <c r="A48" s="73"/>
      <c r="B48" s="73"/>
    </row>
    <row r="49" s="66" customFormat="1" ht="15" customHeight="1" spans="1:2">
      <c r="A49" s="73"/>
      <c r="B49" s="73"/>
    </row>
    <row r="50" s="66" customFormat="1" ht="15" customHeight="1" spans="1:2">
      <c r="A50" s="73"/>
      <c r="B50" s="73"/>
    </row>
    <row r="51" s="66" customFormat="1" ht="15" customHeight="1" spans="1:2">
      <c r="A51" s="73"/>
      <c r="B51" s="73"/>
    </row>
    <row r="52" s="66" customFormat="1" ht="15" customHeight="1" spans="1:2">
      <c r="A52" s="73"/>
      <c r="B52" s="73"/>
    </row>
    <row r="53" s="66" customFormat="1" ht="15" customHeight="1" spans="1:2">
      <c r="A53" s="73"/>
      <c r="B53" s="73"/>
    </row>
    <row r="54" s="66" customFormat="1" ht="15" customHeight="1" spans="1:2">
      <c r="A54" s="73"/>
      <c r="B54" s="73"/>
    </row>
    <row r="55" s="66" customFormat="1" ht="15" customHeight="1" spans="1:2">
      <c r="A55" s="73"/>
      <c r="B55" s="73"/>
    </row>
    <row r="56" s="66" customFormat="1" ht="15" customHeight="1" spans="1:2">
      <c r="A56" s="73"/>
      <c r="B56" s="73"/>
    </row>
    <row r="57" s="66" customFormat="1" ht="15" customHeight="1" spans="1:2">
      <c r="A57" s="73"/>
      <c r="B57" s="73"/>
    </row>
    <row r="58" s="66" customFormat="1" ht="15" customHeight="1" spans="1:2">
      <c r="A58" s="73"/>
      <c r="B58" s="73"/>
    </row>
    <row r="59" s="66" customFormat="1" ht="15" customHeight="1" spans="1:2">
      <c r="A59" s="73"/>
      <c r="B59" s="73"/>
    </row>
    <row r="60" s="66" customFormat="1" ht="15" customHeight="1" spans="1:2">
      <c r="A60" s="73"/>
      <c r="B60" s="73"/>
    </row>
    <row r="61" s="66" customFormat="1" ht="15" customHeight="1" spans="1:2">
      <c r="A61" s="73"/>
      <c r="B61" s="73"/>
    </row>
    <row r="62" s="66" customFormat="1" ht="15" customHeight="1" spans="1:2">
      <c r="A62" s="73"/>
      <c r="B62" s="73"/>
    </row>
    <row r="63" s="66" customFormat="1" ht="15" customHeight="1" spans="1:2">
      <c r="A63" s="73"/>
      <c r="B63" s="73"/>
    </row>
    <row r="64" s="66" customFormat="1" ht="15" customHeight="1" spans="1:2">
      <c r="A64" s="73"/>
      <c r="B64" s="73"/>
    </row>
    <row r="65" s="66" customFormat="1" ht="15" customHeight="1" spans="1:2">
      <c r="A65" s="73"/>
      <c r="B65" s="73"/>
    </row>
    <row r="66" s="66" customFormat="1" ht="15" customHeight="1" spans="1:2">
      <c r="A66" s="73"/>
      <c r="B66" s="73"/>
    </row>
    <row r="67" s="66" customFormat="1" ht="15" customHeight="1" spans="1:2">
      <c r="A67" s="73"/>
      <c r="B67" s="73"/>
    </row>
    <row r="68" s="66" customFormat="1" ht="15" customHeight="1" spans="1:2">
      <c r="A68" s="73"/>
      <c r="B68" s="73"/>
    </row>
    <row r="69" s="66" customFormat="1" ht="15" customHeight="1" spans="1:2">
      <c r="A69" s="73"/>
      <c r="B69" s="73"/>
    </row>
    <row r="70" s="66" customFormat="1" ht="15" customHeight="1" spans="1:2">
      <c r="A70" s="73"/>
      <c r="B70" s="73"/>
    </row>
    <row r="71" s="66" customFormat="1" spans="1:2">
      <c r="A71" s="68"/>
      <c r="B71" s="68"/>
    </row>
  </sheetData>
  <mergeCells count="2">
    <mergeCell ref="A1:AL1"/>
    <mergeCell ref="A2:AL2"/>
  </mergeCells>
  <pageMargins left="0.196527777777778" right="0.156944444444444" top="0.472222222222222" bottom="0.196527777777778" header="0.354166666666667" footer="0.156944444444444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selection activeCell="D4" sqref="D4"/>
    </sheetView>
  </sheetViews>
  <sheetFormatPr defaultColWidth="9.14285714285714" defaultRowHeight="12"/>
  <cols>
    <col min="1" max="1" width="8.71428571428571" customWidth="1"/>
    <col min="2" max="2" width="14.4285714285714" customWidth="1"/>
    <col min="3" max="3" width="17" customWidth="1"/>
    <col min="4" max="4" width="20.8571428571429" customWidth="1"/>
    <col min="5" max="5" width="19.4285714285714" customWidth="1"/>
    <col min="6" max="6" width="20.8571428571429" customWidth="1"/>
  </cols>
  <sheetData>
    <row r="1" ht="29" customHeight="1" spans="1:9">
      <c r="A1" s="59" t="s">
        <v>49</v>
      </c>
      <c r="B1" s="59"/>
      <c r="C1" s="59"/>
      <c r="D1" s="59"/>
      <c r="E1" s="59"/>
      <c r="F1" s="59"/>
    </row>
    <row r="2" s="1" customFormat="1" ht="39" customHeight="1" spans="1:9">
      <c r="A2" s="7" t="s">
        <v>2</v>
      </c>
      <c r="B2" s="7" t="s">
        <v>50</v>
      </c>
      <c r="C2" s="7" t="s">
        <v>3</v>
      </c>
      <c r="D2" s="60" t="s">
        <v>51</v>
      </c>
      <c r="E2" s="7" t="s">
        <v>52</v>
      </c>
      <c r="F2" s="7" t="s">
        <v>7</v>
      </c>
    </row>
    <row r="3" ht="26" customHeight="1" spans="1:9">
      <c r="A3" s="27">
        <v>1</v>
      </c>
      <c r="B3" s="9">
        <v>46093</v>
      </c>
      <c r="C3" s="10" t="s">
        <v>16</v>
      </c>
      <c r="D3" s="15">
        <v>1</v>
      </c>
      <c r="E3" s="16"/>
      <c r="F3" s="61"/>
    </row>
    <row r="4" ht="26" customHeight="1" spans="1:9">
      <c r="A4" s="27">
        <v>2</v>
      </c>
      <c r="B4" s="9">
        <v>46093</v>
      </c>
      <c r="C4" s="13" t="s">
        <v>19</v>
      </c>
      <c r="D4" s="15">
        <v>1</v>
      </c>
      <c r="E4" s="16"/>
      <c r="F4" s="62"/>
    </row>
    <row r="5" ht="26" customHeight="1" spans="1:9">
      <c r="A5" s="27">
        <v>3</v>
      </c>
      <c r="B5" s="9">
        <v>46093</v>
      </c>
      <c r="C5" s="10" t="s">
        <v>21</v>
      </c>
      <c r="D5" s="15">
        <v>1</v>
      </c>
      <c r="E5" s="16"/>
      <c r="F5" s="62"/>
    </row>
    <row r="6" ht="26" customHeight="1" spans="1:9">
      <c r="A6" s="27">
        <v>4</v>
      </c>
      <c r="B6" s="9">
        <v>46093</v>
      </c>
      <c r="C6" s="10" t="s">
        <v>53</v>
      </c>
      <c r="D6" s="15">
        <v>1</v>
      </c>
      <c r="E6" s="16"/>
      <c r="F6" s="62"/>
    </row>
    <row r="7" ht="26" customHeight="1" spans="1:9">
      <c r="A7" s="27">
        <v>5</v>
      </c>
      <c r="B7" s="9">
        <v>46093</v>
      </c>
      <c r="C7" s="10" t="s">
        <v>54</v>
      </c>
      <c r="D7" s="15">
        <v>1</v>
      </c>
      <c r="E7" s="16"/>
      <c r="F7" s="62"/>
    </row>
    <row r="8" ht="26" customHeight="1" spans="1:9">
      <c r="A8" s="27">
        <v>6</v>
      </c>
      <c r="B8" s="9">
        <v>46093</v>
      </c>
      <c r="C8" s="10" t="s">
        <v>25</v>
      </c>
      <c r="D8" s="15">
        <v>1</v>
      </c>
      <c r="E8" s="16"/>
      <c r="F8" s="62"/>
    </row>
    <row r="9" ht="26" customHeight="1" spans="1:9">
      <c r="A9" s="27">
        <v>7</v>
      </c>
      <c r="B9" s="9">
        <v>46093</v>
      </c>
      <c r="C9" s="10" t="s">
        <v>27</v>
      </c>
      <c r="D9" s="15">
        <v>1</v>
      </c>
      <c r="E9" s="15"/>
      <c r="F9" s="17"/>
    </row>
    <row r="10" customFormat="1" ht="26" customHeight="1" spans="1:9">
      <c r="A10" s="27">
        <v>8</v>
      </c>
      <c r="B10" s="9">
        <v>46093</v>
      </c>
      <c r="C10" s="10" t="s">
        <v>29</v>
      </c>
      <c r="D10" s="15">
        <v>1</v>
      </c>
      <c r="E10" s="15"/>
      <c r="F10" s="17"/>
    </row>
    <row r="11" ht="26" customHeight="1" spans="1:9">
      <c r="A11" s="27">
        <v>9</v>
      </c>
      <c r="B11" s="9">
        <v>46093</v>
      </c>
      <c r="C11" s="10" t="s">
        <v>31</v>
      </c>
      <c r="D11" s="15">
        <v>1</v>
      </c>
      <c r="E11" s="15"/>
      <c r="F11" s="17"/>
    </row>
    <row r="12" ht="26" customHeight="1" spans="1:9">
      <c r="A12" s="27">
        <v>10</v>
      </c>
      <c r="B12" s="9">
        <v>46093</v>
      </c>
      <c r="C12" s="10" t="s">
        <v>32</v>
      </c>
      <c r="D12" s="15">
        <v>1</v>
      </c>
      <c r="E12" s="15"/>
      <c r="F12" s="17"/>
    </row>
    <row r="13" ht="26" customHeight="1" spans="1:9">
      <c r="A13" s="27">
        <v>11</v>
      </c>
      <c r="B13" s="9">
        <v>46093</v>
      </c>
      <c r="C13" s="10" t="s">
        <v>33</v>
      </c>
      <c r="D13" s="15">
        <v>1</v>
      </c>
      <c r="E13" s="15"/>
      <c r="F13" s="17"/>
    </row>
    <row r="14" ht="26" customHeight="1" spans="1:9">
      <c r="A14" s="27">
        <v>12</v>
      </c>
      <c r="B14" s="9">
        <v>46093</v>
      </c>
      <c r="C14" s="10" t="s">
        <v>34</v>
      </c>
      <c r="D14" s="15">
        <v>1</v>
      </c>
      <c r="E14" s="15"/>
      <c r="F14" s="17"/>
    </row>
    <row r="15" ht="26" customHeight="1" spans="1:9">
      <c r="A15" s="27">
        <v>13</v>
      </c>
      <c r="B15" s="9">
        <v>46093</v>
      </c>
      <c r="C15" s="10" t="s">
        <v>35</v>
      </c>
      <c r="D15" s="15">
        <v>1</v>
      </c>
      <c r="E15" s="15"/>
      <c r="F15" s="17"/>
      <c r="I15" t="s">
        <v>55</v>
      </c>
    </row>
    <row r="16" ht="26" customHeight="1" spans="1:9">
      <c r="A16" s="27">
        <v>14</v>
      </c>
      <c r="B16" s="9">
        <v>46093</v>
      </c>
      <c r="C16" s="10" t="s">
        <v>38</v>
      </c>
      <c r="D16" s="15">
        <v>1</v>
      </c>
      <c r="E16" s="15"/>
      <c r="F16" s="17"/>
    </row>
    <row r="17" ht="26" customHeight="1" spans="1:6">
      <c r="A17" s="27">
        <v>15</v>
      </c>
      <c r="B17" s="9">
        <v>46093</v>
      </c>
      <c r="C17" s="14" t="s">
        <v>39</v>
      </c>
      <c r="D17" s="15">
        <v>1</v>
      </c>
      <c r="E17" s="15"/>
      <c r="F17" s="17"/>
    </row>
    <row r="18" ht="26" customHeight="1" spans="1:6">
      <c r="A18" s="27">
        <v>16</v>
      </c>
      <c r="B18" s="9">
        <v>46093</v>
      </c>
      <c r="C18" s="12" t="s">
        <v>40</v>
      </c>
      <c r="D18" s="15">
        <v>1</v>
      </c>
      <c r="E18" s="15"/>
      <c r="F18" s="17"/>
    </row>
    <row r="19" ht="26" customHeight="1" spans="1:6">
      <c r="A19" s="37"/>
      <c r="B19" s="63"/>
      <c r="C19" s="25" t="s">
        <v>42</v>
      </c>
      <c r="D19" s="64">
        <v>1</v>
      </c>
      <c r="E19" s="64"/>
      <c r="F19" s="65" t="s">
        <v>56</v>
      </c>
    </row>
    <row r="20" ht="20" customHeight="1" spans="1:6">
      <c r="D20" s="38">
        <v>17</v>
      </c>
    </row>
  </sheetData>
  <mergeCells count="1">
    <mergeCell ref="A1:F1"/>
  </mergeCells>
  <pageMargins left="0.393055555555556" right="0.393055555555556" top="1" bottom="1" header="0.5" footer="0.5"/>
  <pageSetup paperSize="9" orientation="portrait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6"/>
  <sheetViews>
    <sheetView tabSelected="1" workbookViewId="0">
      <pane xSplit="3" ySplit="2" topLeftCell="D3" activePane="bottomRight" state="frozen"/>
      <selection/>
      <selection pane="topRight"/>
      <selection pane="bottomLeft"/>
      <selection pane="bottomRight" activeCell="U11" sqref="U11"/>
    </sheetView>
  </sheetViews>
  <sheetFormatPr defaultColWidth="9.14285714285714" defaultRowHeight="23" customHeight="1"/>
  <cols>
    <col min="1" max="1" width="9.14285714285714" style="38"/>
    <col min="2" max="2" width="10.7142857142857" style="38" customWidth="1"/>
    <col min="3" max="3" width="10" style="38" customWidth="1"/>
    <col min="4" max="12" width="7.42857142857143" style="38" customWidth="1"/>
    <col min="13" max="27" width="7" style="38" customWidth="1"/>
    <col min="28" max="16384" width="9.14285714285714" style="38"/>
  </cols>
  <sheetData>
    <row r="1" s="35" customFormat="1" customHeight="1" spans="1:30">
      <c r="A1" s="39" t="s">
        <v>57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</row>
    <row r="2" s="36" customFormat="1" ht="20" customHeight="1" spans="1:30">
      <c r="A2" s="41" t="s">
        <v>2</v>
      </c>
      <c r="B2" s="41" t="s">
        <v>48</v>
      </c>
      <c r="C2" s="42" t="s">
        <v>58</v>
      </c>
      <c r="D2" s="43">
        <v>46090</v>
      </c>
      <c r="E2" s="43">
        <v>46093</v>
      </c>
      <c r="F2" s="43">
        <v>46097</v>
      </c>
      <c r="G2" s="44">
        <v>46100</v>
      </c>
      <c r="H2" s="44">
        <v>46104</v>
      </c>
      <c r="I2" s="44">
        <v>46107</v>
      </c>
      <c r="J2" s="44">
        <v>46111</v>
      </c>
      <c r="K2" s="44">
        <v>46114</v>
      </c>
      <c r="L2" s="44">
        <v>46119</v>
      </c>
      <c r="M2" s="44">
        <v>46121</v>
      </c>
      <c r="N2" s="44">
        <v>46125</v>
      </c>
      <c r="O2" s="44">
        <v>46128</v>
      </c>
      <c r="P2" s="44">
        <v>46132</v>
      </c>
      <c r="Q2" s="44">
        <v>46135</v>
      </c>
      <c r="R2" s="44">
        <v>46139</v>
      </c>
      <c r="S2" s="44">
        <v>46142</v>
      </c>
      <c r="T2" s="44"/>
      <c r="U2" s="44"/>
      <c r="V2" s="44"/>
      <c r="W2" s="44"/>
      <c r="X2" s="44"/>
      <c r="Y2" s="44"/>
      <c r="Z2" s="44"/>
      <c r="AA2" s="44"/>
      <c r="AB2" s="45" t="s">
        <v>59</v>
      </c>
      <c r="AC2" s="36" t="s">
        <v>60</v>
      </c>
    </row>
    <row r="3" s="37" customFormat="1" customHeight="1" spans="1:30">
      <c r="A3" s="27">
        <v>1</v>
      </c>
      <c r="B3" s="46" t="s">
        <v>16</v>
      </c>
      <c r="C3" s="47">
        <v>100</v>
      </c>
      <c r="D3" s="47">
        <v>3</v>
      </c>
      <c r="E3" s="47">
        <v>4</v>
      </c>
      <c r="F3" s="47">
        <v>3</v>
      </c>
      <c r="G3" s="47">
        <v>4</v>
      </c>
      <c r="H3" s="47">
        <v>3</v>
      </c>
      <c r="I3" s="47">
        <v>4</v>
      </c>
      <c r="J3" s="47">
        <v>3</v>
      </c>
      <c r="K3" s="47">
        <v>4</v>
      </c>
      <c r="L3" s="47">
        <v>3</v>
      </c>
      <c r="M3" s="47">
        <v>4</v>
      </c>
      <c r="N3" s="47">
        <f>SUMIF('4.13'!$C$3:C50,B3,'4.13'!$I$3:I50)</f>
        <v>3</v>
      </c>
      <c r="O3" s="47">
        <f>SUMIF('4.16'!$C$3:D50,B3,'4.16'!$I$3:J50)</f>
        <v>4</v>
      </c>
      <c r="P3" s="47">
        <f>SUMIF('4.20'!$C$3:E50,B3,'4.20'!$I$3:K50)</f>
        <v>3</v>
      </c>
      <c r="Q3" s="47">
        <f>SUMIF('4.23'!$C$3:F50,B3,'4.23'!$I$3:L50)</f>
        <v>4</v>
      </c>
      <c r="R3" s="47">
        <f>SUMIF('4.27'!$C$3:G50,B3,'4.27'!$I$3:M50)</f>
        <v>3</v>
      </c>
      <c r="S3" s="47">
        <f>SUMIF('4.30'!$C$3:H50,B3,'4.30'!$I$3:N50)</f>
        <v>4</v>
      </c>
      <c r="T3" s="47"/>
      <c r="U3" s="47"/>
      <c r="V3" s="47"/>
      <c r="W3" s="47"/>
      <c r="X3" s="47"/>
      <c r="Y3" s="47"/>
      <c r="Z3" s="47"/>
      <c r="AA3" s="27"/>
      <c r="AB3" s="27">
        <f>SUM(D3:AA3)</f>
        <v>56</v>
      </c>
      <c r="AC3" s="37">
        <f>C3-AB3</f>
        <v>44</v>
      </c>
    </row>
    <row r="4" s="37" customFormat="1" customHeight="1" spans="1:30">
      <c r="A4" s="27">
        <v>2</v>
      </c>
      <c r="B4" s="48" t="s">
        <v>19</v>
      </c>
      <c r="C4" s="47">
        <v>100</v>
      </c>
      <c r="D4" s="47">
        <v>3</v>
      </c>
      <c r="E4" s="47">
        <v>4</v>
      </c>
      <c r="F4" s="47">
        <v>3</v>
      </c>
      <c r="G4" s="47">
        <v>4</v>
      </c>
      <c r="H4" s="47">
        <v>3</v>
      </c>
      <c r="I4" s="47">
        <v>4</v>
      </c>
      <c r="J4" s="47">
        <v>3</v>
      </c>
      <c r="K4" s="47">
        <v>4</v>
      </c>
      <c r="L4" s="47">
        <v>3</v>
      </c>
      <c r="M4" s="47">
        <v>4</v>
      </c>
      <c r="N4" s="47">
        <f>SUMIF('4.13'!$C$3:C51,B4,'4.13'!$I$3:I51)</f>
        <v>3</v>
      </c>
      <c r="O4" s="47">
        <f>SUMIF('4.16'!$C$3:D51,B4,'4.16'!$I$3:J51)</f>
        <v>4</v>
      </c>
      <c r="P4" s="47">
        <f>SUMIF('4.20'!$C$3:E51,B4,'4.20'!$I$3:K51)</f>
        <v>3</v>
      </c>
      <c r="Q4" s="47">
        <f>SUMIF('4.23'!$C$3:F51,B4,'4.23'!$I$3:L51)</f>
        <v>4</v>
      </c>
      <c r="R4" s="47">
        <f>SUMIF('4.27'!$C$3:G51,B4,'4.27'!$I$3:M51)</f>
        <v>3</v>
      </c>
      <c r="S4" s="47">
        <f>SUMIF('4.30'!$C$3:H51,B4,'4.30'!$I$3:N51)</f>
        <v>4</v>
      </c>
      <c r="T4" s="47"/>
      <c r="U4" s="47"/>
      <c r="V4" s="47"/>
      <c r="W4" s="47"/>
      <c r="X4" s="47"/>
      <c r="Y4" s="47"/>
      <c r="Z4" s="47"/>
      <c r="AA4" s="27"/>
      <c r="AB4" s="27">
        <f t="shared" ref="AB4:AB33" si="0">SUM(D4:AA4)</f>
        <v>56</v>
      </c>
      <c r="AC4" s="37">
        <f t="shared" ref="AC4:AC22" si="1">C4-AB4</f>
        <v>44</v>
      </c>
      <c r="AD4" s="38"/>
    </row>
    <row r="5" s="37" customFormat="1" customHeight="1" spans="1:30">
      <c r="A5" s="27">
        <v>3</v>
      </c>
      <c r="B5" s="46" t="s">
        <v>21</v>
      </c>
      <c r="C5" s="47">
        <v>100</v>
      </c>
      <c r="D5" s="47">
        <v>3</v>
      </c>
      <c r="E5" s="47">
        <v>4</v>
      </c>
      <c r="F5" s="47">
        <v>3</v>
      </c>
      <c r="G5" s="47">
        <v>4</v>
      </c>
      <c r="H5" s="47">
        <v>3</v>
      </c>
      <c r="I5" s="47">
        <v>4</v>
      </c>
      <c r="J5" s="47">
        <v>3</v>
      </c>
      <c r="K5" s="47">
        <v>4</v>
      </c>
      <c r="L5" s="47">
        <v>3</v>
      </c>
      <c r="M5" s="47">
        <v>4</v>
      </c>
      <c r="N5" s="47">
        <f>SUMIF('4.13'!$C$3:C52,B5,'4.13'!$I$3:I52)</f>
        <v>3</v>
      </c>
      <c r="O5" s="47">
        <f>SUMIF('4.16'!$C$3:D52,B5,'4.16'!$I$3:J52)</f>
        <v>4</v>
      </c>
      <c r="P5" s="47">
        <f>SUMIF('4.20'!$C$3:E52,B5,'4.20'!$I$3:K52)</f>
        <v>3</v>
      </c>
      <c r="Q5" s="47">
        <f>SUMIF('4.23'!$C$3:F52,B5,'4.23'!$I$3:L52)</f>
        <v>4</v>
      </c>
      <c r="R5" s="47">
        <f>SUMIF('4.27'!$C$3:G52,B5,'4.27'!$I$3:M52)</f>
        <v>3</v>
      </c>
      <c r="S5" s="47">
        <f>SUMIF('4.30'!$C$3:H52,B5,'4.30'!$I$3:N52)</f>
        <v>4</v>
      </c>
      <c r="T5" s="47"/>
      <c r="U5" s="47"/>
      <c r="V5" s="47"/>
      <c r="W5" s="47"/>
      <c r="X5" s="47"/>
      <c r="Y5" s="47"/>
      <c r="Z5" s="47"/>
      <c r="AA5" s="27"/>
      <c r="AB5" s="27">
        <f t="shared" si="0"/>
        <v>56</v>
      </c>
      <c r="AC5" s="37">
        <f t="shared" si="1"/>
        <v>44</v>
      </c>
      <c r="AD5" s="38"/>
    </row>
    <row r="6" s="37" customFormat="1" customHeight="1" spans="1:30">
      <c r="A6" s="27">
        <v>4</v>
      </c>
      <c r="B6" s="46" t="s">
        <v>53</v>
      </c>
      <c r="C6" s="47">
        <v>100</v>
      </c>
      <c r="D6" s="47">
        <v>3</v>
      </c>
      <c r="E6" s="47">
        <v>4</v>
      </c>
      <c r="F6" s="47">
        <v>3</v>
      </c>
      <c r="G6" s="47">
        <v>4</v>
      </c>
      <c r="H6" s="47">
        <v>3</v>
      </c>
      <c r="I6" s="47">
        <v>4</v>
      </c>
      <c r="J6" s="47">
        <v>3</v>
      </c>
      <c r="K6" s="47">
        <v>4</v>
      </c>
      <c r="L6" s="47">
        <v>3</v>
      </c>
      <c r="M6" s="47">
        <v>4</v>
      </c>
      <c r="N6" s="47">
        <f>SUMIF('4.13'!$C$3:C53,B6,'4.13'!$I$3:I53)</f>
        <v>3</v>
      </c>
      <c r="O6" s="47">
        <f>SUMIF('4.16'!$C$3:D53,B6,'4.16'!$I$3:J53)</f>
        <v>4</v>
      </c>
      <c r="P6" s="47">
        <f>SUMIF('4.20'!$C$3:E53,B6,'4.20'!$I$3:K53)</f>
        <v>3</v>
      </c>
      <c r="Q6" s="47">
        <f>SUMIF('4.23'!$C$3:F53,B6,'4.23'!$I$3:L53)</f>
        <v>4</v>
      </c>
      <c r="R6" s="47">
        <f>SUMIF('4.27'!$C$3:G53,B6,'4.27'!$I$3:M53)</f>
        <v>3</v>
      </c>
      <c r="S6" s="47">
        <f>SUMIF('4.30'!$C$3:H53,B6,'4.30'!$I$3:N53)</f>
        <v>4</v>
      </c>
      <c r="T6" s="47"/>
      <c r="U6" s="47"/>
      <c r="V6" s="47"/>
      <c r="W6" s="47"/>
      <c r="X6" s="47"/>
      <c r="Y6" s="47"/>
      <c r="Z6" s="47"/>
      <c r="AA6" s="27"/>
      <c r="AB6" s="27">
        <f t="shared" si="0"/>
        <v>56</v>
      </c>
      <c r="AC6" s="37">
        <f t="shared" si="1"/>
        <v>44</v>
      </c>
    </row>
    <row r="7" s="37" customFormat="1" customHeight="1" spans="1:30">
      <c r="A7" s="27">
        <v>4</v>
      </c>
      <c r="B7" s="46" t="s">
        <v>54</v>
      </c>
      <c r="C7" s="47">
        <v>100</v>
      </c>
      <c r="D7" s="47">
        <v>0</v>
      </c>
      <c r="E7" s="47">
        <v>4</v>
      </c>
      <c r="F7" s="47">
        <v>6</v>
      </c>
      <c r="G7" s="47">
        <v>4</v>
      </c>
      <c r="H7" s="47">
        <v>3</v>
      </c>
      <c r="I7" s="47">
        <v>4</v>
      </c>
      <c r="J7" s="47">
        <v>3</v>
      </c>
      <c r="K7" s="47">
        <v>4</v>
      </c>
      <c r="L7" s="47">
        <v>3</v>
      </c>
      <c r="M7" s="47">
        <v>4</v>
      </c>
      <c r="N7" s="47">
        <f>SUMIF('4.13'!$C$3:C54,B7,'4.13'!$I$3:I54)</f>
        <v>3</v>
      </c>
      <c r="O7" s="47">
        <f>SUMIF('4.16'!$C$3:D54,B7,'4.16'!$I$3:J54)</f>
        <v>4</v>
      </c>
      <c r="P7" s="47">
        <f>SUMIF('4.20'!$C$3:E54,B7,'4.20'!$I$3:K54)</f>
        <v>3</v>
      </c>
      <c r="Q7" s="47">
        <f>SUMIF('4.23'!$C$3:F54,B7,'4.23'!$I$3:L54)</f>
        <v>4</v>
      </c>
      <c r="R7" s="47">
        <f>SUMIF('4.27'!$C$3:G54,B7,'4.27'!$I$3:M54)</f>
        <v>3</v>
      </c>
      <c r="S7" s="47">
        <f>SUMIF('4.30'!$C$3:H54,B7,'4.30'!$I$3:N54)</f>
        <v>4</v>
      </c>
      <c r="T7" s="47"/>
      <c r="U7" s="47"/>
      <c r="V7" s="47"/>
      <c r="W7" s="47"/>
      <c r="X7" s="47"/>
      <c r="Y7" s="47"/>
      <c r="Z7" s="47"/>
      <c r="AA7" s="27"/>
      <c r="AB7" s="27">
        <f t="shared" si="0"/>
        <v>56</v>
      </c>
      <c r="AC7" s="37">
        <f t="shared" si="1"/>
        <v>44</v>
      </c>
    </row>
    <row r="8" s="37" customFormat="1" customHeight="1" spans="1:30">
      <c r="A8" s="27">
        <v>5</v>
      </c>
      <c r="B8" s="46" t="s">
        <v>25</v>
      </c>
      <c r="C8" s="47">
        <v>100</v>
      </c>
      <c r="D8" s="47">
        <v>3</v>
      </c>
      <c r="E8" s="47">
        <v>4</v>
      </c>
      <c r="F8" s="47">
        <v>3</v>
      </c>
      <c r="G8" s="47">
        <v>4</v>
      </c>
      <c r="H8" s="47">
        <v>3</v>
      </c>
      <c r="I8" s="47">
        <v>4</v>
      </c>
      <c r="J8" s="47">
        <v>3</v>
      </c>
      <c r="K8" s="47">
        <v>4</v>
      </c>
      <c r="L8" s="47">
        <v>3</v>
      </c>
      <c r="M8" s="47">
        <v>4</v>
      </c>
      <c r="N8" s="47">
        <f>SUMIF('4.13'!$C$3:C55,B8,'4.13'!$I$3:I55)</f>
        <v>3</v>
      </c>
      <c r="O8" s="47">
        <f>SUMIF('4.16'!$C$3:D55,B8,'4.16'!$I$3:J55)</f>
        <v>4</v>
      </c>
      <c r="P8" s="47">
        <f>SUMIF('4.20'!$C$3:E55,B8,'4.20'!$I$3:K55)</f>
        <v>3</v>
      </c>
      <c r="Q8" s="47">
        <f>SUMIF('4.23'!$C$3:F55,B8,'4.23'!$I$3:L55)</f>
        <v>4</v>
      </c>
      <c r="R8" s="47">
        <f>SUMIF('4.27'!$C$3:G55,B8,'4.27'!$I$3:M55)</f>
        <v>3</v>
      </c>
      <c r="S8" s="47">
        <f>SUMIF('4.30'!$C$3:H55,B8,'4.30'!$I$3:N55)</f>
        <v>4</v>
      </c>
      <c r="T8" s="47"/>
      <c r="U8" s="47"/>
      <c r="V8" s="47"/>
      <c r="W8" s="47"/>
      <c r="X8" s="47"/>
      <c r="Y8" s="47"/>
      <c r="Z8" s="47"/>
      <c r="AA8" s="27"/>
      <c r="AB8" s="27">
        <f t="shared" si="0"/>
        <v>56</v>
      </c>
      <c r="AC8" s="37">
        <f t="shared" si="1"/>
        <v>44</v>
      </c>
    </row>
    <row r="9" s="37" customFormat="1" customHeight="1" spans="1:30">
      <c r="A9" s="27">
        <v>6</v>
      </c>
      <c r="B9" s="46" t="s">
        <v>27</v>
      </c>
      <c r="C9" s="47">
        <v>100</v>
      </c>
      <c r="D9" s="47">
        <v>3</v>
      </c>
      <c r="E9" s="47">
        <v>4</v>
      </c>
      <c r="F9" s="47">
        <v>3</v>
      </c>
      <c r="G9" s="47">
        <v>4</v>
      </c>
      <c r="H9" s="47">
        <v>3</v>
      </c>
      <c r="I9" s="47">
        <v>4</v>
      </c>
      <c r="J9" s="47">
        <v>3</v>
      </c>
      <c r="K9" s="47">
        <v>4</v>
      </c>
      <c r="L9" s="47">
        <v>3</v>
      </c>
      <c r="M9" s="47">
        <v>4</v>
      </c>
      <c r="N9" s="47">
        <f>SUMIF('4.13'!$C$3:C56,B9,'4.13'!$I$3:I56)</f>
        <v>3</v>
      </c>
      <c r="O9" s="47">
        <f>SUMIF('4.16'!$C$3:D56,B9,'4.16'!$I$3:J56)</f>
        <v>4</v>
      </c>
      <c r="P9" s="47">
        <f>SUMIF('4.20'!$C$3:E56,B9,'4.20'!$I$3:K56)</f>
        <v>3</v>
      </c>
      <c r="Q9" s="47">
        <f>SUMIF('4.23'!$C$3:F56,B9,'4.23'!$I$3:L56)</f>
        <v>4</v>
      </c>
      <c r="R9" s="47">
        <f>SUMIF('4.27'!$C$3:G56,B9,'4.27'!$I$3:M56)</f>
        <v>3</v>
      </c>
      <c r="S9" s="47">
        <f>SUMIF('4.30'!$C$3:H56,B9,'4.30'!$I$3:N56)</f>
        <v>4</v>
      </c>
      <c r="T9" s="47"/>
      <c r="U9" s="47"/>
      <c r="V9" s="47"/>
      <c r="W9" s="47"/>
      <c r="X9" s="47"/>
      <c r="Y9" s="47"/>
      <c r="Z9" s="47"/>
      <c r="AA9" s="27"/>
      <c r="AB9" s="27">
        <f t="shared" si="0"/>
        <v>56</v>
      </c>
      <c r="AC9" s="37">
        <f t="shared" si="1"/>
        <v>44</v>
      </c>
    </row>
    <row r="10" s="37" customFormat="1" customHeight="1" spans="1:30">
      <c r="A10" s="27">
        <v>7</v>
      </c>
      <c r="B10" s="46" t="s">
        <v>61</v>
      </c>
      <c r="C10" s="47">
        <v>100</v>
      </c>
      <c r="D10" s="47">
        <v>3</v>
      </c>
      <c r="E10" s="47">
        <v>4</v>
      </c>
      <c r="F10" s="47">
        <v>3</v>
      </c>
      <c r="G10" s="47">
        <v>4</v>
      </c>
      <c r="H10" s="47">
        <v>3</v>
      </c>
      <c r="I10" s="47">
        <v>4</v>
      </c>
      <c r="J10" s="47">
        <v>3</v>
      </c>
      <c r="K10" s="47">
        <v>4</v>
      </c>
      <c r="L10" s="47">
        <v>3</v>
      </c>
      <c r="M10" s="47">
        <v>4</v>
      </c>
      <c r="N10" s="47">
        <f>SUMIF('4.13'!$C$3:C57,B10,'4.13'!$I$3:I57)</f>
        <v>3</v>
      </c>
      <c r="O10" s="47">
        <f>SUMIF('4.16'!$C$3:D57,B10,'4.16'!$I$3:J57)</f>
        <v>4</v>
      </c>
      <c r="P10" s="47">
        <f>SUMIF('4.20'!$C$3:E57,B10,'4.20'!$I$3:K57)</f>
        <v>3</v>
      </c>
      <c r="Q10" s="47">
        <f>SUMIF('4.23'!$C$3:F57,B10,'4.23'!$I$3:L57)</f>
        <v>4</v>
      </c>
      <c r="R10" s="47">
        <f>SUMIF('4.27'!$C$3:G57,B10,'4.27'!$I$3:M57)</f>
        <v>3</v>
      </c>
      <c r="S10" s="47">
        <f>SUMIF('4.30'!$C$3:H57,B10,'4.30'!$I$3:N57)</f>
        <v>4</v>
      </c>
      <c r="T10" s="47"/>
      <c r="U10" s="47"/>
      <c r="V10" s="47"/>
      <c r="W10" s="47"/>
      <c r="X10" s="47"/>
      <c r="Y10" s="47"/>
      <c r="Z10" s="47"/>
      <c r="AA10" s="27"/>
      <c r="AB10" s="27">
        <f t="shared" si="0"/>
        <v>56</v>
      </c>
      <c r="AC10" s="37">
        <f t="shared" si="1"/>
        <v>44</v>
      </c>
    </row>
    <row r="11" customHeight="1" spans="1:30">
      <c r="A11" s="27">
        <v>8</v>
      </c>
      <c r="B11" s="46" t="s">
        <v>31</v>
      </c>
      <c r="C11" s="47">
        <v>100</v>
      </c>
      <c r="D11" s="47">
        <v>3</v>
      </c>
      <c r="E11" s="47">
        <v>4</v>
      </c>
      <c r="F11" s="47">
        <v>3</v>
      </c>
      <c r="G11" s="47">
        <v>4</v>
      </c>
      <c r="H11" s="47">
        <v>3</v>
      </c>
      <c r="I11" s="47">
        <v>4</v>
      </c>
      <c r="J11" s="47">
        <v>3</v>
      </c>
      <c r="K11" s="47">
        <v>4</v>
      </c>
      <c r="L11" s="47">
        <v>3</v>
      </c>
      <c r="M11" s="47">
        <v>4</v>
      </c>
      <c r="N11" s="47">
        <f>SUMIF('4.13'!$C$3:C58,B11,'4.13'!$I$3:I58)</f>
        <v>3</v>
      </c>
      <c r="O11" s="47">
        <f>SUMIF('4.16'!$C$3:D58,B11,'4.16'!$I$3:J58)</f>
        <v>4</v>
      </c>
      <c r="P11" s="47">
        <f>SUMIF('4.20'!$C$3:E58,B11,'4.20'!$I$3:K58)</f>
        <v>3</v>
      </c>
      <c r="Q11" s="47">
        <f>SUMIF('4.23'!$C$3:F58,B11,'4.23'!$I$3:L58)</f>
        <v>4</v>
      </c>
      <c r="R11" s="47">
        <f>SUMIF('4.27'!$C$3:G58,B11,'4.27'!$I$3:M58)</f>
        <v>3</v>
      </c>
      <c r="S11" s="47">
        <f>SUMIF('4.30'!$C$3:H58,B11,'4.30'!$I$3:N58)</f>
        <v>4</v>
      </c>
      <c r="T11" s="47"/>
      <c r="U11" s="47"/>
      <c r="V11" s="47"/>
      <c r="W11" s="47"/>
      <c r="X11" s="47"/>
      <c r="Y11" s="47"/>
      <c r="Z11" s="47"/>
      <c r="AA11" s="49"/>
      <c r="AB11" s="27">
        <f t="shared" si="0"/>
        <v>56</v>
      </c>
      <c r="AC11" s="37">
        <f t="shared" si="1"/>
        <v>44</v>
      </c>
    </row>
    <row r="12" customHeight="1" spans="1:30">
      <c r="A12" s="27">
        <v>9</v>
      </c>
      <c r="B12" s="46" t="s">
        <v>32</v>
      </c>
      <c r="C12" s="47">
        <v>100</v>
      </c>
      <c r="D12" s="47">
        <v>3</v>
      </c>
      <c r="E12" s="47">
        <v>4</v>
      </c>
      <c r="F12" s="47">
        <v>3</v>
      </c>
      <c r="G12" s="47">
        <v>4</v>
      </c>
      <c r="H12" s="47">
        <v>3</v>
      </c>
      <c r="I12" s="47">
        <v>4</v>
      </c>
      <c r="J12" s="47">
        <v>3</v>
      </c>
      <c r="K12" s="47">
        <v>4</v>
      </c>
      <c r="L12" s="47">
        <v>3</v>
      </c>
      <c r="M12" s="47">
        <v>4</v>
      </c>
      <c r="N12" s="47">
        <f>SUMIF('4.13'!$C$3:C59,B12,'4.13'!$I$3:I59)</f>
        <v>3</v>
      </c>
      <c r="O12" s="47">
        <f>SUMIF('4.16'!$C$3:D59,B12,'4.16'!$I$3:J59)</f>
        <v>4</v>
      </c>
      <c r="P12" s="47">
        <f>SUMIF('4.20'!$C$3:E59,B12,'4.20'!$I$3:K59)</f>
        <v>3</v>
      </c>
      <c r="Q12" s="47">
        <f>SUMIF('4.23'!$C$3:F59,B12,'4.23'!$I$3:L59)</f>
        <v>4</v>
      </c>
      <c r="R12" s="47">
        <f>SUMIF('4.27'!$C$3:G59,B12,'4.27'!$I$3:M59)</f>
        <v>3</v>
      </c>
      <c r="S12" s="47">
        <f>SUMIF('4.30'!$C$3:H59,B12,'4.30'!$I$3:N59)</f>
        <v>4</v>
      </c>
      <c r="T12" s="47"/>
      <c r="U12" s="47"/>
      <c r="V12" s="47"/>
      <c r="W12" s="47"/>
      <c r="X12" s="47"/>
      <c r="Y12" s="47"/>
      <c r="Z12" s="47"/>
      <c r="AA12" s="49"/>
      <c r="AB12" s="27">
        <f t="shared" si="0"/>
        <v>56</v>
      </c>
      <c r="AC12" s="37">
        <f t="shared" si="1"/>
        <v>44</v>
      </c>
    </row>
    <row r="13" customHeight="1" spans="1:30">
      <c r="A13" s="27">
        <v>10</v>
      </c>
      <c r="B13" s="46" t="s">
        <v>33</v>
      </c>
      <c r="C13" s="47">
        <v>100</v>
      </c>
      <c r="D13" s="47">
        <v>3</v>
      </c>
      <c r="E13" s="47">
        <v>4</v>
      </c>
      <c r="F13" s="47">
        <v>3</v>
      </c>
      <c r="G13" s="47">
        <v>4</v>
      </c>
      <c r="H13" s="47">
        <v>3</v>
      </c>
      <c r="I13" s="47">
        <v>4</v>
      </c>
      <c r="J13" s="47">
        <v>3</v>
      </c>
      <c r="K13" s="47">
        <v>4</v>
      </c>
      <c r="L13" s="47">
        <v>3</v>
      </c>
      <c r="M13" s="47">
        <v>4</v>
      </c>
      <c r="N13" s="47">
        <f>SUMIF('4.13'!$C$3:C60,B13,'4.13'!$I$3:I60)</f>
        <v>3</v>
      </c>
      <c r="O13" s="47">
        <f>SUMIF('4.16'!$C$3:D60,B13,'4.16'!$I$3:J60)</f>
        <v>4</v>
      </c>
      <c r="P13" s="47">
        <f>SUMIF('4.20'!$C$3:E60,B13,'4.20'!$I$3:K60)</f>
        <v>3</v>
      </c>
      <c r="Q13" s="47">
        <f>SUMIF('4.23'!$C$3:F60,B13,'4.23'!$I$3:L60)</f>
        <v>4</v>
      </c>
      <c r="R13" s="47">
        <f>SUMIF('4.27'!$C$3:G60,B13,'4.27'!$I$3:M60)</f>
        <v>3</v>
      </c>
      <c r="S13" s="47">
        <f>SUMIF('4.30'!$C$3:H60,B13,'4.30'!$I$3:N60)</f>
        <v>4</v>
      </c>
      <c r="T13" s="47"/>
      <c r="U13" s="47"/>
      <c r="V13" s="47"/>
      <c r="W13" s="47"/>
      <c r="X13" s="47"/>
      <c r="Y13" s="47"/>
      <c r="Z13" s="47"/>
      <c r="AA13" s="49"/>
      <c r="AB13" s="27">
        <f t="shared" si="0"/>
        <v>56</v>
      </c>
      <c r="AC13" s="37">
        <f t="shared" si="1"/>
        <v>44</v>
      </c>
    </row>
    <row r="14" customHeight="1" spans="1:30">
      <c r="A14" s="27">
        <v>11</v>
      </c>
      <c r="B14" s="46" t="s">
        <v>34</v>
      </c>
      <c r="C14" s="47">
        <v>100</v>
      </c>
      <c r="D14" s="47">
        <v>3</v>
      </c>
      <c r="E14" s="47">
        <v>4</v>
      </c>
      <c r="F14" s="47">
        <v>3</v>
      </c>
      <c r="G14" s="47">
        <v>4</v>
      </c>
      <c r="H14" s="47">
        <v>3</v>
      </c>
      <c r="I14" s="47">
        <v>4</v>
      </c>
      <c r="J14" s="47">
        <v>3</v>
      </c>
      <c r="K14" s="47">
        <v>4</v>
      </c>
      <c r="L14" s="47">
        <v>3</v>
      </c>
      <c r="M14" s="47">
        <v>4</v>
      </c>
      <c r="N14" s="47">
        <f>SUMIF('4.13'!$C$3:C61,B14,'4.13'!$I$3:I61)</f>
        <v>3</v>
      </c>
      <c r="O14" s="47">
        <f>SUMIF('4.16'!$C$3:D61,B14,'4.16'!$I$3:J61)</f>
        <v>4</v>
      </c>
      <c r="P14" s="47">
        <f>SUMIF('4.20'!$C$3:E61,B14,'4.20'!$I$3:K61)</f>
        <v>3</v>
      </c>
      <c r="Q14" s="47">
        <f>SUMIF('4.23'!$C$3:F61,B14,'4.23'!$I$3:L61)</f>
        <v>4</v>
      </c>
      <c r="R14" s="47">
        <f>SUMIF('4.27'!$C$3:G61,B14,'4.27'!$I$3:M61)</f>
        <v>3</v>
      </c>
      <c r="S14" s="47">
        <f>SUMIF('4.30'!$C$3:H61,B14,'4.30'!$I$3:N61)</f>
        <v>4</v>
      </c>
      <c r="T14" s="47"/>
      <c r="U14" s="47"/>
      <c r="V14" s="47"/>
      <c r="W14" s="47"/>
      <c r="X14" s="47"/>
      <c r="Y14" s="47"/>
      <c r="Z14" s="47"/>
      <c r="AA14" s="49"/>
      <c r="AB14" s="27">
        <f t="shared" si="0"/>
        <v>56</v>
      </c>
      <c r="AC14" s="37">
        <f t="shared" si="1"/>
        <v>44</v>
      </c>
    </row>
    <row r="15" customHeight="1" spans="1:30">
      <c r="A15" s="27">
        <v>12</v>
      </c>
      <c r="B15" s="46" t="s">
        <v>35</v>
      </c>
      <c r="C15" s="47">
        <v>100</v>
      </c>
      <c r="D15" s="47">
        <v>3</v>
      </c>
      <c r="E15" s="47">
        <v>4</v>
      </c>
      <c r="F15" s="47">
        <v>3</v>
      </c>
      <c r="G15" s="47">
        <v>4</v>
      </c>
      <c r="H15" s="47">
        <v>3</v>
      </c>
      <c r="I15" s="47">
        <v>4</v>
      </c>
      <c r="J15" s="47">
        <v>3</v>
      </c>
      <c r="K15" s="47">
        <v>4</v>
      </c>
      <c r="L15" s="47">
        <v>3</v>
      </c>
      <c r="M15" s="47">
        <v>4</v>
      </c>
      <c r="N15" s="47">
        <f>SUMIF('4.13'!$C$3:C62,B15,'4.13'!$I$3:I62)</f>
        <v>3</v>
      </c>
      <c r="O15" s="47">
        <f>SUMIF('4.16'!$C$3:D62,B15,'4.16'!$I$3:J62)</f>
        <v>4</v>
      </c>
      <c r="P15" s="47">
        <f>SUMIF('4.20'!$C$3:E62,B15,'4.20'!$I$3:K62)</f>
        <v>3</v>
      </c>
      <c r="Q15" s="47">
        <f>SUMIF('4.23'!$C$3:F62,B15,'4.23'!$I$3:L62)</f>
        <v>4</v>
      </c>
      <c r="R15" s="47">
        <f>SUMIF('4.27'!$C$3:G62,B15,'4.27'!$I$3:M62)</f>
        <v>3</v>
      </c>
      <c r="S15" s="47">
        <f>SUMIF('4.30'!$C$3:H62,B15,'4.30'!$I$3:N62)</f>
        <v>4</v>
      </c>
      <c r="T15" s="47"/>
      <c r="U15" s="47"/>
      <c r="V15" s="47"/>
      <c r="W15" s="47"/>
      <c r="X15" s="47"/>
      <c r="Y15" s="47"/>
      <c r="Z15" s="47"/>
      <c r="AA15" s="49"/>
      <c r="AB15" s="27">
        <f t="shared" si="0"/>
        <v>56</v>
      </c>
      <c r="AC15" s="37">
        <f t="shared" si="1"/>
        <v>44</v>
      </c>
    </row>
    <row r="16" customHeight="1" spans="1:30">
      <c r="A16" s="27">
        <v>13</v>
      </c>
      <c r="B16" s="46" t="s">
        <v>36</v>
      </c>
      <c r="C16" s="47">
        <v>100</v>
      </c>
      <c r="D16" s="50" t="s">
        <v>37</v>
      </c>
      <c r="E16" s="47"/>
      <c r="F16" s="47"/>
      <c r="G16" s="47"/>
      <c r="H16" s="10"/>
      <c r="I16" s="47"/>
      <c r="J16" s="47"/>
      <c r="K16" s="47"/>
      <c r="L16" s="47"/>
      <c r="M16" s="51"/>
      <c r="N16" s="47">
        <f>SUMIF('4.13'!$C$3:C63,B16,'4.13'!$I$3:I63)</f>
        <v>0</v>
      </c>
      <c r="O16" s="47">
        <f>SUMIF('4.16'!$C$3:D63,B16,'4.16'!$I$3:J63)</f>
        <v>0</v>
      </c>
      <c r="P16" s="47">
        <f>SUMIF('4.20'!$C$3:E63,B16,'4.20'!$I$3:K63)</f>
        <v>0</v>
      </c>
      <c r="Q16" s="47">
        <f>SUMIF('4.23'!$C$3:F63,B16,'4.23'!$I$3:L63)</f>
        <v>0</v>
      </c>
      <c r="R16" s="47">
        <f>SUMIF('4.27'!$C$3:G63,B16,'4.27'!$I$3:M63)</f>
        <v>0</v>
      </c>
      <c r="S16" s="47">
        <f>SUMIF('4.30'!$C$3:H63,B16,'4.30'!$I$3:N63)</f>
        <v>0</v>
      </c>
      <c r="T16" s="47"/>
      <c r="U16" s="47"/>
      <c r="V16" s="47"/>
      <c r="W16" s="47"/>
      <c r="X16" s="47"/>
      <c r="Y16" s="47"/>
      <c r="Z16" s="47"/>
      <c r="AA16" s="49"/>
      <c r="AB16" s="27">
        <f t="shared" si="0"/>
        <v>0</v>
      </c>
      <c r="AC16" s="37">
        <f t="shared" si="1"/>
        <v>100</v>
      </c>
    </row>
    <row r="17" customHeight="1" spans="1:29">
      <c r="A17" s="27">
        <v>14</v>
      </c>
      <c r="B17" s="46" t="s">
        <v>38</v>
      </c>
      <c r="C17" s="47">
        <v>100</v>
      </c>
      <c r="D17" s="47">
        <v>3</v>
      </c>
      <c r="E17" s="47">
        <v>4</v>
      </c>
      <c r="F17" s="47">
        <v>3</v>
      </c>
      <c r="G17" s="47">
        <v>4</v>
      </c>
      <c r="H17" s="47">
        <v>3</v>
      </c>
      <c r="I17" s="47">
        <v>4</v>
      </c>
      <c r="J17" s="47">
        <v>3</v>
      </c>
      <c r="K17" s="47">
        <v>4</v>
      </c>
      <c r="L17" s="47">
        <v>3</v>
      </c>
      <c r="M17" s="47">
        <v>4</v>
      </c>
      <c r="N17" s="47">
        <f>SUMIF('4.13'!$C$3:C64,B17,'4.13'!$I$3:I64)</f>
        <v>3</v>
      </c>
      <c r="O17" s="47">
        <f>SUMIF('4.16'!$C$3:D64,B17,'4.16'!$I$3:J64)</f>
        <v>4</v>
      </c>
      <c r="P17" s="47">
        <f>SUMIF('4.20'!$C$3:E64,B17,'4.20'!$I$3:K64)</f>
        <v>3</v>
      </c>
      <c r="Q17" s="47">
        <f>SUMIF('4.23'!$C$3:F64,B17,'4.23'!$I$3:L64)</f>
        <v>4</v>
      </c>
      <c r="R17" s="47">
        <f>SUMIF('4.27'!$C$3:G64,B17,'4.27'!$I$3:M64)</f>
        <v>3</v>
      </c>
      <c r="S17" s="47">
        <f>SUMIF('4.30'!$C$3:H64,B17,'4.30'!$I$3:N64)</f>
        <v>4</v>
      </c>
      <c r="T17" s="47"/>
      <c r="U17" s="47"/>
      <c r="V17" s="47"/>
      <c r="W17" s="47"/>
      <c r="X17" s="47"/>
      <c r="Y17" s="47"/>
      <c r="Z17" s="47"/>
      <c r="AA17" s="49"/>
      <c r="AB17" s="27">
        <f t="shared" si="0"/>
        <v>56</v>
      </c>
      <c r="AC17" s="37">
        <f t="shared" si="1"/>
        <v>44</v>
      </c>
    </row>
    <row r="18" customHeight="1" spans="1:29">
      <c r="A18" s="27">
        <v>15</v>
      </c>
      <c r="B18" s="31" t="s">
        <v>39</v>
      </c>
      <c r="C18" s="47">
        <v>100</v>
      </c>
      <c r="D18" s="47">
        <v>3</v>
      </c>
      <c r="E18" s="47">
        <v>4</v>
      </c>
      <c r="F18" s="47">
        <v>3</v>
      </c>
      <c r="G18" s="47">
        <v>4</v>
      </c>
      <c r="H18" s="47">
        <v>3</v>
      </c>
      <c r="I18" s="47">
        <v>4</v>
      </c>
      <c r="J18" s="47">
        <v>3</v>
      </c>
      <c r="K18" s="47">
        <v>4</v>
      </c>
      <c r="L18" s="47">
        <v>3</v>
      </c>
      <c r="M18" s="47">
        <v>4</v>
      </c>
      <c r="N18" s="47">
        <f>SUMIF('4.13'!$C$3:C65,B18,'4.13'!$I$3:I65)</f>
        <v>3</v>
      </c>
      <c r="O18" s="47">
        <f>SUMIF('4.16'!$C$3:D65,B18,'4.16'!$I$3:J65)</f>
        <v>4</v>
      </c>
      <c r="P18" s="47">
        <f>SUMIF('4.20'!$C$3:E65,B18,'4.20'!$I$3:K65)</f>
        <v>3</v>
      </c>
      <c r="Q18" s="47">
        <f>SUMIF('4.23'!$C$3:F65,B18,'4.23'!$I$3:L65)</f>
        <v>4</v>
      </c>
      <c r="R18" s="47">
        <f>SUMIF('4.27'!$C$3:G65,B18,'4.27'!$I$3:M65)</f>
        <v>3</v>
      </c>
      <c r="S18" s="47">
        <f>SUMIF('4.30'!$C$3:H65,B18,'4.30'!$I$3:N65)</f>
        <v>4</v>
      </c>
      <c r="T18" s="47"/>
      <c r="U18" s="47"/>
      <c r="V18" s="47"/>
      <c r="W18" s="47"/>
      <c r="X18" s="47"/>
      <c r="Y18" s="47"/>
      <c r="Z18" s="47"/>
      <c r="AA18" s="49"/>
      <c r="AB18" s="27">
        <f t="shared" si="0"/>
        <v>56</v>
      </c>
      <c r="AC18" s="37">
        <f t="shared" si="1"/>
        <v>44</v>
      </c>
    </row>
    <row r="19" customHeight="1" spans="1:29">
      <c r="A19" s="27">
        <v>16</v>
      </c>
      <c r="B19" s="12" t="s">
        <v>40</v>
      </c>
      <c r="C19" s="47">
        <v>100</v>
      </c>
      <c r="D19" s="47">
        <v>0</v>
      </c>
      <c r="E19" s="47">
        <v>7</v>
      </c>
      <c r="F19" s="47">
        <v>3</v>
      </c>
      <c r="G19" s="47">
        <v>4</v>
      </c>
      <c r="H19" s="47">
        <v>3</v>
      </c>
      <c r="I19" s="47">
        <v>4</v>
      </c>
      <c r="J19" s="47">
        <v>3</v>
      </c>
      <c r="K19" s="47">
        <v>4</v>
      </c>
      <c r="L19" s="47">
        <v>3</v>
      </c>
      <c r="M19" s="47">
        <v>4</v>
      </c>
      <c r="N19" s="47">
        <f>SUMIF('4.13'!$C$3:C66,B19,'4.13'!$I$3:I66)</f>
        <v>3</v>
      </c>
      <c r="O19" s="47">
        <f>SUMIF('4.16'!$C$3:D66,B19,'4.16'!$I$3:J66)</f>
        <v>4</v>
      </c>
      <c r="P19" s="47">
        <f>SUMIF('4.20'!$C$3:E66,B19,'4.20'!$I$3:K66)</f>
        <v>3</v>
      </c>
      <c r="Q19" s="47">
        <f>SUMIF('4.23'!$C$3:F66,B19,'4.23'!$I$3:L66)</f>
        <v>4</v>
      </c>
      <c r="R19" s="47">
        <f>SUMIF('4.27'!$C$3:G66,B19,'4.27'!$I$3:M66)</f>
        <v>3</v>
      </c>
      <c r="S19" s="47">
        <f>SUMIF('4.30'!$C$3:H66,B19,'4.30'!$I$3:N66)</f>
        <v>4</v>
      </c>
      <c r="T19" s="47"/>
      <c r="U19" s="47"/>
      <c r="V19" s="47"/>
      <c r="W19" s="47"/>
      <c r="X19" s="47"/>
      <c r="Y19" s="47"/>
      <c r="Z19" s="47"/>
      <c r="AA19" s="49"/>
      <c r="AB19" s="27">
        <f t="shared" si="0"/>
        <v>56</v>
      </c>
      <c r="AC19" s="37">
        <f t="shared" si="1"/>
        <v>44</v>
      </c>
    </row>
    <row r="20" ht="24" customHeight="1" spans="1:29">
      <c r="A20" s="27">
        <v>17</v>
      </c>
      <c r="B20" s="25" t="s">
        <v>42</v>
      </c>
      <c r="C20" s="47">
        <v>100</v>
      </c>
      <c r="D20" s="47">
        <v>0</v>
      </c>
      <c r="E20" s="47">
        <v>0</v>
      </c>
      <c r="F20" s="47">
        <v>6</v>
      </c>
      <c r="G20" s="47">
        <v>8</v>
      </c>
      <c r="H20" s="47">
        <v>3</v>
      </c>
      <c r="I20" s="47">
        <v>4</v>
      </c>
      <c r="J20" s="47">
        <v>3</v>
      </c>
      <c r="K20" s="47">
        <v>4</v>
      </c>
      <c r="L20" s="47">
        <v>3</v>
      </c>
      <c r="M20" s="47">
        <v>4</v>
      </c>
      <c r="N20" s="47">
        <f>SUMIF('4.13'!$C$3:C67,B20,'4.13'!$I$3:I67)</f>
        <v>3</v>
      </c>
      <c r="O20" s="47">
        <f>SUMIF('4.16'!$C$3:D67,B20,'4.16'!$I$3:J67)</f>
        <v>4</v>
      </c>
      <c r="P20" s="47">
        <f>SUMIF('4.20'!$C$3:E67,B20,'4.20'!$I$3:K67)</f>
        <v>3</v>
      </c>
      <c r="Q20" s="47">
        <f>SUMIF('4.23'!$C$3:F67,B20,'4.23'!$I$3:L67)</f>
        <v>4</v>
      </c>
      <c r="R20" s="47">
        <f>SUMIF('4.27'!$C$3:G67,B20,'4.27'!$I$3:M67)</f>
        <v>3</v>
      </c>
      <c r="S20" s="47">
        <f>SUMIF('4.30'!$C$3:H67,B20,'4.30'!$I$3:N67)</f>
        <v>4</v>
      </c>
      <c r="T20" s="47"/>
      <c r="U20" s="47"/>
      <c r="V20" s="47"/>
      <c r="W20" s="47"/>
      <c r="X20" s="47"/>
      <c r="Y20" s="47"/>
      <c r="Z20" s="47"/>
      <c r="AA20" s="49"/>
      <c r="AB20" s="27">
        <f t="shared" si="0"/>
        <v>56</v>
      </c>
      <c r="AC20" s="37">
        <f t="shared" si="1"/>
        <v>44</v>
      </c>
    </row>
    <row r="21" customHeight="1" spans="1:29">
      <c r="A21" s="27">
        <v>18</v>
      </c>
      <c r="B21" s="10" t="s">
        <v>62</v>
      </c>
      <c r="C21" s="47">
        <v>100</v>
      </c>
      <c r="D21" s="47"/>
      <c r="E21" s="47"/>
      <c r="F21" s="47"/>
      <c r="G21" s="47"/>
      <c r="H21" s="47"/>
      <c r="I21" s="47">
        <v>8</v>
      </c>
      <c r="J21" s="47">
        <v>6</v>
      </c>
      <c r="K21" s="47">
        <v>8</v>
      </c>
      <c r="L21" s="47">
        <v>6</v>
      </c>
      <c r="M21" s="47">
        <v>7</v>
      </c>
      <c r="N21" s="47">
        <f>SUMIF('4.13'!$C$3:C68,B21,'4.13'!$I$3:I68)</f>
        <v>3</v>
      </c>
      <c r="O21" s="47">
        <f>SUMIF('4.16'!$C$3:D68,B21,'4.16'!$I$3:J68)</f>
        <v>4</v>
      </c>
      <c r="P21" s="47">
        <f>SUMIF('4.20'!$C$3:E68,B21,'4.20'!$I$3:K68)</f>
        <v>3</v>
      </c>
      <c r="Q21" s="47">
        <f>SUMIF('4.23'!$C$3:F68,B21,'4.23'!$I$3:L68)</f>
        <v>4</v>
      </c>
      <c r="R21" s="47">
        <f>SUMIF('4.27'!$C$3:G68,B21,'4.27'!$I$3:M68)</f>
        <v>3</v>
      </c>
      <c r="S21" s="47">
        <f>SUMIF('4.30'!$C$3:H68,B21,'4.30'!$I$3:N68)</f>
        <v>4</v>
      </c>
      <c r="T21" s="47"/>
      <c r="U21" s="47"/>
      <c r="V21" s="47"/>
      <c r="W21" s="47"/>
      <c r="X21" s="47"/>
      <c r="Y21" s="47"/>
      <c r="Z21" s="47"/>
      <c r="AA21" s="49"/>
      <c r="AB21" s="27">
        <f t="shared" si="0"/>
        <v>56</v>
      </c>
      <c r="AC21" s="37">
        <f t="shared" si="1"/>
        <v>44</v>
      </c>
    </row>
    <row r="22" customHeight="1" spans="1:29">
      <c r="A22" s="27">
        <v>19</v>
      </c>
      <c r="B22" s="10" t="s">
        <v>44</v>
      </c>
      <c r="C22" s="47">
        <v>100</v>
      </c>
      <c r="D22" s="47"/>
      <c r="E22" s="47"/>
      <c r="F22" s="47"/>
      <c r="G22" s="47"/>
      <c r="H22" s="47"/>
      <c r="I22" s="47"/>
      <c r="J22" s="47"/>
      <c r="K22" s="47">
        <v>6</v>
      </c>
      <c r="L22" s="47">
        <v>5</v>
      </c>
      <c r="M22" s="47">
        <v>6</v>
      </c>
      <c r="N22" s="47">
        <f>SUMIF('4.13'!$C$3:C69,B22,'4.13'!$I$3:I69)</f>
        <v>5</v>
      </c>
      <c r="O22" s="47">
        <f>SUMIF('4.16'!$C$3:D69,B22,'4.16'!$I$3:J69)</f>
        <v>6</v>
      </c>
      <c r="P22" s="47">
        <f>SUMIF('4.20'!$C$3:E69,B22,'4.20'!$I$3:K69)</f>
        <v>3</v>
      </c>
      <c r="Q22" s="47">
        <f>SUMIF('4.23'!$C$3:F69,B22,'4.23'!$I$3:L69)</f>
        <v>4</v>
      </c>
      <c r="R22" s="47">
        <f>SUMIF('4.27'!$C$3:G69,B22,'4.27'!$I$3:M69)</f>
        <v>3</v>
      </c>
      <c r="S22" s="47">
        <f>SUMIF('4.30'!$C$3:H69,B22,'4.30'!$I$3:N69)</f>
        <v>4</v>
      </c>
      <c r="T22" s="47"/>
      <c r="U22" s="47"/>
      <c r="V22" s="47"/>
      <c r="W22" s="47"/>
      <c r="X22" s="47"/>
      <c r="Y22" s="47"/>
      <c r="Z22" s="47"/>
      <c r="AA22" s="49"/>
      <c r="AB22" s="27">
        <f t="shared" si="0"/>
        <v>42</v>
      </c>
      <c r="AC22" s="37">
        <f t="shared" si="1"/>
        <v>58</v>
      </c>
    </row>
    <row r="23" customHeight="1" spans="1:29">
      <c r="A23" s="27">
        <v>20</v>
      </c>
      <c r="B23" s="52"/>
      <c r="C23" s="47"/>
      <c r="D23" s="47">
        <f t="shared" ref="D23:I23" si="2">SUM(D3:D22)</f>
        <v>42</v>
      </c>
      <c r="E23" s="47">
        <f t="shared" si="2"/>
        <v>67</v>
      </c>
      <c r="F23" s="47">
        <f t="shared" si="2"/>
        <v>57</v>
      </c>
      <c r="G23" s="47">
        <f t="shared" si="2"/>
        <v>72</v>
      </c>
      <c r="H23" s="47">
        <f t="shared" si="2"/>
        <v>51</v>
      </c>
      <c r="I23" s="47">
        <f t="shared" si="2"/>
        <v>76</v>
      </c>
      <c r="J23" s="47">
        <f t="shared" ref="J23:T23" si="3">SUM(J3:J22)</f>
        <v>57</v>
      </c>
      <c r="K23" s="47">
        <f t="shared" si="3"/>
        <v>82</v>
      </c>
      <c r="L23" s="47">
        <f t="shared" si="3"/>
        <v>62</v>
      </c>
      <c r="M23" s="47">
        <f t="shared" si="3"/>
        <v>81</v>
      </c>
      <c r="N23" s="47">
        <f t="shared" si="3"/>
        <v>59</v>
      </c>
      <c r="O23" s="47">
        <f t="shared" si="3"/>
        <v>78</v>
      </c>
      <c r="P23" s="47">
        <f t="shared" si="3"/>
        <v>57</v>
      </c>
      <c r="Q23" s="47">
        <f t="shared" si="3"/>
        <v>76</v>
      </c>
      <c r="R23" s="47">
        <f t="shared" si="3"/>
        <v>57</v>
      </c>
      <c r="S23" s="47">
        <f t="shared" si="3"/>
        <v>76</v>
      </c>
      <c r="T23" s="47">
        <f t="shared" si="3"/>
        <v>0</v>
      </c>
      <c r="U23" s="47"/>
      <c r="V23" s="47"/>
      <c r="W23" s="47"/>
      <c r="X23" s="47"/>
      <c r="Y23" s="47"/>
      <c r="Z23" s="47"/>
      <c r="AA23" s="49"/>
      <c r="AB23" s="27"/>
      <c r="AC23" s="37"/>
    </row>
    <row r="24" customHeight="1" spans="1:29">
      <c r="A24" s="27">
        <v>21</v>
      </c>
      <c r="B24" s="52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9"/>
      <c r="AB24" s="27">
        <f t="shared" si="0"/>
        <v>0</v>
      </c>
      <c r="AC24" s="37"/>
    </row>
    <row r="25" customHeight="1" spans="1:29">
      <c r="A25" s="27">
        <v>22</v>
      </c>
      <c r="B25" s="52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9"/>
      <c r="AB25" s="27">
        <f t="shared" si="0"/>
        <v>0</v>
      </c>
      <c r="AC25" s="37"/>
    </row>
    <row r="26" customHeight="1" spans="1:29">
      <c r="A26" s="27">
        <v>23</v>
      </c>
      <c r="B26" s="53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9"/>
      <c r="AB26" s="27">
        <f t="shared" si="0"/>
        <v>0</v>
      </c>
      <c r="AC26" s="37"/>
    </row>
    <row r="27" customHeight="1" spans="1:29">
      <c r="A27" s="27">
        <v>24</v>
      </c>
      <c r="B27" s="53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9"/>
      <c r="AB27" s="27">
        <f t="shared" si="0"/>
        <v>0</v>
      </c>
      <c r="AC27" s="37"/>
    </row>
    <row r="28" customHeight="1" spans="1:29">
      <c r="A28" s="54">
        <v>25</v>
      </c>
      <c r="B28" s="55"/>
      <c r="C28" s="56"/>
      <c r="D28" s="57"/>
      <c r="E28" s="57"/>
      <c r="F28" s="57"/>
      <c r="G28" s="57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7"/>
      <c r="AB28" s="27">
        <f t="shared" si="0"/>
        <v>0</v>
      </c>
      <c r="AC28" s="37"/>
    </row>
    <row r="29" customHeight="1" spans="1:29">
      <c r="A29" s="27">
        <v>26</v>
      </c>
      <c r="B29" s="53"/>
      <c r="C29" s="47"/>
      <c r="D29" s="49"/>
      <c r="E29" s="49"/>
      <c r="F29" s="49"/>
      <c r="G29" s="49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56"/>
      <c r="S29" s="56"/>
      <c r="T29" s="56"/>
      <c r="U29" s="56"/>
      <c r="V29" s="56"/>
      <c r="W29" s="56"/>
      <c r="X29" s="56"/>
      <c r="Y29" s="56"/>
      <c r="Z29" s="56"/>
      <c r="AA29" s="49"/>
      <c r="AB29" s="27">
        <f t="shared" si="0"/>
        <v>0</v>
      </c>
      <c r="AC29" s="37"/>
    </row>
    <row r="30" customHeight="1" spans="1:29">
      <c r="A30" s="27">
        <v>27</v>
      </c>
      <c r="B30" s="53"/>
      <c r="C30" s="47"/>
      <c r="D30" s="49"/>
      <c r="E30" s="49"/>
      <c r="F30" s="49"/>
      <c r="G30" s="49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56"/>
      <c r="S30" s="56"/>
      <c r="T30" s="56"/>
      <c r="U30" s="56"/>
      <c r="V30" s="56"/>
      <c r="W30" s="56"/>
      <c r="X30" s="56"/>
      <c r="Y30" s="56"/>
      <c r="Z30" s="56"/>
      <c r="AA30" s="49"/>
      <c r="AB30" s="27">
        <f t="shared" si="0"/>
        <v>0</v>
      </c>
      <c r="AC30" s="37"/>
    </row>
    <row r="31" customHeight="1" spans="1:29">
      <c r="A31" s="27">
        <v>28</v>
      </c>
      <c r="B31" s="53"/>
      <c r="C31" s="47"/>
      <c r="D31" s="49"/>
      <c r="E31" s="49"/>
      <c r="F31" s="49"/>
      <c r="G31" s="49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9"/>
      <c r="AB31" s="27">
        <f t="shared" si="0"/>
        <v>0</v>
      </c>
      <c r="AC31" s="37"/>
    </row>
    <row r="32" customHeight="1" spans="1:29">
      <c r="A32" s="27">
        <v>29</v>
      </c>
      <c r="B32" s="53"/>
      <c r="C32" s="47"/>
      <c r="D32" s="49"/>
      <c r="E32" s="49"/>
      <c r="F32" s="49"/>
      <c r="G32" s="49"/>
      <c r="H32" s="49"/>
      <c r="I32" s="49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9"/>
      <c r="AB32" s="27">
        <f t="shared" si="0"/>
        <v>0</v>
      </c>
      <c r="AC32" s="37"/>
    </row>
    <row r="33" customHeight="1" spans="1:29">
      <c r="A33" s="27">
        <v>30</v>
      </c>
      <c r="B33" s="53"/>
      <c r="C33" s="47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27">
        <f t="shared" si="0"/>
        <v>0</v>
      </c>
      <c r="AC33" s="37"/>
    </row>
    <row r="34" customHeight="1" spans="1:29">
      <c r="A34" s="49"/>
      <c r="B34" s="58"/>
      <c r="C34" s="58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</row>
    <row r="35" customHeight="1" spans="1:29">
      <c r="A35" s="49"/>
      <c r="B35" s="58"/>
      <c r="C35" s="58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</row>
    <row r="36" customHeight="1" spans="1:29">
      <c r="A36" s="49"/>
      <c r="B36" s="58"/>
      <c r="C36" s="58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</row>
  </sheetData>
  <mergeCells count="1">
    <mergeCell ref="A1:AB1"/>
  </mergeCells>
  <pageMargins left="0.75" right="0.75" top="1" bottom="1" header="0.5" footer="0.5"/>
  <pageSetup paperSize="256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C20" sqref="C20:F20"/>
    </sheetView>
  </sheetViews>
  <sheetFormatPr defaultColWidth="9.14285714285714" defaultRowHeight="12" outlineLevelCol="6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7">
      <c r="A1" s="2" t="s">
        <v>63</v>
      </c>
      <c r="B1" s="2"/>
      <c r="C1" s="2"/>
      <c r="D1" s="2"/>
      <c r="E1" s="2"/>
      <c r="F1" s="3"/>
      <c r="G1" s="4"/>
    </row>
    <row r="2" s="1" customFormat="1" ht="32" customHeight="1" spans="1:7">
      <c r="A2" s="5" t="s">
        <v>2</v>
      </c>
      <c r="B2" s="5" t="s">
        <v>50</v>
      </c>
      <c r="C2" s="5" t="s">
        <v>3</v>
      </c>
      <c r="D2" s="6" t="s">
        <v>64</v>
      </c>
      <c r="E2" s="7" t="s">
        <v>65</v>
      </c>
      <c r="F2" s="7" t="s">
        <v>66</v>
      </c>
      <c r="G2" s="7" t="s">
        <v>7</v>
      </c>
    </row>
    <row r="3" ht="22" customHeight="1" spans="1:7">
      <c r="A3" s="8">
        <v>1</v>
      </c>
      <c r="B3" s="9">
        <v>46090</v>
      </c>
      <c r="C3" s="28" t="s">
        <v>16</v>
      </c>
      <c r="D3" s="26" t="s">
        <v>67</v>
      </c>
      <c r="E3" s="29"/>
      <c r="F3" s="28">
        <v>3</v>
      </c>
      <c r="G3" s="29"/>
    </row>
    <row r="4" ht="22" customHeight="1" spans="1:7">
      <c r="A4" s="8">
        <v>2</v>
      </c>
      <c r="B4" s="9">
        <v>46090</v>
      </c>
      <c r="C4" s="30" t="s">
        <v>19</v>
      </c>
      <c r="D4" s="26" t="s">
        <v>67</v>
      </c>
      <c r="E4" s="29"/>
      <c r="F4" s="28">
        <v>3</v>
      </c>
      <c r="G4" s="29"/>
    </row>
    <row r="5" ht="22" customHeight="1" spans="1:7">
      <c r="A5" s="8">
        <v>3</v>
      </c>
      <c r="B5" s="9">
        <v>46090</v>
      </c>
      <c r="C5" s="28" t="s">
        <v>21</v>
      </c>
      <c r="D5" s="26" t="s">
        <v>67</v>
      </c>
      <c r="E5" s="29"/>
      <c r="F5" s="28">
        <v>3</v>
      </c>
      <c r="G5" s="29"/>
    </row>
    <row r="6" ht="22" customHeight="1" spans="1:7">
      <c r="A6" s="8">
        <v>4</v>
      </c>
      <c r="B6" s="9">
        <v>46090</v>
      </c>
      <c r="C6" s="28" t="s">
        <v>23</v>
      </c>
      <c r="D6" s="26" t="s">
        <v>67</v>
      </c>
      <c r="E6" s="28">
        <v>2</v>
      </c>
      <c r="F6" s="28">
        <v>1</v>
      </c>
      <c r="G6" s="28" t="s">
        <v>68</v>
      </c>
    </row>
    <row r="7" ht="22" customHeight="1" spans="1:7">
      <c r="A7" s="8">
        <v>5</v>
      </c>
      <c r="B7" s="9">
        <v>46090</v>
      </c>
      <c r="C7" s="28" t="s">
        <v>25</v>
      </c>
      <c r="D7" s="26" t="s">
        <v>67</v>
      </c>
      <c r="E7" s="29"/>
      <c r="F7" s="28">
        <v>3</v>
      </c>
      <c r="G7" s="29"/>
    </row>
    <row r="8" ht="22" customHeight="1" spans="1:7">
      <c r="A8" s="8">
        <v>6</v>
      </c>
      <c r="B8" s="9">
        <v>46090</v>
      </c>
      <c r="C8" s="28" t="s">
        <v>27</v>
      </c>
      <c r="D8" s="26" t="s">
        <v>67</v>
      </c>
      <c r="E8" s="29"/>
      <c r="F8" s="28">
        <v>3</v>
      </c>
      <c r="G8" s="29"/>
    </row>
    <row r="9" ht="22" customHeight="1" spans="1:7">
      <c r="A9" s="8">
        <v>7</v>
      </c>
      <c r="B9" s="9">
        <v>46090</v>
      </c>
      <c r="C9" s="28" t="s">
        <v>29</v>
      </c>
      <c r="D9" s="26" t="s">
        <v>67</v>
      </c>
      <c r="E9" s="28">
        <v>2</v>
      </c>
      <c r="F9" s="28">
        <v>1</v>
      </c>
      <c r="G9" s="29"/>
    </row>
    <row r="10" ht="22" customHeight="1" spans="1:7">
      <c r="A10" s="8">
        <v>8</v>
      </c>
      <c r="B10" s="9">
        <v>46090</v>
      </c>
      <c r="C10" s="28" t="s">
        <v>31</v>
      </c>
      <c r="D10" s="26" t="s">
        <v>67</v>
      </c>
      <c r="E10" s="28">
        <v>2</v>
      </c>
      <c r="F10" s="28">
        <v>1</v>
      </c>
      <c r="G10" s="29"/>
    </row>
    <row r="11" customFormat="1" ht="22" customHeight="1" spans="1:7">
      <c r="A11" s="8">
        <v>9</v>
      </c>
      <c r="B11" s="9">
        <v>46090</v>
      </c>
      <c r="C11" s="28" t="s">
        <v>32</v>
      </c>
      <c r="D11" s="26" t="s">
        <v>67</v>
      </c>
      <c r="E11" s="28">
        <v>2</v>
      </c>
      <c r="F11" s="28">
        <v>1</v>
      </c>
      <c r="G11" s="29"/>
    </row>
    <row r="12" customFormat="1" ht="22" customHeight="1" spans="1:7">
      <c r="A12" s="8">
        <v>10</v>
      </c>
      <c r="B12" s="9">
        <v>46090</v>
      </c>
      <c r="C12" s="28" t="s">
        <v>33</v>
      </c>
      <c r="D12" s="26" t="s">
        <v>67</v>
      </c>
      <c r="E12" s="28">
        <v>3</v>
      </c>
      <c r="F12" s="29"/>
      <c r="G12" s="29"/>
    </row>
    <row r="13" customFormat="1" ht="22" customHeight="1" spans="1:7">
      <c r="A13" s="8">
        <v>11</v>
      </c>
      <c r="B13" s="9">
        <v>46090</v>
      </c>
      <c r="C13" s="28" t="s">
        <v>34</v>
      </c>
      <c r="D13" s="26" t="s">
        <v>67</v>
      </c>
      <c r="E13" s="29"/>
      <c r="F13" s="28">
        <v>3</v>
      </c>
      <c r="G13" s="29"/>
    </row>
    <row r="14" customFormat="1" ht="22" customHeight="1" spans="1:7">
      <c r="A14" s="8">
        <v>12</v>
      </c>
      <c r="B14" s="9">
        <v>46090</v>
      </c>
      <c r="C14" s="28" t="s">
        <v>35</v>
      </c>
      <c r="D14" s="26" t="s">
        <v>67</v>
      </c>
      <c r="E14" s="28">
        <v>3</v>
      </c>
      <c r="F14" s="29"/>
      <c r="G14" s="29"/>
    </row>
    <row r="15" customFormat="1" ht="22" customHeight="1" spans="1:7">
      <c r="A15" s="8">
        <v>13</v>
      </c>
      <c r="B15" s="9">
        <v>46090</v>
      </c>
      <c r="C15" s="28" t="s">
        <v>38</v>
      </c>
      <c r="D15" s="26" t="s">
        <v>67</v>
      </c>
      <c r="E15" s="29"/>
      <c r="F15" s="28">
        <v>3</v>
      </c>
      <c r="G15" s="29"/>
    </row>
    <row r="16" customFormat="1" ht="22" customHeight="1" spans="1:7">
      <c r="A16" s="8">
        <v>14</v>
      </c>
      <c r="B16" s="9">
        <v>46090</v>
      </c>
      <c r="C16" s="31" t="s">
        <v>39</v>
      </c>
      <c r="D16" s="26" t="s">
        <v>67</v>
      </c>
      <c r="E16" s="28">
        <v>3</v>
      </c>
      <c r="F16" s="32"/>
      <c r="G16" s="33"/>
    </row>
    <row r="17" customFormat="1" ht="22" customHeight="1" spans="1:7">
      <c r="A17" s="8"/>
      <c r="B17" s="22"/>
      <c r="C17" s="23"/>
      <c r="D17" s="24"/>
      <c r="E17" s="19"/>
      <c r="F17" s="16"/>
      <c r="G17" s="16"/>
    </row>
    <row r="18" ht="13.5" spans="1:7">
      <c r="E18" s="34">
        <f>SUM(E3:E17)</f>
        <v>17</v>
      </c>
      <c r="F18" s="34">
        <f>SUM(F3:F17)</f>
        <v>25</v>
      </c>
    </row>
    <row r="19" ht="13.5" spans="1:7">
      <c r="C19" s="25" t="s">
        <v>42</v>
      </c>
      <c r="D19" s="26" t="s">
        <v>67</v>
      </c>
      <c r="F19" s="28">
        <v>3</v>
      </c>
      <c r="G19" t="s">
        <v>43</v>
      </c>
    </row>
    <row r="20" customFormat="1" ht="14.25" spans="1:7">
      <c r="C20" s="10" t="s">
        <v>54</v>
      </c>
      <c r="D20" s="26" t="s">
        <v>67</v>
      </c>
      <c r="E20">
        <v>1</v>
      </c>
      <c r="F20">
        <v>2</v>
      </c>
      <c r="G20" t="s">
        <v>69</v>
      </c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workbookViewId="0">
      <selection activeCell="E19" sqref="E19:F19"/>
    </sheetView>
  </sheetViews>
  <sheetFormatPr defaultColWidth="9.14285714285714" defaultRowHeight="12" outlineLevelCol="6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7">
      <c r="A1" s="2" t="s">
        <v>63</v>
      </c>
      <c r="B1" s="2"/>
      <c r="C1" s="2"/>
      <c r="D1" s="2"/>
      <c r="E1" s="2"/>
      <c r="F1" s="3"/>
      <c r="G1" s="4"/>
    </row>
    <row r="2" s="1" customFormat="1" ht="32" customHeight="1" spans="1:7">
      <c r="A2" s="5" t="s">
        <v>2</v>
      </c>
      <c r="B2" s="5" t="s">
        <v>50</v>
      </c>
      <c r="C2" s="5" t="s">
        <v>3</v>
      </c>
      <c r="D2" s="6" t="s">
        <v>64</v>
      </c>
      <c r="E2" s="7" t="s">
        <v>65</v>
      </c>
      <c r="F2" s="7" t="s">
        <v>66</v>
      </c>
      <c r="G2" s="7" t="s">
        <v>7</v>
      </c>
    </row>
    <row r="3" ht="22" customHeight="1" spans="1:7">
      <c r="A3" s="8">
        <v>1</v>
      </c>
      <c r="B3" s="9">
        <v>46093</v>
      </c>
      <c r="C3" s="10" t="s">
        <v>16</v>
      </c>
      <c r="D3" s="11" t="s">
        <v>70</v>
      </c>
      <c r="E3" s="12"/>
      <c r="F3" s="10">
        <v>4</v>
      </c>
      <c r="G3" s="12"/>
    </row>
    <row r="4" ht="22" customHeight="1" spans="1:7">
      <c r="A4" s="8">
        <v>2</v>
      </c>
      <c r="B4" s="9">
        <v>46093</v>
      </c>
      <c r="C4" s="13" t="s">
        <v>19</v>
      </c>
      <c r="D4" s="11" t="s">
        <v>70</v>
      </c>
      <c r="E4" s="12"/>
      <c r="F4" s="10">
        <v>4</v>
      </c>
      <c r="G4" s="12"/>
    </row>
    <row r="5" ht="22" customHeight="1" spans="1:7">
      <c r="A5" s="8">
        <v>3</v>
      </c>
      <c r="B5" s="9">
        <v>46093</v>
      </c>
      <c r="C5" s="10" t="s">
        <v>21</v>
      </c>
      <c r="D5" s="11" t="s">
        <v>70</v>
      </c>
      <c r="E5" s="12"/>
      <c r="F5" s="10">
        <v>4</v>
      </c>
      <c r="G5" s="12"/>
    </row>
    <row r="6" ht="22" customHeight="1" spans="1:7">
      <c r="A6" s="8">
        <v>4</v>
      </c>
      <c r="B6" s="9">
        <v>46093</v>
      </c>
      <c r="C6" s="10" t="s">
        <v>53</v>
      </c>
      <c r="D6" s="11" t="s">
        <v>70</v>
      </c>
      <c r="E6" s="10">
        <v>4</v>
      </c>
      <c r="F6" s="10"/>
      <c r="G6" s="10"/>
    </row>
    <row r="7" ht="22" customHeight="1" spans="1:7">
      <c r="A7" s="8">
        <v>5</v>
      </c>
      <c r="B7" s="9">
        <v>46093</v>
      </c>
      <c r="C7" s="10" t="s">
        <v>54</v>
      </c>
      <c r="D7" s="11" t="s">
        <v>70</v>
      </c>
      <c r="E7" s="10"/>
      <c r="F7" s="10">
        <v>4</v>
      </c>
      <c r="G7" s="10"/>
    </row>
    <row r="8" ht="22" customHeight="1" spans="1:7">
      <c r="A8" s="8">
        <v>6</v>
      </c>
      <c r="B8" s="9">
        <v>46093</v>
      </c>
      <c r="C8" s="10" t="s">
        <v>25</v>
      </c>
      <c r="D8" s="11" t="s">
        <v>70</v>
      </c>
      <c r="E8" s="12"/>
      <c r="F8" s="10">
        <v>4</v>
      </c>
      <c r="G8" s="12"/>
    </row>
    <row r="9" ht="22" customHeight="1" spans="1:7">
      <c r="A9" s="8">
        <v>7</v>
      </c>
      <c r="B9" s="9">
        <v>46093</v>
      </c>
      <c r="C9" s="10" t="s">
        <v>27</v>
      </c>
      <c r="D9" s="11" t="s">
        <v>70</v>
      </c>
      <c r="E9" s="12"/>
      <c r="F9" s="10">
        <v>4</v>
      </c>
      <c r="G9" s="12"/>
    </row>
    <row r="10" ht="22" customHeight="1" spans="1:7">
      <c r="A10" s="8">
        <v>8</v>
      </c>
      <c r="B10" s="9">
        <v>46093</v>
      </c>
      <c r="C10" s="10" t="s">
        <v>29</v>
      </c>
      <c r="D10" s="11" t="s">
        <v>70</v>
      </c>
      <c r="E10" s="10">
        <v>2</v>
      </c>
      <c r="F10" s="10">
        <v>2</v>
      </c>
      <c r="G10" s="12"/>
    </row>
    <row r="11" ht="22" customHeight="1" spans="1:7">
      <c r="A11" s="8">
        <v>9</v>
      </c>
      <c r="B11" s="9">
        <v>46093</v>
      </c>
      <c r="C11" s="10" t="s">
        <v>31</v>
      </c>
      <c r="D11" s="11" t="s">
        <v>70</v>
      </c>
      <c r="E11" s="10">
        <v>2</v>
      </c>
      <c r="F11" s="10">
        <v>2</v>
      </c>
      <c r="G11" s="12"/>
    </row>
    <row r="12" customFormat="1" ht="22" customHeight="1" spans="1:7">
      <c r="A12" s="8">
        <v>10</v>
      </c>
      <c r="B12" s="9">
        <v>46093</v>
      </c>
      <c r="C12" s="10" t="s">
        <v>32</v>
      </c>
      <c r="D12" s="11" t="s">
        <v>70</v>
      </c>
      <c r="E12" s="10">
        <v>2</v>
      </c>
      <c r="F12" s="10">
        <v>2</v>
      </c>
      <c r="G12" s="12"/>
    </row>
    <row r="13" customFormat="1" ht="22" customHeight="1" spans="1:7">
      <c r="A13" s="8">
        <v>11</v>
      </c>
      <c r="B13" s="9">
        <v>46093</v>
      </c>
      <c r="C13" s="10" t="s">
        <v>33</v>
      </c>
      <c r="D13" s="11" t="s">
        <v>70</v>
      </c>
      <c r="E13" s="10">
        <v>4</v>
      </c>
      <c r="F13" s="12"/>
      <c r="G13" s="12"/>
    </row>
    <row r="14" customFormat="1" ht="22" customHeight="1" spans="1:7">
      <c r="A14" s="8">
        <v>12</v>
      </c>
      <c r="B14" s="9">
        <v>46093</v>
      </c>
      <c r="C14" s="10" t="s">
        <v>34</v>
      </c>
      <c r="D14" s="11" t="s">
        <v>70</v>
      </c>
      <c r="E14" s="12"/>
      <c r="F14" s="10">
        <v>4</v>
      </c>
      <c r="G14" s="12"/>
    </row>
    <row r="15" customFormat="1" ht="22" customHeight="1" spans="1:7">
      <c r="A15" s="8">
        <v>13</v>
      </c>
      <c r="B15" s="9">
        <v>46093</v>
      </c>
      <c r="C15" s="10" t="s">
        <v>35</v>
      </c>
      <c r="D15" s="11" t="s">
        <v>70</v>
      </c>
      <c r="E15" s="10">
        <v>4</v>
      </c>
      <c r="F15" s="12"/>
      <c r="G15" s="12"/>
    </row>
    <row r="16" customFormat="1" ht="22" customHeight="1" spans="1:7">
      <c r="A16" s="8">
        <v>14</v>
      </c>
      <c r="B16" s="9">
        <v>46093</v>
      </c>
      <c r="C16" s="10" t="s">
        <v>38</v>
      </c>
      <c r="D16" s="11" t="s">
        <v>70</v>
      </c>
      <c r="E16" s="12"/>
      <c r="F16" s="10">
        <v>4</v>
      </c>
      <c r="G16" s="12"/>
    </row>
    <row r="17" customFormat="1" ht="22" customHeight="1" spans="1:7">
      <c r="A17" s="8">
        <v>15</v>
      </c>
      <c r="B17" s="9">
        <v>46093</v>
      </c>
      <c r="C17" s="14" t="s">
        <v>39</v>
      </c>
      <c r="D17" s="11" t="s">
        <v>70</v>
      </c>
      <c r="E17" s="10">
        <v>4</v>
      </c>
      <c r="F17" s="15"/>
      <c r="G17" s="16"/>
    </row>
    <row r="18" customFormat="1" ht="22" customHeight="1" spans="1:7">
      <c r="A18" s="8">
        <v>16</v>
      </c>
      <c r="B18" s="9">
        <v>46093</v>
      </c>
      <c r="C18" s="12" t="s">
        <v>40</v>
      </c>
      <c r="D18" s="11" t="s">
        <v>70</v>
      </c>
      <c r="E18" s="15">
        <v>2</v>
      </c>
      <c r="F18" s="15">
        <v>2</v>
      </c>
      <c r="G18" s="16"/>
    </row>
    <row r="19" customFormat="1" ht="22" customHeight="1" spans="1:7">
      <c r="A19" s="8">
        <v>17</v>
      </c>
      <c r="B19" s="9">
        <v>46093</v>
      </c>
      <c r="C19" s="12" t="s">
        <v>40</v>
      </c>
      <c r="D19" s="11" t="s">
        <v>67</v>
      </c>
      <c r="E19" s="15">
        <v>1</v>
      </c>
      <c r="F19" s="15">
        <v>2</v>
      </c>
      <c r="G19" s="16" t="s">
        <v>69</v>
      </c>
    </row>
    <row r="20" customFormat="1" ht="22" customHeight="1" spans="1:7">
      <c r="A20" s="8"/>
      <c r="B20" s="9"/>
      <c r="C20" s="12"/>
      <c r="D20" s="11"/>
      <c r="E20" s="15"/>
      <c r="F20" s="15"/>
      <c r="G20" s="16"/>
    </row>
    <row r="21" customFormat="1" ht="22" customHeight="1" spans="1:7">
      <c r="A21" s="8"/>
      <c r="B21" s="22"/>
      <c r="C21" s="23"/>
      <c r="D21" s="24"/>
      <c r="E21" s="19"/>
      <c r="F21" s="16"/>
      <c r="G21" s="16"/>
    </row>
    <row r="22" ht="13.5" spans="1:7">
      <c r="E22" s="20">
        <f>SUM(E3:E21)</f>
        <v>25</v>
      </c>
      <c r="F22" s="20">
        <f>SUM(F3:F21)</f>
        <v>42</v>
      </c>
    </row>
    <row r="24" ht="14.25" spans="1:7">
      <c r="C24" s="25" t="s">
        <v>42</v>
      </c>
      <c r="D24" s="11" t="s">
        <v>70</v>
      </c>
      <c r="F24">
        <v>4</v>
      </c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topLeftCell="A2" workbookViewId="0">
      <selection activeCell="E22" sqref="E22:F22"/>
    </sheetView>
  </sheetViews>
  <sheetFormatPr defaultColWidth="9.14285714285714" defaultRowHeight="12" outlineLevelCol="6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7">
      <c r="A1" s="2" t="s">
        <v>63</v>
      </c>
      <c r="B1" s="2"/>
      <c r="C1" s="2"/>
      <c r="D1" s="2"/>
      <c r="E1" s="2"/>
      <c r="F1" s="3"/>
      <c r="G1" s="4"/>
    </row>
    <row r="2" s="1" customFormat="1" ht="32" customHeight="1" spans="1:7">
      <c r="A2" s="5" t="s">
        <v>2</v>
      </c>
      <c r="B2" s="5" t="s">
        <v>50</v>
      </c>
      <c r="C2" s="5" t="s">
        <v>3</v>
      </c>
      <c r="D2" s="6" t="s">
        <v>64</v>
      </c>
      <c r="E2" s="7" t="s">
        <v>65</v>
      </c>
      <c r="F2" s="7" t="s">
        <v>66</v>
      </c>
      <c r="G2" s="7" t="s">
        <v>7</v>
      </c>
    </row>
    <row r="3" ht="22" customHeight="1" spans="1:7">
      <c r="A3" s="8">
        <v>1</v>
      </c>
      <c r="B3" s="9">
        <v>46097</v>
      </c>
      <c r="C3" s="10" t="s">
        <v>16</v>
      </c>
      <c r="D3" s="11" t="s">
        <v>67</v>
      </c>
      <c r="E3" s="12"/>
      <c r="F3" s="10">
        <v>3</v>
      </c>
      <c r="G3" s="12"/>
    </row>
    <row r="4" ht="22" customHeight="1" spans="1:7">
      <c r="A4" s="8">
        <v>2</v>
      </c>
      <c r="B4" s="9">
        <v>46097</v>
      </c>
      <c r="C4" s="13" t="s">
        <v>19</v>
      </c>
      <c r="D4" s="11" t="s">
        <v>67</v>
      </c>
      <c r="E4" s="12"/>
      <c r="F4" s="10">
        <v>3</v>
      </c>
      <c r="G4" s="12"/>
    </row>
    <row r="5" ht="22" customHeight="1" spans="1:7">
      <c r="A5" s="8">
        <v>3</v>
      </c>
      <c r="B5" s="9">
        <v>46097</v>
      </c>
      <c r="C5" s="10" t="s">
        <v>21</v>
      </c>
      <c r="D5" s="11" t="s">
        <v>67</v>
      </c>
      <c r="E5" s="12"/>
      <c r="F5" s="10">
        <v>3</v>
      </c>
      <c r="G5" s="12"/>
    </row>
    <row r="6" ht="22" customHeight="1" spans="1:7">
      <c r="A6" s="8">
        <v>4</v>
      </c>
      <c r="B6" s="9">
        <v>46097</v>
      </c>
      <c r="C6" s="10" t="s">
        <v>53</v>
      </c>
      <c r="D6" s="11" t="s">
        <v>67</v>
      </c>
      <c r="E6" s="10">
        <v>3</v>
      </c>
      <c r="F6" s="10"/>
      <c r="G6" s="10"/>
    </row>
    <row r="7" ht="22" customHeight="1" spans="1:7">
      <c r="A7" s="8">
        <v>5</v>
      </c>
      <c r="B7" s="9">
        <v>46097</v>
      </c>
      <c r="C7" s="10" t="s">
        <v>54</v>
      </c>
      <c r="D7" s="11" t="s">
        <v>67</v>
      </c>
      <c r="E7" s="10"/>
      <c r="F7" s="10">
        <v>3</v>
      </c>
      <c r="G7" s="10"/>
    </row>
    <row r="8" ht="22" customHeight="1" spans="1:7">
      <c r="A8" s="8">
        <v>6</v>
      </c>
      <c r="B8" s="9">
        <v>46097</v>
      </c>
      <c r="C8" s="10" t="s">
        <v>25</v>
      </c>
      <c r="D8" s="11" t="s">
        <v>67</v>
      </c>
      <c r="E8" s="12"/>
      <c r="F8" s="10">
        <v>3</v>
      </c>
      <c r="G8" s="12"/>
    </row>
    <row r="9" ht="22" customHeight="1" spans="1:7">
      <c r="A9" s="8">
        <v>7</v>
      </c>
      <c r="B9" s="9">
        <v>46097</v>
      </c>
      <c r="C9" s="10" t="s">
        <v>27</v>
      </c>
      <c r="D9" s="11" t="s">
        <v>67</v>
      </c>
      <c r="E9" s="12"/>
      <c r="F9" s="10">
        <v>3</v>
      </c>
      <c r="G9" s="12"/>
    </row>
    <row r="10" ht="22" customHeight="1" spans="1:7">
      <c r="A10" s="8">
        <v>8</v>
      </c>
      <c r="B10" s="9">
        <v>46097</v>
      </c>
      <c r="C10" s="10" t="s">
        <v>29</v>
      </c>
      <c r="D10" s="11" t="s">
        <v>67</v>
      </c>
      <c r="E10" s="10">
        <v>2</v>
      </c>
      <c r="F10" s="10">
        <v>1</v>
      </c>
      <c r="G10" s="12"/>
    </row>
    <row r="11" ht="22" customHeight="1" spans="1:7">
      <c r="A11" s="8">
        <v>9</v>
      </c>
      <c r="B11" s="9">
        <v>46097</v>
      </c>
      <c r="C11" s="10" t="s">
        <v>31</v>
      </c>
      <c r="D11" s="11" t="s">
        <v>67</v>
      </c>
      <c r="E11" s="10">
        <v>2</v>
      </c>
      <c r="F11" s="10">
        <v>1</v>
      </c>
      <c r="G11" s="12"/>
    </row>
    <row r="12" customFormat="1" ht="22" customHeight="1" spans="1:7">
      <c r="A12" s="8">
        <v>10</v>
      </c>
      <c r="B12" s="9">
        <v>46097</v>
      </c>
      <c r="C12" s="10" t="s">
        <v>32</v>
      </c>
      <c r="D12" s="11" t="s">
        <v>67</v>
      </c>
      <c r="E12" s="10">
        <v>2</v>
      </c>
      <c r="F12" s="10">
        <v>1</v>
      </c>
      <c r="G12" s="12"/>
    </row>
    <row r="13" customFormat="1" ht="22" customHeight="1" spans="1:7">
      <c r="A13" s="8">
        <v>11</v>
      </c>
      <c r="B13" s="9">
        <v>46097</v>
      </c>
      <c r="C13" s="10" t="s">
        <v>33</v>
      </c>
      <c r="D13" s="11" t="s">
        <v>67</v>
      </c>
      <c r="E13" s="10">
        <v>3</v>
      </c>
      <c r="F13" s="12"/>
      <c r="G13" s="12"/>
    </row>
    <row r="14" customFormat="1" ht="22" customHeight="1" spans="1:7">
      <c r="A14" s="8">
        <v>12</v>
      </c>
      <c r="B14" s="9">
        <v>46097</v>
      </c>
      <c r="C14" s="10" t="s">
        <v>34</v>
      </c>
      <c r="D14" s="11" t="s">
        <v>67</v>
      </c>
      <c r="E14" s="12"/>
      <c r="F14" s="10">
        <v>3</v>
      </c>
      <c r="G14" s="12"/>
    </row>
    <row r="15" customFormat="1" ht="22" customHeight="1" spans="1:7">
      <c r="A15" s="8">
        <v>13</v>
      </c>
      <c r="B15" s="9">
        <v>46097</v>
      </c>
      <c r="C15" s="10" t="s">
        <v>35</v>
      </c>
      <c r="D15" s="11" t="s">
        <v>67</v>
      </c>
      <c r="E15" s="10">
        <v>3</v>
      </c>
      <c r="F15" s="12"/>
      <c r="G15" s="12"/>
    </row>
    <row r="16" customFormat="1" ht="22" customHeight="1" spans="1:7">
      <c r="A16" s="8">
        <v>14</v>
      </c>
      <c r="B16" s="9">
        <v>46097</v>
      </c>
      <c r="C16" s="10" t="s">
        <v>38</v>
      </c>
      <c r="D16" s="11" t="s">
        <v>67</v>
      </c>
      <c r="E16" s="12"/>
      <c r="F16" s="10">
        <v>3</v>
      </c>
      <c r="G16" s="12"/>
    </row>
    <row r="17" customFormat="1" ht="22" customHeight="1" spans="1:7">
      <c r="A17" s="8">
        <v>15</v>
      </c>
      <c r="B17" s="9">
        <v>46097</v>
      </c>
      <c r="C17" s="14" t="s">
        <v>39</v>
      </c>
      <c r="D17" s="11" t="s">
        <v>67</v>
      </c>
      <c r="E17" s="10">
        <v>3</v>
      </c>
      <c r="F17" s="15"/>
      <c r="G17" s="16"/>
    </row>
    <row r="18" customFormat="1" ht="22" customHeight="1" spans="1:7">
      <c r="A18" s="8">
        <v>16</v>
      </c>
      <c r="B18" s="9">
        <v>46097</v>
      </c>
      <c r="C18" s="12" t="s">
        <v>40</v>
      </c>
      <c r="D18" s="11" t="s">
        <v>67</v>
      </c>
      <c r="E18" s="15">
        <v>2</v>
      </c>
      <c r="F18" s="15">
        <v>1</v>
      </c>
      <c r="G18" s="16"/>
    </row>
    <row r="19" customFormat="1" ht="22" customHeight="1" spans="1:7">
      <c r="A19" s="8">
        <v>17</v>
      </c>
      <c r="B19" s="9">
        <v>46097</v>
      </c>
      <c r="C19" s="12" t="s">
        <v>42</v>
      </c>
      <c r="D19" s="11" t="s">
        <v>67</v>
      </c>
      <c r="E19" s="15"/>
      <c r="F19" s="15">
        <v>3</v>
      </c>
      <c r="G19" s="16"/>
    </row>
    <row r="20" customFormat="1" ht="22" customHeight="1" spans="1:7">
      <c r="A20" s="8">
        <v>18</v>
      </c>
      <c r="B20" s="9">
        <v>46097</v>
      </c>
      <c r="C20" s="10" t="s">
        <v>54</v>
      </c>
      <c r="D20" s="11" t="s">
        <v>69</v>
      </c>
      <c r="E20" s="27">
        <v>1</v>
      </c>
      <c r="F20" s="27">
        <v>2</v>
      </c>
      <c r="G20" s="16"/>
    </row>
    <row r="21" customFormat="1" ht="22" customHeight="1" spans="1:7">
      <c r="A21" s="8">
        <v>19</v>
      </c>
      <c r="B21" s="9">
        <v>46097</v>
      </c>
      <c r="C21" s="12" t="s">
        <v>42</v>
      </c>
      <c r="D21" s="11" t="s">
        <v>69</v>
      </c>
      <c r="E21" s="19"/>
      <c r="F21" s="16">
        <v>3</v>
      </c>
      <c r="G21" s="16"/>
    </row>
    <row r="22" customFormat="1" ht="21" customHeight="1" spans="1:7">
      <c r="E22" s="20">
        <f>SUM(E3:E21)</f>
        <v>21</v>
      </c>
      <c r="F22" s="20">
        <f>SUM(F3:F21)</f>
        <v>36</v>
      </c>
    </row>
  </sheetData>
  <mergeCells count="1">
    <mergeCell ref="A1:G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topLeftCell="A5" workbookViewId="0">
      <selection activeCell="E24" sqref="E24:F24"/>
    </sheetView>
  </sheetViews>
  <sheetFormatPr defaultColWidth="9.14285714285714" defaultRowHeight="12" outlineLevelCol="6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7">
      <c r="A1" s="2" t="s">
        <v>63</v>
      </c>
      <c r="B1" s="2"/>
      <c r="C1" s="2"/>
      <c r="D1" s="2"/>
      <c r="E1" s="2"/>
      <c r="F1" s="3"/>
      <c r="G1" s="4"/>
    </row>
    <row r="2" s="1" customFormat="1" ht="32" customHeight="1" spans="1:7">
      <c r="A2" s="5" t="s">
        <v>2</v>
      </c>
      <c r="B2" s="5" t="s">
        <v>50</v>
      </c>
      <c r="C2" s="5" t="s">
        <v>3</v>
      </c>
      <c r="D2" s="6" t="s">
        <v>64</v>
      </c>
      <c r="E2" s="7" t="s">
        <v>65</v>
      </c>
      <c r="F2" s="7" t="s">
        <v>66</v>
      </c>
      <c r="G2" s="7" t="s">
        <v>7</v>
      </c>
    </row>
    <row r="3" ht="22" customHeight="1" spans="1:7">
      <c r="A3" s="8">
        <v>1</v>
      </c>
      <c r="B3" s="9">
        <v>46100</v>
      </c>
      <c r="C3" s="10" t="s">
        <v>16</v>
      </c>
      <c r="D3" s="11" t="s">
        <v>70</v>
      </c>
      <c r="E3" s="12"/>
      <c r="F3" s="10">
        <v>4</v>
      </c>
      <c r="G3" s="12"/>
    </row>
    <row r="4" ht="22" customHeight="1" spans="1:7">
      <c r="A4" s="8">
        <v>2</v>
      </c>
      <c r="B4" s="9">
        <v>46100</v>
      </c>
      <c r="C4" s="13" t="s">
        <v>19</v>
      </c>
      <c r="D4" s="11" t="s">
        <v>70</v>
      </c>
      <c r="E4" s="12"/>
      <c r="F4" s="10">
        <v>4</v>
      </c>
      <c r="G4" s="12"/>
    </row>
    <row r="5" ht="22" customHeight="1" spans="1:7">
      <c r="A5" s="8">
        <v>3</v>
      </c>
      <c r="B5" s="9">
        <v>46100</v>
      </c>
      <c r="C5" s="10" t="s">
        <v>21</v>
      </c>
      <c r="D5" s="11" t="s">
        <v>70</v>
      </c>
      <c r="E5" s="12"/>
      <c r="F5" s="10">
        <v>4</v>
      </c>
      <c r="G5" s="12"/>
    </row>
    <row r="6" ht="22" customHeight="1" spans="1:7">
      <c r="A6" s="8">
        <v>4</v>
      </c>
      <c r="B6" s="9">
        <v>46100</v>
      </c>
      <c r="C6" s="10" t="s">
        <v>53</v>
      </c>
      <c r="D6" s="11" t="s">
        <v>70</v>
      </c>
      <c r="E6" s="10">
        <v>4</v>
      </c>
      <c r="F6" s="10"/>
      <c r="G6" s="10"/>
    </row>
    <row r="7" ht="22" customHeight="1" spans="1:7">
      <c r="A7" s="8">
        <v>5</v>
      </c>
      <c r="B7" s="9">
        <v>46100</v>
      </c>
      <c r="C7" s="10" t="s">
        <v>54</v>
      </c>
      <c r="D7" s="11" t="s">
        <v>70</v>
      </c>
      <c r="E7" s="10"/>
      <c r="F7" s="10">
        <v>4</v>
      </c>
      <c r="G7" s="10"/>
    </row>
    <row r="8" ht="22" customHeight="1" spans="1:7">
      <c r="A8" s="8">
        <v>6</v>
      </c>
      <c r="B8" s="9">
        <v>46100</v>
      </c>
      <c r="C8" s="10" t="s">
        <v>25</v>
      </c>
      <c r="D8" s="11" t="s">
        <v>70</v>
      </c>
      <c r="E8" s="12"/>
      <c r="F8" s="10">
        <v>4</v>
      </c>
      <c r="G8" s="12"/>
    </row>
    <row r="9" ht="22" customHeight="1" spans="1:7">
      <c r="A9" s="8">
        <v>7</v>
      </c>
      <c r="B9" s="9">
        <v>46100</v>
      </c>
      <c r="C9" s="10" t="s">
        <v>27</v>
      </c>
      <c r="D9" s="11" t="s">
        <v>70</v>
      </c>
      <c r="E9" s="12"/>
      <c r="F9" s="10">
        <v>4</v>
      </c>
      <c r="G9" s="12"/>
    </row>
    <row r="10" ht="22" customHeight="1" spans="1:7">
      <c r="A10" s="8">
        <v>8</v>
      </c>
      <c r="B10" s="9">
        <v>46100</v>
      </c>
      <c r="C10" s="10" t="s">
        <v>29</v>
      </c>
      <c r="D10" s="11" t="s">
        <v>70</v>
      </c>
      <c r="E10" s="10">
        <v>2</v>
      </c>
      <c r="F10" s="10">
        <v>2</v>
      </c>
      <c r="G10" s="12"/>
    </row>
    <row r="11" ht="22" customHeight="1" spans="1:7">
      <c r="A11" s="8">
        <v>9</v>
      </c>
      <c r="B11" s="9">
        <v>46100</v>
      </c>
      <c r="C11" s="10" t="s">
        <v>31</v>
      </c>
      <c r="D11" s="11" t="s">
        <v>70</v>
      </c>
      <c r="E11" s="10">
        <v>2</v>
      </c>
      <c r="F11" s="10">
        <v>2</v>
      </c>
      <c r="G11" s="12"/>
    </row>
    <row r="12" customFormat="1" ht="22" customHeight="1" spans="1:7">
      <c r="A12" s="8">
        <v>10</v>
      </c>
      <c r="B12" s="9">
        <v>46100</v>
      </c>
      <c r="C12" s="10" t="s">
        <v>32</v>
      </c>
      <c r="D12" s="11" t="s">
        <v>70</v>
      </c>
      <c r="E12" s="10">
        <v>2</v>
      </c>
      <c r="F12" s="10">
        <v>2</v>
      </c>
      <c r="G12" s="12"/>
    </row>
    <row r="13" customFormat="1" ht="22" customHeight="1" spans="1:7">
      <c r="A13" s="8">
        <v>11</v>
      </c>
      <c r="B13" s="9">
        <v>46100</v>
      </c>
      <c r="C13" s="10" t="s">
        <v>33</v>
      </c>
      <c r="D13" s="11" t="s">
        <v>70</v>
      </c>
      <c r="E13" s="10">
        <v>4</v>
      </c>
      <c r="F13" s="12"/>
      <c r="G13" s="12"/>
    </row>
    <row r="14" customFormat="1" ht="22" customHeight="1" spans="1:7">
      <c r="A14" s="8">
        <v>12</v>
      </c>
      <c r="B14" s="9">
        <v>46100</v>
      </c>
      <c r="C14" s="10" t="s">
        <v>34</v>
      </c>
      <c r="D14" s="11" t="s">
        <v>70</v>
      </c>
      <c r="E14" s="12"/>
      <c r="F14" s="10">
        <v>4</v>
      </c>
      <c r="G14" s="12"/>
    </row>
    <row r="15" customFormat="1" ht="22" customHeight="1" spans="1:7">
      <c r="A15" s="8">
        <v>13</v>
      </c>
      <c r="B15" s="9">
        <v>46100</v>
      </c>
      <c r="C15" s="10" t="s">
        <v>35</v>
      </c>
      <c r="D15" s="11" t="s">
        <v>70</v>
      </c>
      <c r="E15" s="10">
        <v>4</v>
      </c>
      <c r="F15" s="12"/>
      <c r="G15" s="12"/>
    </row>
    <row r="16" customFormat="1" ht="22" customHeight="1" spans="1:7">
      <c r="A16" s="8">
        <v>14</v>
      </c>
      <c r="B16" s="9">
        <v>46100</v>
      </c>
      <c r="C16" s="10" t="s">
        <v>38</v>
      </c>
      <c r="D16" s="11" t="s">
        <v>70</v>
      </c>
      <c r="E16" s="12"/>
      <c r="F16" s="10">
        <v>4</v>
      </c>
      <c r="G16" s="12"/>
    </row>
    <row r="17" customFormat="1" ht="22" customHeight="1" spans="1:7">
      <c r="A17" s="8">
        <v>15</v>
      </c>
      <c r="B17" s="9">
        <v>46100</v>
      </c>
      <c r="C17" s="14" t="s">
        <v>39</v>
      </c>
      <c r="D17" s="11" t="s">
        <v>70</v>
      </c>
      <c r="E17" s="10">
        <v>4</v>
      </c>
      <c r="F17" s="15"/>
      <c r="G17" s="16"/>
    </row>
    <row r="18" customFormat="1" ht="22" customHeight="1" spans="1:7">
      <c r="A18" s="8">
        <v>16</v>
      </c>
      <c r="B18" s="9">
        <v>46100</v>
      </c>
      <c r="C18" s="12" t="s">
        <v>40</v>
      </c>
      <c r="D18" s="11" t="s">
        <v>70</v>
      </c>
      <c r="E18" s="15">
        <v>2</v>
      </c>
      <c r="F18" s="15">
        <v>2</v>
      </c>
      <c r="G18" s="16"/>
    </row>
    <row r="19" customFormat="1" ht="22" customHeight="1" spans="1:7">
      <c r="A19" s="8">
        <v>17</v>
      </c>
      <c r="B19" s="9">
        <v>46100</v>
      </c>
      <c r="C19" s="25" t="s">
        <v>42</v>
      </c>
      <c r="D19" s="11" t="s">
        <v>70</v>
      </c>
      <c r="E19" s="15"/>
      <c r="F19" s="15">
        <v>4</v>
      </c>
      <c r="G19" s="16"/>
    </row>
    <row r="20" customFormat="1" ht="22" customHeight="1" spans="1:7">
      <c r="A20" s="8"/>
      <c r="B20" s="9">
        <v>46100</v>
      </c>
      <c r="C20" s="25" t="s">
        <v>42</v>
      </c>
      <c r="D20" s="26" t="s">
        <v>69</v>
      </c>
      <c r="E20" s="19"/>
      <c r="F20" s="16">
        <v>4</v>
      </c>
      <c r="G20" s="16"/>
    </row>
    <row r="21" customFormat="1" ht="22" customHeight="1" spans="1:7">
      <c r="A21" s="8"/>
      <c r="B21" s="9"/>
      <c r="C21" s="12"/>
      <c r="D21" s="11"/>
      <c r="E21" s="15"/>
      <c r="F21" s="15"/>
      <c r="G21" s="16"/>
    </row>
    <row r="22" customFormat="1" ht="22" customHeight="1" spans="1:7">
      <c r="A22" s="8"/>
      <c r="B22" s="9"/>
      <c r="C22" s="12"/>
      <c r="D22" s="11"/>
      <c r="E22" s="15"/>
      <c r="F22" s="15"/>
      <c r="G22" s="16"/>
    </row>
    <row r="23" customFormat="1" ht="22" customHeight="1" spans="1:7">
      <c r="A23" s="8"/>
      <c r="B23" s="22"/>
      <c r="C23" s="23"/>
      <c r="D23" s="24"/>
      <c r="E23" s="19"/>
      <c r="F23" s="16"/>
      <c r="G23" s="16"/>
    </row>
    <row r="24" customFormat="1" ht="13.5" spans="1:7">
      <c r="E24" s="20">
        <f>SUM(E3:E23)</f>
        <v>24</v>
      </c>
      <c r="F24" s="20">
        <f>SUM(F3:F23)</f>
        <v>48</v>
      </c>
    </row>
    <row r="26" customFormat="1" ht="14.25" spans="1:7">
      <c r="C26" s="25"/>
      <c r="D26" s="11"/>
    </row>
  </sheetData>
  <mergeCells count="1">
    <mergeCell ref="A1:G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topLeftCell="A5" workbookViewId="0">
      <selection activeCell="E24" sqref="E24:F24"/>
    </sheetView>
  </sheetViews>
  <sheetFormatPr defaultColWidth="9.14285714285714" defaultRowHeight="12" outlineLevelCol="6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7">
      <c r="A1" s="2" t="s">
        <v>63</v>
      </c>
      <c r="B1" s="2"/>
      <c r="C1" s="2"/>
      <c r="D1" s="2"/>
      <c r="E1" s="2"/>
      <c r="F1" s="3"/>
      <c r="G1" s="4"/>
    </row>
    <row r="2" s="1" customFormat="1" ht="32" customHeight="1" spans="1:7">
      <c r="A2" s="5" t="s">
        <v>2</v>
      </c>
      <c r="B2" s="5" t="s">
        <v>50</v>
      </c>
      <c r="C2" s="5" t="s">
        <v>3</v>
      </c>
      <c r="D2" s="6" t="s">
        <v>64</v>
      </c>
      <c r="E2" s="7" t="s">
        <v>65</v>
      </c>
      <c r="F2" s="7" t="s">
        <v>66</v>
      </c>
      <c r="G2" s="7" t="s">
        <v>7</v>
      </c>
    </row>
    <row r="3" ht="22" customHeight="1" spans="1:7">
      <c r="A3" s="8">
        <v>1</v>
      </c>
      <c r="B3" s="9">
        <v>46104</v>
      </c>
      <c r="C3" s="10" t="s">
        <v>16</v>
      </c>
      <c r="D3" s="11" t="s">
        <v>67</v>
      </c>
      <c r="E3" s="12"/>
      <c r="F3" s="10">
        <v>3</v>
      </c>
      <c r="G3" s="12"/>
    </row>
    <row r="4" ht="22" customHeight="1" spans="1:7">
      <c r="A4" s="8">
        <v>2</v>
      </c>
      <c r="B4" s="9">
        <v>46104</v>
      </c>
      <c r="C4" s="13" t="s">
        <v>19</v>
      </c>
      <c r="D4" s="11" t="s">
        <v>67</v>
      </c>
      <c r="E4" s="12"/>
      <c r="F4" s="10">
        <v>3</v>
      </c>
      <c r="G4" s="12"/>
    </row>
    <row r="5" ht="22" customHeight="1" spans="1:7">
      <c r="A5" s="8">
        <v>3</v>
      </c>
      <c r="B5" s="9">
        <v>46104</v>
      </c>
      <c r="C5" s="10" t="s">
        <v>21</v>
      </c>
      <c r="D5" s="11" t="s">
        <v>67</v>
      </c>
      <c r="E5" s="12"/>
      <c r="F5" s="10">
        <v>3</v>
      </c>
      <c r="G5" s="12"/>
    </row>
    <row r="6" ht="22" customHeight="1" spans="1:7">
      <c r="A6" s="8">
        <v>4</v>
      </c>
      <c r="B6" s="9">
        <v>46104</v>
      </c>
      <c r="C6" s="10" t="s">
        <v>53</v>
      </c>
      <c r="D6" s="11" t="s">
        <v>67</v>
      </c>
      <c r="E6" s="10">
        <v>3</v>
      </c>
      <c r="F6" s="10"/>
      <c r="G6" s="10"/>
    </row>
    <row r="7" ht="22" customHeight="1" spans="1:7">
      <c r="A7" s="8">
        <v>5</v>
      </c>
      <c r="B7" s="9">
        <v>46104</v>
      </c>
      <c r="C7" s="10" t="s">
        <v>54</v>
      </c>
      <c r="D7" s="11" t="s">
        <v>67</v>
      </c>
      <c r="E7" s="10"/>
      <c r="F7" s="10">
        <v>3</v>
      </c>
      <c r="G7" s="10"/>
    </row>
    <row r="8" ht="22" customHeight="1" spans="1:7">
      <c r="A8" s="8">
        <v>6</v>
      </c>
      <c r="B8" s="9">
        <v>46104</v>
      </c>
      <c r="C8" s="10" t="s">
        <v>25</v>
      </c>
      <c r="D8" s="11" t="s">
        <v>67</v>
      </c>
      <c r="E8" s="12"/>
      <c r="F8" s="10">
        <v>3</v>
      </c>
      <c r="G8" s="12"/>
    </row>
    <row r="9" ht="22" customHeight="1" spans="1:7">
      <c r="A9" s="8">
        <v>7</v>
      </c>
      <c r="B9" s="9">
        <v>46104</v>
      </c>
      <c r="C9" s="10" t="s">
        <v>27</v>
      </c>
      <c r="D9" s="11" t="s">
        <v>67</v>
      </c>
      <c r="E9" s="12"/>
      <c r="F9" s="10">
        <v>3</v>
      </c>
      <c r="G9" s="12"/>
    </row>
    <row r="10" ht="22" customHeight="1" spans="1:7">
      <c r="A10" s="8">
        <v>8</v>
      </c>
      <c r="B10" s="9">
        <v>46104</v>
      </c>
      <c r="C10" s="10" t="s">
        <v>29</v>
      </c>
      <c r="D10" s="11" t="s">
        <v>67</v>
      </c>
      <c r="E10" s="10">
        <v>2</v>
      </c>
      <c r="F10" s="10">
        <v>1</v>
      </c>
      <c r="G10" s="12"/>
    </row>
    <row r="11" ht="22" customHeight="1" spans="1:7">
      <c r="A11" s="8">
        <v>9</v>
      </c>
      <c r="B11" s="9">
        <v>46104</v>
      </c>
      <c r="C11" s="10" t="s">
        <v>31</v>
      </c>
      <c r="D11" s="11" t="s">
        <v>67</v>
      </c>
      <c r="E11" s="10">
        <v>2</v>
      </c>
      <c r="F11" s="10">
        <v>1</v>
      </c>
      <c r="G11" s="12"/>
    </row>
    <row r="12" customFormat="1" ht="22" customHeight="1" spans="1:7">
      <c r="A12" s="8">
        <v>10</v>
      </c>
      <c r="B12" s="9">
        <v>46104</v>
      </c>
      <c r="C12" s="10" t="s">
        <v>32</v>
      </c>
      <c r="D12" s="11" t="s">
        <v>67</v>
      </c>
      <c r="E12" s="10">
        <v>2</v>
      </c>
      <c r="F12" s="10">
        <v>1</v>
      </c>
      <c r="G12" s="12"/>
    </row>
    <row r="13" customFormat="1" ht="22" customHeight="1" spans="1:7">
      <c r="A13" s="8">
        <v>11</v>
      </c>
      <c r="B13" s="9">
        <v>46104</v>
      </c>
      <c r="C13" s="10" t="s">
        <v>33</v>
      </c>
      <c r="D13" s="11" t="s">
        <v>67</v>
      </c>
      <c r="E13" s="10">
        <v>3</v>
      </c>
      <c r="F13" s="12"/>
      <c r="G13" s="12"/>
    </row>
    <row r="14" customFormat="1" ht="22" customHeight="1" spans="1:7">
      <c r="A14" s="8">
        <v>12</v>
      </c>
      <c r="B14" s="9">
        <v>46104</v>
      </c>
      <c r="C14" s="10" t="s">
        <v>34</v>
      </c>
      <c r="D14" s="11" t="s">
        <v>67</v>
      </c>
      <c r="E14" s="12"/>
      <c r="F14" s="10">
        <v>3</v>
      </c>
      <c r="G14" s="12"/>
    </row>
    <row r="15" customFormat="1" ht="22" customHeight="1" spans="1:7">
      <c r="A15" s="8">
        <v>13</v>
      </c>
      <c r="B15" s="9">
        <v>46104</v>
      </c>
      <c r="C15" s="10" t="s">
        <v>35</v>
      </c>
      <c r="D15" s="11" t="s">
        <v>67</v>
      </c>
      <c r="E15" s="10">
        <v>3</v>
      </c>
      <c r="F15" s="12"/>
      <c r="G15" s="12"/>
    </row>
    <row r="16" customFormat="1" ht="22" customHeight="1" spans="1:7">
      <c r="A16" s="8">
        <v>14</v>
      </c>
      <c r="B16" s="9">
        <v>46104</v>
      </c>
      <c r="C16" s="10" t="s">
        <v>38</v>
      </c>
      <c r="D16" s="11" t="s">
        <v>67</v>
      </c>
      <c r="E16" s="12"/>
      <c r="F16" s="10">
        <v>3</v>
      </c>
      <c r="G16" s="12"/>
    </row>
    <row r="17" customFormat="1" ht="22" customHeight="1" spans="1:7">
      <c r="A17" s="8">
        <v>15</v>
      </c>
      <c r="B17" s="9">
        <v>46104</v>
      </c>
      <c r="C17" s="14" t="s">
        <v>39</v>
      </c>
      <c r="D17" s="11" t="s">
        <v>67</v>
      </c>
      <c r="E17" s="10">
        <v>3</v>
      </c>
      <c r="F17" s="15"/>
      <c r="G17" s="16"/>
    </row>
    <row r="18" customFormat="1" ht="22" customHeight="1" spans="1:7">
      <c r="A18" s="8">
        <v>16</v>
      </c>
      <c r="B18" s="9">
        <v>46104</v>
      </c>
      <c r="C18" s="12" t="s">
        <v>40</v>
      </c>
      <c r="D18" s="11" t="s">
        <v>67</v>
      </c>
      <c r="E18" s="15">
        <v>1</v>
      </c>
      <c r="F18" s="15">
        <v>2</v>
      </c>
      <c r="G18" s="16" t="s">
        <v>71</v>
      </c>
    </row>
    <row r="19" customFormat="1" ht="22" customHeight="1" spans="1:7">
      <c r="A19" s="8">
        <v>17</v>
      </c>
      <c r="B19" s="9">
        <v>46104</v>
      </c>
      <c r="C19" s="12" t="s">
        <v>42</v>
      </c>
      <c r="D19" s="11" t="s">
        <v>67</v>
      </c>
      <c r="E19" s="15"/>
      <c r="F19" s="15">
        <v>3</v>
      </c>
      <c r="G19" s="16"/>
    </row>
    <row r="20" customFormat="1" ht="22" customHeight="1" spans="1:7">
      <c r="A20" s="8"/>
      <c r="B20" s="9"/>
      <c r="C20" s="12"/>
      <c r="D20" s="11"/>
      <c r="E20" s="19"/>
      <c r="F20" s="16"/>
      <c r="G20" s="16"/>
    </row>
    <row r="21" customFormat="1" ht="22" customHeight="1" spans="1:7">
      <c r="A21" s="8"/>
      <c r="B21" s="9"/>
      <c r="C21" s="12"/>
      <c r="D21" s="11"/>
      <c r="E21" s="19"/>
      <c r="F21" s="16"/>
      <c r="G21" s="16"/>
    </row>
    <row r="22" customFormat="1" ht="22" customHeight="1" spans="1:7">
      <c r="A22" s="8"/>
      <c r="B22" s="9"/>
      <c r="C22" s="12"/>
      <c r="D22" s="11"/>
      <c r="E22" s="19"/>
      <c r="F22" s="16"/>
      <c r="G22" s="16"/>
    </row>
    <row r="23" customFormat="1" ht="22" customHeight="1" spans="1:7">
      <c r="A23" s="8"/>
      <c r="B23" s="9"/>
      <c r="C23" s="12"/>
      <c r="D23" s="11"/>
      <c r="E23" s="19"/>
      <c r="F23" s="16"/>
      <c r="G23" s="16"/>
    </row>
    <row r="24" customFormat="1" ht="21" customHeight="1" spans="1:7">
      <c r="E24" s="20">
        <f>SUM(E3:E23)</f>
        <v>19</v>
      </c>
      <c r="F24" s="20">
        <f>SUM(F3:F23)</f>
        <v>32</v>
      </c>
    </row>
  </sheetData>
  <mergeCells count="1">
    <mergeCell ref="A1:G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topLeftCell="A3" workbookViewId="0">
      <selection activeCell="E24" sqref="E24:F24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9">
      <c r="A1" s="2" t="s">
        <v>63</v>
      </c>
      <c r="B1" s="2"/>
      <c r="C1" s="2"/>
      <c r="D1" s="2"/>
      <c r="E1" s="2"/>
      <c r="F1" s="3"/>
      <c r="G1" s="4"/>
    </row>
    <row r="2" s="1" customFormat="1" ht="32" customHeight="1" spans="1:9">
      <c r="A2" s="5" t="s">
        <v>2</v>
      </c>
      <c r="B2" s="5" t="s">
        <v>50</v>
      </c>
      <c r="C2" s="5" t="s">
        <v>3</v>
      </c>
      <c r="D2" s="6" t="s">
        <v>64</v>
      </c>
      <c r="E2" s="7" t="s">
        <v>65</v>
      </c>
      <c r="F2" s="7" t="s">
        <v>66</v>
      </c>
      <c r="G2" s="7" t="s">
        <v>7</v>
      </c>
      <c r="I2" s="1" t="s">
        <v>72</v>
      </c>
    </row>
    <row r="3" ht="22" customHeight="1" spans="1:9">
      <c r="A3" s="8">
        <v>1</v>
      </c>
      <c r="B3" s="9">
        <v>46107</v>
      </c>
      <c r="C3" s="10" t="s">
        <v>16</v>
      </c>
      <c r="D3" s="11" t="s">
        <v>70</v>
      </c>
      <c r="E3" s="12"/>
      <c r="F3" s="10">
        <v>4</v>
      </c>
      <c r="G3" s="12"/>
    </row>
    <row r="4" ht="22" customHeight="1" spans="1:9">
      <c r="A4" s="8">
        <v>2</v>
      </c>
      <c r="B4" s="9">
        <v>46107</v>
      </c>
      <c r="C4" s="13" t="s">
        <v>19</v>
      </c>
      <c r="D4" s="11" t="s">
        <v>70</v>
      </c>
      <c r="E4" s="12"/>
      <c r="F4" s="10">
        <v>4</v>
      </c>
      <c r="G4" s="12"/>
    </row>
    <row r="5" ht="22" customHeight="1" spans="1:9">
      <c r="A5" s="8">
        <v>3</v>
      </c>
      <c r="B5" s="9">
        <v>46107</v>
      </c>
      <c r="C5" s="10" t="s">
        <v>21</v>
      </c>
      <c r="D5" s="11" t="s">
        <v>70</v>
      </c>
      <c r="E5" s="12"/>
      <c r="F5" s="10">
        <v>4</v>
      </c>
      <c r="G5" s="12"/>
    </row>
    <row r="6" ht="22" customHeight="1" spans="1:9">
      <c r="A6" s="8">
        <v>4</v>
      </c>
      <c r="B6" s="9">
        <v>46107</v>
      </c>
      <c r="C6" s="10" t="s">
        <v>53</v>
      </c>
      <c r="D6" s="11" t="s">
        <v>70</v>
      </c>
      <c r="E6" s="10">
        <v>4</v>
      </c>
      <c r="F6" s="10"/>
      <c r="G6" s="10"/>
    </row>
    <row r="7" ht="22" customHeight="1" spans="1:9">
      <c r="A7" s="8">
        <v>5</v>
      </c>
      <c r="B7" s="9">
        <v>46107</v>
      </c>
      <c r="C7" s="10" t="s">
        <v>54</v>
      </c>
      <c r="D7" s="11" t="s">
        <v>70</v>
      </c>
      <c r="E7" s="10"/>
      <c r="F7" s="10">
        <v>4</v>
      </c>
      <c r="G7" s="10"/>
    </row>
    <row r="8" ht="22" customHeight="1" spans="1:9">
      <c r="A8" s="8">
        <v>6</v>
      </c>
      <c r="B8" s="9">
        <v>46107</v>
      </c>
      <c r="C8" s="10" t="s">
        <v>25</v>
      </c>
      <c r="D8" s="11" t="s">
        <v>70</v>
      </c>
      <c r="E8" s="12"/>
      <c r="F8" s="10">
        <v>4</v>
      </c>
      <c r="G8" s="12"/>
    </row>
    <row r="9" ht="22" customHeight="1" spans="1:9">
      <c r="A9" s="8">
        <v>7</v>
      </c>
      <c r="B9" s="9">
        <v>46107</v>
      </c>
      <c r="C9" s="10" t="s">
        <v>27</v>
      </c>
      <c r="D9" s="11" t="s">
        <v>70</v>
      </c>
      <c r="E9" s="12"/>
      <c r="F9" s="10">
        <v>4</v>
      </c>
      <c r="G9" s="12"/>
    </row>
    <row r="10" ht="22" customHeight="1" spans="1:9">
      <c r="A10" s="8">
        <v>8</v>
      </c>
      <c r="B10" s="9">
        <v>46107</v>
      </c>
      <c r="C10" s="10" t="s">
        <v>61</v>
      </c>
      <c r="D10" s="11" t="s">
        <v>70</v>
      </c>
      <c r="E10" s="10">
        <v>4</v>
      </c>
      <c r="F10" s="10"/>
      <c r="G10" s="12"/>
    </row>
    <row r="11" ht="22" customHeight="1" spans="1:9">
      <c r="A11" s="8">
        <v>9</v>
      </c>
      <c r="B11" s="9">
        <v>46107</v>
      </c>
      <c r="C11" s="10" t="s">
        <v>31</v>
      </c>
      <c r="D11" s="11" t="s">
        <v>70</v>
      </c>
      <c r="E11" s="10">
        <v>2</v>
      </c>
      <c r="F11" s="10">
        <v>2</v>
      </c>
      <c r="G11" s="12"/>
    </row>
    <row r="12" customFormat="1" ht="22" customHeight="1" spans="1:9">
      <c r="A12" s="8">
        <v>10</v>
      </c>
      <c r="B12" s="9">
        <v>46107</v>
      </c>
      <c r="C12" s="10" t="s">
        <v>32</v>
      </c>
      <c r="D12" s="11" t="s">
        <v>70</v>
      </c>
      <c r="E12" s="10">
        <v>2</v>
      </c>
      <c r="F12" s="10">
        <v>2</v>
      </c>
      <c r="G12" s="12"/>
    </row>
    <row r="13" customFormat="1" ht="22" customHeight="1" spans="1:9">
      <c r="A13" s="8">
        <v>11</v>
      </c>
      <c r="B13" s="9">
        <v>46107</v>
      </c>
      <c r="C13" s="10" t="s">
        <v>33</v>
      </c>
      <c r="D13" s="11" t="s">
        <v>70</v>
      </c>
      <c r="E13" s="10">
        <v>4</v>
      </c>
      <c r="F13" s="12"/>
      <c r="G13" s="12"/>
    </row>
    <row r="14" customFormat="1" ht="22" customHeight="1" spans="1:9">
      <c r="A14" s="8">
        <v>12</v>
      </c>
      <c r="B14" s="9">
        <v>46107</v>
      </c>
      <c r="C14" s="10" t="s">
        <v>34</v>
      </c>
      <c r="D14" s="11" t="s">
        <v>70</v>
      </c>
      <c r="E14" s="12"/>
      <c r="F14" s="10">
        <v>4</v>
      </c>
      <c r="G14" s="12"/>
    </row>
    <row r="15" customFormat="1" ht="22" customHeight="1" spans="1:9">
      <c r="A15" s="8">
        <v>13</v>
      </c>
      <c r="B15" s="9">
        <v>46107</v>
      </c>
      <c r="C15" s="10" t="s">
        <v>35</v>
      </c>
      <c r="D15" s="11" t="s">
        <v>70</v>
      </c>
      <c r="E15" s="10">
        <v>4</v>
      </c>
      <c r="F15" s="12"/>
      <c r="G15" s="12"/>
    </row>
    <row r="16" customFormat="1" ht="22" customHeight="1" spans="1:9">
      <c r="A16" s="8">
        <v>14</v>
      </c>
      <c r="B16" s="9">
        <v>46107</v>
      </c>
      <c r="C16" s="10" t="s">
        <v>38</v>
      </c>
      <c r="D16" s="11" t="s">
        <v>70</v>
      </c>
      <c r="E16" s="12"/>
      <c r="F16" s="10">
        <v>4</v>
      </c>
      <c r="G16" s="12"/>
    </row>
    <row r="17" customFormat="1" ht="22" customHeight="1" spans="1:8">
      <c r="A17" s="8">
        <v>15</v>
      </c>
      <c r="B17" s="9">
        <v>46107</v>
      </c>
      <c r="C17" s="14" t="s">
        <v>39</v>
      </c>
      <c r="D17" s="11" t="s">
        <v>70</v>
      </c>
      <c r="E17" s="10">
        <v>4</v>
      </c>
      <c r="F17" s="15"/>
      <c r="G17" s="16"/>
    </row>
    <row r="18" customFormat="1" ht="22" customHeight="1" spans="1:8">
      <c r="A18" s="8">
        <v>16</v>
      </c>
      <c r="B18" s="9">
        <v>46107</v>
      </c>
      <c r="C18" s="12" t="s">
        <v>40</v>
      </c>
      <c r="D18" s="11" t="s">
        <v>70</v>
      </c>
      <c r="E18" s="15">
        <v>2</v>
      </c>
      <c r="F18" s="15">
        <v>2</v>
      </c>
      <c r="G18" s="16"/>
    </row>
    <row r="19" customFormat="1" ht="22" customHeight="1" spans="1:8">
      <c r="A19" s="8">
        <v>17</v>
      </c>
      <c r="B19" s="9">
        <v>46107</v>
      </c>
      <c r="C19" s="12" t="s">
        <v>42</v>
      </c>
      <c r="D19" s="11" t="s">
        <v>70</v>
      </c>
      <c r="E19" s="15"/>
      <c r="F19" s="15">
        <v>4</v>
      </c>
      <c r="G19" s="16"/>
    </row>
    <row r="20" customFormat="1" ht="22" customHeight="1" spans="1:8">
      <c r="A20" s="8">
        <v>18</v>
      </c>
      <c r="B20" s="9">
        <v>46107</v>
      </c>
      <c r="C20" s="10" t="s">
        <v>62</v>
      </c>
      <c r="D20" s="11" t="s">
        <v>70</v>
      </c>
      <c r="E20" s="10"/>
      <c r="F20" s="10">
        <v>4</v>
      </c>
      <c r="G20" s="16"/>
    </row>
    <row r="21" customFormat="1" ht="22" customHeight="1" spans="1:8">
      <c r="A21" s="8">
        <v>19</v>
      </c>
      <c r="B21" s="9">
        <v>46107</v>
      </c>
      <c r="C21" s="10" t="s">
        <v>62</v>
      </c>
      <c r="D21" s="11" t="s">
        <v>70</v>
      </c>
      <c r="E21" s="15"/>
      <c r="F21" s="10">
        <v>4</v>
      </c>
      <c r="G21" s="16" t="s">
        <v>73</v>
      </c>
      <c r="H21" s="18" t="s">
        <v>74</v>
      </c>
    </row>
    <row r="22" customFormat="1" ht="22" customHeight="1" spans="1:8">
      <c r="A22" s="8"/>
      <c r="B22" s="9"/>
      <c r="C22" s="12"/>
      <c r="D22" s="11"/>
      <c r="E22" s="15"/>
      <c r="F22" s="15"/>
      <c r="G22" s="16"/>
    </row>
    <row r="23" customFormat="1" ht="22" customHeight="1" spans="1:8">
      <c r="A23" s="8"/>
      <c r="B23" s="22"/>
      <c r="C23" s="23"/>
      <c r="D23" s="24"/>
      <c r="E23" s="19"/>
      <c r="F23" s="16"/>
      <c r="G23" s="16"/>
    </row>
    <row r="24" customFormat="1" ht="13.5" spans="1:8">
      <c r="E24" s="20">
        <f>SUM(E3:E23)</f>
        <v>26</v>
      </c>
      <c r="F24" s="20">
        <f>SUM(F3:F23)</f>
        <v>50</v>
      </c>
    </row>
    <row r="26" customFormat="1" ht="14.25" spans="1:8">
      <c r="C26" s="25"/>
      <c r="D26" s="11"/>
    </row>
  </sheetData>
  <mergeCells count="1">
    <mergeCell ref="A1:G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opLeftCell="A3" workbookViewId="0">
      <selection activeCell="F21" sqref="F20:F21"/>
    </sheetView>
  </sheetViews>
  <sheetFormatPr defaultColWidth="9.14285714285714" defaultRowHeight="12" outlineLevelCol="7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7">
      <c r="A1" s="2" t="s">
        <v>63</v>
      </c>
      <c r="B1" s="2"/>
      <c r="C1" s="2"/>
      <c r="D1" s="2"/>
      <c r="E1" s="2"/>
      <c r="F1" s="3"/>
      <c r="G1" s="4"/>
    </row>
    <row r="2" s="1" customFormat="1" ht="32" customHeight="1" spans="1:7">
      <c r="A2" s="5" t="s">
        <v>2</v>
      </c>
      <c r="B2" s="5" t="s">
        <v>50</v>
      </c>
      <c r="C2" s="5" t="s">
        <v>3</v>
      </c>
      <c r="D2" s="6" t="s">
        <v>64</v>
      </c>
      <c r="E2" s="7" t="s">
        <v>65</v>
      </c>
      <c r="F2" s="7" t="s">
        <v>66</v>
      </c>
      <c r="G2" s="7" t="s">
        <v>7</v>
      </c>
    </row>
    <row r="3" ht="22" customHeight="1" spans="1:7">
      <c r="A3" s="8">
        <v>1</v>
      </c>
      <c r="B3" s="9">
        <v>46111</v>
      </c>
      <c r="C3" s="10" t="s">
        <v>16</v>
      </c>
      <c r="D3" s="11" t="s">
        <v>67</v>
      </c>
      <c r="E3" s="12"/>
      <c r="F3" s="10">
        <v>3</v>
      </c>
      <c r="G3" s="12"/>
    </row>
    <row r="4" ht="22" customHeight="1" spans="1:7">
      <c r="A4" s="8">
        <v>2</v>
      </c>
      <c r="B4" s="9">
        <v>46111</v>
      </c>
      <c r="C4" s="13" t="s">
        <v>19</v>
      </c>
      <c r="D4" s="11" t="s">
        <v>67</v>
      </c>
      <c r="E4" s="12"/>
      <c r="F4" s="10">
        <v>3</v>
      </c>
      <c r="G4" s="12"/>
    </row>
    <row r="5" ht="22" customHeight="1" spans="1:7">
      <c r="A5" s="8">
        <v>3</v>
      </c>
      <c r="B5" s="9">
        <v>46111</v>
      </c>
      <c r="C5" s="10" t="s">
        <v>21</v>
      </c>
      <c r="D5" s="11" t="s">
        <v>67</v>
      </c>
      <c r="E5" s="12"/>
      <c r="F5" s="10">
        <v>3</v>
      </c>
      <c r="G5" s="12"/>
    </row>
    <row r="6" ht="22" customHeight="1" spans="1:7">
      <c r="A6" s="8">
        <v>4</v>
      </c>
      <c r="B6" s="9">
        <v>46111</v>
      </c>
      <c r="C6" s="10" t="s">
        <v>53</v>
      </c>
      <c r="D6" s="11" t="s">
        <v>67</v>
      </c>
      <c r="E6" s="10">
        <v>3</v>
      </c>
      <c r="F6" s="10"/>
      <c r="G6" s="10"/>
    </row>
    <row r="7" ht="22" customHeight="1" spans="1:7">
      <c r="A7" s="8">
        <v>5</v>
      </c>
      <c r="B7" s="9">
        <v>46111</v>
      </c>
      <c r="C7" s="10" t="s">
        <v>54</v>
      </c>
      <c r="D7" s="11" t="s">
        <v>67</v>
      </c>
      <c r="E7" s="10"/>
      <c r="F7" s="10">
        <v>3</v>
      </c>
      <c r="G7" s="10"/>
    </row>
    <row r="8" ht="22" customHeight="1" spans="1:7">
      <c r="A8" s="8">
        <v>6</v>
      </c>
      <c r="B8" s="9">
        <v>46111</v>
      </c>
      <c r="C8" s="10" t="s">
        <v>25</v>
      </c>
      <c r="D8" s="11" t="s">
        <v>67</v>
      </c>
      <c r="E8" s="12"/>
      <c r="F8" s="10">
        <v>3</v>
      </c>
      <c r="G8" s="12"/>
    </row>
    <row r="9" ht="22" customHeight="1" spans="1:7">
      <c r="A9" s="8">
        <v>7</v>
      </c>
      <c r="B9" s="9">
        <v>46111</v>
      </c>
      <c r="C9" s="10" t="s">
        <v>27</v>
      </c>
      <c r="D9" s="11" t="s">
        <v>67</v>
      </c>
      <c r="E9" s="12"/>
      <c r="F9" s="10">
        <v>3</v>
      </c>
      <c r="G9" s="12"/>
    </row>
    <row r="10" ht="22" customHeight="1" spans="1:7">
      <c r="A10" s="8">
        <v>8</v>
      </c>
      <c r="B10" s="9">
        <v>46111</v>
      </c>
      <c r="C10" s="10" t="s">
        <v>29</v>
      </c>
      <c r="D10" s="11" t="s">
        <v>67</v>
      </c>
      <c r="E10" s="10">
        <v>2</v>
      </c>
      <c r="F10" s="10">
        <v>1</v>
      </c>
      <c r="G10" s="12"/>
    </row>
    <row r="11" ht="22" customHeight="1" spans="1:7">
      <c r="A11" s="8">
        <v>9</v>
      </c>
      <c r="B11" s="9">
        <v>46111</v>
      </c>
      <c r="C11" s="10" t="s">
        <v>31</v>
      </c>
      <c r="D11" s="11" t="s">
        <v>67</v>
      </c>
      <c r="E11" s="10">
        <v>2</v>
      </c>
      <c r="F11" s="10">
        <v>1</v>
      </c>
      <c r="G11" s="12"/>
    </row>
    <row r="12" customFormat="1" ht="22" customHeight="1" spans="1:7">
      <c r="A12" s="8">
        <v>10</v>
      </c>
      <c r="B12" s="9">
        <v>46111</v>
      </c>
      <c r="C12" s="10" t="s">
        <v>32</v>
      </c>
      <c r="D12" s="11" t="s">
        <v>67</v>
      </c>
      <c r="E12" s="10">
        <v>2</v>
      </c>
      <c r="F12" s="10">
        <v>1</v>
      </c>
      <c r="G12" s="12"/>
    </row>
    <row r="13" customFormat="1" ht="22" customHeight="1" spans="1:7">
      <c r="A13" s="8">
        <v>11</v>
      </c>
      <c r="B13" s="9">
        <v>46111</v>
      </c>
      <c r="C13" s="10" t="s">
        <v>33</v>
      </c>
      <c r="D13" s="11" t="s">
        <v>67</v>
      </c>
      <c r="E13" s="10">
        <v>3</v>
      </c>
      <c r="F13" s="12"/>
      <c r="G13" s="12"/>
    </row>
    <row r="14" customFormat="1" ht="22" customHeight="1" spans="1:7">
      <c r="A14" s="8">
        <v>12</v>
      </c>
      <c r="B14" s="9">
        <v>46111</v>
      </c>
      <c r="C14" s="10" t="s">
        <v>34</v>
      </c>
      <c r="D14" s="11" t="s">
        <v>67</v>
      </c>
      <c r="E14" s="12"/>
      <c r="F14" s="10">
        <v>3</v>
      </c>
      <c r="G14" s="12"/>
    </row>
    <row r="15" customFormat="1" ht="22" customHeight="1" spans="1:7">
      <c r="A15" s="8">
        <v>13</v>
      </c>
      <c r="B15" s="9">
        <v>46111</v>
      </c>
      <c r="C15" s="10" t="s">
        <v>35</v>
      </c>
      <c r="D15" s="11" t="s">
        <v>67</v>
      </c>
      <c r="E15" s="10">
        <v>3</v>
      </c>
      <c r="F15" s="12"/>
      <c r="G15" s="12"/>
    </row>
    <row r="16" customFormat="1" ht="22" customHeight="1" spans="1:7">
      <c r="A16" s="8">
        <v>14</v>
      </c>
      <c r="B16" s="9">
        <v>46111</v>
      </c>
      <c r="C16" s="10" t="s">
        <v>38</v>
      </c>
      <c r="D16" s="11" t="s">
        <v>67</v>
      </c>
      <c r="E16" s="12"/>
      <c r="F16" s="10">
        <v>3</v>
      </c>
      <c r="G16" s="12"/>
    </row>
    <row r="17" customFormat="1" ht="22" customHeight="1" spans="1:8">
      <c r="A17" s="8">
        <v>15</v>
      </c>
      <c r="B17" s="9">
        <v>46111</v>
      </c>
      <c r="C17" s="14" t="s">
        <v>39</v>
      </c>
      <c r="D17" s="11" t="s">
        <v>67</v>
      </c>
      <c r="E17" s="10">
        <v>3</v>
      </c>
      <c r="F17" s="15"/>
      <c r="G17" s="16"/>
    </row>
    <row r="18" customFormat="1" ht="22" customHeight="1" spans="1:8">
      <c r="A18" s="8">
        <v>16</v>
      </c>
      <c r="B18" s="9">
        <v>46111</v>
      </c>
      <c r="C18" s="12" t="s">
        <v>40</v>
      </c>
      <c r="D18" s="11" t="s">
        <v>67</v>
      </c>
      <c r="E18" s="15">
        <v>1</v>
      </c>
      <c r="F18" s="15">
        <v>2</v>
      </c>
      <c r="G18" s="16" t="s">
        <v>71</v>
      </c>
    </row>
    <row r="19" customFormat="1" ht="22" customHeight="1" spans="1:8">
      <c r="A19" s="8">
        <v>17</v>
      </c>
      <c r="B19" s="9">
        <v>46111</v>
      </c>
      <c r="C19" s="12" t="s">
        <v>42</v>
      </c>
      <c r="D19" s="11" t="s">
        <v>67</v>
      </c>
      <c r="E19" s="15"/>
      <c r="F19" s="15">
        <v>3</v>
      </c>
      <c r="G19" s="16"/>
    </row>
    <row r="20" customFormat="1" ht="22" customHeight="1" spans="1:8">
      <c r="A20" s="8">
        <v>18</v>
      </c>
      <c r="B20" s="9">
        <v>46111</v>
      </c>
      <c r="C20" s="10" t="s">
        <v>62</v>
      </c>
      <c r="D20" s="11" t="s">
        <v>67</v>
      </c>
      <c r="E20" s="10"/>
      <c r="F20" s="10">
        <v>3</v>
      </c>
      <c r="G20" s="16"/>
    </row>
    <row r="21" customFormat="1" ht="22" customHeight="1" spans="1:8">
      <c r="A21" s="8">
        <v>19</v>
      </c>
      <c r="B21" s="9">
        <v>46111</v>
      </c>
      <c r="C21" s="10" t="s">
        <v>62</v>
      </c>
      <c r="D21" s="11" t="s">
        <v>67</v>
      </c>
      <c r="E21" s="15"/>
      <c r="F21" s="10">
        <v>3</v>
      </c>
      <c r="G21" s="16" t="s">
        <v>73</v>
      </c>
      <c r="H21" s="18" t="s">
        <v>74</v>
      </c>
    </row>
    <row r="22" customFormat="1" ht="22" customHeight="1" spans="1:8">
      <c r="A22" s="8"/>
      <c r="B22" s="9"/>
      <c r="C22" s="12"/>
      <c r="D22" s="11"/>
      <c r="E22" s="19"/>
      <c r="F22" s="16"/>
      <c r="G22" s="16"/>
    </row>
    <row r="23" customFormat="1" ht="22" customHeight="1" spans="1:8">
      <c r="A23" s="8"/>
      <c r="B23" s="9"/>
      <c r="C23" s="12"/>
      <c r="D23" s="11"/>
      <c r="E23" s="19"/>
      <c r="F23" s="16"/>
      <c r="G23" s="16"/>
    </row>
    <row r="24" customFormat="1" ht="21" customHeight="1" spans="1:8">
      <c r="E24" s="20">
        <f>SUM(E3:E23)</f>
        <v>19</v>
      </c>
      <c r="F24" s="20">
        <f>SUM(F3:F23)</f>
        <v>38</v>
      </c>
    </row>
  </sheetData>
  <mergeCells count="1">
    <mergeCell ref="A1:G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"/>
  <sheetViews>
    <sheetView topLeftCell="A3" workbookViewId="0">
      <selection activeCell="F26" sqref="E26:F26"/>
    </sheetView>
  </sheetViews>
  <sheetFormatPr defaultColWidth="9.14285714285714" defaultRowHeight="12"/>
  <cols>
    <col min="1" max="1" width="12.1428571428571" customWidth="1"/>
    <col min="2" max="2" width="12.4285714285714" customWidth="1"/>
    <col min="3" max="3" width="20" customWidth="1"/>
    <col min="4" max="6" width="12.1428571428571" customWidth="1"/>
    <col min="7" max="7" width="25.2857142857143" customWidth="1"/>
  </cols>
  <sheetData>
    <row r="1" ht="38" customHeight="1" spans="1:9">
      <c r="A1" s="2" t="s">
        <v>63</v>
      </c>
      <c r="B1" s="2"/>
      <c r="C1" s="2"/>
      <c r="D1" s="2"/>
      <c r="E1" s="2"/>
      <c r="F1" s="3"/>
      <c r="G1" s="4"/>
    </row>
    <row r="2" s="1" customFormat="1" ht="32" customHeight="1" spans="1:9">
      <c r="A2" s="5" t="s">
        <v>2</v>
      </c>
      <c r="B2" s="5" t="s">
        <v>50</v>
      </c>
      <c r="C2" s="5" t="s">
        <v>3</v>
      </c>
      <c r="D2" s="6" t="s">
        <v>64</v>
      </c>
      <c r="E2" s="7" t="s">
        <v>65</v>
      </c>
      <c r="F2" s="7" t="s">
        <v>66</v>
      </c>
      <c r="G2" s="7" t="s">
        <v>7</v>
      </c>
      <c r="I2" s="1" t="s">
        <v>72</v>
      </c>
    </row>
    <row r="3" ht="22" customHeight="1" spans="1:9">
      <c r="A3" s="8">
        <v>1</v>
      </c>
      <c r="B3" s="9">
        <v>46114</v>
      </c>
      <c r="C3" s="10" t="s">
        <v>16</v>
      </c>
      <c r="D3" s="11" t="s">
        <v>70</v>
      </c>
      <c r="E3" s="12"/>
      <c r="F3" s="10">
        <v>4</v>
      </c>
      <c r="G3" s="12"/>
    </row>
    <row r="4" ht="22" customHeight="1" spans="1:9">
      <c r="A4" s="8">
        <v>2</v>
      </c>
      <c r="B4" s="9">
        <v>46114</v>
      </c>
      <c r="C4" s="13" t="s">
        <v>19</v>
      </c>
      <c r="D4" s="11" t="s">
        <v>70</v>
      </c>
      <c r="E4" s="12"/>
      <c r="F4" s="10">
        <v>4</v>
      </c>
      <c r="G4" s="12"/>
    </row>
    <row r="5" ht="22" customHeight="1" spans="1:9">
      <c r="A5" s="8">
        <v>3</v>
      </c>
      <c r="B5" s="9">
        <v>46114</v>
      </c>
      <c r="C5" s="10" t="s">
        <v>21</v>
      </c>
      <c r="D5" s="11" t="s">
        <v>70</v>
      </c>
      <c r="E5" s="12"/>
      <c r="F5" s="10">
        <v>4</v>
      </c>
      <c r="G5" s="12"/>
    </row>
    <row r="6" ht="22" customHeight="1" spans="1:9">
      <c r="A6" s="8">
        <v>4</v>
      </c>
      <c r="B6" s="9">
        <v>46114</v>
      </c>
      <c r="C6" s="10" t="s">
        <v>53</v>
      </c>
      <c r="D6" s="11" t="s">
        <v>70</v>
      </c>
      <c r="E6" s="10">
        <v>4</v>
      </c>
      <c r="F6" s="10"/>
      <c r="G6" s="10"/>
    </row>
    <row r="7" ht="22" customHeight="1" spans="1:9">
      <c r="A7" s="8">
        <v>5</v>
      </c>
      <c r="B7" s="9">
        <v>46114</v>
      </c>
      <c r="C7" s="10" t="s">
        <v>54</v>
      </c>
      <c r="D7" s="11" t="s">
        <v>70</v>
      </c>
      <c r="E7" s="10"/>
      <c r="F7" s="10">
        <v>4</v>
      </c>
      <c r="G7" s="10"/>
    </row>
    <row r="8" ht="22" customHeight="1" spans="1:9">
      <c r="A8" s="8">
        <v>6</v>
      </c>
      <c r="B8" s="9">
        <v>46114</v>
      </c>
      <c r="C8" s="10" t="s">
        <v>25</v>
      </c>
      <c r="D8" s="11" t="s">
        <v>70</v>
      </c>
      <c r="E8" s="12"/>
      <c r="F8" s="10">
        <v>4</v>
      </c>
      <c r="G8" s="12"/>
    </row>
    <row r="9" ht="22" customHeight="1" spans="1:9">
      <c r="A9" s="8">
        <v>7</v>
      </c>
      <c r="B9" s="9">
        <v>46114</v>
      </c>
      <c r="C9" s="10" t="s">
        <v>27</v>
      </c>
      <c r="D9" s="11" t="s">
        <v>70</v>
      </c>
      <c r="E9" s="12"/>
      <c r="F9" s="10">
        <v>4</v>
      </c>
      <c r="G9" s="12"/>
    </row>
    <row r="10" ht="22" customHeight="1" spans="1:9">
      <c r="A10" s="8">
        <v>8</v>
      </c>
      <c r="B10" s="9">
        <v>46114</v>
      </c>
      <c r="C10" s="10" t="s">
        <v>61</v>
      </c>
      <c r="D10" s="11" t="s">
        <v>70</v>
      </c>
      <c r="E10" s="10">
        <v>4</v>
      </c>
      <c r="F10" s="10"/>
      <c r="G10" s="12"/>
    </row>
    <row r="11" ht="22" customHeight="1" spans="1:9">
      <c r="A11" s="8">
        <v>9</v>
      </c>
      <c r="B11" s="9">
        <v>46114</v>
      </c>
      <c r="C11" s="10" t="s">
        <v>31</v>
      </c>
      <c r="D11" s="11" t="s">
        <v>70</v>
      </c>
      <c r="E11" s="10">
        <v>2</v>
      </c>
      <c r="F11" s="10">
        <v>2</v>
      </c>
      <c r="G11" s="12"/>
    </row>
    <row r="12" customFormat="1" ht="22" customHeight="1" spans="1:9">
      <c r="A12" s="8">
        <v>10</v>
      </c>
      <c r="B12" s="9">
        <v>46114</v>
      </c>
      <c r="C12" s="10" t="s">
        <v>32</v>
      </c>
      <c r="D12" s="11" t="s">
        <v>70</v>
      </c>
      <c r="E12" s="10">
        <v>2</v>
      </c>
      <c r="F12" s="10">
        <v>2</v>
      </c>
      <c r="G12" s="12"/>
    </row>
    <row r="13" customFormat="1" ht="22" customHeight="1" spans="1:9">
      <c r="A13" s="8">
        <v>11</v>
      </c>
      <c r="B13" s="9">
        <v>46114</v>
      </c>
      <c r="C13" s="10" t="s">
        <v>33</v>
      </c>
      <c r="D13" s="11" t="s">
        <v>70</v>
      </c>
      <c r="E13" s="10">
        <v>4</v>
      </c>
      <c r="F13" s="12"/>
      <c r="G13" s="12"/>
    </row>
    <row r="14" customFormat="1" ht="22" customHeight="1" spans="1:9">
      <c r="A14" s="8">
        <v>12</v>
      </c>
      <c r="B14" s="9">
        <v>46114</v>
      </c>
      <c r="C14" s="10" t="s">
        <v>34</v>
      </c>
      <c r="D14" s="11" t="s">
        <v>70</v>
      </c>
      <c r="E14" s="12"/>
      <c r="F14" s="10">
        <v>4</v>
      </c>
      <c r="G14" s="12"/>
    </row>
    <row r="15" customFormat="1" ht="22" customHeight="1" spans="1:9">
      <c r="A15" s="8">
        <v>13</v>
      </c>
      <c r="B15" s="9">
        <v>46114</v>
      </c>
      <c r="C15" s="10" t="s">
        <v>35</v>
      </c>
      <c r="D15" s="11" t="s">
        <v>70</v>
      </c>
      <c r="E15" s="10">
        <v>4</v>
      </c>
      <c r="F15" s="12"/>
      <c r="G15" s="12"/>
    </row>
    <row r="16" customFormat="1" ht="22" customHeight="1" spans="1:9">
      <c r="A16" s="8">
        <v>14</v>
      </c>
      <c r="B16" s="9">
        <v>46114</v>
      </c>
      <c r="C16" s="10" t="s">
        <v>38</v>
      </c>
      <c r="D16" s="11" t="s">
        <v>70</v>
      </c>
      <c r="E16" s="12"/>
      <c r="F16" s="10">
        <v>4</v>
      </c>
      <c r="G16" s="12"/>
    </row>
    <row r="17" customFormat="1" ht="22" customHeight="1" spans="1:8">
      <c r="A17" s="8">
        <v>15</v>
      </c>
      <c r="B17" s="9">
        <v>46114</v>
      </c>
      <c r="C17" s="14" t="s">
        <v>39</v>
      </c>
      <c r="D17" s="11" t="s">
        <v>70</v>
      </c>
      <c r="E17" s="10">
        <v>4</v>
      </c>
      <c r="F17" s="15"/>
      <c r="G17" s="16"/>
    </row>
    <row r="18" customFormat="1" ht="22" customHeight="1" spans="1:8">
      <c r="A18" s="8">
        <v>16</v>
      </c>
      <c r="B18" s="9">
        <v>46114</v>
      </c>
      <c r="C18" s="12" t="s">
        <v>40</v>
      </c>
      <c r="D18" s="11" t="s">
        <v>70</v>
      </c>
      <c r="E18" s="15">
        <v>2</v>
      </c>
      <c r="F18" s="15">
        <v>2</v>
      </c>
      <c r="G18" s="16"/>
    </row>
    <row r="19" customFormat="1" ht="22" customHeight="1" spans="1:8">
      <c r="A19" s="8">
        <v>17</v>
      </c>
      <c r="B19" s="9">
        <v>46114</v>
      </c>
      <c r="C19" s="12" t="s">
        <v>42</v>
      </c>
      <c r="D19" s="11" t="s">
        <v>70</v>
      </c>
      <c r="E19" s="15"/>
      <c r="F19" s="15">
        <v>4</v>
      </c>
      <c r="G19" s="16"/>
    </row>
    <row r="20" customFormat="1" ht="22" customHeight="1" spans="1:8">
      <c r="A20" s="8">
        <v>18</v>
      </c>
      <c r="B20" s="9">
        <v>46114</v>
      </c>
      <c r="C20" s="10" t="s">
        <v>62</v>
      </c>
      <c r="D20" s="11" t="s">
        <v>70</v>
      </c>
      <c r="E20" s="10"/>
      <c r="F20" s="10">
        <v>4</v>
      </c>
      <c r="G20" s="16"/>
    </row>
    <row r="21" customFormat="1" ht="22" customHeight="1" spans="1:8">
      <c r="A21" s="8">
        <v>19</v>
      </c>
      <c r="B21" s="9">
        <v>46114</v>
      </c>
      <c r="C21" s="10" t="s">
        <v>62</v>
      </c>
      <c r="D21" s="11" t="s">
        <v>70</v>
      </c>
      <c r="E21" s="15"/>
      <c r="F21" s="10">
        <v>4</v>
      </c>
      <c r="G21" s="16" t="s">
        <v>73</v>
      </c>
      <c r="H21" s="18" t="s">
        <v>74</v>
      </c>
    </row>
    <row r="22" customFormat="1" ht="22" customHeight="1" spans="1:8">
      <c r="A22" s="8">
        <v>24</v>
      </c>
      <c r="B22" s="9">
        <v>46114</v>
      </c>
      <c r="C22" s="10" t="s">
        <v>44</v>
      </c>
      <c r="D22" s="10" t="s">
        <v>70</v>
      </c>
      <c r="E22" s="10"/>
      <c r="F22" s="10">
        <v>4</v>
      </c>
      <c r="G22" s="17"/>
    </row>
    <row r="23" customFormat="1" ht="22" customHeight="1" spans="1:8">
      <c r="A23" s="8">
        <v>25</v>
      </c>
      <c r="B23" s="9">
        <v>46114</v>
      </c>
      <c r="C23" s="10" t="s">
        <v>44</v>
      </c>
      <c r="D23" s="10"/>
      <c r="E23" s="10"/>
      <c r="F23" s="10">
        <v>2</v>
      </c>
      <c r="G23" s="17" t="s">
        <v>69</v>
      </c>
      <c r="H23" s="18" t="s">
        <v>75</v>
      </c>
    </row>
    <row r="24" customFormat="1" ht="22" customHeight="1" spans="1:8">
      <c r="A24" s="8"/>
      <c r="B24" s="9"/>
      <c r="C24" s="12"/>
      <c r="D24" s="11"/>
      <c r="E24" s="15"/>
      <c r="F24" s="15"/>
      <c r="G24" s="16"/>
    </row>
    <row r="25" customFormat="1" ht="22" customHeight="1" spans="1:8">
      <c r="A25" s="8"/>
      <c r="B25" s="22"/>
      <c r="C25" s="23"/>
      <c r="D25" s="24"/>
      <c r="E25" s="19"/>
      <c r="F25" s="16"/>
      <c r="G25" s="16"/>
    </row>
    <row r="26" customFormat="1" ht="13.5" spans="1:8">
      <c r="E26" s="20">
        <f>SUM(E3:E25)</f>
        <v>26</v>
      </c>
      <c r="F26" s="20">
        <f>SUM(F3:F25)</f>
        <v>56</v>
      </c>
    </row>
    <row r="28" customFormat="1" ht="14.25" spans="1:8">
      <c r="C28" s="25"/>
      <c r="D28" s="11"/>
    </row>
  </sheetData>
  <mergeCells count="1">
    <mergeCell ref="A1:G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opLeftCell="A3" workbookViewId="0">
      <selection activeCell="G27" sqref="G27"/>
    </sheetView>
  </sheetViews>
  <sheetFormatPr defaultColWidth="9.14285714285714" defaultRowHeight="12" outlineLevelCol="7"/>
  <cols>
    <col min="1" max="1" width="12.1428571428571" customWidth="1"/>
    <col min="2" max="2" width="14.4285714285714" customWidth="1"/>
    <col min="3" max="3" width="18.5714285714286" customWidth="1"/>
    <col min="4" max="6" width="12.1428571428571" customWidth="1"/>
    <col min="7" max="7" width="25.2857142857143" customWidth="1"/>
  </cols>
  <sheetData>
    <row r="1" ht="38" customHeight="1" spans="1:7">
      <c r="A1" s="2" t="s">
        <v>63</v>
      </c>
      <c r="B1" s="2"/>
      <c r="C1" s="2"/>
      <c r="D1" s="2"/>
      <c r="E1" s="2"/>
      <c r="F1" s="3"/>
      <c r="G1" s="4"/>
    </row>
    <row r="2" s="1" customFormat="1" ht="32" customHeight="1" spans="1:7">
      <c r="A2" s="5" t="s">
        <v>2</v>
      </c>
      <c r="B2" s="5" t="s">
        <v>50</v>
      </c>
      <c r="C2" s="5" t="s">
        <v>3</v>
      </c>
      <c r="D2" s="6" t="s">
        <v>64</v>
      </c>
      <c r="E2" s="7" t="s">
        <v>65</v>
      </c>
      <c r="F2" s="7" t="s">
        <v>66</v>
      </c>
      <c r="G2" s="7" t="s">
        <v>7</v>
      </c>
    </row>
    <row r="3" ht="22" customHeight="1" spans="1:7">
      <c r="A3" s="8">
        <v>1</v>
      </c>
      <c r="B3" s="9">
        <v>46119</v>
      </c>
      <c r="C3" s="10" t="s">
        <v>16</v>
      </c>
      <c r="D3" s="11" t="s">
        <v>67</v>
      </c>
      <c r="E3" s="12"/>
      <c r="F3" s="10">
        <v>3</v>
      </c>
      <c r="G3" s="12"/>
    </row>
    <row r="4" ht="22" customHeight="1" spans="1:7">
      <c r="A4" s="8">
        <v>2</v>
      </c>
      <c r="B4" s="9">
        <v>46119</v>
      </c>
      <c r="C4" s="13" t="s">
        <v>19</v>
      </c>
      <c r="D4" s="11" t="s">
        <v>67</v>
      </c>
      <c r="E4" s="12"/>
      <c r="F4" s="10">
        <v>3</v>
      </c>
      <c r="G4" s="12"/>
    </row>
    <row r="5" ht="22" customHeight="1" spans="1:7">
      <c r="A5" s="8">
        <v>3</v>
      </c>
      <c r="B5" s="9">
        <v>46119</v>
      </c>
      <c r="C5" s="10" t="s">
        <v>21</v>
      </c>
      <c r="D5" s="11" t="s">
        <v>67</v>
      </c>
      <c r="E5" s="12"/>
      <c r="F5" s="10">
        <v>3</v>
      </c>
      <c r="G5" s="12"/>
    </row>
    <row r="6" ht="22" customHeight="1" spans="1:7">
      <c r="A6" s="8">
        <v>4</v>
      </c>
      <c r="B6" s="9">
        <v>46119</v>
      </c>
      <c r="C6" s="10" t="s">
        <v>53</v>
      </c>
      <c r="D6" s="11" t="s">
        <v>67</v>
      </c>
      <c r="E6" s="10">
        <v>3</v>
      </c>
      <c r="F6" s="10"/>
      <c r="G6" s="10"/>
    </row>
    <row r="7" ht="22" customHeight="1" spans="1:7">
      <c r="A7" s="8">
        <v>5</v>
      </c>
      <c r="B7" s="9">
        <v>46119</v>
      </c>
      <c r="C7" s="10" t="s">
        <v>54</v>
      </c>
      <c r="D7" s="11" t="s">
        <v>67</v>
      </c>
      <c r="E7" s="10"/>
      <c r="F7" s="10">
        <v>3</v>
      </c>
      <c r="G7" s="10"/>
    </row>
    <row r="8" ht="22" customHeight="1" spans="1:7">
      <c r="A8" s="8">
        <v>6</v>
      </c>
      <c r="B8" s="9">
        <v>46119</v>
      </c>
      <c r="C8" s="10" t="s">
        <v>25</v>
      </c>
      <c r="D8" s="11" t="s">
        <v>67</v>
      </c>
      <c r="E8" s="12"/>
      <c r="F8" s="10">
        <v>3</v>
      </c>
      <c r="G8" s="12"/>
    </row>
    <row r="9" ht="22" customHeight="1" spans="1:7">
      <c r="A9" s="8">
        <v>7</v>
      </c>
      <c r="B9" s="9">
        <v>46119</v>
      </c>
      <c r="C9" s="10" t="s">
        <v>27</v>
      </c>
      <c r="D9" s="11" t="s">
        <v>67</v>
      </c>
      <c r="E9" s="12"/>
      <c r="F9" s="10">
        <v>3</v>
      </c>
      <c r="G9" s="12"/>
    </row>
    <row r="10" ht="22" customHeight="1" spans="1:7">
      <c r="A10" s="8">
        <v>8</v>
      </c>
      <c r="B10" s="9">
        <v>46119</v>
      </c>
      <c r="C10" s="10" t="s">
        <v>61</v>
      </c>
      <c r="D10" s="11" t="s">
        <v>67</v>
      </c>
      <c r="E10" s="10">
        <v>2</v>
      </c>
      <c r="F10" s="10">
        <v>1</v>
      </c>
      <c r="G10" s="12"/>
    </row>
    <row r="11" ht="22" customHeight="1" spans="1:7">
      <c r="A11" s="8">
        <v>9</v>
      </c>
      <c r="B11" s="9">
        <v>46119</v>
      </c>
      <c r="C11" s="10" t="s">
        <v>31</v>
      </c>
      <c r="D11" s="11" t="s">
        <v>67</v>
      </c>
      <c r="E11" s="10">
        <v>2</v>
      </c>
      <c r="F11" s="10">
        <v>1</v>
      </c>
      <c r="G11" s="12"/>
    </row>
    <row r="12" customFormat="1" ht="22" customHeight="1" spans="1:7">
      <c r="A12" s="8">
        <v>10</v>
      </c>
      <c r="B12" s="9">
        <v>46119</v>
      </c>
      <c r="C12" s="10" t="s">
        <v>32</v>
      </c>
      <c r="D12" s="11" t="s">
        <v>67</v>
      </c>
      <c r="E12" s="10">
        <v>2</v>
      </c>
      <c r="F12" s="10">
        <v>1</v>
      </c>
      <c r="G12" s="12"/>
    </row>
    <row r="13" customFormat="1" ht="22" customHeight="1" spans="1:7">
      <c r="A13" s="8">
        <v>11</v>
      </c>
      <c r="B13" s="9">
        <v>46119</v>
      </c>
      <c r="C13" s="10" t="s">
        <v>33</v>
      </c>
      <c r="D13" s="11" t="s">
        <v>67</v>
      </c>
      <c r="E13" s="10">
        <v>3</v>
      </c>
      <c r="F13" s="12"/>
      <c r="G13" s="12"/>
    </row>
    <row r="14" customFormat="1" ht="22" customHeight="1" spans="1:7">
      <c r="A14" s="8">
        <v>12</v>
      </c>
      <c r="B14" s="9">
        <v>46119</v>
      </c>
      <c r="C14" s="10" t="s">
        <v>34</v>
      </c>
      <c r="D14" s="11" t="s">
        <v>67</v>
      </c>
      <c r="E14" s="12"/>
      <c r="F14" s="10">
        <v>3</v>
      </c>
      <c r="G14" s="12"/>
    </row>
    <row r="15" customFormat="1" ht="22" customHeight="1" spans="1:7">
      <c r="A15" s="8">
        <v>13</v>
      </c>
      <c r="B15" s="9">
        <v>46119</v>
      </c>
      <c r="C15" s="10" t="s">
        <v>35</v>
      </c>
      <c r="D15" s="11" t="s">
        <v>67</v>
      </c>
      <c r="E15" s="10">
        <v>3</v>
      </c>
      <c r="F15" s="12"/>
      <c r="G15" s="12"/>
    </row>
    <row r="16" customFormat="1" ht="22" customHeight="1" spans="1:7">
      <c r="A16" s="8">
        <v>14</v>
      </c>
      <c r="B16" s="9">
        <v>46119</v>
      </c>
      <c r="C16" s="10" t="s">
        <v>38</v>
      </c>
      <c r="D16" s="11" t="s">
        <v>67</v>
      </c>
      <c r="E16" s="12"/>
      <c r="F16" s="10">
        <v>3</v>
      </c>
      <c r="G16" s="12"/>
    </row>
    <row r="17" customFormat="1" ht="22" customHeight="1" spans="1:8">
      <c r="A17" s="8">
        <v>15</v>
      </c>
      <c r="B17" s="9">
        <v>46119</v>
      </c>
      <c r="C17" s="14" t="s">
        <v>39</v>
      </c>
      <c r="D17" s="11" t="s">
        <v>67</v>
      </c>
      <c r="E17" s="10">
        <v>3</v>
      </c>
      <c r="F17" s="15"/>
      <c r="G17" s="16"/>
    </row>
    <row r="18" customFormat="1" ht="22" customHeight="1" spans="1:8">
      <c r="A18" s="8">
        <v>16</v>
      </c>
      <c r="B18" s="9">
        <v>46119</v>
      </c>
      <c r="C18" s="12" t="s">
        <v>40</v>
      </c>
      <c r="D18" s="11" t="s">
        <v>67</v>
      </c>
      <c r="E18" s="15">
        <v>1</v>
      </c>
      <c r="F18" s="15">
        <v>2</v>
      </c>
      <c r="G18" s="16" t="s">
        <v>76</v>
      </c>
    </row>
    <row r="19" customFormat="1" ht="22" customHeight="1" spans="1:8">
      <c r="A19" s="8">
        <v>17</v>
      </c>
      <c r="B19" s="9">
        <v>46119</v>
      </c>
      <c r="C19" s="12" t="s">
        <v>42</v>
      </c>
      <c r="D19" s="11" t="s">
        <v>67</v>
      </c>
      <c r="E19" s="15"/>
      <c r="F19" s="15">
        <v>3</v>
      </c>
      <c r="G19" s="16"/>
    </row>
    <row r="20" customFormat="1" ht="22" customHeight="1" spans="1:8">
      <c r="A20" s="8">
        <v>18</v>
      </c>
      <c r="B20" s="9">
        <v>46119</v>
      </c>
      <c r="C20" s="10" t="s">
        <v>62</v>
      </c>
      <c r="D20" s="11" t="s">
        <v>67</v>
      </c>
      <c r="E20" s="10"/>
      <c r="F20" s="10">
        <v>3</v>
      </c>
      <c r="G20" s="16"/>
    </row>
    <row r="21" customFormat="1" ht="22" customHeight="1" spans="1:8">
      <c r="A21" s="8">
        <v>19</v>
      </c>
      <c r="B21" s="9">
        <v>46119</v>
      </c>
      <c r="C21" s="10" t="s">
        <v>62</v>
      </c>
      <c r="D21" s="11" t="s">
        <v>67</v>
      </c>
      <c r="E21" s="15"/>
      <c r="F21" s="10">
        <v>3</v>
      </c>
      <c r="G21" s="16" t="s">
        <v>73</v>
      </c>
      <c r="H21" s="18" t="s">
        <v>74</v>
      </c>
    </row>
    <row r="22" customFormat="1" ht="22" customHeight="1" spans="1:8">
      <c r="A22" s="8">
        <v>20</v>
      </c>
      <c r="B22" s="9">
        <v>46119</v>
      </c>
      <c r="C22" s="10" t="s">
        <v>44</v>
      </c>
      <c r="D22" s="11" t="s">
        <v>67</v>
      </c>
      <c r="E22" s="10"/>
      <c r="F22" s="10">
        <v>3</v>
      </c>
      <c r="G22" s="17"/>
    </row>
    <row r="23" customFormat="1" ht="22" customHeight="1" spans="1:8">
      <c r="A23" s="8">
        <v>21</v>
      </c>
      <c r="B23" s="9">
        <v>46119</v>
      </c>
      <c r="C23" s="10" t="s">
        <v>44</v>
      </c>
      <c r="D23" s="11" t="s">
        <v>67</v>
      </c>
      <c r="E23" s="10"/>
      <c r="F23" s="10">
        <v>2</v>
      </c>
      <c r="G23" s="17" t="s">
        <v>69</v>
      </c>
      <c r="H23" s="18" t="s">
        <v>75</v>
      </c>
    </row>
    <row r="24" customFormat="1" ht="22" customHeight="1" spans="1:8">
      <c r="A24" s="8"/>
      <c r="B24" s="9"/>
      <c r="C24" s="12"/>
      <c r="D24" s="11"/>
      <c r="E24" s="19"/>
      <c r="F24" s="16"/>
      <c r="G24" s="16"/>
    </row>
    <row r="25" customFormat="1" ht="22" customHeight="1" spans="1:8">
      <c r="A25" s="8"/>
      <c r="B25" s="9"/>
      <c r="C25" s="12"/>
      <c r="D25" s="11"/>
      <c r="E25" s="19"/>
      <c r="F25" s="16"/>
      <c r="G25" s="16"/>
    </row>
    <row r="26" customFormat="1" ht="21" customHeight="1" spans="1:8">
      <c r="E26" s="20">
        <f>SUM(E3:E25)</f>
        <v>19</v>
      </c>
      <c r="F26" s="20">
        <f>SUM(F3:F25)</f>
        <v>43</v>
      </c>
    </row>
  </sheetData>
  <mergeCells count="1">
    <mergeCell ref="A1:G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"/>
  <sheetViews>
    <sheetView topLeftCell="A2" workbookViewId="0">
      <selection activeCell="K15" sqref="K15"/>
    </sheetView>
  </sheetViews>
  <sheetFormatPr defaultColWidth="9.14285714285714" defaultRowHeight="12"/>
  <cols>
    <col min="1" max="1" width="12.1428571428571" customWidth="1"/>
    <col min="2" max="2" width="12.4285714285714" customWidth="1"/>
    <col min="3" max="3" width="20" customWidth="1"/>
    <col min="4" max="6" width="12.1428571428571" customWidth="1"/>
    <col min="7" max="7" width="25.2857142857143" customWidth="1"/>
  </cols>
  <sheetData>
    <row r="1" ht="38" customHeight="1" spans="1:9">
      <c r="A1" s="2" t="s">
        <v>63</v>
      </c>
      <c r="B1" s="2"/>
      <c r="C1" s="2"/>
      <c r="D1" s="2"/>
      <c r="E1" s="2"/>
      <c r="F1" s="3"/>
      <c r="G1" s="4"/>
    </row>
    <row r="2" s="1" customFormat="1" ht="32" customHeight="1" spans="1:9">
      <c r="A2" s="5" t="s">
        <v>2</v>
      </c>
      <c r="B2" s="5" t="s">
        <v>50</v>
      </c>
      <c r="C2" s="5" t="s">
        <v>3</v>
      </c>
      <c r="D2" s="6" t="s">
        <v>64</v>
      </c>
      <c r="E2" s="7" t="s">
        <v>65</v>
      </c>
      <c r="F2" s="7" t="s">
        <v>66</v>
      </c>
      <c r="G2" s="7" t="s">
        <v>7</v>
      </c>
      <c r="I2" s="1" t="s">
        <v>72</v>
      </c>
    </row>
    <row r="3" ht="22" customHeight="1" spans="1:9">
      <c r="A3" s="8">
        <v>1</v>
      </c>
      <c r="B3" s="9">
        <v>46121</v>
      </c>
      <c r="C3" s="10" t="s">
        <v>16</v>
      </c>
      <c r="D3" s="11" t="s">
        <v>70</v>
      </c>
      <c r="E3" s="12"/>
      <c r="F3" s="10">
        <v>4</v>
      </c>
      <c r="G3" s="12"/>
    </row>
    <row r="4" ht="22" customHeight="1" spans="1:9">
      <c r="A4" s="8">
        <v>2</v>
      </c>
      <c r="B4" s="9">
        <v>46121</v>
      </c>
      <c r="C4" s="13" t="s">
        <v>19</v>
      </c>
      <c r="D4" s="11" t="s">
        <v>70</v>
      </c>
      <c r="E4" s="12"/>
      <c r="F4" s="10">
        <v>4</v>
      </c>
      <c r="G4" s="12"/>
    </row>
    <row r="5" ht="22" customHeight="1" spans="1:9">
      <c r="A5" s="8">
        <v>3</v>
      </c>
      <c r="B5" s="9">
        <v>46121</v>
      </c>
      <c r="C5" s="10" t="s">
        <v>21</v>
      </c>
      <c r="D5" s="11" t="s">
        <v>70</v>
      </c>
      <c r="E5" s="12"/>
      <c r="F5" s="10">
        <v>4</v>
      </c>
      <c r="G5" s="12"/>
    </row>
    <row r="6" ht="22" customHeight="1" spans="1:9">
      <c r="A6" s="8">
        <v>4</v>
      </c>
      <c r="B6" s="9">
        <v>46121</v>
      </c>
      <c r="C6" s="10" t="s">
        <v>53</v>
      </c>
      <c r="D6" s="11" t="s">
        <v>70</v>
      </c>
      <c r="E6" s="10">
        <v>4</v>
      </c>
      <c r="F6" s="10"/>
      <c r="G6" s="10"/>
    </row>
    <row r="7" ht="22" customHeight="1" spans="1:9">
      <c r="A7" s="8">
        <v>5</v>
      </c>
      <c r="B7" s="9">
        <v>46121</v>
      </c>
      <c r="C7" s="10" t="s">
        <v>54</v>
      </c>
      <c r="D7" s="11" t="s">
        <v>70</v>
      </c>
      <c r="E7" s="10"/>
      <c r="F7" s="10">
        <v>4</v>
      </c>
      <c r="G7" s="10"/>
    </row>
    <row r="8" ht="22" customHeight="1" spans="1:9">
      <c r="A8" s="8">
        <v>6</v>
      </c>
      <c r="B8" s="9">
        <v>46121</v>
      </c>
      <c r="C8" s="10" t="s">
        <v>25</v>
      </c>
      <c r="D8" s="11" t="s">
        <v>70</v>
      </c>
      <c r="E8" s="12"/>
      <c r="F8" s="10">
        <v>4</v>
      </c>
      <c r="G8" s="12"/>
    </row>
    <row r="9" ht="22" customHeight="1" spans="1:9">
      <c r="A9" s="8">
        <v>7</v>
      </c>
      <c r="B9" s="9">
        <v>46121</v>
      </c>
      <c r="C9" s="10" t="s">
        <v>27</v>
      </c>
      <c r="D9" s="11" t="s">
        <v>70</v>
      </c>
      <c r="E9" s="12"/>
      <c r="F9" s="10">
        <v>4</v>
      </c>
      <c r="G9" s="12"/>
    </row>
    <row r="10" ht="22" customHeight="1" spans="1:9">
      <c r="A10" s="8">
        <v>8</v>
      </c>
      <c r="B10" s="9">
        <v>46121</v>
      </c>
      <c r="C10" s="10" t="s">
        <v>61</v>
      </c>
      <c r="D10" s="11" t="s">
        <v>70</v>
      </c>
      <c r="E10" s="10">
        <v>4</v>
      </c>
      <c r="F10" s="10"/>
      <c r="G10" s="12"/>
    </row>
    <row r="11" ht="22" customHeight="1" spans="1:9">
      <c r="A11" s="8">
        <v>9</v>
      </c>
      <c r="B11" s="9">
        <v>46121</v>
      </c>
      <c r="C11" s="10" t="s">
        <v>31</v>
      </c>
      <c r="D11" s="11" t="s">
        <v>70</v>
      </c>
      <c r="E11" s="10">
        <v>2</v>
      </c>
      <c r="F11" s="10">
        <v>2</v>
      </c>
      <c r="G11" s="12"/>
    </row>
    <row r="12" customFormat="1" ht="22" customHeight="1" spans="1:9">
      <c r="A12" s="8">
        <v>10</v>
      </c>
      <c r="B12" s="9">
        <v>46121</v>
      </c>
      <c r="C12" s="10" t="s">
        <v>32</v>
      </c>
      <c r="D12" s="11" t="s">
        <v>70</v>
      </c>
      <c r="E12" s="10">
        <v>2</v>
      </c>
      <c r="F12" s="10">
        <v>2</v>
      </c>
      <c r="G12" s="12"/>
    </row>
    <row r="13" customFormat="1" ht="22" customHeight="1" spans="1:9">
      <c r="A13" s="8">
        <v>11</v>
      </c>
      <c r="B13" s="9">
        <v>46121</v>
      </c>
      <c r="C13" s="10" t="s">
        <v>33</v>
      </c>
      <c r="D13" s="11" t="s">
        <v>70</v>
      </c>
      <c r="E13" s="10">
        <v>4</v>
      </c>
      <c r="F13" s="12"/>
      <c r="G13" s="12"/>
    </row>
    <row r="14" customFormat="1" ht="22" customHeight="1" spans="1:9">
      <c r="A14" s="8">
        <v>12</v>
      </c>
      <c r="B14" s="9">
        <v>46121</v>
      </c>
      <c r="C14" s="10" t="s">
        <v>34</v>
      </c>
      <c r="D14" s="11" t="s">
        <v>70</v>
      </c>
      <c r="E14" s="12"/>
      <c r="F14" s="10">
        <v>4</v>
      </c>
      <c r="G14" s="12"/>
    </row>
    <row r="15" customFormat="1" ht="22" customHeight="1" spans="1:9">
      <c r="A15" s="8">
        <v>13</v>
      </c>
      <c r="B15" s="9">
        <v>46121</v>
      </c>
      <c r="C15" s="10" t="s">
        <v>35</v>
      </c>
      <c r="D15" s="11" t="s">
        <v>70</v>
      </c>
      <c r="E15" s="10">
        <v>4</v>
      </c>
      <c r="F15" s="12"/>
      <c r="G15" s="12"/>
    </row>
    <row r="16" customFormat="1" ht="22" customHeight="1" spans="1:9">
      <c r="A16" s="8">
        <v>14</v>
      </c>
      <c r="B16" s="9">
        <v>46121</v>
      </c>
      <c r="C16" s="10" t="s">
        <v>38</v>
      </c>
      <c r="D16" s="11" t="s">
        <v>70</v>
      </c>
      <c r="E16" s="12"/>
      <c r="F16" s="10">
        <v>4</v>
      </c>
      <c r="G16" s="12"/>
    </row>
    <row r="17" customFormat="1" ht="22" customHeight="1" spans="1:8">
      <c r="A17" s="8">
        <v>15</v>
      </c>
      <c r="B17" s="9">
        <v>46121</v>
      </c>
      <c r="C17" s="14" t="s">
        <v>39</v>
      </c>
      <c r="D17" s="11" t="s">
        <v>70</v>
      </c>
      <c r="E17" s="10">
        <v>4</v>
      </c>
      <c r="F17" s="15"/>
      <c r="G17" s="16"/>
    </row>
    <row r="18" customFormat="1" ht="22" customHeight="1" spans="1:8">
      <c r="A18" s="8">
        <v>16</v>
      </c>
      <c r="B18" s="9">
        <v>46121</v>
      </c>
      <c r="C18" s="12" t="s">
        <v>40</v>
      </c>
      <c r="D18" s="11" t="s">
        <v>70</v>
      </c>
      <c r="E18" s="15">
        <v>2</v>
      </c>
      <c r="F18" s="15">
        <v>2</v>
      </c>
      <c r="G18" s="16"/>
    </row>
    <row r="19" customFormat="1" ht="22" customHeight="1" spans="1:8">
      <c r="A19" s="8">
        <v>17</v>
      </c>
      <c r="B19" s="9">
        <v>46121</v>
      </c>
      <c r="C19" s="12" t="s">
        <v>42</v>
      </c>
      <c r="D19" s="11" t="s">
        <v>70</v>
      </c>
      <c r="E19" s="15"/>
      <c r="F19" s="15">
        <v>4</v>
      </c>
      <c r="G19" s="16"/>
    </row>
    <row r="20" customFormat="1" ht="22" customHeight="1" spans="1:8">
      <c r="A20" s="8">
        <v>18</v>
      </c>
      <c r="B20" s="9">
        <v>46121</v>
      </c>
      <c r="C20" s="10" t="s">
        <v>62</v>
      </c>
      <c r="D20" s="11" t="s">
        <v>70</v>
      </c>
      <c r="E20" s="10"/>
      <c r="F20" s="10">
        <v>4</v>
      </c>
      <c r="G20" s="16"/>
    </row>
    <row r="21" customFormat="1" ht="22" customHeight="1" spans="1:8">
      <c r="A21" s="8">
        <v>19</v>
      </c>
      <c r="B21" s="9">
        <v>46121</v>
      </c>
      <c r="C21" s="10" t="s">
        <v>62</v>
      </c>
      <c r="D21" s="11" t="s">
        <v>70</v>
      </c>
      <c r="E21" s="15"/>
      <c r="F21" s="10">
        <v>3</v>
      </c>
      <c r="G21" s="16" t="s">
        <v>73</v>
      </c>
      <c r="H21" s="18" t="s">
        <v>77</v>
      </c>
    </row>
    <row r="22" customFormat="1" ht="22" customHeight="1" spans="1:8">
      <c r="A22" s="8">
        <v>24</v>
      </c>
      <c r="B22" s="9">
        <v>46121</v>
      </c>
      <c r="C22" s="10" t="s">
        <v>44</v>
      </c>
      <c r="D22" s="10" t="s">
        <v>70</v>
      </c>
      <c r="E22" s="10"/>
      <c r="F22" s="10">
        <v>4</v>
      </c>
      <c r="G22" s="17"/>
    </row>
    <row r="23" customFormat="1" ht="22" customHeight="1" spans="1:8">
      <c r="A23" s="8">
        <v>25</v>
      </c>
      <c r="B23" s="9">
        <v>46121</v>
      </c>
      <c r="C23" s="10" t="s">
        <v>44</v>
      </c>
      <c r="D23" s="10"/>
      <c r="E23" s="10"/>
      <c r="F23" s="10">
        <v>2</v>
      </c>
      <c r="G23" s="17" t="s">
        <v>69</v>
      </c>
      <c r="H23" s="18" t="s">
        <v>75</v>
      </c>
    </row>
    <row r="24" customFormat="1" ht="22" customHeight="1" spans="1:8">
      <c r="A24" s="8">
        <v>26</v>
      </c>
      <c r="B24" s="9"/>
      <c r="C24" s="10" t="s">
        <v>36</v>
      </c>
      <c r="D24" s="11"/>
      <c r="E24" s="15"/>
      <c r="F24" s="15">
        <v>0</v>
      </c>
      <c r="G24" s="16" t="s">
        <v>78</v>
      </c>
    </row>
    <row r="25" customFormat="1" ht="22" customHeight="1" spans="1:8">
      <c r="A25" s="8"/>
      <c r="B25" s="22"/>
      <c r="C25" s="23"/>
      <c r="D25" s="24"/>
      <c r="E25" s="19"/>
      <c r="F25" s="16"/>
      <c r="G25" s="16"/>
    </row>
    <row r="26" customFormat="1" ht="13.5" spans="1:8">
      <c r="E26" s="20">
        <f>SUM(E3:E25)</f>
        <v>26</v>
      </c>
      <c r="F26" s="20">
        <f>SUM(F3:F25)</f>
        <v>55</v>
      </c>
    </row>
    <row r="28" customFormat="1" ht="14.25" spans="1:8">
      <c r="C28" s="25"/>
      <c r="D28" s="11"/>
    </row>
  </sheetData>
  <mergeCells count="1">
    <mergeCell ref="A1:G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workbookViewId="0">
      <pane ySplit="2" topLeftCell="A3" activePane="bottomLeft" state="frozen"/>
      <selection/>
      <selection pane="bottomLeft" activeCell="A1" sqref="$A1:$XFD1048576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18.5714285714286" customWidth="1"/>
    <col min="4" max="6" width="12.1428571428571" customWidth="1"/>
    <col min="7" max="7" width="25.2857142857143" customWidth="1"/>
  </cols>
  <sheetData>
    <row r="1" ht="38" customHeight="1" spans="1:9">
      <c r="A1" s="2" t="s">
        <v>63</v>
      </c>
      <c r="B1" s="2"/>
      <c r="C1" s="2"/>
      <c r="D1" s="2"/>
      <c r="E1" s="2"/>
      <c r="F1" s="3"/>
      <c r="G1" s="4"/>
    </row>
    <row r="2" s="1" customFormat="1" ht="32" customHeight="1" spans="1:9">
      <c r="A2" s="5" t="s">
        <v>2</v>
      </c>
      <c r="B2" s="5" t="s">
        <v>50</v>
      </c>
      <c r="C2" s="5" t="s">
        <v>3</v>
      </c>
      <c r="D2" s="6" t="s">
        <v>64</v>
      </c>
      <c r="E2" s="7" t="s">
        <v>65</v>
      </c>
      <c r="F2" s="7" t="s">
        <v>66</v>
      </c>
      <c r="G2" s="7" t="s">
        <v>7</v>
      </c>
      <c r="I2" s="1" t="s">
        <v>79</v>
      </c>
    </row>
    <row r="3" ht="22" customHeight="1" spans="1:9">
      <c r="A3" s="8">
        <v>1</v>
      </c>
      <c r="B3" s="9">
        <v>46125</v>
      </c>
      <c r="C3" s="10" t="s">
        <v>16</v>
      </c>
      <c r="D3" s="11" t="s">
        <v>67</v>
      </c>
      <c r="E3" s="12"/>
      <c r="F3" s="10">
        <v>3</v>
      </c>
      <c r="G3" s="12"/>
      <c r="I3">
        <f>E3+F3</f>
        <v>3</v>
      </c>
    </row>
    <row r="4" ht="22" customHeight="1" spans="1:9">
      <c r="A4" s="8">
        <v>2</v>
      </c>
      <c r="B4" s="9">
        <v>46125</v>
      </c>
      <c r="C4" s="13" t="s">
        <v>19</v>
      </c>
      <c r="D4" s="11" t="s">
        <v>67</v>
      </c>
      <c r="E4" s="12"/>
      <c r="F4" s="10">
        <v>3</v>
      </c>
      <c r="G4" s="12"/>
      <c r="I4">
        <f t="shared" ref="I4:I22" si="0">E4+F4</f>
        <v>3</v>
      </c>
    </row>
    <row r="5" ht="22" customHeight="1" spans="1:9">
      <c r="A5" s="8">
        <v>3</v>
      </c>
      <c r="B5" s="9">
        <v>46125</v>
      </c>
      <c r="C5" s="10" t="s">
        <v>21</v>
      </c>
      <c r="D5" s="11" t="s">
        <v>67</v>
      </c>
      <c r="E5" s="12"/>
      <c r="F5" s="10">
        <v>3</v>
      </c>
      <c r="G5" s="12"/>
      <c r="I5">
        <f t="shared" si="0"/>
        <v>3</v>
      </c>
    </row>
    <row r="6" ht="22" customHeight="1" spans="1:9">
      <c r="A6" s="8">
        <v>4</v>
      </c>
      <c r="B6" s="9">
        <v>46125</v>
      </c>
      <c r="C6" s="10" t="s">
        <v>53</v>
      </c>
      <c r="D6" s="11" t="s">
        <v>67</v>
      </c>
      <c r="E6" s="10">
        <v>3</v>
      </c>
      <c r="F6" s="10"/>
      <c r="G6" s="10"/>
      <c r="I6">
        <f t="shared" si="0"/>
        <v>3</v>
      </c>
    </row>
    <row r="7" ht="22" customHeight="1" spans="1:9">
      <c r="A7" s="8">
        <v>5</v>
      </c>
      <c r="B7" s="9">
        <v>46125</v>
      </c>
      <c r="C7" s="10" t="s">
        <v>54</v>
      </c>
      <c r="D7" s="11" t="s">
        <v>67</v>
      </c>
      <c r="E7" s="10"/>
      <c r="F7" s="10">
        <v>3</v>
      </c>
      <c r="G7" s="10"/>
      <c r="I7">
        <f t="shared" si="0"/>
        <v>3</v>
      </c>
    </row>
    <row r="8" ht="22" customHeight="1" spans="1:9">
      <c r="A8" s="8">
        <v>6</v>
      </c>
      <c r="B8" s="9">
        <v>46125</v>
      </c>
      <c r="C8" s="10" t="s">
        <v>25</v>
      </c>
      <c r="D8" s="11" t="s">
        <v>67</v>
      </c>
      <c r="E8" s="12"/>
      <c r="F8" s="10">
        <v>3</v>
      </c>
      <c r="G8" s="12"/>
      <c r="I8">
        <f t="shared" si="0"/>
        <v>3</v>
      </c>
    </row>
    <row r="9" ht="22" customHeight="1" spans="1:9">
      <c r="A9" s="8">
        <v>7</v>
      </c>
      <c r="B9" s="9">
        <v>46125</v>
      </c>
      <c r="C9" s="10" t="s">
        <v>27</v>
      </c>
      <c r="D9" s="11" t="s">
        <v>67</v>
      </c>
      <c r="E9" s="12"/>
      <c r="F9" s="10">
        <v>3</v>
      </c>
      <c r="G9" s="12"/>
      <c r="I9">
        <f t="shared" si="0"/>
        <v>3</v>
      </c>
    </row>
    <row r="10" ht="22" customHeight="1" spans="1:9">
      <c r="A10" s="8">
        <v>8</v>
      </c>
      <c r="B10" s="9">
        <v>46125</v>
      </c>
      <c r="C10" s="10" t="s">
        <v>61</v>
      </c>
      <c r="D10" s="11" t="s">
        <v>67</v>
      </c>
      <c r="E10" s="10">
        <v>2</v>
      </c>
      <c r="F10" s="10">
        <v>1</v>
      </c>
      <c r="G10" s="12"/>
      <c r="I10">
        <f t="shared" si="0"/>
        <v>3</v>
      </c>
    </row>
    <row r="11" ht="22" customHeight="1" spans="1:9">
      <c r="A11" s="8">
        <v>9</v>
      </c>
      <c r="B11" s="9">
        <v>46125</v>
      </c>
      <c r="C11" s="10" t="s">
        <v>31</v>
      </c>
      <c r="D11" s="11" t="s">
        <v>67</v>
      </c>
      <c r="E11" s="10">
        <v>2</v>
      </c>
      <c r="F11" s="10">
        <v>1</v>
      </c>
      <c r="G11" s="12"/>
      <c r="I11">
        <f t="shared" si="0"/>
        <v>3</v>
      </c>
    </row>
    <row r="12" customFormat="1" ht="22" customHeight="1" spans="1:9">
      <c r="A12" s="8">
        <v>10</v>
      </c>
      <c r="B12" s="9">
        <v>46125</v>
      </c>
      <c r="C12" s="10" t="s">
        <v>32</v>
      </c>
      <c r="D12" s="11" t="s">
        <v>67</v>
      </c>
      <c r="E12" s="10">
        <v>2</v>
      </c>
      <c r="F12" s="10">
        <v>1</v>
      </c>
      <c r="G12" s="12"/>
      <c r="I12">
        <f t="shared" si="0"/>
        <v>3</v>
      </c>
    </row>
    <row r="13" customFormat="1" ht="22" customHeight="1" spans="1:9">
      <c r="A13" s="8">
        <v>11</v>
      </c>
      <c r="B13" s="9">
        <v>46125</v>
      </c>
      <c r="C13" s="10" t="s">
        <v>33</v>
      </c>
      <c r="D13" s="11" t="s">
        <v>67</v>
      </c>
      <c r="E13" s="10">
        <v>3</v>
      </c>
      <c r="F13" s="12"/>
      <c r="G13" s="12"/>
      <c r="I13">
        <f t="shared" si="0"/>
        <v>3</v>
      </c>
    </row>
    <row r="14" customFormat="1" ht="22" customHeight="1" spans="1:9">
      <c r="A14" s="8">
        <v>12</v>
      </c>
      <c r="B14" s="9">
        <v>46125</v>
      </c>
      <c r="C14" s="10" t="s">
        <v>34</v>
      </c>
      <c r="D14" s="11" t="s">
        <v>67</v>
      </c>
      <c r="E14" s="12"/>
      <c r="F14" s="10">
        <v>3</v>
      </c>
      <c r="G14" s="12"/>
      <c r="I14">
        <f t="shared" si="0"/>
        <v>3</v>
      </c>
    </row>
    <row r="15" customFormat="1" ht="22" customHeight="1" spans="1:9">
      <c r="A15" s="8">
        <v>13</v>
      </c>
      <c r="B15" s="9">
        <v>46125</v>
      </c>
      <c r="C15" s="10" t="s">
        <v>35</v>
      </c>
      <c r="D15" s="11" t="s">
        <v>67</v>
      </c>
      <c r="E15" s="10">
        <v>3</v>
      </c>
      <c r="F15" s="12"/>
      <c r="G15" s="12"/>
      <c r="I15">
        <f t="shared" si="0"/>
        <v>3</v>
      </c>
    </row>
    <row r="16" customFormat="1" ht="22" customHeight="1" spans="1:9">
      <c r="A16" s="8">
        <v>14</v>
      </c>
      <c r="B16" s="9">
        <v>46125</v>
      </c>
      <c r="C16" s="10" t="s">
        <v>38</v>
      </c>
      <c r="D16" s="11" t="s">
        <v>67</v>
      </c>
      <c r="E16" s="12"/>
      <c r="F16" s="10">
        <v>3</v>
      </c>
      <c r="G16" s="12"/>
      <c r="I16">
        <f t="shared" si="0"/>
        <v>3</v>
      </c>
    </row>
    <row r="17" customFormat="1" ht="22" customHeight="1" spans="1:9">
      <c r="A17" s="8">
        <v>15</v>
      </c>
      <c r="B17" s="9">
        <v>46125</v>
      </c>
      <c r="C17" s="14" t="s">
        <v>39</v>
      </c>
      <c r="D17" s="11" t="s">
        <v>67</v>
      </c>
      <c r="E17" s="10">
        <v>3</v>
      </c>
      <c r="F17" s="15"/>
      <c r="G17" s="16"/>
      <c r="I17">
        <f t="shared" si="0"/>
        <v>3</v>
      </c>
    </row>
    <row r="18" customFormat="1" ht="22" customHeight="1" spans="1:9">
      <c r="A18" s="8">
        <v>16</v>
      </c>
      <c r="B18" s="9">
        <v>46125</v>
      </c>
      <c r="C18" s="12" t="s">
        <v>40</v>
      </c>
      <c r="D18" s="11" t="s">
        <v>67</v>
      </c>
      <c r="E18" s="15">
        <v>1</v>
      </c>
      <c r="F18" s="15">
        <v>2</v>
      </c>
      <c r="G18" s="16" t="s">
        <v>76</v>
      </c>
      <c r="I18">
        <f t="shared" si="0"/>
        <v>3</v>
      </c>
    </row>
    <row r="19" customFormat="1" ht="22" customHeight="1" spans="1:9">
      <c r="A19" s="8">
        <v>17</v>
      </c>
      <c r="B19" s="9">
        <v>46125</v>
      </c>
      <c r="C19" s="12" t="s">
        <v>42</v>
      </c>
      <c r="D19" s="11" t="s">
        <v>67</v>
      </c>
      <c r="E19" s="15"/>
      <c r="F19" s="15">
        <v>3</v>
      </c>
      <c r="G19" s="16"/>
      <c r="I19">
        <f t="shared" si="0"/>
        <v>3</v>
      </c>
    </row>
    <row r="20" customFormat="1" ht="22" customHeight="1" spans="1:9">
      <c r="A20" s="8">
        <v>18</v>
      </c>
      <c r="B20" s="9">
        <v>46125</v>
      </c>
      <c r="C20" s="10" t="s">
        <v>62</v>
      </c>
      <c r="D20" s="11" t="s">
        <v>67</v>
      </c>
      <c r="E20" s="10"/>
      <c r="F20" s="10">
        <v>3</v>
      </c>
      <c r="G20" s="16"/>
      <c r="I20">
        <f t="shared" si="0"/>
        <v>3</v>
      </c>
    </row>
    <row r="21" customFormat="1" ht="22" customHeight="1" spans="1:9">
      <c r="A21" s="8">
        <v>20</v>
      </c>
      <c r="B21" s="9">
        <v>46125</v>
      </c>
      <c r="C21" s="10" t="s">
        <v>44</v>
      </c>
      <c r="D21" s="11" t="s">
        <v>67</v>
      </c>
      <c r="E21" s="10"/>
      <c r="F21" s="10">
        <v>3</v>
      </c>
      <c r="G21" s="17"/>
      <c r="I21">
        <f t="shared" si="0"/>
        <v>3</v>
      </c>
    </row>
    <row r="22" customFormat="1" ht="22" customHeight="1" spans="1:9">
      <c r="A22" s="8">
        <v>21</v>
      </c>
      <c r="B22" s="9">
        <v>46125</v>
      </c>
      <c r="C22" s="10" t="s">
        <v>44</v>
      </c>
      <c r="D22" s="11" t="s">
        <v>67</v>
      </c>
      <c r="E22" s="10"/>
      <c r="F22" s="10">
        <v>2</v>
      </c>
      <c r="G22" s="17" t="s">
        <v>69</v>
      </c>
      <c r="H22" s="18" t="s">
        <v>75</v>
      </c>
      <c r="I22">
        <f t="shared" si="0"/>
        <v>2</v>
      </c>
    </row>
    <row r="23" customFormat="1" ht="22" customHeight="1" spans="1:9">
      <c r="A23" s="8"/>
      <c r="B23" s="9"/>
      <c r="C23" s="12"/>
      <c r="D23" s="11"/>
      <c r="E23" s="19"/>
      <c r="F23" s="16"/>
      <c r="G23" s="16"/>
    </row>
    <row r="24" customFormat="1" ht="22" customHeight="1" spans="1:9">
      <c r="A24" s="8"/>
      <c r="B24" s="9"/>
      <c r="C24" s="12"/>
      <c r="D24" s="11"/>
      <c r="E24" s="19"/>
      <c r="F24" s="16"/>
      <c r="G24" s="16"/>
    </row>
    <row r="25" customFormat="1" ht="21" customHeight="1" spans="1:9">
      <c r="E25" s="20">
        <f>SUM(E3:E24)</f>
        <v>19</v>
      </c>
      <c r="F25" s="20">
        <f>SUM(F3:F24)</f>
        <v>40</v>
      </c>
      <c r="I25">
        <f>SUM(I3:I24)</f>
        <v>59</v>
      </c>
    </row>
  </sheetData>
  <mergeCells count="1">
    <mergeCell ref="A1:G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workbookViewId="0">
      <pane ySplit="2" topLeftCell="A7" activePane="bottomLeft" state="frozen"/>
      <selection/>
      <selection pane="bottomLeft" activeCell="D24" sqref="D24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18.5714285714286" customWidth="1"/>
    <col min="4" max="6" width="12.1428571428571" customWidth="1"/>
    <col min="7" max="7" width="25.2857142857143" customWidth="1"/>
  </cols>
  <sheetData>
    <row r="1" ht="38" customHeight="1" spans="1:9">
      <c r="A1" s="2" t="s">
        <v>63</v>
      </c>
      <c r="B1" s="2"/>
      <c r="C1" s="2"/>
      <c r="D1" s="2"/>
      <c r="E1" s="2"/>
      <c r="F1" s="3"/>
      <c r="G1" s="4"/>
    </row>
    <row r="2" s="1" customFormat="1" ht="32" customHeight="1" spans="1:9">
      <c r="A2" s="5" t="s">
        <v>2</v>
      </c>
      <c r="B2" s="5" t="s">
        <v>50</v>
      </c>
      <c r="C2" s="5" t="s">
        <v>3</v>
      </c>
      <c r="D2" s="6" t="s">
        <v>64</v>
      </c>
      <c r="E2" s="7" t="s">
        <v>65</v>
      </c>
      <c r="F2" s="7" t="s">
        <v>66</v>
      </c>
      <c r="G2" s="7" t="s">
        <v>7</v>
      </c>
      <c r="I2" s="1" t="s">
        <v>79</v>
      </c>
    </row>
    <row r="3" ht="22" customHeight="1" spans="1:9">
      <c r="A3" s="8">
        <v>1</v>
      </c>
      <c r="B3" s="9">
        <v>46128</v>
      </c>
      <c r="C3" s="10" t="s">
        <v>16</v>
      </c>
      <c r="D3" s="11" t="s">
        <v>70</v>
      </c>
      <c r="E3" s="12"/>
      <c r="F3" s="10">
        <v>4</v>
      </c>
      <c r="G3" s="12"/>
      <c r="I3">
        <f>E3+F3</f>
        <v>4</v>
      </c>
    </row>
    <row r="4" ht="22" customHeight="1" spans="1:9">
      <c r="A4" s="8">
        <v>2</v>
      </c>
      <c r="B4" s="9">
        <v>46128</v>
      </c>
      <c r="C4" s="13" t="s">
        <v>19</v>
      </c>
      <c r="D4" s="11" t="s">
        <v>70</v>
      </c>
      <c r="E4" s="12"/>
      <c r="F4" s="10">
        <v>4</v>
      </c>
      <c r="G4" s="12"/>
      <c r="I4">
        <f t="shared" ref="I4:I25" si="0">E4+F4</f>
        <v>4</v>
      </c>
    </row>
    <row r="5" ht="22" customHeight="1" spans="1:9">
      <c r="A5" s="8">
        <v>3</v>
      </c>
      <c r="B5" s="9">
        <v>46128</v>
      </c>
      <c r="C5" s="10" t="s">
        <v>21</v>
      </c>
      <c r="D5" s="11" t="s">
        <v>70</v>
      </c>
      <c r="E5" s="12"/>
      <c r="F5" s="10">
        <v>4</v>
      </c>
      <c r="G5" s="12"/>
      <c r="I5">
        <f t="shared" si="0"/>
        <v>4</v>
      </c>
    </row>
    <row r="6" ht="22" customHeight="1" spans="1:9">
      <c r="A6" s="8">
        <v>4</v>
      </c>
      <c r="B6" s="9">
        <v>46128</v>
      </c>
      <c r="C6" s="10" t="s">
        <v>53</v>
      </c>
      <c r="D6" s="11" t="s">
        <v>70</v>
      </c>
      <c r="E6" s="10">
        <v>4</v>
      </c>
      <c r="F6" s="10"/>
      <c r="G6" s="10"/>
      <c r="I6">
        <f t="shared" si="0"/>
        <v>4</v>
      </c>
    </row>
    <row r="7" ht="22" customHeight="1" spans="1:9">
      <c r="A7" s="8">
        <v>5</v>
      </c>
      <c r="B7" s="9">
        <v>46128</v>
      </c>
      <c r="C7" s="10" t="s">
        <v>54</v>
      </c>
      <c r="D7" s="11" t="s">
        <v>70</v>
      </c>
      <c r="E7" s="10"/>
      <c r="F7" s="10">
        <v>4</v>
      </c>
      <c r="G7" s="10"/>
      <c r="I7">
        <f t="shared" si="0"/>
        <v>4</v>
      </c>
    </row>
    <row r="8" ht="22" customHeight="1" spans="1:9">
      <c r="A8" s="8">
        <v>6</v>
      </c>
      <c r="B8" s="9">
        <v>46128</v>
      </c>
      <c r="C8" s="10" t="s">
        <v>25</v>
      </c>
      <c r="D8" s="11" t="s">
        <v>70</v>
      </c>
      <c r="E8" s="12"/>
      <c r="F8" s="10">
        <v>4</v>
      </c>
      <c r="G8" s="12"/>
      <c r="I8">
        <f t="shared" si="0"/>
        <v>4</v>
      </c>
    </row>
    <row r="9" ht="22" customHeight="1" spans="1:9">
      <c r="A9" s="8">
        <v>7</v>
      </c>
      <c r="B9" s="9">
        <v>46128</v>
      </c>
      <c r="C9" s="10" t="s">
        <v>27</v>
      </c>
      <c r="D9" s="11" t="s">
        <v>70</v>
      </c>
      <c r="E9" s="12"/>
      <c r="F9" s="10">
        <v>4</v>
      </c>
      <c r="G9" s="12"/>
      <c r="I9">
        <f t="shared" si="0"/>
        <v>4</v>
      </c>
    </row>
    <row r="10" ht="22" customHeight="1" spans="1:9">
      <c r="A10" s="8">
        <v>8</v>
      </c>
      <c r="B10" s="9">
        <v>46128</v>
      </c>
      <c r="C10" s="10" t="s">
        <v>61</v>
      </c>
      <c r="D10" s="11" t="s">
        <v>70</v>
      </c>
      <c r="E10" s="10">
        <v>4</v>
      </c>
      <c r="F10" s="10"/>
      <c r="G10" s="12"/>
      <c r="I10">
        <f t="shared" si="0"/>
        <v>4</v>
      </c>
    </row>
    <row r="11" ht="22" customHeight="1" spans="1:9">
      <c r="A11" s="8">
        <v>9</v>
      </c>
      <c r="B11" s="9">
        <v>46128</v>
      </c>
      <c r="C11" s="10" t="s">
        <v>31</v>
      </c>
      <c r="D11" s="11" t="s">
        <v>70</v>
      </c>
      <c r="E11" s="10">
        <v>2</v>
      </c>
      <c r="F11" s="10">
        <v>2</v>
      </c>
      <c r="G11" s="12"/>
      <c r="I11">
        <f t="shared" si="0"/>
        <v>4</v>
      </c>
    </row>
    <row r="12" customFormat="1" ht="22" customHeight="1" spans="1:9">
      <c r="A12" s="8">
        <v>10</v>
      </c>
      <c r="B12" s="9">
        <v>46128</v>
      </c>
      <c r="C12" s="10" t="s">
        <v>32</v>
      </c>
      <c r="D12" s="11" t="s">
        <v>70</v>
      </c>
      <c r="E12" s="10">
        <v>2</v>
      </c>
      <c r="F12" s="10">
        <v>2</v>
      </c>
      <c r="G12" s="12"/>
      <c r="I12">
        <f t="shared" si="0"/>
        <v>4</v>
      </c>
    </row>
    <row r="13" customFormat="1" ht="22" customHeight="1" spans="1:9">
      <c r="A13" s="8">
        <v>11</v>
      </c>
      <c r="B13" s="9">
        <v>46128</v>
      </c>
      <c r="C13" s="10" t="s">
        <v>33</v>
      </c>
      <c r="D13" s="11" t="s">
        <v>70</v>
      </c>
      <c r="E13" s="10">
        <v>4</v>
      </c>
      <c r="F13" s="12"/>
      <c r="G13" s="12"/>
      <c r="I13">
        <f t="shared" si="0"/>
        <v>4</v>
      </c>
    </row>
    <row r="14" customFormat="1" ht="22" customHeight="1" spans="1:9">
      <c r="A14" s="8">
        <v>12</v>
      </c>
      <c r="B14" s="9">
        <v>46128</v>
      </c>
      <c r="C14" s="10" t="s">
        <v>34</v>
      </c>
      <c r="D14" s="11" t="s">
        <v>70</v>
      </c>
      <c r="E14" s="12"/>
      <c r="F14" s="10">
        <v>4</v>
      </c>
      <c r="G14" s="12"/>
      <c r="I14">
        <f t="shared" si="0"/>
        <v>4</v>
      </c>
    </row>
    <row r="15" customFormat="1" ht="22" customHeight="1" spans="1:9">
      <c r="A15" s="8">
        <v>13</v>
      </c>
      <c r="B15" s="9">
        <v>46128</v>
      </c>
      <c r="C15" s="10" t="s">
        <v>35</v>
      </c>
      <c r="D15" s="11" t="s">
        <v>70</v>
      </c>
      <c r="E15" s="10">
        <v>4</v>
      </c>
      <c r="F15" s="12"/>
      <c r="G15" s="12"/>
      <c r="I15">
        <f t="shared" si="0"/>
        <v>4</v>
      </c>
    </row>
    <row r="16" customFormat="1" ht="22" customHeight="1" spans="1:9">
      <c r="A16" s="8">
        <v>14</v>
      </c>
      <c r="B16" s="9">
        <v>46128</v>
      </c>
      <c r="C16" s="10" t="s">
        <v>38</v>
      </c>
      <c r="D16" s="11" t="s">
        <v>70</v>
      </c>
      <c r="E16" s="12"/>
      <c r="F16" s="10">
        <v>4</v>
      </c>
      <c r="G16" s="12"/>
      <c r="I16">
        <f t="shared" si="0"/>
        <v>4</v>
      </c>
    </row>
    <row r="17" customFormat="1" ht="22" customHeight="1" spans="1:9">
      <c r="A17" s="8">
        <v>15</v>
      </c>
      <c r="B17" s="9">
        <v>46128</v>
      </c>
      <c r="C17" s="14" t="s">
        <v>39</v>
      </c>
      <c r="D17" s="11" t="s">
        <v>70</v>
      </c>
      <c r="E17" s="10">
        <v>4</v>
      </c>
      <c r="F17" s="15"/>
      <c r="G17" s="16"/>
      <c r="I17">
        <f t="shared" si="0"/>
        <v>4</v>
      </c>
    </row>
    <row r="18" customFormat="1" ht="22" customHeight="1" spans="1:9">
      <c r="A18" s="8">
        <v>16</v>
      </c>
      <c r="B18" s="9">
        <v>46128</v>
      </c>
      <c r="C18" s="12" t="s">
        <v>40</v>
      </c>
      <c r="D18" s="11" t="s">
        <v>70</v>
      </c>
      <c r="E18" s="15">
        <v>2</v>
      </c>
      <c r="F18" s="15">
        <v>2</v>
      </c>
      <c r="G18" s="16" t="s">
        <v>76</v>
      </c>
      <c r="I18">
        <f t="shared" si="0"/>
        <v>4</v>
      </c>
    </row>
    <row r="19" customFormat="1" ht="22" customHeight="1" spans="1:9">
      <c r="A19" s="8">
        <v>17</v>
      </c>
      <c r="B19" s="9">
        <v>46128</v>
      </c>
      <c r="C19" s="12" t="s">
        <v>42</v>
      </c>
      <c r="D19" s="11" t="s">
        <v>70</v>
      </c>
      <c r="E19" s="15"/>
      <c r="F19" s="15">
        <v>4</v>
      </c>
      <c r="G19" s="16"/>
      <c r="I19">
        <f t="shared" si="0"/>
        <v>4</v>
      </c>
    </row>
    <row r="20" customFormat="1" ht="22" customHeight="1" spans="1:9">
      <c r="A20" s="8">
        <v>18</v>
      </c>
      <c r="B20" s="9">
        <v>46128</v>
      </c>
      <c r="C20" s="10" t="s">
        <v>62</v>
      </c>
      <c r="D20" s="11" t="s">
        <v>70</v>
      </c>
      <c r="E20" s="10"/>
      <c r="F20" s="10">
        <v>4</v>
      </c>
      <c r="G20" s="16"/>
      <c r="I20">
        <f t="shared" si="0"/>
        <v>4</v>
      </c>
    </row>
    <row r="21" customFormat="1" ht="22" customHeight="1" spans="1:9">
      <c r="A21" s="8">
        <v>20</v>
      </c>
      <c r="B21" s="9">
        <v>46128</v>
      </c>
      <c r="C21" s="10" t="s">
        <v>44</v>
      </c>
      <c r="D21" s="11" t="s">
        <v>70</v>
      </c>
      <c r="E21" s="10"/>
      <c r="F21" s="10">
        <v>4</v>
      </c>
      <c r="G21" s="17"/>
      <c r="I21">
        <f t="shared" si="0"/>
        <v>4</v>
      </c>
    </row>
    <row r="22" customFormat="1" ht="22" customHeight="1" spans="1:9">
      <c r="A22" s="8">
        <v>21</v>
      </c>
      <c r="B22" s="9">
        <v>46128</v>
      </c>
      <c r="C22" s="10" t="s">
        <v>44</v>
      </c>
      <c r="D22" s="11"/>
      <c r="E22" s="10"/>
      <c r="F22" s="10">
        <v>2</v>
      </c>
      <c r="G22" s="17" t="s">
        <v>80</v>
      </c>
      <c r="H22" s="18" t="s">
        <v>75</v>
      </c>
      <c r="I22">
        <f t="shared" si="0"/>
        <v>2</v>
      </c>
    </row>
    <row r="23" customFormat="1" ht="22" customHeight="1" spans="1:9">
      <c r="A23" s="8"/>
      <c r="B23" s="9"/>
      <c r="C23" s="12"/>
      <c r="D23" s="11"/>
      <c r="E23" s="19"/>
      <c r="F23" s="16"/>
      <c r="G23" s="16"/>
      <c r="I23">
        <f t="shared" si="0"/>
        <v>0</v>
      </c>
    </row>
    <row r="24" customFormat="1" ht="22" customHeight="1" spans="1:9">
      <c r="A24" s="8"/>
      <c r="B24" s="9"/>
      <c r="C24" s="12"/>
      <c r="D24" s="11"/>
      <c r="E24" s="19"/>
      <c r="F24" s="16"/>
      <c r="G24" s="16"/>
      <c r="I24">
        <f t="shared" si="0"/>
        <v>0</v>
      </c>
    </row>
    <row r="25" customFormat="1" ht="21" customHeight="1" spans="1:9">
      <c r="E25" s="20">
        <f>SUM(E3:E24)</f>
        <v>26</v>
      </c>
      <c r="F25" s="20">
        <f>SUM(F3:F24)</f>
        <v>52</v>
      </c>
      <c r="I25">
        <f t="shared" si="0"/>
        <v>78</v>
      </c>
    </row>
    <row r="27" ht="21" customHeight="1" spans="1:9">
      <c r="E27" s="21"/>
      <c r="F27" s="21"/>
    </row>
  </sheetData>
  <mergeCells count="1">
    <mergeCell ref="A1:G1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workbookViewId="0">
      <pane ySplit="2" topLeftCell="A11" activePane="bottomLeft" state="frozen"/>
      <selection/>
      <selection pane="bottomLeft" activeCell="G27" sqref="G27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18.5714285714286" customWidth="1"/>
    <col min="4" max="6" width="12.1428571428571" customWidth="1"/>
    <col min="7" max="7" width="25.2857142857143" customWidth="1"/>
  </cols>
  <sheetData>
    <row r="1" ht="38" customHeight="1" spans="1:9">
      <c r="A1" s="2" t="s">
        <v>63</v>
      </c>
      <c r="B1" s="2"/>
      <c r="C1" s="2"/>
      <c r="D1" s="2"/>
      <c r="E1" s="2"/>
      <c r="F1" s="3"/>
      <c r="G1" s="4"/>
    </row>
    <row r="2" s="1" customFormat="1" ht="32" customHeight="1" spans="1:9">
      <c r="A2" s="5" t="s">
        <v>2</v>
      </c>
      <c r="B2" s="5" t="s">
        <v>50</v>
      </c>
      <c r="C2" s="5" t="s">
        <v>3</v>
      </c>
      <c r="D2" s="6" t="s">
        <v>64</v>
      </c>
      <c r="E2" s="7" t="s">
        <v>65</v>
      </c>
      <c r="F2" s="7" t="s">
        <v>66</v>
      </c>
      <c r="G2" s="7" t="s">
        <v>7</v>
      </c>
      <c r="I2" s="1" t="s">
        <v>79</v>
      </c>
    </row>
    <row r="3" ht="22" customHeight="1" spans="1:9">
      <c r="A3" s="8">
        <v>1</v>
      </c>
      <c r="B3" s="9">
        <v>46132</v>
      </c>
      <c r="C3" s="10" t="s">
        <v>16</v>
      </c>
      <c r="D3" s="11" t="s">
        <v>67</v>
      </c>
      <c r="E3" s="12"/>
      <c r="F3" s="10">
        <v>3</v>
      </c>
      <c r="G3" s="12"/>
      <c r="I3">
        <f t="shared" ref="I3:I22" si="0">E3+F3</f>
        <v>3</v>
      </c>
    </row>
    <row r="4" ht="22" customHeight="1" spans="1:9">
      <c r="A4" s="8">
        <v>2</v>
      </c>
      <c r="B4" s="9">
        <v>46132</v>
      </c>
      <c r="C4" s="13" t="s">
        <v>19</v>
      </c>
      <c r="D4" s="11" t="s">
        <v>67</v>
      </c>
      <c r="E4" s="12"/>
      <c r="F4" s="10">
        <v>3</v>
      </c>
      <c r="G4" s="12"/>
      <c r="I4">
        <f t="shared" si="0"/>
        <v>3</v>
      </c>
    </row>
    <row r="5" ht="22" customHeight="1" spans="1:9">
      <c r="A5" s="8">
        <v>3</v>
      </c>
      <c r="B5" s="9">
        <v>46132</v>
      </c>
      <c r="C5" s="10" t="s">
        <v>21</v>
      </c>
      <c r="D5" s="11" t="s">
        <v>67</v>
      </c>
      <c r="E5" s="12"/>
      <c r="F5" s="10">
        <v>3</v>
      </c>
      <c r="G5" s="12"/>
      <c r="I5">
        <f t="shared" si="0"/>
        <v>3</v>
      </c>
    </row>
    <row r="6" ht="22" customHeight="1" spans="1:9">
      <c r="A6" s="8">
        <v>4</v>
      </c>
      <c r="B6" s="9">
        <v>46132</v>
      </c>
      <c r="C6" s="10" t="s">
        <v>53</v>
      </c>
      <c r="D6" s="11" t="s">
        <v>67</v>
      </c>
      <c r="E6" s="10">
        <v>3</v>
      </c>
      <c r="F6" s="10"/>
      <c r="G6" s="10"/>
      <c r="I6">
        <f t="shared" si="0"/>
        <v>3</v>
      </c>
    </row>
    <row r="7" ht="22" customHeight="1" spans="1:9">
      <c r="A7" s="8">
        <v>5</v>
      </c>
      <c r="B7" s="9">
        <v>46132</v>
      </c>
      <c r="C7" s="10" t="s">
        <v>54</v>
      </c>
      <c r="D7" s="11" t="s">
        <v>67</v>
      </c>
      <c r="E7" s="10"/>
      <c r="F7" s="10">
        <v>3</v>
      </c>
      <c r="G7" s="10"/>
      <c r="I7">
        <f t="shared" si="0"/>
        <v>3</v>
      </c>
    </row>
    <row r="8" ht="22" customHeight="1" spans="1:9">
      <c r="A8" s="8">
        <v>6</v>
      </c>
      <c r="B8" s="9">
        <v>46132</v>
      </c>
      <c r="C8" s="10" t="s">
        <v>25</v>
      </c>
      <c r="D8" s="11" t="s">
        <v>67</v>
      </c>
      <c r="E8" s="12"/>
      <c r="F8" s="10">
        <v>3</v>
      </c>
      <c r="G8" s="12"/>
      <c r="I8">
        <f t="shared" si="0"/>
        <v>3</v>
      </c>
    </row>
    <row r="9" ht="22" customHeight="1" spans="1:9">
      <c r="A9" s="8">
        <v>7</v>
      </c>
      <c r="B9" s="9">
        <v>46132</v>
      </c>
      <c r="C9" s="10" t="s">
        <v>27</v>
      </c>
      <c r="D9" s="11" t="s">
        <v>67</v>
      </c>
      <c r="E9" s="12"/>
      <c r="F9" s="10">
        <v>3</v>
      </c>
      <c r="G9" s="12"/>
      <c r="I9">
        <f t="shared" si="0"/>
        <v>3</v>
      </c>
    </row>
    <row r="10" ht="22" customHeight="1" spans="1:9">
      <c r="A10" s="8">
        <v>8</v>
      </c>
      <c r="B10" s="9">
        <v>46132</v>
      </c>
      <c r="C10" s="10" t="s">
        <v>61</v>
      </c>
      <c r="D10" s="11" t="s">
        <v>67</v>
      </c>
      <c r="E10" s="10">
        <v>2</v>
      </c>
      <c r="F10" s="10">
        <v>1</v>
      </c>
      <c r="G10" s="12"/>
      <c r="I10">
        <f t="shared" si="0"/>
        <v>3</v>
      </c>
    </row>
    <row r="11" ht="22" customHeight="1" spans="1:9">
      <c r="A11" s="8">
        <v>9</v>
      </c>
      <c r="B11" s="9">
        <v>46132</v>
      </c>
      <c r="C11" s="10" t="s">
        <v>31</v>
      </c>
      <c r="D11" s="11" t="s">
        <v>67</v>
      </c>
      <c r="E11" s="10">
        <v>2</v>
      </c>
      <c r="F11" s="10">
        <v>1</v>
      </c>
      <c r="G11" s="12"/>
      <c r="I11">
        <f t="shared" si="0"/>
        <v>3</v>
      </c>
    </row>
    <row r="12" customFormat="1" ht="22" customHeight="1" spans="1:9">
      <c r="A12" s="8">
        <v>10</v>
      </c>
      <c r="B12" s="9">
        <v>46132</v>
      </c>
      <c r="C12" s="10" t="s">
        <v>32</v>
      </c>
      <c r="D12" s="11" t="s">
        <v>67</v>
      </c>
      <c r="E12" s="10">
        <v>2</v>
      </c>
      <c r="F12" s="10">
        <v>1</v>
      </c>
      <c r="G12" s="12"/>
      <c r="I12">
        <f t="shared" si="0"/>
        <v>3</v>
      </c>
    </row>
    <row r="13" customFormat="1" ht="22" customHeight="1" spans="1:9">
      <c r="A13" s="8">
        <v>11</v>
      </c>
      <c r="B13" s="9">
        <v>46132</v>
      </c>
      <c r="C13" s="10" t="s">
        <v>33</v>
      </c>
      <c r="D13" s="11" t="s">
        <v>67</v>
      </c>
      <c r="E13" s="10">
        <v>3</v>
      </c>
      <c r="F13" s="12"/>
      <c r="G13" s="12"/>
      <c r="I13">
        <f t="shared" si="0"/>
        <v>3</v>
      </c>
    </row>
    <row r="14" customFormat="1" ht="22" customHeight="1" spans="1:9">
      <c r="A14" s="8">
        <v>12</v>
      </c>
      <c r="B14" s="9">
        <v>46132</v>
      </c>
      <c r="C14" s="10" t="s">
        <v>34</v>
      </c>
      <c r="D14" s="11" t="s">
        <v>67</v>
      </c>
      <c r="E14" s="12"/>
      <c r="F14" s="10">
        <v>3</v>
      </c>
      <c r="G14" s="12"/>
      <c r="I14">
        <f t="shared" si="0"/>
        <v>3</v>
      </c>
    </row>
    <row r="15" customFormat="1" ht="22" customHeight="1" spans="1:9">
      <c r="A15" s="8">
        <v>13</v>
      </c>
      <c r="B15" s="9">
        <v>46132</v>
      </c>
      <c r="C15" s="10" t="s">
        <v>35</v>
      </c>
      <c r="D15" s="11" t="s">
        <v>67</v>
      </c>
      <c r="E15" s="10">
        <v>3</v>
      </c>
      <c r="F15" s="12"/>
      <c r="G15" s="12"/>
      <c r="I15">
        <f t="shared" si="0"/>
        <v>3</v>
      </c>
    </row>
    <row r="16" customFormat="1" ht="22" customHeight="1" spans="1:9">
      <c r="A16" s="8">
        <v>14</v>
      </c>
      <c r="B16" s="9">
        <v>46132</v>
      </c>
      <c r="C16" s="10" t="s">
        <v>38</v>
      </c>
      <c r="D16" s="11" t="s">
        <v>67</v>
      </c>
      <c r="E16" s="12"/>
      <c r="F16" s="10">
        <v>3</v>
      </c>
      <c r="G16" s="12"/>
      <c r="I16">
        <f t="shared" si="0"/>
        <v>3</v>
      </c>
    </row>
    <row r="17" customFormat="1" ht="22" customHeight="1" spans="1:9">
      <c r="A17" s="8">
        <v>15</v>
      </c>
      <c r="B17" s="9">
        <v>46132</v>
      </c>
      <c r="C17" s="14" t="s">
        <v>39</v>
      </c>
      <c r="D17" s="11" t="s">
        <v>67</v>
      </c>
      <c r="E17" s="10">
        <v>3</v>
      </c>
      <c r="F17" s="15"/>
      <c r="G17" s="16"/>
      <c r="I17">
        <f t="shared" si="0"/>
        <v>3</v>
      </c>
    </row>
    <row r="18" customFormat="1" ht="22" customHeight="1" spans="1:9">
      <c r="A18" s="8">
        <v>16</v>
      </c>
      <c r="B18" s="9">
        <v>46132</v>
      </c>
      <c r="C18" s="12" t="s">
        <v>40</v>
      </c>
      <c r="D18" s="11" t="s">
        <v>67</v>
      </c>
      <c r="E18" s="15">
        <v>1</v>
      </c>
      <c r="F18" s="15">
        <v>2</v>
      </c>
      <c r="G18" s="16" t="s">
        <v>76</v>
      </c>
      <c r="I18">
        <f t="shared" si="0"/>
        <v>3</v>
      </c>
    </row>
    <row r="19" customFormat="1" ht="22" customHeight="1" spans="1:9">
      <c r="A19" s="8">
        <v>17</v>
      </c>
      <c r="B19" s="9">
        <v>46132</v>
      </c>
      <c r="C19" s="12" t="s">
        <v>42</v>
      </c>
      <c r="D19" s="11" t="s">
        <v>67</v>
      </c>
      <c r="E19" s="15"/>
      <c r="F19" s="15">
        <v>3</v>
      </c>
      <c r="G19" s="16"/>
      <c r="I19">
        <f t="shared" si="0"/>
        <v>3</v>
      </c>
    </row>
    <row r="20" customFormat="1" ht="22" customHeight="1" spans="1:9">
      <c r="A20" s="8">
        <v>18</v>
      </c>
      <c r="B20" s="9">
        <v>46132</v>
      </c>
      <c r="C20" s="10" t="s">
        <v>62</v>
      </c>
      <c r="D20" s="11" t="s">
        <v>67</v>
      </c>
      <c r="E20" s="10"/>
      <c r="F20" s="10">
        <v>3</v>
      </c>
      <c r="G20" s="16"/>
      <c r="I20">
        <f t="shared" si="0"/>
        <v>3</v>
      </c>
    </row>
    <row r="21" customFormat="1" ht="22" customHeight="1" spans="1:9">
      <c r="A21" s="8">
        <v>20</v>
      </c>
      <c r="B21" s="9">
        <v>46132</v>
      </c>
      <c r="C21" s="10" t="s">
        <v>44</v>
      </c>
      <c r="D21" s="11" t="s">
        <v>67</v>
      </c>
      <c r="E21" s="10"/>
      <c r="F21" s="10">
        <v>3</v>
      </c>
      <c r="G21" s="17"/>
      <c r="I21">
        <f t="shared" si="0"/>
        <v>3</v>
      </c>
    </row>
    <row r="22" customFormat="1" ht="22" customHeight="1" spans="1:9">
      <c r="A22" s="8"/>
      <c r="B22" s="9"/>
      <c r="C22" s="10"/>
      <c r="D22" s="11"/>
      <c r="E22" s="10"/>
      <c r="F22" s="10"/>
      <c r="G22" s="17"/>
      <c r="H22" s="18"/>
    </row>
    <row r="23" customFormat="1" ht="22" customHeight="1" spans="1:9">
      <c r="A23" s="8"/>
      <c r="B23" s="9"/>
      <c r="C23" s="12"/>
      <c r="D23" s="11"/>
      <c r="E23" s="19"/>
      <c r="F23" s="16"/>
      <c r="G23" s="16"/>
    </row>
    <row r="24" customFormat="1" ht="22" customHeight="1" spans="1:9">
      <c r="A24" s="8"/>
      <c r="B24" s="9"/>
      <c r="C24" s="12"/>
      <c r="D24" s="11"/>
      <c r="E24" s="19"/>
      <c r="F24" s="16"/>
      <c r="G24" s="16"/>
    </row>
    <row r="25" customFormat="1" ht="21" customHeight="1" spans="1:9">
      <c r="E25" s="20">
        <f t="shared" ref="E25:I25" si="1">SUM(E3:E24)</f>
        <v>19</v>
      </c>
      <c r="F25" s="20">
        <f t="shared" si="1"/>
        <v>38</v>
      </c>
      <c r="I25">
        <f t="shared" si="1"/>
        <v>57</v>
      </c>
    </row>
  </sheetData>
  <mergeCells count="1">
    <mergeCell ref="A1:G1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workbookViewId="0">
      <pane ySplit="2" topLeftCell="A13" activePane="bottomLeft" state="frozen"/>
      <selection/>
      <selection pane="bottomLeft" activeCell="F29" sqref="F29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18.5714285714286" customWidth="1"/>
    <col min="4" max="6" width="12.1428571428571" customWidth="1"/>
    <col min="7" max="7" width="25.2857142857143" customWidth="1"/>
  </cols>
  <sheetData>
    <row r="1" ht="38" customHeight="1" spans="1:9">
      <c r="A1" s="2" t="s">
        <v>63</v>
      </c>
      <c r="B1" s="2"/>
      <c r="C1" s="2"/>
      <c r="D1" s="2"/>
      <c r="E1" s="2"/>
      <c r="F1" s="3"/>
      <c r="G1" s="4"/>
    </row>
    <row r="2" s="1" customFormat="1" ht="32" customHeight="1" spans="1:9">
      <c r="A2" s="5" t="s">
        <v>2</v>
      </c>
      <c r="B2" s="5" t="s">
        <v>50</v>
      </c>
      <c r="C2" s="5" t="s">
        <v>3</v>
      </c>
      <c r="D2" s="6" t="s">
        <v>64</v>
      </c>
      <c r="E2" s="7" t="s">
        <v>65</v>
      </c>
      <c r="F2" s="7" t="s">
        <v>66</v>
      </c>
      <c r="G2" s="7" t="s">
        <v>7</v>
      </c>
      <c r="I2" s="1" t="s">
        <v>79</v>
      </c>
    </row>
    <row r="3" ht="22" customHeight="1" spans="1:9">
      <c r="A3" s="8">
        <v>1</v>
      </c>
      <c r="B3" s="9">
        <v>46135</v>
      </c>
      <c r="C3" s="10" t="s">
        <v>16</v>
      </c>
      <c r="D3" s="11" t="s">
        <v>70</v>
      </c>
      <c r="E3" s="12"/>
      <c r="F3" s="10">
        <v>4</v>
      </c>
      <c r="G3" s="12"/>
      <c r="I3">
        <f t="shared" ref="I3:I25" si="0">E3+F3</f>
        <v>4</v>
      </c>
    </row>
    <row r="4" ht="22" customHeight="1" spans="1:9">
      <c r="A4" s="8">
        <v>2</v>
      </c>
      <c r="B4" s="9">
        <v>46135</v>
      </c>
      <c r="C4" s="13" t="s">
        <v>19</v>
      </c>
      <c r="D4" s="11" t="s">
        <v>70</v>
      </c>
      <c r="E4" s="12"/>
      <c r="F4" s="10">
        <v>4</v>
      </c>
      <c r="G4" s="12"/>
      <c r="I4">
        <f t="shared" si="0"/>
        <v>4</v>
      </c>
    </row>
    <row r="5" ht="22" customHeight="1" spans="1:9">
      <c r="A5" s="8">
        <v>3</v>
      </c>
      <c r="B5" s="9">
        <v>46135</v>
      </c>
      <c r="C5" s="10" t="s">
        <v>21</v>
      </c>
      <c r="D5" s="11" t="s">
        <v>70</v>
      </c>
      <c r="E5" s="12"/>
      <c r="F5" s="10">
        <v>4</v>
      </c>
      <c r="G5" s="12"/>
      <c r="I5">
        <f t="shared" si="0"/>
        <v>4</v>
      </c>
    </row>
    <row r="6" ht="22" customHeight="1" spans="1:9">
      <c r="A6" s="8">
        <v>4</v>
      </c>
      <c r="B6" s="9">
        <v>46135</v>
      </c>
      <c r="C6" s="10" t="s">
        <v>53</v>
      </c>
      <c r="D6" s="11" t="s">
        <v>70</v>
      </c>
      <c r="E6" s="10">
        <v>4</v>
      </c>
      <c r="F6" s="10"/>
      <c r="G6" s="10"/>
      <c r="I6">
        <f t="shared" si="0"/>
        <v>4</v>
      </c>
    </row>
    <row r="7" ht="22" customHeight="1" spans="1:9">
      <c r="A7" s="8">
        <v>5</v>
      </c>
      <c r="B7" s="9">
        <v>46135</v>
      </c>
      <c r="C7" s="10" t="s">
        <v>54</v>
      </c>
      <c r="D7" s="11" t="s">
        <v>70</v>
      </c>
      <c r="E7" s="10"/>
      <c r="F7" s="10">
        <v>4</v>
      </c>
      <c r="G7" s="10"/>
      <c r="I7">
        <f t="shared" si="0"/>
        <v>4</v>
      </c>
    </row>
    <row r="8" ht="22" customHeight="1" spans="1:9">
      <c r="A8" s="8">
        <v>6</v>
      </c>
      <c r="B8" s="9">
        <v>46135</v>
      </c>
      <c r="C8" s="10" t="s">
        <v>25</v>
      </c>
      <c r="D8" s="11" t="s">
        <v>70</v>
      </c>
      <c r="E8" s="12"/>
      <c r="F8" s="10">
        <v>4</v>
      </c>
      <c r="G8" s="12"/>
      <c r="I8">
        <f t="shared" si="0"/>
        <v>4</v>
      </c>
    </row>
    <row r="9" ht="22" customHeight="1" spans="1:9">
      <c r="A9" s="8">
        <v>7</v>
      </c>
      <c r="B9" s="9">
        <v>46135</v>
      </c>
      <c r="C9" s="10" t="s">
        <v>27</v>
      </c>
      <c r="D9" s="11" t="s">
        <v>70</v>
      </c>
      <c r="E9" s="12"/>
      <c r="F9" s="10">
        <v>4</v>
      </c>
      <c r="G9" s="12"/>
      <c r="I9">
        <f t="shared" si="0"/>
        <v>4</v>
      </c>
    </row>
    <row r="10" ht="22" customHeight="1" spans="1:9">
      <c r="A10" s="8">
        <v>8</v>
      </c>
      <c r="B10" s="9">
        <v>46135</v>
      </c>
      <c r="C10" s="10" t="s">
        <v>61</v>
      </c>
      <c r="D10" s="11" t="s">
        <v>70</v>
      </c>
      <c r="E10" s="10">
        <v>4</v>
      </c>
      <c r="F10" s="10"/>
      <c r="G10" s="12"/>
      <c r="I10">
        <f t="shared" si="0"/>
        <v>4</v>
      </c>
    </row>
    <row r="11" ht="22" customHeight="1" spans="1:9">
      <c r="A11" s="8">
        <v>9</v>
      </c>
      <c r="B11" s="9">
        <v>46135</v>
      </c>
      <c r="C11" s="10" t="s">
        <v>31</v>
      </c>
      <c r="D11" s="11" t="s">
        <v>70</v>
      </c>
      <c r="E11" s="10">
        <v>2</v>
      </c>
      <c r="F11" s="10">
        <v>2</v>
      </c>
      <c r="G11" s="12"/>
      <c r="I11">
        <f t="shared" si="0"/>
        <v>4</v>
      </c>
    </row>
    <row r="12" customFormat="1" ht="22" customHeight="1" spans="1:9">
      <c r="A12" s="8">
        <v>10</v>
      </c>
      <c r="B12" s="9">
        <v>46135</v>
      </c>
      <c r="C12" s="10" t="s">
        <v>32</v>
      </c>
      <c r="D12" s="11" t="s">
        <v>70</v>
      </c>
      <c r="E12" s="10">
        <v>2</v>
      </c>
      <c r="F12" s="10">
        <v>2</v>
      </c>
      <c r="G12" s="12"/>
      <c r="I12">
        <f t="shared" si="0"/>
        <v>4</v>
      </c>
    </row>
    <row r="13" customFormat="1" ht="22" customHeight="1" spans="1:9">
      <c r="A13" s="8">
        <v>11</v>
      </c>
      <c r="B13" s="9">
        <v>46135</v>
      </c>
      <c r="C13" s="10" t="s">
        <v>33</v>
      </c>
      <c r="D13" s="11" t="s">
        <v>70</v>
      </c>
      <c r="E13" s="10">
        <v>4</v>
      </c>
      <c r="F13" s="12"/>
      <c r="G13" s="12"/>
      <c r="I13">
        <f t="shared" si="0"/>
        <v>4</v>
      </c>
    </row>
    <row r="14" customFormat="1" ht="22" customHeight="1" spans="1:9">
      <c r="A14" s="8">
        <v>12</v>
      </c>
      <c r="B14" s="9">
        <v>46135</v>
      </c>
      <c r="C14" s="10" t="s">
        <v>34</v>
      </c>
      <c r="D14" s="11" t="s">
        <v>70</v>
      </c>
      <c r="E14" s="12"/>
      <c r="F14" s="10">
        <v>4</v>
      </c>
      <c r="G14" s="12"/>
      <c r="I14">
        <f t="shared" si="0"/>
        <v>4</v>
      </c>
    </row>
    <row r="15" customFormat="1" ht="22" customHeight="1" spans="1:9">
      <c r="A15" s="8">
        <v>13</v>
      </c>
      <c r="B15" s="9">
        <v>46135</v>
      </c>
      <c r="C15" s="10" t="s">
        <v>35</v>
      </c>
      <c r="D15" s="11" t="s">
        <v>70</v>
      </c>
      <c r="E15" s="10">
        <v>4</v>
      </c>
      <c r="F15" s="12"/>
      <c r="G15" s="12"/>
      <c r="I15">
        <f t="shared" si="0"/>
        <v>4</v>
      </c>
    </row>
    <row r="16" customFormat="1" ht="22" customHeight="1" spans="1:9">
      <c r="A16" s="8">
        <v>14</v>
      </c>
      <c r="B16" s="9">
        <v>46135</v>
      </c>
      <c r="C16" s="10" t="s">
        <v>38</v>
      </c>
      <c r="D16" s="11" t="s">
        <v>70</v>
      </c>
      <c r="E16" s="12"/>
      <c r="F16" s="10">
        <v>4</v>
      </c>
      <c r="G16" s="12"/>
      <c r="I16">
        <f t="shared" si="0"/>
        <v>4</v>
      </c>
    </row>
    <row r="17" customFormat="1" ht="22" customHeight="1" spans="1:9">
      <c r="A17" s="8">
        <v>15</v>
      </c>
      <c r="B17" s="9">
        <v>46135</v>
      </c>
      <c r="C17" s="14" t="s">
        <v>39</v>
      </c>
      <c r="D17" s="11" t="s">
        <v>70</v>
      </c>
      <c r="E17" s="10">
        <v>4</v>
      </c>
      <c r="F17" s="15"/>
      <c r="G17" s="16"/>
      <c r="I17">
        <f t="shared" si="0"/>
        <v>4</v>
      </c>
    </row>
    <row r="18" customFormat="1" ht="22" customHeight="1" spans="1:9">
      <c r="A18" s="8">
        <v>16</v>
      </c>
      <c r="B18" s="9">
        <v>46135</v>
      </c>
      <c r="C18" s="12" t="s">
        <v>40</v>
      </c>
      <c r="D18" s="11" t="s">
        <v>70</v>
      </c>
      <c r="E18" s="15">
        <v>2</v>
      </c>
      <c r="F18" s="15">
        <v>2</v>
      </c>
      <c r="G18" s="16" t="s">
        <v>76</v>
      </c>
      <c r="I18">
        <f t="shared" si="0"/>
        <v>4</v>
      </c>
    </row>
    <row r="19" customFormat="1" ht="22" customHeight="1" spans="1:9">
      <c r="A19" s="8">
        <v>17</v>
      </c>
      <c r="B19" s="9">
        <v>46135</v>
      </c>
      <c r="C19" s="12" t="s">
        <v>42</v>
      </c>
      <c r="D19" s="11" t="s">
        <v>70</v>
      </c>
      <c r="E19" s="15"/>
      <c r="F19" s="15">
        <v>4</v>
      </c>
      <c r="G19" s="16"/>
      <c r="I19">
        <f t="shared" si="0"/>
        <v>4</v>
      </c>
    </row>
    <row r="20" customFormat="1" ht="22" customHeight="1" spans="1:9">
      <c r="A20" s="8">
        <v>18</v>
      </c>
      <c r="B20" s="9">
        <v>46135</v>
      </c>
      <c r="C20" s="10" t="s">
        <v>62</v>
      </c>
      <c r="D20" s="11" t="s">
        <v>70</v>
      </c>
      <c r="E20" s="10"/>
      <c r="F20" s="10">
        <v>4</v>
      </c>
      <c r="G20" s="16"/>
      <c r="I20">
        <f t="shared" si="0"/>
        <v>4</v>
      </c>
    </row>
    <row r="21" customFormat="1" ht="22" customHeight="1" spans="1:9">
      <c r="A21" s="8">
        <v>20</v>
      </c>
      <c r="B21" s="9">
        <v>46135</v>
      </c>
      <c r="C21" s="10" t="s">
        <v>44</v>
      </c>
      <c r="D21" s="11" t="s">
        <v>70</v>
      </c>
      <c r="E21" s="10"/>
      <c r="F21" s="10">
        <v>4</v>
      </c>
      <c r="G21" s="17"/>
      <c r="I21">
        <f t="shared" si="0"/>
        <v>4</v>
      </c>
    </row>
    <row r="22" customFormat="1" ht="22" customHeight="1" spans="1:9">
      <c r="A22" s="8"/>
      <c r="B22" s="9"/>
      <c r="C22" s="10"/>
      <c r="D22" s="11"/>
      <c r="E22" s="10"/>
      <c r="F22" s="10"/>
      <c r="G22" s="17"/>
      <c r="H22" s="18"/>
    </row>
    <row r="23" customFormat="1" ht="22" customHeight="1" spans="1:9">
      <c r="A23" s="8"/>
      <c r="B23" s="9"/>
      <c r="C23" s="12"/>
      <c r="D23" s="11"/>
      <c r="E23" s="19"/>
      <c r="F23" s="16"/>
      <c r="G23" s="16"/>
      <c r="I23">
        <f t="shared" si="0"/>
        <v>0</v>
      </c>
    </row>
    <row r="24" customFormat="1" ht="22" customHeight="1" spans="1:9">
      <c r="A24" s="8"/>
      <c r="B24" s="9"/>
      <c r="C24" s="12"/>
      <c r="D24" s="11"/>
      <c r="E24" s="19"/>
      <c r="F24" s="16"/>
      <c r="G24" s="16"/>
      <c r="I24">
        <f t="shared" si="0"/>
        <v>0</v>
      </c>
    </row>
    <row r="25" customFormat="1" ht="21" customHeight="1" spans="1:9">
      <c r="E25" s="20">
        <f>SUM(E3:E24)</f>
        <v>26</v>
      </c>
      <c r="F25" s="20">
        <f>SUM(F3:F24)</f>
        <v>50</v>
      </c>
      <c r="I25">
        <f t="shared" si="0"/>
        <v>76</v>
      </c>
    </row>
    <row r="27" ht="21" customHeight="1" spans="1:9">
      <c r="E27" s="21"/>
      <c r="F27" s="21"/>
    </row>
  </sheetData>
  <mergeCells count="1">
    <mergeCell ref="A1:G1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workbookViewId="0">
      <pane ySplit="2" topLeftCell="A3" activePane="bottomLeft" state="frozen"/>
      <selection/>
      <selection pane="bottomLeft" activeCell="B4" sqref="B3:B21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18.5714285714286" customWidth="1"/>
    <col min="4" max="6" width="12.1428571428571" customWidth="1"/>
    <col min="7" max="7" width="25.2857142857143" customWidth="1"/>
  </cols>
  <sheetData>
    <row r="1" ht="38" customHeight="1" spans="1:9">
      <c r="A1" s="2" t="s">
        <v>63</v>
      </c>
      <c r="B1" s="2"/>
      <c r="C1" s="2"/>
      <c r="D1" s="2"/>
      <c r="E1" s="2"/>
      <c r="F1" s="3"/>
      <c r="G1" s="4"/>
    </row>
    <row r="2" s="1" customFormat="1" ht="32" customHeight="1" spans="1:9">
      <c r="A2" s="5" t="s">
        <v>2</v>
      </c>
      <c r="B2" s="5" t="s">
        <v>50</v>
      </c>
      <c r="C2" s="5" t="s">
        <v>3</v>
      </c>
      <c r="D2" s="6" t="s">
        <v>64</v>
      </c>
      <c r="E2" s="7" t="s">
        <v>65</v>
      </c>
      <c r="F2" s="7" t="s">
        <v>66</v>
      </c>
      <c r="G2" s="7" t="s">
        <v>7</v>
      </c>
      <c r="I2" s="1" t="s">
        <v>79</v>
      </c>
    </row>
    <row r="3" ht="22" customHeight="1" spans="1:9">
      <c r="A3" s="8">
        <v>1</v>
      </c>
      <c r="B3" s="9">
        <v>46139</v>
      </c>
      <c r="C3" s="10" t="s">
        <v>16</v>
      </c>
      <c r="D3" s="11" t="s">
        <v>67</v>
      </c>
      <c r="E3" s="12"/>
      <c r="F3" s="10">
        <v>3</v>
      </c>
      <c r="G3" s="12"/>
      <c r="I3">
        <f t="shared" ref="I3:I22" si="0">E3+F3</f>
        <v>3</v>
      </c>
    </row>
    <row r="4" ht="22" customHeight="1" spans="1:9">
      <c r="A4" s="8">
        <v>2</v>
      </c>
      <c r="B4" s="9">
        <v>46139</v>
      </c>
      <c r="C4" s="13" t="s">
        <v>19</v>
      </c>
      <c r="D4" s="11" t="s">
        <v>67</v>
      </c>
      <c r="E4" s="12"/>
      <c r="F4" s="10">
        <v>3</v>
      </c>
      <c r="G4" s="12"/>
      <c r="I4">
        <f t="shared" si="0"/>
        <v>3</v>
      </c>
    </row>
    <row r="5" ht="22" customHeight="1" spans="1:9">
      <c r="A5" s="8">
        <v>3</v>
      </c>
      <c r="B5" s="9">
        <v>46139</v>
      </c>
      <c r="C5" s="10" t="s">
        <v>21</v>
      </c>
      <c r="D5" s="11" t="s">
        <v>67</v>
      </c>
      <c r="E5" s="12"/>
      <c r="F5" s="10">
        <v>3</v>
      </c>
      <c r="G5" s="12"/>
      <c r="I5">
        <f t="shared" si="0"/>
        <v>3</v>
      </c>
    </row>
    <row r="6" ht="22" customHeight="1" spans="1:9">
      <c r="A6" s="8">
        <v>4</v>
      </c>
      <c r="B6" s="9">
        <v>46139</v>
      </c>
      <c r="C6" s="10" t="s">
        <v>53</v>
      </c>
      <c r="D6" s="11" t="s">
        <v>67</v>
      </c>
      <c r="E6" s="10">
        <v>3</v>
      </c>
      <c r="F6" s="10"/>
      <c r="G6" s="10"/>
      <c r="I6">
        <f t="shared" si="0"/>
        <v>3</v>
      </c>
    </row>
    <row r="7" ht="22" customHeight="1" spans="1:9">
      <c r="A7" s="8">
        <v>5</v>
      </c>
      <c r="B7" s="9">
        <v>46139</v>
      </c>
      <c r="C7" s="10" t="s">
        <v>54</v>
      </c>
      <c r="D7" s="11" t="s">
        <v>67</v>
      </c>
      <c r="E7" s="10"/>
      <c r="F7" s="10">
        <v>3</v>
      </c>
      <c r="G7" s="10"/>
      <c r="I7">
        <f t="shared" si="0"/>
        <v>3</v>
      </c>
    </row>
    <row r="8" ht="22" customHeight="1" spans="1:9">
      <c r="A8" s="8">
        <v>6</v>
      </c>
      <c r="B8" s="9">
        <v>46139</v>
      </c>
      <c r="C8" s="10" t="s">
        <v>25</v>
      </c>
      <c r="D8" s="11" t="s">
        <v>67</v>
      </c>
      <c r="E8" s="12"/>
      <c r="F8" s="10">
        <v>3</v>
      </c>
      <c r="G8" s="12"/>
      <c r="I8">
        <f t="shared" si="0"/>
        <v>3</v>
      </c>
    </row>
    <row r="9" ht="22" customHeight="1" spans="1:9">
      <c r="A9" s="8">
        <v>7</v>
      </c>
      <c r="B9" s="9">
        <v>46139</v>
      </c>
      <c r="C9" s="10" t="s">
        <v>27</v>
      </c>
      <c r="D9" s="11" t="s">
        <v>67</v>
      </c>
      <c r="E9" s="12"/>
      <c r="F9" s="10">
        <v>3</v>
      </c>
      <c r="G9" s="12"/>
      <c r="I9">
        <f t="shared" si="0"/>
        <v>3</v>
      </c>
    </row>
    <row r="10" ht="22" customHeight="1" spans="1:9">
      <c r="A10" s="8">
        <v>8</v>
      </c>
      <c r="B10" s="9">
        <v>46139</v>
      </c>
      <c r="C10" s="10" t="s">
        <v>61</v>
      </c>
      <c r="D10" s="11" t="s">
        <v>67</v>
      </c>
      <c r="E10" s="10">
        <v>2</v>
      </c>
      <c r="F10" s="10">
        <v>1</v>
      </c>
      <c r="G10" s="12"/>
      <c r="I10">
        <f t="shared" si="0"/>
        <v>3</v>
      </c>
    </row>
    <row r="11" ht="22" customHeight="1" spans="1:9">
      <c r="A11" s="8">
        <v>9</v>
      </c>
      <c r="B11" s="9">
        <v>46139</v>
      </c>
      <c r="C11" s="10" t="s">
        <v>31</v>
      </c>
      <c r="D11" s="11" t="s">
        <v>67</v>
      </c>
      <c r="E11" s="10">
        <v>2</v>
      </c>
      <c r="F11" s="10">
        <v>1</v>
      </c>
      <c r="G11" s="12"/>
      <c r="I11">
        <f t="shared" si="0"/>
        <v>3</v>
      </c>
    </row>
    <row r="12" customFormat="1" ht="22" customHeight="1" spans="1:9">
      <c r="A12" s="8">
        <v>10</v>
      </c>
      <c r="B12" s="9">
        <v>46139</v>
      </c>
      <c r="C12" s="10" t="s">
        <v>32</v>
      </c>
      <c r="D12" s="11" t="s">
        <v>67</v>
      </c>
      <c r="E12" s="10">
        <v>2</v>
      </c>
      <c r="F12" s="10">
        <v>1</v>
      </c>
      <c r="G12" s="12"/>
      <c r="I12">
        <f t="shared" si="0"/>
        <v>3</v>
      </c>
    </row>
    <row r="13" customFormat="1" ht="22" customHeight="1" spans="1:9">
      <c r="A13" s="8">
        <v>11</v>
      </c>
      <c r="B13" s="9">
        <v>46139</v>
      </c>
      <c r="C13" s="10" t="s">
        <v>33</v>
      </c>
      <c r="D13" s="11" t="s">
        <v>67</v>
      </c>
      <c r="E13" s="10">
        <v>3</v>
      </c>
      <c r="F13" s="12"/>
      <c r="G13" s="12"/>
      <c r="I13">
        <f t="shared" si="0"/>
        <v>3</v>
      </c>
    </row>
    <row r="14" customFormat="1" ht="22" customHeight="1" spans="1:9">
      <c r="A14" s="8">
        <v>12</v>
      </c>
      <c r="B14" s="9">
        <v>46139</v>
      </c>
      <c r="C14" s="10" t="s">
        <v>34</v>
      </c>
      <c r="D14" s="11" t="s">
        <v>67</v>
      </c>
      <c r="E14" s="12"/>
      <c r="F14" s="10">
        <v>3</v>
      </c>
      <c r="G14" s="12"/>
      <c r="I14">
        <f t="shared" si="0"/>
        <v>3</v>
      </c>
    </row>
    <row r="15" customFormat="1" ht="22" customHeight="1" spans="1:9">
      <c r="A15" s="8">
        <v>13</v>
      </c>
      <c r="B15" s="9">
        <v>46139</v>
      </c>
      <c r="C15" s="10" t="s">
        <v>35</v>
      </c>
      <c r="D15" s="11" t="s">
        <v>67</v>
      </c>
      <c r="E15" s="10">
        <v>3</v>
      </c>
      <c r="F15" s="12"/>
      <c r="G15" s="12"/>
      <c r="I15">
        <f t="shared" si="0"/>
        <v>3</v>
      </c>
    </row>
    <row r="16" customFormat="1" ht="22" customHeight="1" spans="1:9">
      <c r="A16" s="8">
        <v>14</v>
      </c>
      <c r="B16" s="9">
        <v>46139</v>
      </c>
      <c r="C16" s="10" t="s">
        <v>38</v>
      </c>
      <c r="D16" s="11" t="s">
        <v>67</v>
      </c>
      <c r="E16" s="12"/>
      <c r="F16" s="10">
        <v>3</v>
      </c>
      <c r="G16" s="12"/>
      <c r="I16">
        <f t="shared" si="0"/>
        <v>3</v>
      </c>
    </row>
    <row r="17" customFormat="1" ht="22" customHeight="1" spans="1:9">
      <c r="A17" s="8">
        <v>15</v>
      </c>
      <c r="B17" s="9">
        <v>46139</v>
      </c>
      <c r="C17" s="14" t="s">
        <v>39</v>
      </c>
      <c r="D17" s="11" t="s">
        <v>67</v>
      </c>
      <c r="E17" s="10">
        <v>3</v>
      </c>
      <c r="F17" s="15"/>
      <c r="G17" s="16"/>
      <c r="I17">
        <f t="shared" si="0"/>
        <v>3</v>
      </c>
    </row>
    <row r="18" customFormat="1" ht="22" customHeight="1" spans="1:9">
      <c r="A18" s="8">
        <v>16</v>
      </c>
      <c r="B18" s="9">
        <v>46139</v>
      </c>
      <c r="C18" s="12" t="s">
        <v>40</v>
      </c>
      <c r="D18" s="11" t="s">
        <v>67</v>
      </c>
      <c r="E18" s="15">
        <v>1</v>
      </c>
      <c r="F18" s="15">
        <v>2</v>
      </c>
      <c r="G18" s="16" t="s">
        <v>76</v>
      </c>
      <c r="I18">
        <f t="shared" si="0"/>
        <v>3</v>
      </c>
    </row>
    <row r="19" customFormat="1" ht="22" customHeight="1" spans="1:9">
      <c r="A19" s="8">
        <v>17</v>
      </c>
      <c r="B19" s="9">
        <v>46139</v>
      </c>
      <c r="C19" s="12" t="s">
        <v>42</v>
      </c>
      <c r="D19" s="11" t="s">
        <v>67</v>
      </c>
      <c r="E19" s="15"/>
      <c r="F19" s="15">
        <v>3</v>
      </c>
      <c r="G19" s="16"/>
      <c r="I19">
        <f t="shared" si="0"/>
        <v>3</v>
      </c>
    </row>
    <row r="20" customFormat="1" ht="22" customHeight="1" spans="1:9">
      <c r="A20" s="8">
        <v>18</v>
      </c>
      <c r="B20" s="9">
        <v>46139</v>
      </c>
      <c r="C20" s="10" t="s">
        <v>62</v>
      </c>
      <c r="D20" s="11" t="s">
        <v>67</v>
      </c>
      <c r="E20" s="10"/>
      <c r="F20" s="10">
        <v>3</v>
      </c>
      <c r="G20" s="16"/>
      <c r="I20">
        <f t="shared" si="0"/>
        <v>3</v>
      </c>
    </row>
    <row r="21" customFormat="1" ht="22" customHeight="1" spans="1:9">
      <c r="A21" s="8">
        <v>20</v>
      </c>
      <c r="B21" s="9">
        <v>46139</v>
      </c>
      <c r="C21" s="10" t="s">
        <v>44</v>
      </c>
      <c r="D21" s="11" t="s">
        <v>67</v>
      </c>
      <c r="E21" s="10"/>
      <c r="F21" s="10">
        <v>3</v>
      </c>
      <c r="G21" s="17"/>
      <c r="I21">
        <f t="shared" si="0"/>
        <v>3</v>
      </c>
    </row>
    <row r="22" customFormat="1" ht="22" customHeight="1" spans="1:9">
      <c r="A22" s="8"/>
      <c r="B22" s="9"/>
      <c r="C22" s="10"/>
      <c r="D22" s="11"/>
      <c r="E22" s="10"/>
      <c r="F22" s="10"/>
      <c r="G22" s="17"/>
      <c r="H22" s="18"/>
    </row>
    <row r="23" customFormat="1" ht="22" customHeight="1" spans="1:9">
      <c r="A23" s="8"/>
      <c r="B23" s="9"/>
      <c r="C23" s="12"/>
      <c r="D23" s="11"/>
      <c r="E23" s="19"/>
      <c r="F23" s="16"/>
      <c r="G23" s="16"/>
    </row>
    <row r="24" customFormat="1" ht="22" customHeight="1" spans="1:9">
      <c r="A24" s="8"/>
      <c r="B24" s="9"/>
      <c r="C24" s="12"/>
      <c r="D24" s="11"/>
      <c r="E24" s="19"/>
      <c r="F24" s="16"/>
      <c r="G24" s="16"/>
    </row>
    <row r="25" customFormat="1" ht="21" customHeight="1" spans="1:9">
      <c r="E25" s="20">
        <f t="shared" ref="E25:I25" si="1">SUM(E3:E24)</f>
        <v>19</v>
      </c>
      <c r="F25" s="20">
        <f t="shared" si="1"/>
        <v>38</v>
      </c>
      <c r="I25">
        <f t="shared" si="1"/>
        <v>57</v>
      </c>
    </row>
  </sheetData>
  <mergeCells count="1">
    <mergeCell ref="A1:G1"/>
  </mergeCell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workbookViewId="0">
      <pane ySplit="2" topLeftCell="A3" activePane="bottomLeft" state="frozen"/>
      <selection/>
      <selection pane="bottomLeft" activeCell="K9" sqref="K9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18.5714285714286" customWidth="1"/>
    <col min="4" max="6" width="12.1428571428571" customWidth="1"/>
    <col min="7" max="7" width="25.2857142857143" customWidth="1"/>
  </cols>
  <sheetData>
    <row r="1" ht="38" customHeight="1" spans="1:9">
      <c r="A1" s="2" t="s">
        <v>63</v>
      </c>
      <c r="B1" s="2"/>
      <c r="C1" s="2"/>
      <c r="D1" s="2"/>
      <c r="E1" s="2"/>
      <c r="F1" s="3"/>
      <c r="G1" s="4"/>
    </row>
    <row r="2" s="1" customFormat="1" ht="32" customHeight="1" spans="1:9">
      <c r="A2" s="5" t="s">
        <v>2</v>
      </c>
      <c r="B2" s="5" t="s">
        <v>50</v>
      </c>
      <c r="C2" s="5" t="s">
        <v>3</v>
      </c>
      <c r="D2" s="6" t="s">
        <v>64</v>
      </c>
      <c r="E2" s="7" t="s">
        <v>65</v>
      </c>
      <c r="F2" s="7" t="s">
        <v>66</v>
      </c>
      <c r="G2" s="7" t="s">
        <v>7</v>
      </c>
      <c r="I2" s="1" t="s">
        <v>79</v>
      </c>
    </row>
    <row r="3" ht="22" customHeight="1" spans="1:9">
      <c r="A3" s="8">
        <v>1</v>
      </c>
      <c r="B3" s="9">
        <v>46142</v>
      </c>
      <c r="C3" s="10" t="s">
        <v>16</v>
      </c>
      <c r="D3" s="11" t="s">
        <v>70</v>
      </c>
      <c r="E3" s="12"/>
      <c r="F3" s="10">
        <v>4</v>
      </c>
      <c r="G3" s="12"/>
      <c r="I3">
        <f t="shared" ref="I3:I25" si="0">E3+F3</f>
        <v>4</v>
      </c>
    </row>
    <row r="4" ht="22" customHeight="1" spans="1:9">
      <c r="A4" s="8">
        <v>2</v>
      </c>
      <c r="B4" s="9">
        <v>46142</v>
      </c>
      <c r="C4" s="13" t="s">
        <v>19</v>
      </c>
      <c r="D4" s="11" t="s">
        <v>70</v>
      </c>
      <c r="E4" s="12"/>
      <c r="F4" s="10">
        <v>4</v>
      </c>
      <c r="G4" s="12"/>
      <c r="I4">
        <f t="shared" si="0"/>
        <v>4</v>
      </c>
    </row>
    <row r="5" ht="22" customHeight="1" spans="1:9">
      <c r="A5" s="8">
        <v>3</v>
      </c>
      <c r="B5" s="9">
        <v>46142</v>
      </c>
      <c r="C5" s="10" t="s">
        <v>21</v>
      </c>
      <c r="D5" s="11" t="s">
        <v>70</v>
      </c>
      <c r="E5" s="12"/>
      <c r="F5" s="10">
        <v>4</v>
      </c>
      <c r="G5" s="12"/>
      <c r="I5">
        <f t="shared" si="0"/>
        <v>4</v>
      </c>
    </row>
    <row r="6" ht="22" customHeight="1" spans="1:9">
      <c r="A6" s="8">
        <v>4</v>
      </c>
      <c r="B6" s="9">
        <v>46142</v>
      </c>
      <c r="C6" s="10" t="s">
        <v>53</v>
      </c>
      <c r="D6" s="11" t="s">
        <v>70</v>
      </c>
      <c r="E6" s="10">
        <v>4</v>
      </c>
      <c r="F6" s="10"/>
      <c r="G6" s="10"/>
      <c r="I6">
        <f t="shared" si="0"/>
        <v>4</v>
      </c>
    </row>
    <row r="7" ht="22" customHeight="1" spans="1:9">
      <c r="A7" s="8">
        <v>5</v>
      </c>
      <c r="B7" s="9">
        <v>46142</v>
      </c>
      <c r="C7" s="10" t="s">
        <v>54</v>
      </c>
      <c r="D7" s="11" t="s">
        <v>70</v>
      </c>
      <c r="E7" s="10"/>
      <c r="F7" s="10">
        <v>4</v>
      </c>
      <c r="G7" s="10"/>
      <c r="I7">
        <f t="shared" si="0"/>
        <v>4</v>
      </c>
    </row>
    <row r="8" ht="22" customHeight="1" spans="1:9">
      <c r="A8" s="8">
        <v>6</v>
      </c>
      <c r="B8" s="9">
        <v>46142</v>
      </c>
      <c r="C8" s="10" t="s">
        <v>25</v>
      </c>
      <c r="D8" s="11" t="s">
        <v>70</v>
      </c>
      <c r="E8" s="12"/>
      <c r="F8" s="10">
        <v>4</v>
      </c>
      <c r="G8" s="12"/>
      <c r="I8">
        <f t="shared" si="0"/>
        <v>4</v>
      </c>
    </row>
    <row r="9" ht="22" customHeight="1" spans="1:9">
      <c r="A9" s="8">
        <v>7</v>
      </c>
      <c r="B9" s="9">
        <v>46142</v>
      </c>
      <c r="C9" s="10" t="s">
        <v>27</v>
      </c>
      <c r="D9" s="11" t="s">
        <v>70</v>
      </c>
      <c r="E9" s="12"/>
      <c r="F9" s="10">
        <v>4</v>
      </c>
      <c r="G9" s="12"/>
      <c r="I9">
        <f t="shared" si="0"/>
        <v>4</v>
      </c>
    </row>
    <row r="10" ht="22" customHeight="1" spans="1:9">
      <c r="A10" s="8">
        <v>8</v>
      </c>
      <c r="B10" s="9">
        <v>46142</v>
      </c>
      <c r="C10" s="10" t="s">
        <v>61</v>
      </c>
      <c r="D10" s="11" t="s">
        <v>70</v>
      </c>
      <c r="E10" s="10">
        <v>4</v>
      </c>
      <c r="F10" s="10"/>
      <c r="G10" s="12"/>
      <c r="I10">
        <f t="shared" si="0"/>
        <v>4</v>
      </c>
    </row>
    <row r="11" ht="22" customHeight="1" spans="1:9">
      <c r="A11" s="8">
        <v>9</v>
      </c>
      <c r="B11" s="9">
        <v>46142</v>
      </c>
      <c r="C11" s="10" t="s">
        <v>31</v>
      </c>
      <c r="D11" s="11" t="s">
        <v>70</v>
      </c>
      <c r="E11" s="10">
        <v>2</v>
      </c>
      <c r="F11" s="10">
        <v>2</v>
      </c>
      <c r="G11" s="12"/>
      <c r="I11">
        <f t="shared" si="0"/>
        <v>4</v>
      </c>
    </row>
    <row r="12" customFormat="1" ht="22" customHeight="1" spans="1:9">
      <c r="A12" s="8">
        <v>10</v>
      </c>
      <c r="B12" s="9">
        <v>46142</v>
      </c>
      <c r="C12" s="10" t="s">
        <v>32</v>
      </c>
      <c r="D12" s="11" t="s">
        <v>70</v>
      </c>
      <c r="E12" s="10">
        <v>2</v>
      </c>
      <c r="F12" s="10">
        <v>2</v>
      </c>
      <c r="G12" s="12"/>
      <c r="I12">
        <f t="shared" si="0"/>
        <v>4</v>
      </c>
    </row>
    <row r="13" customFormat="1" ht="22" customHeight="1" spans="1:9">
      <c r="A13" s="8">
        <v>11</v>
      </c>
      <c r="B13" s="9">
        <v>46142</v>
      </c>
      <c r="C13" s="10" t="s">
        <v>33</v>
      </c>
      <c r="D13" s="11" t="s">
        <v>70</v>
      </c>
      <c r="E13" s="10">
        <v>4</v>
      </c>
      <c r="F13" s="12"/>
      <c r="G13" s="12"/>
      <c r="I13">
        <f t="shared" si="0"/>
        <v>4</v>
      </c>
    </row>
    <row r="14" customFormat="1" ht="22" customHeight="1" spans="1:9">
      <c r="A14" s="8">
        <v>12</v>
      </c>
      <c r="B14" s="9">
        <v>46142</v>
      </c>
      <c r="C14" s="10" t="s">
        <v>34</v>
      </c>
      <c r="D14" s="11" t="s">
        <v>70</v>
      </c>
      <c r="E14" s="12"/>
      <c r="F14" s="10">
        <v>4</v>
      </c>
      <c r="G14" s="12"/>
      <c r="I14">
        <f t="shared" si="0"/>
        <v>4</v>
      </c>
    </row>
    <row r="15" customFormat="1" ht="22" customHeight="1" spans="1:9">
      <c r="A15" s="8">
        <v>13</v>
      </c>
      <c r="B15" s="9">
        <v>46142</v>
      </c>
      <c r="C15" s="10" t="s">
        <v>35</v>
      </c>
      <c r="D15" s="11" t="s">
        <v>70</v>
      </c>
      <c r="E15" s="10">
        <v>4</v>
      </c>
      <c r="F15" s="12"/>
      <c r="G15" s="12"/>
      <c r="I15">
        <f t="shared" si="0"/>
        <v>4</v>
      </c>
    </row>
    <row r="16" customFormat="1" ht="22" customHeight="1" spans="1:9">
      <c r="A16" s="8">
        <v>14</v>
      </c>
      <c r="B16" s="9">
        <v>46142</v>
      </c>
      <c r="C16" s="10" t="s">
        <v>38</v>
      </c>
      <c r="D16" s="11" t="s">
        <v>70</v>
      </c>
      <c r="E16" s="12"/>
      <c r="F16" s="10">
        <v>4</v>
      </c>
      <c r="G16" s="12"/>
      <c r="I16">
        <f t="shared" si="0"/>
        <v>4</v>
      </c>
    </row>
    <row r="17" customFormat="1" ht="22" customHeight="1" spans="1:9">
      <c r="A17" s="8">
        <v>15</v>
      </c>
      <c r="B17" s="9">
        <v>46142</v>
      </c>
      <c r="C17" s="14" t="s">
        <v>39</v>
      </c>
      <c r="D17" s="11" t="s">
        <v>70</v>
      </c>
      <c r="E17" s="10">
        <v>4</v>
      </c>
      <c r="F17" s="15"/>
      <c r="G17" s="16"/>
      <c r="I17">
        <f t="shared" si="0"/>
        <v>4</v>
      </c>
    </row>
    <row r="18" customFormat="1" ht="22" customHeight="1" spans="1:9">
      <c r="A18" s="8">
        <v>16</v>
      </c>
      <c r="B18" s="9">
        <v>46142</v>
      </c>
      <c r="C18" s="12" t="s">
        <v>40</v>
      </c>
      <c r="D18" s="11" t="s">
        <v>70</v>
      </c>
      <c r="E18" s="15">
        <v>2</v>
      </c>
      <c r="F18" s="15">
        <v>2</v>
      </c>
      <c r="G18" s="16" t="s">
        <v>76</v>
      </c>
      <c r="I18">
        <f t="shared" si="0"/>
        <v>4</v>
      </c>
    </row>
    <row r="19" customFormat="1" ht="22" customHeight="1" spans="1:9">
      <c r="A19" s="8">
        <v>17</v>
      </c>
      <c r="B19" s="9">
        <v>46142</v>
      </c>
      <c r="C19" s="12" t="s">
        <v>42</v>
      </c>
      <c r="D19" s="11" t="s">
        <v>70</v>
      </c>
      <c r="E19" s="15"/>
      <c r="F19" s="15">
        <v>4</v>
      </c>
      <c r="G19" s="16"/>
      <c r="I19">
        <f t="shared" si="0"/>
        <v>4</v>
      </c>
    </row>
    <row r="20" customFormat="1" ht="22" customHeight="1" spans="1:9">
      <c r="A20" s="8">
        <v>18</v>
      </c>
      <c r="B20" s="9">
        <v>46142</v>
      </c>
      <c r="C20" s="10" t="s">
        <v>62</v>
      </c>
      <c r="D20" s="11" t="s">
        <v>70</v>
      </c>
      <c r="E20" s="10"/>
      <c r="F20" s="10">
        <v>4</v>
      </c>
      <c r="G20" s="16"/>
      <c r="I20">
        <f t="shared" si="0"/>
        <v>4</v>
      </c>
    </row>
    <row r="21" customFormat="1" ht="22" customHeight="1" spans="1:9">
      <c r="A21" s="8">
        <v>20</v>
      </c>
      <c r="B21" s="9">
        <v>46142</v>
      </c>
      <c r="C21" s="10" t="s">
        <v>44</v>
      </c>
      <c r="D21" s="11" t="s">
        <v>70</v>
      </c>
      <c r="E21" s="10"/>
      <c r="F21" s="10">
        <v>4</v>
      </c>
      <c r="G21" s="17"/>
      <c r="I21">
        <f t="shared" si="0"/>
        <v>4</v>
      </c>
    </row>
    <row r="22" customFormat="1" ht="22" customHeight="1" spans="1:9">
      <c r="A22" s="8"/>
      <c r="B22" s="9"/>
      <c r="C22" s="10"/>
      <c r="D22" s="11"/>
      <c r="E22" s="10"/>
      <c r="F22" s="10"/>
      <c r="G22" s="17"/>
      <c r="H22" s="18"/>
    </row>
    <row r="23" customFormat="1" ht="22" customHeight="1" spans="1:9">
      <c r="A23" s="8"/>
      <c r="B23" s="9"/>
      <c r="C23" s="12"/>
      <c r="D23" s="11"/>
      <c r="E23" s="19"/>
      <c r="F23" s="16"/>
      <c r="G23" s="16"/>
      <c r="I23">
        <f t="shared" si="0"/>
        <v>0</v>
      </c>
    </row>
    <row r="24" customFormat="1" ht="22" customHeight="1" spans="1:9">
      <c r="A24" s="8"/>
      <c r="B24" s="9"/>
      <c r="C24" s="12"/>
      <c r="D24" s="11"/>
      <c r="E24" s="19"/>
      <c r="F24" s="16"/>
      <c r="G24" s="16"/>
      <c r="I24">
        <f t="shared" si="0"/>
        <v>0</v>
      </c>
    </row>
    <row r="25" customFormat="1" ht="21" customHeight="1" spans="1:9">
      <c r="E25" s="20">
        <f>SUM(E3:E24)</f>
        <v>26</v>
      </c>
      <c r="F25" s="20">
        <f>SUM(F3:F24)</f>
        <v>50</v>
      </c>
      <c r="I25">
        <f t="shared" si="0"/>
        <v>76</v>
      </c>
    </row>
    <row r="27" ht="21" customHeight="1" spans="1:9">
      <c r="E27" s="21"/>
      <c r="F27" s="21"/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老师</vt:lpstr>
      <vt:lpstr>领奶表</vt:lpstr>
      <vt:lpstr>签收</vt:lpstr>
      <vt:lpstr>配送汇总</vt:lpstr>
      <vt:lpstr>3.9</vt:lpstr>
      <vt:lpstr>3.12</vt:lpstr>
      <vt:lpstr>3.16</vt:lpstr>
      <vt:lpstr>3.19</vt:lpstr>
      <vt:lpstr>3.23</vt:lpstr>
      <vt:lpstr>3.26</vt:lpstr>
      <vt:lpstr>3.30</vt:lpstr>
      <vt:lpstr>4.2</vt:lpstr>
      <vt:lpstr>4.7</vt:lpstr>
      <vt:lpstr>4.9</vt:lpstr>
      <vt:lpstr>4.13</vt:lpstr>
      <vt:lpstr>4.16</vt:lpstr>
      <vt:lpstr>4.20</vt:lpstr>
      <vt:lpstr>4.23</vt:lpstr>
      <vt:lpstr>4.27</vt:lpstr>
      <vt:lpstr>4.30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張榮強</cp:lastModifiedBy>
  <dcterms:created xsi:type="dcterms:W3CDTF">2025-02-18T07:47:00Z</dcterms:created>
  <dcterms:modified xsi:type="dcterms:W3CDTF">2026-04-17T01:11:54Z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2A18D6EEB73A4DBA94F4F7321C412C39_13</vt:lpwstr>
  </property>
  <property fmtid="{D5CDD505-2E9C-101B-9397-08002B2CF9AE}" pid="3" name="KSOProductBuildVer">
    <vt:lpwstr>2052-12.1.0.25865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