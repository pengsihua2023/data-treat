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23" firstSheet="2" activeTab="15"/>
  </bookViews>
  <sheets>
    <sheet name="老师" sheetId="1" r:id="rId1"/>
    <sheet name="领奶表" sheetId="5" r:id="rId2"/>
    <sheet name="配送汇总" sheetId="6" r:id="rId3"/>
    <sheet name="签收" sheetId="9" r:id="rId4"/>
    <sheet name="3.9" sheetId="2" r:id="rId5"/>
    <sheet name="3.12" sheetId="7" r:id="rId6"/>
    <sheet name="3.16" sheetId="8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1" r:id="rId18"/>
    <sheet name="4.27" sheetId="20" r:id="rId19"/>
    <sheet name="4.30" sheetId="22" r:id="rId20"/>
  </sheets>
  <definedNames>
    <definedName name="_xlnm._FilterDatabase" localSheetId="2" hidden="1">配送汇总!$A$1:$AR$32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<sst xmlns="http://schemas.openxmlformats.org/spreadsheetml/2006/main" count="551" uniqueCount="51">
  <si>
    <t>2026春季石灰铺中心小学教职工巴氏鲜奶补贴订购申请表（20份起送，特殊申请除外</t>
  </si>
  <si>
    <t>本学期3月15日前订购一份赠送1本笔记本+1支花梨木圆珠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</si>
  <si>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</si>
  <si>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</si>
  <si>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</si>
  <si>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</si>
  <si>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</si>
  <si>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</si>
  <si>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</si>
  <si>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</si>
  <si>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</si>
  <si>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</si>
  <si>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</si>
  <si>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份数</t>
  </si>
  <si>
    <t>合计</t>
  </si>
  <si>
    <t>收费情况</t>
  </si>
  <si>
    <t>陈爱娣</t>
  </si>
  <si>
    <t>✓</t>
  </si>
  <si>
    <t>已收费</t>
  </si>
  <si>
    <t>冯倩</t>
  </si>
  <si>
    <t>✔️</t>
  </si>
  <si>
    <t>吴小环</t>
  </si>
  <si>
    <t>曾秀沐</t>
  </si>
  <si>
    <t>✔</t>
  </si>
  <si>
    <t>邓英1</t>
  </si>
  <si>
    <t>邓英2</t>
  </si>
  <si>
    <t>杨光明</t>
  </si>
  <si>
    <t>李苍坚</t>
  </si>
  <si>
    <t>3/13新增，周一不送，周四送7支酸奶</t>
  </si>
  <si>
    <t>英德市石灰铺中心小学教师鲜奶领奶表</t>
  </si>
  <si>
    <t>（ ）月份（填写领取数量/盒）</t>
  </si>
  <si>
    <t>姓名</t>
  </si>
  <si>
    <t xml:space="preserve">                                                   英德市石灰铺中心小学教师鲜奶领奶表</t>
  </si>
  <si>
    <t>订购份数</t>
  </si>
  <si>
    <t>总计</t>
  </si>
  <si>
    <t>剩余</t>
  </si>
  <si>
    <t>续订已收款</t>
  </si>
  <si>
    <t>石灰铺中心小学教师鲜奶赠品领取表</t>
  </si>
  <si>
    <t>配送日期</t>
  </si>
  <si>
    <t>礼品份数
（笔记本+笔）</t>
  </si>
  <si>
    <t>签名</t>
  </si>
  <si>
    <t>冯倩1</t>
  </si>
  <si>
    <t>冯倩2</t>
  </si>
  <si>
    <t>3.19送</t>
  </si>
  <si>
    <t>石灰铺中心小学教师鲜奶领奶表</t>
  </si>
  <si>
    <t>配送天数</t>
  </si>
  <si>
    <t>鲜</t>
  </si>
  <si>
    <t>酸</t>
  </si>
  <si>
    <t>3天</t>
  </si>
  <si>
    <t>4天</t>
  </si>
  <si>
    <t>周一不送，周四送7支酸奶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</si>
</sst>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3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4" applyNumberFormat="0" applyAlignment="0" applyProtection="0">
      <alignment vertical="center"/>
    </xf>
    <xf numFmtId="0" fontId="34" fillId="5" borderId="13" applyNumberFormat="0" applyAlignment="0" applyProtection="0">
      <alignment vertical="center"/>
    </xf>
    <xf numFmtId="0" fontId="35" fillId="6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7" xfId="0" applyFont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58" fontId="4" fillId="0" borderId="0" xfId="0" applyNumberFormat="1" applyFont="1" applyFill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 wrapText="1"/>
    </xf>
    <xf numFmtId="58" fontId="13" fillId="0" borderId="5" xfId="0" applyNumberFormat="1" applyFont="1" applyFill="1" applyBorder="1" applyAlignment="1">
      <alignment horizontal="center" vertical="center" wrapText="1"/>
    </xf>
    <xf numFmtId="58" fontId="13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7" fillId="0" borderId="5" xfId="0" applyNumberFormat="1" applyFont="1" applyFill="1" applyBorder="1" applyAlignment="1">
      <alignment horizontal="center" vertical="center" wrapText="1"/>
    </xf>
    <xf numFmtId="0" fontId="18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6" fillId="0" borderId="5" xfId="0" applyNumberFormat="1" applyFont="1" applyFill="1" applyBorder="1" applyAlignment="1">
      <alignment vertical="center"/>
    </xf>
    <xf numFmtId="0" fontId="9" fillId="0" borderId="5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L7" sqref="L7:L8"/>
    </sheetView>
  </sheetViews>
  <sheetFormatPr defaultColWidth="14" defaultRowHeight="18" customHeight="1"/>
  <cols>
    <col min="1" max="1" width="5.14285714285714" customWidth="1"/>
    <col min="4" max="7" width="8.42857142857143" customWidth="1"/>
    <col min="9" max="10" width="5.28571428571429" customWidth="1"/>
  </cols>
  <sheetData>
    <row r="1" ht="20.25" customHeight="1" spans="1:25">
      <c r="A1" s="64" t="s">
        <v>0</v>
      </c>
      <c r="B1" s="64"/>
      <c r="C1" s="64"/>
      <c r="D1" s="64"/>
      <c r="E1" s="64"/>
      <c r="F1" s="64"/>
      <c r="G1" s="64"/>
      <c r="H1" s="64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ht="20.25" customHeight="1" spans="1:25">
      <c r="A2" s="66" t="s">
        <v>1</v>
      </c>
      <c r="B2" s="66"/>
      <c r="C2" s="66"/>
      <c r="D2" s="66"/>
      <c r="E2" s="66"/>
      <c r="F2" s="66"/>
      <c r="G2" s="66"/>
      <c r="H2" s="66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customHeight="1" spans="1:25">
      <c r="A3" s="67" t="s">
        <v>2</v>
      </c>
      <c r="B3" s="67" t="s">
        <v>3</v>
      </c>
      <c r="C3" s="67" t="s">
        <v>4</v>
      </c>
      <c r="D3" s="68" t="s">
        <v>5</v>
      </c>
      <c r="E3" s="68"/>
      <c r="F3" s="68" t="s">
        <v>6</v>
      </c>
      <c r="G3" s="68"/>
      <c r="H3" s="67" t="s">
        <v>7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ht="81" spans="1:25">
      <c r="A4" s="67"/>
      <c r="B4" s="67"/>
      <c r="C4" s="67"/>
      <c r="D4" s="69" t="s">
        <v>8</v>
      </c>
      <c r="E4" s="69" t="s">
        <v>9</v>
      </c>
      <c r="F4" s="69" t="s">
        <v>10</v>
      </c>
      <c r="G4" s="69" t="s">
        <v>11</v>
      </c>
      <c r="H4" s="70" t="s">
        <v>12</v>
      </c>
      <c r="I4" s="65" t="s">
        <v>13</v>
      </c>
      <c r="J4" s="65" t="s">
        <v>14</v>
      </c>
      <c r="K4" s="65" t="s">
        <v>15</v>
      </c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customHeight="1" spans="1:25">
      <c r="A5" s="43">
        <v>1</v>
      </c>
      <c r="B5" s="43" t="s">
        <v>16</v>
      </c>
      <c r="C5" s="43">
        <v>18926609838</v>
      </c>
      <c r="D5" s="30"/>
      <c r="E5" s="43" t="s">
        <v>17</v>
      </c>
      <c r="F5" s="43">
        <v>350</v>
      </c>
      <c r="G5" s="43">
        <v>210</v>
      </c>
      <c r="H5" s="30"/>
      <c r="I5" s="65">
        <v>1</v>
      </c>
      <c r="J5" s="65">
        <f t="shared" ref="J5:J14" si="0">I5*G5</f>
        <v>210</v>
      </c>
      <c r="K5" s="71" t="s">
        <v>18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</row>
    <row r="6" customHeight="1" spans="1:25">
      <c r="A6" s="43">
        <v>2</v>
      </c>
      <c r="B6" s="43" t="s">
        <v>19</v>
      </c>
      <c r="C6" s="43">
        <v>15382987191</v>
      </c>
      <c r="D6" s="43" t="s">
        <v>20</v>
      </c>
      <c r="E6" s="43" t="s">
        <v>20</v>
      </c>
      <c r="F6" s="43">
        <v>350</v>
      </c>
      <c r="G6" s="43">
        <v>210</v>
      </c>
      <c r="H6" s="30"/>
      <c r="I6" s="65">
        <v>2</v>
      </c>
      <c r="J6" s="65">
        <f t="shared" si="0"/>
        <v>420</v>
      </c>
      <c r="K6" s="71" t="s">
        <v>18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</row>
    <row r="7" customHeight="1" spans="1:25">
      <c r="A7" s="43">
        <v>3</v>
      </c>
      <c r="B7" s="43" t="s">
        <v>21</v>
      </c>
      <c r="C7" s="43">
        <v>13435255012</v>
      </c>
      <c r="D7" s="43" t="s">
        <v>20</v>
      </c>
      <c r="E7" s="43" t="s">
        <v>20</v>
      </c>
      <c r="F7" s="43">
        <v>350</v>
      </c>
      <c r="G7" s="43">
        <v>210</v>
      </c>
      <c r="H7" s="30"/>
      <c r="I7" s="65">
        <v>1</v>
      </c>
      <c r="J7" s="65">
        <f t="shared" si="0"/>
        <v>210</v>
      </c>
      <c r="K7" s="71" t="s">
        <v>18</v>
      </c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</row>
    <row r="8" customHeight="1" spans="1:25">
      <c r="A8" s="43">
        <v>4</v>
      </c>
      <c r="B8" s="43" t="s">
        <v>21</v>
      </c>
      <c r="C8" s="43">
        <v>13435255012</v>
      </c>
      <c r="D8" s="43" t="s">
        <v>20</v>
      </c>
      <c r="E8" s="43" t="s">
        <v>20</v>
      </c>
      <c r="F8" s="43">
        <v>350</v>
      </c>
      <c r="G8" s="43">
        <v>210</v>
      </c>
      <c r="H8" s="30"/>
      <c r="I8" s="65">
        <v>1</v>
      </c>
      <c r="J8" s="65">
        <f t="shared" si="0"/>
        <v>210</v>
      </c>
      <c r="K8" s="71" t="s">
        <v>18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</row>
    <row r="9" customHeight="1" spans="1:25">
      <c r="A9" s="43">
        <v>5</v>
      </c>
      <c r="B9" s="43" t="s">
        <v>22</v>
      </c>
      <c r="C9" s="43">
        <v>13610591139</v>
      </c>
      <c r="D9" s="43" t="s">
        <v>23</v>
      </c>
      <c r="E9" s="30"/>
      <c r="F9" s="43">
        <v>350</v>
      </c>
      <c r="G9" s="43">
        <v>210</v>
      </c>
      <c r="H9" s="30"/>
      <c r="I9" s="65">
        <v>1</v>
      </c>
      <c r="J9" s="65">
        <f t="shared" si="0"/>
        <v>210</v>
      </c>
      <c r="K9" s="71" t="s">
        <v>18</v>
      </c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</row>
    <row r="10" customHeight="1" spans="1:25">
      <c r="A10" s="43">
        <v>6</v>
      </c>
      <c r="B10" s="43" t="s">
        <v>19</v>
      </c>
      <c r="C10" s="43">
        <v>15382987191</v>
      </c>
      <c r="D10" s="43" t="s">
        <v>20</v>
      </c>
      <c r="E10" s="43" t="s">
        <v>20</v>
      </c>
      <c r="F10" s="43">
        <v>350</v>
      </c>
      <c r="G10" s="43">
        <v>210</v>
      </c>
      <c r="H10" s="30"/>
      <c r="I10" s="65">
        <v>1</v>
      </c>
      <c r="J10" s="65">
        <f t="shared" si="0"/>
        <v>210</v>
      </c>
      <c r="K10" s="71" t="s">
        <v>18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customHeight="1" spans="1:25">
      <c r="A11" s="43">
        <v>7</v>
      </c>
      <c r="B11" s="43" t="s">
        <v>24</v>
      </c>
      <c r="C11" s="43">
        <v>18344002957</v>
      </c>
      <c r="D11" s="43" t="s">
        <v>20</v>
      </c>
      <c r="E11" s="30"/>
      <c r="F11" s="43">
        <v>350</v>
      </c>
      <c r="G11" s="43">
        <v>210</v>
      </c>
      <c r="H11" s="30"/>
      <c r="I11" s="65">
        <v>1</v>
      </c>
      <c r="J11" s="65">
        <f t="shared" si="0"/>
        <v>210</v>
      </c>
      <c r="K11" s="71" t="s">
        <v>18</v>
      </c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</row>
    <row r="12" customHeight="1" spans="1:25">
      <c r="A12" s="43">
        <v>8</v>
      </c>
      <c r="B12" s="43" t="s">
        <v>25</v>
      </c>
      <c r="C12" s="43">
        <v>18344002957</v>
      </c>
      <c r="D12" s="30"/>
      <c r="E12" s="43" t="s">
        <v>20</v>
      </c>
      <c r="F12" s="43">
        <v>350</v>
      </c>
      <c r="G12" s="43">
        <v>210</v>
      </c>
      <c r="H12" s="30"/>
      <c r="I12" s="65">
        <v>1</v>
      </c>
      <c r="J12" s="65">
        <f t="shared" si="0"/>
        <v>210</v>
      </c>
      <c r="K12" s="71" t="s">
        <v>18</v>
      </c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</row>
    <row r="13" customHeight="1" spans="1:25">
      <c r="A13" s="43">
        <v>9</v>
      </c>
      <c r="B13" s="72" t="s">
        <v>26</v>
      </c>
      <c r="C13" s="30"/>
      <c r="D13" s="43" t="s">
        <v>20</v>
      </c>
      <c r="E13" s="30"/>
      <c r="F13" s="43">
        <v>350</v>
      </c>
      <c r="G13" s="43">
        <v>210</v>
      </c>
      <c r="H13" s="71" t="s">
        <v>18</v>
      </c>
      <c r="I13" s="65">
        <v>1</v>
      </c>
      <c r="J13" s="65">
        <f t="shared" si="0"/>
        <v>210</v>
      </c>
      <c r="K13" s="71" t="s">
        <v>18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</row>
    <row r="14" ht="36" spans="1:25">
      <c r="A14" s="43">
        <v>10</v>
      </c>
      <c r="B14" s="30" t="s">
        <v>27</v>
      </c>
      <c r="C14" s="30"/>
      <c r="D14" s="30"/>
      <c r="E14" s="43" t="s">
        <v>20</v>
      </c>
      <c r="F14" s="43">
        <v>350</v>
      </c>
      <c r="G14" s="43">
        <v>210</v>
      </c>
      <c r="H14" s="73" t="s">
        <v>28</v>
      </c>
      <c r="I14" s="65">
        <v>1</v>
      </c>
      <c r="J14" s="65">
        <f t="shared" si="0"/>
        <v>210</v>
      </c>
      <c r="K14" s="71" t="s">
        <v>18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</row>
    <row r="15" customHeight="1" spans="1:25">
      <c r="A15" s="43">
        <v>11</v>
      </c>
      <c r="B15" s="30"/>
      <c r="C15" s="30"/>
      <c r="D15" s="30"/>
      <c r="E15" s="30"/>
      <c r="F15" s="43">
        <v>350</v>
      </c>
      <c r="G15" s="43">
        <v>210</v>
      </c>
      <c r="H15" s="30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</row>
    <row r="16" customHeight="1" spans="1:25">
      <c r="A16" s="43">
        <v>12</v>
      </c>
      <c r="B16" s="30"/>
      <c r="C16" s="30"/>
      <c r="D16" s="30"/>
      <c r="E16" s="30"/>
      <c r="F16" s="43">
        <v>350</v>
      </c>
      <c r="G16" s="43">
        <v>210</v>
      </c>
      <c r="H16" s="30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</row>
    <row r="17" customHeight="1" spans="1:25">
      <c r="A17" s="43">
        <v>13</v>
      </c>
      <c r="B17" s="30"/>
      <c r="C17" s="30"/>
      <c r="D17" s="30"/>
      <c r="E17" s="30"/>
      <c r="F17" s="43">
        <v>350</v>
      </c>
      <c r="G17" s="43">
        <v>210</v>
      </c>
      <c r="H17" s="30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</row>
    <row r="18" customHeight="1" spans="1:25">
      <c r="A18" s="43">
        <v>14</v>
      </c>
      <c r="B18" s="30"/>
      <c r="C18" s="30"/>
      <c r="D18" s="30"/>
      <c r="E18" s="30"/>
      <c r="F18" s="43">
        <v>350</v>
      </c>
      <c r="G18" s="43">
        <v>210</v>
      </c>
      <c r="H18" s="30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</row>
    <row r="19" customHeight="1" spans="1:25">
      <c r="A19" s="43">
        <v>15</v>
      </c>
      <c r="B19" s="30"/>
      <c r="C19" s="30"/>
      <c r="D19" s="30"/>
      <c r="E19" s="30"/>
      <c r="F19" s="43">
        <v>350</v>
      </c>
      <c r="G19" s="43">
        <v>210</v>
      </c>
      <c r="H19" s="30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</row>
    <row r="20" customHeight="1" spans="1:25">
      <c r="A20" s="43">
        <v>16</v>
      </c>
      <c r="B20" s="30"/>
      <c r="C20" s="30"/>
      <c r="D20" s="30"/>
      <c r="E20" s="30"/>
      <c r="F20" s="43">
        <v>350</v>
      </c>
      <c r="G20" s="43">
        <v>210</v>
      </c>
      <c r="H20" s="30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 customHeight="1" spans="1:25">
      <c r="A21" s="43">
        <v>17</v>
      </c>
      <c r="B21" s="30"/>
      <c r="C21" s="30"/>
      <c r="D21" s="30"/>
      <c r="E21" s="73"/>
      <c r="F21" s="43">
        <v>350</v>
      </c>
      <c r="G21" s="43">
        <v>210</v>
      </c>
      <c r="H21" s="30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customHeight="1" spans="1:25">
      <c r="A22" s="43">
        <v>18</v>
      </c>
      <c r="B22" s="30"/>
      <c r="C22" s="30"/>
      <c r="D22" s="30"/>
      <c r="E22" s="30"/>
      <c r="F22" s="43">
        <v>350</v>
      </c>
      <c r="G22" s="43">
        <v>210</v>
      </c>
      <c r="H22" s="30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</row>
    <row r="23" customHeight="1" spans="1:25">
      <c r="A23" s="43">
        <v>19</v>
      </c>
      <c r="B23" s="30"/>
      <c r="C23" s="30"/>
      <c r="D23" s="30"/>
      <c r="E23" s="30"/>
      <c r="F23" s="43">
        <v>350</v>
      </c>
      <c r="G23" s="43">
        <v>210</v>
      </c>
      <c r="H23" s="30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</row>
    <row r="24" customHeight="1" spans="1:25">
      <c r="A24" s="43">
        <v>20</v>
      </c>
      <c r="B24" s="30"/>
      <c r="C24" s="30"/>
      <c r="D24" s="30"/>
      <c r="E24" s="30"/>
      <c r="F24" s="43">
        <v>350</v>
      </c>
      <c r="G24" s="43">
        <v>210</v>
      </c>
      <c r="H24" s="30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</row>
    <row r="25" customHeight="1" spans="1:25">
      <c r="A25" s="43">
        <v>21</v>
      </c>
      <c r="B25" s="30"/>
      <c r="C25" s="30"/>
      <c r="D25" s="30"/>
      <c r="E25" s="30"/>
      <c r="F25" s="43">
        <v>350</v>
      </c>
      <c r="G25" s="43">
        <v>210</v>
      </c>
      <c r="H25" s="30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</row>
    <row r="26" customHeight="1" spans="1:25">
      <c r="A26" s="43">
        <v>22</v>
      </c>
      <c r="B26" s="30"/>
      <c r="C26" s="30"/>
      <c r="D26" s="30"/>
      <c r="E26" s="30"/>
      <c r="F26" s="43">
        <v>350</v>
      </c>
      <c r="G26" s="43">
        <v>210</v>
      </c>
      <c r="H26" s="30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</row>
    <row r="27" customHeight="1" spans="1:25">
      <c r="A27" s="43">
        <v>23</v>
      </c>
      <c r="B27" s="30"/>
      <c r="C27" s="30"/>
      <c r="D27" s="30"/>
      <c r="E27" s="30"/>
      <c r="F27" s="43">
        <v>350</v>
      </c>
      <c r="G27" s="43">
        <v>210</v>
      </c>
      <c r="H27" s="30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</row>
    <row r="28" customHeight="1" spans="1:25">
      <c r="A28" s="43">
        <v>24</v>
      </c>
      <c r="B28" s="30"/>
      <c r="C28" s="30"/>
      <c r="D28" s="30"/>
      <c r="E28" s="30"/>
      <c r="F28" s="43">
        <v>350</v>
      </c>
      <c r="G28" s="43">
        <v>210</v>
      </c>
      <c r="H28" s="30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</row>
    <row r="29" customHeight="1" spans="1:25">
      <c r="A29" s="43">
        <v>31</v>
      </c>
      <c r="B29" s="30"/>
      <c r="C29" s="30"/>
      <c r="D29" s="30"/>
      <c r="E29" s="30"/>
      <c r="F29" s="43">
        <v>350</v>
      </c>
      <c r="G29" s="43">
        <v>210</v>
      </c>
      <c r="H29" s="30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</row>
    <row r="30" customHeight="1" spans="1:25">
      <c r="A30" s="43">
        <v>32</v>
      </c>
      <c r="B30" s="30"/>
      <c r="C30" s="30"/>
      <c r="D30" s="30"/>
      <c r="E30" s="30"/>
      <c r="F30" s="43">
        <v>350</v>
      </c>
      <c r="G30" s="43">
        <v>210</v>
      </c>
      <c r="H30" s="30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</row>
    <row r="31" customHeight="1" spans="1:25">
      <c r="A31" s="43">
        <v>33</v>
      </c>
      <c r="B31" s="30"/>
      <c r="C31" s="30"/>
      <c r="D31" s="30"/>
      <c r="E31" s="30"/>
      <c r="F31" s="43">
        <v>350</v>
      </c>
      <c r="G31" s="43">
        <v>210</v>
      </c>
      <c r="H31" s="30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</row>
    <row r="32" customHeight="1" spans="1:25">
      <c r="A32" s="43">
        <v>34</v>
      </c>
      <c r="B32" s="30"/>
      <c r="C32" s="30"/>
      <c r="D32" s="30"/>
      <c r="E32" s="30"/>
      <c r="F32" s="43">
        <v>350</v>
      </c>
      <c r="G32" s="43">
        <v>210</v>
      </c>
      <c r="H32" s="30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</row>
    <row r="33" customHeight="1" spans="1:25">
      <c r="A33" s="43">
        <v>35</v>
      </c>
      <c r="B33" s="30"/>
      <c r="C33" s="30"/>
      <c r="D33" s="30"/>
      <c r="E33" s="30"/>
      <c r="F33" s="43">
        <v>350</v>
      </c>
      <c r="G33" s="43">
        <v>210</v>
      </c>
      <c r="H33" s="30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</row>
    <row r="34" customHeight="1" spans="1:25">
      <c r="A34" s="43">
        <v>36</v>
      </c>
      <c r="B34" s="30"/>
      <c r="C34" s="30"/>
      <c r="D34" s="30"/>
      <c r="E34" s="30"/>
      <c r="F34" s="43">
        <v>350</v>
      </c>
      <c r="G34" s="43">
        <v>210</v>
      </c>
      <c r="H34" s="30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</row>
    <row r="35" customHeight="1" spans="1:25">
      <c r="A35" s="43">
        <v>37</v>
      </c>
      <c r="B35" s="30"/>
      <c r="C35" s="30"/>
      <c r="D35" s="30"/>
      <c r="E35" s="30"/>
      <c r="F35" s="43">
        <v>350</v>
      </c>
      <c r="G35" s="43">
        <v>210</v>
      </c>
      <c r="H35" s="30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</row>
    <row r="36" customHeight="1" spans="1:25">
      <c r="A36" s="43">
        <v>38</v>
      </c>
      <c r="B36" s="30"/>
      <c r="C36" s="30"/>
      <c r="D36" s="30"/>
      <c r="E36" s="30"/>
      <c r="F36" s="43">
        <v>350</v>
      </c>
      <c r="G36" s="43">
        <v>210</v>
      </c>
      <c r="H36" s="30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</row>
    <row r="37" customHeight="1" spans="1:25">
      <c r="A37" s="43">
        <v>39</v>
      </c>
      <c r="B37" s="30"/>
      <c r="C37" s="30"/>
      <c r="D37" s="30"/>
      <c r="E37" s="30"/>
      <c r="F37" s="43">
        <v>350</v>
      </c>
      <c r="G37" s="43">
        <v>210</v>
      </c>
      <c r="H37" s="30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  <row r="38" customHeight="1" spans="1:25">
      <c r="A38" s="43">
        <v>40</v>
      </c>
      <c r="B38" s="30"/>
      <c r="C38" s="30"/>
      <c r="D38" s="30"/>
      <c r="E38" s="30"/>
      <c r="F38" s="43">
        <v>350</v>
      </c>
      <c r="G38" s="43">
        <v>210</v>
      </c>
      <c r="H38" s="30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</row>
    <row r="39" customHeight="1" spans="1:25">
      <c r="A39" s="43">
        <v>41</v>
      </c>
      <c r="B39" s="30"/>
      <c r="C39" s="30"/>
      <c r="D39" s="30"/>
      <c r="E39" s="30"/>
      <c r="F39" s="43">
        <v>350</v>
      </c>
      <c r="G39" s="43">
        <v>210</v>
      </c>
      <c r="H39" s="30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</row>
    <row r="40" customHeight="1" spans="1:25">
      <c r="A40" s="43">
        <v>42</v>
      </c>
      <c r="B40" s="30"/>
      <c r="C40" s="30"/>
      <c r="D40" s="30"/>
      <c r="E40" s="30"/>
      <c r="F40" s="43">
        <v>350</v>
      </c>
      <c r="G40" s="43">
        <v>210</v>
      </c>
      <c r="H40" s="30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</row>
    <row r="41" customHeight="1" spans="1:25">
      <c r="A41" s="43">
        <v>43</v>
      </c>
      <c r="B41" s="30"/>
      <c r="C41" s="30"/>
      <c r="D41" s="30"/>
      <c r="E41" s="30"/>
      <c r="F41" s="43">
        <v>350</v>
      </c>
      <c r="G41" s="43">
        <v>210</v>
      </c>
      <c r="H41" s="30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</row>
    <row r="42" customHeight="1" spans="1:25">
      <c r="A42" s="43">
        <v>44</v>
      </c>
      <c r="B42" s="30"/>
      <c r="C42" s="30"/>
      <c r="D42" s="30"/>
      <c r="E42" s="30"/>
      <c r="F42" s="43">
        <v>350</v>
      </c>
      <c r="G42" s="43">
        <v>210</v>
      </c>
      <c r="H42" s="30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</row>
    <row r="43" customHeight="1" spans="1:25">
      <c r="A43" s="43">
        <v>45</v>
      </c>
      <c r="B43" s="30"/>
      <c r="C43" s="30"/>
      <c r="D43" s="30"/>
      <c r="E43" s="30"/>
      <c r="F43" s="43">
        <v>350</v>
      </c>
      <c r="G43" s="43">
        <v>210</v>
      </c>
      <c r="H43" s="30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 customHeight="1" spans="1:25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</row>
    <row r="45" customHeight="1" spans="1:2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 customHeight="1" spans="1:25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 customHeight="1" spans="1:25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 customHeight="1" spans="1: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 customHeight="1" spans="1: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customHeight="1" spans="1:2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 customHeight="1" spans="1:2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 customHeight="1" spans="1:25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 customHeight="1" spans="1:25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</row>
    <row r="54" customHeight="1" spans="1:25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</row>
    <row r="55" customHeight="1" spans="1:2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 customHeight="1" spans="1:2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customHeight="1" spans="1:25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 customHeight="1" spans="1:25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</row>
    <row r="59" customHeight="1" spans="1:25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</row>
    <row r="60" customHeight="1" spans="1:25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</row>
    <row r="61" customHeight="1" spans="1:25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 customHeight="1" spans="1:25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</row>
    <row r="63" customHeight="1" spans="1:25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</row>
    <row r="64" customHeight="1" spans="1:25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  <row r="65" customHeight="1" spans="1:2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 customHeight="1" spans="1:25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</row>
    <row r="67" customHeight="1" spans="1:25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 customHeight="1" spans="1:25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</row>
    <row r="69" customHeight="1" spans="1:25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</row>
    <row r="70" customHeight="1" spans="1:25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</row>
    <row r="71" customHeight="1" spans="1:25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 customHeight="1" spans="1:25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 customHeight="1" spans="1:25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 customHeight="1" spans="1:25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 customHeight="1" spans="1:2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 customHeight="1" spans="1:25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 customHeight="1" spans="1:25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 customHeight="1" spans="1:25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  <row r="79" customHeight="1" spans="1:25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</row>
    <row r="80" customHeight="1" spans="1:25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</row>
    <row r="81" customHeight="1" spans="1:25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</row>
    <row r="82" customHeight="1" spans="1:25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</row>
    <row r="83" customHeight="1" spans="1:25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</row>
    <row r="84" customHeight="1" spans="1:2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</row>
    <row r="85" customHeight="1" spans="1:2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</row>
    <row r="86" customHeight="1" spans="1:25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</row>
    <row r="87" customHeight="1" spans="1:25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</row>
    <row r="88" customHeight="1" spans="1:25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</row>
    <row r="89" customHeight="1" spans="1:25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</row>
    <row r="90" customHeight="1" spans="1:25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</row>
    <row r="91" customHeight="1" spans="1:25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</row>
    <row r="92" customHeight="1" spans="1:25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</row>
    <row r="93" customHeight="1" spans="1:25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</row>
    <row r="94" customHeight="1" spans="1:25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</row>
    <row r="95" customHeight="1" spans="1:2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</row>
    <row r="96" customHeight="1" spans="1:25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</row>
    <row r="97" customHeight="1" spans="1:25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</row>
    <row r="98" customHeight="1" spans="1:25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</row>
    <row r="99" customHeight="1" spans="1:25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 customHeight="1" spans="1:25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</row>
    <row r="101" customHeight="1" spans="1:25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</row>
    <row r="102" customHeight="1" spans="1:2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</row>
    <row r="103" customHeight="1" spans="1:25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 customHeight="1" spans="1:25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</row>
    <row r="105" customHeight="1" spans="1:2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</row>
    <row r="106" customHeight="1" spans="1:2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</row>
    <row r="107" customHeight="1" spans="1:25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</row>
    <row r="108" customHeight="1" spans="1:25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</row>
    <row r="109" customHeight="1" spans="1:25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</row>
    <row r="110" customHeight="1" spans="1:2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</row>
    <row r="111" customHeight="1" spans="1:25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</row>
    <row r="112" customHeight="1" spans="1:25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</row>
    <row r="113" customHeight="1" spans="1:25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</row>
    <row r="114" customHeight="1" spans="1:2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</row>
    <row r="115" customHeight="1" spans="1:2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</row>
    <row r="116" customHeight="1" spans="1:25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</row>
    <row r="117" customHeight="1" spans="1:2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</row>
    <row r="118" customHeight="1" spans="1:25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</row>
    <row r="119" customHeight="1" spans="1:25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</row>
    <row r="120" customHeight="1" spans="1:25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</row>
    <row r="121" customHeight="1" spans="1:25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</row>
    <row r="122" customHeight="1" spans="1:25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</row>
    <row r="123" customHeight="1" spans="1:25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</row>
    <row r="124" customHeight="1" spans="1:25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</row>
    <row r="125" customHeight="1" spans="1: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</row>
    <row r="126" customHeight="1" spans="1:25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</row>
    <row r="127" customHeight="1" spans="1:25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</row>
    <row r="128" customHeight="1" spans="1:25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</row>
    <row r="129" customHeight="1" spans="1:25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</row>
    <row r="130" customHeight="1" spans="1:25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</row>
    <row r="131" customHeight="1" spans="1:25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</row>
    <row r="132" customHeight="1" spans="1:25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</row>
    <row r="133" customHeight="1" spans="1:25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</row>
    <row r="134" customHeight="1" spans="1:25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</row>
    <row r="135" customHeight="1" spans="1:2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</row>
    <row r="136" customHeight="1" spans="1:25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</row>
    <row r="137" customHeight="1" spans="1:25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</row>
    <row r="138" customHeight="1" spans="1:25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</row>
    <row r="139" customHeight="1" spans="1:25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</row>
    <row r="140" customHeight="1" spans="1:25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</row>
    <row r="141" customHeight="1" spans="1:25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</row>
    <row r="142" customHeight="1" spans="1:25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</row>
    <row r="143" customHeight="1" spans="1:2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</row>
    <row r="144" customHeight="1" spans="1:25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</row>
    <row r="145" customHeight="1" spans="1:2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</row>
    <row r="146" customHeight="1" spans="1:25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</row>
    <row r="147" customHeight="1" spans="1:25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</row>
    <row r="148" customHeight="1" spans="1:25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</row>
    <row r="149" customHeight="1" spans="1:25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</row>
    <row r="150" customHeight="1" spans="1:25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</row>
    <row r="151" customHeight="1" spans="1:25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</row>
    <row r="152" customHeight="1" spans="1:25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</row>
    <row r="153" customHeight="1" spans="1:25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</row>
    <row r="154" customHeight="1" spans="1:25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</row>
    <row r="155" customHeight="1" spans="1:2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</row>
    <row r="156" customHeight="1" spans="1:25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</row>
    <row r="157" customHeight="1" spans="1:25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</row>
    <row r="158" customHeight="1" spans="1:25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</row>
    <row r="159" customHeight="1" spans="1:25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</row>
    <row r="160" customHeight="1" spans="1:25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</row>
    <row r="161" customHeight="1" spans="1:25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</row>
    <row r="162" customHeight="1" spans="1:25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</row>
    <row r="163" customHeight="1" spans="1:25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</row>
    <row r="164" customHeight="1" spans="1:25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</row>
    <row r="165" customHeight="1" spans="1:2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</row>
    <row r="166" customHeight="1" spans="1:25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</row>
    <row r="167" customHeight="1" spans="1:25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</row>
    <row r="168" customHeight="1" spans="1:25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</row>
    <row r="169" customHeight="1" spans="1:25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</row>
    <row r="170" customHeight="1" spans="1:25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</row>
    <row r="171" customHeight="1" spans="1:25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</row>
    <row r="172" customHeight="1" spans="1:2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</row>
    <row r="173" customHeight="1" spans="1:25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</row>
    <row r="174" customHeight="1" spans="1:25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</row>
    <row r="175" customHeight="1" spans="1:2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</row>
    <row r="176" customHeight="1" spans="1:25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</row>
    <row r="177" customHeight="1" spans="1:25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</row>
    <row r="178" customHeight="1" spans="1:25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</row>
    <row r="179" customHeight="1" spans="1:25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</row>
    <row r="180" customHeight="1" spans="1:25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</row>
    <row r="181" customHeight="1" spans="1:25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</row>
    <row r="182" customHeight="1" spans="1:25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</row>
    <row r="183" customHeight="1" spans="1:25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</row>
    <row r="184" customHeight="1" spans="1:25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</row>
    <row r="185" customHeight="1" spans="1:2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</row>
    <row r="186" customHeight="1" spans="1:25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</row>
    <row r="187" customHeight="1" spans="1:25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</row>
    <row r="188" customHeight="1" spans="1:25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</row>
    <row r="189" customHeight="1" spans="1:25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6" customWidth="1"/>
    <col min="2" max="2" width="13.7142857142857" style="56" customWidth="1"/>
    <col min="3" max="3" width="4.42857142857143" style="54" customWidth="1"/>
    <col min="4" max="6" width="4" style="54" customWidth="1"/>
    <col min="7" max="7" width="3.87619047619048" style="54" customWidth="1"/>
    <col min="8" max="12" width="4.28571428571429" style="54" customWidth="1"/>
    <col min="13" max="13" width="4.00952380952381" style="54" customWidth="1"/>
    <col min="14" max="14" width="4.28571428571429" style="54" customWidth="1"/>
    <col min="15" max="15" width="4.00952380952381" style="54" customWidth="1"/>
    <col min="16" max="16" width="3.87619047619048" style="54" customWidth="1"/>
    <col min="17" max="17" width="4.28571428571429" style="54" customWidth="1"/>
    <col min="18" max="19" width="4.14285714285714" style="54" customWidth="1"/>
    <col min="20" max="20" width="4.57142857142857" style="54" customWidth="1"/>
    <col min="21" max="25" width="4.14285714285714" style="54" customWidth="1"/>
    <col min="26" max="27" width="4.57142857142857" style="54" customWidth="1"/>
    <col min="28" max="28" width="4.16190476190476" style="54" customWidth="1"/>
    <col min="29" max="30" width="4.28571428571429" style="54" customWidth="1"/>
    <col min="31" max="31" width="4.00952380952381" style="54" customWidth="1"/>
    <col min="32" max="32" width="3.85714285714286" style="54" customWidth="1"/>
    <col min="33" max="34" width="4.28571428571429" style="54" customWidth="1"/>
    <col min="35" max="36" width="4.57142857142857" style="54" customWidth="1"/>
    <col min="37" max="37" width="4.28571428571429" style="54" customWidth="1"/>
    <col min="38" max="38" width="3.85714285714286" style="54" customWidth="1"/>
    <col min="39" max="16384" width="10.2857142857143" style="54"/>
  </cols>
  <sheetData>
    <row r="1" s="54" customFormat="1" ht="26" customHeight="1" spans="1:38">
      <c r="A1" s="25" t="s">
        <v>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="54" customFormat="1" ht="26" customHeight="1" spans="1:38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</row>
    <row r="3" s="55" customFormat="1" ht="40" customHeight="1" spans="1:38">
      <c r="A3" s="58" t="s">
        <v>2</v>
      </c>
      <c r="B3" s="58" t="s">
        <v>31</v>
      </c>
      <c r="C3" s="26">
        <v>1</v>
      </c>
      <c r="D3" s="26">
        <v>2</v>
      </c>
      <c r="E3" s="26">
        <v>3</v>
      </c>
      <c r="F3" s="26">
        <v>4</v>
      </c>
      <c r="G3" s="26">
        <v>5</v>
      </c>
      <c r="H3" s="26">
        <v>6</v>
      </c>
      <c r="I3" s="26">
        <v>7</v>
      </c>
      <c r="J3" s="26">
        <v>8</v>
      </c>
      <c r="K3" s="26">
        <v>9</v>
      </c>
      <c r="L3" s="26">
        <v>10</v>
      </c>
      <c r="M3" s="26">
        <v>11</v>
      </c>
      <c r="N3" s="26">
        <v>12</v>
      </c>
      <c r="O3" s="26">
        <v>13</v>
      </c>
      <c r="P3" s="26">
        <v>14</v>
      </c>
      <c r="Q3" s="26">
        <v>15</v>
      </c>
      <c r="R3" s="26">
        <v>16</v>
      </c>
      <c r="S3" s="26">
        <v>17</v>
      </c>
      <c r="T3" s="26">
        <v>18</v>
      </c>
      <c r="U3" s="26">
        <v>19</v>
      </c>
      <c r="V3" s="26">
        <v>20</v>
      </c>
      <c r="W3" s="26">
        <v>21</v>
      </c>
      <c r="X3" s="26">
        <v>22</v>
      </c>
      <c r="Y3" s="26">
        <v>23</v>
      </c>
      <c r="Z3" s="26">
        <v>24</v>
      </c>
      <c r="AA3" s="26">
        <v>25</v>
      </c>
      <c r="AB3" s="26">
        <v>26</v>
      </c>
      <c r="AC3" s="26">
        <v>27</v>
      </c>
      <c r="AD3" s="26">
        <v>28</v>
      </c>
      <c r="AE3" s="26">
        <v>29</v>
      </c>
      <c r="AF3" s="26">
        <v>30</v>
      </c>
      <c r="AG3" s="26"/>
      <c r="AH3" s="26"/>
      <c r="AI3" s="26"/>
      <c r="AJ3" s="26"/>
      <c r="AK3" s="26"/>
      <c r="AL3" s="26"/>
    </row>
    <row r="4" s="54" customFormat="1" ht="25" customHeight="1" spans="1:38">
      <c r="A4" s="59">
        <v>1</v>
      </c>
      <c r="B4" s="60"/>
      <c r="C4" s="59"/>
      <c r="D4" s="59"/>
      <c r="E4" s="59"/>
      <c r="F4" s="59"/>
      <c r="G4" s="59"/>
      <c r="H4" s="59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</row>
    <row r="5" s="54" customFormat="1" ht="25" customHeight="1" spans="1:38">
      <c r="A5" s="59">
        <v>2</v>
      </c>
      <c r="B5" s="60"/>
      <c r="C5" s="59"/>
      <c r="D5" s="59"/>
      <c r="E5" s="59"/>
      <c r="F5" s="59"/>
      <c r="G5" s="59"/>
      <c r="H5" s="59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</row>
    <row r="6" s="54" customFormat="1" ht="25" customHeight="1" spans="1:38">
      <c r="A6" s="59">
        <v>3</v>
      </c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</row>
    <row r="7" s="54" customFormat="1" ht="25" customHeight="1" spans="1:38">
      <c r="A7" s="59">
        <v>13</v>
      </c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</row>
    <row r="8" s="54" customFormat="1" ht="25" customHeight="1" spans="1:38">
      <c r="A8" s="59">
        <v>14</v>
      </c>
      <c r="B8" s="60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</row>
    <row r="9" s="54" customFormat="1" ht="25" customHeight="1" spans="1:38">
      <c r="A9" s="59">
        <v>15</v>
      </c>
      <c r="B9" s="6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</row>
    <row r="10" s="54" customFormat="1" ht="25" customHeight="1" spans="1:38">
      <c r="A10" s="59">
        <v>16</v>
      </c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</row>
    <row r="11" s="54" customFormat="1" ht="25" customHeight="1" spans="1:38">
      <c r="A11" s="59">
        <v>17</v>
      </c>
      <c r="B11" s="62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</row>
    <row r="12" s="54" customFormat="1" ht="25" customHeight="1" spans="1:38">
      <c r="A12" s="59">
        <v>18</v>
      </c>
      <c r="B12" s="62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</row>
    <row r="13" s="54" customFormat="1" ht="15" customHeight="1" spans="1:38">
      <c r="A13" s="63"/>
      <c r="B13" s="63"/>
    </row>
    <row r="14" s="54" customFormat="1" ht="15" customHeight="1" spans="1:38">
      <c r="A14" s="63"/>
      <c r="B14" s="63"/>
    </row>
    <row r="15" s="54" customFormat="1" ht="15" customHeight="1" spans="1:38">
      <c r="A15" s="63"/>
      <c r="B15" s="63"/>
    </row>
    <row r="16" s="54" customFormat="1" ht="15" customHeight="1" spans="1:38">
      <c r="A16" s="63"/>
      <c r="B16" s="63"/>
    </row>
    <row r="17" s="54" customFormat="1" ht="15" customHeight="1" spans="1:2">
      <c r="A17" s="63"/>
      <c r="B17" s="63"/>
    </row>
    <row r="18" s="54" customFormat="1" ht="15" customHeight="1" spans="1:2">
      <c r="A18" s="63"/>
      <c r="B18" s="63"/>
    </row>
    <row r="19" s="54" customFormat="1" ht="15" customHeight="1" spans="1:2">
      <c r="A19" s="63"/>
      <c r="B19" s="63"/>
    </row>
    <row r="20" s="54" customFormat="1" ht="15" customHeight="1" spans="1:2">
      <c r="A20" s="63"/>
      <c r="B20" s="63"/>
    </row>
    <row r="21" s="54" customFormat="1" ht="15" customHeight="1" spans="1:2">
      <c r="A21" s="63"/>
      <c r="B21" s="63"/>
    </row>
    <row r="22" s="54" customFormat="1" ht="15" customHeight="1" spans="1:2">
      <c r="A22" s="63"/>
      <c r="B22" s="63"/>
    </row>
    <row r="23" s="54" customFormat="1" ht="15" customHeight="1" spans="1:2">
      <c r="A23" s="63"/>
      <c r="B23" s="63"/>
    </row>
    <row r="24" s="54" customFormat="1" ht="15" customHeight="1" spans="1:2">
      <c r="A24" s="63"/>
      <c r="B24" s="63"/>
    </row>
    <row r="25" s="54" customFormat="1" ht="15" customHeight="1" spans="1:2">
      <c r="A25" s="63"/>
      <c r="B25" s="63"/>
    </row>
    <row r="26" s="54" customFormat="1" ht="15" customHeight="1" spans="1:2">
      <c r="A26" s="63"/>
      <c r="B26" s="63"/>
    </row>
    <row r="27" s="54" customFormat="1" ht="15" customHeight="1" spans="1:2">
      <c r="A27" s="63"/>
      <c r="B27" s="63"/>
    </row>
    <row r="28" s="54" customFormat="1" ht="15" customHeight="1" spans="1:2">
      <c r="A28" s="63"/>
      <c r="B28" s="63"/>
    </row>
    <row r="29" s="54" customFormat="1" ht="15" customHeight="1" spans="1:2">
      <c r="A29" s="63"/>
      <c r="B29" s="63"/>
    </row>
    <row r="30" s="54" customFormat="1" ht="15" customHeight="1" spans="1:2">
      <c r="A30" s="63"/>
      <c r="B30" s="63"/>
    </row>
    <row r="31" s="54" customFormat="1" ht="15" customHeight="1" spans="1:2">
      <c r="A31" s="63"/>
      <c r="B31" s="63"/>
    </row>
    <row r="32" s="54" customFormat="1" ht="15" customHeight="1" spans="1:2">
      <c r="A32" s="63"/>
      <c r="B32" s="63"/>
    </row>
    <row r="33" s="54" customFormat="1" ht="15" customHeight="1" spans="1:2">
      <c r="A33" s="63"/>
      <c r="B33" s="63"/>
    </row>
    <row r="34" s="54" customFormat="1" ht="15" customHeight="1" spans="1:2">
      <c r="A34" s="63"/>
      <c r="B34" s="63"/>
    </row>
    <row r="35" s="54" customFormat="1" ht="15" customHeight="1" spans="1:2">
      <c r="A35" s="63"/>
      <c r="B35" s="63"/>
    </row>
    <row r="36" s="54" customFormat="1" ht="15" customHeight="1" spans="1:2">
      <c r="A36" s="63"/>
      <c r="B36" s="63"/>
    </row>
    <row r="37" s="54" customFormat="1" ht="15" customHeight="1" spans="1:2">
      <c r="A37" s="63"/>
      <c r="B37" s="63"/>
    </row>
    <row r="38" s="54" customFormat="1" ht="15" customHeight="1" spans="1:2">
      <c r="A38" s="63"/>
      <c r="B38" s="63"/>
    </row>
    <row r="39" s="54" customFormat="1" ht="15" customHeight="1" spans="1:2">
      <c r="A39" s="63"/>
      <c r="B39" s="63"/>
    </row>
    <row r="40" s="54" customFormat="1" ht="15" customHeight="1" spans="1:2">
      <c r="A40" s="63"/>
      <c r="B40" s="63"/>
    </row>
    <row r="41" s="54" customFormat="1" ht="15" customHeight="1" spans="1:2">
      <c r="A41" s="63"/>
      <c r="B41" s="63"/>
    </row>
    <row r="42" s="54" customFormat="1" ht="15" customHeight="1" spans="1:2">
      <c r="A42" s="63"/>
      <c r="B42" s="63"/>
    </row>
    <row r="43" s="54" customFormat="1" ht="15" customHeight="1" spans="1:2">
      <c r="A43" s="63"/>
      <c r="B43" s="63"/>
    </row>
    <row r="44" s="54" customFormat="1" ht="15" customHeight="1" spans="1:2">
      <c r="A44" s="63"/>
      <c r="B44" s="63"/>
    </row>
    <row r="45" s="54" customFormat="1" ht="15" customHeight="1" spans="1:2">
      <c r="A45" s="63"/>
      <c r="B45" s="63"/>
    </row>
    <row r="46" s="54" customFormat="1" ht="15" customHeight="1" spans="1:2">
      <c r="A46" s="63"/>
      <c r="B46" s="63"/>
    </row>
    <row r="47" s="54" customFormat="1" ht="15" customHeight="1" spans="1:2">
      <c r="A47" s="63"/>
      <c r="B47" s="63"/>
    </row>
    <row r="48" s="54" customFormat="1" ht="15" customHeight="1" spans="1:2">
      <c r="A48" s="63"/>
      <c r="B48" s="63"/>
    </row>
    <row r="49" s="54" customFormat="1" ht="15" customHeight="1" spans="1:2">
      <c r="A49" s="63"/>
      <c r="B49" s="63"/>
    </row>
    <row r="50" s="54" customFormat="1" ht="15" customHeight="1" spans="1:2">
      <c r="A50" s="63"/>
      <c r="B50" s="63"/>
    </row>
    <row r="51" s="54" customFormat="1" ht="15" customHeight="1" spans="1:2">
      <c r="A51" s="63"/>
      <c r="B51" s="63"/>
    </row>
    <row r="52" s="54" customFormat="1" ht="15" customHeight="1" spans="1:2">
      <c r="A52" s="63"/>
      <c r="B52" s="63"/>
    </row>
    <row r="53" s="54" customFormat="1" ht="15" customHeight="1" spans="1:2">
      <c r="A53" s="63"/>
      <c r="B53" s="63"/>
    </row>
    <row r="54" s="54" customFormat="1" ht="15" customHeight="1" spans="1:2">
      <c r="A54" s="63"/>
      <c r="B54" s="63"/>
    </row>
    <row r="55" s="54" customFormat="1" ht="15" customHeight="1" spans="1:2">
      <c r="A55" s="63"/>
      <c r="B55" s="63"/>
    </row>
    <row r="56" s="54" customFormat="1" ht="15" customHeight="1" spans="1:2">
      <c r="A56" s="63"/>
      <c r="B56" s="63"/>
    </row>
    <row r="57" s="54" customFormat="1" ht="15" customHeight="1" spans="1:2">
      <c r="A57" s="63"/>
      <c r="B57" s="63"/>
    </row>
    <row r="58" s="54" customFormat="1" ht="15" customHeight="1" spans="1:2">
      <c r="A58" s="63"/>
      <c r="B58" s="63"/>
    </row>
    <row r="59" s="54" customFormat="1" ht="15" customHeight="1" spans="1:2">
      <c r="A59" s="63"/>
      <c r="B59" s="63"/>
    </row>
    <row r="60" s="54" customFormat="1" ht="15" customHeight="1" spans="1:2">
      <c r="A60" s="63"/>
      <c r="B60" s="63"/>
    </row>
    <row r="61" s="54" customFormat="1" ht="15" customHeight="1" spans="1:2">
      <c r="A61" s="63"/>
      <c r="B61" s="63"/>
    </row>
    <row r="62" s="54" customFormat="1" ht="15" customHeight="1" spans="1:2">
      <c r="A62" s="63"/>
      <c r="B62" s="63"/>
    </row>
    <row r="63" s="54" customFormat="1" ht="15" customHeight="1" spans="1:2">
      <c r="A63" s="63"/>
      <c r="B63" s="63"/>
    </row>
    <row r="64" s="54" customFormat="1" ht="15" customHeight="1" spans="1:2">
      <c r="A64" s="63"/>
      <c r="B64" s="63"/>
    </row>
    <row r="65" s="54" customFormat="1" ht="15" customHeight="1" spans="1:2">
      <c r="A65" s="63"/>
      <c r="B65" s="63"/>
    </row>
    <row r="66" s="54" customFormat="1" ht="15" customHeight="1" spans="1:2">
      <c r="A66" s="63"/>
      <c r="B66" s="63"/>
    </row>
    <row r="67" s="54" customFormat="1" ht="15" customHeight="1" spans="1:2">
      <c r="A67" s="63"/>
      <c r="B67" s="63"/>
    </row>
    <row r="68" s="54" customFormat="1" ht="15" customHeight="1" spans="1:2">
      <c r="A68" s="63"/>
      <c r="B68" s="63"/>
    </row>
    <row r="69" s="54" customFormat="1" ht="15" customHeight="1" spans="1:2">
      <c r="A69" s="63"/>
      <c r="B69" s="63"/>
    </row>
    <row r="70" s="54" customFormat="1" ht="15" customHeight="1" spans="1:2">
      <c r="A70" s="63"/>
      <c r="B70" s="63"/>
    </row>
    <row r="71" s="54" customFormat="1" spans="1:2">
      <c r="A71" s="56"/>
      <c r="B71" s="56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workbookViewId="0">
      <pane xSplit="3" topLeftCell="E1" activePane="topRight" state="frozen"/>
      <selection/>
      <selection pane="topRight" activeCell="K19" sqref="K19"/>
    </sheetView>
  </sheetViews>
  <sheetFormatPr defaultColWidth="9.14285714285714" defaultRowHeight="23" customHeight="1"/>
  <cols>
    <col min="1" max="1" width="9.14285714285714" style="33"/>
    <col min="2" max="2" width="10.7142857142857" style="33" customWidth="1"/>
    <col min="3" max="3" width="10" style="33" customWidth="1"/>
    <col min="4" max="17" width="7.42857142857143" style="33" customWidth="1"/>
    <col min="18" max="41" width="7" style="33" customWidth="1"/>
    <col min="42" max="16384" width="9.14285714285714" style="33"/>
  </cols>
  <sheetData>
    <row r="1" s="34" customFormat="1" customHeight="1" spans="1:44">
      <c r="A1" s="36" t="s">
        <v>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</row>
    <row r="2" s="35" customFormat="1" ht="20" customHeight="1" spans="1:44">
      <c r="A2" s="38" t="s">
        <v>2</v>
      </c>
      <c r="B2" s="38" t="s">
        <v>31</v>
      </c>
      <c r="C2" s="39" t="s">
        <v>33</v>
      </c>
      <c r="D2" s="40">
        <v>46090</v>
      </c>
      <c r="E2" s="40">
        <v>46093</v>
      </c>
      <c r="F2" s="40">
        <v>46097</v>
      </c>
      <c r="G2" s="41">
        <v>46100</v>
      </c>
      <c r="H2" s="41">
        <v>46104</v>
      </c>
      <c r="I2" s="41">
        <v>46107</v>
      </c>
      <c r="J2" s="41">
        <v>46111</v>
      </c>
      <c r="K2" s="41">
        <v>46114</v>
      </c>
      <c r="L2" s="41">
        <v>46119</v>
      </c>
      <c r="M2" s="41">
        <v>46121</v>
      </c>
      <c r="N2" s="41">
        <v>46125</v>
      </c>
      <c r="O2" s="41">
        <v>46128</v>
      </c>
      <c r="P2" s="41">
        <v>46132</v>
      </c>
      <c r="Q2" s="41">
        <v>46135</v>
      </c>
      <c r="R2" s="41">
        <v>46139</v>
      </c>
      <c r="S2" s="41">
        <v>46142</v>
      </c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2" t="s">
        <v>34</v>
      </c>
      <c r="AQ2" s="35" t="s">
        <v>35</v>
      </c>
    </row>
    <row r="3" s="28" customFormat="1" customHeight="1" spans="1:44">
      <c r="A3" s="27">
        <v>1</v>
      </c>
      <c r="B3" s="43" t="s">
        <v>16</v>
      </c>
      <c r="C3" s="44">
        <v>100</v>
      </c>
      <c r="D3" s="44">
        <v>3</v>
      </c>
      <c r="E3" s="44">
        <v>4</v>
      </c>
      <c r="F3" s="44">
        <v>3</v>
      </c>
      <c r="G3" s="44">
        <v>4</v>
      </c>
      <c r="H3" s="44">
        <f>SUMIF('3.23'!$C$3:C50,B3,'3.23'!$I$3:I50)</f>
        <v>3</v>
      </c>
      <c r="I3" s="44">
        <f>SUMIF('3.26'!$C$3:D50,B3,'3.26'!$I$3:J50)</f>
        <v>4</v>
      </c>
      <c r="J3" s="44">
        <f>SUMIF('3.30'!$C$3:E50,B3,'3.30'!$I$3:K50)</f>
        <v>3</v>
      </c>
      <c r="K3" s="44">
        <f>SUMIF('4.2'!$C$3:F50,B3,'4.2'!$I$3:L50)</f>
        <v>4</v>
      </c>
      <c r="L3" s="44">
        <f>SUMIF('4.7'!$C$3:G50,B3,'4.7'!$I$3:M50)</f>
        <v>3</v>
      </c>
      <c r="M3" s="44">
        <f>SUMIF('4.9'!$C$3:H50,B3,'4.9'!$I$3:N50)</f>
        <v>4</v>
      </c>
      <c r="N3" s="44">
        <f>SUMIF('4.13'!$C$3:I50,B3,'4.13'!$I$3:O50)</f>
        <v>3</v>
      </c>
      <c r="O3" s="44">
        <f>SUMIF('4.16'!$C$3:J50,B3,'4.16'!$I$3:P50)</f>
        <v>4</v>
      </c>
      <c r="P3" s="44">
        <f>SUMIF('4.20'!$C$3:K50,B3,'4.20'!$I$3:Q50)</f>
        <v>3</v>
      </c>
      <c r="Q3" s="44">
        <f>SUMIF('4.23'!$C$3:L50,B3,'4.23'!$I$3:R50)</f>
        <v>4</v>
      </c>
      <c r="R3" s="44">
        <f>SUMIF('4.27'!$C$3:M50,B3,'4.27'!$I$3:S50)</f>
        <v>3</v>
      </c>
      <c r="S3" s="44">
        <f>SUMIF('4.30'!$C$3:N50,B3,'4.30'!$I$3:T50)</f>
        <v>4</v>
      </c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5"/>
      <c r="AH3" s="44"/>
      <c r="AI3" s="44"/>
      <c r="AJ3" s="44"/>
      <c r="AK3" s="44"/>
      <c r="AL3" s="44"/>
      <c r="AM3" s="44"/>
      <c r="AN3" s="44"/>
      <c r="AO3" s="27"/>
      <c r="AP3" s="27">
        <f>SUM(D3:AO3)</f>
        <v>56</v>
      </c>
      <c r="AQ3" s="28">
        <f>100-AP3</f>
        <v>44</v>
      </c>
    </row>
    <row r="4" s="28" customFormat="1" customHeight="1" spans="1:44">
      <c r="A4" s="27">
        <v>2</v>
      </c>
      <c r="B4" s="43" t="s">
        <v>19</v>
      </c>
      <c r="C4" s="44">
        <v>100</v>
      </c>
      <c r="D4" s="44">
        <v>3</v>
      </c>
      <c r="E4" s="44">
        <v>4</v>
      </c>
      <c r="F4" s="44">
        <v>3</v>
      </c>
      <c r="G4" s="44">
        <v>4</v>
      </c>
      <c r="H4" s="44">
        <f>SUMIF('3.23'!$C$3:C51,B4,'3.23'!$I$3:I51)</f>
        <v>0</v>
      </c>
      <c r="I4" s="44">
        <f>SUMIF('3.26'!$C$3:D51,B4,'3.26'!$I$3:J51)</f>
        <v>0</v>
      </c>
      <c r="J4" s="44">
        <f>SUMIF('3.30'!$C$3:E51,B4,'3.30'!$I$3:K51)</f>
        <v>0</v>
      </c>
      <c r="K4" s="44">
        <f>SUMIF('4.2'!$C$3:F51,B4,'4.2'!$I$3:L51)</f>
        <v>0</v>
      </c>
      <c r="L4" s="44">
        <f>SUMIF('4.7'!$C$3:G51,B4,'4.7'!$I$3:M51)</f>
        <v>0</v>
      </c>
      <c r="M4" s="44">
        <f>SUMIF('4.9'!$C$3:H51,B4,'4.9'!$I$3:N51)</f>
        <v>0</v>
      </c>
      <c r="N4" s="44">
        <f>SUMIF('4.13'!$C$3:I51,B4,'4.13'!$I$3:O51)</f>
        <v>0</v>
      </c>
      <c r="O4" s="44">
        <f>SUMIF('4.16'!$C$3:J51,B4,'4.16'!$I$3:P51)</f>
        <v>0</v>
      </c>
      <c r="P4" s="44">
        <f>SUMIF('4.20'!$C$3:K51,B4,'4.20'!$I$3:Q51)</f>
        <v>0</v>
      </c>
      <c r="Q4" s="44">
        <f>SUMIF('4.23'!$C$3:L51,B4,'4.23'!$I$3:R51)</f>
        <v>0</v>
      </c>
      <c r="R4" s="44">
        <f>SUMIF('4.27'!$C$3:M51,B4,'4.27'!$I$3:S51)</f>
        <v>0</v>
      </c>
      <c r="S4" s="44">
        <f>SUMIF('4.30'!$C$3:N51,B4,'4.30'!$I$3:T51)</f>
        <v>0</v>
      </c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27"/>
      <c r="AP4" s="27">
        <f>SUM(D4:AO4)</f>
        <v>14</v>
      </c>
      <c r="AQ4" s="28">
        <f t="shared" ref="AQ4:AQ9" si="0">130-AP4</f>
        <v>116</v>
      </c>
      <c r="AR4" s="33" t="s">
        <v>36</v>
      </c>
    </row>
    <row r="5" s="28" customFormat="1" customHeight="1" spans="1:44">
      <c r="A5" s="27">
        <v>3</v>
      </c>
      <c r="B5" s="43" t="s">
        <v>21</v>
      </c>
      <c r="C5" s="44">
        <v>100</v>
      </c>
      <c r="D5" s="44">
        <v>3</v>
      </c>
      <c r="E5" s="44">
        <v>4</v>
      </c>
      <c r="F5" s="44">
        <v>3</v>
      </c>
      <c r="G5" s="44">
        <v>4</v>
      </c>
      <c r="H5" s="44">
        <f>SUMIF('3.23'!$C$3:C52,B5,'3.23'!$I$3:I52)</f>
        <v>6</v>
      </c>
      <c r="I5" s="44">
        <f>SUMIF('3.26'!$C$3:D52,B5,'3.26'!$I$3:J52)</f>
        <v>8</v>
      </c>
      <c r="J5" s="44">
        <f>SUMIF('3.30'!$C$3:E52,B5,'3.30'!$I$3:K52)</f>
        <v>6</v>
      </c>
      <c r="K5" s="44">
        <f>SUMIF('4.2'!$C$3:F52,B5,'4.2'!$I$3:L52)</f>
        <v>8</v>
      </c>
      <c r="L5" s="44">
        <f>SUMIF('4.7'!$C$3:G52,B5,'4.7'!$I$3:M52)</f>
        <v>6</v>
      </c>
      <c r="M5" s="44">
        <f>SUMIF('4.9'!$C$3:H52,B5,'4.9'!$I$3:N52)</f>
        <v>8</v>
      </c>
      <c r="N5" s="44">
        <f>SUMIF('4.13'!$C$3:I52,B5,'4.13'!$I$3:O52)</f>
        <v>6</v>
      </c>
      <c r="O5" s="44">
        <f>SUMIF('4.16'!$C$3:J52,B5,'4.16'!$I$3:P52)</f>
        <v>8</v>
      </c>
      <c r="P5" s="44">
        <f>SUMIF('4.20'!$C$3:K52,B5,'4.20'!$I$3:Q52)</f>
        <v>6</v>
      </c>
      <c r="Q5" s="44">
        <f>SUMIF('4.23'!$C$3:L52,B5,'4.23'!$I$3:R52)</f>
        <v>8</v>
      </c>
      <c r="R5" s="44">
        <f>SUMIF('4.27'!$C$3:M52,B5,'4.27'!$I$3:S52)</f>
        <v>6</v>
      </c>
      <c r="S5" s="44">
        <f>SUMIF('4.30'!$C$3:N52,B5,'4.30'!$I$3:T52)</f>
        <v>8</v>
      </c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27"/>
      <c r="AP5" s="27">
        <f>SUM(D5:AO5)</f>
        <v>98</v>
      </c>
      <c r="AQ5" s="28">
        <f t="shared" si="0"/>
        <v>32</v>
      </c>
      <c r="AR5" s="33" t="s">
        <v>36</v>
      </c>
    </row>
    <row r="6" s="28" customFormat="1" customHeight="1" spans="1:44">
      <c r="A6" s="27">
        <v>4</v>
      </c>
      <c r="B6" s="43" t="s">
        <v>21</v>
      </c>
      <c r="C6" s="44">
        <v>100</v>
      </c>
      <c r="D6" s="44">
        <v>3</v>
      </c>
      <c r="E6" s="44">
        <v>4</v>
      </c>
      <c r="F6" s="44">
        <v>3</v>
      </c>
      <c r="G6" s="44">
        <v>4</v>
      </c>
      <c r="H6" s="44">
        <f>SUMIF('3.23'!$C$3:C53,B6,'3.23'!$I$3:I53)</f>
        <v>6</v>
      </c>
      <c r="I6" s="44">
        <f>SUMIF('3.26'!$C$3:D53,B6,'3.26'!$I$3:J53)</f>
        <v>8</v>
      </c>
      <c r="J6" s="44">
        <f>SUMIF('3.30'!$C$3:E53,B6,'3.30'!$I$3:K53)</f>
        <v>6</v>
      </c>
      <c r="K6" s="44">
        <f>SUMIF('4.2'!$C$3:F53,B6,'4.2'!$I$3:L53)</f>
        <v>8</v>
      </c>
      <c r="L6" s="44">
        <f>SUMIF('4.7'!$C$3:G53,B6,'4.7'!$I$3:M53)</f>
        <v>6</v>
      </c>
      <c r="M6" s="44">
        <f>SUMIF('4.9'!$C$3:H53,B6,'4.9'!$I$3:N53)</f>
        <v>8</v>
      </c>
      <c r="N6" s="44">
        <f>SUMIF('4.13'!$C$3:I53,B6,'4.13'!$I$3:O53)</f>
        <v>6</v>
      </c>
      <c r="O6" s="44">
        <f>SUMIF('4.16'!$C$3:J53,B6,'4.16'!$I$3:P53)</f>
        <v>8</v>
      </c>
      <c r="P6" s="44">
        <f>SUMIF('4.20'!$C$3:K53,B6,'4.20'!$I$3:Q53)</f>
        <v>6</v>
      </c>
      <c r="Q6" s="44">
        <f>SUMIF('4.23'!$C$3:L53,B6,'4.23'!$I$3:R53)</f>
        <v>8</v>
      </c>
      <c r="R6" s="44">
        <f>SUMIF('4.27'!$C$3:M53,B6,'4.27'!$I$3:S53)</f>
        <v>6</v>
      </c>
      <c r="S6" s="44">
        <f>SUMIF('4.30'!$C$3:N53,B6,'4.30'!$I$3:T53)</f>
        <v>8</v>
      </c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27"/>
      <c r="AP6" s="27">
        <f t="shared" ref="AP6:AP32" si="1">SUM(D6:AO6)</f>
        <v>98</v>
      </c>
      <c r="AQ6" s="28">
        <f t="shared" ref="AQ4:AQ32" si="2">100-AP6</f>
        <v>2</v>
      </c>
    </row>
    <row r="7" s="28" customFormat="1" customHeight="1" spans="1:44">
      <c r="A7" s="27">
        <v>5</v>
      </c>
      <c r="B7" s="43" t="s">
        <v>22</v>
      </c>
      <c r="C7" s="44">
        <v>100</v>
      </c>
      <c r="D7" s="44">
        <v>3</v>
      </c>
      <c r="E7" s="44">
        <v>4</v>
      </c>
      <c r="F7" s="44">
        <v>3</v>
      </c>
      <c r="G7" s="44">
        <v>4</v>
      </c>
      <c r="H7" s="44">
        <f>SUMIF('3.23'!$C$3:C54,B7,'3.23'!$I$3:I54)</f>
        <v>3</v>
      </c>
      <c r="I7" s="44">
        <f>SUMIF('3.26'!$C$3:D54,B7,'3.26'!$I$3:J54)</f>
        <v>4</v>
      </c>
      <c r="J7" s="44">
        <f>SUMIF('3.30'!$C$3:E54,B7,'3.30'!$I$3:K54)</f>
        <v>3</v>
      </c>
      <c r="K7" s="44">
        <f>SUMIF('4.2'!$C$3:F54,B7,'4.2'!$I$3:L54)</f>
        <v>4</v>
      </c>
      <c r="L7" s="44">
        <f>SUMIF('4.7'!$C$3:G54,B7,'4.7'!$I$3:M54)</f>
        <v>3</v>
      </c>
      <c r="M7" s="44">
        <f>SUMIF('4.9'!$C$3:H54,B7,'4.9'!$I$3:N54)</f>
        <v>4</v>
      </c>
      <c r="N7" s="44">
        <f>SUMIF('4.13'!$C$3:I54,B7,'4.13'!$I$3:O54)</f>
        <v>3</v>
      </c>
      <c r="O7" s="44">
        <f>SUMIF('4.16'!$C$3:J54,B7,'4.16'!$I$3:P54)</f>
        <v>4</v>
      </c>
      <c r="P7" s="44">
        <f>SUMIF('4.20'!$C$3:K54,B7,'4.20'!$I$3:Q54)</f>
        <v>3</v>
      </c>
      <c r="Q7" s="44">
        <f>SUMIF('4.23'!$C$3:L54,B7,'4.23'!$I$3:R54)</f>
        <v>4</v>
      </c>
      <c r="R7" s="44">
        <f>SUMIF('4.27'!$C$3:M54,B7,'4.27'!$I$3:S54)</f>
        <v>3</v>
      </c>
      <c r="S7" s="44">
        <f>SUMIF('4.30'!$C$3:N54,B7,'4.30'!$I$3:T54)</f>
        <v>4</v>
      </c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27"/>
      <c r="AP7" s="27">
        <f t="shared" si="1"/>
        <v>56</v>
      </c>
      <c r="AQ7" s="28">
        <f t="shared" si="2"/>
        <v>44</v>
      </c>
    </row>
    <row r="8" s="28" customFormat="1" customHeight="1" spans="1:44">
      <c r="A8" s="27">
        <v>6</v>
      </c>
      <c r="B8" s="43" t="s">
        <v>19</v>
      </c>
      <c r="C8" s="44">
        <v>100</v>
      </c>
      <c r="D8" s="44">
        <v>3</v>
      </c>
      <c r="E8" s="44">
        <v>4</v>
      </c>
      <c r="F8" s="44">
        <v>3</v>
      </c>
      <c r="G8" s="44">
        <v>4</v>
      </c>
      <c r="H8" s="44">
        <f>SUMIF('3.23'!$C$3:C55,B8,'3.23'!$I$3:I55)</f>
        <v>0</v>
      </c>
      <c r="I8" s="44">
        <f>SUMIF('3.26'!$C$3:D55,B8,'3.26'!$I$3:J55)</f>
        <v>0</v>
      </c>
      <c r="J8" s="44">
        <f>SUMIF('3.30'!$C$3:E55,B8,'3.30'!$I$3:K55)</f>
        <v>0</v>
      </c>
      <c r="K8" s="44">
        <f>SUMIF('4.2'!$C$3:F55,B8,'4.2'!$I$3:L55)</f>
        <v>0</v>
      </c>
      <c r="L8" s="44">
        <f>SUMIF('4.7'!$C$3:G55,B8,'4.7'!$I$3:M55)</f>
        <v>0</v>
      </c>
      <c r="M8" s="44">
        <f>SUMIF('4.9'!$C$3:H55,B8,'4.9'!$I$3:N55)</f>
        <v>0</v>
      </c>
      <c r="N8" s="44">
        <f>SUMIF('4.13'!$C$3:I55,B8,'4.13'!$I$3:O55)</f>
        <v>0</v>
      </c>
      <c r="O8" s="44">
        <f>SUMIF('4.16'!$C$3:J55,B8,'4.16'!$I$3:P55)</f>
        <v>0</v>
      </c>
      <c r="P8" s="44">
        <f>SUMIF('4.20'!$C$3:K55,B8,'4.20'!$I$3:Q55)</f>
        <v>0</v>
      </c>
      <c r="Q8" s="44">
        <f>SUMIF('4.23'!$C$3:L55,B8,'4.23'!$I$3:R55)</f>
        <v>0</v>
      </c>
      <c r="R8" s="44">
        <f>SUMIF('4.27'!$C$3:M55,B8,'4.27'!$I$3:S55)</f>
        <v>0</v>
      </c>
      <c r="S8" s="44">
        <f>SUMIF('4.30'!$C$3:N55,B8,'4.30'!$I$3:T55)</f>
        <v>0</v>
      </c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27"/>
      <c r="AP8" s="27">
        <f t="shared" si="1"/>
        <v>14</v>
      </c>
      <c r="AQ8" s="28">
        <f t="shared" si="2"/>
        <v>86</v>
      </c>
    </row>
    <row r="9" s="28" customFormat="1" customHeight="1" spans="1:44">
      <c r="A9" s="27">
        <v>7</v>
      </c>
      <c r="B9" s="43" t="s">
        <v>24</v>
      </c>
      <c r="C9" s="44">
        <v>100</v>
      </c>
      <c r="D9" s="44">
        <v>3</v>
      </c>
      <c r="E9" s="44">
        <v>4</v>
      </c>
      <c r="F9" s="44">
        <v>3</v>
      </c>
      <c r="G9" s="44">
        <v>4</v>
      </c>
      <c r="H9" s="44">
        <f>SUMIF('3.23'!$C$3:C56,B9,'3.23'!$I$3:I56)</f>
        <v>3</v>
      </c>
      <c r="I9" s="44">
        <f>SUMIF('3.26'!$C$3:D56,B9,'3.26'!$I$3:J56)</f>
        <v>4</v>
      </c>
      <c r="J9" s="44">
        <f>SUMIF('3.30'!$C$3:E56,B9,'3.30'!$I$3:K56)</f>
        <v>3</v>
      </c>
      <c r="K9" s="44">
        <f>SUMIF('4.2'!$C$3:F56,B9,'4.2'!$I$3:L56)</f>
        <v>4</v>
      </c>
      <c r="L9" s="44">
        <f>SUMIF('4.7'!$C$3:G56,B9,'4.7'!$I$3:M56)</f>
        <v>3</v>
      </c>
      <c r="M9" s="44">
        <f>SUMIF('4.9'!$C$3:H56,B9,'4.9'!$I$3:N56)</f>
        <v>4</v>
      </c>
      <c r="N9" s="44">
        <f>SUMIF('4.13'!$C$3:I56,B9,'4.13'!$I$3:O56)</f>
        <v>3</v>
      </c>
      <c r="O9" s="44">
        <f>SUMIF('4.16'!$C$3:J56,B9,'4.16'!$I$3:P56)</f>
        <v>4</v>
      </c>
      <c r="P9" s="44">
        <f>SUMIF('4.20'!$C$3:K56,B9,'4.20'!$I$3:Q56)</f>
        <v>3</v>
      </c>
      <c r="Q9" s="44">
        <f>SUMIF('4.23'!$C$3:L56,B9,'4.23'!$I$3:R56)</f>
        <v>0</v>
      </c>
      <c r="R9" s="44">
        <f>SUMIF('4.27'!$C$3:M56,B9,'4.27'!$I$3:S56)</f>
        <v>3</v>
      </c>
      <c r="S9" s="44">
        <f>SUMIF('4.30'!$C$3:N56,B9,'4.30'!$I$3:T56)</f>
        <v>0</v>
      </c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27"/>
      <c r="AP9" s="27">
        <f t="shared" si="1"/>
        <v>48</v>
      </c>
      <c r="AQ9" s="28">
        <f t="shared" si="0"/>
        <v>82</v>
      </c>
    </row>
    <row r="10" customHeight="1" spans="1:44">
      <c r="A10" s="27">
        <v>8</v>
      </c>
      <c r="B10" s="43" t="s">
        <v>25</v>
      </c>
      <c r="C10" s="44">
        <v>100</v>
      </c>
      <c r="D10" s="44">
        <v>3</v>
      </c>
      <c r="E10" s="44">
        <v>4</v>
      </c>
      <c r="F10" s="44">
        <v>3</v>
      </c>
      <c r="G10" s="44">
        <v>4</v>
      </c>
      <c r="H10" s="44">
        <f>SUMIF('3.23'!$C$3:C57,B10,'3.23'!$I$3:I57)</f>
        <v>3</v>
      </c>
      <c r="I10" s="44">
        <f>SUMIF('3.26'!$C$3:D57,B10,'3.26'!$I$3:J57)</f>
        <v>4</v>
      </c>
      <c r="J10" s="44">
        <f>SUMIF('3.30'!$C$3:E57,B10,'3.30'!$I$3:K57)</f>
        <v>3</v>
      </c>
      <c r="K10" s="44">
        <f>SUMIF('4.2'!$C$3:F57,B10,'4.2'!$I$3:L57)</f>
        <v>4</v>
      </c>
      <c r="L10" s="44">
        <f>SUMIF('4.7'!$C$3:G57,B10,'4.7'!$I$3:M57)</f>
        <v>3</v>
      </c>
      <c r="M10" s="44">
        <f>SUMIF('4.9'!$C$3:H57,B10,'4.9'!$I$3:N57)</f>
        <v>4</v>
      </c>
      <c r="N10" s="44">
        <f>SUMIF('4.13'!$C$3:I57,B10,'4.13'!$I$3:O57)</f>
        <v>3</v>
      </c>
      <c r="O10" s="44">
        <f>SUMIF('4.16'!$C$3:J57,B10,'4.16'!$I$3:P57)</f>
        <v>4</v>
      </c>
      <c r="P10" s="44">
        <f>SUMIF('4.20'!$C$3:K57,B10,'4.20'!$I$3:Q57)</f>
        <v>3</v>
      </c>
      <c r="Q10" s="44">
        <f>SUMIF('4.23'!$C$3:L57,B10,'4.23'!$I$3:R57)</f>
        <v>4</v>
      </c>
      <c r="R10" s="44">
        <f>SUMIF('4.27'!$C$3:M57,B10,'4.27'!$I$3:S57)</f>
        <v>3</v>
      </c>
      <c r="S10" s="44">
        <f>SUMIF('4.30'!$C$3:N57,B10,'4.30'!$I$3:T57)</f>
        <v>4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6"/>
      <c r="AP10" s="27">
        <f t="shared" si="1"/>
        <v>56</v>
      </c>
      <c r="AQ10" s="28">
        <f t="shared" si="2"/>
        <v>44</v>
      </c>
    </row>
    <row r="11" customHeight="1" spans="1:44">
      <c r="A11" s="27">
        <v>9</v>
      </c>
      <c r="B11" s="10" t="s">
        <v>26</v>
      </c>
      <c r="C11" s="44">
        <v>100</v>
      </c>
      <c r="D11" s="44">
        <v>3</v>
      </c>
      <c r="E11" s="44">
        <v>4</v>
      </c>
      <c r="F11" s="44">
        <v>3</v>
      </c>
      <c r="G11" s="44">
        <v>4</v>
      </c>
      <c r="H11" s="44">
        <f>SUMIF('3.23'!$C$3:C58,B11,'3.23'!$I$3:I58)</f>
        <v>3</v>
      </c>
      <c r="I11" s="44">
        <f>SUMIF('3.26'!$C$3:D58,B11,'3.26'!$I$3:J58)</f>
        <v>4</v>
      </c>
      <c r="J11" s="44">
        <f>SUMIF('3.30'!$C$3:E58,B11,'3.30'!$I$3:K58)</f>
        <v>3</v>
      </c>
      <c r="K11" s="44">
        <f>SUMIF('4.2'!$C$3:F58,B11,'4.2'!$I$3:L58)</f>
        <v>4</v>
      </c>
      <c r="L11" s="44">
        <f>SUMIF('4.7'!$C$3:G58,B11,'4.7'!$I$3:M58)</f>
        <v>3</v>
      </c>
      <c r="M11" s="44">
        <f>SUMIF('4.9'!$C$3:H58,B11,'4.9'!$I$3:N58)</f>
        <v>4</v>
      </c>
      <c r="N11" s="44">
        <f>SUMIF('4.13'!$C$3:I58,B11,'4.13'!$I$3:O58)</f>
        <v>3</v>
      </c>
      <c r="O11" s="44">
        <f>SUMIF('4.16'!$C$3:J58,B11,'4.16'!$I$3:P58)</f>
        <v>4</v>
      </c>
      <c r="P11" s="44">
        <f>SUMIF('4.20'!$C$3:K58,B11,'4.20'!$I$3:Q58)</f>
        <v>3</v>
      </c>
      <c r="Q11" s="44">
        <f>SUMIF('4.23'!$C$3:L58,B11,'4.23'!$I$3:R58)</f>
        <v>4</v>
      </c>
      <c r="R11" s="44">
        <f>SUMIF('4.27'!$C$3:M58,B11,'4.27'!$I$3:S58)</f>
        <v>3</v>
      </c>
      <c r="S11" s="44">
        <f>SUMIF('4.30'!$C$3:N58,B11,'4.30'!$I$3:T58)</f>
        <v>4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6"/>
      <c r="AP11" s="27">
        <f t="shared" si="1"/>
        <v>56</v>
      </c>
      <c r="AQ11" s="28">
        <f t="shared" si="2"/>
        <v>44</v>
      </c>
    </row>
    <row r="12" customHeight="1" spans="1:44">
      <c r="A12" s="27">
        <v>10</v>
      </c>
      <c r="B12" s="24" t="s">
        <v>27</v>
      </c>
      <c r="C12" s="44">
        <v>100</v>
      </c>
      <c r="D12" s="44">
        <v>0</v>
      </c>
      <c r="E12" s="44">
        <v>0</v>
      </c>
      <c r="F12" s="44">
        <v>0</v>
      </c>
      <c r="G12" s="44">
        <v>7</v>
      </c>
      <c r="H12" s="44">
        <f>SUMIF('3.23'!$C$3:C59,B12,'3.23'!$I$3:I59)</f>
        <v>0</v>
      </c>
      <c r="I12" s="44">
        <f>SUMIF('3.26'!$C$3:D59,B12,'3.26'!$I$3:J59)</f>
        <v>7</v>
      </c>
      <c r="J12" s="44">
        <f>SUMIF('3.30'!$C$3:E59,B12,'3.30'!$I$3:K59)</f>
        <v>0</v>
      </c>
      <c r="K12" s="44">
        <f>SUMIF('4.2'!$C$3:F59,B12,'4.2'!$I$3:L59)</f>
        <v>7</v>
      </c>
      <c r="L12" s="44">
        <f>SUMIF('4.7'!$C$3:G59,B12,'4.7'!$I$3:M59)</f>
        <v>0</v>
      </c>
      <c r="M12" s="44">
        <f>SUMIF('4.9'!$C$3:H59,B12,'4.9'!$I$3:N59)</f>
        <v>7</v>
      </c>
      <c r="N12" s="44">
        <f>SUMIF('4.13'!$C$3:I59,B12,'4.13'!$I$3:O59)</f>
        <v>0</v>
      </c>
      <c r="O12" s="44">
        <f>SUMIF('4.16'!$C$3:J59,B12,'4.16'!$I$3:P59)</f>
        <v>7</v>
      </c>
      <c r="P12" s="44">
        <f>SUMIF('4.20'!$C$3:K59,B12,'4.20'!$I$3:Q59)</f>
        <v>0</v>
      </c>
      <c r="Q12" s="44">
        <f>SUMIF('4.23'!$C$3:L59,B12,'4.23'!$I$3:R59)</f>
        <v>7</v>
      </c>
      <c r="R12" s="44">
        <f>SUMIF('4.27'!$C$3:M59,B12,'4.27'!$I$3:S59)</f>
        <v>0</v>
      </c>
      <c r="S12" s="44">
        <f>SUMIF('4.30'!$C$3:N59,B12,'4.30'!$I$3:T59)</f>
        <v>7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6"/>
      <c r="AP12" s="27">
        <f t="shared" si="1"/>
        <v>49</v>
      </c>
      <c r="AQ12" s="28">
        <f>130-AP12</f>
        <v>81</v>
      </c>
      <c r="AR12" s="33" t="s">
        <v>36</v>
      </c>
    </row>
    <row r="13" customHeight="1" spans="1:44">
      <c r="A13" s="27">
        <v>11</v>
      </c>
      <c r="B13" s="47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5"/>
      <c r="X13" s="45"/>
      <c r="Y13" s="45"/>
      <c r="Z13" s="45"/>
      <c r="AA13" s="45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6"/>
      <c r="AP13" s="27">
        <f t="shared" si="1"/>
        <v>0</v>
      </c>
      <c r="AQ13" s="28">
        <f t="shared" si="2"/>
        <v>100</v>
      </c>
    </row>
    <row r="14" customHeight="1" spans="1:44">
      <c r="A14" s="27">
        <v>12</v>
      </c>
      <c r="B14" s="47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5"/>
      <c r="X14" s="45"/>
      <c r="Y14" s="45"/>
      <c r="Z14" s="45"/>
      <c r="AA14" s="45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6"/>
      <c r="AP14" s="27">
        <f t="shared" si="1"/>
        <v>0</v>
      </c>
      <c r="AQ14" s="28">
        <f t="shared" si="2"/>
        <v>100</v>
      </c>
    </row>
    <row r="15" customHeight="1" spans="1:44">
      <c r="A15" s="27">
        <v>13</v>
      </c>
      <c r="B15" s="47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5"/>
      <c r="X15" s="45"/>
      <c r="Y15" s="45"/>
      <c r="Z15" s="45"/>
      <c r="AA15" s="45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6"/>
      <c r="AP15" s="27">
        <f t="shared" si="1"/>
        <v>0</v>
      </c>
      <c r="AQ15" s="28">
        <f t="shared" si="2"/>
        <v>100</v>
      </c>
    </row>
    <row r="16" customHeight="1" spans="1:44">
      <c r="A16" s="27">
        <v>14</v>
      </c>
      <c r="B16" s="47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6"/>
      <c r="AP16" s="27">
        <f t="shared" si="1"/>
        <v>0</v>
      </c>
      <c r="AQ16" s="28">
        <f t="shared" si="2"/>
        <v>100</v>
      </c>
    </row>
    <row r="17" customHeight="1" spans="1:44">
      <c r="A17" s="27">
        <v>15</v>
      </c>
      <c r="B17" s="47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6"/>
      <c r="AP17" s="27">
        <f t="shared" si="1"/>
        <v>0</v>
      </c>
      <c r="AQ17" s="28">
        <f t="shared" si="2"/>
        <v>100</v>
      </c>
    </row>
    <row r="18" customHeight="1" spans="1:44">
      <c r="A18" s="27">
        <v>16</v>
      </c>
      <c r="B18" s="47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6"/>
      <c r="AP18" s="27">
        <f t="shared" si="1"/>
        <v>0</v>
      </c>
      <c r="AQ18" s="28">
        <f t="shared" si="2"/>
        <v>100</v>
      </c>
    </row>
    <row r="19" customHeight="1" spans="1:44">
      <c r="A19" s="27">
        <v>17</v>
      </c>
      <c r="B19" s="47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6"/>
      <c r="AP19" s="27">
        <f t="shared" si="1"/>
        <v>0</v>
      </c>
      <c r="AQ19" s="28">
        <f t="shared" si="2"/>
        <v>100</v>
      </c>
    </row>
    <row r="20" customHeight="1" spans="1:44">
      <c r="A20" s="27">
        <v>18</v>
      </c>
      <c r="B20" s="47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6"/>
      <c r="AP20" s="27">
        <f t="shared" si="1"/>
        <v>0</v>
      </c>
      <c r="AQ20" s="28">
        <f>130-AP20</f>
        <v>130</v>
      </c>
      <c r="AR20" s="33" t="s">
        <v>36</v>
      </c>
    </row>
    <row r="21" customHeight="1" spans="1:44">
      <c r="A21" s="27">
        <v>19</v>
      </c>
      <c r="B21" s="47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6"/>
      <c r="AP21" s="27">
        <f t="shared" si="1"/>
        <v>0</v>
      </c>
      <c r="AQ21" s="28">
        <f>130-AP21</f>
        <v>130</v>
      </c>
      <c r="AR21" s="33" t="s">
        <v>36</v>
      </c>
    </row>
    <row r="22" customHeight="1" spans="1:44">
      <c r="A22" s="27">
        <v>20</v>
      </c>
      <c r="B22" s="47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6"/>
      <c r="AP22" s="27">
        <f t="shared" si="1"/>
        <v>0</v>
      </c>
      <c r="AQ22" s="28">
        <f t="shared" si="2"/>
        <v>100</v>
      </c>
    </row>
    <row r="23" customHeight="1" spans="1:44">
      <c r="A23" s="27">
        <v>21</v>
      </c>
      <c r="B23" s="47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6"/>
      <c r="AP23" s="27">
        <f t="shared" si="1"/>
        <v>0</v>
      </c>
      <c r="AQ23" s="28">
        <f t="shared" si="2"/>
        <v>100</v>
      </c>
    </row>
    <row r="24" customHeight="1" spans="1:44">
      <c r="A24" s="27">
        <v>22</v>
      </c>
      <c r="B24" s="47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6"/>
      <c r="AP24" s="27">
        <f t="shared" si="1"/>
        <v>0</v>
      </c>
      <c r="AQ24" s="28">
        <f t="shared" si="2"/>
        <v>100</v>
      </c>
    </row>
    <row r="25" customHeight="1" spans="1:44">
      <c r="A25" s="27">
        <v>23</v>
      </c>
      <c r="B25" s="48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6"/>
      <c r="AP25" s="27">
        <f t="shared" si="1"/>
        <v>0</v>
      </c>
      <c r="AQ25" s="28">
        <f t="shared" si="2"/>
        <v>100</v>
      </c>
      <c r="AR25" s="33" t="s">
        <v>36</v>
      </c>
    </row>
    <row r="26" customHeight="1" spans="1:44">
      <c r="A26" s="27">
        <v>24</v>
      </c>
      <c r="B26" s="48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6"/>
      <c r="AP26" s="27">
        <f t="shared" si="1"/>
        <v>0</v>
      </c>
      <c r="AQ26" s="28">
        <f t="shared" ref="AQ26:AQ32" si="3">130-AP26</f>
        <v>130</v>
      </c>
      <c r="AR26" s="33" t="s">
        <v>36</v>
      </c>
    </row>
    <row r="27" customHeight="1" spans="1:44">
      <c r="A27" s="49">
        <v>25</v>
      </c>
      <c r="B27" s="50"/>
      <c r="C27" s="51"/>
      <c r="D27" s="52"/>
      <c r="E27" s="52"/>
      <c r="F27" s="52"/>
      <c r="G27" s="52"/>
      <c r="H27" s="5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2"/>
      <c r="AP27" s="49">
        <f t="shared" si="1"/>
        <v>0</v>
      </c>
      <c r="AQ27" s="28">
        <f t="shared" si="2"/>
        <v>100</v>
      </c>
    </row>
    <row r="28" customHeight="1" spans="1:44">
      <c r="A28" s="27">
        <v>26</v>
      </c>
      <c r="B28" s="48"/>
      <c r="C28" s="44"/>
      <c r="D28" s="46"/>
      <c r="E28" s="46"/>
      <c r="F28" s="46"/>
      <c r="G28" s="46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51"/>
      <c r="AG28" s="51"/>
      <c r="AH28" s="51"/>
      <c r="AI28" s="51"/>
      <c r="AJ28" s="51"/>
      <c r="AK28" s="51"/>
      <c r="AL28" s="51"/>
      <c r="AM28" s="51"/>
      <c r="AN28" s="51"/>
      <c r="AO28" s="46"/>
      <c r="AP28" s="27">
        <f t="shared" si="1"/>
        <v>0</v>
      </c>
      <c r="AQ28" s="28">
        <f t="shared" si="2"/>
        <v>100</v>
      </c>
    </row>
    <row r="29" customHeight="1" spans="1:44">
      <c r="A29" s="27">
        <v>27</v>
      </c>
      <c r="B29" s="48"/>
      <c r="C29" s="44"/>
      <c r="D29" s="46"/>
      <c r="E29" s="46"/>
      <c r="F29" s="46"/>
      <c r="G29" s="46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51"/>
      <c r="AG29" s="51"/>
      <c r="AH29" s="51"/>
      <c r="AI29" s="51"/>
      <c r="AJ29" s="51"/>
      <c r="AK29" s="51"/>
      <c r="AL29" s="51"/>
      <c r="AM29" s="51"/>
      <c r="AN29" s="51"/>
      <c r="AO29" s="46"/>
      <c r="AP29" s="27">
        <f t="shared" si="1"/>
        <v>0</v>
      </c>
      <c r="AQ29" s="28">
        <f t="shared" si="2"/>
        <v>100</v>
      </c>
    </row>
    <row r="30" customHeight="1" spans="1:44">
      <c r="A30" s="27">
        <v>28</v>
      </c>
      <c r="B30" s="48"/>
      <c r="C30" s="44"/>
      <c r="D30" s="46"/>
      <c r="E30" s="46"/>
      <c r="F30" s="46"/>
      <c r="G30" s="46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6"/>
      <c r="AP30" s="27">
        <f t="shared" si="1"/>
        <v>0</v>
      </c>
      <c r="AQ30" s="28">
        <f t="shared" si="3"/>
        <v>130</v>
      </c>
      <c r="AR30" s="33" t="s">
        <v>36</v>
      </c>
    </row>
    <row r="31" customHeight="1" spans="1:44">
      <c r="A31" s="27">
        <v>29</v>
      </c>
      <c r="B31" s="48"/>
      <c r="C31" s="44"/>
      <c r="D31" s="46"/>
      <c r="E31" s="46"/>
      <c r="F31" s="46"/>
      <c r="G31" s="46"/>
      <c r="H31" s="46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6"/>
      <c r="AP31" s="27">
        <f t="shared" si="1"/>
        <v>0</v>
      </c>
      <c r="AQ31" s="28">
        <f t="shared" si="3"/>
        <v>130</v>
      </c>
      <c r="AR31" s="33" t="s">
        <v>36</v>
      </c>
    </row>
    <row r="32" customHeight="1" spans="1:44">
      <c r="A32" s="27">
        <v>30</v>
      </c>
      <c r="B32" s="48"/>
      <c r="C32" s="44"/>
      <c r="D32" s="46"/>
      <c r="E32" s="46"/>
      <c r="F32" s="46"/>
      <c r="G32" s="46"/>
      <c r="H32" s="46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>
        <f t="shared" si="1"/>
        <v>0</v>
      </c>
      <c r="AQ32" s="28">
        <f t="shared" si="3"/>
        <v>130</v>
      </c>
      <c r="AR32" s="33" t="s">
        <v>36</v>
      </c>
    </row>
    <row r="33" customHeight="1" spans="1:42">
      <c r="A33" s="46"/>
      <c r="B33" s="53"/>
      <c r="C33" s="53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</row>
    <row r="34" customHeight="1" spans="1:42">
      <c r="A34" s="46"/>
      <c r="B34" s="53"/>
      <c r="C34" s="53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</row>
    <row r="35" customHeight="1" spans="1:42">
      <c r="A35" s="46"/>
      <c r="B35" s="53"/>
      <c r="C35" s="53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26" sqref="B26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25" t="s">
        <v>37</v>
      </c>
      <c r="B1" s="25"/>
      <c r="C1" s="25"/>
      <c r="D1" s="25"/>
      <c r="E1" s="25"/>
      <c r="F1" s="25"/>
    </row>
    <row r="2" s="1" customFormat="1" ht="39" customHeight="1" spans="1:6">
      <c r="A2" s="7" t="s">
        <v>2</v>
      </c>
      <c r="B2" s="7" t="s">
        <v>38</v>
      </c>
      <c r="C2" s="7" t="s">
        <v>3</v>
      </c>
      <c r="D2" s="26" t="s">
        <v>39</v>
      </c>
      <c r="E2" s="7" t="s">
        <v>40</v>
      </c>
      <c r="F2" s="7" t="s">
        <v>7</v>
      </c>
    </row>
    <row r="3" ht="26" customHeight="1" spans="1:6">
      <c r="A3" s="27">
        <v>1</v>
      </c>
      <c r="B3" s="18">
        <v>46093</v>
      </c>
      <c r="C3" s="10" t="s">
        <v>16</v>
      </c>
      <c r="D3" s="17">
        <v>1</v>
      </c>
      <c r="E3" s="16"/>
      <c r="F3" s="13"/>
    </row>
    <row r="4" ht="26" customHeight="1" spans="1:6">
      <c r="A4" s="27">
        <v>2</v>
      </c>
      <c r="B4" s="18">
        <v>46093</v>
      </c>
      <c r="C4" s="10" t="s">
        <v>41</v>
      </c>
      <c r="D4" s="17">
        <v>1</v>
      </c>
      <c r="E4" s="16"/>
      <c r="F4" s="14"/>
    </row>
    <row r="5" ht="26" customHeight="1" spans="1:6">
      <c r="A5" s="27">
        <v>3</v>
      </c>
      <c r="B5" s="18">
        <v>46093</v>
      </c>
      <c r="C5" s="10" t="s">
        <v>42</v>
      </c>
      <c r="D5" s="17">
        <v>1</v>
      </c>
      <c r="E5" s="16"/>
      <c r="F5" s="14"/>
    </row>
    <row r="6" ht="26" customHeight="1" spans="1:6">
      <c r="A6" s="27">
        <v>4</v>
      </c>
      <c r="B6" s="18">
        <v>46093</v>
      </c>
      <c r="C6" s="10" t="s">
        <v>21</v>
      </c>
      <c r="D6" s="17">
        <v>1</v>
      </c>
      <c r="E6" s="16"/>
      <c r="F6" s="14"/>
    </row>
    <row r="7" ht="26" customHeight="1" spans="1:6">
      <c r="A7" s="27">
        <v>5</v>
      </c>
      <c r="B7" s="18">
        <v>46093</v>
      </c>
      <c r="C7" s="10" t="s">
        <v>21</v>
      </c>
      <c r="D7" s="17">
        <v>1</v>
      </c>
      <c r="E7" s="16"/>
      <c r="F7" s="14"/>
    </row>
    <row r="8" ht="26" customHeight="1" spans="1:6">
      <c r="A8" s="27">
        <v>6</v>
      </c>
      <c r="B8" s="18">
        <v>46093</v>
      </c>
      <c r="C8" s="10" t="s">
        <v>22</v>
      </c>
      <c r="D8" s="17">
        <v>1</v>
      </c>
      <c r="E8" s="16"/>
      <c r="F8" s="14"/>
    </row>
    <row r="9" ht="26" customHeight="1" spans="1:6">
      <c r="A9" s="27">
        <v>7</v>
      </c>
      <c r="B9" s="18">
        <v>46093</v>
      </c>
      <c r="C9" s="10" t="s">
        <v>24</v>
      </c>
      <c r="D9" s="17">
        <v>1</v>
      </c>
      <c r="E9" s="17"/>
      <c r="F9" s="15"/>
    </row>
    <row r="10" customFormat="1" ht="26" customHeight="1" spans="1:6">
      <c r="A10" s="27">
        <v>8</v>
      </c>
      <c r="B10" s="18">
        <v>46093</v>
      </c>
      <c r="C10" s="10" t="s">
        <v>25</v>
      </c>
      <c r="D10" s="17">
        <v>1</v>
      </c>
      <c r="E10" s="17"/>
      <c r="F10" s="15"/>
    </row>
    <row r="11" ht="26" customHeight="1" spans="1:6">
      <c r="A11" s="27">
        <v>9</v>
      </c>
      <c r="B11" s="18">
        <v>46093</v>
      </c>
      <c r="C11" s="10" t="s">
        <v>26</v>
      </c>
      <c r="D11" s="17">
        <v>1</v>
      </c>
      <c r="E11" s="17"/>
      <c r="F11" s="15"/>
    </row>
    <row r="12" ht="26" customHeight="1" spans="1:6">
      <c r="A12" s="28"/>
      <c r="B12" s="29"/>
      <c r="C12" s="30" t="s">
        <v>27</v>
      </c>
      <c r="D12" s="31"/>
      <c r="E12" s="31"/>
      <c r="F12" s="32" t="s">
        <v>43</v>
      </c>
    </row>
    <row r="13" ht="20" customHeight="1" spans="1:6">
      <c r="D13" s="33">
        <f>SUM(D3:D11)</f>
        <v>9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32" sqref="C3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7">
      <c r="A3" s="8">
        <v>1</v>
      </c>
      <c r="B3" s="9">
        <v>46090</v>
      </c>
      <c r="C3" s="10" t="s">
        <v>16</v>
      </c>
      <c r="D3" s="11" t="s">
        <v>48</v>
      </c>
      <c r="E3" s="12"/>
      <c r="F3" s="10">
        <v>3</v>
      </c>
      <c r="G3" s="13"/>
    </row>
    <row r="4" ht="22" customHeight="1" spans="1:7">
      <c r="A4" s="8">
        <v>2</v>
      </c>
      <c r="B4" s="9">
        <v>46090</v>
      </c>
      <c r="C4" s="10" t="s">
        <v>41</v>
      </c>
      <c r="D4" s="11" t="s">
        <v>48</v>
      </c>
      <c r="E4" s="10">
        <v>2</v>
      </c>
      <c r="F4" s="10">
        <v>1</v>
      </c>
      <c r="G4" s="14"/>
    </row>
    <row r="5" ht="22" customHeight="1" spans="1:7">
      <c r="A5" s="8">
        <v>3</v>
      </c>
      <c r="B5" s="9">
        <v>46090</v>
      </c>
      <c r="C5" s="10" t="s">
        <v>21</v>
      </c>
      <c r="D5" s="11" t="s">
        <v>48</v>
      </c>
      <c r="E5" s="10">
        <v>2</v>
      </c>
      <c r="F5" s="10">
        <v>1</v>
      </c>
      <c r="G5" s="14"/>
    </row>
    <row r="6" ht="22" customHeight="1" spans="1:7">
      <c r="A6" s="8">
        <v>4</v>
      </c>
      <c r="B6" s="9">
        <v>46090</v>
      </c>
      <c r="C6" s="10" t="s">
        <v>21</v>
      </c>
      <c r="D6" s="11" t="s">
        <v>48</v>
      </c>
      <c r="E6" s="10">
        <v>2</v>
      </c>
      <c r="F6" s="10">
        <v>1</v>
      </c>
      <c r="G6" s="14"/>
    </row>
    <row r="7" ht="22" customHeight="1" spans="1:7">
      <c r="A7" s="8">
        <v>5</v>
      </c>
      <c r="B7" s="9">
        <v>46090</v>
      </c>
      <c r="C7" s="10" t="s">
        <v>22</v>
      </c>
      <c r="D7" s="11" t="s">
        <v>48</v>
      </c>
      <c r="E7" s="10">
        <v>3</v>
      </c>
      <c r="F7" s="12"/>
      <c r="G7" s="14"/>
    </row>
    <row r="8" ht="22" customHeight="1" spans="1:7">
      <c r="A8" s="8">
        <v>6</v>
      </c>
      <c r="B8" s="9">
        <v>46090</v>
      </c>
      <c r="C8" s="10" t="s">
        <v>42</v>
      </c>
      <c r="D8" s="11" t="s">
        <v>48</v>
      </c>
      <c r="E8" s="10">
        <v>2</v>
      </c>
      <c r="F8" s="10">
        <v>1</v>
      </c>
      <c r="G8" s="14"/>
    </row>
    <row r="9" ht="22" customHeight="1" spans="1:7">
      <c r="A9" s="8">
        <v>7</v>
      </c>
      <c r="B9" s="9">
        <v>46090</v>
      </c>
      <c r="C9" s="10" t="s">
        <v>24</v>
      </c>
      <c r="D9" s="11" t="s">
        <v>48</v>
      </c>
      <c r="E9" s="10">
        <v>3</v>
      </c>
      <c r="F9" s="12"/>
      <c r="G9" s="15"/>
    </row>
    <row r="10" ht="22" customHeight="1" spans="1:7">
      <c r="A10" s="8">
        <v>8</v>
      </c>
      <c r="B10" s="9">
        <v>46090</v>
      </c>
      <c r="C10" s="10" t="s">
        <v>25</v>
      </c>
      <c r="D10" s="11" t="s">
        <v>48</v>
      </c>
      <c r="E10" s="12"/>
      <c r="F10" s="10">
        <v>3</v>
      </c>
      <c r="G10" s="15"/>
    </row>
    <row r="11" customFormat="1" ht="22" customHeight="1" spans="1:7">
      <c r="A11" s="8">
        <v>9</v>
      </c>
      <c r="B11" s="9">
        <v>46090</v>
      </c>
      <c r="C11" s="10" t="s">
        <v>26</v>
      </c>
      <c r="D11" s="11" t="s">
        <v>48</v>
      </c>
      <c r="E11" s="12">
        <v>3</v>
      </c>
      <c r="F11" s="10"/>
      <c r="G11" s="15"/>
    </row>
    <row r="12" customFormat="1" ht="22" customHeight="1" spans="1:7">
      <c r="A12" s="8"/>
      <c r="B12" s="18"/>
      <c r="C12" s="19"/>
      <c r="D12" s="11"/>
      <c r="E12" s="13"/>
      <c r="F12" s="15"/>
      <c r="G12" s="15"/>
    </row>
    <row r="13" customFormat="1" ht="22" customHeight="1" spans="1:7">
      <c r="A13" s="8"/>
      <c r="B13" s="20"/>
      <c r="C13" s="19"/>
      <c r="D13" s="21"/>
      <c r="E13" s="22"/>
      <c r="F13" s="16"/>
      <c r="G13" s="16"/>
    </row>
    <row r="14" ht="13.5" spans="1:7">
      <c r="E14" s="23">
        <f>SUM(E3:E13)</f>
        <v>17</v>
      </c>
      <c r="F14" s="23">
        <f>SUM(F3:F13)</f>
        <v>10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D34" sqref="D3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16</v>
      </c>
      <c r="D3" s="11" t="s">
        <v>49</v>
      </c>
      <c r="E3" s="12"/>
      <c r="F3" s="10">
        <v>4</v>
      </c>
      <c r="G3" s="13"/>
    </row>
    <row r="4" ht="22" customHeight="1" spans="1:7">
      <c r="A4" s="8">
        <v>2</v>
      </c>
      <c r="B4" s="9">
        <v>46093</v>
      </c>
      <c r="C4" s="10" t="s">
        <v>41</v>
      </c>
      <c r="D4" s="11" t="s">
        <v>49</v>
      </c>
      <c r="E4" s="10">
        <v>4</v>
      </c>
      <c r="F4" s="10"/>
      <c r="G4" s="14"/>
    </row>
    <row r="5" ht="22" customHeight="1" spans="1:7">
      <c r="A5" s="8">
        <v>6</v>
      </c>
      <c r="B5" s="9">
        <v>46093</v>
      </c>
      <c r="C5" s="10" t="s">
        <v>42</v>
      </c>
      <c r="D5" s="11" t="s">
        <v>49</v>
      </c>
      <c r="E5" s="10"/>
      <c r="F5" s="10">
        <v>4</v>
      </c>
      <c r="G5" s="14"/>
    </row>
    <row r="6" ht="22" customHeight="1" spans="1:7">
      <c r="A6" s="8">
        <v>3</v>
      </c>
      <c r="B6" s="9">
        <v>46093</v>
      </c>
      <c r="C6" s="10" t="s">
        <v>21</v>
      </c>
      <c r="D6" s="11" t="s">
        <v>49</v>
      </c>
      <c r="E6" s="10">
        <v>2</v>
      </c>
      <c r="F6" s="10">
        <v>2</v>
      </c>
      <c r="G6" s="14"/>
    </row>
    <row r="7" ht="22" customHeight="1" spans="1:7">
      <c r="A7" s="8">
        <v>4</v>
      </c>
      <c r="B7" s="9">
        <v>46093</v>
      </c>
      <c r="C7" s="10" t="s">
        <v>21</v>
      </c>
      <c r="D7" s="11" t="s">
        <v>49</v>
      </c>
      <c r="E7" s="10">
        <v>2</v>
      </c>
      <c r="F7" s="10">
        <v>2</v>
      </c>
      <c r="G7" s="14"/>
    </row>
    <row r="8" ht="22" customHeight="1" spans="1:7">
      <c r="A8" s="8">
        <v>5</v>
      </c>
      <c r="B8" s="9">
        <v>46093</v>
      </c>
      <c r="C8" s="10" t="s">
        <v>22</v>
      </c>
      <c r="D8" s="11" t="s">
        <v>49</v>
      </c>
      <c r="E8" s="10">
        <v>4</v>
      </c>
      <c r="F8" s="12"/>
      <c r="G8" s="14"/>
    </row>
    <row r="9" ht="22" customHeight="1" spans="1:7">
      <c r="A9" s="8">
        <v>7</v>
      </c>
      <c r="B9" s="9">
        <v>46093</v>
      </c>
      <c r="C9" s="10" t="s">
        <v>24</v>
      </c>
      <c r="D9" s="11" t="s">
        <v>49</v>
      </c>
      <c r="E9" s="10">
        <v>4</v>
      </c>
      <c r="F9" s="12"/>
      <c r="G9" s="15"/>
    </row>
    <row r="10" ht="22" customHeight="1" spans="1:7">
      <c r="A10" s="8">
        <v>8</v>
      </c>
      <c r="B10" s="9">
        <v>46093</v>
      </c>
      <c r="C10" s="10" t="s">
        <v>25</v>
      </c>
      <c r="D10" s="11" t="s">
        <v>49</v>
      </c>
      <c r="E10" s="12"/>
      <c r="F10" s="10">
        <v>4</v>
      </c>
      <c r="G10" s="15"/>
    </row>
    <row r="11" customFormat="1" ht="22" customHeight="1" spans="1:7">
      <c r="A11" s="8">
        <v>9</v>
      </c>
      <c r="B11" s="9">
        <v>46093</v>
      </c>
      <c r="C11" s="10" t="s">
        <v>26</v>
      </c>
      <c r="D11" s="11" t="s">
        <v>49</v>
      </c>
      <c r="E11" s="10">
        <v>4</v>
      </c>
      <c r="F11" s="10"/>
      <c r="G11" s="15"/>
    </row>
    <row r="12" customFormat="1" ht="22" customHeight="1" spans="1:7">
      <c r="A12" s="8"/>
      <c r="B12" s="18"/>
      <c r="C12" s="19"/>
      <c r="D12" s="11"/>
      <c r="E12" s="13"/>
      <c r="F12" s="15"/>
      <c r="G12" s="15"/>
    </row>
    <row r="13" customFormat="1" ht="22" customHeight="1" spans="1:7">
      <c r="A13" s="8"/>
      <c r="B13" s="20"/>
      <c r="C13" s="19"/>
      <c r="D13" s="21"/>
      <c r="E13" s="22"/>
      <c r="F13" s="16"/>
      <c r="G13" s="16"/>
    </row>
    <row r="14" ht="13.5" spans="1:7">
      <c r="E14" s="23">
        <f>SUM(E3:E13)</f>
        <v>20</v>
      </c>
      <c r="F14" s="23">
        <f>SUM(F3:F13)</f>
        <v>16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7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7">
      <c r="A3" s="8">
        <v>1</v>
      </c>
      <c r="B3" s="9">
        <v>46097</v>
      </c>
      <c r="C3" s="10" t="s">
        <v>16</v>
      </c>
      <c r="D3" s="11" t="s">
        <v>48</v>
      </c>
      <c r="E3" s="12"/>
      <c r="F3" s="10">
        <v>3</v>
      </c>
      <c r="G3" s="13"/>
    </row>
    <row r="4" ht="22" customHeight="1" spans="1:7">
      <c r="A4" s="8">
        <v>2</v>
      </c>
      <c r="B4" s="9">
        <v>46097</v>
      </c>
      <c r="C4" s="10" t="s">
        <v>41</v>
      </c>
      <c r="D4" s="11" t="s">
        <v>48</v>
      </c>
      <c r="E4" s="10">
        <v>3</v>
      </c>
      <c r="F4" s="10"/>
      <c r="G4" s="14"/>
    </row>
    <row r="5" ht="22" customHeight="1" spans="1:7">
      <c r="A5" s="8">
        <v>3</v>
      </c>
      <c r="B5" s="9">
        <v>46097</v>
      </c>
      <c r="C5" s="10" t="s">
        <v>42</v>
      </c>
      <c r="D5" s="11" t="s">
        <v>48</v>
      </c>
      <c r="E5" s="10"/>
      <c r="F5" s="10">
        <v>3</v>
      </c>
      <c r="G5" s="14"/>
    </row>
    <row r="6" ht="22" customHeight="1" spans="1:7">
      <c r="A6" s="8">
        <v>4</v>
      </c>
      <c r="B6" s="9">
        <v>46097</v>
      </c>
      <c r="C6" s="10" t="s">
        <v>21</v>
      </c>
      <c r="D6" s="11" t="s">
        <v>48</v>
      </c>
      <c r="E6" s="10">
        <v>2</v>
      </c>
      <c r="F6" s="10">
        <v>1</v>
      </c>
      <c r="G6" s="14"/>
    </row>
    <row r="7" ht="22" customHeight="1" spans="1:7">
      <c r="A7" s="8">
        <v>5</v>
      </c>
      <c r="B7" s="9">
        <v>46097</v>
      </c>
      <c r="C7" s="10" t="s">
        <v>21</v>
      </c>
      <c r="D7" s="11" t="s">
        <v>48</v>
      </c>
      <c r="E7" s="10">
        <v>2</v>
      </c>
      <c r="F7" s="10">
        <v>1</v>
      </c>
      <c r="G7" s="14"/>
    </row>
    <row r="8" ht="22" customHeight="1" spans="1:7">
      <c r="A8" s="8">
        <v>6</v>
      </c>
      <c r="B8" s="9">
        <v>46097</v>
      </c>
      <c r="C8" s="10" t="s">
        <v>22</v>
      </c>
      <c r="D8" s="11" t="s">
        <v>48</v>
      </c>
      <c r="E8" s="10">
        <v>3</v>
      </c>
      <c r="F8" s="12"/>
      <c r="G8" s="14"/>
    </row>
    <row r="9" ht="22" customHeight="1" spans="1:7">
      <c r="A9" s="8">
        <v>7</v>
      </c>
      <c r="B9" s="9">
        <v>46097</v>
      </c>
      <c r="C9" s="10" t="s">
        <v>24</v>
      </c>
      <c r="D9" s="11" t="s">
        <v>48</v>
      </c>
      <c r="E9" s="10">
        <v>3</v>
      </c>
      <c r="F9" s="12"/>
      <c r="G9" s="15"/>
    </row>
    <row r="10" ht="22" customHeight="1" spans="1:7">
      <c r="A10" s="8">
        <v>8</v>
      </c>
      <c r="B10" s="9">
        <v>46097</v>
      </c>
      <c r="C10" s="10" t="s">
        <v>25</v>
      </c>
      <c r="D10" s="11" t="s">
        <v>48</v>
      </c>
      <c r="E10" s="12"/>
      <c r="F10" s="10">
        <v>3</v>
      </c>
      <c r="G10" s="15"/>
    </row>
    <row r="11" customFormat="1" ht="22" customHeight="1" spans="1:7">
      <c r="A11" s="8">
        <v>9</v>
      </c>
      <c r="B11" s="9">
        <v>46097</v>
      </c>
      <c r="C11" s="10" t="s">
        <v>26</v>
      </c>
      <c r="D11" s="11" t="s">
        <v>48</v>
      </c>
      <c r="E11" s="12">
        <v>3</v>
      </c>
      <c r="F11" s="10"/>
      <c r="G11" s="15"/>
    </row>
    <row r="12" customFormat="1" ht="22" customHeight="1" spans="1:7">
      <c r="A12" s="8">
        <v>10</v>
      </c>
      <c r="B12" s="9">
        <v>46097</v>
      </c>
      <c r="C12" s="24" t="s">
        <v>27</v>
      </c>
      <c r="D12" s="11"/>
      <c r="E12" s="16"/>
      <c r="F12" s="17"/>
      <c r="G12" s="15" t="s">
        <v>50</v>
      </c>
    </row>
    <row r="13" customFormat="1" ht="22" customHeight="1" spans="1:7">
      <c r="A13" s="8"/>
      <c r="B13" s="18"/>
      <c r="C13" s="19"/>
      <c r="D13" s="11"/>
      <c r="E13" s="13"/>
      <c r="F13" s="15"/>
      <c r="G13" s="15"/>
    </row>
    <row r="14" customFormat="1" ht="22" customHeight="1" spans="1:7">
      <c r="A14" s="8"/>
      <c r="B14" s="20"/>
      <c r="C14" s="19"/>
      <c r="D14" s="21"/>
      <c r="E14" s="22"/>
      <c r="F14" s="16"/>
      <c r="G14" s="16"/>
    </row>
    <row r="15" ht="13.5" spans="1:7">
      <c r="E15" s="23">
        <f>SUM(E3:E14)</f>
        <v>16</v>
      </c>
      <c r="F15" s="23">
        <f>SUM(F3:F14)</f>
        <v>11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7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16</v>
      </c>
      <c r="D3" s="11" t="s">
        <v>49</v>
      </c>
      <c r="E3" s="12"/>
      <c r="F3" s="10">
        <v>4</v>
      </c>
      <c r="G3" s="13"/>
    </row>
    <row r="4" ht="22" customHeight="1" spans="1:7">
      <c r="A4" s="8">
        <v>2</v>
      </c>
      <c r="B4" s="9">
        <v>46100</v>
      </c>
      <c r="C4" s="10" t="s">
        <v>41</v>
      </c>
      <c r="D4" s="11" t="s">
        <v>49</v>
      </c>
      <c r="E4" s="10">
        <v>4</v>
      </c>
      <c r="F4" s="10"/>
      <c r="G4" s="14"/>
    </row>
    <row r="5" ht="22" customHeight="1" spans="1:7">
      <c r="A5" s="8">
        <v>3</v>
      </c>
      <c r="B5" s="9">
        <v>46100</v>
      </c>
      <c r="C5" s="10" t="s">
        <v>42</v>
      </c>
      <c r="D5" s="11" t="s">
        <v>49</v>
      </c>
      <c r="E5" s="10"/>
      <c r="F5" s="10">
        <v>4</v>
      </c>
      <c r="G5" s="14"/>
    </row>
    <row r="6" ht="22" customHeight="1" spans="1:7">
      <c r="A6" s="8">
        <v>4</v>
      </c>
      <c r="B6" s="9">
        <v>46100</v>
      </c>
      <c r="C6" s="10" t="s">
        <v>21</v>
      </c>
      <c r="D6" s="11" t="s">
        <v>49</v>
      </c>
      <c r="E6" s="10">
        <v>2</v>
      </c>
      <c r="F6" s="10">
        <v>2</v>
      </c>
      <c r="G6" s="14"/>
    </row>
    <row r="7" ht="22" customHeight="1" spans="1:7">
      <c r="A7" s="8">
        <v>5</v>
      </c>
      <c r="B7" s="9">
        <v>46100</v>
      </c>
      <c r="C7" s="10" t="s">
        <v>21</v>
      </c>
      <c r="D7" s="11" t="s">
        <v>49</v>
      </c>
      <c r="E7" s="10">
        <v>2</v>
      </c>
      <c r="F7" s="10">
        <v>2</v>
      </c>
      <c r="G7" s="14"/>
    </row>
    <row r="8" ht="22" customHeight="1" spans="1:7">
      <c r="A8" s="8">
        <v>6</v>
      </c>
      <c r="B8" s="9">
        <v>46100</v>
      </c>
      <c r="C8" s="10" t="s">
        <v>22</v>
      </c>
      <c r="D8" s="11" t="s">
        <v>49</v>
      </c>
      <c r="E8" s="10">
        <v>4</v>
      </c>
      <c r="F8" s="12"/>
      <c r="G8" s="14"/>
    </row>
    <row r="9" ht="22" customHeight="1" spans="1:7">
      <c r="A9" s="8">
        <v>7</v>
      </c>
      <c r="B9" s="9">
        <v>46100</v>
      </c>
      <c r="C9" s="10" t="s">
        <v>24</v>
      </c>
      <c r="D9" s="11" t="s">
        <v>49</v>
      </c>
      <c r="E9" s="10">
        <v>4</v>
      </c>
      <c r="F9" s="12"/>
      <c r="G9" s="15"/>
    </row>
    <row r="10" ht="22" customHeight="1" spans="1:7">
      <c r="A10" s="8">
        <v>8</v>
      </c>
      <c r="B10" s="9">
        <v>46100</v>
      </c>
      <c r="C10" s="10" t="s">
        <v>25</v>
      </c>
      <c r="D10" s="11" t="s">
        <v>49</v>
      </c>
      <c r="E10" s="12"/>
      <c r="F10" s="10">
        <v>4</v>
      </c>
      <c r="G10" s="15"/>
    </row>
    <row r="11" customFormat="1" ht="22" customHeight="1" spans="1:7">
      <c r="A11" s="8">
        <v>9</v>
      </c>
      <c r="B11" s="9">
        <v>46100</v>
      </c>
      <c r="C11" s="10" t="s">
        <v>26</v>
      </c>
      <c r="D11" s="11" t="s">
        <v>49</v>
      </c>
      <c r="E11" s="12">
        <v>4</v>
      </c>
      <c r="F11" s="10"/>
      <c r="G11" s="15"/>
    </row>
    <row r="12" customFormat="1" ht="22" customHeight="1" spans="1:7">
      <c r="A12" s="8">
        <v>10</v>
      </c>
      <c r="B12" s="9">
        <v>46100</v>
      </c>
      <c r="C12" s="12" t="s">
        <v>27</v>
      </c>
      <c r="D12" s="11" t="s">
        <v>49</v>
      </c>
      <c r="E12" s="16"/>
      <c r="F12" s="17">
        <v>7</v>
      </c>
      <c r="G12" s="15" t="s">
        <v>50</v>
      </c>
    </row>
    <row r="13" customFormat="1" ht="22" customHeight="1" spans="1:7">
      <c r="A13" s="8"/>
      <c r="B13" s="18"/>
      <c r="C13" s="19"/>
      <c r="D13" s="11"/>
      <c r="E13" s="13"/>
      <c r="F13" s="15"/>
      <c r="G13" s="15"/>
    </row>
    <row r="14" customFormat="1" ht="22" customHeight="1" spans="1:7">
      <c r="A14" s="8"/>
      <c r="B14" s="20"/>
      <c r="C14" s="19"/>
      <c r="D14" s="21"/>
      <c r="E14" s="22"/>
      <c r="F14" s="16"/>
      <c r="G14" s="16"/>
    </row>
    <row r="15" customFormat="1" ht="13.5" spans="1:7">
      <c r="E15" s="23">
        <f>SUM(E3:E14)</f>
        <v>20</v>
      </c>
      <c r="F15" s="23">
        <f>SUM(F3:F14)</f>
        <v>23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3" sqref="I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46104</v>
      </c>
      <c r="C3" s="10" t="s">
        <v>16</v>
      </c>
      <c r="D3" s="11" t="s">
        <v>48</v>
      </c>
      <c r="E3" s="12"/>
      <c r="F3" s="10">
        <v>3</v>
      </c>
      <c r="G3" s="13"/>
      <c r="I3">
        <f>E3+F3</f>
        <v>3</v>
      </c>
    </row>
    <row r="4" ht="22" customHeight="1" spans="1:9">
      <c r="A4" s="8">
        <v>2</v>
      </c>
      <c r="B4" s="9">
        <v>46104</v>
      </c>
      <c r="C4" s="10" t="s">
        <v>41</v>
      </c>
      <c r="D4" s="11" t="s">
        <v>48</v>
      </c>
      <c r="E4" s="10">
        <v>3</v>
      </c>
      <c r="F4" s="10"/>
      <c r="G4" s="14"/>
      <c r="I4">
        <f t="shared" ref="I4:I15" si="0">E4+F4</f>
        <v>3</v>
      </c>
    </row>
    <row r="5" ht="22" customHeight="1" spans="1:9">
      <c r="A5" s="8">
        <v>3</v>
      </c>
      <c r="B5" s="9">
        <v>46104</v>
      </c>
      <c r="C5" s="10" t="s">
        <v>42</v>
      </c>
      <c r="D5" s="11" t="s">
        <v>48</v>
      </c>
      <c r="E5" s="10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46104</v>
      </c>
      <c r="C6" s="10" t="s">
        <v>21</v>
      </c>
      <c r="D6" s="11" t="s">
        <v>48</v>
      </c>
      <c r="E6" s="10">
        <v>2</v>
      </c>
      <c r="F6" s="10">
        <v>1</v>
      </c>
      <c r="G6" s="14"/>
      <c r="I6">
        <f t="shared" si="0"/>
        <v>3</v>
      </c>
    </row>
    <row r="7" ht="22" customHeight="1" spans="1:9">
      <c r="A7" s="8">
        <v>5</v>
      </c>
      <c r="B7" s="9">
        <v>46104</v>
      </c>
      <c r="C7" s="10" t="s">
        <v>21</v>
      </c>
      <c r="D7" s="11" t="s">
        <v>48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9">
      <c r="A8" s="8">
        <v>6</v>
      </c>
      <c r="B8" s="9">
        <v>46104</v>
      </c>
      <c r="C8" s="10" t="s">
        <v>22</v>
      </c>
      <c r="D8" s="11" t="s">
        <v>48</v>
      </c>
      <c r="E8" s="10">
        <v>3</v>
      </c>
      <c r="F8" s="12"/>
      <c r="G8" s="14"/>
      <c r="I8">
        <f t="shared" si="0"/>
        <v>3</v>
      </c>
    </row>
    <row r="9" ht="22" customHeight="1" spans="1:9">
      <c r="A9" s="8">
        <v>7</v>
      </c>
      <c r="B9" s="9">
        <v>46104</v>
      </c>
      <c r="C9" s="10" t="s">
        <v>24</v>
      </c>
      <c r="D9" s="11" t="s">
        <v>48</v>
      </c>
      <c r="E9" s="10">
        <v>3</v>
      </c>
      <c r="F9" s="12"/>
      <c r="G9" s="15"/>
      <c r="I9">
        <f t="shared" si="0"/>
        <v>3</v>
      </c>
    </row>
    <row r="10" ht="22" customHeight="1" spans="1:9">
      <c r="A10" s="8">
        <v>8</v>
      </c>
      <c r="B10" s="9">
        <v>46104</v>
      </c>
      <c r="C10" s="10" t="s">
        <v>25</v>
      </c>
      <c r="D10" s="11" t="s">
        <v>48</v>
      </c>
      <c r="E10" s="12"/>
      <c r="F10" s="10">
        <v>3</v>
      </c>
      <c r="G10" s="15"/>
      <c r="I10">
        <f t="shared" si="0"/>
        <v>3</v>
      </c>
    </row>
    <row r="11" customFormat="1" ht="22" customHeight="1" spans="1:9">
      <c r="A11" s="8">
        <v>9</v>
      </c>
      <c r="B11" s="9">
        <v>46104</v>
      </c>
      <c r="C11" s="10" t="s">
        <v>26</v>
      </c>
      <c r="D11" s="11" t="s">
        <v>48</v>
      </c>
      <c r="E11" s="12">
        <v>3</v>
      </c>
      <c r="F11" s="10"/>
      <c r="G11" s="15"/>
      <c r="I11">
        <f t="shared" si="0"/>
        <v>3</v>
      </c>
    </row>
    <row r="12" customFormat="1" ht="22" customHeight="1" spans="1:9">
      <c r="A12" s="8">
        <v>10</v>
      </c>
      <c r="B12" s="9">
        <v>46104</v>
      </c>
      <c r="C12" s="24" t="s">
        <v>27</v>
      </c>
      <c r="D12" s="11"/>
      <c r="E12" s="16">
        <v>0</v>
      </c>
      <c r="F12" s="17"/>
      <c r="G12" s="15" t="s">
        <v>50</v>
      </c>
      <c r="I12">
        <f t="shared" si="0"/>
        <v>0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16</v>
      </c>
      <c r="F15" s="23">
        <f>SUM(F3:F14)</f>
        <v>11</v>
      </c>
      <c r="I15">
        <f t="shared" si="0"/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3" sqref="I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46107</v>
      </c>
      <c r="C3" s="10" t="s">
        <v>16</v>
      </c>
      <c r="D3" s="11" t="s">
        <v>49</v>
      </c>
      <c r="E3" s="12"/>
      <c r="F3" s="10">
        <v>4</v>
      </c>
      <c r="G3" s="13"/>
      <c r="I3">
        <f>E3+F3</f>
        <v>4</v>
      </c>
    </row>
    <row r="4" ht="22" customHeight="1" spans="1:9">
      <c r="A4" s="8">
        <v>2</v>
      </c>
      <c r="B4" s="9">
        <v>46107</v>
      </c>
      <c r="C4" s="10" t="s">
        <v>41</v>
      </c>
      <c r="D4" s="11" t="s">
        <v>49</v>
      </c>
      <c r="E4" s="10">
        <v>4</v>
      </c>
      <c r="F4" s="10"/>
      <c r="G4" s="14"/>
      <c r="I4">
        <f t="shared" ref="I4:I15" si="0">E4+F4</f>
        <v>4</v>
      </c>
    </row>
    <row r="5" ht="22" customHeight="1" spans="1:9">
      <c r="A5" s="8">
        <v>3</v>
      </c>
      <c r="B5" s="9">
        <v>46107</v>
      </c>
      <c r="C5" s="10" t="s">
        <v>42</v>
      </c>
      <c r="D5" s="11" t="s">
        <v>49</v>
      </c>
      <c r="E5" s="10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46107</v>
      </c>
      <c r="C6" s="10" t="s">
        <v>21</v>
      </c>
      <c r="D6" s="11" t="s">
        <v>49</v>
      </c>
      <c r="E6" s="10">
        <v>2</v>
      </c>
      <c r="F6" s="10">
        <v>2</v>
      </c>
      <c r="G6" s="14"/>
      <c r="I6">
        <f t="shared" si="0"/>
        <v>4</v>
      </c>
    </row>
    <row r="7" ht="22" customHeight="1" spans="1:9">
      <c r="A7" s="8">
        <v>5</v>
      </c>
      <c r="B7" s="9">
        <v>46107</v>
      </c>
      <c r="C7" s="10" t="s">
        <v>21</v>
      </c>
      <c r="D7" s="11" t="s">
        <v>49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9">
      <c r="A8" s="8">
        <v>6</v>
      </c>
      <c r="B8" s="9">
        <v>46107</v>
      </c>
      <c r="C8" s="10" t="s">
        <v>22</v>
      </c>
      <c r="D8" s="11" t="s">
        <v>49</v>
      </c>
      <c r="E8" s="10">
        <v>4</v>
      </c>
      <c r="F8" s="12"/>
      <c r="G8" s="14"/>
      <c r="I8">
        <f t="shared" si="0"/>
        <v>4</v>
      </c>
    </row>
    <row r="9" ht="22" customHeight="1" spans="1:9">
      <c r="A9" s="8">
        <v>7</v>
      </c>
      <c r="B9" s="9">
        <v>46107</v>
      </c>
      <c r="C9" s="10" t="s">
        <v>24</v>
      </c>
      <c r="D9" s="11" t="s">
        <v>49</v>
      </c>
      <c r="E9" s="10">
        <v>4</v>
      </c>
      <c r="F9" s="12"/>
      <c r="G9" s="15"/>
      <c r="I9">
        <f t="shared" si="0"/>
        <v>4</v>
      </c>
    </row>
    <row r="10" ht="22" customHeight="1" spans="1:9">
      <c r="A10" s="8">
        <v>8</v>
      </c>
      <c r="B10" s="9">
        <v>46107</v>
      </c>
      <c r="C10" s="10" t="s">
        <v>25</v>
      </c>
      <c r="D10" s="11" t="s">
        <v>49</v>
      </c>
      <c r="E10" s="12"/>
      <c r="F10" s="10">
        <v>4</v>
      </c>
      <c r="G10" s="15"/>
      <c r="I10">
        <f t="shared" si="0"/>
        <v>4</v>
      </c>
    </row>
    <row r="11" customFormat="1" ht="22" customHeight="1" spans="1:9">
      <c r="A11" s="8">
        <v>9</v>
      </c>
      <c r="B11" s="9">
        <v>46107</v>
      </c>
      <c r="C11" s="10" t="s">
        <v>26</v>
      </c>
      <c r="D11" s="11" t="s">
        <v>49</v>
      </c>
      <c r="E11" s="12">
        <v>4</v>
      </c>
      <c r="F11" s="10"/>
      <c r="G11" s="15"/>
      <c r="I11">
        <f t="shared" si="0"/>
        <v>4</v>
      </c>
    </row>
    <row r="12" customFormat="1" ht="22" customHeight="1" spans="1:9">
      <c r="A12" s="8">
        <v>10</v>
      </c>
      <c r="B12" s="9">
        <v>46107</v>
      </c>
      <c r="C12" s="12" t="s">
        <v>27</v>
      </c>
      <c r="D12" s="11" t="s">
        <v>49</v>
      </c>
      <c r="E12" s="16"/>
      <c r="F12" s="17">
        <v>7</v>
      </c>
      <c r="G12" s="15" t="s">
        <v>50</v>
      </c>
      <c r="I12">
        <f t="shared" si="0"/>
        <v>7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20</v>
      </c>
      <c r="F15" s="23">
        <f>SUM(F3:F14)</f>
        <v>23</v>
      </c>
      <c r="I15">
        <f t="shared" si="0"/>
        <v>43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3" sqref="I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46111</v>
      </c>
      <c r="C3" s="10" t="s">
        <v>16</v>
      </c>
      <c r="D3" s="11" t="s">
        <v>48</v>
      </c>
      <c r="E3" s="12"/>
      <c r="F3" s="10">
        <v>3</v>
      </c>
      <c r="G3" s="13"/>
      <c r="I3">
        <f>E3+F3</f>
        <v>3</v>
      </c>
    </row>
    <row r="4" ht="22" customHeight="1" spans="1:9">
      <c r="A4" s="8">
        <v>2</v>
      </c>
      <c r="B4" s="9">
        <v>46111</v>
      </c>
      <c r="C4" s="10" t="s">
        <v>41</v>
      </c>
      <c r="D4" s="11" t="s">
        <v>48</v>
      </c>
      <c r="E4" s="10">
        <v>3</v>
      </c>
      <c r="F4" s="10"/>
      <c r="G4" s="14"/>
      <c r="I4">
        <f t="shared" ref="I4:I15" si="0">E4+F4</f>
        <v>3</v>
      </c>
    </row>
    <row r="5" ht="22" customHeight="1" spans="1:9">
      <c r="A5" s="8">
        <v>3</v>
      </c>
      <c r="B5" s="9">
        <v>46111</v>
      </c>
      <c r="C5" s="10" t="s">
        <v>42</v>
      </c>
      <c r="D5" s="11" t="s">
        <v>48</v>
      </c>
      <c r="E5" s="10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46111</v>
      </c>
      <c r="C6" s="10" t="s">
        <v>21</v>
      </c>
      <c r="D6" s="11" t="s">
        <v>48</v>
      </c>
      <c r="E6" s="10">
        <v>2</v>
      </c>
      <c r="F6" s="10">
        <v>1</v>
      </c>
      <c r="G6" s="14"/>
      <c r="I6">
        <f t="shared" si="0"/>
        <v>3</v>
      </c>
    </row>
    <row r="7" ht="22" customHeight="1" spans="1:9">
      <c r="A7" s="8">
        <v>5</v>
      </c>
      <c r="B7" s="9">
        <v>46111</v>
      </c>
      <c r="C7" s="10" t="s">
        <v>21</v>
      </c>
      <c r="D7" s="11" t="s">
        <v>48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9">
      <c r="A8" s="8">
        <v>6</v>
      </c>
      <c r="B8" s="9">
        <v>46111</v>
      </c>
      <c r="C8" s="10" t="s">
        <v>22</v>
      </c>
      <c r="D8" s="11" t="s">
        <v>48</v>
      </c>
      <c r="E8" s="10">
        <v>3</v>
      </c>
      <c r="F8" s="12"/>
      <c r="G8" s="14"/>
      <c r="I8">
        <f t="shared" si="0"/>
        <v>3</v>
      </c>
    </row>
    <row r="9" ht="22" customHeight="1" spans="1:9">
      <c r="A9" s="8">
        <v>7</v>
      </c>
      <c r="B9" s="9">
        <v>46111</v>
      </c>
      <c r="C9" s="10" t="s">
        <v>24</v>
      </c>
      <c r="D9" s="11" t="s">
        <v>48</v>
      </c>
      <c r="E9" s="10">
        <v>3</v>
      </c>
      <c r="F9" s="12"/>
      <c r="G9" s="15"/>
      <c r="I9">
        <f t="shared" si="0"/>
        <v>3</v>
      </c>
    </row>
    <row r="10" ht="22" customHeight="1" spans="1:9">
      <c r="A10" s="8">
        <v>8</v>
      </c>
      <c r="B10" s="9">
        <v>46111</v>
      </c>
      <c r="C10" s="10" t="s">
        <v>25</v>
      </c>
      <c r="D10" s="11" t="s">
        <v>48</v>
      </c>
      <c r="E10" s="12"/>
      <c r="F10" s="10">
        <v>3</v>
      </c>
      <c r="G10" s="15"/>
      <c r="I10">
        <f t="shared" si="0"/>
        <v>3</v>
      </c>
    </row>
    <row r="11" customFormat="1" ht="22" customHeight="1" spans="1:9">
      <c r="A11" s="8">
        <v>9</v>
      </c>
      <c r="B11" s="9">
        <v>46111</v>
      </c>
      <c r="C11" s="10" t="s">
        <v>26</v>
      </c>
      <c r="D11" s="11" t="s">
        <v>48</v>
      </c>
      <c r="E11" s="12">
        <v>3</v>
      </c>
      <c r="F11" s="10"/>
      <c r="G11" s="15"/>
      <c r="I11">
        <f t="shared" si="0"/>
        <v>3</v>
      </c>
    </row>
    <row r="12" customFormat="1" ht="22" customHeight="1" spans="1:9">
      <c r="A12" s="8">
        <v>10</v>
      </c>
      <c r="B12" s="9">
        <v>46111</v>
      </c>
      <c r="C12" s="24" t="s">
        <v>27</v>
      </c>
      <c r="D12" s="11"/>
      <c r="E12" s="16">
        <v>0</v>
      </c>
      <c r="F12" s="17"/>
      <c r="G12" s="15" t="s">
        <v>50</v>
      </c>
      <c r="I12">
        <f t="shared" si="0"/>
        <v>0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16</v>
      </c>
      <c r="F15" s="23">
        <f>SUM(F3:F14)</f>
        <v>11</v>
      </c>
      <c r="I15">
        <f t="shared" si="0"/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3" sqref="I3:I15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46114</v>
      </c>
      <c r="C3" s="10" t="s">
        <v>16</v>
      </c>
      <c r="D3" s="11" t="s">
        <v>49</v>
      </c>
      <c r="E3" s="12"/>
      <c r="F3" s="10">
        <v>4</v>
      </c>
      <c r="G3" s="13"/>
      <c r="I3">
        <f>E3+F3</f>
        <v>4</v>
      </c>
    </row>
    <row r="4" ht="22" customHeight="1" spans="1:9">
      <c r="A4" s="8">
        <v>2</v>
      </c>
      <c r="B4" s="9">
        <v>46114</v>
      </c>
      <c r="C4" s="10" t="s">
        <v>41</v>
      </c>
      <c r="D4" s="11" t="s">
        <v>49</v>
      </c>
      <c r="E4" s="10">
        <v>4</v>
      </c>
      <c r="F4" s="10"/>
      <c r="G4" s="14"/>
      <c r="I4">
        <f t="shared" ref="I4:I15" si="0">E4+F4</f>
        <v>4</v>
      </c>
    </row>
    <row r="5" ht="22" customHeight="1" spans="1:9">
      <c r="A5" s="8">
        <v>3</v>
      </c>
      <c r="B5" s="9">
        <v>46114</v>
      </c>
      <c r="C5" s="10" t="s">
        <v>42</v>
      </c>
      <c r="D5" s="11" t="s">
        <v>49</v>
      </c>
      <c r="E5" s="10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46114</v>
      </c>
      <c r="C6" s="10" t="s">
        <v>21</v>
      </c>
      <c r="D6" s="11" t="s">
        <v>49</v>
      </c>
      <c r="E6" s="10">
        <v>2</v>
      </c>
      <c r="F6" s="10">
        <v>2</v>
      </c>
      <c r="G6" s="14"/>
      <c r="I6">
        <f t="shared" si="0"/>
        <v>4</v>
      </c>
    </row>
    <row r="7" ht="22" customHeight="1" spans="1:9">
      <c r="A7" s="8">
        <v>5</v>
      </c>
      <c r="B7" s="9">
        <v>46114</v>
      </c>
      <c r="C7" s="10" t="s">
        <v>21</v>
      </c>
      <c r="D7" s="11" t="s">
        <v>49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9">
      <c r="A8" s="8">
        <v>6</v>
      </c>
      <c r="B8" s="9">
        <v>46114</v>
      </c>
      <c r="C8" s="10" t="s">
        <v>22</v>
      </c>
      <c r="D8" s="11" t="s">
        <v>49</v>
      </c>
      <c r="E8" s="10">
        <v>4</v>
      </c>
      <c r="F8" s="12"/>
      <c r="G8" s="14"/>
      <c r="I8">
        <f t="shared" si="0"/>
        <v>4</v>
      </c>
    </row>
    <row r="9" ht="22" customHeight="1" spans="1:9">
      <c r="A9" s="8">
        <v>7</v>
      </c>
      <c r="B9" s="9">
        <v>46114</v>
      </c>
      <c r="C9" s="10" t="s">
        <v>24</v>
      </c>
      <c r="D9" s="11" t="s">
        <v>49</v>
      </c>
      <c r="E9" s="10">
        <v>4</v>
      </c>
      <c r="F9" s="12"/>
      <c r="G9" s="15"/>
      <c r="I9">
        <f t="shared" si="0"/>
        <v>4</v>
      </c>
    </row>
    <row r="10" ht="22" customHeight="1" spans="1:9">
      <c r="A10" s="8">
        <v>8</v>
      </c>
      <c r="B10" s="9">
        <v>46114</v>
      </c>
      <c r="C10" s="10" t="s">
        <v>25</v>
      </c>
      <c r="D10" s="11" t="s">
        <v>49</v>
      </c>
      <c r="E10" s="12"/>
      <c r="F10" s="10">
        <v>4</v>
      </c>
      <c r="G10" s="15"/>
      <c r="I10">
        <f t="shared" si="0"/>
        <v>4</v>
      </c>
    </row>
    <row r="11" customFormat="1" ht="22" customHeight="1" spans="1:9">
      <c r="A11" s="8">
        <v>9</v>
      </c>
      <c r="B11" s="9">
        <v>46114</v>
      </c>
      <c r="C11" s="10" t="s">
        <v>26</v>
      </c>
      <c r="D11" s="11" t="s">
        <v>49</v>
      </c>
      <c r="E11" s="12">
        <v>4</v>
      </c>
      <c r="F11" s="10"/>
      <c r="G11" s="15"/>
      <c r="I11">
        <f t="shared" si="0"/>
        <v>4</v>
      </c>
    </row>
    <row r="12" customFormat="1" ht="22" customHeight="1" spans="1:9">
      <c r="A12" s="8">
        <v>10</v>
      </c>
      <c r="B12" s="9">
        <v>46114</v>
      </c>
      <c r="C12" s="12" t="s">
        <v>27</v>
      </c>
      <c r="D12" s="11" t="s">
        <v>49</v>
      </c>
      <c r="E12" s="16"/>
      <c r="F12" s="17">
        <v>7</v>
      </c>
      <c r="G12" s="15" t="s">
        <v>50</v>
      </c>
      <c r="I12">
        <f t="shared" si="0"/>
        <v>7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20</v>
      </c>
      <c r="F15" s="23">
        <f>SUM(F3:F14)</f>
        <v>23</v>
      </c>
      <c r="I15">
        <f t="shared" si="0"/>
        <v>43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3" sqref="I3:I15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.1428571428571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46119</v>
      </c>
      <c r="C3" s="10" t="s">
        <v>16</v>
      </c>
      <c r="D3" s="11" t="s">
        <v>48</v>
      </c>
      <c r="E3" s="12"/>
      <c r="F3" s="10">
        <v>3</v>
      </c>
      <c r="G3" s="13"/>
      <c r="I3">
        <f>E3+F3</f>
        <v>3</v>
      </c>
    </row>
    <row r="4" ht="22" customHeight="1" spans="1:9">
      <c r="A4" s="8">
        <v>2</v>
      </c>
      <c r="B4" s="9">
        <v>46119</v>
      </c>
      <c r="C4" s="10" t="s">
        <v>41</v>
      </c>
      <c r="D4" s="11" t="s">
        <v>48</v>
      </c>
      <c r="E4" s="10">
        <v>3</v>
      </c>
      <c r="F4" s="10"/>
      <c r="G4" s="14"/>
      <c r="I4">
        <f t="shared" ref="I4:I15" si="0">E4+F4</f>
        <v>3</v>
      </c>
    </row>
    <row r="5" ht="22" customHeight="1" spans="1:9">
      <c r="A5" s="8">
        <v>3</v>
      </c>
      <c r="B5" s="9">
        <v>46119</v>
      </c>
      <c r="C5" s="10" t="s">
        <v>42</v>
      </c>
      <c r="D5" s="11" t="s">
        <v>48</v>
      </c>
      <c r="E5" s="10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46119</v>
      </c>
      <c r="C6" s="10" t="s">
        <v>21</v>
      </c>
      <c r="D6" s="11" t="s">
        <v>48</v>
      </c>
      <c r="E6" s="10">
        <v>2</v>
      </c>
      <c r="F6" s="10">
        <v>1</v>
      </c>
      <c r="G6" s="14"/>
      <c r="I6">
        <f t="shared" si="0"/>
        <v>3</v>
      </c>
    </row>
    <row r="7" ht="22" customHeight="1" spans="1:9">
      <c r="A7" s="8">
        <v>5</v>
      </c>
      <c r="B7" s="9">
        <v>46119</v>
      </c>
      <c r="C7" s="10" t="s">
        <v>21</v>
      </c>
      <c r="D7" s="11" t="s">
        <v>48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9">
      <c r="A8" s="8">
        <v>6</v>
      </c>
      <c r="B8" s="9">
        <v>46119</v>
      </c>
      <c r="C8" s="10" t="s">
        <v>22</v>
      </c>
      <c r="D8" s="11" t="s">
        <v>48</v>
      </c>
      <c r="E8" s="10">
        <v>3</v>
      </c>
      <c r="F8" s="12"/>
      <c r="G8" s="14"/>
      <c r="I8">
        <f t="shared" si="0"/>
        <v>3</v>
      </c>
    </row>
    <row r="9" ht="22" customHeight="1" spans="1:9">
      <c r="A9" s="8">
        <v>7</v>
      </c>
      <c r="B9" s="9">
        <v>46119</v>
      </c>
      <c r="C9" s="10" t="s">
        <v>24</v>
      </c>
      <c r="D9" s="11" t="s">
        <v>48</v>
      </c>
      <c r="E9" s="10">
        <v>3</v>
      </c>
      <c r="F9" s="12"/>
      <c r="G9" s="15"/>
      <c r="I9">
        <f t="shared" si="0"/>
        <v>3</v>
      </c>
    </row>
    <row r="10" ht="22" customHeight="1" spans="1:9">
      <c r="A10" s="8">
        <v>8</v>
      </c>
      <c r="B10" s="9">
        <v>46119</v>
      </c>
      <c r="C10" s="10" t="s">
        <v>25</v>
      </c>
      <c r="D10" s="11" t="s">
        <v>48</v>
      </c>
      <c r="E10" s="12"/>
      <c r="F10" s="10">
        <v>3</v>
      </c>
      <c r="G10" s="15"/>
      <c r="I10">
        <f t="shared" si="0"/>
        <v>3</v>
      </c>
    </row>
    <row r="11" customFormat="1" ht="22" customHeight="1" spans="1:9">
      <c r="A11" s="8">
        <v>9</v>
      </c>
      <c r="B11" s="9">
        <v>46119</v>
      </c>
      <c r="C11" s="10" t="s">
        <v>26</v>
      </c>
      <c r="D11" s="11" t="s">
        <v>48</v>
      </c>
      <c r="E11" s="12">
        <v>3</v>
      </c>
      <c r="F11" s="10"/>
      <c r="G11" s="15"/>
      <c r="I11">
        <f t="shared" si="0"/>
        <v>3</v>
      </c>
    </row>
    <row r="12" customFormat="1" ht="22" customHeight="1" spans="1:9">
      <c r="A12" s="8">
        <v>10</v>
      </c>
      <c r="B12" s="9">
        <v>46119</v>
      </c>
      <c r="C12" s="24" t="s">
        <v>27</v>
      </c>
      <c r="D12" s="11"/>
      <c r="E12" s="16">
        <v>0</v>
      </c>
      <c r="F12" s="17"/>
      <c r="G12" s="15" t="s">
        <v>50</v>
      </c>
      <c r="I12">
        <f t="shared" si="0"/>
        <v>0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16</v>
      </c>
      <c r="F15" s="23">
        <f>SUM(F3:F14)</f>
        <v>11</v>
      </c>
      <c r="I15">
        <f t="shared" si="0"/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3" sqref="I3:I15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46121</v>
      </c>
      <c r="C3" s="10" t="s">
        <v>16</v>
      </c>
      <c r="D3" s="11" t="s">
        <v>49</v>
      </c>
      <c r="E3" s="12"/>
      <c r="F3" s="10">
        <v>4</v>
      </c>
      <c r="G3" s="13"/>
      <c r="I3">
        <f>E3+F3</f>
        <v>4</v>
      </c>
    </row>
    <row r="4" ht="22" customHeight="1" spans="1:9">
      <c r="A4" s="8">
        <v>2</v>
      </c>
      <c r="B4" s="9">
        <v>46121</v>
      </c>
      <c r="C4" s="10" t="s">
        <v>41</v>
      </c>
      <c r="D4" s="11" t="s">
        <v>49</v>
      </c>
      <c r="E4" s="10">
        <v>4</v>
      </c>
      <c r="F4" s="10"/>
      <c r="G4" s="14"/>
      <c r="I4">
        <f t="shared" ref="I4:I15" si="0">E4+F4</f>
        <v>4</v>
      </c>
    </row>
    <row r="5" ht="22" customHeight="1" spans="1:9">
      <c r="A5" s="8">
        <v>3</v>
      </c>
      <c r="B5" s="9">
        <v>46121</v>
      </c>
      <c r="C5" s="10" t="s">
        <v>42</v>
      </c>
      <c r="D5" s="11" t="s">
        <v>49</v>
      </c>
      <c r="E5" s="10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46121</v>
      </c>
      <c r="C6" s="10" t="s">
        <v>21</v>
      </c>
      <c r="D6" s="11" t="s">
        <v>49</v>
      </c>
      <c r="E6" s="10">
        <v>2</v>
      </c>
      <c r="F6" s="10">
        <v>2</v>
      </c>
      <c r="G6" s="14"/>
      <c r="I6">
        <f t="shared" si="0"/>
        <v>4</v>
      </c>
    </row>
    <row r="7" ht="22" customHeight="1" spans="1:9">
      <c r="A7" s="8">
        <v>5</v>
      </c>
      <c r="B7" s="9">
        <v>46121</v>
      </c>
      <c r="C7" s="10" t="s">
        <v>21</v>
      </c>
      <c r="D7" s="11" t="s">
        <v>49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9">
      <c r="A8" s="8">
        <v>6</v>
      </c>
      <c r="B8" s="9">
        <v>46121</v>
      </c>
      <c r="C8" s="10" t="s">
        <v>22</v>
      </c>
      <c r="D8" s="11" t="s">
        <v>49</v>
      </c>
      <c r="E8" s="10">
        <v>4</v>
      </c>
      <c r="F8" s="12"/>
      <c r="G8" s="14"/>
      <c r="I8">
        <f t="shared" si="0"/>
        <v>4</v>
      </c>
    </row>
    <row r="9" ht="22" customHeight="1" spans="1:9">
      <c r="A9" s="8">
        <v>7</v>
      </c>
      <c r="B9" s="9">
        <v>46121</v>
      </c>
      <c r="C9" s="10" t="s">
        <v>24</v>
      </c>
      <c r="D9" s="11" t="s">
        <v>49</v>
      </c>
      <c r="E9" s="10">
        <v>4</v>
      </c>
      <c r="F9" s="12"/>
      <c r="G9" s="15"/>
      <c r="I9">
        <f t="shared" si="0"/>
        <v>4</v>
      </c>
    </row>
    <row r="10" ht="22" customHeight="1" spans="1:9">
      <c r="A10" s="8">
        <v>8</v>
      </c>
      <c r="B10" s="9">
        <v>46121</v>
      </c>
      <c r="C10" s="10" t="s">
        <v>25</v>
      </c>
      <c r="D10" s="11" t="s">
        <v>49</v>
      </c>
      <c r="E10" s="12"/>
      <c r="F10" s="10">
        <v>4</v>
      </c>
      <c r="G10" s="15"/>
      <c r="I10">
        <f t="shared" si="0"/>
        <v>4</v>
      </c>
    </row>
    <row r="11" customFormat="1" ht="22" customHeight="1" spans="1:9">
      <c r="A11" s="8">
        <v>9</v>
      </c>
      <c r="B11" s="9">
        <v>46121</v>
      </c>
      <c r="C11" s="10" t="s">
        <v>26</v>
      </c>
      <c r="D11" s="11" t="s">
        <v>49</v>
      </c>
      <c r="E11" s="12">
        <v>4</v>
      </c>
      <c r="F11" s="10"/>
      <c r="G11" s="15"/>
      <c r="I11">
        <f t="shared" si="0"/>
        <v>4</v>
      </c>
    </row>
    <row r="12" customFormat="1" ht="22" customHeight="1" spans="1:9">
      <c r="A12" s="8">
        <v>10</v>
      </c>
      <c r="B12" s="9">
        <v>46121</v>
      </c>
      <c r="C12" s="12" t="s">
        <v>27</v>
      </c>
      <c r="D12" s="11" t="s">
        <v>49</v>
      </c>
      <c r="E12" s="16"/>
      <c r="F12" s="17">
        <v>7</v>
      </c>
      <c r="G12" s="15" t="s">
        <v>50</v>
      </c>
      <c r="I12">
        <f t="shared" si="0"/>
        <v>7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20</v>
      </c>
      <c r="F15" s="23">
        <f>SUM(F3:F14)</f>
        <v>23</v>
      </c>
      <c r="I15">
        <f t="shared" si="0"/>
        <v>43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3" sqref="I3:I15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.1428571428571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46125</v>
      </c>
      <c r="C3" s="10" t="s">
        <v>16</v>
      </c>
      <c r="D3" s="11" t="s">
        <v>48</v>
      </c>
      <c r="E3" s="12"/>
      <c r="F3" s="10">
        <v>3</v>
      </c>
      <c r="G3" s="13"/>
      <c r="I3">
        <f>E3+F3</f>
        <v>3</v>
      </c>
    </row>
    <row r="4" ht="22" customHeight="1" spans="1:9">
      <c r="A4" s="8">
        <v>2</v>
      </c>
      <c r="B4" s="9">
        <v>46125</v>
      </c>
      <c r="C4" s="10" t="s">
        <v>41</v>
      </c>
      <c r="D4" s="11" t="s">
        <v>48</v>
      </c>
      <c r="E4" s="10">
        <v>3</v>
      </c>
      <c r="F4" s="10"/>
      <c r="G4" s="14"/>
      <c r="I4">
        <f t="shared" ref="I4:I15" si="0">E4+F4</f>
        <v>3</v>
      </c>
    </row>
    <row r="5" ht="22" customHeight="1" spans="1:9">
      <c r="A5" s="8">
        <v>3</v>
      </c>
      <c r="B5" s="9">
        <v>46125</v>
      </c>
      <c r="C5" s="10" t="s">
        <v>42</v>
      </c>
      <c r="D5" s="11" t="s">
        <v>48</v>
      </c>
      <c r="E5" s="10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46125</v>
      </c>
      <c r="C6" s="10" t="s">
        <v>21</v>
      </c>
      <c r="D6" s="11" t="s">
        <v>48</v>
      </c>
      <c r="E6" s="10">
        <v>2</v>
      </c>
      <c r="F6" s="10">
        <v>1</v>
      </c>
      <c r="G6" s="14"/>
      <c r="I6">
        <f t="shared" si="0"/>
        <v>3</v>
      </c>
    </row>
    <row r="7" ht="22" customHeight="1" spans="1:9">
      <c r="A7" s="8">
        <v>5</v>
      </c>
      <c r="B7" s="9">
        <v>46125</v>
      </c>
      <c r="C7" s="10" t="s">
        <v>21</v>
      </c>
      <c r="D7" s="11" t="s">
        <v>48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9">
      <c r="A8" s="8">
        <v>6</v>
      </c>
      <c r="B8" s="9">
        <v>46125</v>
      </c>
      <c r="C8" s="10" t="s">
        <v>22</v>
      </c>
      <c r="D8" s="11" t="s">
        <v>48</v>
      </c>
      <c r="E8" s="10">
        <v>3</v>
      </c>
      <c r="F8" s="12"/>
      <c r="G8" s="14"/>
      <c r="I8">
        <f t="shared" si="0"/>
        <v>3</v>
      </c>
    </row>
    <row r="9" ht="22" customHeight="1" spans="1:9">
      <c r="A9" s="8">
        <v>7</v>
      </c>
      <c r="B9" s="9">
        <v>46125</v>
      </c>
      <c r="C9" s="10" t="s">
        <v>24</v>
      </c>
      <c r="D9" s="11" t="s">
        <v>48</v>
      </c>
      <c r="E9" s="10">
        <v>3</v>
      </c>
      <c r="F9" s="12"/>
      <c r="G9" s="15"/>
      <c r="I9">
        <f t="shared" si="0"/>
        <v>3</v>
      </c>
    </row>
    <row r="10" ht="22" customHeight="1" spans="1:9">
      <c r="A10" s="8">
        <v>8</v>
      </c>
      <c r="B10" s="9">
        <v>46125</v>
      </c>
      <c r="C10" s="10" t="s">
        <v>25</v>
      </c>
      <c r="D10" s="11" t="s">
        <v>48</v>
      </c>
      <c r="E10" s="12"/>
      <c r="F10" s="10">
        <v>3</v>
      </c>
      <c r="G10" s="15"/>
      <c r="I10">
        <f t="shared" si="0"/>
        <v>3</v>
      </c>
    </row>
    <row r="11" customFormat="1" ht="22" customHeight="1" spans="1:9">
      <c r="A11" s="8">
        <v>9</v>
      </c>
      <c r="B11" s="9">
        <v>46125</v>
      </c>
      <c r="C11" s="10" t="s">
        <v>26</v>
      </c>
      <c r="D11" s="11" t="s">
        <v>48</v>
      </c>
      <c r="E11" s="12">
        <v>3</v>
      </c>
      <c r="F11" s="10"/>
      <c r="G11" s="15"/>
      <c r="I11">
        <f t="shared" si="0"/>
        <v>3</v>
      </c>
    </row>
    <row r="12" customFormat="1" ht="22" customHeight="1" spans="1:9">
      <c r="A12" s="8">
        <v>10</v>
      </c>
      <c r="B12" s="9">
        <v>46125</v>
      </c>
      <c r="C12" s="24" t="s">
        <v>27</v>
      </c>
      <c r="D12" s="11"/>
      <c r="E12" s="16">
        <v>0</v>
      </c>
      <c r="F12" s="17"/>
      <c r="G12" s="15" t="s">
        <v>50</v>
      </c>
      <c r="I12">
        <f t="shared" si="0"/>
        <v>0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16</v>
      </c>
      <c r="F15" s="23">
        <f>SUM(F3:F14)</f>
        <v>11</v>
      </c>
      <c r="I15">
        <f t="shared" si="0"/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E21" sqref="E21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46128</v>
      </c>
      <c r="C3" s="10" t="s">
        <v>16</v>
      </c>
      <c r="D3" s="11" t="s">
        <v>49</v>
      </c>
      <c r="E3" s="12"/>
      <c r="F3" s="10">
        <v>4</v>
      </c>
      <c r="G3" s="13"/>
      <c r="I3">
        <f t="shared" ref="I3:I15" si="0">E3+F3</f>
        <v>4</v>
      </c>
    </row>
    <row r="4" ht="22" customHeight="1" spans="1:9">
      <c r="A4" s="8">
        <v>2</v>
      </c>
      <c r="B4" s="9">
        <v>46128</v>
      </c>
      <c r="C4" s="10" t="s">
        <v>41</v>
      </c>
      <c r="D4" s="11" t="s">
        <v>49</v>
      </c>
      <c r="E4" s="10">
        <v>4</v>
      </c>
      <c r="F4" s="10"/>
      <c r="G4" s="14"/>
      <c r="I4">
        <f t="shared" si="0"/>
        <v>4</v>
      </c>
    </row>
    <row r="5" ht="22" customHeight="1" spans="1:9">
      <c r="A5" s="8">
        <v>3</v>
      </c>
      <c r="B5" s="9">
        <v>46128</v>
      </c>
      <c r="C5" s="10" t="s">
        <v>42</v>
      </c>
      <c r="D5" s="11" t="s">
        <v>49</v>
      </c>
      <c r="E5" s="10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46128</v>
      </c>
      <c r="C6" s="10" t="s">
        <v>21</v>
      </c>
      <c r="D6" s="11" t="s">
        <v>49</v>
      </c>
      <c r="E6" s="10">
        <v>2</v>
      </c>
      <c r="F6" s="10">
        <v>2</v>
      </c>
      <c r="G6" s="14"/>
      <c r="I6">
        <f t="shared" si="0"/>
        <v>4</v>
      </c>
    </row>
    <row r="7" ht="22" customHeight="1" spans="1:9">
      <c r="A7" s="8">
        <v>5</v>
      </c>
      <c r="B7" s="9">
        <v>46128</v>
      </c>
      <c r="C7" s="10" t="s">
        <v>21</v>
      </c>
      <c r="D7" s="11" t="s">
        <v>49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9">
      <c r="A8" s="8">
        <v>6</v>
      </c>
      <c r="B8" s="9">
        <v>46128</v>
      </c>
      <c r="C8" s="10" t="s">
        <v>22</v>
      </c>
      <c r="D8" s="11" t="s">
        <v>49</v>
      </c>
      <c r="E8" s="10">
        <v>4</v>
      </c>
      <c r="F8" s="12"/>
      <c r="G8" s="14"/>
      <c r="I8">
        <f t="shared" si="0"/>
        <v>4</v>
      </c>
    </row>
    <row r="9" ht="22" customHeight="1" spans="1:9">
      <c r="A9" s="8">
        <v>7</v>
      </c>
      <c r="B9" s="9">
        <v>46128</v>
      </c>
      <c r="C9" s="10" t="s">
        <v>24</v>
      </c>
      <c r="D9" s="11" t="s">
        <v>49</v>
      </c>
      <c r="E9" s="10">
        <v>4</v>
      </c>
      <c r="F9" s="12"/>
      <c r="G9" s="15"/>
      <c r="I9">
        <f t="shared" si="0"/>
        <v>4</v>
      </c>
    </row>
    <row r="10" ht="22" customHeight="1" spans="1:9">
      <c r="A10" s="8">
        <v>8</v>
      </c>
      <c r="B10" s="9">
        <v>46128</v>
      </c>
      <c r="C10" s="10" t="s">
        <v>25</v>
      </c>
      <c r="D10" s="11" t="s">
        <v>49</v>
      </c>
      <c r="E10" s="12"/>
      <c r="F10" s="10">
        <v>4</v>
      </c>
      <c r="G10" s="15"/>
      <c r="I10">
        <f t="shared" si="0"/>
        <v>4</v>
      </c>
    </row>
    <row r="11" customFormat="1" ht="22" customHeight="1" spans="1:9">
      <c r="A11" s="8">
        <v>9</v>
      </c>
      <c r="B11" s="9">
        <v>46128</v>
      </c>
      <c r="C11" s="10" t="s">
        <v>26</v>
      </c>
      <c r="D11" s="11" t="s">
        <v>49</v>
      </c>
      <c r="E11" s="12">
        <v>4</v>
      </c>
      <c r="F11" s="10"/>
      <c r="G11" s="15"/>
      <c r="I11">
        <f t="shared" si="0"/>
        <v>4</v>
      </c>
    </row>
    <row r="12" customFormat="1" ht="22" customHeight="1" spans="1:9">
      <c r="A12" s="8">
        <v>10</v>
      </c>
      <c r="B12" s="9">
        <v>46128</v>
      </c>
      <c r="C12" s="12" t="s">
        <v>27</v>
      </c>
      <c r="D12" s="11" t="s">
        <v>49</v>
      </c>
      <c r="E12" s="16"/>
      <c r="F12" s="17">
        <v>7</v>
      </c>
      <c r="G12" s="15" t="s">
        <v>50</v>
      </c>
      <c r="I12">
        <f t="shared" si="0"/>
        <v>7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20</v>
      </c>
      <c r="F15" s="23">
        <f>SUM(F3:F14)</f>
        <v>23</v>
      </c>
      <c r="I15">
        <f t="shared" si="0"/>
        <v>43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J22" sqref="J22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.1428571428571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46132</v>
      </c>
      <c r="C3" s="10" t="s">
        <v>16</v>
      </c>
      <c r="D3" s="11" t="s">
        <v>48</v>
      </c>
      <c r="E3" s="12"/>
      <c r="F3" s="10">
        <v>3</v>
      </c>
      <c r="G3" s="13"/>
      <c r="I3">
        <f t="shared" ref="I3:I15" si="0">E3+F3</f>
        <v>3</v>
      </c>
    </row>
    <row r="4" ht="22" customHeight="1" spans="1:9">
      <c r="A4" s="8">
        <v>2</v>
      </c>
      <c r="B4" s="9">
        <v>46132</v>
      </c>
      <c r="C4" s="10" t="s">
        <v>41</v>
      </c>
      <c r="D4" s="11" t="s">
        <v>48</v>
      </c>
      <c r="E4" s="10">
        <v>3</v>
      </c>
      <c r="F4" s="10"/>
      <c r="G4" s="14"/>
      <c r="I4">
        <f t="shared" si="0"/>
        <v>3</v>
      </c>
    </row>
    <row r="5" ht="22" customHeight="1" spans="1:9">
      <c r="A5" s="8">
        <v>3</v>
      </c>
      <c r="B5" s="9">
        <v>46132</v>
      </c>
      <c r="C5" s="10" t="s">
        <v>42</v>
      </c>
      <c r="D5" s="11" t="s">
        <v>48</v>
      </c>
      <c r="E5" s="10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46132</v>
      </c>
      <c r="C6" s="10" t="s">
        <v>21</v>
      </c>
      <c r="D6" s="11" t="s">
        <v>48</v>
      </c>
      <c r="E6" s="10">
        <v>2</v>
      </c>
      <c r="F6" s="10">
        <v>1</v>
      </c>
      <c r="G6" s="14"/>
      <c r="I6">
        <f t="shared" si="0"/>
        <v>3</v>
      </c>
    </row>
    <row r="7" ht="22" customHeight="1" spans="1:9">
      <c r="A7" s="8">
        <v>5</v>
      </c>
      <c r="B7" s="9">
        <v>46132</v>
      </c>
      <c r="C7" s="10" t="s">
        <v>21</v>
      </c>
      <c r="D7" s="11" t="s">
        <v>48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9">
      <c r="A8" s="8">
        <v>6</v>
      </c>
      <c r="B8" s="9">
        <v>46132</v>
      </c>
      <c r="C8" s="10" t="s">
        <v>22</v>
      </c>
      <c r="D8" s="11" t="s">
        <v>48</v>
      </c>
      <c r="E8" s="10">
        <v>3</v>
      </c>
      <c r="F8" s="12"/>
      <c r="G8" s="14"/>
      <c r="I8">
        <f t="shared" si="0"/>
        <v>3</v>
      </c>
    </row>
    <row r="9" ht="22" customHeight="1" spans="1:9">
      <c r="A9" s="8">
        <v>7</v>
      </c>
      <c r="B9" s="9">
        <v>46132</v>
      </c>
      <c r="C9" s="10" t="s">
        <v>24</v>
      </c>
      <c r="D9" s="11" t="s">
        <v>48</v>
      </c>
      <c r="E9" s="10">
        <v>3</v>
      </c>
      <c r="F9" s="12"/>
      <c r="G9" s="15"/>
      <c r="I9">
        <f t="shared" si="0"/>
        <v>3</v>
      </c>
    </row>
    <row r="10" ht="22" customHeight="1" spans="1:9">
      <c r="A10" s="8">
        <v>8</v>
      </c>
      <c r="B10" s="9">
        <v>46132</v>
      </c>
      <c r="C10" s="10" t="s">
        <v>25</v>
      </c>
      <c r="D10" s="11" t="s">
        <v>48</v>
      </c>
      <c r="E10" s="12"/>
      <c r="F10" s="10">
        <v>3</v>
      </c>
      <c r="G10" s="15"/>
      <c r="I10">
        <f t="shared" si="0"/>
        <v>3</v>
      </c>
    </row>
    <row r="11" customFormat="1" ht="22" customHeight="1" spans="1:9">
      <c r="A11" s="8">
        <v>9</v>
      </c>
      <c r="B11" s="9">
        <v>46132</v>
      </c>
      <c r="C11" s="10" t="s">
        <v>26</v>
      </c>
      <c r="D11" s="11" t="s">
        <v>48</v>
      </c>
      <c r="E11" s="12">
        <v>3</v>
      </c>
      <c r="F11" s="10"/>
      <c r="G11" s="15"/>
      <c r="I11">
        <f t="shared" si="0"/>
        <v>3</v>
      </c>
    </row>
    <row r="12" customFormat="1" ht="22" customHeight="1" spans="1:9">
      <c r="A12" s="8">
        <v>10</v>
      </c>
      <c r="B12" s="9">
        <v>46132</v>
      </c>
      <c r="C12" s="24" t="s">
        <v>27</v>
      </c>
      <c r="D12" s="11"/>
      <c r="E12" s="16">
        <v>0</v>
      </c>
      <c r="F12" s="17"/>
      <c r="G12" s="15" t="s">
        <v>50</v>
      </c>
      <c r="I12">
        <f t="shared" si="0"/>
        <v>0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>E20+F20</f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16</v>
      </c>
      <c r="F15" s="23">
        <f>SUM(F3:F14)</f>
        <v>11</v>
      </c>
      <c r="I15">
        <f t="shared" si="0"/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J30" sqref="J3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46135</v>
      </c>
      <c r="C3" s="10" t="s">
        <v>16</v>
      </c>
      <c r="D3" s="11" t="s">
        <v>49</v>
      </c>
      <c r="E3" s="12"/>
      <c r="F3" s="10">
        <v>4</v>
      </c>
      <c r="G3" s="13"/>
      <c r="I3">
        <f t="shared" ref="I3:I15" si="0">E3+F3</f>
        <v>4</v>
      </c>
    </row>
    <row r="4" ht="22" customHeight="1" spans="1:9">
      <c r="A4" s="8">
        <v>2</v>
      </c>
      <c r="B4" s="9">
        <v>46135</v>
      </c>
      <c r="C4" s="10" t="s">
        <v>41</v>
      </c>
      <c r="D4" s="11" t="s">
        <v>49</v>
      </c>
      <c r="E4" s="10">
        <v>4</v>
      </c>
      <c r="F4" s="10"/>
      <c r="G4" s="14"/>
      <c r="I4">
        <f t="shared" si="0"/>
        <v>4</v>
      </c>
    </row>
    <row r="5" ht="22" customHeight="1" spans="1:9">
      <c r="A5" s="8">
        <v>3</v>
      </c>
      <c r="B5" s="9">
        <v>46135</v>
      </c>
      <c r="C5" s="10" t="s">
        <v>42</v>
      </c>
      <c r="D5" s="11" t="s">
        <v>49</v>
      </c>
      <c r="E5" s="10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46135</v>
      </c>
      <c r="C6" s="10" t="s">
        <v>21</v>
      </c>
      <c r="D6" s="11" t="s">
        <v>49</v>
      </c>
      <c r="E6" s="10">
        <v>2</v>
      </c>
      <c r="F6" s="10">
        <v>2</v>
      </c>
      <c r="G6" s="14"/>
      <c r="I6">
        <f t="shared" si="0"/>
        <v>4</v>
      </c>
    </row>
    <row r="7" ht="22" customHeight="1" spans="1:9">
      <c r="A7" s="8">
        <v>5</v>
      </c>
      <c r="B7" s="9">
        <v>46135</v>
      </c>
      <c r="C7" s="10" t="s">
        <v>21</v>
      </c>
      <c r="D7" s="11" t="s">
        <v>49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9">
      <c r="A8" s="8">
        <v>6</v>
      </c>
      <c r="B8" s="9">
        <v>46135</v>
      </c>
      <c r="C8" s="10" t="s">
        <v>22</v>
      </c>
      <c r="D8" s="11" t="s">
        <v>49</v>
      </c>
      <c r="E8" s="10">
        <v>4</v>
      </c>
      <c r="F8" s="12"/>
      <c r="G8" s="14"/>
      <c r="I8">
        <f t="shared" si="0"/>
        <v>4</v>
      </c>
    </row>
    <row r="9" ht="22" customHeight="1" spans="1:9">
      <c r="A9" s="8">
        <v>7</v>
      </c>
      <c r="B9" s="9">
        <v>46135</v>
      </c>
      <c r="C9" s="10" t="s">
        <v>24</v>
      </c>
      <c r="D9" s="11" t="s">
        <v>49</v>
      </c>
      <c r="E9" s="10">
        <v>4</v>
      </c>
      <c r="F9" s="12"/>
      <c r="G9" s="15"/>
      <c r="I9">
        <f>E23+F23</f>
        <v>0</v>
      </c>
    </row>
    <row r="10" ht="22" customHeight="1" spans="1:9">
      <c r="A10" s="8">
        <v>8</v>
      </c>
      <c r="B10" s="9">
        <v>46135</v>
      </c>
      <c r="C10" s="10" t="s">
        <v>25</v>
      </c>
      <c r="D10" s="11" t="s">
        <v>49</v>
      </c>
      <c r="E10" s="12"/>
      <c r="F10" s="10">
        <v>4</v>
      </c>
      <c r="G10" s="15"/>
      <c r="I10">
        <f t="shared" si="0"/>
        <v>4</v>
      </c>
    </row>
    <row r="11" customFormat="1" ht="22" customHeight="1" spans="1:9">
      <c r="A11" s="8">
        <v>23</v>
      </c>
      <c r="B11" s="9">
        <v>46135</v>
      </c>
      <c r="C11" s="10" t="s">
        <v>26</v>
      </c>
      <c r="D11" s="11" t="s">
        <v>49</v>
      </c>
      <c r="E11" s="12">
        <v>4</v>
      </c>
      <c r="F11" s="10"/>
      <c r="G11" s="15"/>
      <c r="I11">
        <f t="shared" si="0"/>
        <v>4</v>
      </c>
    </row>
    <row r="12" customFormat="1" ht="22" customHeight="1" spans="1:9">
      <c r="A12" s="8">
        <v>10</v>
      </c>
      <c r="B12" s="9">
        <v>46135</v>
      </c>
      <c r="C12" s="12" t="s">
        <v>27</v>
      </c>
      <c r="D12" s="11" t="s">
        <v>49</v>
      </c>
      <c r="E12" s="16"/>
      <c r="F12" s="17">
        <v>7</v>
      </c>
      <c r="G12" s="15" t="s">
        <v>50</v>
      </c>
      <c r="I12">
        <f t="shared" si="0"/>
        <v>7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20</v>
      </c>
      <c r="F15" s="23">
        <f>SUM(F3:F14)</f>
        <v>23</v>
      </c>
      <c r="I15">
        <f t="shared" si="0"/>
        <v>43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L23" sqref="L2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.1428571428571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46139</v>
      </c>
      <c r="C3" s="10" t="s">
        <v>16</v>
      </c>
      <c r="D3" s="11" t="s">
        <v>48</v>
      </c>
      <c r="E3" s="12"/>
      <c r="F3" s="10">
        <v>3</v>
      </c>
      <c r="G3" s="13"/>
      <c r="I3">
        <f t="shared" ref="I3:I15" si="0">E3+F3</f>
        <v>3</v>
      </c>
    </row>
    <row r="4" ht="22" customHeight="1" spans="1:9">
      <c r="A4" s="8">
        <v>2</v>
      </c>
      <c r="B4" s="9">
        <v>46139</v>
      </c>
      <c r="C4" s="10" t="s">
        <v>41</v>
      </c>
      <c r="D4" s="11" t="s">
        <v>48</v>
      </c>
      <c r="E4" s="10">
        <v>3</v>
      </c>
      <c r="F4" s="10"/>
      <c r="G4" s="14"/>
      <c r="I4">
        <f t="shared" si="0"/>
        <v>3</v>
      </c>
    </row>
    <row r="5" ht="22" customHeight="1" spans="1:9">
      <c r="A5" s="8">
        <v>3</v>
      </c>
      <c r="B5" s="9">
        <v>46139</v>
      </c>
      <c r="C5" s="10" t="s">
        <v>42</v>
      </c>
      <c r="D5" s="11" t="s">
        <v>48</v>
      </c>
      <c r="E5" s="10"/>
      <c r="F5" s="10">
        <v>3</v>
      </c>
      <c r="G5" s="14"/>
      <c r="I5">
        <f t="shared" si="0"/>
        <v>3</v>
      </c>
    </row>
    <row r="6" ht="22" customHeight="1" spans="1:9">
      <c r="A6" s="8">
        <v>4</v>
      </c>
      <c r="B6" s="9">
        <v>46139</v>
      </c>
      <c r="C6" s="10" t="s">
        <v>21</v>
      </c>
      <c r="D6" s="11" t="s">
        <v>48</v>
      </c>
      <c r="E6" s="10">
        <v>2</v>
      </c>
      <c r="F6" s="10">
        <v>1</v>
      </c>
      <c r="G6" s="14"/>
      <c r="I6">
        <f t="shared" si="0"/>
        <v>3</v>
      </c>
    </row>
    <row r="7" ht="22" customHeight="1" spans="1:9">
      <c r="A7" s="8">
        <v>5</v>
      </c>
      <c r="B7" s="9">
        <v>46139</v>
      </c>
      <c r="C7" s="10" t="s">
        <v>21</v>
      </c>
      <c r="D7" s="11" t="s">
        <v>48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9">
      <c r="A8" s="8">
        <v>6</v>
      </c>
      <c r="B8" s="9">
        <v>46139</v>
      </c>
      <c r="C8" s="10" t="s">
        <v>22</v>
      </c>
      <c r="D8" s="11" t="s">
        <v>48</v>
      </c>
      <c r="E8" s="10">
        <v>3</v>
      </c>
      <c r="F8" s="12"/>
      <c r="G8" s="14"/>
      <c r="I8">
        <f t="shared" si="0"/>
        <v>3</v>
      </c>
    </row>
    <row r="9" ht="22" customHeight="1" spans="1:9">
      <c r="A9" s="8">
        <v>7</v>
      </c>
      <c r="B9" s="9">
        <v>46139</v>
      </c>
      <c r="C9" s="10" t="s">
        <v>24</v>
      </c>
      <c r="D9" s="11" t="s">
        <v>48</v>
      </c>
      <c r="E9" s="10">
        <v>3</v>
      </c>
      <c r="F9" s="12"/>
      <c r="G9" s="15"/>
      <c r="I9">
        <f t="shared" si="0"/>
        <v>3</v>
      </c>
    </row>
    <row r="10" ht="22" customHeight="1" spans="1:9">
      <c r="A10" s="8">
        <v>8</v>
      </c>
      <c r="B10" s="9">
        <v>46139</v>
      </c>
      <c r="C10" s="10" t="s">
        <v>25</v>
      </c>
      <c r="D10" s="11" t="s">
        <v>48</v>
      </c>
      <c r="E10" s="12"/>
      <c r="F10" s="10">
        <v>3</v>
      </c>
      <c r="G10" s="15"/>
      <c r="I10">
        <f t="shared" si="0"/>
        <v>3</v>
      </c>
    </row>
    <row r="11" customFormat="1" ht="22" customHeight="1" spans="1:9">
      <c r="A11" s="8">
        <v>9</v>
      </c>
      <c r="B11" s="9">
        <v>46139</v>
      </c>
      <c r="C11" s="10" t="s">
        <v>26</v>
      </c>
      <c r="D11" s="11" t="s">
        <v>48</v>
      </c>
      <c r="E11" s="12">
        <v>3</v>
      </c>
      <c r="F11" s="10"/>
      <c r="G11" s="15"/>
      <c r="I11">
        <f t="shared" si="0"/>
        <v>3</v>
      </c>
    </row>
    <row r="12" customFormat="1" ht="22" customHeight="1" spans="1:9">
      <c r="A12" s="8">
        <v>10</v>
      </c>
      <c r="B12" s="9">
        <v>46139</v>
      </c>
      <c r="C12" s="24" t="s">
        <v>27</v>
      </c>
      <c r="D12" s="11"/>
      <c r="E12" s="16">
        <v>0</v>
      </c>
      <c r="F12" s="17"/>
      <c r="G12" s="15" t="s">
        <v>50</v>
      </c>
      <c r="I12">
        <f t="shared" si="0"/>
        <v>0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>E27+F27</f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16</v>
      </c>
      <c r="F15" s="23">
        <f>SUM(F3:F14)</f>
        <v>11</v>
      </c>
      <c r="I15">
        <f t="shared" si="0"/>
        <v>27</v>
      </c>
    </row>
  </sheetData>
  <mergeCells count="1">
    <mergeCell ref="A1:G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I28" sqref="I2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30.1428571428571" customWidth="1"/>
  </cols>
  <sheetData>
    <row r="1" ht="38" customHeight="1" spans="1:9">
      <c r="A1" s="2" t="s">
        <v>44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38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ht="22" customHeight="1" spans="1:9">
      <c r="A3" s="8">
        <v>1</v>
      </c>
      <c r="B3" s="9">
        <v>46142</v>
      </c>
      <c r="C3" s="10" t="s">
        <v>16</v>
      </c>
      <c r="D3" s="11" t="s">
        <v>49</v>
      </c>
      <c r="E3" s="12"/>
      <c r="F3" s="10">
        <v>4</v>
      </c>
      <c r="G3" s="13"/>
      <c r="I3">
        <f t="shared" ref="I3:I15" si="0">E3+F3</f>
        <v>4</v>
      </c>
    </row>
    <row r="4" ht="22" customHeight="1" spans="1:9">
      <c r="A4" s="8">
        <v>2</v>
      </c>
      <c r="B4" s="9">
        <v>46142</v>
      </c>
      <c r="C4" s="10" t="s">
        <v>41</v>
      </c>
      <c r="D4" s="11" t="s">
        <v>49</v>
      </c>
      <c r="E4" s="10">
        <v>4</v>
      </c>
      <c r="F4" s="10"/>
      <c r="G4" s="14"/>
      <c r="I4">
        <f t="shared" si="0"/>
        <v>4</v>
      </c>
    </row>
    <row r="5" ht="22" customHeight="1" spans="1:9">
      <c r="A5" s="8">
        <v>3</v>
      </c>
      <c r="B5" s="9">
        <v>46142</v>
      </c>
      <c r="C5" s="10" t="s">
        <v>42</v>
      </c>
      <c r="D5" s="11" t="s">
        <v>49</v>
      </c>
      <c r="E5" s="10"/>
      <c r="F5" s="10">
        <v>4</v>
      </c>
      <c r="G5" s="14"/>
      <c r="I5">
        <f t="shared" si="0"/>
        <v>4</v>
      </c>
    </row>
    <row r="6" ht="22" customHeight="1" spans="1:9">
      <c r="A6" s="8">
        <v>4</v>
      </c>
      <c r="B6" s="9">
        <v>46142</v>
      </c>
      <c r="C6" s="10" t="s">
        <v>21</v>
      </c>
      <c r="D6" s="11" t="s">
        <v>49</v>
      </c>
      <c r="E6" s="10">
        <v>2</v>
      </c>
      <c r="F6" s="10">
        <v>2</v>
      </c>
      <c r="G6" s="14"/>
      <c r="I6">
        <f t="shared" si="0"/>
        <v>4</v>
      </c>
    </row>
    <row r="7" ht="22" customHeight="1" spans="1:9">
      <c r="A7" s="8">
        <v>5</v>
      </c>
      <c r="B7" s="9">
        <v>46142</v>
      </c>
      <c r="C7" s="10" t="s">
        <v>21</v>
      </c>
      <c r="D7" s="11" t="s">
        <v>49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9">
      <c r="A8" s="8">
        <v>6</v>
      </c>
      <c r="B8" s="9">
        <v>46142</v>
      </c>
      <c r="C8" s="10" t="s">
        <v>22</v>
      </c>
      <c r="D8" s="11" t="s">
        <v>49</v>
      </c>
      <c r="E8" s="10">
        <v>4</v>
      </c>
      <c r="F8" s="12"/>
      <c r="G8" s="14"/>
      <c r="I8">
        <f t="shared" si="0"/>
        <v>4</v>
      </c>
    </row>
    <row r="9" ht="22" customHeight="1" spans="1:9">
      <c r="A9" s="8">
        <v>7</v>
      </c>
      <c r="B9" s="9">
        <v>46142</v>
      </c>
      <c r="C9" s="10" t="s">
        <v>24</v>
      </c>
      <c r="D9" s="11" t="s">
        <v>49</v>
      </c>
      <c r="E9" s="10">
        <v>4</v>
      </c>
      <c r="F9" s="12"/>
      <c r="G9" s="15"/>
      <c r="I9">
        <f>E30+F30</f>
        <v>0</v>
      </c>
    </row>
    <row r="10" ht="22" customHeight="1" spans="1:9">
      <c r="A10" s="8">
        <v>8</v>
      </c>
      <c r="B10" s="9">
        <v>46142</v>
      </c>
      <c r="C10" s="10" t="s">
        <v>25</v>
      </c>
      <c r="D10" s="11" t="s">
        <v>49</v>
      </c>
      <c r="E10" s="12"/>
      <c r="F10" s="10">
        <v>4</v>
      </c>
      <c r="G10" s="15"/>
      <c r="I10">
        <f t="shared" si="0"/>
        <v>4</v>
      </c>
    </row>
    <row r="11" customFormat="1" ht="22" customHeight="1" spans="1:9">
      <c r="A11" s="8">
        <v>30</v>
      </c>
      <c r="B11" s="9">
        <v>46142</v>
      </c>
      <c r="C11" s="10" t="s">
        <v>26</v>
      </c>
      <c r="D11" s="11" t="s">
        <v>49</v>
      </c>
      <c r="E11" s="12">
        <v>4</v>
      </c>
      <c r="F11" s="10"/>
      <c r="G11" s="15"/>
      <c r="I11">
        <f t="shared" si="0"/>
        <v>4</v>
      </c>
    </row>
    <row r="12" customFormat="1" ht="22" customHeight="1" spans="1:9">
      <c r="A12" s="8">
        <v>10</v>
      </c>
      <c r="B12" s="9">
        <v>46142</v>
      </c>
      <c r="C12" s="12" t="s">
        <v>27</v>
      </c>
      <c r="D12" s="11" t="s">
        <v>49</v>
      </c>
      <c r="E12" s="16"/>
      <c r="F12" s="17">
        <v>7</v>
      </c>
      <c r="G12" s="15" t="s">
        <v>50</v>
      </c>
      <c r="I12">
        <f t="shared" si="0"/>
        <v>7</v>
      </c>
    </row>
    <row r="13" customFormat="1" ht="22" customHeight="1" spans="1:9">
      <c r="A13" s="8"/>
      <c r="B13" s="18"/>
      <c r="C13" s="19"/>
      <c r="D13" s="11"/>
      <c r="E13" s="13"/>
      <c r="F13" s="15"/>
      <c r="G13" s="15"/>
      <c r="I13">
        <f t="shared" si="0"/>
        <v>0</v>
      </c>
    </row>
    <row r="14" customFormat="1" ht="22" customHeight="1" spans="1:9">
      <c r="A14" s="8"/>
      <c r="B14" s="20"/>
      <c r="C14" s="19"/>
      <c r="D14" s="21"/>
      <c r="E14" s="22"/>
      <c r="F14" s="16"/>
      <c r="G14" s="16"/>
      <c r="I14">
        <f t="shared" si="0"/>
        <v>0</v>
      </c>
    </row>
    <row r="15" customFormat="1" ht="13.5" spans="1:9">
      <c r="E15" s="23">
        <f>SUM(E3:E14)</f>
        <v>20</v>
      </c>
      <c r="F15" s="23">
        <f>SUM(F3:F14)</f>
        <v>23</v>
      </c>
      <c r="I15">
        <f t="shared" si="0"/>
        <v>43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老师</vt:lpstr>
      <vt:lpstr>领奶表</vt:lpstr>
      <vt:lpstr>配送汇总</vt:lpstr>
      <vt:lpstr>签收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4.27</vt:lpstr>
      <vt:lpstr>4.30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2026-04-16T08:44:15Z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