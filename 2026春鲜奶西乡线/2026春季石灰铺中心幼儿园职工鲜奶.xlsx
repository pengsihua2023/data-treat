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79" firstSheet="3" activeTab="17"/>
  </bookViews>
  <sheets>
    <sheet name="老师" sheetId="1" r:id="rId1"/>
    <sheet name="学生" sheetId="8" r:id="rId2"/>
    <sheet name="领奶表" sheetId="5" r:id="rId3"/>
    <sheet name="签收" sheetId="9" r:id="rId4"/>
    <sheet name="配送汇总" sheetId="6" r:id="rId5"/>
    <sheet name="3.9" sheetId="2" r:id="rId6"/>
    <sheet name="3.12" sheetId="7" r:id="rId7"/>
    <sheet name="3.16" sheetId="10" r:id="rId8"/>
    <sheet name="3.19" sheetId="11" r:id="rId9"/>
    <sheet name="3.23" sheetId="12" r:id="rId10"/>
    <sheet name="3.26" sheetId="13" r:id="rId11"/>
    <sheet name="3.30" sheetId="14" r:id="rId12"/>
    <sheet name="4.2" sheetId="15" r:id="rId13"/>
    <sheet name="4.7" sheetId="16" r:id="rId14"/>
    <sheet name="4.9" sheetId="17" r:id="rId15"/>
    <sheet name="4.13" sheetId="18" r:id="rId16"/>
    <sheet name="4.16" sheetId="19" r:id="rId17"/>
    <sheet name="4.20" sheetId="22" r:id="rId18"/>
    <sheet name="4.23" sheetId="20" r:id="rId19"/>
    <sheet name="4.27" sheetId="23" r:id="rId20"/>
    <sheet name="4.30" sheetId="21" r:id="rId21"/>
  </sheets>
  <definedNames>
    <definedName name="_xlnm._FilterDatabase" localSheetId="4" hidden="1">配送汇总!$A$1:$X$33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<sst xmlns="http://schemas.openxmlformats.org/spreadsheetml/2006/main" count="667" uniqueCount="74">
  <si>
    <t>2026春季石灰铺中心幼儿园教职工巴氏鲜奶补贴订购申请表（20份起送，特殊申请除外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</si>
  <si>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</si>
  <si>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</si>
  <si>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</si>
  <si>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</si>
  <si>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</si>
  <si>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</si>
  <si>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</si>
  <si>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</si>
  <si>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</si>
  <si>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</si>
  <si>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</si>
  <si>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</si>
  <si>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刘秋菊</t>
  </si>
  <si>
    <t>√</t>
  </si>
  <si>
    <t>已微信转款</t>
  </si>
  <si>
    <t>梁光亮</t>
  </si>
  <si>
    <t>蓝蝶</t>
  </si>
  <si>
    <t>刘翠萍</t>
  </si>
  <si>
    <t>管春怡</t>
  </si>
  <si>
    <t>吴三娣</t>
  </si>
  <si>
    <t>李兰芳</t>
  </si>
  <si>
    <t>赖秋红</t>
  </si>
  <si>
    <t>✓</t>
  </si>
  <si>
    <t>线上订单汇总表</t>
  </si>
  <si>
    <t>导出时间2026-03-06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</si>
  <si>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</si>
  <si>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</si>
  <si>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</si>
  <si>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</si>
  <si>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</si>
  <si>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</si>
  <si>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</si>
  <si>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收款账户</t>
  </si>
  <si>
    <t>家长备注</t>
  </si>
  <si>
    <t>商户备注</t>
  </si>
  <si>
    <t>张宥伦</t>
  </si>
  <si>
    <r>
      <rPr>
        <sz val="11"/>
        <color rgb="FFFF0000"/>
        <rFont val="宋体"/>
        <charset val="134"/>
      </rPr>
      <t>英德市</t>
    </r>
    <r>
      <rPr>
        <sz val="11"/>
        <color rgb="FFFF0000"/>
        <rFont val="Calibri"/>
        <charset val="134"/>
      </rPr>
      <t xml:space="preserve"> | </t>
    </r>
    <r>
      <rPr>
        <sz val="11"/>
        <color rgb="FFFF0000"/>
        <rFont val="宋体"/>
        <charset val="134"/>
      </rPr>
      <t>石灰铺中心幼儿园</t>
    </r>
    <r>
      <rPr>
        <sz val="11"/>
        <color rgb="FFFF0000"/>
        <rFont val="Calibri"/>
        <charset val="134"/>
      </rPr>
      <t xml:space="preserve"> | </t>
    </r>
    <r>
      <rPr>
        <sz val="11"/>
        <color rgb="FFFF0000"/>
        <rFont val="宋体"/>
        <charset val="134"/>
      </rPr>
      <t>中班</t>
    </r>
    <r>
      <rPr>
        <sz val="11"/>
        <color rgb="FFFF0000"/>
        <rFont val="Calibri"/>
        <charset val="134"/>
      </rPr>
      <t xml:space="preserve"> | </t>
    </r>
    <r>
      <rPr>
        <sz val="11"/>
        <color rgb="FFFF0000"/>
        <rFont val="宋体"/>
        <charset val="134"/>
      </rPr>
      <t>中二班</t>
    </r>
  </si>
  <si>
    <r>
      <rPr>
        <sz val="11"/>
        <color rgb="FFFF0000"/>
        <rFont val="Calibri"/>
        <charset val="134"/>
      </rPr>
      <t>2026</t>
    </r>
    <r>
      <rPr>
        <sz val="11"/>
        <color rgb="FFFF0000"/>
        <rFont val="宋体"/>
        <charset val="134"/>
      </rPr>
      <t>年春季幼儿园巴氏低温鲜奶套餐（</t>
    </r>
    <r>
      <rPr>
        <sz val="11"/>
        <color rgb="FFFF0000"/>
        <rFont val="Calibri"/>
        <charset val="134"/>
      </rPr>
      <t>100</t>
    </r>
    <r>
      <rPr>
        <sz val="11"/>
        <color rgb="FFFF0000"/>
        <rFont val="宋体"/>
        <charset val="134"/>
      </rPr>
      <t>盒）</t>
    </r>
  </si>
  <si>
    <r>
      <rPr>
        <sz val="11"/>
        <color rgb="FFFF0000"/>
        <rFont val="Calibri"/>
        <charset val="134"/>
      </rPr>
      <t xml:space="preserve">0006010F8463511 | </t>
    </r>
    <r>
      <rPr>
        <sz val="11"/>
        <color rgb="FFFF0000"/>
        <rFont val="宋体"/>
        <charset val="134"/>
      </rPr>
      <t>张荣强</t>
    </r>
  </si>
  <si>
    <t>鲜奶酸奶各一半</t>
  </si>
  <si>
    <t>已退款</t>
  </si>
  <si>
    <t>黄位祺</t>
  </si>
  <si>
    <t>英德市 | 石灰铺中心幼儿园 | 中班 | 中二班</t>
  </si>
  <si>
    <t>2026年春季幼儿园巴氏低温鲜奶套餐（100盒）</t>
  </si>
  <si>
    <t>0006010F8463511 | 张荣强</t>
  </si>
  <si>
    <t>鲜奶和酸奶各一半</t>
  </si>
  <si>
    <t>英德市石灰铺中心幼儿园教师鲜奶领奶表</t>
  </si>
  <si>
    <t>（ ）月份（填写领取数量/盒）</t>
  </si>
  <si>
    <t>姓名</t>
  </si>
  <si>
    <t>石灰铺中心幼儿园教师鲜奶赠品领取表</t>
  </si>
  <si>
    <t>配送日期</t>
  </si>
  <si>
    <t>礼品份数
（笔记本+笔）</t>
  </si>
  <si>
    <t>签名</t>
  </si>
  <si>
    <t xml:space="preserve">                                                   英德市石灰铺中心幼儿园教师鲜奶领奶表</t>
  </si>
  <si>
    <t>订购份数</t>
  </si>
  <si>
    <t>总计</t>
  </si>
  <si>
    <t>剩余</t>
  </si>
  <si>
    <t>续订已收款</t>
  </si>
  <si>
    <t>黄位祺学生</t>
  </si>
  <si>
    <t>王紫妍学生</t>
  </si>
  <si>
    <t>发完</t>
  </si>
  <si>
    <t>张宥伦学生</t>
  </si>
  <si>
    <t>已退订，费用已扣除</t>
  </si>
  <si>
    <t>石灰铺中心幼儿园教师鲜奶领奶表</t>
  </si>
  <si>
    <t>石灰铺中心幼儿园学生鲜奶领奶表</t>
  </si>
  <si>
    <t>配送天数</t>
  </si>
  <si>
    <t>鲜</t>
  </si>
  <si>
    <t>酸</t>
  </si>
  <si>
    <t>3天</t>
  </si>
  <si>
    <t>王紫妍</t>
  </si>
  <si>
    <t>4天</t>
  </si>
  <si>
    <t>2天</t>
  </si>
  <si>
    <t>剩余15支已全部发完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</si>
</sst>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0"/>
      <color rgb="FF00000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b/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3" borderId="1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14" applyNumberFormat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5" borderId="14" applyNumberFormat="0" applyAlignment="0" applyProtection="0">
      <alignment vertical="center"/>
    </xf>
    <xf numFmtId="0" fontId="38" fillId="6" borderId="16" applyNumberFormat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7" fillId="0" borderId="5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center" vertical="center" wrapText="1"/>
    </xf>
    <xf numFmtId="58" fontId="11" fillId="0" borderId="5" xfId="0" applyNumberFormat="1" applyFont="1" applyFill="1" applyBorder="1" applyAlignment="1">
      <alignment horizontal="center" vertical="center" wrapText="1"/>
    </xf>
    <xf numFmtId="58" fontId="11" fillId="0" borderId="5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8" fontId="7" fillId="0" borderId="5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4" fillId="0" borderId="5" xfId="0" applyNumberFormat="1" applyFont="1" applyFill="1" applyBorder="1" applyAlignment="1">
      <alignment vertical="center"/>
    </xf>
    <xf numFmtId="0" fontId="17" fillId="0" borderId="5" xfId="0" applyNumberFormat="1" applyFont="1" applyFill="1" applyBorder="1" applyAlignment="1">
      <alignment horizontal="left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9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22" fontId="20" fillId="0" borderId="9" xfId="0" applyNumberFormat="1" applyFont="1" applyBorder="1" applyAlignment="1">
      <alignment horizontal="center" vertical="center"/>
    </xf>
    <xf numFmtId="22" fontId="19" fillId="0" borderId="9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B12" sqref="B5:B12"/>
    </sheetView>
  </sheetViews>
  <sheetFormatPr defaultColWidth="14" defaultRowHeight="18" customHeight="1"/>
  <cols>
    <col min="7" max="7" width="15.8571428571429" customWidth="1"/>
  </cols>
  <sheetData>
    <row r="1" ht="20.25" customHeight="1" spans="1:25">
      <c r="A1" s="68" t="s">
        <v>0</v>
      </c>
      <c r="B1" s="68"/>
      <c r="C1" s="68"/>
      <c r="D1" s="68"/>
      <c r="E1" s="68"/>
      <c r="F1" s="68"/>
      <c r="G1" s="68"/>
      <c r="H1" s="68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</row>
    <row r="2" ht="20.25" customHeight="1" spans="1:25">
      <c r="A2" s="70" t="s">
        <v>1</v>
      </c>
      <c r="B2" s="70"/>
      <c r="C2" s="70"/>
      <c r="D2" s="70"/>
      <c r="E2" s="70"/>
      <c r="F2" s="70"/>
      <c r="G2" s="70"/>
      <c r="H2" s="70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</row>
    <row r="3" customHeight="1" spans="1:25">
      <c r="A3" s="71" t="s">
        <v>2</v>
      </c>
      <c r="B3" s="71" t="s">
        <v>3</v>
      </c>
      <c r="C3" s="71" t="s">
        <v>4</v>
      </c>
      <c r="D3" s="72" t="s">
        <v>5</v>
      </c>
      <c r="E3" s="72"/>
      <c r="F3" s="72" t="s">
        <v>6</v>
      </c>
      <c r="G3" s="72"/>
      <c r="H3" s="71" t="s">
        <v>7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ht="40.5" spans="1:25">
      <c r="A4" s="71"/>
      <c r="B4" s="71"/>
      <c r="C4" s="71"/>
      <c r="D4" s="73" t="s">
        <v>8</v>
      </c>
      <c r="E4" s="73" t="s">
        <v>9</v>
      </c>
      <c r="F4" s="73" t="s">
        <v>10</v>
      </c>
      <c r="G4" s="73" t="s">
        <v>11</v>
      </c>
      <c r="H4" s="74" t="s">
        <v>12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 customHeight="1" spans="1:25">
      <c r="A5" s="40">
        <v>1</v>
      </c>
      <c r="B5" s="9" t="s">
        <v>13</v>
      </c>
      <c r="C5" s="10">
        <v>13413566214</v>
      </c>
      <c r="D5" s="40" t="s">
        <v>14</v>
      </c>
      <c r="E5" s="40"/>
      <c r="F5" s="40">
        <v>350</v>
      </c>
      <c r="G5" s="40">
        <v>210</v>
      </c>
      <c r="H5" s="75" t="s">
        <v>15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customHeight="1" spans="1:25">
      <c r="A6" s="40">
        <v>2</v>
      </c>
      <c r="B6" s="9" t="s">
        <v>16</v>
      </c>
      <c r="C6" s="40">
        <v>18125989808</v>
      </c>
      <c r="D6" s="75"/>
      <c r="E6" s="40" t="s">
        <v>14</v>
      </c>
      <c r="F6" s="40">
        <v>350</v>
      </c>
      <c r="G6" s="40">
        <v>210</v>
      </c>
      <c r="H6" s="75" t="s">
        <v>15</v>
      </c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</row>
    <row r="7" customHeight="1" spans="1:25">
      <c r="A7" s="40">
        <v>3</v>
      </c>
      <c r="B7" s="9" t="s">
        <v>17</v>
      </c>
      <c r="C7" s="40">
        <v>15218512963</v>
      </c>
      <c r="D7" s="40" t="s">
        <v>14</v>
      </c>
      <c r="E7" s="40" t="s">
        <v>14</v>
      </c>
      <c r="F7" s="40">
        <v>350</v>
      </c>
      <c r="G7" s="40">
        <v>210</v>
      </c>
      <c r="H7" s="75" t="s">
        <v>15</v>
      </c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</row>
    <row r="8" customHeight="1" spans="1:25">
      <c r="A8" s="40">
        <v>4</v>
      </c>
      <c r="B8" s="9" t="s">
        <v>18</v>
      </c>
      <c r="C8" s="40">
        <v>13318629090</v>
      </c>
      <c r="D8" s="40" t="s">
        <v>14</v>
      </c>
      <c r="E8" s="75"/>
      <c r="F8" s="40">
        <v>350</v>
      </c>
      <c r="G8" s="40">
        <v>210</v>
      </c>
      <c r="H8" s="75" t="s">
        <v>15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 customHeight="1" spans="1:25">
      <c r="A9" s="40">
        <v>5</v>
      </c>
      <c r="B9" s="9" t="s">
        <v>19</v>
      </c>
      <c r="C9" s="40">
        <v>18127239681</v>
      </c>
      <c r="D9" s="40" t="s">
        <v>14</v>
      </c>
      <c r="E9" s="40"/>
      <c r="F9" s="40">
        <v>350</v>
      </c>
      <c r="G9" s="40">
        <v>210</v>
      </c>
      <c r="H9" s="75" t="s">
        <v>15</v>
      </c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 customHeight="1" spans="1:25">
      <c r="A10" s="40">
        <v>6</v>
      </c>
      <c r="B10" s="9" t="s">
        <v>20</v>
      </c>
      <c r="C10" s="76">
        <v>15816212409</v>
      </c>
      <c r="D10" s="40" t="s">
        <v>14</v>
      </c>
      <c r="E10" s="40"/>
      <c r="F10" s="40">
        <v>350</v>
      </c>
      <c r="G10" s="40">
        <v>210</v>
      </c>
      <c r="H10" s="75" t="s">
        <v>15</v>
      </c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 customHeight="1" spans="1:25">
      <c r="A11" s="40">
        <v>7</v>
      </c>
      <c r="B11" s="9" t="s">
        <v>21</v>
      </c>
      <c r="C11" s="40">
        <v>13435267932</v>
      </c>
      <c r="D11" s="75"/>
      <c r="E11" s="40" t="s">
        <v>14</v>
      </c>
      <c r="F11" s="40">
        <v>350</v>
      </c>
      <c r="G11" s="40">
        <v>210</v>
      </c>
      <c r="H11" s="75" t="s">
        <v>15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</row>
    <row r="12" customHeight="1" spans="1:25">
      <c r="A12" s="40">
        <v>8</v>
      </c>
      <c r="B12" s="40" t="s">
        <v>22</v>
      </c>
      <c r="C12" s="40">
        <v>15917618823</v>
      </c>
      <c r="D12" s="75"/>
      <c r="E12" s="40" t="s">
        <v>23</v>
      </c>
      <c r="F12" s="40">
        <v>350</v>
      </c>
      <c r="G12" s="40">
        <v>210</v>
      </c>
      <c r="H12" s="75" t="s">
        <v>15</v>
      </c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 customHeight="1" spans="1:25">
      <c r="A13" s="40">
        <v>9</v>
      </c>
      <c r="B13" s="40"/>
      <c r="C13" s="40"/>
      <c r="D13" s="77"/>
      <c r="E13" s="78"/>
      <c r="F13" s="40">
        <v>350</v>
      </c>
      <c r="G13" s="40">
        <v>210</v>
      </c>
      <c r="H13" s="75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</row>
    <row r="14" customHeight="1" spans="1:25">
      <c r="A14" s="40">
        <v>10</v>
      </c>
      <c r="B14" s="75"/>
      <c r="C14" s="75"/>
      <c r="D14" s="75"/>
      <c r="E14" s="75"/>
      <c r="F14" s="40">
        <v>350</v>
      </c>
      <c r="G14" s="40">
        <v>210</v>
      </c>
      <c r="H14" s="75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 customHeight="1" spans="1:25">
      <c r="A15" s="40">
        <v>11</v>
      </c>
      <c r="B15" s="75"/>
      <c r="C15" s="75"/>
      <c r="D15" s="75"/>
      <c r="E15" s="75"/>
      <c r="F15" s="40">
        <v>350</v>
      </c>
      <c r="G15" s="40">
        <v>210</v>
      </c>
      <c r="H15" s="75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 customHeight="1" spans="1:25">
      <c r="A16" s="40">
        <v>12</v>
      </c>
      <c r="B16" s="75"/>
      <c r="C16" s="75"/>
      <c r="D16" s="75"/>
      <c r="E16" s="75"/>
      <c r="F16" s="40">
        <v>350</v>
      </c>
      <c r="G16" s="40">
        <v>210</v>
      </c>
      <c r="H16" s="75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 customHeight="1" spans="1:25">
      <c r="A17" s="40">
        <v>13</v>
      </c>
      <c r="B17" s="75"/>
      <c r="C17" s="75"/>
      <c r="D17" s="75"/>
      <c r="E17" s="75"/>
      <c r="F17" s="40">
        <v>350</v>
      </c>
      <c r="G17" s="40">
        <v>210</v>
      </c>
      <c r="H17" s="75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</row>
    <row r="18" customHeight="1" spans="1:25">
      <c r="A18" s="40">
        <v>14</v>
      </c>
      <c r="B18" s="75"/>
      <c r="C18" s="75"/>
      <c r="D18" s="75"/>
      <c r="E18" s="75"/>
      <c r="F18" s="40">
        <v>350</v>
      </c>
      <c r="G18" s="40">
        <v>210</v>
      </c>
      <c r="H18" s="75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 customHeight="1" spans="1:25">
      <c r="A19" s="40">
        <v>15</v>
      </c>
      <c r="B19" s="75"/>
      <c r="C19" s="75"/>
      <c r="D19" s="75"/>
      <c r="E19" s="75"/>
      <c r="F19" s="40">
        <v>350</v>
      </c>
      <c r="G19" s="40">
        <v>210</v>
      </c>
      <c r="H19" s="75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</row>
    <row r="20" customHeight="1" spans="1:25">
      <c r="A20" s="40">
        <v>16</v>
      </c>
      <c r="B20" s="75"/>
      <c r="C20" s="75"/>
      <c r="D20" s="75"/>
      <c r="E20" s="75"/>
      <c r="F20" s="40">
        <v>350</v>
      </c>
      <c r="G20" s="40">
        <v>210</v>
      </c>
      <c r="H20" s="75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 customHeight="1" spans="1:25">
      <c r="A21" s="40">
        <v>17</v>
      </c>
      <c r="B21" s="75"/>
      <c r="C21" s="75"/>
      <c r="D21" s="75"/>
      <c r="E21" s="79"/>
      <c r="F21" s="40">
        <v>350</v>
      </c>
      <c r="G21" s="40">
        <v>210</v>
      </c>
      <c r="H21" s="75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</row>
    <row r="22" customHeight="1" spans="1:25">
      <c r="A22" s="40">
        <v>18</v>
      </c>
      <c r="B22" s="75"/>
      <c r="C22" s="75"/>
      <c r="D22" s="75"/>
      <c r="E22" s="75"/>
      <c r="F22" s="40">
        <v>350</v>
      </c>
      <c r="G22" s="40">
        <v>210</v>
      </c>
      <c r="H22" s="75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</row>
    <row r="23" customHeight="1" spans="1:25">
      <c r="A23" s="40">
        <v>19</v>
      </c>
      <c r="B23" s="75"/>
      <c r="C23" s="75"/>
      <c r="D23" s="75"/>
      <c r="E23" s="75"/>
      <c r="F23" s="40">
        <v>350</v>
      </c>
      <c r="G23" s="40">
        <v>210</v>
      </c>
      <c r="H23" s="75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</row>
    <row r="24" customHeight="1" spans="1:25">
      <c r="A24" s="40">
        <v>20</v>
      </c>
      <c r="B24" s="75"/>
      <c r="C24" s="75"/>
      <c r="D24" s="75"/>
      <c r="E24" s="75"/>
      <c r="F24" s="40">
        <v>350</v>
      </c>
      <c r="G24" s="40">
        <v>210</v>
      </c>
      <c r="H24" s="75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</row>
    <row r="25" customHeight="1" spans="1:25">
      <c r="A25" s="40">
        <v>21</v>
      </c>
      <c r="B25" s="75"/>
      <c r="C25" s="75"/>
      <c r="D25" s="75"/>
      <c r="E25" s="75"/>
      <c r="F25" s="40">
        <v>350</v>
      </c>
      <c r="G25" s="40">
        <v>210</v>
      </c>
      <c r="H25" s="75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</row>
    <row r="26" customHeight="1" spans="1:25">
      <c r="A26" s="40">
        <v>22</v>
      </c>
      <c r="B26" s="75"/>
      <c r="C26" s="75"/>
      <c r="D26" s="75"/>
      <c r="E26" s="75"/>
      <c r="F26" s="40">
        <v>350</v>
      </c>
      <c r="G26" s="40">
        <v>210</v>
      </c>
      <c r="H26" s="75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</row>
    <row r="27" customHeight="1" spans="1:25">
      <c r="A27" s="40">
        <v>23</v>
      </c>
      <c r="B27" s="75"/>
      <c r="C27" s="75"/>
      <c r="D27" s="75"/>
      <c r="E27" s="75"/>
      <c r="F27" s="40">
        <v>350</v>
      </c>
      <c r="G27" s="40">
        <v>210</v>
      </c>
      <c r="H27" s="75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</row>
    <row r="28" customHeight="1" spans="1:25">
      <c r="A28" s="40">
        <v>24</v>
      </c>
      <c r="B28" s="75"/>
      <c r="C28" s="75"/>
      <c r="D28" s="75"/>
      <c r="E28" s="75"/>
      <c r="F28" s="40">
        <v>350</v>
      </c>
      <c r="G28" s="40">
        <v>210</v>
      </c>
      <c r="H28" s="75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 customHeight="1" spans="1:25">
      <c r="A29" s="40">
        <v>31</v>
      </c>
      <c r="B29" s="75"/>
      <c r="C29" s="75"/>
      <c r="D29" s="75"/>
      <c r="E29" s="75"/>
      <c r="F29" s="40">
        <v>350</v>
      </c>
      <c r="G29" s="40">
        <v>210</v>
      </c>
      <c r="H29" s="75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 customHeight="1" spans="1:25">
      <c r="A30" s="40">
        <v>32</v>
      </c>
      <c r="B30" s="75"/>
      <c r="C30" s="75"/>
      <c r="D30" s="75"/>
      <c r="E30" s="75"/>
      <c r="F30" s="40">
        <v>350</v>
      </c>
      <c r="G30" s="40">
        <v>210</v>
      </c>
      <c r="H30" s="75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</row>
    <row r="31" customHeight="1" spans="1:25">
      <c r="A31" s="40">
        <v>33</v>
      </c>
      <c r="B31" s="75"/>
      <c r="C31" s="75"/>
      <c r="D31" s="75"/>
      <c r="E31" s="75"/>
      <c r="F31" s="40">
        <v>350</v>
      </c>
      <c r="G31" s="40">
        <v>210</v>
      </c>
      <c r="H31" s="75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</row>
    <row r="32" customHeight="1" spans="1:25">
      <c r="A32" s="40">
        <v>34</v>
      </c>
      <c r="B32" s="75"/>
      <c r="C32" s="75"/>
      <c r="D32" s="75"/>
      <c r="E32" s="75"/>
      <c r="F32" s="40">
        <v>350</v>
      </c>
      <c r="G32" s="40">
        <v>210</v>
      </c>
      <c r="H32" s="75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</row>
    <row r="33" customHeight="1" spans="1:25">
      <c r="A33" s="40">
        <v>35</v>
      </c>
      <c r="B33" s="75"/>
      <c r="C33" s="75"/>
      <c r="D33" s="75"/>
      <c r="E33" s="75"/>
      <c r="F33" s="40">
        <v>350</v>
      </c>
      <c r="G33" s="40">
        <v>210</v>
      </c>
      <c r="H33" s="75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</row>
    <row r="34" customHeight="1" spans="1:25">
      <c r="A34" s="40">
        <v>36</v>
      </c>
      <c r="B34" s="75"/>
      <c r="C34" s="75"/>
      <c r="D34" s="75"/>
      <c r="E34" s="75"/>
      <c r="F34" s="40">
        <v>350</v>
      </c>
      <c r="G34" s="40">
        <v>210</v>
      </c>
      <c r="H34" s="75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</row>
    <row r="35" customHeight="1" spans="1:25">
      <c r="A35" s="40">
        <v>37</v>
      </c>
      <c r="B35" s="75"/>
      <c r="C35" s="75"/>
      <c r="D35" s="75"/>
      <c r="E35" s="75"/>
      <c r="F35" s="40">
        <v>350</v>
      </c>
      <c r="G35" s="40">
        <v>210</v>
      </c>
      <c r="H35" s="75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</row>
    <row r="36" customHeight="1" spans="1:25">
      <c r="A36" s="40">
        <v>38</v>
      </c>
      <c r="B36" s="75"/>
      <c r="C36" s="75"/>
      <c r="D36" s="75"/>
      <c r="E36" s="75"/>
      <c r="F36" s="40">
        <v>350</v>
      </c>
      <c r="G36" s="40">
        <v>210</v>
      </c>
      <c r="H36" s="75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</row>
    <row r="37" customHeight="1" spans="1:25">
      <c r="A37" s="40">
        <v>39</v>
      </c>
      <c r="B37" s="75"/>
      <c r="C37" s="75"/>
      <c r="D37" s="75"/>
      <c r="E37" s="75"/>
      <c r="F37" s="40">
        <v>350</v>
      </c>
      <c r="G37" s="40">
        <v>210</v>
      </c>
      <c r="H37" s="75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</row>
    <row r="38" customHeight="1" spans="1:25">
      <c r="A38" s="40">
        <v>40</v>
      </c>
      <c r="B38" s="75"/>
      <c r="C38" s="75"/>
      <c r="D38" s="75"/>
      <c r="E38" s="75"/>
      <c r="F38" s="40">
        <v>350</v>
      </c>
      <c r="G38" s="40">
        <v>210</v>
      </c>
      <c r="H38" s="75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</row>
    <row r="39" customHeight="1" spans="1:25">
      <c r="A39" s="40">
        <v>41</v>
      </c>
      <c r="B39" s="75"/>
      <c r="C39" s="75"/>
      <c r="D39" s="75"/>
      <c r="E39" s="75"/>
      <c r="F39" s="40">
        <v>350</v>
      </c>
      <c r="G39" s="40">
        <v>210</v>
      </c>
      <c r="H39" s="75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</row>
    <row r="40" customHeight="1" spans="1:25">
      <c r="A40" s="40">
        <v>42</v>
      </c>
      <c r="B40" s="75"/>
      <c r="C40" s="75"/>
      <c r="D40" s="75"/>
      <c r="E40" s="75"/>
      <c r="F40" s="40">
        <v>350</v>
      </c>
      <c r="G40" s="40">
        <v>210</v>
      </c>
      <c r="H40" s="75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</row>
    <row r="41" customHeight="1" spans="1:25">
      <c r="A41" s="40">
        <v>43</v>
      </c>
      <c r="B41" s="75"/>
      <c r="C41" s="75"/>
      <c r="D41" s="75"/>
      <c r="E41" s="75"/>
      <c r="F41" s="40">
        <v>350</v>
      </c>
      <c r="G41" s="40">
        <v>210</v>
      </c>
      <c r="H41" s="75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</row>
    <row r="42" customHeight="1" spans="1:25">
      <c r="A42" s="40">
        <v>44</v>
      </c>
      <c r="B42" s="75"/>
      <c r="C42" s="75"/>
      <c r="D42" s="75"/>
      <c r="E42" s="75"/>
      <c r="F42" s="40">
        <v>350</v>
      </c>
      <c r="G42" s="40">
        <v>210</v>
      </c>
      <c r="H42" s="75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</row>
    <row r="43" customHeight="1" spans="1:25">
      <c r="A43" s="40">
        <v>45</v>
      </c>
      <c r="B43" s="75"/>
      <c r="C43" s="75"/>
      <c r="D43" s="75"/>
      <c r="E43" s="75"/>
      <c r="F43" s="40">
        <v>350</v>
      </c>
      <c r="G43" s="40">
        <v>210</v>
      </c>
      <c r="H43" s="75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</row>
    <row r="44" customHeight="1" spans="1:25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</row>
    <row r="45" customHeight="1" spans="1:2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</row>
    <row r="46" customHeight="1" spans="1:25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</row>
    <row r="47" customHeight="1" spans="1:25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</row>
    <row r="48" customHeight="1" spans="1:2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</row>
    <row r="49" customHeight="1" spans="1:2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</row>
    <row r="50" customHeight="1" spans="1:25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</row>
    <row r="51" customHeight="1" spans="1:2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</row>
    <row r="52" customHeight="1" spans="1:25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</row>
    <row r="53" customHeight="1" spans="1:25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</row>
    <row r="54" customHeight="1" spans="1:25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</row>
    <row r="55" customHeight="1" spans="1:2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</row>
    <row r="56" customHeight="1" spans="1:25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</row>
    <row r="57" customHeight="1" spans="1:25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</row>
    <row r="58" customHeight="1" spans="1:25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</row>
    <row r="59" customHeight="1" spans="1:25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</row>
    <row r="60" customHeight="1" spans="1:25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</row>
    <row r="61" customHeight="1" spans="1:25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</row>
    <row r="62" customHeight="1" spans="1:25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</row>
    <row r="63" customHeight="1" spans="1:25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</row>
    <row r="64" customHeight="1" spans="1:25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</row>
    <row r="65" customHeight="1" spans="1:2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</row>
    <row r="66" customHeight="1" spans="1:25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</row>
    <row r="67" customHeight="1" spans="1:25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</row>
    <row r="68" customHeight="1" spans="1:2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</row>
    <row r="69" customHeight="1" spans="1:25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</row>
    <row r="70" customHeight="1" spans="1:25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</row>
    <row r="71" customHeight="1" spans="1:25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</row>
    <row r="72" customHeight="1" spans="1:25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</row>
    <row r="73" customHeight="1" spans="1:25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</row>
    <row r="74" customHeight="1" spans="1:25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</row>
    <row r="75" customHeight="1" spans="1:2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</row>
    <row r="76" customHeight="1" spans="1:25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</row>
    <row r="77" customHeight="1" spans="1:25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</row>
    <row r="78" customHeight="1" spans="1:25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</row>
    <row r="79" customHeight="1" spans="1:25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</row>
    <row r="80" customHeight="1" spans="1:25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</row>
    <row r="81" customHeight="1" spans="1:2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</row>
    <row r="82" customHeight="1" spans="1:25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</row>
    <row r="83" customHeight="1" spans="1:25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</row>
    <row r="84" customHeight="1" spans="1:25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</row>
    <row r="85" customHeight="1" spans="1:2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</row>
    <row r="86" customHeight="1" spans="1:25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</row>
    <row r="87" customHeight="1" spans="1:25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</row>
    <row r="88" customHeight="1" spans="1:25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</row>
    <row r="89" customHeight="1" spans="1:25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</row>
    <row r="90" customHeight="1" spans="1:25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</row>
    <row r="91" customHeight="1" spans="1:25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</row>
    <row r="92" customHeight="1" spans="1:25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</row>
    <row r="93" customHeight="1" spans="1:25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</row>
    <row r="94" customHeight="1" spans="1:25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</row>
    <row r="95" customHeight="1" spans="1:2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</row>
    <row r="96" customHeight="1" spans="1:25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</row>
    <row r="97" customHeight="1" spans="1:25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</row>
    <row r="98" customHeight="1" spans="1:25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</row>
    <row r="99" customHeight="1" spans="1:25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</row>
    <row r="100" customHeight="1" spans="1:2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</row>
    <row r="101" customHeight="1" spans="1:25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</row>
    <row r="102" customHeight="1" spans="1:25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</row>
    <row r="103" customHeight="1" spans="1:2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</row>
    <row r="104" customHeight="1" spans="1:2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</row>
    <row r="105" customHeight="1" spans="1:2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</row>
    <row r="106" customHeight="1" spans="1:2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</row>
    <row r="107" customHeight="1" spans="1:2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</row>
    <row r="108" customHeight="1" spans="1:2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</row>
    <row r="109" customHeight="1" spans="1:2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</row>
    <row r="110" customHeight="1" spans="1:2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</row>
    <row r="111" customHeight="1" spans="1:2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</row>
    <row r="112" customHeight="1" spans="1:2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</row>
    <row r="113" customHeight="1" spans="1:2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</row>
    <row r="114" customHeight="1" spans="1:2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</row>
    <row r="115" customHeight="1" spans="1:2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</row>
    <row r="116" customHeight="1" spans="1:2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</row>
    <row r="117" customHeight="1" spans="1:2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</row>
    <row r="118" customHeight="1" spans="1:2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</row>
    <row r="119" customHeight="1" spans="1:2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</row>
    <row r="120" customHeight="1" spans="1:2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</row>
    <row r="121" customHeight="1" spans="1:2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</row>
    <row r="122" customHeight="1" spans="1:2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</row>
    <row r="123" customHeight="1" spans="1:2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</row>
    <row r="124" customHeight="1" spans="1:2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</row>
    <row r="125" customHeight="1" spans="1: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</row>
    <row r="126" customHeight="1" spans="1:2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</row>
    <row r="127" customHeight="1" spans="1:2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</row>
    <row r="128" customHeight="1" spans="1:2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</row>
    <row r="129" customHeight="1" spans="1:2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</row>
    <row r="130" customHeight="1" spans="1:2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</row>
    <row r="131" customHeight="1" spans="1:2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</row>
    <row r="132" customHeight="1" spans="1:2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</row>
    <row r="133" customHeight="1" spans="1:2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</row>
    <row r="134" customHeight="1" spans="1:2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</row>
    <row r="135" customHeight="1" spans="1:2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</row>
    <row r="136" customHeight="1" spans="1:2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</row>
    <row r="137" customHeight="1" spans="1:2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</row>
    <row r="138" customHeight="1" spans="1:2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</row>
    <row r="139" customHeight="1" spans="1:2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</row>
    <row r="140" customHeight="1" spans="1:2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</row>
    <row r="141" customHeight="1" spans="1:2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</row>
    <row r="142" customHeight="1" spans="1:2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</row>
    <row r="143" customHeight="1" spans="1:2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</row>
    <row r="144" customHeight="1" spans="1:2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</row>
    <row r="145" customHeight="1" spans="1:2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</row>
    <row r="146" customHeight="1" spans="1:2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</row>
    <row r="147" customHeight="1" spans="1:2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</row>
    <row r="148" customHeight="1" spans="1:2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</row>
    <row r="149" customHeight="1" spans="1:2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</row>
    <row r="150" customHeight="1" spans="1:2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</row>
    <row r="151" customHeight="1" spans="1:2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</row>
    <row r="152" customHeight="1" spans="1:2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</row>
    <row r="153" customHeight="1" spans="1:2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</row>
    <row r="154" customHeight="1" spans="1:2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</row>
    <row r="155" customHeight="1" spans="1:2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</row>
    <row r="156" customHeight="1" spans="1:2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</row>
    <row r="157" customHeight="1" spans="1:2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</row>
    <row r="158" customHeight="1" spans="1:2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</row>
    <row r="159" customHeight="1" spans="1:2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</row>
    <row r="160" customHeight="1" spans="1:2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</row>
    <row r="161" customHeight="1" spans="1:2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</row>
    <row r="162" customHeight="1" spans="1:2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</row>
    <row r="163" customHeight="1" spans="1:2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</row>
    <row r="164" customHeight="1" spans="1:2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</row>
    <row r="165" customHeight="1" spans="1:2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</row>
    <row r="166" customHeight="1" spans="1:2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</row>
    <row r="167" customHeight="1" spans="1:2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</row>
    <row r="168" customHeight="1" spans="1:2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</row>
    <row r="169" customHeight="1" spans="1:2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</row>
    <row r="170" customHeight="1" spans="1:2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</row>
    <row r="171" customHeight="1" spans="1:2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</row>
    <row r="172" customHeight="1" spans="1:2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</row>
    <row r="173" customHeight="1" spans="1:2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</row>
    <row r="174" customHeight="1" spans="1:2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</row>
    <row r="175" customHeight="1" spans="1:2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</row>
    <row r="176" customHeight="1" spans="1:2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</row>
    <row r="177" customHeight="1" spans="1:2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</row>
    <row r="178" customHeight="1" spans="1:2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</row>
    <row r="179" customHeight="1" spans="1:2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</row>
    <row r="180" customHeight="1" spans="1:2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</row>
    <row r="181" customHeight="1" spans="1:2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</row>
    <row r="182" customHeight="1" spans="1:2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</row>
    <row r="183" customHeight="1" spans="1:2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</row>
    <row r="184" customHeight="1" spans="1:2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</row>
    <row r="185" customHeight="1" spans="1:2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</row>
    <row r="186" customHeight="1" spans="1:2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</row>
    <row r="187" customHeight="1" spans="1:2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</row>
    <row r="188" customHeight="1" spans="1:2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</row>
    <row r="189" customHeight="1" spans="1:2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opLeftCell="D1" workbookViewId="0">
      <selection activeCell="K4" sqref="K4"/>
    </sheetView>
  </sheetViews>
  <sheetFormatPr defaultColWidth="9.14285714285714" defaultRowHeight="12" outlineLevelRow="4"/>
  <cols>
    <col min="2" max="2" width="11.7142857142857" customWidth="1"/>
    <col min="4" max="4" width="45.2857142857143" customWidth="1"/>
    <col min="5" max="5" width="12.8571428571429" customWidth="1"/>
    <col min="6" max="6" width="49.4285714285714" customWidth="1"/>
    <col min="8" max="8" width="14.8571428571429" customWidth="1"/>
    <col min="9" max="9" width="26.7142857142857" customWidth="1"/>
    <col min="10" max="10" width="19.8571428571429" customWidth="1"/>
    <col min="11" max="11" width="10.1428571428571" customWidth="1"/>
  </cols>
  <sheetData>
    <row r="1" ht="16.5" customHeight="1" spans="1:11">
      <c r="A1" s="63" t="s">
        <v>24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ht="16.5" customHeight="1" spans="1:11">
      <c r="A2" s="63" t="s">
        <v>25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ht="15.75" spans="1:11">
      <c r="A3" s="63" t="s">
        <v>2</v>
      </c>
      <c r="B3" s="63" t="s">
        <v>26</v>
      </c>
      <c r="C3" s="63" t="s">
        <v>27</v>
      </c>
      <c r="D3" s="63" t="s">
        <v>28</v>
      </c>
      <c r="E3" s="63" t="s">
        <v>29</v>
      </c>
      <c r="F3" s="63" t="s">
        <v>30</v>
      </c>
      <c r="G3" s="63" t="s">
        <v>31</v>
      </c>
      <c r="H3" s="63" t="s">
        <v>32</v>
      </c>
      <c r="I3" s="63" t="s">
        <v>33</v>
      </c>
      <c r="J3" s="63" t="s">
        <v>34</v>
      </c>
      <c r="K3" s="63" t="s">
        <v>35</v>
      </c>
    </row>
    <row r="4" s="62" customFormat="1" ht="15.75" spans="1:11">
      <c r="A4" s="64">
        <v>1</v>
      </c>
      <c r="B4" s="64">
        <v>1.53020260306062e+22</v>
      </c>
      <c r="C4" s="65" t="s">
        <v>36</v>
      </c>
      <c r="D4" s="65" t="s">
        <v>37</v>
      </c>
      <c r="E4" s="64">
        <v>18826616631</v>
      </c>
      <c r="F4" s="64" t="s">
        <v>38</v>
      </c>
      <c r="G4" s="64">
        <v>350</v>
      </c>
      <c r="H4" s="66">
        <v>46087.2696527778</v>
      </c>
      <c r="I4" s="64" t="s">
        <v>39</v>
      </c>
      <c r="J4" s="65" t="s">
        <v>40</v>
      </c>
      <c r="K4" s="65" t="s">
        <v>41</v>
      </c>
    </row>
    <row r="5" ht="15.75" spans="1:11">
      <c r="A5" s="63">
        <v>2</v>
      </c>
      <c r="B5" s="63">
        <v>1.53020260305214e+22</v>
      </c>
      <c r="C5" s="63" t="s">
        <v>42</v>
      </c>
      <c r="D5" s="63" t="s">
        <v>43</v>
      </c>
      <c r="E5" s="63">
        <v>13726993915</v>
      </c>
      <c r="F5" s="63" t="s">
        <v>44</v>
      </c>
      <c r="G5" s="63">
        <v>350</v>
      </c>
      <c r="H5" s="67">
        <v>46086.9054398148</v>
      </c>
      <c r="I5" s="63" t="s">
        <v>45</v>
      </c>
      <c r="J5" s="63" t="s">
        <v>46</v>
      </c>
      <c r="K5" s="63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H22" sqref="H22"/>
    </sheetView>
  </sheetViews>
  <sheetFormatPr defaultColWidth="10.2857142857143" defaultRowHeight="13.5"/>
  <cols>
    <col min="1" max="1" width="3.88571428571429" style="54" customWidth="1"/>
    <col min="2" max="2" width="13.7142857142857" style="54" customWidth="1"/>
    <col min="3" max="3" width="4.42857142857143" style="52" customWidth="1"/>
    <col min="4" max="6" width="4" style="52" customWidth="1"/>
    <col min="7" max="7" width="3.87619047619048" style="52" customWidth="1"/>
    <col min="8" max="12" width="4.28571428571429" style="52" customWidth="1"/>
    <col min="13" max="13" width="4.00952380952381" style="52" customWidth="1"/>
    <col min="14" max="14" width="4.28571428571429" style="52" customWidth="1"/>
    <col min="15" max="15" width="4.00952380952381" style="52" customWidth="1"/>
    <col min="16" max="16" width="3.87619047619048" style="52" customWidth="1"/>
    <col min="17" max="17" width="4.28571428571429" style="52" customWidth="1"/>
    <col min="18" max="19" width="4.14285714285714" style="52" customWidth="1"/>
    <col min="20" max="20" width="4.57142857142857" style="52" customWidth="1"/>
    <col min="21" max="25" width="4.14285714285714" style="52" customWidth="1"/>
    <col min="26" max="27" width="4.57142857142857" style="52" customWidth="1"/>
    <col min="28" max="28" width="4.16190476190476" style="52" customWidth="1"/>
    <col min="29" max="30" width="4.28571428571429" style="52" customWidth="1"/>
    <col min="31" max="31" width="4.00952380952381" style="52" customWidth="1"/>
    <col min="32" max="32" width="3.85714285714286" style="52" customWidth="1"/>
    <col min="33" max="34" width="4.28571428571429" style="52" customWidth="1"/>
    <col min="35" max="36" width="4.57142857142857" style="52" customWidth="1"/>
    <col min="37" max="37" width="4.28571428571429" style="52" customWidth="1"/>
    <col min="38" max="38" width="3.85714285714286" style="52" customWidth="1"/>
    <col min="39" max="16384" width="10.2857142857143" style="52"/>
  </cols>
  <sheetData>
    <row r="1" s="52" customFormat="1" ht="26" customHeight="1" spans="1:38">
      <c r="A1" s="50" t="s">
        <v>47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="52" customFormat="1" ht="26" customHeight="1" spans="1:38">
      <c r="A2" s="55" t="s">
        <v>48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</row>
    <row r="3" s="53" customFormat="1" ht="40" customHeight="1" spans="1:38">
      <c r="A3" s="56" t="s">
        <v>2</v>
      </c>
      <c r="B3" s="56" t="s">
        <v>49</v>
      </c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/>
      <c r="AH3" s="51"/>
      <c r="AI3" s="51"/>
      <c r="AJ3" s="51"/>
      <c r="AK3" s="51"/>
      <c r="AL3" s="51"/>
    </row>
    <row r="4" s="52" customFormat="1" ht="25" customHeight="1" spans="1:38">
      <c r="A4" s="57">
        <v>1</v>
      </c>
      <c r="B4" s="58"/>
      <c r="C4" s="57"/>
      <c r="D4" s="57"/>
      <c r="E4" s="57"/>
      <c r="F4" s="57"/>
      <c r="G4" s="57"/>
      <c r="H4" s="57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s="52" customFormat="1" ht="25" customHeight="1" spans="1:38">
      <c r="A5" s="57">
        <v>2</v>
      </c>
      <c r="B5" s="58"/>
      <c r="C5" s="57"/>
      <c r="D5" s="57"/>
      <c r="E5" s="57"/>
      <c r="F5" s="57"/>
      <c r="G5" s="57"/>
      <c r="H5" s="57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</row>
    <row r="6" s="52" customFormat="1" ht="25" customHeight="1" spans="1:38">
      <c r="A6" s="57">
        <v>3</v>
      </c>
      <c r="B6" s="58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</row>
    <row r="7" s="52" customFormat="1" ht="25" customHeight="1" spans="1:38">
      <c r="A7" s="57">
        <v>13</v>
      </c>
      <c r="B7" s="5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</row>
    <row r="8" s="52" customFormat="1" ht="25" customHeight="1" spans="1:38">
      <c r="A8" s="57">
        <v>14</v>
      </c>
      <c r="B8" s="5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</row>
    <row r="9" s="52" customFormat="1" ht="25" customHeight="1" spans="1:38">
      <c r="A9" s="57">
        <v>15</v>
      </c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</row>
    <row r="10" s="52" customFormat="1" ht="25" customHeight="1" spans="1:38">
      <c r="A10" s="57">
        <v>16</v>
      </c>
      <c r="B10" s="5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</row>
    <row r="11" s="52" customFormat="1" ht="25" customHeight="1" spans="1:38">
      <c r="A11" s="57">
        <v>17</v>
      </c>
      <c r="B11" s="60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</row>
    <row r="12" s="52" customFormat="1" ht="25" customHeight="1" spans="1:38">
      <c r="A12" s="57">
        <v>18</v>
      </c>
      <c r="B12" s="60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</row>
    <row r="13" s="52" customFormat="1" ht="15" customHeight="1" spans="1:38">
      <c r="A13" s="61"/>
      <c r="B13" s="61"/>
    </row>
    <row r="14" s="52" customFormat="1" ht="15" customHeight="1" spans="1:38">
      <c r="A14" s="61"/>
      <c r="B14" s="61"/>
    </row>
    <row r="15" s="52" customFormat="1" ht="15" customHeight="1" spans="1:38">
      <c r="A15" s="61"/>
      <c r="B15" s="61"/>
    </row>
    <row r="16" s="52" customFormat="1" ht="15" customHeight="1" spans="1:38">
      <c r="A16" s="61"/>
      <c r="B16" s="61"/>
    </row>
    <row r="17" s="52" customFormat="1" ht="15" customHeight="1" spans="1:2">
      <c r="A17" s="61"/>
      <c r="B17" s="61"/>
    </row>
    <row r="18" s="52" customFormat="1" ht="15" customHeight="1" spans="1:2">
      <c r="A18" s="61"/>
      <c r="B18" s="61"/>
    </row>
    <row r="19" s="52" customFormat="1" ht="15" customHeight="1" spans="1:2">
      <c r="A19" s="61"/>
      <c r="B19" s="61"/>
    </row>
    <row r="20" s="52" customFormat="1" ht="15" customHeight="1" spans="1:2">
      <c r="A20" s="61"/>
      <c r="B20" s="61"/>
    </row>
    <row r="21" s="52" customFormat="1" ht="15" customHeight="1" spans="1:2">
      <c r="A21" s="61"/>
      <c r="B21" s="61"/>
    </row>
    <row r="22" s="52" customFormat="1" ht="15" customHeight="1" spans="1:2">
      <c r="A22" s="61"/>
      <c r="B22" s="61"/>
    </row>
    <row r="23" s="52" customFormat="1" ht="15" customHeight="1" spans="1:2">
      <c r="A23" s="61"/>
      <c r="B23" s="61"/>
    </row>
    <row r="24" s="52" customFormat="1" ht="15" customHeight="1" spans="1:2">
      <c r="A24" s="61"/>
      <c r="B24" s="61"/>
    </row>
    <row r="25" s="52" customFormat="1" ht="15" customHeight="1" spans="1:2">
      <c r="A25" s="61"/>
      <c r="B25" s="61"/>
    </row>
    <row r="26" s="52" customFormat="1" ht="15" customHeight="1" spans="1:2">
      <c r="A26" s="61"/>
      <c r="B26" s="61"/>
    </row>
    <row r="27" s="52" customFormat="1" ht="15" customHeight="1" spans="1:2">
      <c r="A27" s="61"/>
      <c r="B27" s="61"/>
    </row>
    <row r="28" s="52" customFormat="1" ht="15" customHeight="1" spans="1:2">
      <c r="A28" s="61"/>
      <c r="B28" s="61"/>
    </row>
    <row r="29" s="52" customFormat="1" ht="15" customHeight="1" spans="1:2">
      <c r="A29" s="61"/>
      <c r="B29" s="61"/>
    </row>
    <row r="30" s="52" customFormat="1" ht="15" customHeight="1" spans="1:2">
      <c r="A30" s="61"/>
      <c r="B30" s="61"/>
    </row>
    <row r="31" s="52" customFormat="1" ht="15" customHeight="1" spans="1:2">
      <c r="A31" s="61"/>
      <c r="B31" s="61"/>
    </row>
    <row r="32" s="52" customFormat="1" ht="15" customHeight="1" spans="1:2">
      <c r="A32" s="61"/>
      <c r="B32" s="61"/>
    </row>
    <row r="33" s="52" customFormat="1" ht="15" customHeight="1" spans="1:2">
      <c r="A33" s="61"/>
      <c r="B33" s="61"/>
    </row>
    <row r="34" s="52" customFormat="1" ht="15" customHeight="1" spans="1:2">
      <c r="A34" s="61"/>
      <c r="B34" s="61"/>
    </row>
    <row r="35" s="52" customFormat="1" ht="15" customHeight="1" spans="1:2">
      <c r="A35" s="61"/>
      <c r="B35" s="61"/>
    </row>
    <row r="36" s="52" customFormat="1" ht="15" customHeight="1" spans="1:2">
      <c r="A36" s="61"/>
      <c r="B36" s="61"/>
    </row>
    <row r="37" s="52" customFormat="1" ht="15" customHeight="1" spans="1:2">
      <c r="A37" s="61"/>
      <c r="B37" s="61"/>
    </row>
    <row r="38" s="52" customFormat="1" ht="15" customHeight="1" spans="1:2">
      <c r="A38" s="61"/>
      <c r="B38" s="61"/>
    </row>
    <row r="39" s="52" customFormat="1" ht="15" customHeight="1" spans="1:2">
      <c r="A39" s="61"/>
      <c r="B39" s="61"/>
    </row>
    <row r="40" s="52" customFormat="1" ht="15" customHeight="1" spans="1:2">
      <c r="A40" s="61"/>
      <c r="B40" s="61"/>
    </row>
    <row r="41" s="52" customFormat="1" ht="15" customHeight="1" spans="1:2">
      <c r="A41" s="61"/>
      <c r="B41" s="61"/>
    </row>
    <row r="42" s="52" customFormat="1" ht="15" customHeight="1" spans="1:2">
      <c r="A42" s="61"/>
      <c r="B42" s="61"/>
    </row>
    <row r="43" s="52" customFormat="1" ht="15" customHeight="1" spans="1:2">
      <c r="A43" s="61"/>
      <c r="B43" s="61"/>
    </row>
    <row r="44" s="52" customFormat="1" ht="15" customHeight="1" spans="1:2">
      <c r="A44" s="61"/>
      <c r="B44" s="61"/>
    </row>
    <row r="45" s="52" customFormat="1" ht="15" customHeight="1" spans="1:2">
      <c r="A45" s="61"/>
      <c r="B45" s="61"/>
    </row>
    <row r="46" s="52" customFormat="1" ht="15" customHeight="1" spans="1:2">
      <c r="A46" s="61"/>
      <c r="B46" s="61"/>
    </row>
    <row r="47" s="52" customFormat="1" ht="15" customHeight="1" spans="1:2">
      <c r="A47" s="61"/>
      <c r="B47" s="61"/>
    </row>
    <row r="48" s="52" customFormat="1" ht="15" customHeight="1" spans="1:2">
      <c r="A48" s="61"/>
      <c r="B48" s="61"/>
    </row>
    <row r="49" s="52" customFormat="1" ht="15" customHeight="1" spans="1:2">
      <c r="A49" s="61"/>
      <c r="B49" s="61"/>
    </row>
    <row r="50" s="52" customFormat="1" ht="15" customHeight="1" spans="1:2">
      <c r="A50" s="61"/>
      <c r="B50" s="61"/>
    </row>
    <row r="51" s="52" customFormat="1" ht="15" customHeight="1" spans="1:2">
      <c r="A51" s="61"/>
      <c r="B51" s="61"/>
    </row>
    <row r="52" s="52" customFormat="1" ht="15" customHeight="1" spans="1:2">
      <c r="A52" s="61"/>
      <c r="B52" s="61"/>
    </row>
    <row r="53" s="52" customFormat="1" ht="15" customHeight="1" spans="1:2">
      <c r="A53" s="61"/>
      <c r="B53" s="61"/>
    </row>
    <row r="54" s="52" customFormat="1" ht="15" customHeight="1" spans="1:2">
      <c r="A54" s="61"/>
      <c r="B54" s="61"/>
    </row>
    <row r="55" s="52" customFormat="1" ht="15" customHeight="1" spans="1:2">
      <c r="A55" s="61"/>
      <c r="B55" s="61"/>
    </row>
    <row r="56" s="52" customFormat="1" ht="15" customHeight="1" spans="1:2">
      <c r="A56" s="61"/>
      <c r="B56" s="61"/>
    </row>
    <row r="57" s="52" customFormat="1" ht="15" customHeight="1" spans="1:2">
      <c r="A57" s="61"/>
      <c r="B57" s="61"/>
    </row>
    <row r="58" s="52" customFormat="1" ht="15" customHeight="1" spans="1:2">
      <c r="A58" s="61"/>
      <c r="B58" s="61"/>
    </row>
    <row r="59" s="52" customFormat="1" ht="15" customHeight="1" spans="1:2">
      <c r="A59" s="61"/>
      <c r="B59" s="61"/>
    </row>
    <row r="60" s="52" customFormat="1" ht="15" customHeight="1" spans="1:2">
      <c r="A60" s="61"/>
      <c r="B60" s="61"/>
    </row>
    <row r="61" s="52" customFormat="1" ht="15" customHeight="1" spans="1:2">
      <c r="A61" s="61"/>
      <c r="B61" s="61"/>
    </row>
    <row r="62" s="52" customFormat="1" ht="15" customHeight="1" spans="1:2">
      <c r="A62" s="61"/>
      <c r="B62" s="61"/>
    </row>
    <row r="63" s="52" customFormat="1" ht="15" customHeight="1" spans="1:2">
      <c r="A63" s="61"/>
      <c r="B63" s="61"/>
    </row>
    <row r="64" s="52" customFormat="1" ht="15" customHeight="1" spans="1:2">
      <c r="A64" s="61"/>
      <c r="B64" s="61"/>
    </row>
    <row r="65" s="52" customFormat="1" ht="15" customHeight="1" spans="1:2">
      <c r="A65" s="61"/>
      <c r="B65" s="61"/>
    </row>
    <row r="66" s="52" customFormat="1" ht="15" customHeight="1" spans="1:2">
      <c r="A66" s="61"/>
      <c r="B66" s="61"/>
    </row>
    <row r="67" s="52" customFormat="1" ht="15" customHeight="1" spans="1:2">
      <c r="A67" s="61"/>
      <c r="B67" s="61"/>
    </row>
    <row r="68" s="52" customFormat="1" ht="15" customHeight="1" spans="1:2">
      <c r="A68" s="61"/>
      <c r="B68" s="61"/>
    </row>
    <row r="69" s="52" customFormat="1" ht="15" customHeight="1" spans="1:2">
      <c r="A69" s="61"/>
      <c r="B69" s="61"/>
    </row>
    <row r="70" s="52" customFormat="1" ht="15" customHeight="1" spans="1:2">
      <c r="A70" s="61"/>
      <c r="B70" s="61"/>
    </row>
    <row r="71" s="52" customFormat="1" spans="1:2">
      <c r="A71" s="54"/>
      <c r="B71" s="54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7" sqref="C7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6">
      <c r="A1" s="50" t="s">
        <v>50</v>
      </c>
      <c r="B1" s="50"/>
      <c r="C1" s="50"/>
      <c r="D1" s="50"/>
      <c r="E1" s="50"/>
      <c r="F1" s="50"/>
    </row>
    <row r="2" s="1" customFormat="1" ht="39" customHeight="1" spans="1:6">
      <c r="A2" s="7" t="s">
        <v>2</v>
      </c>
      <c r="B2" s="7" t="s">
        <v>51</v>
      </c>
      <c r="C2" s="7" t="s">
        <v>3</v>
      </c>
      <c r="D2" s="51" t="s">
        <v>52</v>
      </c>
      <c r="E2" s="7" t="s">
        <v>53</v>
      </c>
      <c r="F2" s="7" t="s">
        <v>7</v>
      </c>
    </row>
    <row r="3" ht="26" customHeight="1" spans="1:6">
      <c r="A3" s="14">
        <v>1</v>
      </c>
      <c r="B3" s="9">
        <v>46093</v>
      </c>
      <c r="C3" s="9" t="s">
        <v>13</v>
      </c>
      <c r="D3" s="25">
        <v>1</v>
      </c>
      <c r="E3" s="22"/>
      <c r="F3" s="12"/>
    </row>
    <row r="4" ht="26" customHeight="1" spans="1:6">
      <c r="A4" s="14">
        <v>2</v>
      </c>
      <c r="B4" s="9">
        <v>46093</v>
      </c>
      <c r="C4" s="9" t="s">
        <v>16</v>
      </c>
      <c r="D4" s="25">
        <v>1</v>
      </c>
      <c r="E4" s="22"/>
      <c r="F4" s="17"/>
    </row>
    <row r="5" ht="26" customHeight="1" spans="1:6">
      <c r="A5" s="14">
        <v>3</v>
      </c>
      <c r="B5" s="9">
        <v>46093</v>
      </c>
      <c r="C5" s="9" t="s">
        <v>17</v>
      </c>
      <c r="D5" s="25">
        <v>1</v>
      </c>
      <c r="E5" s="22"/>
      <c r="F5" s="17"/>
    </row>
    <row r="6" ht="26" customHeight="1" spans="1:6">
      <c r="A6" s="14">
        <v>4</v>
      </c>
      <c r="B6" s="9">
        <v>46093</v>
      </c>
      <c r="C6" s="9" t="s">
        <v>18</v>
      </c>
      <c r="D6" s="25">
        <v>1</v>
      </c>
      <c r="E6" s="22"/>
      <c r="F6" s="17"/>
    </row>
    <row r="7" ht="26" customHeight="1" spans="1:6">
      <c r="A7" s="14">
        <v>5</v>
      </c>
      <c r="B7" s="9">
        <v>46093</v>
      </c>
      <c r="C7" s="9" t="s">
        <v>19</v>
      </c>
      <c r="D7" s="25">
        <v>1</v>
      </c>
      <c r="E7" s="22"/>
      <c r="F7" s="17"/>
    </row>
    <row r="8" ht="26" customHeight="1" spans="1:6">
      <c r="A8" s="14">
        <v>6</v>
      </c>
      <c r="B8" s="9">
        <v>46093</v>
      </c>
      <c r="C8" s="9" t="s">
        <v>20</v>
      </c>
      <c r="D8" s="25">
        <v>1</v>
      </c>
      <c r="E8" s="22"/>
      <c r="F8" s="17"/>
    </row>
    <row r="9" ht="26" customHeight="1" spans="1:6">
      <c r="A9" s="14">
        <v>7</v>
      </c>
      <c r="B9" s="9">
        <v>46093</v>
      </c>
      <c r="C9" s="9" t="s">
        <v>21</v>
      </c>
      <c r="D9" s="25">
        <v>1</v>
      </c>
      <c r="E9" s="25"/>
      <c r="F9" s="15"/>
    </row>
    <row r="10" customFormat="1" ht="26" customHeight="1" spans="1:6">
      <c r="A10" s="14">
        <v>8</v>
      </c>
      <c r="B10" s="9">
        <v>46093</v>
      </c>
      <c r="C10" s="9" t="s">
        <v>22</v>
      </c>
      <c r="D10" s="25">
        <v>1</v>
      </c>
      <c r="E10" s="25"/>
      <c r="F10" s="15"/>
    </row>
    <row r="11" ht="20" customHeight="1" spans="1:6">
      <c r="D11" s="13">
        <f>SUM(D3:D10)</f>
        <v>8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"/>
  <sheetViews>
    <sheetView workbookViewId="0">
      <selection activeCell="P17" sqref="P17"/>
    </sheetView>
  </sheetViews>
  <sheetFormatPr defaultColWidth="9.14285714285714" defaultRowHeight="23" customHeight="1"/>
  <cols>
    <col min="1" max="1" width="9.14285714285714" style="13"/>
    <col min="2" max="2" width="13.5714285714286" style="13" customWidth="1"/>
    <col min="3" max="3" width="10" style="13" customWidth="1"/>
    <col min="4" max="13" width="7.42857142857143" style="13" customWidth="1"/>
    <col min="14" max="21" width="7" style="13" customWidth="1"/>
    <col min="22" max="16384" width="9.14285714285714" style="13"/>
  </cols>
  <sheetData>
    <row r="1" s="30" customFormat="1" customHeight="1" spans="1:24">
      <c r="A1" s="33" t="s">
        <v>54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="31" customFormat="1" ht="20" customHeight="1" spans="1:24">
      <c r="A2" s="35" t="s">
        <v>2</v>
      </c>
      <c r="B2" s="35" t="s">
        <v>49</v>
      </c>
      <c r="C2" s="36" t="s">
        <v>55</v>
      </c>
      <c r="D2" s="37">
        <v>46090</v>
      </c>
      <c r="E2" s="37">
        <v>46093</v>
      </c>
      <c r="F2" s="37">
        <v>46097</v>
      </c>
      <c r="G2" s="38">
        <v>46100</v>
      </c>
      <c r="H2" s="38">
        <v>46104</v>
      </c>
      <c r="I2" s="38">
        <v>46107</v>
      </c>
      <c r="J2" s="38">
        <v>46111</v>
      </c>
      <c r="K2" s="38">
        <v>46114</v>
      </c>
      <c r="L2" s="38">
        <v>46119</v>
      </c>
      <c r="M2" s="38">
        <v>46121</v>
      </c>
      <c r="N2" s="38">
        <v>46125</v>
      </c>
      <c r="O2" s="38">
        <v>46128</v>
      </c>
      <c r="P2" s="38">
        <v>46132</v>
      </c>
      <c r="Q2" s="38">
        <v>46135</v>
      </c>
      <c r="R2" s="38">
        <v>46139</v>
      </c>
      <c r="S2" s="38">
        <v>46142</v>
      </c>
      <c r="T2" s="38"/>
      <c r="U2" s="38"/>
      <c r="V2" s="39" t="s">
        <v>56</v>
      </c>
      <c r="W2" s="31" t="s">
        <v>57</v>
      </c>
    </row>
    <row r="3" s="32" customFormat="1" customHeight="1" spans="1:24">
      <c r="A3" s="14">
        <v>1</v>
      </c>
      <c r="B3" s="9" t="s">
        <v>13</v>
      </c>
      <c r="C3" s="24">
        <v>100</v>
      </c>
      <c r="D3" s="40">
        <v>3</v>
      </c>
      <c r="E3" s="24">
        <v>4</v>
      </c>
      <c r="F3" s="24">
        <v>3</v>
      </c>
      <c r="G3" s="24">
        <v>4</v>
      </c>
      <c r="H3" s="24">
        <v>3</v>
      </c>
      <c r="I3" s="24">
        <v>4</v>
      </c>
      <c r="J3" s="24">
        <v>3</v>
      </c>
      <c r="K3" s="24">
        <v>4</v>
      </c>
      <c r="L3" s="24">
        <v>3</v>
      </c>
      <c r="M3" s="24">
        <v>4</v>
      </c>
      <c r="N3" s="24">
        <v>3</v>
      </c>
      <c r="O3" s="24">
        <f>SUMIF('4.16'!$C$3:C10,B3,'4.16'!$H$3:H12)</f>
        <v>4</v>
      </c>
      <c r="P3" s="24">
        <f>SUMIF('4.20'!$C$3:C10,B3,'4.20'!$H$3:H12)</f>
        <v>3</v>
      </c>
      <c r="Q3" s="24">
        <f>SUMIF('4.23'!$C$3:D10,B3,'4.23'!$H$3:I12)</f>
        <v>4</v>
      </c>
      <c r="R3" s="24">
        <f>SUMIF('4.27'!$C$3:E10,B3,'4.27'!$H$3:J12)</f>
        <v>3</v>
      </c>
      <c r="S3" s="24">
        <f>SUMIF('4.30'!$C$3:F10,B3,'4.30'!$H$3:K12)</f>
        <v>4</v>
      </c>
      <c r="T3" s="24"/>
      <c r="U3" s="14"/>
      <c r="V3" s="14">
        <f t="shared" ref="V3:V13" si="0">SUM(D3:U3)</f>
        <v>56</v>
      </c>
      <c r="W3" s="32">
        <f>100-V3</f>
        <v>44</v>
      </c>
    </row>
    <row r="4" s="32" customFormat="1" customHeight="1" spans="1:24">
      <c r="A4" s="14">
        <v>2</v>
      </c>
      <c r="B4" s="9" t="s">
        <v>16</v>
      </c>
      <c r="C4" s="24">
        <v>100</v>
      </c>
      <c r="D4" s="40">
        <v>3</v>
      </c>
      <c r="E4" s="24">
        <v>4</v>
      </c>
      <c r="F4" s="24">
        <v>3</v>
      </c>
      <c r="G4" s="24">
        <v>4</v>
      </c>
      <c r="H4" s="24">
        <v>3</v>
      </c>
      <c r="I4" s="24">
        <v>4</v>
      </c>
      <c r="J4" s="24">
        <v>3</v>
      </c>
      <c r="K4" s="24">
        <v>4</v>
      </c>
      <c r="L4" s="24">
        <v>3</v>
      </c>
      <c r="M4" s="24">
        <v>4</v>
      </c>
      <c r="N4" s="24">
        <v>3</v>
      </c>
      <c r="O4" s="24">
        <f>SUMIF('4.16'!C4:C11,B4,'4.16'!H4:H13)</f>
        <v>4</v>
      </c>
      <c r="P4" s="24">
        <f>SUMIF('4.20'!$C$3:C11,B4,'4.20'!$H$3:H13)</f>
        <v>3</v>
      </c>
      <c r="Q4" s="24">
        <f>SUMIF('4.23'!$C$3:D11,B4,'4.23'!$H$3:I13)</f>
        <v>4</v>
      </c>
      <c r="R4" s="24">
        <f>SUMIF('4.27'!$C$3:E11,B4,'4.27'!$H$3:J13)</f>
        <v>3</v>
      </c>
      <c r="S4" s="24">
        <f>SUMIF('4.30'!$C$3:F11,B4,'4.30'!$H$3:K13)</f>
        <v>4</v>
      </c>
      <c r="T4" s="24"/>
      <c r="U4" s="14"/>
      <c r="V4" s="14">
        <f t="shared" si="0"/>
        <v>56</v>
      </c>
      <c r="W4" s="32">
        <f t="shared" ref="W4:W10" si="1">130-V4</f>
        <v>74</v>
      </c>
      <c r="X4" s="13" t="s">
        <v>58</v>
      </c>
    </row>
    <row r="5" s="32" customFormat="1" customHeight="1" spans="1:24">
      <c r="A5" s="14">
        <v>3</v>
      </c>
      <c r="B5" s="9" t="s">
        <v>17</v>
      </c>
      <c r="C5" s="24">
        <v>100</v>
      </c>
      <c r="D5" s="40">
        <v>3</v>
      </c>
      <c r="E5" s="24">
        <v>4</v>
      </c>
      <c r="F5" s="24">
        <v>3</v>
      </c>
      <c r="G5" s="24">
        <v>4</v>
      </c>
      <c r="H5" s="24">
        <v>3</v>
      </c>
      <c r="I5" s="24">
        <v>4</v>
      </c>
      <c r="J5" s="24">
        <v>3</v>
      </c>
      <c r="K5" s="24">
        <v>4</v>
      </c>
      <c r="L5" s="24">
        <v>3</v>
      </c>
      <c r="M5" s="24">
        <v>4</v>
      </c>
      <c r="N5" s="24">
        <v>3</v>
      </c>
      <c r="O5" s="24">
        <f>SUMIF('4.16'!C5:C12,B5,'4.16'!H5:H14)</f>
        <v>4</v>
      </c>
      <c r="P5" s="24">
        <f>SUMIF('4.20'!$C$3:C12,B5,'4.20'!$H$3:H14)</f>
        <v>3</v>
      </c>
      <c r="Q5" s="24">
        <f>SUMIF('4.23'!$C$3:D12,B5,'4.23'!$H$3:I14)</f>
        <v>4</v>
      </c>
      <c r="R5" s="24">
        <f>SUMIF('4.27'!$C$3:E12,B5,'4.27'!$H$3:J14)</f>
        <v>3</v>
      </c>
      <c r="S5" s="24">
        <f>SUMIF('4.30'!$C$3:F12,B5,'4.30'!$H$3:K14)</f>
        <v>4</v>
      </c>
      <c r="T5" s="24"/>
      <c r="U5" s="14"/>
      <c r="V5" s="14">
        <f t="shared" si="0"/>
        <v>56</v>
      </c>
      <c r="W5" s="32">
        <f t="shared" si="1"/>
        <v>74</v>
      </c>
      <c r="X5" s="13" t="s">
        <v>58</v>
      </c>
    </row>
    <row r="6" s="32" customFormat="1" customHeight="1" spans="1:24">
      <c r="A6" s="14">
        <v>4</v>
      </c>
      <c r="B6" s="9" t="s">
        <v>18</v>
      </c>
      <c r="C6" s="24">
        <v>100</v>
      </c>
      <c r="D6" s="40">
        <v>3</v>
      </c>
      <c r="E6" s="24">
        <v>4</v>
      </c>
      <c r="F6" s="24">
        <v>3</v>
      </c>
      <c r="G6" s="24">
        <v>4</v>
      </c>
      <c r="H6" s="24">
        <v>3</v>
      </c>
      <c r="I6" s="24">
        <v>4</v>
      </c>
      <c r="J6" s="24">
        <v>3</v>
      </c>
      <c r="K6" s="24">
        <v>4</v>
      </c>
      <c r="L6" s="24">
        <v>3</v>
      </c>
      <c r="M6" s="24">
        <v>4</v>
      </c>
      <c r="N6" s="24">
        <v>3</v>
      </c>
      <c r="O6" s="24">
        <f>SUMIF('4.16'!C6:C13,B6,'4.16'!H6:H15)</f>
        <v>4</v>
      </c>
      <c r="P6" s="24">
        <f>SUMIF('4.20'!$C$3:C13,B6,'4.20'!$H$3:H15)</f>
        <v>3</v>
      </c>
      <c r="Q6" s="24">
        <f>SUMIF('4.23'!$C$3:D13,B6,'4.23'!$H$3:I15)</f>
        <v>4</v>
      </c>
      <c r="R6" s="24">
        <f>SUMIF('4.27'!$C$3:E13,B6,'4.27'!$H$3:J15)</f>
        <v>3</v>
      </c>
      <c r="S6" s="24">
        <f>SUMIF('4.30'!$C$3:F13,B6,'4.30'!$H$3:K15)</f>
        <v>4</v>
      </c>
      <c r="T6" s="24"/>
      <c r="U6" s="14"/>
      <c r="V6" s="14">
        <f t="shared" si="0"/>
        <v>56</v>
      </c>
      <c r="W6" s="32">
        <f>100-V6</f>
        <v>44</v>
      </c>
    </row>
    <row r="7" s="32" customFormat="1" customHeight="1" spans="1:24">
      <c r="A7" s="14">
        <v>5</v>
      </c>
      <c r="B7" s="9" t="s">
        <v>19</v>
      </c>
      <c r="C7" s="24">
        <v>100</v>
      </c>
      <c r="D7" s="40">
        <v>3</v>
      </c>
      <c r="E7" s="24">
        <v>4</v>
      </c>
      <c r="F7" s="24">
        <v>3</v>
      </c>
      <c r="G7" s="24">
        <v>4</v>
      </c>
      <c r="H7" s="24">
        <v>3</v>
      </c>
      <c r="I7" s="24">
        <v>4</v>
      </c>
      <c r="J7" s="24">
        <v>3</v>
      </c>
      <c r="K7" s="24">
        <v>4</v>
      </c>
      <c r="L7" s="24">
        <v>3</v>
      </c>
      <c r="M7" s="24">
        <v>4</v>
      </c>
      <c r="N7" s="24">
        <v>3</v>
      </c>
      <c r="O7" s="24">
        <f>SUMIF('4.16'!C7:C14,B7,'4.16'!H7:H16)</f>
        <v>4</v>
      </c>
      <c r="P7" s="24">
        <f>SUMIF('4.20'!$C$3:C14,B7,'4.20'!$H$3:H16)</f>
        <v>3</v>
      </c>
      <c r="Q7" s="24">
        <f>SUMIF('4.23'!$C$3:D14,B7,'4.23'!$H$3:I16)</f>
        <v>4</v>
      </c>
      <c r="R7" s="24">
        <f>SUMIF('4.27'!$C$3:E14,B7,'4.27'!$H$3:J16)</f>
        <v>3</v>
      </c>
      <c r="S7" s="24">
        <f>SUMIF('4.30'!$C$3:F14,B7,'4.30'!$H$3:K16)</f>
        <v>4</v>
      </c>
      <c r="T7" s="24"/>
      <c r="U7" s="14"/>
      <c r="V7" s="14">
        <f t="shared" si="0"/>
        <v>56</v>
      </c>
      <c r="W7" s="32">
        <f>100-V7</f>
        <v>44</v>
      </c>
    </row>
    <row r="8" s="32" customFormat="1" customHeight="1" spans="1:24">
      <c r="A8" s="14">
        <v>6</v>
      </c>
      <c r="B8" s="9" t="s">
        <v>20</v>
      </c>
      <c r="C8" s="24">
        <v>100</v>
      </c>
      <c r="D8" s="40">
        <v>3</v>
      </c>
      <c r="E8" s="24">
        <v>4</v>
      </c>
      <c r="F8" s="24">
        <v>3</v>
      </c>
      <c r="G8" s="24">
        <v>4</v>
      </c>
      <c r="H8" s="24">
        <v>3</v>
      </c>
      <c r="I8" s="24">
        <v>4</v>
      </c>
      <c r="J8" s="24">
        <v>3</v>
      </c>
      <c r="K8" s="24">
        <v>4</v>
      </c>
      <c r="L8" s="24">
        <v>3</v>
      </c>
      <c r="M8" s="24">
        <v>4</v>
      </c>
      <c r="N8" s="24">
        <v>3</v>
      </c>
      <c r="O8" s="24">
        <f>SUMIF('4.16'!C8:C15,B8,'4.16'!H8:H17)</f>
        <v>4</v>
      </c>
      <c r="P8" s="24">
        <f>SUMIF('4.20'!$C$3:C15,B8,'4.20'!$H$3:H17)</f>
        <v>3</v>
      </c>
      <c r="Q8" s="24">
        <f>SUMIF('4.23'!$C$3:D15,B8,'4.23'!$H$3:I17)</f>
        <v>4</v>
      </c>
      <c r="R8" s="24">
        <f>SUMIF('4.27'!$C$3:E15,B8,'4.27'!$H$3:J17)</f>
        <v>3</v>
      </c>
      <c r="S8" s="24">
        <f>SUMIF('4.30'!$C$3:F15,B8,'4.30'!$H$3:K17)</f>
        <v>4</v>
      </c>
      <c r="T8" s="24"/>
      <c r="U8" s="14"/>
      <c r="V8" s="14">
        <f t="shared" si="0"/>
        <v>56</v>
      </c>
      <c r="W8" s="32">
        <f>100-V8</f>
        <v>44</v>
      </c>
    </row>
    <row r="9" s="32" customFormat="1" customHeight="1" spans="1:24">
      <c r="A9" s="14">
        <v>7</v>
      </c>
      <c r="B9" s="9" t="s">
        <v>21</v>
      </c>
      <c r="C9" s="24">
        <v>100</v>
      </c>
      <c r="D9" s="40">
        <v>3</v>
      </c>
      <c r="E9" s="24">
        <v>4</v>
      </c>
      <c r="F9" s="24">
        <v>3</v>
      </c>
      <c r="G9" s="24">
        <v>4</v>
      </c>
      <c r="H9" s="24">
        <v>3</v>
      </c>
      <c r="I9" s="24">
        <v>4</v>
      </c>
      <c r="J9" s="24">
        <v>3</v>
      </c>
      <c r="K9" s="24">
        <v>4</v>
      </c>
      <c r="L9" s="24">
        <v>3</v>
      </c>
      <c r="M9" s="24">
        <v>4</v>
      </c>
      <c r="N9" s="24">
        <v>3</v>
      </c>
      <c r="O9" s="24">
        <f>SUMIF('4.16'!C9:C16,B9,'4.16'!H9:H18)</f>
        <v>4</v>
      </c>
      <c r="P9" s="24">
        <f>SUMIF('4.20'!$C$3:C16,B9,'4.20'!$H$3:H18)</f>
        <v>3</v>
      </c>
      <c r="Q9" s="24">
        <f>SUMIF('4.23'!$C$3:D16,B9,'4.23'!$H$3:I18)</f>
        <v>4</v>
      </c>
      <c r="R9" s="24">
        <f>SUMIF('4.27'!$C$3:E16,B9,'4.27'!$H$3:J18)</f>
        <v>3</v>
      </c>
      <c r="S9" s="24">
        <f>SUMIF('4.30'!$C$3:F16,B9,'4.30'!$H$3:K18)</f>
        <v>4</v>
      </c>
      <c r="T9" s="24"/>
      <c r="U9" s="14"/>
      <c r="V9" s="14">
        <f t="shared" si="0"/>
        <v>56</v>
      </c>
      <c r="W9" s="32">
        <f t="shared" si="1"/>
        <v>74</v>
      </c>
    </row>
    <row r="10" s="32" customFormat="1" customHeight="1" spans="1:24">
      <c r="A10" s="14">
        <v>8</v>
      </c>
      <c r="B10" s="9" t="s">
        <v>22</v>
      </c>
      <c r="C10" s="24">
        <v>100</v>
      </c>
      <c r="D10" s="40">
        <v>3</v>
      </c>
      <c r="E10" s="24">
        <v>4</v>
      </c>
      <c r="F10" s="24">
        <v>3</v>
      </c>
      <c r="G10" s="24">
        <v>4</v>
      </c>
      <c r="H10" s="24">
        <v>3</v>
      </c>
      <c r="I10" s="24">
        <v>4</v>
      </c>
      <c r="J10" s="24">
        <v>3</v>
      </c>
      <c r="K10" s="24">
        <v>4</v>
      </c>
      <c r="L10" s="24">
        <v>3</v>
      </c>
      <c r="M10" s="24">
        <v>4</v>
      </c>
      <c r="N10" s="24">
        <v>3</v>
      </c>
      <c r="O10" s="24">
        <f>SUMIF('4.16'!C10:C17,B10,'4.16'!H10:H19)</f>
        <v>4</v>
      </c>
      <c r="P10" s="24">
        <f>SUMIF('4.20'!$C$3:C17,B10,'4.20'!$H$3:H19)</f>
        <v>3</v>
      </c>
      <c r="Q10" s="24">
        <f>SUMIF('4.23'!$C$3:D17,B10,'4.23'!$H$3:I19)</f>
        <v>4</v>
      </c>
      <c r="R10" s="24">
        <f>SUMIF('4.27'!$C$3:E17,B10,'4.27'!$H$3:J19)</f>
        <v>3</v>
      </c>
      <c r="S10" s="24">
        <f>SUMIF('4.30'!$C$3:F17,B10,'4.30'!$H$3:K19)</f>
        <v>4</v>
      </c>
      <c r="T10" s="24"/>
      <c r="U10" s="14"/>
      <c r="V10" s="14">
        <f t="shared" si="0"/>
        <v>56</v>
      </c>
      <c r="W10" s="32">
        <f t="shared" si="1"/>
        <v>74</v>
      </c>
    </row>
    <row r="11" customHeight="1" spans="1:24">
      <c r="A11" s="14">
        <v>9</v>
      </c>
      <c r="B11" s="9" t="s">
        <v>59</v>
      </c>
      <c r="C11" s="24">
        <v>100</v>
      </c>
      <c r="D11" s="40">
        <v>3</v>
      </c>
      <c r="E11" s="24">
        <v>2</v>
      </c>
      <c r="F11" s="24">
        <v>3</v>
      </c>
      <c r="G11" s="24">
        <v>2</v>
      </c>
      <c r="H11" s="24">
        <v>3</v>
      </c>
      <c r="I11" s="24">
        <v>2</v>
      </c>
      <c r="J11" s="24">
        <v>3</v>
      </c>
      <c r="K11" s="24">
        <v>2</v>
      </c>
      <c r="L11" s="24">
        <v>3</v>
      </c>
      <c r="M11" s="24">
        <v>2</v>
      </c>
      <c r="N11" s="24">
        <v>3</v>
      </c>
      <c r="O11" s="24">
        <f>'4.16'!P8</f>
        <v>2</v>
      </c>
      <c r="P11" s="24">
        <f>'4.20'!P8</f>
        <v>3</v>
      </c>
      <c r="Q11" s="24">
        <f>'4.23'!P8</f>
        <v>2</v>
      </c>
      <c r="R11" s="24">
        <f>'4.27'!P8</f>
        <v>3</v>
      </c>
      <c r="S11" s="24">
        <f>'4.30'!P8</f>
        <v>2</v>
      </c>
      <c r="T11" s="24"/>
      <c r="U11" s="41"/>
      <c r="V11" s="14">
        <f t="shared" si="0"/>
        <v>40</v>
      </c>
      <c r="W11" s="32">
        <f>100-V11</f>
        <v>60</v>
      </c>
    </row>
    <row r="12" customHeight="1" spans="1:24">
      <c r="A12" s="14">
        <v>10</v>
      </c>
      <c r="B12" s="18" t="s">
        <v>60</v>
      </c>
      <c r="C12" s="24">
        <v>15</v>
      </c>
      <c r="D12" s="40">
        <v>3</v>
      </c>
      <c r="E12" s="24">
        <v>2</v>
      </c>
      <c r="F12" s="24">
        <v>3</v>
      </c>
      <c r="G12" s="24">
        <v>2</v>
      </c>
      <c r="H12" s="24">
        <v>3</v>
      </c>
      <c r="I12" s="24">
        <v>2</v>
      </c>
      <c r="J12" s="24">
        <v>3</v>
      </c>
      <c r="K12" s="24" t="s">
        <v>61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14">
        <f t="shared" si="0"/>
        <v>18</v>
      </c>
      <c r="W12" s="32"/>
    </row>
    <row r="13" customHeight="1" spans="1:24">
      <c r="A13" s="14">
        <v>11</v>
      </c>
      <c r="B13" s="42" t="s">
        <v>62</v>
      </c>
      <c r="C13" s="24">
        <v>100</v>
      </c>
      <c r="D13" s="40">
        <v>3</v>
      </c>
      <c r="E13" s="24">
        <v>2</v>
      </c>
      <c r="F13" s="43" t="s">
        <v>63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41"/>
      <c r="V13" s="14">
        <f t="shared" si="0"/>
        <v>5</v>
      </c>
      <c r="W13" s="32"/>
    </row>
    <row r="14" customHeight="1" spans="1:24">
      <c r="A14" s="14">
        <v>12</v>
      </c>
      <c r="B14" s="26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41"/>
      <c r="V14" s="14"/>
      <c r="W14" s="32"/>
    </row>
    <row r="15" customHeight="1" spans="1:24">
      <c r="A15" s="14">
        <v>13</v>
      </c>
      <c r="B15" s="26"/>
      <c r="C15" s="24"/>
      <c r="D15" s="24">
        <f t="shared" ref="D15:U15" si="2">SUM(D3:D13)</f>
        <v>33</v>
      </c>
      <c r="E15" s="24">
        <f t="shared" si="2"/>
        <v>38</v>
      </c>
      <c r="F15" s="24">
        <f t="shared" si="2"/>
        <v>30</v>
      </c>
      <c r="G15" s="24">
        <f t="shared" si="2"/>
        <v>36</v>
      </c>
      <c r="H15" s="24">
        <f t="shared" si="2"/>
        <v>30</v>
      </c>
      <c r="I15" s="24">
        <f t="shared" si="2"/>
        <v>36</v>
      </c>
      <c r="J15" s="24">
        <f t="shared" si="2"/>
        <v>30</v>
      </c>
      <c r="K15" s="24">
        <f t="shared" si="2"/>
        <v>34</v>
      </c>
      <c r="L15" s="24">
        <f t="shared" si="2"/>
        <v>27</v>
      </c>
      <c r="M15" s="24">
        <f t="shared" si="2"/>
        <v>34</v>
      </c>
      <c r="N15" s="24">
        <f t="shared" si="2"/>
        <v>27</v>
      </c>
      <c r="O15" s="24">
        <f t="shared" si="2"/>
        <v>34</v>
      </c>
      <c r="P15" s="24">
        <f t="shared" si="2"/>
        <v>27</v>
      </c>
      <c r="Q15" s="24">
        <f t="shared" si="2"/>
        <v>34</v>
      </c>
      <c r="R15" s="24">
        <f t="shared" si="2"/>
        <v>27</v>
      </c>
      <c r="S15" s="24">
        <f t="shared" si="2"/>
        <v>34</v>
      </c>
      <c r="T15" s="24">
        <f t="shared" si="2"/>
        <v>0</v>
      </c>
      <c r="U15" s="24">
        <f t="shared" si="2"/>
        <v>0</v>
      </c>
      <c r="V15" s="14">
        <f>SUM(D15:U15)</f>
        <v>511</v>
      </c>
      <c r="W15" s="32"/>
    </row>
    <row r="16" customHeight="1" spans="1:24">
      <c r="A16" s="14">
        <v>14</v>
      </c>
      <c r="B16" s="26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41"/>
      <c r="V16" s="14"/>
      <c r="W16" s="32"/>
    </row>
    <row r="17" customHeight="1" spans="1:23">
      <c r="A17" s="14">
        <v>15</v>
      </c>
      <c r="B17" s="26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41"/>
      <c r="V17" s="14"/>
      <c r="W17" s="32"/>
    </row>
    <row r="18" customHeight="1" spans="1:23">
      <c r="A18" s="14">
        <v>16</v>
      </c>
      <c r="B18" s="26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41"/>
      <c r="V18" s="14"/>
      <c r="W18" s="32"/>
    </row>
    <row r="19" customHeight="1" spans="1:23">
      <c r="A19" s="14">
        <v>17</v>
      </c>
      <c r="B19" s="26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41"/>
      <c r="V19" s="14"/>
      <c r="W19" s="32"/>
    </row>
    <row r="20" customHeight="1" spans="1:23">
      <c r="A20" s="14">
        <v>18</v>
      </c>
      <c r="B20" s="26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41"/>
      <c r="V20" s="14"/>
      <c r="W20" s="32"/>
    </row>
    <row r="21" customHeight="1" spans="1:23">
      <c r="A21" s="14">
        <v>19</v>
      </c>
      <c r="B21" s="26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41"/>
      <c r="V21" s="14"/>
      <c r="W21" s="32"/>
    </row>
    <row r="22" customHeight="1" spans="1:23">
      <c r="A22" s="14">
        <v>20</v>
      </c>
      <c r="B22" s="26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41"/>
      <c r="V22" s="14"/>
      <c r="W22" s="32"/>
    </row>
    <row r="23" customHeight="1" spans="1:23">
      <c r="A23" s="14">
        <v>21</v>
      </c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41"/>
      <c r="V23" s="14"/>
      <c r="W23" s="32"/>
    </row>
    <row r="24" customHeight="1" spans="1:23">
      <c r="A24" s="14">
        <v>22</v>
      </c>
      <c r="B24" s="26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41"/>
      <c r="V24" s="14"/>
      <c r="W24" s="32"/>
    </row>
    <row r="25" customHeight="1" spans="1:23">
      <c r="A25" s="14">
        <v>23</v>
      </c>
      <c r="B25" s="26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41"/>
      <c r="V25" s="14"/>
      <c r="W25" s="32"/>
    </row>
    <row r="26" customHeight="1" spans="1:23">
      <c r="A26" s="14">
        <v>24</v>
      </c>
      <c r="B26" s="4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41"/>
      <c r="V26" s="14"/>
      <c r="W26" s="32"/>
    </row>
    <row r="27" customHeight="1" spans="1:23">
      <c r="A27" s="14">
        <v>25</v>
      </c>
      <c r="B27" s="4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41"/>
      <c r="V27" s="14"/>
      <c r="W27" s="32"/>
    </row>
    <row r="28" customHeight="1" spans="1:23">
      <c r="A28" s="14">
        <v>26</v>
      </c>
      <c r="B28" s="45"/>
      <c r="C28" s="46"/>
      <c r="D28" s="47"/>
      <c r="E28" s="47"/>
      <c r="F28" s="47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7"/>
      <c r="V28" s="48"/>
      <c r="W28" s="32"/>
    </row>
    <row r="29" customHeight="1" spans="1:23">
      <c r="A29" s="14">
        <v>27</v>
      </c>
      <c r="B29" s="44"/>
      <c r="C29" s="24"/>
      <c r="D29" s="41"/>
      <c r="E29" s="41"/>
      <c r="F29" s="41"/>
      <c r="G29" s="41"/>
      <c r="H29" s="24"/>
      <c r="I29" s="24"/>
      <c r="J29" s="24"/>
      <c r="K29" s="24"/>
      <c r="L29" s="24"/>
      <c r="M29" s="24"/>
      <c r="N29" s="46"/>
      <c r="O29" s="46"/>
      <c r="P29" s="46"/>
      <c r="Q29" s="46"/>
      <c r="R29" s="46"/>
      <c r="S29" s="46"/>
      <c r="T29" s="46"/>
      <c r="U29" s="41"/>
      <c r="V29" s="14"/>
      <c r="W29" s="32"/>
    </row>
    <row r="30" customHeight="1" spans="1:23">
      <c r="A30" s="14">
        <v>28</v>
      </c>
      <c r="B30" s="44"/>
      <c r="C30" s="24"/>
      <c r="D30" s="41"/>
      <c r="E30" s="41"/>
      <c r="F30" s="41"/>
      <c r="G30" s="41"/>
      <c r="H30" s="24"/>
      <c r="I30" s="24"/>
      <c r="J30" s="24"/>
      <c r="K30" s="24"/>
      <c r="L30" s="24"/>
      <c r="M30" s="24"/>
      <c r="N30" s="46"/>
      <c r="O30" s="46"/>
      <c r="P30" s="46"/>
      <c r="Q30" s="46"/>
      <c r="R30" s="46"/>
      <c r="S30" s="46"/>
      <c r="T30" s="46"/>
      <c r="U30" s="41"/>
      <c r="V30" s="14"/>
      <c r="W30" s="32"/>
    </row>
    <row r="31" customHeight="1" spans="1:23">
      <c r="A31" s="14">
        <v>29</v>
      </c>
      <c r="B31" s="44"/>
      <c r="C31" s="24"/>
      <c r="D31" s="41"/>
      <c r="E31" s="41"/>
      <c r="F31" s="41"/>
      <c r="G31" s="41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41"/>
      <c r="V31" s="14"/>
      <c r="W31" s="32"/>
    </row>
    <row r="32" customHeight="1" spans="1:23">
      <c r="A32" s="14">
        <v>30</v>
      </c>
      <c r="B32" s="44"/>
      <c r="C32" s="24"/>
      <c r="D32" s="41"/>
      <c r="E32" s="41"/>
      <c r="F32" s="41"/>
      <c r="G32" s="41"/>
      <c r="H32" s="41"/>
      <c r="I32" s="41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41"/>
      <c r="V32" s="14"/>
      <c r="W32" s="32"/>
    </row>
    <row r="33" customHeight="1" spans="1:23">
      <c r="A33" s="14">
        <v>31</v>
      </c>
      <c r="B33" s="44"/>
      <c r="C33" s="24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32"/>
    </row>
    <row r="34" customHeight="1" spans="1:23">
      <c r="A34" s="41"/>
      <c r="B34" s="49"/>
      <c r="C34" s="49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</row>
    <row r="35" customHeight="1" spans="1:23">
      <c r="A35" s="41"/>
      <c r="B35" s="49"/>
      <c r="C35" s="49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customHeight="1" spans="1:23">
      <c r="A36" s="41"/>
      <c r="B36" s="49"/>
      <c r="C36" s="49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</row>
  </sheetData>
  <mergeCells count="2">
    <mergeCell ref="A1:V1"/>
    <mergeCell ref="K12:U12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F19" sqref="F1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6.1428571428571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16.1428571428571" customWidth="1"/>
    <col min="12" max="14" width="12.1428571428571" customWidth="1"/>
    <col min="15" max="15" width="25.2857142857143" customWidth="1"/>
  </cols>
  <sheetData>
    <row r="1" ht="38" customHeight="1" spans="1:15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7" t="s">
        <v>2</v>
      </c>
      <c r="J2" s="7" t="s">
        <v>51</v>
      </c>
      <c r="K2" s="7" t="s">
        <v>3</v>
      </c>
      <c r="L2" s="7" t="s">
        <v>66</v>
      </c>
      <c r="M2" s="7" t="s">
        <v>67</v>
      </c>
      <c r="N2" s="7" t="s">
        <v>68</v>
      </c>
      <c r="O2" s="7" t="s">
        <v>7</v>
      </c>
    </row>
    <row r="3" ht="22" customHeight="1" spans="1:15">
      <c r="A3" s="8">
        <v>1</v>
      </c>
      <c r="B3" s="9">
        <v>46090</v>
      </c>
      <c r="C3" s="9" t="s">
        <v>13</v>
      </c>
      <c r="D3" s="10" t="s">
        <v>69</v>
      </c>
      <c r="E3" s="11">
        <v>3</v>
      </c>
      <c r="F3" s="11"/>
      <c r="G3" s="12"/>
      <c r="I3" s="14">
        <v>1</v>
      </c>
      <c r="J3" s="9">
        <v>46090</v>
      </c>
      <c r="K3" s="9" t="s">
        <v>36</v>
      </c>
      <c r="L3" s="24" t="s">
        <v>69</v>
      </c>
      <c r="M3" s="25">
        <v>2</v>
      </c>
      <c r="N3" s="25">
        <v>1</v>
      </c>
      <c r="O3" s="15"/>
    </row>
    <row r="4" ht="22" customHeight="1" spans="1:15">
      <c r="A4" s="8">
        <v>2</v>
      </c>
      <c r="B4" s="9">
        <v>46090</v>
      </c>
      <c r="C4" s="9" t="s">
        <v>16</v>
      </c>
      <c r="D4" s="10" t="s">
        <v>69</v>
      </c>
      <c r="E4" s="16"/>
      <c r="F4" s="11">
        <v>3</v>
      </c>
      <c r="G4" s="17"/>
      <c r="I4" s="14">
        <v>2</v>
      </c>
      <c r="J4" s="9">
        <v>46090</v>
      </c>
      <c r="K4" s="9" t="s">
        <v>42</v>
      </c>
      <c r="L4" s="24" t="s">
        <v>69</v>
      </c>
      <c r="M4" s="25">
        <v>2</v>
      </c>
      <c r="N4" s="25">
        <v>1</v>
      </c>
      <c r="O4" s="15"/>
    </row>
    <row r="5" ht="22" customHeight="1" spans="1:15">
      <c r="A5" s="8">
        <v>3</v>
      </c>
      <c r="B5" s="9">
        <v>46090</v>
      </c>
      <c r="C5" s="9" t="s">
        <v>17</v>
      </c>
      <c r="D5" s="10" t="s">
        <v>69</v>
      </c>
      <c r="E5" s="11">
        <v>2</v>
      </c>
      <c r="F5" s="11">
        <v>1</v>
      </c>
      <c r="G5" s="17"/>
      <c r="I5" s="14">
        <v>3</v>
      </c>
      <c r="J5" s="9">
        <v>46090</v>
      </c>
      <c r="K5" s="26" t="s">
        <v>70</v>
      </c>
      <c r="L5" s="24" t="s">
        <v>69</v>
      </c>
      <c r="M5" s="25">
        <v>3</v>
      </c>
      <c r="N5" s="15"/>
      <c r="O5" s="15"/>
    </row>
    <row r="6" ht="22" customHeight="1" spans="1:15">
      <c r="A6" s="8">
        <v>4</v>
      </c>
      <c r="B6" s="9">
        <v>46090</v>
      </c>
      <c r="C6" s="9" t="s">
        <v>18</v>
      </c>
      <c r="D6" s="10" t="s">
        <v>69</v>
      </c>
      <c r="E6" s="11">
        <v>3</v>
      </c>
      <c r="F6" s="16"/>
      <c r="G6" s="17"/>
      <c r="I6" s="14"/>
      <c r="J6" s="9"/>
      <c r="K6" s="26"/>
      <c r="L6" s="24"/>
      <c r="M6" s="12"/>
      <c r="N6" s="15"/>
      <c r="O6" s="15"/>
    </row>
    <row r="7" ht="22" customHeight="1" spans="1:15">
      <c r="A7" s="8">
        <v>5</v>
      </c>
      <c r="B7" s="9">
        <v>46090</v>
      </c>
      <c r="C7" s="9" t="s">
        <v>19</v>
      </c>
      <c r="D7" s="10" t="s">
        <v>69</v>
      </c>
      <c r="E7" s="11">
        <v>3</v>
      </c>
      <c r="F7" s="11"/>
      <c r="G7" s="17"/>
      <c r="I7" s="14"/>
      <c r="J7" s="19"/>
      <c r="K7" s="26"/>
      <c r="L7" s="14"/>
      <c r="M7" s="21"/>
      <c r="N7" s="22"/>
      <c r="O7" s="22"/>
    </row>
    <row r="8" ht="22" customHeight="1" spans="1:15">
      <c r="A8" s="8">
        <v>6</v>
      </c>
      <c r="B8" s="9">
        <v>46090</v>
      </c>
      <c r="C8" s="9" t="s">
        <v>20</v>
      </c>
      <c r="D8" s="10" t="s">
        <v>69</v>
      </c>
      <c r="E8" s="11">
        <v>3</v>
      </c>
      <c r="F8" s="11"/>
      <c r="G8" s="17"/>
      <c r="I8" s="27"/>
      <c r="J8" s="27"/>
      <c r="K8" s="27"/>
      <c r="L8" s="27"/>
      <c r="M8" s="28">
        <f>SUM(M3:M7)</f>
        <v>7</v>
      </c>
      <c r="N8" s="28">
        <f>SUM(N3:N7)</f>
        <v>2</v>
      </c>
      <c r="O8" s="27"/>
    </row>
    <row r="9" ht="22" customHeight="1" spans="1:15">
      <c r="A9" s="8">
        <v>7</v>
      </c>
      <c r="B9" s="9">
        <v>46090</v>
      </c>
      <c r="C9" s="9" t="s">
        <v>21</v>
      </c>
      <c r="D9" s="10" t="s">
        <v>69</v>
      </c>
      <c r="E9" s="16"/>
      <c r="F9" s="11">
        <v>3</v>
      </c>
      <c r="G9" s="15"/>
    </row>
    <row r="10" ht="22" customHeight="1" spans="1:15">
      <c r="A10" s="8">
        <v>8</v>
      </c>
      <c r="B10" s="9">
        <v>46090</v>
      </c>
      <c r="C10" s="9" t="s">
        <v>22</v>
      </c>
      <c r="D10" s="10" t="s">
        <v>69</v>
      </c>
      <c r="E10" s="16"/>
      <c r="F10" s="11">
        <v>3</v>
      </c>
      <c r="G10" s="15"/>
    </row>
    <row r="11" customFormat="1" ht="22" customHeight="1" spans="1:15">
      <c r="A11" s="8"/>
      <c r="B11" s="9"/>
      <c r="C11" s="18"/>
      <c r="D11" s="10"/>
      <c r="E11" s="12"/>
      <c r="F11" s="15"/>
      <c r="G11" s="15"/>
    </row>
    <row r="12" customFormat="1" ht="22" customHeight="1" spans="1:15">
      <c r="A12" s="8"/>
      <c r="B12" s="19"/>
      <c r="C12" s="18"/>
      <c r="D12" s="20"/>
      <c r="E12" s="21"/>
      <c r="F12" s="22"/>
      <c r="G12" s="22"/>
    </row>
    <row r="13" ht="13.5" spans="1:15">
      <c r="E13" s="23">
        <f>SUM(E3:E12)</f>
        <v>14</v>
      </c>
      <c r="F13" s="23">
        <f>SUM(F3:F12)</f>
        <v>10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A1" sqref="$A1:$XFD104857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ht="38" customHeight="1" spans="1:15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5" t="s">
        <v>2</v>
      </c>
      <c r="J2" s="5" t="s">
        <v>51</v>
      </c>
      <c r="K2" s="5" t="s">
        <v>3</v>
      </c>
      <c r="L2" s="6" t="s">
        <v>66</v>
      </c>
      <c r="M2" s="7" t="s">
        <v>67</v>
      </c>
      <c r="N2" s="7" t="s">
        <v>68</v>
      </c>
      <c r="O2" s="7" t="s">
        <v>7</v>
      </c>
    </row>
    <row r="3" ht="22" customHeight="1" spans="1:15">
      <c r="A3" s="8">
        <v>1</v>
      </c>
      <c r="B3" s="9">
        <v>46093</v>
      </c>
      <c r="C3" s="9" t="s">
        <v>13</v>
      </c>
      <c r="D3" s="10" t="s">
        <v>71</v>
      </c>
      <c r="E3" s="11">
        <v>4</v>
      </c>
      <c r="F3" s="11"/>
      <c r="G3" s="12"/>
      <c r="I3" s="14">
        <v>1</v>
      </c>
      <c r="J3" s="9">
        <v>46093</v>
      </c>
      <c r="K3" s="9" t="s">
        <v>36</v>
      </c>
      <c r="L3" s="10" t="s">
        <v>72</v>
      </c>
      <c r="M3" s="11">
        <v>1</v>
      </c>
      <c r="N3" s="11">
        <v>1</v>
      </c>
      <c r="O3" s="15"/>
    </row>
    <row r="4" ht="22" customHeight="1" spans="1:15">
      <c r="A4" s="8">
        <v>2</v>
      </c>
      <c r="B4" s="9">
        <v>46093</v>
      </c>
      <c r="C4" s="9" t="s">
        <v>16</v>
      </c>
      <c r="D4" s="10" t="s">
        <v>71</v>
      </c>
      <c r="E4" s="16"/>
      <c r="F4" s="11">
        <v>4</v>
      </c>
      <c r="G4" s="17"/>
      <c r="I4" s="14">
        <v>2</v>
      </c>
      <c r="J4" s="9">
        <v>46093</v>
      </c>
      <c r="K4" s="9" t="s">
        <v>42</v>
      </c>
      <c r="L4" s="10" t="s">
        <v>72</v>
      </c>
      <c r="M4" s="11">
        <v>1</v>
      </c>
      <c r="N4" s="11">
        <v>1</v>
      </c>
      <c r="O4" s="15"/>
    </row>
    <row r="5" ht="22" customHeight="1" spans="1:15">
      <c r="A5" s="8">
        <v>3</v>
      </c>
      <c r="B5" s="9">
        <v>46093</v>
      </c>
      <c r="C5" s="9" t="s">
        <v>17</v>
      </c>
      <c r="D5" s="10" t="s">
        <v>71</v>
      </c>
      <c r="E5" s="11">
        <v>2</v>
      </c>
      <c r="F5" s="11">
        <v>2</v>
      </c>
      <c r="G5" s="17"/>
      <c r="I5" s="14">
        <v>3</v>
      </c>
      <c r="J5" s="9">
        <v>46093</v>
      </c>
      <c r="K5" s="18" t="s">
        <v>70</v>
      </c>
      <c r="L5" s="10" t="s">
        <v>72</v>
      </c>
      <c r="M5" s="11">
        <v>2</v>
      </c>
      <c r="N5" s="15"/>
      <c r="O5" s="15"/>
    </row>
    <row r="6" ht="22" customHeight="1" spans="1:15">
      <c r="A6" s="8">
        <v>4</v>
      </c>
      <c r="B6" s="9">
        <v>46093</v>
      </c>
      <c r="C6" s="9" t="s">
        <v>18</v>
      </c>
      <c r="D6" s="10" t="s">
        <v>71</v>
      </c>
      <c r="E6" s="11">
        <v>4</v>
      </c>
      <c r="F6" s="16"/>
      <c r="G6" s="17"/>
      <c r="I6" s="14"/>
      <c r="J6" s="9"/>
      <c r="K6" s="18"/>
      <c r="L6" s="10"/>
      <c r="M6" s="12"/>
      <c r="N6" s="15"/>
      <c r="O6" s="15"/>
    </row>
    <row r="7" ht="22" customHeight="1" spans="1:15">
      <c r="A7" s="8">
        <v>5</v>
      </c>
      <c r="B7" s="9">
        <v>46093</v>
      </c>
      <c r="C7" s="9" t="s">
        <v>19</v>
      </c>
      <c r="D7" s="10" t="s">
        <v>71</v>
      </c>
      <c r="E7" s="11">
        <v>4</v>
      </c>
      <c r="F7" s="11"/>
      <c r="G7" s="17"/>
      <c r="I7" s="14"/>
      <c r="J7" s="19"/>
      <c r="K7" s="18"/>
      <c r="L7" s="20"/>
      <c r="M7" s="21"/>
      <c r="N7" s="22"/>
      <c r="O7" s="22"/>
    </row>
    <row r="8" ht="22" customHeight="1" spans="1:15">
      <c r="A8" s="8">
        <v>6</v>
      </c>
      <c r="B8" s="9">
        <v>46093</v>
      </c>
      <c r="C8" s="9" t="s">
        <v>20</v>
      </c>
      <c r="D8" s="10" t="s">
        <v>71</v>
      </c>
      <c r="E8" s="11">
        <v>4</v>
      </c>
      <c r="F8" s="11"/>
      <c r="G8" s="17"/>
      <c r="M8" s="23">
        <f>SUM(M3:M7)</f>
        <v>4</v>
      </c>
      <c r="N8" s="23">
        <f>SUM(N3:N7)</f>
        <v>2</v>
      </c>
    </row>
    <row r="9" ht="22" customHeight="1" spans="1:15">
      <c r="A9" s="8">
        <v>7</v>
      </c>
      <c r="B9" s="9">
        <v>46093</v>
      </c>
      <c r="C9" s="9" t="s">
        <v>21</v>
      </c>
      <c r="D9" s="10" t="s">
        <v>71</v>
      </c>
      <c r="E9" s="16"/>
      <c r="F9" s="11">
        <v>4</v>
      </c>
      <c r="G9" s="15"/>
    </row>
    <row r="10" ht="22" customHeight="1" spans="1:15">
      <c r="A10" s="8">
        <v>8</v>
      </c>
      <c r="B10" s="9">
        <v>46090</v>
      </c>
      <c r="C10" s="9" t="s">
        <v>22</v>
      </c>
      <c r="D10" s="10" t="s">
        <v>71</v>
      </c>
      <c r="E10" s="16"/>
      <c r="F10" s="11">
        <v>4</v>
      </c>
      <c r="G10" s="15"/>
    </row>
    <row r="11" customFormat="1" ht="22" customHeight="1" spans="1:15">
      <c r="A11" s="8"/>
      <c r="B11" s="9"/>
      <c r="C11" s="18"/>
      <c r="D11" s="10"/>
      <c r="E11" s="12"/>
      <c r="F11" s="15"/>
      <c r="G11" s="15"/>
    </row>
    <row r="12" customFormat="1" ht="22" customHeight="1" spans="1:15">
      <c r="A12" s="8"/>
      <c r="B12" s="19"/>
      <c r="C12" s="18"/>
      <c r="D12" s="20"/>
      <c r="E12" s="21"/>
      <c r="F12" s="22"/>
      <c r="G12" s="22"/>
    </row>
    <row r="13" ht="13.5" spans="1:15">
      <c r="E13" s="23">
        <f>SUM(E3:E12)</f>
        <v>18</v>
      </c>
      <c r="F13" s="23">
        <f>SUM(F3:F12)</f>
        <v>14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A1" sqref="$A1:$XFD104857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6.1428571428571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16.1428571428571" customWidth="1"/>
    <col min="12" max="14" width="12.1428571428571" customWidth="1"/>
    <col min="15" max="15" width="25.2857142857143" customWidth="1"/>
  </cols>
  <sheetData>
    <row r="1" ht="38" customHeight="1" spans="1:15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7" t="s">
        <v>2</v>
      </c>
      <c r="J2" s="7" t="s">
        <v>51</v>
      </c>
      <c r="K2" s="7" t="s">
        <v>3</v>
      </c>
      <c r="L2" s="7" t="s">
        <v>66</v>
      </c>
      <c r="M2" s="7" t="s">
        <v>67</v>
      </c>
      <c r="N2" s="7" t="s">
        <v>68</v>
      </c>
      <c r="O2" s="7" t="s">
        <v>7</v>
      </c>
    </row>
    <row r="3" ht="22" customHeight="1" spans="1:15">
      <c r="A3" s="8">
        <v>1</v>
      </c>
      <c r="B3" s="9">
        <v>46097</v>
      </c>
      <c r="C3" s="9" t="s">
        <v>13</v>
      </c>
      <c r="D3" s="10" t="s">
        <v>69</v>
      </c>
      <c r="E3" s="11">
        <v>3</v>
      </c>
      <c r="F3" s="11"/>
      <c r="G3" s="12"/>
      <c r="I3" s="14">
        <v>1</v>
      </c>
      <c r="J3" s="9">
        <v>46097</v>
      </c>
      <c r="K3" s="9" t="s">
        <v>36</v>
      </c>
      <c r="L3" s="24" t="s">
        <v>69</v>
      </c>
      <c r="M3" s="25">
        <v>2</v>
      </c>
      <c r="N3" s="25">
        <v>1</v>
      </c>
      <c r="O3" s="15"/>
    </row>
    <row r="4" ht="22" customHeight="1" spans="1:15">
      <c r="A4" s="8">
        <v>2</v>
      </c>
      <c r="B4" s="9">
        <v>46097</v>
      </c>
      <c r="C4" s="9" t="s">
        <v>16</v>
      </c>
      <c r="D4" s="10" t="s">
        <v>69</v>
      </c>
      <c r="E4" s="16"/>
      <c r="F4" s="11">
        <v>3</v>
      </c>
      <c r="G4" s="17"/>
      <c r="I4" s="14">
        <v>2</v>
      </c>
      <c r="J4" s="9">
        <v>46097</v>
      </c>
      <c r="K4" s="9" t="s">
        <v>42</v>
      </c>
      <c r="L4" s="24" t="s">
        <v>69</v>
      </c>
      <c r="M4" s="25">
        <v>2</v>
      </c>
      <c r="N4" s="25">
        <v>1</v>
      </c>
      <c r="O4" s="15"/>
    </row>
    <row r="5" ht="22" customHeight="1" spans="1:15">
      <c r="A5" s="8">
        <v>3</v>
      </c>
      <c r="B5" s="9">
        <v>46097</v>
      </c>
      <c r="C5" s="9" t="s">
        <v>17</v>
      </c>
      <c r="D5" s="10" t="s">
        <v>69</v>
      </c>
      <c r="E5" s="11">
        <v>2</v>
      </c>
      <c r="F5" s="11">
        <v>1</v>
      </c>
      <c r="G5" s="17"/>
      <c r="I5" s="14">
        <v>3</v>
      </c>
      <c r="J5" s="9">
        <v>46097</v>
      </c>
      <c r="K5" s="26" t="s">
        <v>70</v>
      </c>
      <c r="L5" s="24" t="s">
        <v>69</v>
      </c>
      <c r="M5" s="25">
        <v>3</v>
      </c>
      <c r="N5" s="15"/>
      <c r="O5" s="15"/>
    </row>
    <row r="6" ht="22" customHeight="1" spans="1:15">
      <c r="A6" s="8">
        <v>4</v>
      </c>
      <c r="B6" s="9">
        <v>46097</v>
      </c>
      <c r="C6" s="9" t="s">
        <v>18</v>
      </c>
      <c r="D6" s="10" t="s">
        <v>69</v>
      </c>
      <c r="E6" s="11">
        <v>3</v>
      </c>
      <c r="F6" s="16"/>
      <c r="G6" s="17"/>
      <c r="I6" s="14"/>
      <c r="J6" s="9"/>
      <c r="K6" s="26"/>
      <c r="L6" s="24"/>
      <c r="M6" s="12"/>
      <c r="N6" s="15"/>
      <c r="O6" s="15"/>
    </row>
    <row r="7" ht="22" customHeight="1" spans="1:15">
      <c r="A7" s="8">
        <v>5</v>
      </c>
      <c r="B7" s="9">
        <v>46097</v>
      </c>
      <c r="C7" s="9" t="s">
        <v>19</v>
      </c>
      <c r="D7" s="10" t="s">
        <v>69</v>
      </c>
      <c r="E7" s="11">
        <v>3</v>
      </c>
      <c r="F7" s="11"/>
      <c r="G7" s="17"/>
      <c r="I7" s="14"/>
      <c r="J7" s="19"/>
      <c r="K7" s="26"/>
      <c r="L7" s="14"/>
      <c r="M7" s="21"/>
      <c r="N7" s="22"/>
      <c r="O7" s="22"/>
    </row>
    <row r="8" ht="22" customHeight="1" spans="1:15">
      <c r="A8" s="8">
        <v>6</v>
      </c>
      <c r="B8" s="9">
        <v>46097</v>
      </c>
      <c r="C8" s="9" t="s">
        <v>20</v>
      </c>
      <c r="D8" s="10" t="s">
        <v>69</v>
      </c>
      <c r="E8" s="11">
        <v>3</v>
      </c>
      <c r="F8" s="11"/>
      <c r="G8" s="17"/>
      <c r="I8" s="27"/>
      <c r="J8" s="27"/>
      <c r="K8" s="27"/>
      <c r="L8" s="27"/>
      <c r="M8" s="28">
        <f>SUM(M3:M7)</f>
        <v>7</v>
      </c>
      <c r="N8" s="28">
        <f>SUM(N3:N7)</f>
        <v>2</v>
      </c>
      <c r="O8" s="27"/>
    </row>
    <row r="9" ht="22" customHeight="1" spans="1:15">
      <c r="A9" s="8">
        <v>7</v>
      </c>
      <c r="B9" s="9">
        <v>46097</v>
      </c>
      <c r="C9" s="9" t="s">
        <v>21</v>
      </c>
      <c r="D9" s="10" t="s">
        <v>69</v>
      </c>
      <c r="E9" s="16"/>
      <c r="F9" s="11">
        <v>3</v>
      </c>
      <c r="G9" s="15"/>
    </row>
    <row r="10" ht="22" customHeight="1" spans="1:15">
      <c r="A10" s="8">
        <v>8</v>
      </c>
      <c r="B10" s="9">
        <v>46097</v>
      </c>
      <c r="C10" s="9" t="s">
        <v>22</v>
      </c>
      <c r="D10" s="10" t="s">
        <v>69</v>
      </c>
      <c r="E10" s="16"/>
      <c r="F10" s="11">
        <v>3</v>
      </c>
      <c r="G10" s="15"/>
    </row>
    <row r="11" customFormat="1" ht="22" customHeight="1" spans="1:15">
      <c r="A11" s="8"/>
      <c r="B11" s="9"/>
      <c r="C11" s="18"/>
      <c r="D11" s="10"/>
      <c r="E11" s="12"/>
      <c r="F11" s="15"/>
      <c r="G11" s="15"/>
    </row>
    <row r="12" customFormat="1" ht="22" customHeight="1" spans="1:15">
      <c r="A12" s="8"/>
      <c r="B12" s="19"/>
      <c r="C12" s="18"/>
      <c r="D12" s="20"/>
      <c r="E12" s="21"/>
      <c r="F12" s="22"/>
      <c r="G12" s="22"/>
    </row>
    <row r="13" ht="13.5" spans="1:15">
      <c r="E13" s="23">
        <f>SUM(E3:E12)</f>
        <v>14</v>
      </c>
      <c r="F13" s="23">
        <f>SUM(F3:F12)</f>
        <v>10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zoomScale="85" zoomScaleNormal="85" topLeftCell="C1" workbookViewId="0">
      <selection activeCell="A1" sqref="$A1:$XFD104857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customFormat="1" ht="38" customHeight="1" spans="1:15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5" t="s">
        <v>2</v>
      </c>
      <c r="J2" s="5" t="s">
        <v>51</v>
      </c>
      <c r="K2" s="5" t="s">
        <v>3</v>
      </c>
      <c r="L2" s="6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5">
      <c r="A3" s="8">
        <v>1</v>
      </c>
      <c r="B3" s="9">
        <v>46100</v>
      </c>
      <c r="C3" s="9" t="s">
        <v>13</v>
      </c>
      <c r="D3" s="10" t="s">
        <v>71</v>
      </c>
      <c r="E3" s="11">
        <v>4</v>
      </c>
      <c r="F3" s="11"/>
      <c r="G3" s="12"/>
      <c r="I3" s="14">
        <v>1</v>
      </c>
      <c r="J3" s="9">
        <v>46100</v>
      </c>
      <c r="K3" s="9" t="s">
        <v>42</v>
      </c>
      <c r="L3" s="10" t="s">
        <v>72</v>
      </c>
      <c r="M3" s="11">
        <v>1</v>
      </c>
      <c r="N3" s="11">
        <v>1</v>
      </c>
      <c r="O3" s="15"/>
    </row>
    <row r="4" customFormat="1" ht="22" customHeight="1" spans="1:15">
      <c r="A4" s="8">
        <v>2</v>
      </c>
      <c r="B4" s="9">
        <v>46100</v>
      </c>
      <c r="C4" s="9" t="s">
        <v>16</v>
      </c>
      <c r="D4" s="10" t="s">
        <v>71</v>
      </c>
      <c r="E4" s="16"/>
      <c r="F4" s="11">
        <v>4</v>
      </c>
      <c r="G4" s="17"/>
      <c r="I4" s="14">
        <v>2</v>
      </c>
      <c r="J4" s="9">
        <v>46100</v>
      </c>
      <c r="K4" s="18" t="s">
        <v>70</v>
      </c>
      <c r="L4" s="10" t="s">
        <v>72</v>
      </c>
      <c r="M4" s="11">
        <v>2</v>
      </c>
      <c r="N4" s="15"/>
      <c r="O4" s="15"/>
    </row>
    <row r="5" customFormat="1" ht="22" customHeight="1" spans="1:15">
      <c r="A5" s="8">
        <v>3</v>
      </c>
      <c r="B5" s="9">
        <v>46100</v>
      </c>
      <c r="C5" s="9" t="s">
        <v>17</v>
      </c>
      <c r="D5" s="10" t="s">
        <v>71</v>
      </c>
      <c r="E5" s="11">
        <v>2</v>
      </c>
      <c r="F5" s="11">
        <v>2</v>
      </c>
      <c r="G5" s="17"/>
      <c r="I5" s="14"/>
      <c r="J5" s="9"/>
      <c r="K5" s="18"/>
      <c r="L5" s="10"/>
      <c r="M5" s="11"/>
      <c r="N5" s="15"/>
      <c r="O5" s="15"/>
    </row>
    <row r="6" customFormat="1" ht="22" customHeight="1" spans="1:15">
      <c r="A6" s="8">
        <v>4</v>
      </c>
      <c r="B6" s="9">
        <v>46100</v>
      </c>
      <c r="C6" s="9" t="s">
        <v>18</v>
      </c>
      <c r="D6" s="10" t="s">
        <v>71</v>
      </c>
      <c r="E6" s="11">
        <v>4</v>
      </c>
      <c r="F6" s="16"/>
      <c r="G6" s="17"/>
      <c r="I6" s="14"/>
      <c r="J6" s="9"/>
      <c r="K6" s="18"/>
      <c r="L6" s="10"/>
      <c r="M6" s="12"/>
      <c r="N6" s="15"/>
      <c r="O6" s="15"/>
    </row>
    <row r="7" customFormat="1" ht="22" customHeight="1" spans="1:15">
      <c r="A7" s="8">
        <v>5</v>
      </c>
      <c r="B7" s="9">
        <v>46100</v>
      </c>
      <c r="C7" s="9" t="s">
        <v>19</v>
      </c>
      <c r="D7" s="10" t="s">
        <v>71</v>
      </c>
      <c r="E7" s="11">
        <v>4</v>
      </c>
      <c r="F7" s="11"/>
      <c r="G7" s="17"/>
      <c r="I7" s="14"/>
      <c r="J7" s="19"/>
      <c r="K7" s="18"/>
      <c r="L7" s="20"/>
      <c r="M7" s="21"/>
      <c r="N7" s="22"/>
      <c r="O7" s="22"/>
    </row>
    <row r="8" customFormat="1" ht="22" customHeight="1" spans="1:15">
      <c r="A8" s="8">
        <v>6</v>
      </c>
      <c r="B8" s="9">
        <v>46100</v>
      </c>
      <c r="C8" s="9" t="s">
        <v>20</v>
      </c>
      <c r="D8" s="10" t="s">
        <v>71</v>
      </c>
      <c r="E8" s="11">
        <v>4</v>
      </c>
      <c r="F8" s="11"/>
      <c r="G8" s="17"/>
      <c r="M8" s="23">
        <f>SUM(M3:M7)</f>
        <v>3</v>
      </c>
      <c r="N8" s="23">
        <f>SUM(N3:N7)</f>
        <v>1</v>
      </c>
    </row>
    <row r="9" customFormat="1" ht="22" customHeight="1" spans="1:15">
      <c r="A9" s="8">
        <v>7</v>
      </c>
      <c r="B9" s="9">
        <v>46100</v>
      </c>
      <c r="C9" s="9" t="s">
        <v>21</v>
      </c>
      <c r="D9" s="10" t="s">
        <v>71</v>
      </c>
      <c r="E9" s="16"/>
      <c r="F9" s="11">
        <v>4</v>
      </c>
      <c r="G9" s="15"/>
    </row>
    <row r="10" customFormat="1" ht="22" customHeight="1" spans="1:15">
      <c r="A10" s="8">
        <v>8</v>
      </c>
      <c r="B10" s="9">
        <v>46100</v>
      </c>
      <c r="C10" s="9" t="s">
        <v>22</v>
      </c>
      <c r="D10" s="10" t="s">
        <v>71</v>
      </c>
      <c r="E10" s="16"/>
      <c r="F10" s="11">
        <v>4</v>
      </c>
      <c r="G10" s="15"/>
    </row>
    <row r="11" customFormat="1" ht="22" customHeight="1" spans="1:15">
      <c r="A11" s="8"/>
      <c r="B11" s="9"/>
      <c r="C11" s="18"/>
      <c r="D11" s="10"/>
      <c r="E11" s="12"/>
      <c r="F11" s="15"/>
      <c r="G11" s="15"/>
    </row>
    <row r="12" customFormat="1" ht="22" customHeight="1" spans="1:15">
      <c r="A12" s="8"/>
      <c r="B12" s="19"/>
      <c r="C12" s="18"/>
      <c r="D12" s="20"/>
      <c r="E12" s="21"/>
      <c r="F12" s="22"/>
      <c r="G12" s="22"/>
    </row>
    <row r="13" customFormat="1" ht="13.5" spans="1:15">
      <c r="E13" s="23">
        <f>SUM(E3:E12)</f>
        <v>18</v>
      </c>
      <c r="F13" s="23">
        <f>SUM(F3:F12)</f>
        <v>14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opLeftCell="B1" workbookViewId="0">
      <selection activeCell="N8" sqref="E13:F13 M8:N8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6.1428571428571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16.1428571428571" customWidth="1"/>
    <col min="12" max="14" width="12.1428571428571" customWidth="1"/>
    <col min="15" max="15" width="25.2857142857143" customWidth="1"/>
  </cols>
  <sheetData>
    <row r="1" customFormat="1" ht="38" customHeight="1" spans="1:15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7" t="s">
        <v>2</v>
      </c>
      <c r="J2" s="7" t="s">
        <v>51</v>
      </c>
      <c r="K2" s="7" t="s">
        <v>3</v>
      </c>
      <c r="L2" s="7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5">
      <c r="A3" s="8">
        <v>1</v>
      </c>
      <c r="B3" s="9">
        <v>46104</v>
      </c>
      <c r="C3" s="9" t="s">
        <v>13</v>
      </c>
      <c r="D3" s="10" t="s">
        <v>69</v>
      </c>
      <c r="E3" s="11">
        <v>3</v>
      </c>
      <c r="F3" s="11"/>
      <c r="G3" s="12"/>
      <c r="I3" s="14">
        <v>1</v>
      </c>
      <c r="J3" s="9">
        <v>46104</v>
      </c>
      <c r="K3" s="9" t="s">
        <v>42</v>
      </c>
      <c r="L3" s="24" t="s">
        <v>69</v>
      </c>
      <c r="M3" s="25">
        <v>2</v>
      </c>
      <c r="N3" s="25">
        <v>1</v>
      </c>
      <c r="O3" s="15"/>
    </row>
    <row r="4" customFormat="1" ht="22" customHeight="1" spans="1:15">
      <c r="A4" s="8">
        <v>2</v>
      </c>
      <c r="B4" s="9">
        <v>46104</v>
      </c>
      <c r="C4" s="9" t="s">
        <v>16</v>
      </c>
      <c r="D4" s="10" t="s">
        <v>69</v>
      </c>
      <c r="E4" s="16"/>
      <c r="F4" s="11">
        <v>3</v>
      </c>
      <c r="G4" s="17"/>
      <c r="I4" s="14">
        <v>2</v>
      </c>
      <c r="J4" s="9">
        <v>46104</v>
      </c>
      <c r="K4" s="26" t="s">
        <v>70</v>
      </c>
      <c r="L4" s="24" t="s">
        <v>69</v>
      </c>
      <c r="M4" s="25">
        <v>3</v>
      </c>
      <c r="N4" s="15"/>
      <c r="O4" s="15"/>
    </row>
    <row r="5" customFormat="1" ht="22" customHeight="1" spans="1:15">
      <c r="A5" s="8">
        <v>3</v>
      </c>
      <c r="B5" s="9">
        <v>46104</v>
      </c>
      <c r="C5" s="9" t="s">
        <v>17</v>
      </c>
      <c r="D5" s="10" t="s">
        <v>69</v>
      </c>
      <c r="E5" s="11">
        <v>2</v>
      </c>
      <c r="F5" s="11">
        <v>1</v>
      </c>
      <c r="G5" s="17"/>
      <c r="I5" s="27"/>
      <c r="J5" s="27"/>
      <c r="K5" s="27"/>
      <c r="L5" s="27"/>
      <c r="M5" s="27"/>
      <c r="N5" s="27"/>
      <c r="O5" s="15"/>
    </row>
    <row r="6" customFormat="1" ht="22" customHeight="1" spans="1:15">
      <c r="A6" s="8">
        <v>4</v>
      </c>
      <c r="B6" s="9">
        <v>46104</v>
      </c>
      <c r="C6" s="9" t="s">
        <v>18</v>
      </c>
      <c r="D6" s="10" t="s">
        <v>69</v>
      </c>
      <c r="E6" s="11">
        <v>3</v>
      </c>
      <c r="F6" s="16"/>
      <c r="G6" s="17"/>
      <c r="I6" s="14"/>
      <c r="J6" s="9"/>
      <c r="K6" s="26"/>
      <c r="L6" s="24"/>
      <c r="M6" s="12"/>
      <c r="N6" s="15"/>
      <c r="O6" s="15"/>
    </row>
    <row r="7" customFormat="1" ht="22" customHeight="1" spans="1:15">
      <c r="A7" s="8">
        <v>5</v>
      </c>
      <c r="B7" s="9">
        <v>46104</v>
      </c>
      <c r="C7" s="9" t="s">
        <v>19</v>
      </c>
      <c r="D7" s="10" t="s">
        <v>69</v>
      </c>
      <c r="E7" s="11">
        <v>3</v>
      </c>
      <c r="F7" s="11"/>
      <c r="G7" s="17"/>
      <c r="I7" s="14"/>
      <c r="J7" s="19"/>
      <c r="K7" s="26"/>
      <c r="L7" s="14"/>
      <c r="M7" s="21"/>
      <c r="N7" s="22"/>
      <c r="O7" s="22"/>
    </row>
    <row r="8" customFormat="1" ht="22" customHeight="1" spans="1:15">
      <c r="A8" s="8">
        <v>6</v>
      </c>
      <c r="B8" s="9">
        <v>46104</v>
      </c>
      <c r="C8" s="9" t="s">
        <v>20</v>
      </c>
      <c r="D8" s="10" t="s">
        <v>69</v>
      </c>
      <c r="E8" s="11">
        <v>3</v>
      </c>
      <c r="F8" s="11"/>
      <c r="G8" s="17"/>
      <c r="I8" s="27"/>
      <c r="J8" s="27"/>
      <c r="K8" s="27"/>
      <c r="L8" s="27"/>
      <c r="M8" s="28">
        <f>SUM(M3:M7)</f>
        <v>5</v>
      </c>
      <c r="N8" s="28">
        <f>SUM(N3:N7)</f>
        <v>1</v>
      </c>
      <c r="O8" s="27"/>
    </row>
    <row r="9" customFormat="1" ht="22" customHeight="1" spans="1:15">
      <c r="A9" s="8">
        <v>7</v>
      </c>
      <c r="B9" s="9">
        <v>46104</v>
      </c>
      <c r="C9" s="9" t="s">
        <v>21</v>
      </c>
      <c r="D9" s="10" t="s">
        <v>69</v>
      </c>
      <c r="E9" s="16"/>
      <c r="F9" s="11">
        <v>3</v>
      </c>
      <c r="G9" s="15"/>
    </row>
    <row r="10" customFormat="1" ht="22" customHeight="1" spans="1:15">
      <c r="A10" s="8">
        <v>8</v>
      </c>
      <c r="B10" s="9">
        <v>46104</v>
      </c>
      <c r="C10" s="9" t="s">
        <v>22</v>
      </c>
      <c r="D10" s="10" t="s">
        <v>69</v>
      </c>
      <c r="E10" s="16"/>
      <c r="F10" s="11">
        <v>3</v>
      </c>
      <c r="G10" s="15"/>
    </row>
    <row r="11" customFormat="1" ht="22" customHeight="1" spans="1:15">
      <c r="A11" s="8"/>
      <c r="B11" s="9"/>
      <c r="C11" s="18"/>
      <c r="D11" s="10"/>
      <c r="E11" s="12"/>
      <c r="F11" s="15"/>
      <c r="G11" s="15"/>
    </row>
    <row r="12" customFormat="1" ht="22" customHeight="1" spans="1:15">
      <c r="A12" s="8"/>
      <c r="B12" s="19"/>
      <c r="C12" s="18"/>
      <c r="D12" s="20"/>
      <c r="E12" s="21"/>
      <c r="F12" s="22"/>
      <c r="G12" s="22"/>
    </row>
    <row r="13" customFormat="1" ht="13.5" spans="1:15">
      <c r="E13" s="23">
        <f>SUM(E3:E12)</f>
        <v>14</v>
      </c>
      <c r="F13" s="23">
        <f>SUM(F3:F12)</f>
        <v>10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M8" sqref="E13:F13 M8:N8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6.4285714285714" customWidth="1"/>
    <col min="4" max="4" width="13.4285714285714" customWidth="1"/>
    <col min="5" max="6" width="9.14285714285714" customWidth="1"/>
    <col min="7" max="7" width="13.7142857142857" customWidth="1"/>
    <col min="9" max="9" width="7.85714285714286" customWidth="1"/>
    <col min="10" max="10" width="14.4285714285714" customWidth="1"/>
    <col min="11" max="11" width="11.4285714285714" customWidth="1"/>
    <col min="12" max="12" width="12.1428571428571" customWidth="1"/>
    <col min="13" max="14" width="7.28571428571429" customWidth="1"/>
    <col min="15" max="15" width="17.1428571428571" customWidth="1"/>
  </cols>
  <sheetData>
    <row r="1" customFormat="1" ht="38" customHeight="1" spans="1:15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5" t="s">
        <v>2</v>
      </c>
      <c r="J2" s="5" t="s">
        <v>51</v>
      </c>
      <c r="K2" s="5" t="s">
        <v>3</v>
      </c>
      <c r="L2" s="6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5">
      <c r="A3" s="8">
        <v>1</v>
      </c>
      <c r="B3" s="9">
        <v>46107</v>
      </c>
      <c r="C3" s="9" t="s">
        <v>13</v>
      </c>
      <c r="D3" s="10" t="s">
        <v>71</v>
      </c>
      <c r="E3" s="11">
        <v>4</v>
      </c>
      <c r="F3" s="11"/>
      <c r="G3" s="12"/>
      <c r="I3" s="14">
        <v>1</v>
      </c>
      <c r="J3" s="9">
        <v>46107</v>
      </c>
      <c r="K3" s="9" t="s">
        <v>42</v>
      </c>
      <c r="L3" s="10" t="s">
        <v>72</v>
      </c>
      <c r="M3" s="11">
        <v>1</v>
      </c>
      <c r="N3" s="11">
        <v>1</v>
      </c>
      <c r="O3" s="15"/>
    </row>
    <row r="4" customFormat="1" ht="22" customHeight="1" spans="1:15">
      <c r="A4" s="8">
        <v>2</v>
      </c>
      <c r="B4" s="9">
        <v>46107</v>
      </c>
      <c r="C4" s="9" t="s">
        <v>16</v>
      </c>
      <c r="D4" s="10" t="s">
        <v>71</v>
      </c>
      <c r="E4" s="16"/>
      <c r="F4" s="11">
        <v>4</v>
      </c>
      <c r="G4" s="17"/>
      <c r="I4" s="14">
        <v>2</v>
      </c>
      <c r="J4" s="9">
        <v>46107</v>
      </c>
      <c r="K4" s="18" t="s">
        <v>70</v>
      </c>
      <c r="L4" s="10" t="s">
        <v>72</v>
      </c>
      <c r="M4" s="11">
        <v>2</v>
      </c>
      <c r="N4" s="15"/>
      <c r="O4" s="15"/>
    </row>
    <row r="5" customFormat="1" ht="22" customHeight="1" spans="1:15">
      <c r="A5" s="8">
        <v>3</v>
      </c>
      <c r="B5" s="9">
        <v>46107</v>
      </c>
      <c r="C5" s="9" t="s">
        <v>17</v>
      </c>
      <c r="D5" s="10" t="s">
        <v>71</v>
      </c>
      <c r="E5" s="11">
        <v>2</v>
      </c>
      <c r="F5" s="11">
        <v>2</v>
      </c>
      <c r="G5" s="17"/>
      <c r="I5" s="14"/>
      <c r="J5" s="9"/>
      <c r="K5" s="18"/>
      <c r="L5" s="10"/>
      <c r="M5" s="11"/>
      <c r="N5" s="15"/>
      <c r="O5" s="15"/>
    </row>
    <row r="6" customFormat="1" ht="22" customHeight="1" spans="1:15">
      <c r="A6" s="8">
        <v>4</v>
      </c>
      <c r="B6" s="9">
        <v>46107</v>
      </c>
      <c r="C6" s="9" t="s">
        <v>18</v>
      </c>
      <c r="D6" s="10" t="s">
        <v>71</v>
      </c>
      <c r="E6" s="11">
        <v>4</v>
      </c>
      <c r="F6" s="16"/>
      <c r="G6" s="17"/>
      <c r="I6" s="14"/>
      <c r="J6" s="9"/>
      <c r="K6" s="18"/>
      <c r="L6" s="10"/>
      <c r="M6" s="12"/>
      <c r="N6" s="15"/>
      <c r="O6" s="15"/>
    </row>
    <row r="7" customFormat="1" ht="22" customHeight="1" spans="1:15">
      <c r="A7" s="8">
        <v>5</v>
      </c>
      <c r="B7" s="9">
        <v>46107</v>
      </c>
      <c r="C7" s="9" t="s">
        <v>19</v>
      </c>
      <c r="D7" s="10" t="s">
        <v>71</v>
      </c>
      <c r="E7" s="11">
        <v>4</v>
      </c>
      <c r="F7" s="11"/>
      <c r="G7" s="17"/>
      <c r="I7" s="14"/>
      <c r="J7" s="19"/>
      <c r="K7" s="18"/>
      <c r="L7" s="20"/>
      <c r="M7" s="21"/>
      <c r="N7" s="22"/>
      <c r="O7" s="22"/>
    </row>
    <row r="8" customFormat="1" ht="22" customHeight="1" spans="1:15">
      <c r="A8" s="8">
        <v>6</v>
      </c>
      <c r="B8" s="9">
        <v>46107</v>
      </c>
      <c r="C8" s="9" t="s">
        <v>20</v>
      </c>
      <c r="D8" s="10" t="s">
        <v>71</v>
      </c>
      <c r="E8" s="11">
        <v>4</v>
      </c>
      <c r="F8" s="11"/>
      <c r="G8" s="17"/>
      <c r="M8" s="23">
        <f>SUM(M3:M7)</f>
        <v>3</v>
      </c>
      <c r="N8" s="23">
        <f>SUM(N3:N7)</f>
        <v>1</v>
      </c>
    </row>
    <row r="9" customFormat="1" ht="22" customHeight="1" spans="1:15">
      <c r="A9" s="8">
        <v>7</v>
      </c>
      <c r="B9" s="9">
        <v>46107</v>
      </c>
      <c r="C9" s="9" t="s">
        <v>21</v>
      </c>
      <c r="D9" s="10" t="s">
        <v>71</v>
      </c>
      <c r="E9" s="16"/>
      <c r="F9" s="11">
        <v>4</v>
      </c>
      <c r="G9" s="15"/>
    </row>
    <row r="10" customFormat="1" ht="22" customHeight="1" spans="1:15">
      <c r="A10" s="8">
        <v>8</v>
      </c>
      <c r="B10" s="9">
        <v>46107</v>
      </c>
      <c r="C10" s="9" t="s">
        <v>22</v>
      </c>
      <c r="D10" s="10" t="s">
        <v>71</v>
      </c>
      <c r="E10" s="16"/>
      <c r="F10" s="11">
        <v>4</v>
      </c>
      <c r="G10" s="15"/>
    </row>
    <row r="11" customFormat="1" ht="22" customHeight="1" spans="1:15">
      <c r="A11" s="8"/>
      <c r="B11" s="9"/>
      <c r="C11" s="18"/>
      <c r="D11" s="10"/>
      <c r="E11" s="12"/>
      <c r="F11" s="15"/>
      <c r="G11" s="15"/>
    </row>
    <row r="12" customFormat="1" ht="22" customHeight="1" spans="1:15">
      <c r="A12" s="8"/>
      <c r="B12" s="19"/>
      <c r="C12" s="18"/>
      <c r="D12" s="20"/>
      <c r="E12" s="21"/>
      <c r="F12" s="22"/>
      <c r="G12" s="22"/>
    </row>
    <row r="13" customFormat="1" ht="13.5" spans="1:15">
      <c r="E13" s="23">
        <f>SUM(E3:E12)</f>
        <v>18</v>
      </c>
      <c r="F13" s="23">
        <f>SUM(F3:F12)</f>
        <v>14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opLeftCell="C1" workbookViewId="0">
      <selection activeCell="M8" sqref="E13:F13 M8:N8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6.1428571428571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16.1428571428571" customWidth="1"/>
    <col min="12" max="14" width="12.1428571428571" customWidth="1"/>
    <col min="15" max="15" width="25.2857142857143" customWidth="1"/>
  </cols>
  <sheetData>
    <row r="1" customFormat="1" ht="38" customHeight="1" spans="1:15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7" t="s">
        <v>2</v>
      </c>
      <c r="J2" s="7" t="s">
        <v>51</v>
      </c>
      <c r="K2" s="7" t="s">
        <v>3</v>
      </c>
      <c r="L2" s="7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5">
      <c r="A3" s="8">
        <v>1</v>
      </c>
      <c r="B3" s="9">
        <v>46111</v>
      </c>
      <c r="C3" s="9" t="s">
        <v>13</v>
      </c>
      <c r="D3" s="10" t="s">
        <v>69</v>
      </c>
      <c r="E3" s="11">
        <v>3</v>
      </c>
      <c r="F3" s="11"/>
      <c r="G3" s="12"/>
      <c r="I3" s="14">
        <v>1</v>
      </c>
      <c r="J3" s="9">
        <v>46111</v>
      </c>
      <c r="K3" s="9" t="s">
        <v>42</v>
      </c>
      <c r="L3" s="24" t="s">
        <v>69</v>
      </c>
      <c r="M3" s="25">
        <v>2</v>
      </c>
      <c r="N3" s="25">
        <v>1</v>
      </c>
      <c r="O3" s="15"/>
    </row>
    <row r="4" customFormat="1" ht="22" customHeight="1" spans="1:15">
      <c r="A4" s="8">
        <v>2</v>
      </c>
      <c r="B4" s="9">
        <v>46111</v>
      </c>
      <c r="C4" s="9" t="s">
        <v>16</v>
      </c>
      <c r="D4" s="10" t="s">
        <v>69</v>
      </c>
      <c r="E4" s="16"/>
      <c r="F4" s="11">
        <v>3</v>
      </c>
      <c r="G4" s="17"/>
      <c r="I4" s="14">
        <v>2</v>
      </c>
      <c r="J4" s="9">
        <v>46111</v>
      </c>
      <c r="K4" s="26" t="s">
        <v>70</v>
      </c>
      <c r="L4" s="24" t="s">
        <v>69</v>
      </c>
      <c r="M4" s="25">
        <v>3</v>
      </c>
      <c r="N4" s="15"/>
      <c r="O4" s="15" t="s">
        <v>73</v>
      </c>
    </row>
    <row r="5" customFormat="1" ht="22" customHeight="1" spans="1:15">
      <c r="A5" s="8">
        <v>3</v>
      </c>
      <c r="B5" s="9">
        <v>46111</v>
      </c>
      <c r="C5" s="9" t="s">
        <v>17</v>
      </c>
      <c r="D5" s="10" t="s">
        <v>69</v>
      </c>
      <c r="E5" s="11">
        <v>2</v>
      </c>
      <c r="F5" s="11">
        <v>1</v>
      </c>
      <c r="G5" s="17"/>
      <c r="I5" s="27"/>
      <c r="J5" s="27"/>
      <c r="K5" s="27"/>
      <c r="L5" s="27"/>
      <c r="M5" s="27"/>
      <c r="N5" s="27"/>
      <c r="O5" s="15"/>
    </row>
    <row r="6" customFormat="1" ht="22" customHeight="1" spans="1:15">
      <c r="A6" s="8">
        <v>4</v>
      </c>
      <c r="B6" s="9">
        <v>46111</v>
      </c>
      <c r="C6" s="9" t="s">
        <v>18</v>
      </c>
      <c r="D6" s="10" t="s">
        <v>69</v>
      </c>
      <c r="E6" s="11">
        <v>3</v>
      </c>
      <c r="F6" s="16"/>
      <c r="G6" s="17"/>
      <c r="I6" s="14"/>
      <c r="J6" s="9"/>
      <c r="K6" s="26"/>
      <c r="L6" s="24"/>
      <c r="M6" s="12"/>
      <c r="N6" s="15"/>
      <c r="O6" s="15"/>
    </row>
    <row r="7" customFormat="1" ht="22" customHeight="1" spans="1:15">
      <c r="A7" s="8">
        <v>5</v>
      </c>
      <c r="B7" s="9">
        <v>46111</v>
      </c>
      <c r="C7" s="9" t="s">
        <v>19</v>
      </c>
      <c r="D7" s="10" t="s">
        <v>69</v>
      </c>
      <c r="E7" s="11">
        <v>3</v>
      </c>
      <c r="F7" s="11"/>
      <c r="G7" s="17"/>
      <c r="I7" s="14"/>
      <c r="J7" s="19"/>
      <c r="K7" s="26"/>
      <c r="L7" s="14"/>
      <c r="M7" s="21"/>
      <c r="N7" s="22"/>
      <c r="O7" s="22"/>
    </row>
    <row r="8" customFormat="1" ht="22" customHeight="1" spans="1:15">
      <c r="A8" s="8">
        <v>6</v>
      </c>
      <c r="B8" s="9">
        <v>46111</v>
      </c>
      <c r="C8" s="9" t="s">
        <v>20</v>
      </c>
      <c r="D8" s="10" t="s">
        <v>69</v>
      </c>
      <c r="E8" s="11">
        <v>3</v>
      </c>
      <c r="F8" s="11"/>
      <c r="G8" s="17"/>
      <c r="I8" s="27"/>
      <c r="J8" s="27"/>
      <c r="K8" s="27"/>
      <c r="L8" s="27"/>
      <c r="M8" s="28">
        <f>SUM(M3:M7)</f>
        <v>5</v>
      </c>
      <c r="N8" s="28">
        <f>SUM(N3:N7)</f>
        <v>1</v>
      </c>
      <c r="O8" s="27"/>
    </row>
    <row r="9" customFormat="1" ht="22" customHeight="1" spans="1:15">
      <c r="A9" s="8">
        <v>7</v>
      </c>
      <c r="B9" s="9">
        <v>46111</v>
      </c>
      <c r="C9" s="9" t="s">
        <v>21</v>
      </c>
      <c r="D9" s="10" t="s">
        <v>69</v>
      </c>
      <c r="E9" s="16"/>
      <c r="F9" s="11">
        <v>3</v>
      </c>
      <c r="G9" s="15"/>
    </row>
    <row r="10" customFormat="1" ht="22" customHeight="1" spans="1:15">
      <c r="A10" s="8">
        <v>8</v>
      </c>
      <c r="B10" s="9">
        <v>46111</v>
      </c>
      <c r="C10" s="9" t="s">
        <v>22</v>
      </c>
      <c r="D10" s="10" t="s">
        <v>69</v>
      </c>
      <c r="E10" s="16"/>
      <c r="F10" s="11">
        <v>3</v>
      </c>
      <c r="G10" s="15"/>
    </row>
    <row r="11" customFormat="1" ht="22" customHeight="1" spans="1:15">
      <c r="A11" s="8"/>
      <c r="B11" s="9"/>
      <c r="C11" s="18"/>
      <c r="D11" s="10"/>
      <c r="E11" s="12"/>
      <c r="F11" s="15"/>
      <c r="G11" s="15"/>
    </row>
    <row r="12" customFormat="1" ht="22" customHeight="1" spans="1:15">
      <c r="A12" s="8"/>
      <c r="B12" s="19"/>
      <c r="C12" s="18"/>
      <c r="D12" s="20"/>
      <c r="E12" s="21"/>
      <c r="F12" s="22"/>
      <c r="G12" s="22"/>
    </row>
    <row r="13" customFormat="1" ht="13.5" spans="1:15">
      <c r="E13" s="23">
        <f>SUM(E3:E12)</f>
        <v>14</v>
      </c>
      <c r="F13" s="23">
        <f>SUM(F3:F12)</f>
        <v>10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E21" sqref="D21:E21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6.4285714285714" customWidth="1"/>
    <col min="4" max="4" width="13.4285714285714" customWidth="1"/>
    <col min="5" max="6" width="9.14285714285714" customWidth="1"/>
    <col min="7" max="7" width="13.7142857142857" customWidth="1"/>
    <col min="9" max="9" width="7.85714285714286" customWidth="1"/>
    <col min="10" max="10" width="14.4285714285714" customWidth="1"/>
    <col min="11" max="11" width="11.4285714285714" customWidth="1"/>
    <col min="12" max="12" width="12.1428571428571" customWidth="1"/>
    <col min="13" max="14" width="7.28571428571429" customWidth="1"/>
    <col min="15" max="15" width="17.1428571428571" customWidth="1"/>
  </cols>
  <sheetData>
    <row r="1" customFormat="1" ht="38" customHeight="1" spans="1:15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5" t="s">
        <v>2</v>
      </c>
      <c r="J2" s="5" t="s">
        <v>51</v>
      </c>
      <c r="K2" s="5" t="s">
        <v>3</v>
      </c>
      <c r="L2" s="6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5">
      <c r="A3" s="8">
        <v>1</v>
      </c>
      <c r="B3" s="9">
        <v>46114</v>
      </c>
      <c r="C3" s="9" t="s">
        <v>13</v>
      </c>
      <c r="D3" s="10" t="s">
        <v>71</v>
      </c>
      <c r="E3" s="11">
        <v>4</v>
      </c>
      <c r="F3" s="11"/>
      <c r="G3" s="12"/>
      <c r="I3" s="14">
        <v>1</v>
      </c>
      <c r="J3" s="9">
        <v>46114</v>
      </c>
      <c r="K3" s="9" t="s">
        <v>42</v>
      </c>
      <c r="L3" s="10" t="s">
        <v>72</v>
      </c>
      <c r="M3" s="11">
        <v>1</v>
      </c>
      <c r="N3" s="11">
        <v>1</v>
      </c>
      <c r="O3" s="15"/>
    </row>
    <row r="4" customFormat="1" ht="22" customHeight="1" spans="1:15">
      <c r="A4" s="8">
        <v>2</v>
      </c>
      <c r="B4" s="9">
        <v>46114</v>
      </c>
      <c r="C4" s="9" t="s">
        <v>16</v>
      </c>
      <c r="D4" s="10" t="s">
        <v>71</v>
      </c>
      <c r="E4" s="16"/>
      <c r="F4" s="11">
        <v>4</v>
      </c>
      <c r="G4" s="17"/>
      <c r="I4" s="14"/>
      <c r="J4" s="9"/>
      <c r="K4" s="18"/>
      <c r="L4" s="10"/>
      <c r="M4" s="11"/>
      <c r="N4" s="15"/>
      <c r="O4" s="15"/>
    </row>
    <row r="5" customFormat="1" ht="22" customHeight="1" spans="1:15">
      <c r="A5" s="8">
        <v>3</v>
      </c>
      <c r="B5" s="9">
        <v>46114</v>
      </c>
      <c r="C5" s="9" t="s">
        <v>17</v>
      </c>
      <c r="D5" s="10" t="s">
        <v>71</v>
      </c>
      <c r="E5" s="11">
        <v>2</v>
      </c>
      <c r="F5" s="11">
        <v>2</v>
      </c>
      <c r="G5" s="17"/>
      <c r="I5" s="14"/>
      <c r="J5" s="9"/>
      <c r="K5" s="18"/>
      <c r="L5" s="10"/>
      <c r="M5" s="11"/>
      <c r="N5" s="15"/>
      <c r="O5" s="15"/>
    </row>
    <row r="6" customFormat="1" ht="22" customHeight="1" spans="1:15">
      <c r="A6" s="8">
        <v>4</v>
      </c>
      <c r="B6" s="9">
        <v>46114</v>
      </c>
      <c r="C6" s="9" t="s">
        <v>18</v>
      </c>
      <c r="D6" s="10" t="s">
        <v>71</v>
      </c>
      <c r="E6" s="11">
        <v>4</v>
      </c>
      <c r="F6" s="16"/>
      <c r="G6" s="17"/>
      <c r="I6" s="14"/>
      <c r="J6" s="9"/>
      <c r="K6" s="18"/>
      <c r="L6" s="10"/>
      <c r="M6" s="12"/>
      <c r="N6" s="15"/>
      <c r="O6" s="15"/>
    </row>
    <row r="7" customFormat="1" ht="22" customHeight="1" spans="1:15">
      <c r="A7" s="8">
        <v>5</v>
      </c>
      <c r="B7" s="9">
        <v>46114</v>
      </c>
      <c r="C7" s="9" t="s">
        <v>19</v>
      </c>
      <c r="D7" s="10" t="s">
        <v>71</v>
      </c>
      <c r="E7" s="11">
        <v>4</v>
      </c>
      <c r="F7" s="11"/>
      <c r="G7" s="17"/>
      <c r="I7" s="14"/>
      <c r="J7" s="19"/>
      <c r="K7" s="18"/>
      <c r="L7" s="20"/>
      <c r="M7" s="21"/>
      <c r="N7" s="22"/>
      <c r="O7" s="22"/>
    </row>
    <row r="8" customFormat="1" ht="22" customHeight="1" spans="1:15">
      <c r="A8" s="8">
        <v>6</v>
      </c>
      <c r="B8" s="9">
        <v>46114</v>
      </c>
      <c r="C8" s="9" t="s">
        <v>20</v>
      </c>
      <c r="D8" s="10" t="s">
        <v>71</v>
      </c>
      <c r="E8" s="11">
        <v>4</v>
      </c>
      <c r="F8" s="11"/>
      <c r="G8" s="17"/>
      <c r="M8" s="23">
        <f>SUM(M3:M7)</f>
        <v>1</v>
      </c>
      <c r="N8" s="23">
        <f>SUM(N3:N7)</f>
        <v>1</v>
      </c>
    </row>
    <row r="9" customFormat="1" ht="22" customHeight="1" spans="1:15">
      <c r="A9" s="8">
        <v>7</v>
      </c>
      <c r="B9" s="9">
        <v>46114</v>
      </c>
      <c r="C9" s="9" t="s">
        <v>21</v>
      </c>
      <c r="D9" s="10" t="s">
        <v>71</v>
      </c>
      <c r="E9" s="16"/>
      <c r="F9" s="11">
        <v>4</v>
      </c>
      <c r="G9" s="15"/>
    </row>
    <row r="10" customFormat="1" ht="22" customHeight="1" spans="1:15">
      <c r="A10" s="8">
        <v>8</v>
      </c>
      <c r="B10" s="9">
        <v>46114</v>
      </c>
      <c r="C10" s="9" t="s">
        <v>22</v>
      </c>
      <c r="D10" s="10" t="s">
        <v>71</v>
      </c>
      <c r="E10" s="16"/>
      <c r="F10" s="11">
        <v>4</v>
      </c>
      <c r="G10" s="15"/>
    </row>
    <row r="11" customFormat="1" ht="22" customHeight="1" spans="1:15">
      <c r="A11" s="8"/>
      <c r="B11" s="9"/>
      <c r="C11" s="18"/>
      <c r="D11" s="10"/>
      <c r="E11" s="12"/>
      <c r="F11" s="15"/>
      <c r="G11" s="15"/>
    </row>
    <row r="12" customFormat="1" ht="22" customHeight="1" spans="1:15">
      <c r="A12" s="8"/>
      <c r="B12" s="19"/>
      <c r="C12" s="18"/>
      <c r="D12" s="20"/>
      <c r="E12" s="21"/>
      <c r="F12" s="22"/>
      <c r="G12" s="22"/>
    </row>
    <row r="13" customFormat="1" ht="13.5" spans="1:15">
      <c r="E13" s="23">
        <f>SUM(E3:E12)</f>
        <v>18</v>
      </c>
      <c r="F13" s="23">
        <f>SUM(F3:F12)</f>
        <v>14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M8" sqref="E13:F13 M8:N8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6.1428571428571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16.1428571428571" customWidth="1"/>
    <col min="12" max="14" width="12.1428571428571" customWidth="1"/>
    <col min="15" max="15" width="25.2857142857143" customWidth="1"/>
  </cols>
  <sheetData>
    <row r="1" customFormat="1" ht="38" customHeight="1" spans="1:15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7" t="s">
        <v>2</v>
      </c>
      <c r="J2" s="7" t="s">
        <v>51</v>
      </c>
      <c r="K2" s="7" t="s">
        <v>3</v>
      </c>
      <c r="L2" s="7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5">
      <c r="A3" s="8">
        <v>1</v>
      </c>
      <c r="B3" s="9">
        <v>46119</v>
      </c>
      <c r="C3" s="9" t="s">
        <v>13</v>
      </c>
      <c r="D3" s="10" t="s">
        <v>69</v>
      </c>
      <c r="E3" s="11">
        <v>3</v>
      </c>
      <c r="F3" s="11"/>
      <c r="G3" s="12"/>
      <c r="I3" s="14">
        <v>1</v>
      </c>
      <c r="J3" s="9">
        <v>46119</v>
      </c>
      <c r="K3" s="9" t="s">
        <v>42</v>
      </c>
      <c r="L3" s="24" t="s">
        <v>69</v>
      </c>
      <c r="M3" s="25">
        <v>2</v>
      </c>
      <c r="N3" s="25">
        <v>1</v>
      </c>
      <c r="O3" s="15"/>
    </row>
    <row r="4" customFormat="1" ht="22" customHeight="1" spans="1:15">
      <c r="A4" s="8">
        <v>2</v>
      </c>
      <c r="B4" s="9">
        <v>46119</v>
      </c>
      <c r="C4" s="9" t="s">
        <v>16</v>
      </c>
      <c r="D4" s="10" t="s">
        <v>69</v>
      </c>
      <c r="E4" s="16"/>
      <c r="F4" s="11">
        <v>3</v>
      </c>
      <c r="G4" s="17"/>
      <c r="I4" s="14"/>
      <c r="J4" s="9"/>
      <c r="K4" s="26"/>
      <c r="L4" s="24"/>
      <c r="M4" s="25"/>
      <c r="N4" s="15"/>
      <c r="O4" s="15"/>
    </row>
    <row r="5" customFormat="1" ht="22" customHeight="1" spans="1:15">
      <c r="A5" s="8">
        <v>3</v>
      </c>
      <c r="B5" s="9">
        <v>46119</v>
      </c>
      <c r="C5" s="9" t="s">
        <v>17</v>
      </c>
      <c r="D5" s="10" t="s">
        <v>69</v>
      </c>
      <c r="E5" s="11">
        <v>2</v>
      </c>
      <c r="F5" s="11">
        <v>1</v>
      </c>
      <c r="G5" s="17"/>
      <c r="I5" s="27"/>
      <c r="J5" s="27"/>
      <c r="K5" s="27"/>
      <c r="L5" s="27"/>
      <c r="M5" s="27"/>
      <c r="N5" s="27"/>
      <c r="O5" s="15"/>
    </row>
    <row r="6" customFormat="1" ht="22" customHeight="1" spans="1:15">
      <c r="A6" s="8">
        <v>4</v>
      </c>
      <c r="B6" s="9">
        <v>46119</v>
      </c>
      <c r="C6" s="9" t="s">
        <v>18</v>
      </c>
      <c r="D6" s="10" t="s">
        <v>69</v>
      </c>
      <c r="E6" s="11">
        <v>3</v>
      </c>
      <c r="F6" s="16"/>
      <c r="G6" s="17"/>
      <c r="I6" s="14"/>
      <c r="J6" s="9"/>
      <c r="K6" s="26"/>
      <c r="L6" s="24"/>
      <c r="M6" s="12"/>
      <c r="N6" s="15"/>
      <c r="O6" s="15"/>
    </row>
    <row r="7" customFormat="1" ht="22" customHeight="1" spans="1:15">
      <c r="A7" s="8">
        <v>5</v>
      </c>
      <c r="B7" s="9">
        <v>46119</v>
      </c>
      <c r="C7" s="9" t="s">
        <v>19</v>
      </c>
      <c r="D7" s="10" t="s">
        <v>69</v>
      </c>
      <c r="E7" s="11">
        <v>3</v>
      </c>
      <c r="F7" s="11"/>
      <c r="G7" s="17"/>
      <c r="I7" s="14"/>
      <c r="J7" s="19"/>
      <c r="K7" s="26"/>
      <c r="L7" s="14"/>
      <c r="M7" s="21"/>
      <c r="N7" s="22"/>
      <c r="O7" s="22"/>
    </row>
    <row r="8" customFormat="1" ht="22" customHeight="1" spans="1:15">
      <c r="A8" s="8">
        <v>6</v>
      </c>
      <c r="B8" s="9">
        <v>46119</v>
      </c>
      <c r="C8" s="9" t="s">
        <v>20</v>
      </c>
      <c r="D8" s="10" t="s">
        <v>69</v>
      </c>
      <c r="E8" s="11">
        <v>3</v>
      </c>
      <c r="F8" s="11"/>
      <c r="G8" s="17"/>
      <c r="I8" s="27"/>
      <c r="J8" s="27"/>
      <c r="K8" s="27"/>
      <c r="L8" s="27"/>
      <c r="M8" s="28">
        <f>SUM(M3:M7)</f>
        <v>2</v>
      </c>
      <c r="N8" s="28">
        <f>SUM(N3:N7)</f>
        <v>1</v>
      </c>
      <c r="O8" s="27"/>
    </row>
    <row r="9" customFormat="1" ht="22" customHeight="1" spans="1:15">
      <c r="A9" s="8">
        <v>7</v>
      </c>
      <c r="B9" s="9">
        <v>46119</v>
      </c>
      <c r="C9" s="9" t="s">
        <v>21</v>
      </c>
      <c r="D9" s="10" t="s">
        <v>69</v>
      </c>
      <c r="E9" s="16"/>
      <c r="F9" s="11">
        <v>3</v>
      </c>
      <c r="G9" s="15"/>
    </row>
    <row r="10" customFormat="1" ht="22" customHeight="1" spans="1:15">
      <c r="A10" s="8">
        <v>8</v>
      </c>
      <c r="B10" s="9">
        <v>46119</v>
      </c>
      <c r="C10" s="9" t="s">
        <v>22</v>
      </c>
      <c r="D10" s="10" t="s">
        <v>69</v>
      </c>
      <c r="E10" s="16"/>
      <c r="F10" s="11">
        <v>3</v>
      </c>
      <c r="G10" s="15"/>
    </row>
    <row r="11" customFormat="1" ht="22" customHeight="1" spans="1:15">
      <c r="A11" s="8"/>
      <c r="B11" s="9"/>
      <c r="C11" s="18"/>
      <c r="D11" s="10"/>
      <c r="E11" s="12"/>
      <c r="F11" s="15"/>
      <c r="G11" s="15"/>
    </row>
    <row r="12" customFormat="1" ht="22" customHeight="1" spans="1:15">
      <c r="A12" s="8"/>
      <c r="B12" s="19"/>
      <c r="C12" s="18"/>
      <c r="D12" s="20"/>
      <c r="E12" s="21"/>
      <c r="F12" s="22"/>
      <c r="G12" s="22"/>
    </row>
    <row r="13" customFormat="1" ht="13.5" spans="1:15">
      <c r="E13" s="23">
        <f>SUM(E3:E12)</f>
        <v>14</v>
      </c>
      <c r="F13" s="23">
        <f>SUM(F3:F12)</f>
        <v>10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I31" sqref="I31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6.4285714285714" customWidth="1"/>
    <col min="4" max="4" width="13.4285714285714" customWidth="1"/>
    <col min="5" max="6" width="9.14285714285714" customWidth="1"/>
    <col min="7" max="7" width="13.7142857142857" customWidth="1"/>
    <col min="9" max="9" width="7.85714285714286" customWidth="1"/>
    <col min="10" max="10" width="14.4285714285714" customWidth="1"/>
    <col min="11" max="11" width="11.4285714285714" customWidth="1"/>
    <col min="12" max="12" width="12.1428571428571" customWidth="1"/>
    <col min="13" max="14" width="7.28571428571429" customWidth="1"/>
    <col min="15" max="15" width="17.1428571428571" customWidth="1"/>
  </cols>
  <sheetData>
    <row r="1" customFormat="1" ht="38" customHeight="1" spans="1:15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5" t="s">
        <v>2</v>
      </c>
      <c r="J2" s="5" t="s">
        <v>51</v>
      </c>
      <c r="K2" s="5" t="s">
        <v>3</v>
      </c>
      <c r="L2" s="6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5">
      <c r="A3" s="8">
        <v>1</v>
      </c>
      <c r="B3" s="9">
        <v>46121</v>
      </c>
      <c r="C3" s="9" t="s">
        <v>13</v>
      </c>
      <c r="D3" s="10" t="s">
        <v>71</v>
      </c>
      <c r="E3" s="11">
        <v>4</v>
      </c>
      <c r="F3" s="11"/>
      <c r="G3" s="12"/>
      <c r="I3" s="14">
        <v>1</v>
      </c>
      <c r="J3" s="9">
        <v>46121</v>
      </c>
      <c r="K3" s="9" t="s">
        <v>42</v>
      </c>
      <c r="L3" s="10" t="s">
        <v>72</v>
      </c>
      <c r="M3" s="11">
        <v>1</v>
      </c>
      <c r="N3" s="11">
        <v>1</v>
      </c>
      <c r="O3" s="15"/>
    </row>
    <row r="4" customFormat="1" ht="22" customHeight="1" spans="1:15">
      <c r="A4" s="8">
        <v>2</v>
      </c>
      <c r="B4" s="9">
        <v>46121</v>
      </c>
      <c r="C4" s="9" t="s">
        <v>16</v>
      </c>
      <c r="D4" s="10" t="s">
        <v>71</v>
      </c>
      <c r="E4" s="16"/>
      <c r="F4" s="11">
        <v>4</v>
      </c>
      <c r="G4" s="17"/>
      <c r="I4" s="14"/>
      <c r="J4" s="9"/>
      <c r="K4" s="18"/>
      <c r="L4" s="10"/>
      <c r="M4" s="11"/>
      <c r="N4" s="15"/>
      <c r="O4" s="15"/>
    </row>
    <row r="5" customFormat="1" ht="22" customHeight="1" spans="1:15">
      <c r="A5" s="8">
        <v>3</v>
      </c>
      <c r="B5" s="9">
        <v>46121</v>
      </c>
      <c r="C5" s="9" t="s">
        <v>17</v>
      </c>
      <c r="D5" s="10" t="s">
        <v>71</v>
      </c>
      <c r="E5" s="11">
        <v>2</v>
      </c>
      <c r="F5" s="11">
        <v>2</v>
      </c>
      <c r="G5" s="17"/>
      <c r="I5" s="14"/>
      <c r="J5" s="9"/>
      <c r="K5" s="18"/>
      <c r="L5" s="10"/>
      <c r="M5" s="11"/>
      <c r="N5" s="15"/>
      <c r="O5" s="15"/>
    </row>
    <row r="6" customFormat="1" ht="22" customHeight="1" spans="1:15">
      <c r="A6" s="8">
        <v>4</v>
      </c>
      <c r="B6" s="9">
        <v>46121</v>
      </c>
      <c r="C6" s="9" t="s">
        <v>18</v>
      </c>
      <c r="D6" s="10" t="s">
        <v>71</v>
      </c>
      <c r="E6" s="11">
        <v>4</v>
      </c>
      <c r="F6" s="16"/>
      <c r="G6" s="17"/>
      <c r="I6" s="14"/>
      <c r="J6" s="9"/>
      <c r="K6" s="18"/>
      <c r="L6" s="10"/>
      <c r="M6" s="12"/>
      <c r="N6" s="15"/>
      <c r="O6" s="15"/>
    </row>
    <row r="7" customFormat="1" ht="22" customHeight="1" spans="1:15">
      <c r="A7" s="8">
        <v>5</v>
      </c>
      <c r="B7" s="9">
        <v>46121</v>
      </c>
      <c r="C7" s="9" t="s">
        <v>19</v>
      </c>
      <c r="D7" s="10" t="s">
        <v>71</v>
      </c>
      <c r="E7" s="11">
        <v>4</v>
      </c>
      <c r="F7" s="11"/>
      <c r="G7" s="17"/>
      <c r="I7" s="14"/>
      <c r="J7" s="19"/>
      <c r="K7" s="18"/>
      <c r="L7" s="20"/>
      <c r="M7" s="21"/>
      <c r="N7" s="22"/>
      <c r="O7" s="22"/>
    </row>
    <row r="8" customFormat="1" ht="22" customHeight="1" spans="1:15">
      <c r="A8" s="8">
        <v>6</v>
      </c>
      <c r="B8" s="9">
        <v>46121</v>
      </c>
      <c r="C8" s="9" t="s">
        <v>20</v>
      </c>
      <c r="D8" s="10" t="s">
        <v>71</v>
      </c>
      <c r="E8" s="11">
        <v>4</v>
      </c>
      <c r="F8" s="11"/>
      <c r="G8" s="17"/>
      <c r="M8" s="23">
        <f>SUM(M3:M7)</f>
        <v>1</v>
      </c>
      <c r="N8" s="23">
        <f>SUM(N3:N7)</f>
        <v>1</v>
      </c>
    </row>
    <row r="9" customFormat="1" ht="22" customHeight="1" spans="1:15">
      <c r="A9" s="8">
        <v>7</v>
      </c>
      <c r="B9" s="9">
        <v>46121</v>
      </c>
      <c r="C9" s="9" t="s">
        <v>21</v>
      </c>
      <c r="D9" s="10" t="s">
        <v>71</v>
      </c>
      <c r="E9" s="16"/>
      <c r="F9" s="11">
        <v>4</v>
      </c>
      <c r="G9" s="15"/>
    </row>
    <row r="10" customFormat="1" ht="22" customHeight="1" spans="1:15">
      <c r="A10" s="8">
        <v>8</v>
      </c>
      <c r="B10" s="9">
        <v>46121</v>
      </c>
      <c r="C10" s="9" t="s">
        <v>22</v>
      </c>
      <c r="D10" s="10" t="s">
        <v>71</v>
      </c>
      <c r="E10" s="16"/>
      <c r="F10" s="11">
        <v>4</v>
      </c>
      <c r="G10" s="15"/>
    </row>
    <row r="11" customFormat="1" ht="22" customHeight="1" spans="1:15">
      <c r="A11" s="8"/>
      <c r="B11" s="9"/>
      <c r="C11" s="18"/>
      <c r="D11" s="10"/>
      <c r="E11" s="12"/>
      <c r="F11" s="15"/>
      <c r="G11" s="15"/>
    </row>
    <row r="12" customFormat="1" ht="22" customHeight="1" spans="1:15">
      <c r="A12" s="8"/>
      <c r="B12" s="19"/>
      <c r="C12" s="18"/>
      <c r="D12" s="20"/>
      <c r="E12" s="21"/>
      <c r="F12" s="22"/>
      <c r="G12" s="22"/>
    </row>
    <row r="13" customFormat="1" ht="13.5" spans="1:15">
      <c r="E13" s="23">
        <f>SUM(E3:E12)</f>
        <v>18</v>
      </c>
      <c r="F13" s="23">
        <f>SUM(F3:F12)</f>
        <v>14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L26" sqref="L26"/>
    </sheetView>
  </sheetViews>
  <sheetFormatPr defaultColWidth="9.14285714285714" defaultRowHeight="12"/>
  <cols>
    <col min="1" max="1" width="6.28571428571429" customWidth="1"/>
    <col min="2" max="2" width="14.4285714285714" customWidth="1"/>
    <col min="3" max="3" width="16.1428571428571" customWidth="1"/>
    <col min="4" max="6" width="12.1428571428571" customWidth="1"/>
    <col min="7" max="7" width="25.2857142857143" customWidth="1"/>
    <col min="9" max="9" width="7.57142857142857" customWidth="1"/>
    <col min="10" max="10" width="14.4285714285714" customWidth="1"/>
    <col min="11" max="11" width="16.1428571428571" customWidth="1"/>
    <col min="12" max="14" width="12.1428571428571" customWidth="1"/>
    <col min="15" max="15" width="25.2857142857143" customWidth="1"/>
  </cols>
  <sheetData>
    <row r="1" customFormat="1" ht="38" customHeight="1" spans="1:15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7" t="s">
        <v>2</v>
      </c>
      <c r="J2" s="7" t="s">
        <v>51</v>
      </c>
      <c r="K2" s="7" t="s">
        <v>3</v>
      </c>
      <c r="L2" s="7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5">
      <c r="A3" s="8">
        <v>1</v>
      </c>
      <c r="B3" s="9">
        <v>46125</v>
      </c>
      <c r="C3" s="9" t="s">
        <v>13</v>
      </c>
      <c r="D3" s="10" t="s">
        <v>69</v>
      </c>
      <c r="E3" s="11">
        <v>3</v>
      </c>
      <c r="F3" s="11"/>
      <c r="G3" s="12"/>
      <c r="I3" s="14">
        <v>1</v>
      </c>
      <c r="J3" s="9">
        <v>46125</v>
      </c>
      <c r="K3" s="9" t="s">
        <v>42</v>
      </c>
      <c r="L3" s="24" t="s">
        <v>69</v>
      </c>
      <c r="M3" s="25">
        <v>2</v>
      </c>
      <c r="N3" s="25">
        <v>1</v>
      </c>
      <c r="O3" s="15"/>
    </row>
    <row r="4" customFormat="1" ht="22" customHeight="1" spans="1:15">
      <c r="A4" s="8">
        <v>2</v>
      </c>
      <c r="B4" s="9">
        <v>46125</v>
      </c>
      <c r="C4" s="9" t="s">
        <v>16</v>
      </c>
      <c r="D4" s="10" t="s">
        <v>69</v>
      </c>
      <c r="E4" s="16"/>
      <c r="F4" s="11">
        <v>3</v>
      </c>
      <c r="G4" s="17"/>
      <c r="I4" s="14"/>
      <c r="J4" s="9"/>
      <c r="K4" s="26"/>
      <c r="L4" s="24"/>
      <c r="M4" s="25"/>
      <c r="N4" s="15"/>
      <c r="O4" s="15"/>
    </row>
    <row r="5" customFormat="1" ht="22" customHeight="1" spans="1:15">
      <c r="A5" s="8">
        <v>3</v>
      </c>
      <c r="B5" s="9">
        <v>46125</v>
      </c>
      <c r="C5" s="9" t="s">
        <v>17</v>
      </c>
      <c r="D5" s="10" t="s">
        <v>69</v>
      </c>
      <c r="E5" s="11">
        <v>2</v>
      </c>
      <c r="F5" s="11">
        <v>1</v>
      </c>
      <c r="G5" s="17"/>
      <c r="I5" s="27"/>
      <c r="J5" s="27"/>
      <c r="K5" s="27"/>
      <c r="L5" s="27"/>
      <c r="M5" s="27"/>
      <c r="N5" s="27"/>
      <c r="O5" s="15"/>
    </row>
    <row r="6" customFormat="1" ht="22" customHeight="1" spans="1:15">
      <c r="A6" s="8">
        <v>4</v>
      </c>
      <c r="B6" s="9">
        <v>46125</v>
      </c>
      <c r="C6" s="9" t="s">
        <v>18</v>
      </c>
      <c r="D6" s="10" t="s">
        <v>69</v>
      </c>
      <c r="E6" s="11">
        <v>3</v>
      </c>
      <c r="F6" s="16"/>
      <c r="G6" s="17"/>
      <c r="I6" s="14"/>
      <c r="J6" s="9"/>
      <c r="K6" s="26"/>
      <c r="L6" s="24"/>
      <c r="M6" s="12"/>
      <c r="N6" s="15"/>
      <c r="O6" s="15"/>
    </row>
    <row r="7" customFormat="1" ht="22" customHeight="1" spans="1:15">
      <c r="A7" s="8">
        <v>5</v>
      </c>
      <c r="B7" s="9">
        <v>46125</v>
      </c>
      <c r="C7" s="9" t="s">
        <v>19</v>
      </c>
      <c r="D7" s="10" t="s">
        <v>69</v>
      </c>
      <c r="E7" s="11">
        <v>3</v>
      </c>
      <c r="F7" s="11"/>
      <c r="G7" s="17"/>
      <c r="I7" s="14"/>
      <c r="J7" s="19"/>
      <c r="K7" s="26"/>
      <c r="L7" s="14"/>
      <c r="M7" s="21"/>
      <c r="N7" s="22"/>
      <c r="O7" s="22"/>
    </row>
    <row r="8" customFormat="1" ht="22" customHeight="1" spans="1:15">
      <c r="A8" s="8">
        <v>6</v>
      </c>
      <c r="B8" s="9">
        <v>46125</v>
      </c>
      <c r="C8" s="9" t="s">
        <v>20</v>
      </c>
      <c r="D8" s="10" t="s">
        <v>69</v>
      </c>
      <c r="E8" s="11">
        <v>3</v>
      </c>
      <c r="F8" s="11"/>
      <c r="G8" s="17"/>
      <c r="I8" s="27"/>
      <c r="J8" s="27"/>
      <c r="K8" s="27"/>
      <c r="L8" s="27"/>
      <c r="M8" s="28">
        <f>SUM(M3:M7)</f>
        <v>2</v>
      </c>
      <c r="N8" s="28">
        <f>SUM(N3:N7)</f>
        <v>1</v>
      </c>
      <c r="O8" s="27"/>
    </row>
    <row r="9" customFormat="1" ht="22" customHeight="1" spans="1:15">
      <c r="A9" s="8">
        <v>7</v>
      </c>
      <c r="B9" s="9">
        <v>46125</v>
      </c>
      <c r="C9" s="9" t="s">
        <v>21</v>
      </c>
      <c r="D9" s="10" t="s">
        <v>69</v>
      </c>
      <c r="E9" s="16"/>
      <c r="F9" s="11">
        <v>3</v>
      </c>
      <c r="G9" s="15"/>
    </row>
    <row r="10" customFormat="1" ht="22" customHeight="1" spans="1:15">
      <c r="A10" s="8">
        <v>8</v>
      </c>
      <c r="B10" s="9">
        <v>46125</v>
      </c>
      <c r="C10" s="9" t="s">
        <v>22</v>
      </c>
      <c r="D10" s="10" t="s">
        <v>69</v>
      </c>
      <c r="E10" s="16"/>
      <c r="F10" s="11">
        <v>3</v>
      </c>
      <c r="G10" s="15"/>
    </row>
    <row r="11" customFormat="1" ht="22" customHeight="1" spans="1:15">
      <c r="A11" s="8"/>
      <c r="B11" s="9"/>
      <c r="C11" s="18"/>
      <c r="D11" s="10"/>
      <c r="E11" s="12"/>
      <c r="F11" s="15"/>
      <c r="G11" s="15"/>
    </row>
    <row r="12" customFormat="1" ht="22" customHeight="1" spans="1:15">
      <c r="A12" s="8"/>
      <c r="B12" s="19"/>
      <c r="C12" s="18"/>
      <c r="D12" s="20"/>
      <c r="E12" s="21"/>
      <c r="F12" s="22"/>
      <c r="G12" s="22"/>
    </row>
    <row r="13" customFormat="1" ht="13.5" spans="1:15">
      <c r="E13" s="23">
        <f>SUM(E3:E12)</f>
        <v>14</v>
      </c>
      <c r="F13" s="23">
        <f>SUM(F3:F12)</f>
        <v>10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K28" sqref="K28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6.4285714285714" customWidth="1"/>
    <col min="4" max="4" width="13.4285714285714" customWidth="1"/>
    <col min="5" max="6" width="9.14285714285714" customWidth="1"/>
    <col min="7" max="7" width="13.7142857142857" customWidth="1"/>
    <col min="8" max="8" width="9.14285714285714" style="13"/>
    <col min="9" max="9" width="7.85714285714286" customWidth="1"/>
    <col min="10" max="10" width="14.4285714285714" customWidth="1"/>
    <col min="11" max="11" width="11.4285714285714" customWidth="1"/>
    <col min="12" max="12" width="12.1428571428571" customWidth="1"/>
    <col min="13" max="14" width="7.28571428571429" customWidth="1"/>
    <col min="15" max="15" width="17.1428571428571" customWidth="1"/>
  </cols>
  <sheetData>
    <row r="1" customFormat="1" ht="38" customHeight="1" spans="1:16">
      <c r="A1" s="2" t="s">
        <v>64</v>
      </c>
      <c r="B1" s="2"/>
      <c r="C1" s="2"/>
      <c r="D1" s="2"/>
      <c r="E1" s="2"/>
      <c r="F1" s="3"/>
      <c r="G1" s="4"/>
      <c r="H1" s="13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H2" s="29"/>
      <c r="I2" s="5" t="s">
        <v>2</v>
      </c>
      <c r="J2" s="5" t="s">
        <v>51</v>
      </c>
      <c r="K2" s="5" t="s">
        <v>3</v>
      </c>
      <c r="L2" s="6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6">
      <c r="A3" s="8">
        <v>1</v>
      </c>
      <c r="B3" s="9">
        <v>46128</v>
      </c>
      <c r="C3" s="9" t="s">
        <v>13</v>
      </c>
      <c r="D3" s="10" t="s">
        <v>71</v>
      </c>
      <c r="E3" s="11">
        <v>4</v>
      </c>
      <c r="F3" s="11"/>
      <c r="G3" s="12"/>
      <c r="H3" s="13">
        <f>E3+F3</f>
        <v>4</v>
      </c>
      <c r="I3" s="14">
        <v>1</v>
      </c>
      <c r="J3" s="9">
        <v>46128</v>
      </c>
      <c r="K3" s="9" t="s">
        <v>42</v>
      </c>
      <c r="L3" s="10" t="s">
        <v>72</v>
      </c>
      <c r="M3" s="11">
        <v>1</v>
      </c>
      <c r="N3" s="11">
        <v>1</v>
      </c>
      <c r="O3" s="15"/>
      <c r="P3" s="13">
        <f t="shared" ref="P3:P8" si="0">M3+N3</f>
        <v>2</v>
      </c>
    </row>
    <row r="4" customFormat="1" ht="22" customHeight="1" spans="1:16">
      <c r="A4" s="8">
        <v>2</v>
      </c>
      <c r="B4" s="9">
        <v>46128</v>
      </c>
      <c r="C4" s="9" t="s">
        <v>16</v>
      </c>
      <c r="D4" s="10" t="s">
        <v>71</v>
      </c>
      <c r="E4" s="16"/>
      <c r="F4" s="11">
        <v>4</v>
      </c>
      <c r="G4" s="17"/>
      <c r="H4" s="13">
        <f t="shared" ref="H4:H13" si="1">E4+F4</f>
        <v>4</v>
      </c>
      <c r="I4" s="14"/>
      <c r="J4" s="9"/>
      <c r="K4" s="18"/>
      <c r="L4" s="10"/>
      <c r="M4" s="11"/>
      <c r="N4" s="15"/>
      <c r="O4" s="15"/>
      <c r="P4" s="13">
        <f t="shared" si="0"/>
        <v>0</v>
      </c>
    </row>
    <row r="5" customFormat="1" ht="22" customHeight="1" spans="1:16">
      <c r="A5" s="8">
        <v>3</v>
      </c>
      <c r="B5" s="9">
        <v>46128</v>
      </c>
      <c r="C5" s="9" t="s">
        <v>17</v>
      </c>
      <c r="D5" s="10" t="s">
        <v>71</v>
      </c>
      <c r="E5" s="11">
        <v>2</v>
      </c>
      <c r="F5" s="11">
        <v>2</v>
      </c>
      <c r="G5" s="17"/>
      <c r="H5" s="13">
        <f t="shared" si="1"/>
        <v>4</v>
      </c>
      <c r="I5" s="14"/>
      <c r="J5" s="9"/>
      <c r="K5" s="18"/>
      <c r="L5" s="10"/>
      <c r="M5" s="11"/>
      <c r="N5" s="15"/>
      <c r="O5" s="15"/>
      <c r="P5" s="13">
        <f t="shared" si="0"/>
        <v>0</v>
      </c>
    </row>
    <row r="6" customFormat="1" ht="22" customHeight="1" spans="1:16">
      <c r="A6" s="8">
        <v>4</v>
      </c>
      <c r="B6" s="9">
        <v>46128</v>
      </c>
      <c r="C6" s="9" t="s">
        <v>18</v>
      </c>
      <c r="D6" s="10" t="s">
        <v>71</v>
      </c>
      <c r="E6" s="11">
        <v>4</v>
      </c>
      <c r="F6" s="16"/>
      <c r="G6" s="17"/>
      <c r="H6" s="13">
        <f t="shared" si="1"/>
        <v>4</v>
      </c>
      <c r="I6" s="14"/>
      <c r="J6" s="9"/>
      <c r="K6" s="18"/>
      <c r="L6" s="10"/>
      <c r="M6" s="12"/>
      <c r="N6" s="15"/>
      <c r="O6" s="15"/>
      <c r="P6" s="13">
        <f t="shared" si="0"/>
        <v>0</v>
      </c>
    </row>
    <row r="7" customFormat="1" ht="22" customHeight="1" spans="1:16">
      <c r="A7" s="8">
        <v>5</v>
      </c>
      <c r="B7" s="9">
        <v>46128</v>
      </c>
      <c r="C7" s="9" t="s">
        <v>19</v>
      </c>
      <c r="D7" s="10" t="s">
        <v>71</v>
      </c>
      <c r="E7" s="11">
        <v>4</v>
      </c>
      <c r="F7" s="11"/>
      <c r="G7" s="17"/>
      <c r="H7" s="13">
        <f t="shared" si="1"/>
        <v>4</v>
      </c>
      <c r="I7" s="14"/>
      <c r="J7" s="19"/>
      <c r="K7" s="18"/>
      <c r="L7" s="20"/>
      <c r="M7" s="21"/>
      <c r="N7" s="22"/>
      <c r="O7" s="22"/>
      <c r="P7" s="13">
        <f t="shared" si="0"/>
        <v>0</v>
      </c>
    </row>
    <row r="8" customFormat="1" ht="22" customHeight="1" spans="1:16">
      <c r="A8" s="8">
        <v>6</v>
      </c>
      <c r="B8" s="9">
        <v>46128</v>
      </c>
      <c r="C8" s="9" t="s">
        <v>20</v>
      </c>
      <c r="D8" s="10" t="s">
        <v>71</v>
      </c>
      <c r="E8" s="11">
        <v>4</v>
      </c>
      <c r="F8" s="11"/>
      <c r="G8" s="17"/>
      <c r="H8" s="13">
        <f t="shared" si="1"/>
        <v>4</v>
      </c>
      <c r="M8" s="23">
        <f>SUM(M3:M7)</f>
        <v>1</v>
      </c>
      <c r="N8" s="23">
        <f>SUM(N3:N7)</f>
        <v>1</v>
      </c>
      <c r="P8" s="13">
        <f t="shared" si="0"/>
        <v>2</v>
      </c>
    </row>
    <row r="9" customFormat="1" ht="22" customHeight="1" spans="1:16">
      <c r="A9" s="8">
        <v>7</v>
      </c>
      <c r="B9" s="9">
        <v>46128</v>
      </c>
      <c r="C9" s="9" t="s">
        <v>21</v>
      </c>
      <c r="D9" s="10" t="s">
        <v>71</v>
      </c>
      <c r="E9" s="16"/>
      <c r="F9" s="11">
        <v>4</v>
      </c>
      <c r="G9" s="15"/>
      <c r="H9" s="13">
        <f t="shared" si="1"/>
        <v>4</v>
      </c>
    </row>
    <row r="10" customFormat="1" ht="22" customHeight="1" spans="1:16">
      <c r="A10" s="8">
        <v>8</v>
      </c>
      <c r="B10" s="9">
        <v>46128</v>
      </c>
      <c r="C10" s="9" t="s">
        <v>22</v>
      </c>
      <c r="D10" s="10" t="s">
        <v>71</v>
      </c>
      <c r="E10" s="16"/>
      <c r="F10" s="11">
        <v>4</v>
      </c>
      <c r="G10" s="15"/>
      <c r="H10" s="13">
        <f t="shared" si="1"/>
        <v>4</v>
      </c>
    </row>
    <row r="11" customFormat="1" ht="22" customHeight="1" spans="1:16">
      <c r="A11" s="8"/>
      <c r="B11" s="9"/>
      <c r="C11" s="18"/>
      <c r="D11" s="10"/>
      <c r="E11" s="12"/>
      <c r="F11" s="15"/>
      <c r="G11" s="15"/>
      <c r="H11" s="13">
        <f t="shared" si="1"/>
        <v>0</v>
      </c>
    </row>
    <row r="12" customFormat="1" ht="22" customHeight="1" spans="1:16">
      <c r="A12" s="8"/>
      <c r="B12" s="19"/>
      <c r="C12" s="18"/>
      <c r="D12" s="20"/>
      <c r="E12" s="21"/>
      <c r="F12" s="22"/>
      <c r="G12" s="22"/>
      <c r="H12" s="13">
        <f t="shared" si="1"/>
        <v>0</v>
      </c>
    </row>
    <row r="13" customFormat="1" ht="13.5" spans="1:16">
      <c r="E13" s="23">
        <f>SUM(E3:E12)</f>
        <v>18</v>
      </c>
      <c r="F13" s="23">
        <f>SUM(F3:F12)</f>
        <v>14</v>
      </c>
      <c r="H13" s="13">
        <f t="shared" si="1"/>
        <v>32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workbookViewId="0">
      <selection activeCell="H21" sqref="H21"/>
    </sheetView>
  </sheetViews>
  <sheetFormatPr defaultColWidth="9.14285714285714" defaultRowHeight="12"/>
  <cols>
    <col min="1" max="1" width="6.28571428571429" customWidth="1"/>
    <col min="2" max="2" width="14.4285714285714" customWidth="1"/>
    <col min="3" max="3" width="12.2857142857143" customWidth="1"/>
    <col min="4" max="7" width="12.1428571428571" customWidth="1"/>
    <col min="9" max="9" width="7.57142857142857" customWidth="1"/>
    <col min="10" max="10" width="12.1428571428571" customWidth="1"/>
    <col min="11" max="11" width="13.4285714285714" customWidth="1"/>
    <col min="12" max="12" width="12.1428571428571" customWidth="1"/>
    <col min="13" max="14" width="8.85714285714286" customWidth="1"/>
    <col min="15" max="15" width="25.2857142857143" customWidth="1"/>
  </cols>
  <sheetData>
    <row r="1" customFormat="1" ht="38" customHeight="1" spans="1:16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7" t="s">
        <v>2</v>
      </c>
      <c r="J2" s="7" t="s">
        <v>51</v>
      </c>
      <c r="K2" s="7" t="s">
        <v>3</v>
      </c>
      <c r="L2" s="7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6">
      <c r="A3" s="8">
        <v>1</v>
      </c>
      <c r="B3" s="9">
        <v>46132</v>
      </c>
      <c r="C3" s="9" t="s">
        <v>13</v>
      </c>
      <c r="D3" s="10" t="s">
        <v>69</v>
      </c>
      <c r="E3" s="11">
        <v>3</v>
      </c>
      <c r="F3" s="11"/>
      <c r="G3" s="12"/>
      <c r="H3" s="13">
        <f>E3+F3</f>
        <v>3</v>
      </c>
      <c r="I3" s="14">
        <v>1</v>
      </c>
      <c r="J3" s="9">
        <v>46132</v>
      </c>
      <c r="K3" s="9" t="s">
        <v>42</v>
      </c>
      <c r="L3" s="24" t="s">
        <v>69</v>
      </c>
      <c r="M3" s="25">
        <v>2</v>
      </c>
      <c r="N3" s="25">
        <v>1</v>
      </c>
      <c r="O3" s="15"/>
      <c r="P3" s="13">
        <f t="shared" ref="P3:P8" si="0">M3+N3</f>
        <v>3</v>
      </c>
    </row>
    <row r="4" customFormat="1" ht="22" customHeight="1" spans="1:16">
      <c r="A4" s="8">
        <v>2</v>
      </c>
      <c r="B4" s="9">
        <v>46132</v>
      </c>
      <c r="C4" s="9" t="s">
        <v>16</v>
      </c>
      <c r="D4" s="10" t="s">
        <v>69</v>
      </c>
      <c r="E4" s="16"/>
      <c r="F4" s="11">
        <v>3</v>
      </c>
      <c r="G4" s="17"/>
      <c r="H4" s="13">
        <f t="shared" ref="H4:H13" si="1">E4+F4</f>
        <v>3</v>
      </c>
      <c r="I4" s="14"/>
      <c r="J4" s="9"/>
      <c r="K4" s="26"/>
      <c r="L4" s="24"/>
      <c r="M4" s="25"/>
      <c r="N4" s="15"/>
      <c r="O4" s="15"/>
      <c r="P4" s="13">
        <f t="shared" si="0"/>
        <v>0</v>
      </c>
    </row>
    <row r="5" customFormat="1" ht="22" customHeight="1" spans="1:16">
      <c r="A5" s="8">
        <v>3</v>
      </c>
      <c r="B5" s="9">
        <v>46132</v>
      </c>
      <c r="C5" s="9" t="s">
        <v>17</v>
      </c>
      <c r="D5" s="10" t="s">
        <v>69</v>
      </c>
      <c r="E5" s="11">
        <v>2</v>
      </c>
      <c r="F5" s="11">
        <v>1</v>
      </c>
      <c r="G5" s="17"/>
      <c r="H5" s="13">
        <f t="shared" si="1"/>
        <v>3</v>
      </c>
      <c r="I5" s="27"/>
      <c r="J5" s="27"/>
      <c r="K5" s="27"/>
      <c r="L5" s="27"/>
      <c r="M5" s="27"/>
      <c r="N5" s="27"/>
      <c r="O5" s="15"/>
      <c r="P5" s="13">
        <f t="shared" si="0"/>
        <v>0</v>
      </c>
    </row>
    <row r="6" customFormat="1" ht="22" customHeight="1" spans="1:16">
      <c r="A6" s="8">
        <v>4</v>
      </c>
      <c r="B6" s="9">
        <v>46132</v>
      </c>
      <c r="C6" s="9" t="s">
        <v>18</v>
      </c>
      <c r="D6" s="10" t="s">
        <v>69</v>
      </c>
      <c r="E6" s="11">
        <v>3</v>
      </c>
      <c r="F6" s="16"/>
      <c r="G6" s="17"/>
      <c r="H6" s="13">
        <f t="shared" si="1"/>
        <v>3</v>
      </c>
      <c r="I6" s="14"/>
      <c r="J6" s="9"/>
      <c r="K6" s="26"/>
      <c r="L6" s="24"/>
      <c r="M6" s="12"/>
      <c r="N6" s="15"/>
      <c r="O6" s="15"/>
      <c r="P6" s="13">
        <f t="shared" si="0"/>
        <v>0</v>
      </c>
    </row>
    <row r="7" customFormat="1" ht="22" customHeight="1" spans="1:16">
      <c r="A7" s="8">
        <v>5</v>
      </c>
      <c r="B7" s="9">
        <v>46132</v>
      </c>
      <c r="C7" s="9" t="s">
        <v>19</v>
      </c>
      <c r="D7" s="10" t="s">
        <v>69</v>
      </c>
      <c r="E7" s="11">
        <v>3</v>
      </c>
      <c r="F7" s="11"/>
      <c r="G7" s="17"/>
      <c r="H7" s="13">
        <f t="shared" si="1"/>
        <v>3</v>
      </c>
      <c r="I7" s="14"/>
      <c r="J7" s="19"/>
      <c r="K7" s="26"/>
      <c r="L7" s="14"/>
      <c r="M7" s="21"/>
      <c r="N7" s="22"/>
      <c r="O7" s="22"/>
      <c r="P7" s="13">
        <f t="shared" si="0"/>
        <v>0</v>
      </c>
    </row>
    <row r="8" customFormat="1" ht="22" customHeight="1" spans="1:16">
      <c r="A8" s="8">
        <v>6</v>
      </c>
      <c r="B8" s="9">
        <v>46132</v>
      </c>
      <c r="C8" s="9" t="s">
        <v>20</v>
      </c>
      <c r="D8" s="10" t="s">
        <v>69</v>
      </c>
      <c r="E8" s="11">
        <v>3</v>
      </c>
      <c r="F8" s="11"/>
      <c r="G8" s="17"/>
      <c r="H8" s="13">
        <f t="shared" si="1"/>
        <v>3</v>
      </c>
      <c r="I8" s="27"/>
      <c r="J8" s="27"/>
      <c r="K8" s="27"/>
      <c r="L8" s="27"/>
      <c r="M8" s="28">
        <f>SUM(M3:M7)</f>
        <v>2</v>
      </c>
      <c r="N8" s="28">
        <f>SUM(N3:N7)</f>
        <v>1</v>
      </c>
      <c r="O8" s="27"/>
      <c r="P8" s="13">
        <f t="shared" si="0"/>
        <v>3</v>
      </c>
    </row>
    <row r="9" customFormat="1" ht="22" customHeight="1" spans="1:16">
      <c r="A9" s="8">
        <v>7</v>
      </c>
      <c r="B9" s="9">
        <v>46132</v>
      </c>
      <c r="C9" s="9" t="s">
        <v>21</v>
      </c>
      <c r="D9" s="10" t="s">
        <v>69</v>
      </c>
      <c r="E9" s="16"/>
      <c r="F9" s="11">
        <v>3</v>
      </c>
      <c r="G9" s="15"/>
      <c r="H9" s="13">
        <f t="shared" si="1"/>
        <v>3</v>
      </c>
    </row>
    <row r="10" customFormat="1" ht="22" customHeight="1" spans="1:16">
      <c r="A10" s="8">
        <v>8</v>
      </c>
      <c r="B10" s="9">
        <v>46132</v>
      </c>
      <c r="C10" s="9" t="s">
        <v>22</v>
      </c>
      <c r="D10" s="10" t="s">
        <v>69</v>
      </c>
      <c r="E10" s="16"/>
      <c r="F10" s="11">
        <v>3</v>
      </c>
      <c r="G10" s="15"/>
      <c r="H10" s="13">
        <f t="shared" si="1"/>
        <v>3</v>
      </c>
    </row>
    <row r="11" customFormat="1" ht="22" customHeight="1" spans="1:16">
      <c r="A11" s="8"/>
      <c r="B11" s="9"/>
      <c r="C11" s="18"/>
      <c r="D11" s="10"/>
      <c r="E11" s="12"/>
      <c r="F11" s="15"/>
      <c r="G11" s="15"/>
      <c r="H11" s="13">
        <f t="shared" si="1"/>
        <v>0</v>
      </c>
    </row>
    <row r="12" customFormat="1" ht="22" customHeight="1" spans="1:16">
      <c r="A12" s="8"/>
      <c r="B12" s="19"/>
      <c r="C12" s="18"/>
      <c r="D12" s="20"/>
      <c r="E12" s="21"/>
      <c r="F12" s="22"/>
      <c r="G12" s="22"/>
      <c r="H12" s="13">
        <f t="shared" si="1"/>
        <v>0</v>
      </c>
    </row>
    <row r="13" customFormat="1" ht="13.5" spans="1:16">
      <c r="E13" s="23">
        <f>SUM(E3:E12)</f>
        <v>14</v>
      </c>
      <c r="F13" s="23">
        <f>SUM(F3:F12)</f>
        <v>10</v>
      </c>
      <c r="H13" s="13">
        <f t="shared" si="1"/>
        <v>24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I14" sqref="I14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6.4285714285714" customWidth="1"/>
    <col min="4" max="4" width="13.4285714285714" customWidth="1"/>
    <col min="5" max="6" width="9.14285714285714" customWidth="1"/>
    <col min="7" max="7" width="13.7142857142857" customWidth="1"/>
    <col min="9" max="9" width="7.85714285714286" customWidth="1"/>
    <col min="10" max="10" width="14.4285714285714" customWidth="1"/>
    <col min="11" max="11" width="11.4285714285714" customWidth="1"/>
    <col min="12" max="12" width="12.1428571428571" customWidth="1"/>
    <col min="13" max="14" width="7.28571428571429" customWidth="1"/>
    <col min="15" max="15" width="17.1428571428571" customWidth="1"/>
  </cols>
  <sheetData>
    <row r="1" customFormat="1" ht="38" customHeight="1" spans="1:16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5" t="s">
        <v>2</v>
      </c>
      <c r="J2" s="5" t="s">
        <v>51</v>
      </c>
      <c r="K2" s="5" t="s">
        <v>3</v>
      </c>
      <c r="L2" s="6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6">
      <c r="A3" s="8">
        <v>1</v>
      </c>
      <c r="B3" s="9">
        <v>46135</v>
      </c>
      <c r="C3" s="9" t="s">
        <v>13</v>
      </c>
      <c r="D3" s="10" t="s">
        <v>71</v>
      </c>
      <c r="E3" s="11">
        <v>4</v>
      </c>
      <c r="F3" s="11"/>
      <c r="G3" s="12"/>
      <c r="H3" s="13">
        <f>E3+F3</f>
        <v>4</v>
      </c>
      <c r="I3" s="14">
        <v>1</v>
      </c>
      <c r="J3" s="9">
        <v>46135</v>
      </c>
      <c r="K3" s="9" t="s">
        <v>42</v>
      </c>
      <c r="L3" s="10" t="s">
        <v>72</v>
      </c>
      <c r="M3" s="11">
        <v>1</v>
      </c>
      <c r="N3" s="11">
        <v>1</v>
      </c>
      <c r="O3" s="15"/>
      <c r="P3" s="13">
        <f t="shared" ref="P3:P8" si="0">M3+N3</f>
        <v>2</v>
      </c>
    </row>
    <row r="4" customFormat="1" ht="22" customHeight="1" spans="1:16">
      <c r="A4" s="8">
        <v>2</v>
      </c>
      <c r="B4" s="9">
        <v>46135</v>
      </c>
      <c r="C4" s="9" t="s">
        <v>16</v>
      </c>
      <c r="D4" s="10" t="s">
        <v>71</v>
      </c>
      <c r="E4" s="16"/>
      <c r="F4" s="11">
        <v>4</v>
      </c>
      <c r="G4" s="17"/>
      <c r="H4" s="13">
        <f t="shared" ref="H4:H13" si="1">E4+F4</f>
        <v>4</v>
      </c>
      <c r="I4" s="14"/>
      <c r="J4" s="9"/>
      <c r="K4" s="18"/>
      <c r="L4" s="10"/>
      <c r="M4" s="11"/>
      <c r="N4" s="15"/>
      <c r="O4" s="15"/>
      <c r="P4" s="13">
        <f t="shared" si="0"/>
        <v>0</v>
      </c>
    </row>
    <row r="5" customFormat="1" ht="22" customHeight="1" spans="1:16">
      <c r="A5" s="8">
        <v>3</v>
      </c>
      <c r="B5" s="9">
        <v>46135</v>
      </c>
      <c r="C5" s="9" t="s">
        <v>17</v>
      </c>
      <c r="D5" s="10" t="s">
        <v>71</v>
      </c>
      <c r="E5" s="11">
        <v>2</v>
      </c>
      <c r="F5" s="11">
        <v>2</v>
      </c>
      <c r="G5" s="17"/>
      <c r="H5" s="13">
        <f t="shared" si="1"/>
        <v>4</v>
      </c>
      <c r="I5" s="14"/>
      <c r="J5" s="9"/>
      <c r="K5" s="18"/>
      <c r="L5" s="10"/>
      <c r="M5" s="11"/>
      <c r="N5" s="15"/>
      <c r="O5" s="15"/>
      <c r="P5" s="13">
        <f t="shared" si="0"/>
        <v>0</v>
      </c>
    </row>
    <row r="6" customFormat="1" ht="22" customHeight="1" spans="1:16">
      <c r="A6" s="8">
        <v>4</v>
      </c>
      <c r="B6" s="9">
        <v>46135</v>
      </c>
      <c r="C6" s="9" t="s">
        <v>18</v>
      </c>
      <c r="D6" s="10" t="s">
        <v>71</v>
      </c>
      <c r="E6" s="11">
        <v>4</v>
      </c>
      <c r="F6" s="16"/>
      <c r="G6" s="17"/>
      <c r="H6" s="13">
        <f t="shared" si="1"/>
        <v>4</v>
      </c>
      <c r="I6" s="14"/>
      <c r="J6" s="9"/>
      <c r="K6" s="18"/>
      <c r="L6" s="10"/>
      <c r="M6" s="12"/>
      <c r="N6" s="15"/>
      <c r="O6" s="15"/>
      <c r="P6" s="13">
        <f t="shared" si="0"/>
        <v>0</v>
      </c>
    </row>
    <row r="7" customFormat="1" ht="22" customHeight="1" spans="1:16">
      <c r="A7" s="8">
        <v>5</v>
      </c>
      <c r="B7" s="9">
        <v>46135</v>
      </c>
      <c r="C7" s="9" t="s">
        <v>19</v>
      </c>
      <c r="D7" s="10" t="s">
        <v>71</v>
      </c>
      <c r="E7" s="11">
        <v>4</v>
      </c>
      <c r="F7" s="11"/>
      <c r="G7" s="17"/>
      <c r="H7" s="13">
        <f t="shared" si="1"/>
        <v>4</v>
      </c>
      <c r="I7" s="14"/>
      <c r="J7" s="19"/>
      <c r="K7" s="18"/>
      <c r="L7" s="20"/>
      <c r="M7" s="21"/>
      <c r="N7" s="22"/>
      <c r="O7" s="22"/>
      <c r="P7" s="13">
        <f t="shared" si="0"/>
        <v>0</v>
      </c>
    </row>
    <row r="8" customFormat="1" ht="22" customHeight="1" spans="1:16">
      <c r="A8" s="8">
        <v>6</v>
      </c>
      <c r="B8" s="9">
        <v>46135</v>
      </c>
      <c r="C8" s="9" t="s">
        <v>20</v>
      </c>
      <c r="D8" s="10" t="s">
        <v>71</v>
      </c>
      <c r="E8" s="11">
        <v>4</v>
      </c>
      <c r="F8" s="11"/>
      <c r="G8" s="17"/>
      <c r="H8" s="13">
        <f t="shared" si="1"/>
        <v>4</v>
      </c>
      <c r="M8" s="23">
        <f>SUM(M3:M7)</f>
        <v>1</v>
      </c>
      <c r="N8" s="23">
        <f>SUM(N3:N7)</f>
        <v>1</v>
      </c>
      <c r="P8" s="13">
        <f t="shared" si="0"/>
        <v>2</v>
      </c>
    </row>
    <row r="9" customFormat="1" ht="22" customHeight="1" spans="1:16">
      <c r="A9" s="8">
        <v>7</v>
      </c>
      <c r="B9" s="9">
        <v>46135</v>
      </c>
      <c r="C9" s="9" t="s">
        <v>21</v>
      </c>
      <c r="D9" s="10" t="s">
        <v>71</v>
      </c>
      <c r="E9" s="16"/>
      <c r="F9" s="11">
        <v>4</v>
      </c>
      <c r="G9" s="15"/>
      <c r="H9" s="13">
        <f t="shared" si="1"/>
        <v>4</v>
      </c>
    </row>
    <row r="10" customFormat="1" ht="22" customHeight="1" spans="1:16">
      <c r="A10" s="8">
        <v>8</v>
      </c>
      <c r="B10" s="9">
        <v>46135</v>
      </c>
      <c r="C10" s="9" t="s">
        <v>22</v>
      </c>
      <c r="D10" s="10" t="s">
        <v>71</v>
      </c>
      <c r="E10" s="16"/>
      <c r="F10" s="11">
        <v>4</v>
      </c>
      <c r="G10" s="15"/>
      <c r="H10" s="13">
        <f t="shared" si="1"/>
        <v>4</v>
      </c>
    </row>
    <row r="11" customFormat="1" ht="22" customHeight="1" spans="1:16">
      <c r="A11" s="8"/>
      <c r="B11" s="9"/>
      <c r="C11" s="18"/>
      <c r="D11" s="10"/>
      <c r="E11" s="12"/>
      <c r="F11" s="15"/>
      <c r="G11" s="15"/>
      <c r="H11" s="13">
        <f t="shared" si="1"/>
        <v>0</v>
      </c>
    </row>
    <row r="12" customFormat="1" ht="22" customHeight="1" spans="1:16">
      <c r="A12" s="8"/>
      <c r="B12" s="19"/>
      <c r="C12" s="18"/>
      <c r="D12" s="20"/>
      <c r="E12" s="21"/>
      <c r="F12" s="22"/>
      <c r="G12" s="22"/>
      <c r="H12" s="13">
        <f t="shared" si="1"/>
        <v>0</v>
      </c>
    </row>
    <row r="13" customFormat="1" ht="13.5" spans="1:16">
      <c r="E13" s="23">
        <f>SUM(E3:E12)</f>
        <v>18</v>
      </c>
      <c r="F13" s="23">
        <f>SUM(F3:F12)</f>
        <v>14</v>
      </c>
      <c r="H13" s="13">
        <f t="shared" si="1"/>
        <v>32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H3" sqref="H3:H13"/>
    </sheetView>
  </sheetViews>
  <sheetFormatPr defaultColWidth="9.14285714285714" defaultRowHeight="12"/>
  <cols>
    <col min="1" max="1" width="6.28571428571429" customWidth="1"/>
    <col min="2" max="2" width="14.4285714285714" customWidth="1"/>
    <col min="3" max="3" width="16.1428571428571" customWidth="1"/>
    <col min="4" max="6" width="12.1428571428571" customWidth="1"/>
    <col min="7" max="7" width="25.2857142857143" customWidth="1"/>
    <col min="9" max="9" width="7.57142857142857" customWidth="1"/>
    <col min="10" max="10" width="14.4285714285714" customWidth="1"/>
    <col min="11" max="11" width="16.1428571428571" customWidth="1"/>
    <col min="12" max="14" width="12.1428571428571" customWidth="1"/>
    <col min="15" max="15" width="25.2857142857143" customWidth="1"/>
  </cols>
  <sheetData>
    <row r="1" customFormat="1" ht="38" customHeight="1" spans="1:16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7" t="s">
        <v>2</v>
      </c>
      <c r="J2" s="7" t="s">
        <v>51</v>
      </c>
      <c r="K2" s="7" t="s">
        <v>3</v>
      </c>
      <c r="L2" s="7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6">
      <c r="A3" s="8">
        <v>1</v>
      </c>
      <c r="B3" s="9">
        <v>46139</v>
      </c>
      <c r="C3" s="9" t="s">
        <v>13</v>
      </c>
      <c r="D3" s="10" t="s">
        <v>69</v>
      </c>
      <c r="E3" s="11">
        <v>3</v>
      </c>
      <c r="F3" s="11"/>
      <c r="G3" s="12"/>
      <c r="H3" s="13">
        <f>E3+F3</f>
        <v>3</v>
      </c>
      <c r="I3" s="14">
        <v>1</v>
      </c>
      <c r="J3" s="9">
        <v>46139</v>
      </c>
      <c r="K3" s="9" t="s">
        <v>42</v>
      </c>
      <c r="L3" s="24" t="s">
        <v>69</v>
      </c>
      <c r="M3" s="25">
        <v>2</v>
      </c>
      <c r="N3" s="25">
        <v>1</v>
      </c>
      <c r="O3" s="15"/>
      <c r="P3" s="13">
        <f t="shared" ref="P3:P8" si="0">M3+N3</f>
        <v>3</v>
      </c>
    </row>
    <row r="4" customFormat="1" ht="22" customHeight="1" spans="1:16">
      <c r="A4" s="8">
        <v>2</v>
      </c>
      <c r="B4" s="9">
        <v>46139</v>
      </c>
      <c r="C4" s="9" t="s">
        <v>16</v>
      </c>
      <c r="D4" s="10" t="s">
        <v>69</v>
      </c>
      <c r="E4" s="16"/>
      <c r="F4" s="11">
        <v>3</v>
      </c>
      <c r="G4" s="17"/>
      <c r="H4" s="13">
        <f t="shared" ref="H4:H13" si="1">E4+F4</f>
        <v>3</v>
      </c>
      <c r="I4" s="14"/>
      <c r="J4" s="9"/>
      <c r="K4" s="26"/>
      <c r="L4" s="24"/>
      <c r="M4" s="25"/>
      <c r="N4" s="15"/>
      <c r="O4" s="15"/>
      <c r="P4" s="13">
        <f t="shared" si="0"/>
        <v>0</v>
      </c>
    </row>
    <row r="5" customFormat="1" ht="22" customHeight="1" spans="1:16">
      <c r="A5" s="8">
        <v>3</v>
      </c>
      <c r="B5" s="9">
        <v>46139</v>
      </c>
      <c r="C5" s="9" t="s">
        <v>17</v>
      </c>
      <c r="D5" s="10" t="s">
        <v>69</v>
      </c>
      <c r="E5" s="11">
        <v>2</v>
      </c>
      <c r="F5" s="11">
        <v>1</v>
      </c>
      <c r="G5" s="17"/>
      <c r="H5" s="13">
        <f t="shared" si="1"/>
        <v>3</v>
      </c>
      <c r="I5" s="27"/>
      <c r="J5" s="27"/>
      <c r="K5" s="27"/>
      <c r="L5" s="27"/>
      <c r="M5" s="27"/>
      <c r="N5" s="27"/>
      <c r="O5" s="15"/>
      <c r="P5" s="13">
        <f t="shared" si="0"/>
        <v>0</v>
      </c>
    </row>
    <row r="6" customFormat="1" ht="22" customHeight="1" spans="1:16">
      <c r="A6" s="8">
        <v>4</v>
      </c>
      <c r="B6" s="9">
        <v>46139</v>
      </c>
      <c r="C6" s="9" t="s">
        <v>18</v>
      </c>
      <c r="D6" s="10" t="s">
        <v>69</v>
      </c>
      <c r="E6" s="11">
        <v>3</v>
      </c>
      <c r="F6" s="16"/>
      <c r="G6" s="17"/>
      <c r="H6" s="13">
        <f t="shared" si="1"/>
        <v>3</v>
      </c>
      <c r="I6" s="14"/>
      <c r="J6" s="9"/>
      <c r="K6" s="26"/>
      <c r="L6" s="24"/>
      <c r="M6" s="12"/>
      <c r="N6" s="15"/>
      <c r="O6" s="15"/>
      <c r="P6" s="13">
        <f t="shared" si="0"/>
        <v>0</v>
      </c>
    </row>
    <row r="7" customFormat="1" ht="22" customHeight="1" spans="1:16">
      <c r="A7" s="8">
        <v>5</v>
      </c>
      <c r="B7" s="9">
        <v>46139</v>
      </c>
      <c r="C7" s="9" t="s">
        <v>19</v>
      </c>
      <c r="D7" s="10" t="s">
        <v>69</v>
      </c>
      <c r="E7" s="11">
        <v>3</v>
      </c>
      <c r="F7" s="11"/>
      <c r="G7" s="17"/>
      <c r="H7" s="13">
        <f t="shared" si="1"/>
        <v>3</v>
      </c>
      <c r="I7" s="14"/>
      <c r="J7" s="19"/>
      <c r="K7" s="26"/>
      <c r="L7" s="14"/>
      <c r="M7" s="21"/>
      <c r="N7" s="22"/>
      <c r="O7" s="22"/>
      <c r="P7" s="13">
        <f t="shared" si="0"/>
        <v>0</v>
      </c>
    </row>
    <row r="8" customFormat="1" ht="22" customHeight="1" spans="1:16">
      <c r="A8" s="8">
        <v>6</v>
      </c>
      <c r="B8" s="9">
        <v>46139</v>
      </c>
      <c r="C8" s="9" t="s">
        <v>20</v>
      </c>
      <c r="D8" s="10" t="s">
        <v>69</v>
      </c>
      <c r="E8" s="11">
        <v>3</v>
      </c>
      <c r="F8" s="11"/>
      <c r="G8" s="17"/>
      <c r="H8" s="13">
        <f t="shared" si="1"/>
        <v>3</v>
      </c>
      <c r="I8" s="27"/>
      <c r="J8" s="27"/>
      <c r="K8" s="27"/>
      <c r="L8" s="27"/>
      <c r="M8" s="28">
        <f>SUM(M3:M7)</f>
        <v>2</v>
      </c>
      <c r="N8" s="28">
        <f>SUM(N3:N7)</f>
        <v>1</v>
      </c>
      <c r="O8" s="27"/>
      <c r="P8" s="13">
        <f t="shared" si="0"/>
        <v>3</v>
      </c>
    </row>
    <row r="9" customFormat="1" ht="22" customHeight="1" spans="1:16">
      <c r="A9" s="8">
        <v>7</v>
      </c>
      <c r="B9" s="9">
        <v>46139</v>
      </c>
      <c r="C9" s="9" t="s">
        <v>21</v>
      </c>
      <c r="D9" s="10" t="s">
        <v>69</v>
      </c>
      <c r="E9" s="16"/>
      <c r="F9" s="11">
        <v>3</v>
      </c>
      <c r="G9" s="15"/>
      <c r="H9" s="13">
        <f t="shared" si="1"/>
        <v>3</v>
      </c>
    </row>
    <row r="10" customFormat="1" ht="22" customHeight="1" spans="1:16">
      <c r="A10" s="8">
        <v>8</v>
      </c>
      <c r="B10" s="9">
        <v>46139</v>
      </c>
      <c r="C10" s="9" t="s">
        <v>22</v>
      </c>
      <c r="D10" s="10" t="s">
        <v>69</v>
      </c>
      <c r="E10" s="16"/>
      <c r="F10" s="11">
        <v>3</v>
      </c>
      <c r="G10" s="15"/>
      <c r="H10" s="13">
        <f t="shared" si="1"/>
        <v>3</v>
      </c>
    </row>
    <row r="11" customFormat="1" ht="22" customHeight="1" spans="1:16">
      <c r="A11" s="8"/>
      <c r="B11" s="9"/>
      <c r="C11" s="18"/>
      <c r="D11" s="10"/>
      <c r="E11" s="12"/>
      <c r="F11" s="15"/>
      <c r="G11" s="15"/>
      <c r="H11" s="13">
        <f t="shared" si="1"/>
        <v>0</v>
      </c>
    </row>
    <row r="12" customFormat="1" ht="22" customHeight="1" spans="1:16">
      <c r="A12" s="8"/>
      <c r="B12" s="19"/>
      <c r="C12" s="18"/>
      <c r="D12" s="20"/>
      <c r="E12" s="21"/>
      <c r="F12" s="22"/>
      <c r="G12" s="22"/>
      <c r="H12" s="13">
        <f t="shared" si="1"/>
        <v>0</v>
      </c>
    </row>
    <row r="13" customFormat="1" ht="13.5" spans="1:16">
      <c r="E13" s="23">
        <f>SUM(E3:E12)</f>
        <v>14</v>
      </c>
      <c r="F13" s="23">
        <f>SUM(F3:F12)</f>
        <v>10</v>
      </c>
      <c r="H13" s="13">
        <f t="shared" si="1"/>
        <v>24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L29" sqref="L29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6.4285714285714" customWidth="1"/>
    <col min="4" max="4" width="13.4285714285714" customWidth="1"/>
    <col min="5" max="6" width="9.14285714285714" customWidth="1"/>
    <col min="7" max="7" width="13.7142857142857" customWidth="1"/>
    <col min="9" max="9" width="7.85714285714286" customWidth="1"/>
    <col min="10" max="10" width="14.4285714285714" customWidth="1"/>
    <col min="11" max="11" width="11.4285714285714" customWidth="1"/>
    <col min="12" max="12" width="12.1428571428571" customWidth="1"/>
    <col min="13" max="14" width="7.28571428571429" customWidth="1"/>
    <col min="15" max="15" width="17.1428571428571" customWidth="1"/>
  </cols>
  <sheetData>
    <row r="1" customFormat="1" ht="38" customHeight="1" spans="1:16">
      <c r="A1" s="2" t="s">
        <v>64</v>
      </c>
      <c r="B1" s="2"/>
      <c r="C1" s="2"/>
      <c r="D1" s="2"/>
      <c r="E1" s="2"/>
      <c r="F1" s="3"/>
      <c r="G1" s="4"/>
      <c r="I1" s="2" t="s">
        <v>65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51</v>
      </c>
      <c r="C2" s="5" t="s">
        <v>3</v>
      </c>
      <c r="D2" s="6" t="s">
        <v>66</v>
      </c>
      <c r="E2" s="7" t="s">
        <v>67</v>
      </c>
      <c r="F2" s="7" t="s">
        <v>68</v>
      </c>
      <c r="G2" s="7" t="s">
        <v>7</v>
      </c>
      <c r="I2" s="5" t="s">
        <v>2</v>
      </c>
      <c r="J2" s="5" t="s">
        <v>51</v>
      </c>
      <c r="K2" s="5" t="s">
        <v>3</v>
      </c>
      <c r="L2" s="6" t="s">
        <v>66</v>
      </c>
      <c r="M2" s="7" t="s">
        <v>67</v>
      </c>
      <c r="N2" s="7" t="s">
        <v>68</v>
      </c>
      <c r="O2" s="7" t="s">
        <v>7</v>
      </c>
    </row>
    <row r="3" customFormat="1" ht="22" customHeight="1" spans="1:16">
      <c r="A3" s="8">
        <v>1</v>
      </c>
      <c r="B3" s="9">
        <v>46142</v>
      </c>
      <c r="C3" s="9" t="s">
        <v>13</v>
      </c>
      <c r="D3" s="10" t="s">
        <v>71</v>
      </c>
      <c r="E3" s="11">
        <v>4</v>
      </c>
      <c r="F3" s="11"/>
      <c r="G3" s="12"/>
      <c r="H3" s="13">
        <f>E3+F3</f>
        <v>4</v>
      </c>
      <c r="I3" s="14">
        <v>1</v>
      </c>
      <c r="J3" s="9">
        <v>46142</v>
      </c>
      <c r="K3" s="9" t="s">
        <v>42</v>
      </c>
      <c r="L3" s="10" t="s">
        <v>72</v>
      </c>
      <c r="M3" s="11">
        <v>1</v>
      </c>
      <c r="N3" s="11">
        <v>1</v>
      </c>
      <c r="O3" s="15"/>
      <c r="P3" s="13">
        <f>M3+N3</f>
        <v>2</v>
      </c>
    </row>
    <row r="4" customFormat="1" ht="22" customHeight="1" spans="1:16">
      <c r="A4" s="8">
        <v>2</v>
      </c>
      <c r="B4" s="9">
        <v>46142</v>
      </c>
      <c r="C4" s="9" t="s">
        <v>16</v>
      </c>
      <c r="D4" s="10" t="s">
        <v>71</v>
      </c>
      <c r="E4" s="16"/>
      <c r="F4" s="11">
        <v>4</v>
      </c>
      <c r="G4" s="17"/>
      <c r="H4" s="13">
        <f t="shared" ref="H4:H13" si="0">E4+F4</f>
        <v>4</v>
      </c>
      <c r="I4" s="14"/>
      <c r="J4" s="9"/>
      <c r="K4" s="18"/>
      <c r="L4" s="10"/>
      <c r="M4" s="11"/>
      <c r="N4" s="15"/>
      <c r="O4" s="15"/>
      <c r="P4" s="13">
        <f t="shared" ref="P4:P13" si="1">M4+N4</f>
        <v>0</v>
      </c>
    </row>
    <row r="5" customFormat="1" ht="22" customHeight="1" spans="1:16">
      <c r="A5" s="8">
        <v>3</v>
      </c>
      <c r="B5" s="9">
        <v>46142</v>
      </c>
      <c r="C5" s="9" t="s">
        <v>17</v>
      </c>
      <c r="D5" s="10" t="s">
        <v>71</v>
      </c>
      <c r="E5" s="11">
        <v>2</v>
      </c>
      <c r="F5" s="11">
        <v>2</v>
      </c>
      <c r="G5" s="17"/>
      <c r="H5" s="13">
        <f t="shared" si="0"/>
        <v>4</v>
      </c>
      <c r="I5" s="14"/>
      <c r="J5" s="9"/>
      <c r="K5" s="18"/>
      <c r="L5" s="10"/>
      <c r="M5" s="11"/>
      <c r="N5" s="15"/>
      <c r="O5" s="15"/>
      <c r="P5" s="13">
        <f t="shared" si="1"/>
        <v>0</v>
      </c>
    </row>
    <row r="6" customFormat="1" ht="22" customHeight="1" spans="1:16">
      <c r="A6" s="8">
        <v>4</v>
      </c>
      <c r="B6" s="9">
        <v>46142</v>
      </c>
      <c r="C6" s="9" t="s">
        <v>18</v>
      </c>
      <c r="D6" s="10" t="s">
        <v>71</v>
      </c>
      <c r="E6" s="11">
        <v>4</v>
      </c>
      <c r="F6" s="16"/>
      <c r="G6" s="17"/>
      <c r="H6" s="13">
        <f t="shared" si="0"/>
        <v>4</v>
      </c>
      <c r="I6" s="14"/>
      <c r="J6" s="9"/>
      <c r="K6" s="18"/>
      <c r="L6" s="10"/>
      <c r="M6" s="12"/>
      <c r="N6" s="15"/>
      <c r="O6" s="15"/>
      <c r="P6" s="13">
        <f t="shared" si="1"/>
        <v>0</v>
      </c>
    </row>
    <row r="7" customFormat="1" ht="22" customHeight="1" spans="1:16">
      <c r="A7" s="8">
        <v>5</v>
      </c>
      <c r="B7" s="9">
        <v>46142</v>
      </c>
      <c r="C7" s="9" t="s">
        <v>19</v>
      </c>
      <c r="D7" s="10" t="s">
        <v>71</v>
      </c>
      <c r="E7" s="11">
        <v>4</v>
      </c>
      <c r="F7" s="11"/>
      <c r="G7" s="17"/>
      <c r="H7" s="13">
        <f t="shared" si="0"/>
        <v>4</v>
      </c>
      <c r="I7" s="14"/>
      <c r="J7" s="19"/>
      <c r="K7" s="18"/>
      <c r="L7" s="20"/>
      <c r="M7" s="21"/>
      <c r="N7" s="22"/>
      <c r="O7" s="22"/>
      <c r="P7" s="13">
        <f t="shared" si="1"/>
        <v>0</v>
      </c>
    </row>
    <row r="8" customFormat="1" ht="22" customHeight="1" spans="1:16">
      <c r="A8" s="8">
        <v>6</v>
      </c>
      <c r="B8" s="9">
        <v>46142</v>
      </c>
      <c r="C8" s="9" t="s">
        <v>20</v>
      </c>
      <c r="D8" s="10" t="s">
        <v>71</v>
      </c>
      <c r="E8" s="11">
        <v>4</v>
      </c>
      <c r="F8" s="11"/>
      <c r="G8" s="17"/>
      <c r="H8" s="13">
        <f t="shared" si="0"/>
        <v>4</v>
      </c>
      <c r="M8" s="23">
        <f>SUM(M3:M7)</f>
        <v>1</v>
      </c>
      <c r="N8" s="23">
        <f>SUM(N3:N7)</f>
        <v>1</v>
      </c>
      <c r="P8" s="13">
        <f t="shared" si="1"/>
        <v>2</v>
      </c>
    </row>
    <row r="9" customFormat="1" ht="22" customHeight="1" spans="1:16">
      <c r="A9" s="8">
        <v>7</v>
      </c>
      <c r="B9" s="9">
        <v>46142</v>
      </c>
      <c r="C9" s="9" t="s">
        <v>21</v>
      </c>
      <c r="D9" s="10" t="s">
        <v>71</v>
      </c>
      <c r="E9" s="16"/>
      <c r="F9" s="11">
        <v>4</v>
      </c>
      <c r="G9" s="15"/>
      <c r="H9" s="13">
        <f t="shared" si="0"/>
        <v>4</v>
      </c>
      <c r="P9" s="13"/>
    </row>
    <row r="10" customFormat="1" ht="22" customHeight="1" spans="1:16">
      <c r="A10" s="8">
        <v>8</v>
      </c>
      <c r="B10" s="9">
        <v>46142</v>
      </c>
      <c r="C10" s="9" t="s">
        <v>22</v>
      </c>
      <c r="D10" s="10" t="s">
        <v>71</v>
      </c>
      <c r="E10" s="16"/>
      <c r="F10" s="11">
        <v>4</v>
      </c>
      <c r="G10" s="15"/>
      <c r="H10" s="13">
        <f t="shared" si="0"/>
        <v>4</v>
      </c>
      <c r="P10" s="13"/>
    </row>
    <row r="11" customFormat="1" ht="22" customHeight="1" spans="1:16">
      <c r="A11" s="8"/>
      <c r="B11" s="9"/>
      <c r="C11" s="18"/>
      <c r="D11" s="10"/>
      <c r="E11" s="12"/>
      <c r="F11" s="15"/>
      <c r="G11" s="15"/>
      <c r="H11" s="13">
        <f t="shared" si="0"/>
        <v>0</v>
      </c>
      <c r="P11" s="13"/>
    </row>
    <row r="12" customFormat="1" ht="22" customHeight="1" spans="1:16">
      <c r="A12" s="8"/>
      <c r="B12" s="19"/>
      <c r="C12" s="18"/>
      <c r="D12" s="20"/>
      <c r="E12" s="21"/>
      <c r="F12" s="22"/>
      <c r="G12" s="22"/>
      <c r="H12" s="13">
        <f t="shared" si="0"/>
        <v>0</v>
      </c>
      <c r="P12" s="13"/>
    </row>
    <row r="13" customFormat="1" ht="13.5" spans="1:16">
      <c r="E13" s="23">
        <f>SUM(E3:E12)</f>
        <v>18</v>
      </c>
      <c r="F13" s="23">
        <f>SUM(F3:F12)</f>
        <v>14</v>
      </c>
      <c r="H13" s="13">
        <f t="shared" si="0"/>
        <v>32</v>
      </c>
      <c r="P13" s="13"/>
    </row>
  </sheetData>
  <mergeCells count="2">
    <mergeCell ref="A1:G1"/>
    <mergeCell ref="I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老师</vt:lpstr>
      <vt:lpstr>学生</vt:lpstr>
      <vt:lpstr>领奶表</vt:lpstr>
      <vt:lpstr>签收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  <vt:lpstr>4.27</vt:lpstr>
      <vt:lpstr>4.30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