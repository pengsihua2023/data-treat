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953" activeTab="16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4" r:id="rId11"/>
    <sheet name="4.2" sheetId="15" r:id="rId12"/>
    <sheet name="4.7" sheetId="16" r:id="rId13"/>
    <sheet name="4.9" sheetId="17" r:id="rId14"/>
    <sheet name="4.13" sheetId="18" r:id="rId15"/>
    <sheet name="4.16" sheetId="19" r:id="rId16"/>
    <sheet name="4.20" sheetId="22" r:id="rId17"/>
    <sheet name="4.23" sheetId="20" r:id="rId18"/>
    <sheet name="4.27" sheetId="23" r:id="rId19"/>
    <sheet name="4.30" sheetId="21" r:id="rId20"/>
  </sheets>
  <definedNames>
    <definedName name="_xlnm._FilterDatabase" localSheetId="3" hidden="1">配送汇总!$A$1:$W$32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<sst xmlns="http://schemas.openxmlformats.org/spreadsheetml/2006/main" count="987" uniqueCount="81">
  <si>
    <t>2026春季石牯塘中学教职工巴氏鲜奶补贴订购申请表（20份起送，特殊申请除外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</si>
  <si>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</si>
  <si>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</si>
  <si>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</si>
  <si>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</si>
  <si>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</si>
  <si>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</si>
  <si>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</si>
  <si>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</si>
  <si>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</si>
  <si>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</si>
  <si>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</si>
  <si>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</si>
  <si>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份数</t>
  </si>
  <si>
    <t>合计</t>
  </si>
  <si>
    <t>收费情况</t>
  </si>
  <si>
    <t>黄海英</t>
  </si>
  <si>
    <t>√</t>
  </si>
  <si>
    <t>已收款</t>
  </si>
  <si>
    <t>巫多声</t>
  </si>
  <si>
    <t>巫巧基</t>
  </si>
  <si>
    <t>✓</t>
  </si>
  <si>
    <t>侯添娣</t>
  </si>
  <si>
    <t>✔</t>
  </si>
  <si>
    <t>黄忠贵</t>
  </si>
  <si>
    <t>已电话通知</t>
  </si>
  <si>
    <t>李艳芳1</t>
  </si>
  <si>
    <t>李锦维</t>
  </si>
  <si>
    <t>郭伙娣</t>
  </si>
  <si>
    <t>李保萍</t>
  </si>
  <si>
    <r>
      <rPr>
        <b/>
        <sz val="10"/>
        <color rgb="FF000000"/>
        <rFont val="宋体"/>
        <charset val="134"/>
      </rPr>
      <t>√鲜奶</t>
    </r>
    <r>
      <rPr>
        <sz val="10"/>
        <color rgb="FF000000"/>
        <rFont val="宋体"/>
        <charset val="134"/>
      </rPr>
      <t xml:space="preserve">
</t>
    </r>
  </si>
  <si>
    <t>邵金华</t>
  </si>
  <si>
    <t>李金凤</t>
  </si>
  <si>
    <t>3/12加单</t>
  </si>
  <si>
    <t>卜桂洲</t>
  </si>
  <si>
    <t>赖冬梅</t>
  </si>
  <si>
    <t>李金莲</t>
  </si>
  <si>
    <t>3/12加单，酸奶、鲜奶各半</t>
  </si>
  <si>
    <t>巫巧基2</t>
  </si>
  <si>
    <t>3/12加订1份酸奶</t>
  </si>
  <si>
    <t>李艳芳2</t>
  </si>
  <si>
    <t>何立新</t>
  </si>
  <si>
    <t>3/10群里加单（未登记），16号起送</t>
  </si>
  <si>
    <t>吴阳聪</t>
  </si>
  <si>
    <t>3.20新增</t>
  </si>
  <si>
    <t>李金凤2</t>
  </si>
  <si>
    <t>李金凤3</t>
  </si>
  <si>
    <t>英德市石牯塘中学教师鲜奶领奶表</t>
  </si>
  <si>
    <t>（ ）月份（填写领取数量/盒）</t>
  </si>
  <si>
    <t>姓名</t>
  </si>
  <si>
    <t>石牯塘中学教师鲜奶赠品领取表</t>
  </si>
  <si>
    <t>配送日期</t>
  </si>
  <si>
    <t>礼品份数
（笔记本+笔）</t>
  </si>
  <si>
    <t>签名</t>
  </si>
  <si>
    <t>李艳芳</t>
  </si>
  <si>
    <t>3/30送</t>
  </si>
  <si>
    <t xml:space="preserve">                                                   英德市石牯塘中学教师鲜奶领奶表</t>
  </si>
  <si>
    <t>订购份数</t>
  </si>
  <si>
    <t>总计</t>
  </si>
  <si>
    <t>剩余</t>
  </si>
  <si>
    <t>巫巧基1</t>
  </si>
  <si>
    <t>石牯塘中学教师鲜奶领奶表</t>
  </si>
  <si>
    <t>配送天数</t>
  </si>
  <si>
    <t>鲜</t>
  </si>
  <si>
    <t>酸</t>
  </si>
  <si>
    <t>3天</t>
  </si>
  <si>
    <t>4天</t>
  </si>
  <si>
    <t>巫巧基数据做多，给何立新</t>
  </si>
  <si>
    <t>补发</t>
  </si>
  <si>
    <t>3.30起2酸1鲜</t>
  </si>
  <si>
    <t>3.21新增李金凤 另加两份酸奶 周四</t>
  </si>
  <si>
    <t>李金凤1</t>
  </si>
  <si>
    <t>以后每次补发1支</t>
  </si>
  <si>
    <t>3.30起1鲜2酸</t>
  </si>
  <si>
    <t>以后每次补发1支，补到与其他老师一致</t>
  </si>
  <si>
    <t>补到与其他老师一致</t>
  </si>
  <si>
    <t>周一1鲜2酸</t>
  </si>
  <si>
    <t>名单先发分发老师，鲜奶送到再发群</t>
  </si>
  <si>
    <t>4.13已补完</t>
  </si>
  <si>
    <t>已补完，下次不需再补</t>
  </si>
  <si>
    <t>含一支补送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</si>
</sst>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5" borderId="13" applyNumberFormat="0" applyAlignment="0" applyProtection="0">
      <alignment vertical="center"/>
    </xf>
    <xf numFmtId="0" fontId="39" fillId="6" borderId="14" applyNumberFormat="0" applyAlignment="0" applyProtection="0">
      <alignment vertical="center"/>
    </xf>
    <xf numFmtId="0" fontId="40" fillId="6" borderId="13" applyNumberFormat="0" applyAlignment="0" applyProtection="0">
      <alignment vertical="center"/>
    </xf>
    <xf numFmtId="0" fontId="41" fillId="7" borderId="15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58" fontId="13" fillId="0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58" fontId="18" fillId="0" borderId="5" xfId="0" applyNumberFormat="1" applyFont="1" applyFill="1" applyBorder="1" applyAlignment="1">
      <alignment horizontal="center" vertical="center" wrapText="1"/>
    </xf>
    <xf numFmtId="58" fontId="18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 wrapText="1"/>
    </xf>
    <xf numFmtId="0" fontId="22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0" fillId="0" borderId="5" xfId="0" applyNumberFormat="1" applyFont="1" applyFill="1" applyBorder="1" applyAlignment="1">
      <alignment vertical="center"/>
    </xf>
    <xf numFmtId="0" fontId="23" fillId="0" borderId="5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29" workbookViewId="0">
      <selection activeCell="L11" sqref="L11"/>
    </sheetView>
  </sheetViews>
  <sheetFormatPr defaultColWidth="14" defaultRowHeight="18" customHeight="1"/>
  <cols>
    <col min="1" max="1" width="7.42857142857143" customWidth="1"/>
    <col min="4" max="7" width="9.14285714285714" style="67" customWidth="1"/>
    <col min="8" max="8" width="13.4285714285714" style="67" customWidth="1"/>
    <col min="9" max="9" width="7.28571428571429" customWidth="1"/>
    <col min="10" max="10" width="4.85714285714286" customWidth="1"/>
    <col min="11" max="11" width="9.85714285714286" customWidth="1"/>
  </cols>
  <sheetData>
    <row r="1" ht="20.25" customHeight="1" spans="1:25">
      <c r="A1" s="68" t="s">
        <v>0</v>
      </c>
      <c r="B1" s="68"/>
      <c r="C1" s="68"/>
      <c r="D1" s="69"/>
      <c r="E1" s="69"/>
      <c r="F1" s="69"/>
      <c r="G1" s="69"/>
      <c r="H1" s="69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ht="20.25" customHeight="1" spans="1:25">
      <c r="A2" s="71" t="s">
        <v>1</v>
      </c>
      <c r="B2" s="71"/>
      <c r="C2" s="71"/>
      <c r="D2" s="72"/>
      <c r="E2" s="72"/>
      <c r="F2" s="72"/>
      <c r="G2" s="72"/>
      <c r="H2" s="72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customHeight="1" spans="1:25">
      <c r="A3" s="73" t="s">
        <v>2</v>
      </c>
      <c r="B3" s="73" t="s">
        <v>3</v>
      </c>
      <c r="C3" s="73" t="s">
        <v>4</v>
      </c>
      <c r="D3" s="74" t="s">
        <v>5</v>
      </c>
      <c r="E3" s="74"/>
      <c r="F3" s="74" t="s">
        <v>6</v>
      </c>
      <c r="G3" s="74"/>
      <c r="H3" s="75" t="s">
        <v>7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ht="67.5" spans="1:25">
      <c r="A4" s="73"/>
      <c r="B4" s="73"/>
      <c r="C4" s="73"/>
      <c r="D4" s="76" t="s">
        <v>8</v>
      </c>
      <c r="E4" s="76" t="s">
        <v>9</v>
      </c>
      <c r="F4" s="76" t="s">
        <v>10</v>
      </c>
      <c r="G4" s="76" t="s">
        <v>11</v>
      </c>
      <c r="H4" s="77" t="s">
        <v>12</v>
      </c>
      <c r="I4" s="70" t="s">
        <v>13</v>
      </c>
      <c r="J4" s="70" t="s">
        <v>14</v>
      </c>
      <c r="K4" s="70" t="s">
        <v>15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customHeight="1" spans="1:25">
      <c r="A5" s="78">
        <v>1</v>
      </c>
      <c r="B5" s="78" t="s">
        <v>16</v>
      </c>
      <c r="C5" s="78">
        <v>15219098283</v>
      </c>
      <c r="D5" s="79" t="s">
        <v>17</v>
      </c>
      <c r="E5" s="79" t="s">
        <v>17</v>
      </c>
      <c r="F5" s="79">
        <v>350</v>
      </c>
      <c r="G5" s="79">
        <v>210</v>
      </c>
      <c r="H5" s="80"/>
      <c r="I5" s="70">
        <v>1</v>
      </c>
      <c r="J5" s="70">
        <f t="shared" ref="J5:J24" si="0">I5*G5</f>
        <v>210</v>
      </c>
      <c r="K5" s="81" t="s">
        <v>18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customHeight="1" spans="1:25">
      <c r="A6" s="78">
        <v>2</v>
      </c>
      <c r="B6" s="78" t="s">
        <v>19</v>
      </c>
      <c r="C6" s="78">
        <v>13542459545</v>
      </c>
      <c r="D6" s="80"/>
      <c r="E6" s="79" t="s">
        <v>17</v>
      </c>
      <c r="F6" s="79">
        <v>350</v>
      </c>
      <c r="G6" s="79">
        <v>210</v>
      </c>
      <c r="H6" s="80"/>
      <c r="I6" s="70">
        <v>1</v>
      </c>
      <c r="J6" s="70">
        <f t="shared" si="0"/>
        <v>210</v>
      </c>
      <c r="K6" s="81" t="s">
        <v>18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customHeight="1" spans="1:25">
      <c r="A7" s="78">
        <v>3</v>
      </c>
      <c r="B7" s="78" t="s">
        <v>20</v>
      </c>
      <c r="C7" s="78">
        <v>13642525953</v>
      </c>
      <c r="D7" s="80"/>
      <c r="E7" s="79" t="s">
        <v>21</v>
      </c>
      <c r="F7" s="79">
        <v>350</v>
      </c>
      <c r="G7" s="79">
        <v>210</v>
      </c>
      <c r="H7" s="80"/>
      <c r="I7" s="70">
        <v>1</v>
      </c>
      <c r="J7" s="70">
        <f t="shared" si="0"/>
        <v>210</v>
      </c>
      <c r="K7" s="81" t="s">
        <v>18</v>
      </c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customHeight="1" spans="1:25">
      <c r="A8" s="78">
        <v>4</v>
      </c>
      <c r="B8" s="78" t="s">
        <v>22</v>
      </c>
      <c r="C8" s="78">
        <v>15975897810</v>
      </c>
      <c r="D8" s="79" t="s">
        <v>23</v>
      </c>
      <c r="E8" s="80"/>
      <c r="F8" s="79">
        <v>350</v>
      </c>
      <c r="G8" s="79">
        <v>210</v>
      </c>
      <c r="H8" s="80"/>
      <c r="I8" s="70">
        <v>1</v>
      </c>
      <c r="J8" s="70">
        <f t="shared" si="0"/>
        <v>210</v>
      </c>
      <c r="K8" s="81" t="s">
        <v>18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customHeight="1" spans="1:25">
      <c r="A9" s="78">
        <v>5</v>
      </c>
      <c r="B9" s="78" t="s">
        <v>24</v>
      </c>
      <c r="C9" s="78">
        <v>13610509116</v>
      </c>
      <c r="D9" s="80"/>
      <c r="E9" s="79" t="s">
        <v>23</v>
      </c>
      <c r="F9" s="79">
        <v>350</v>
      </c>
      <c r="G9" s="79">
        <v>210</v>
      </c>
      <c r="H9" s="80"/>
      <c r="I9" s="70">
        <v>1</v>
      </c>
      <c r="J9" s="70">
        <f t="shared" si="0"/>
        <v>210</v>
      </c>
      <c r="K9" s="70"/>
      <c r="L9" s="70" t="s">
        <v>25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customHeight="1" spans="1:25">
      <c r="A10" s="78">
        <v>6</v>
      </c>
      <c r="B10" s="78" t="s">
        <v>26</v>
      </c>
      <c r="C10" s="79">
        <v>13729666013</v>
      </c>
      <c r="D10" s="79" t="s">
        <v>21</v>
      </c>
      <c r="E10" s="79"/>
      <c r="F10" s="79">
        <v>350</v>
      </c>
      <c r="G10" s="79">
        <v>210</v>
      </c>
      <c r="H10" s="80"/>
      <c r="I10" s="70">
        <v>1</v>
      </c>
      <c r="J10" s="70">
        <f t="shared" si="0"/>
        <v>210</v>
      </c>
      <c r="K10" s="81" t="s">
        <v>18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customHeight="1" spans="1:25">
      <c r="A11" s="78">
        <v>7</v>
      </c>
      <c r="B11" s="78" t="s">
        <v>27</v>
      </c>
      <c r="C11" s="78">
        <v>15975866218</v>
      </c>
      <c r="D11" s="80"/>
      <c r="E11" s="79" t="s">
        <v>17</v>
      </c>
      <c r="F11" s="79">
        <v>350</v>
      </c>
      <c r="G11" s="79">
        <v>210</v>
      </c>
      <c r="H11" s="80"/>
      <c r="I11" s="70">
        <v>1</v>
      </c>
      <c r="J11" s="70">
        <f t="shared" si="0"/>
        <v>210</v>
      </c>
      <c r="K11" s="81" t="s">
        <v>18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customHeight="1" spans="1:25">
      <c r="A12" s="78">
        <v>8</v>
      </c>
      <c r="B12" s="78" t="s">
        <v>28</v>
      </c>
      <c r="C12" s="78">
        <v>13727163828</v>
      </c>
      <c r="D12" s="80"/>
      <c r="E12" s="79" t="s">
        <v>21</v>
      </c>
      <c r="F12" s="79">
        <v>350</v>
      </c>
      <c r="G12" s="79">
        <v>210</v>
      </c>
      <c r="H12" s="80"/>
      <c r="I12" s="70">
        <v>1</v>
      </c>
      <c r="J12" s="70">
        <f t="shared" si="0"/>
        <v>210</v>
      </c>
      <c r="K12" s="81" t="s">
        <v>18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customHeight="1" spans="1:25">
      <c r="A13" s="78">
        <v>9</v>
      </c>
      <c r="B13" s="78" t="s">
        <v>29</v>
      </c>
      <c r="C13" s="78">
        <v>15915155225</v>
      </c>
      <c r="D13" s="82" t="s">
        <v>30</v>
      </c>
      <c r="E13" s="83" t="s">
        <v>17</v>
      </c>
      <c r="F13" s="79">
        <v>350</v>
      </c>
      <c r="G13" s="79">
        <v>210</v>
      </c>
      <c r="H13" s="80"/>
      <c r="I13" s="70">
        <v>1</v>
      </c>
      <c r="J13" s="70">
        <f t="shared" si="0"/>
        <v>210</v>
      </c>
      <c r="K13" s="81" t="s">
        <v>18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customHeight="1" spans="1:25">
      <c r="A14" s="78">
        <v>10</v>
      </c>
      <c r="B14" s="84" t="s">
        <v>31</v>
      </c>
      <c r="C14" s="85">
        <v>13326555628</v>
      </c>
      <c r="D14" s="86" t="s">
        <v>21</v>
      </c>
      <c r="E14" s="81"/>
      <c r="F14" s="86">
        <v>350</v>
      </c>
      <c r="G14" s="86">
        <v>210</v>
      </c>
      <c r="H14" s="81" t="s">
        <v>18</v>
      </c>
      <c r="I14" s="70">
        <v>1</v>
      </c>
      <c r="J14" s="70">
        <f t="shared" si="0"/>
        <v>210</v>
      </c>
      <c r="K14" s="81" t="s">
        <v>18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customHeight="1" spans="1:25">
      <c r="A15" s="78">
        <v>11</v>
      </c>
      <c r="B15" s="87" t="s">
        <v>32</v>
      </c>
      <c r="C15" s="87"/>
      <c r="D15" s="83" t="s">
        <v>17</v>
      </c>
      <c r="E15" s="80"/>
      <c r="F15" s="79">
        <v>350</v>
      </c>
      <c r="G15" s="79">
        <v>210</v>
      </c>
      <c r="H15" s="88" t="s">
        <v>33</v>
      </c>
      <c r="I15" s="70">
        <v>1</v>
      </c>
      <c r="J15" s="70">
        <f t="shared" si="0"/>
        <v>210</v>
      </c>
      <c r="K15" s="81" t="s">
        <v>18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customHeight="1" spans="1:25">
      <c r="A16" s="78">
        <v>12</v>
      </c>
      <c r="B16" s="87" t="s">
        <v>34</v>
      </c>
      <c r="C16" s="87"/>
      <c r="D16" s="80"/>
      <c r="E16" s="83" t="s">
        <v>17</v>
      </c>
      <c r="F16" s="79">
        <v>350</v>
      </c>
      <c r="G16" s="79">
        <v>210</v>
      </c>
      <c r="H16" s="80" t="s">
        <v>33</v>
      </c>
      <c r="I16" s="70">
        <v>1</v>
      </c>
      <c r="J16" s="70">
        <f t="shared" si="0"/>
        <v>210</v>
      </c>
      <c r="K16" s="81" t="s">
        <v>18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customHeight="1" spans="1:25">
      <c r="A17" s="78">
        <v>13</v>
      </c>
      <c r="B17" s="87" t="s">
        <v>35</v>
      </c>
      <c r="C17" s="87">
        <v>13679537933</v>
      </c>
      <c r="D17" s="80"/>
      <c r="E17" s="83" t="s">
        <v>17</v>
      </c>
      <c r="F17" s="79">
        <v>350</v>
      </c>
      <c r="G17" s="79">
        <v>210</v>
      </c>
      <c r="H17" s="80" t="s">
        <v>33</v>
      </c>
      <c r="I17" s="70">
        <v>1</v>
      </c>
      <c r="J17" s="70">
        <f t="shared" si="0"/>
        <v>210</v>
      </c>
      <c r="K17" s="81" t="s">
        <v>18</v>
      </c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ht="24" spans="1:25">
      <c r="A18" s="78">
        <v>14</v>
      </c>
      <c r="B18" s="87" t="s">
        <v>36</v>
      </c>
      <c r="C18" s="87">
        <v>15019336773</v>
      </c>
      <c r="D18" s="83" t="s">
        <v>17</v>
      </c>
      <c r="E18" s="83" t="s">
        <v>17</v>
      </c>
      <c r="F18" s="79">
        <v>350</v>
      </c>
      <c r="G18" s="79">
        <v>210</v>
      </c>
      <c r="H18" s="80" t="s">
        <v>37</v>
      </c>
      <c r="I18" s="70">
        <v>1</v>
      </c>
      <c r="J18" s="70">
        <f t="shared" si="0"/>
        <v>210</v>
      </c>
      <c r="K18" s="81" t="s">
        <v>18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ht="24" spans="1:25">
      <c r="A19" s="78">
        <v>15</v>
      </c>
      <c r="B19" s="87" t="s">
        <v>38</v>
      </c>
      <c r="C19" s="87">
        <v>13642525953</v>
      </c>
      <c r="D19" s="80"/>
      <c r="E19" s="83" t="s">
        <v>17</v>
      </c>
      <c r="F19" s="79">
        <v>350</v>
      </c>
      <c r="G19" s="79">
        <v>210</v>
      </c>
      <c r="H19" s="80" t="s">
        <v>39</v>
      </c>
      <c r="I19" s="70">
        <v>1</v>
      </c>
      <c r="J19" s="70">
        <f t="shared" si="0"/>
        <v>210</v>
      </c>
      <c r="K19" s="81" t="s">
        <v>18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customHeight="1" spans="1:25">
      <c r="A20" s="78">
        <v>16</v>
      </c>
      <c r="B20" s="78" t="s">
        <v>40</v>
      </c>
      <c r="C20" s="79">
        <v>13729666013</v>
      </c>
      <c r="D20" s="80"/>
      <c r="E20" s="83" t="s">
        <v>17</v>
      </c>
      <c r="F20" s="79">
        <v>350</v>
      </c>
      <c r="G20" s="79">
        <v>210</v>
      </c>
      <c r="H20" s="80" t="s">
        <v>33</v>
      </c>
      <c r="I20" s="70">
        <v>1</v>
      </c>
      <c r="J20" s="70">
        <f t="shared" si="0"/>
        <v>210</v>
      </c>
      <c r="K20" s="81" t="s">
        <v>18</v>
      </c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ht="36" spans="1:25">
      <c r="A21" s="78">
        <v>17</v>
      </c>
      <c r="B21" s="87" t="s">
        <v>41</v>
      </c>
      <c r="C21" s="87"/>
      <c r="D21" s="80"/>
      <c r="E21" s="83" t="s">
        <v>17</v>
      </c>
      <c r="F21" s="79">
        <v>350</v>
      </c>
      <c r="G21" s="79">
        <v>210</v>
      </c>
      <c r="H21" s="80" t="s">
        <v>42</v>
      </c>
      <c r="I21" s="70">
        <v>1</v>
      </c>
      <c r="J21" s="70">
        <f t="shared" si="0"/>
        <v>210</v>
      </c>
      <c r="K21" s="81" t="s">
        <v>18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ht="14.25" spans="1:25">
      <c r="A22" s="78">
        <v>18</v>
      </c>
      <c r="B22" s="10" t="s">
        <v>43</v>
      </c>
      <c r="C22" s="87"/>
      <c r="D22" s="80"/>
      <c r="E22" s="80"/>
      <c r="F22" s="79">
        <v>350</v>
      </c>
      <c r="G22" s="79">
        <v>210</v>
      </c>
      <c r="H22" s="80" t="s">
        <v>44</v>
      </c>
      <c r="I22" s="70">
        <v>1</v>
      </c>
      <c r="J22" s="70">
        <f t="shared" si="0"/>
        <v>210</v>
      </c>
      <c r="K22" s="81" t="s">
        <v>18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customHeight="1" spans="1:25">
      <c r="A23" s="78">
        <v>19</v>
      </c>
      <c r="B23" s="87" t="s">
        <v>45</v>
      </c>
      <c r="C23" s="87"/>
      <c r="D23" s="80"/>
      <c r="E23" s="83" t="s">
        <v>17</v>
      </c>
      <c r="F23" s="79">
        <v>350</v>
      </c>
      <c r="G23" s="79">
        <v>210</v>
      </c>
      <c r="H23" s="81" t="s">
        <v>18</v>
      </c>
      <c r="I23" s="70">
        <v>1</v>
      </c>
      <c r="J23" s="70">
        <f t="shared" si="0"/>
        <v>210</v>
      </c>
      <c r="K23" s="81" t="s">
        <v>18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customHeight="1" spans="1:25">
      <c r="A24" s="78">
        <v>20</v>
      </c>
      <c r="B24" s="87" t="s">
        <v>46</v>
      </c>
      <c r="C24" s="87"/>
      <c r="D24" s="80"/>
      <c r="E24" s="83" t="s">
        <v>17</v>
      </c>
      <c r="F24" s="79">
        <v>350</v>
      </c>
      <c r="G24" s="79">
        <v>210</v>
      </c>
      <c r="H24" s="81" t="s">
        <v>18</v>
      </c>
      <c r="I24" s="70">
        <v>1</v>
      </c>
      <c r="J24" s="70">
        <f t="shared" si="0"/>
        <v>210</v>
      </c>
      <c r="K24" s="81" t="s">
        <v>18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customHeight="1" spans="1:25">
      <c r="A25" s="78">
        <v>21</v>
      </c>
      <c r="B25" s="87"/>
      <c r="C25" s="87"/>
      <c r="D25" s="80"/>
      <c r="E25" s="80"/>
      <c r="F25" s="79">
        <v>350</v>
      </c>
      <c r="G25" s="79">
        <v>210</v>
      </c>
      <c r="H25" s="8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customHeight="1" spans="1:25">
      <c r="A26" s="78">
        <v>22</v>
      </c>
      <c r="B26" s="87"/>
      <c r="C26" s="87"/>
      <c r="D26" s="80"/>
      <c r="E26" s="80"/>
      <c r="F26" s="79">
        <v>350</v>
      </c>
      <c r="G26" s="79">
        <v>210</v>
      </c>
      <c r="H26" s="8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customHeight="1" spans="1:25">
      <c r="A27" s="78">
        <v>23</v>
      </c>
      <c r="B27" s="87"/>
      <c r="C27" s="87"/>
      <c r="D27" s="80"/>
      <c r="E27" s="80"/>
      <c r="F27" s="79">
        <v>350</v>
      </c>
      <c r="G27" s="79">
        <v>210</v>
      </c>
      <c r="H27" s="8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customHeight="1" spans="1:25">
      <c r="A28" s="78">
        <v>24</v>
      </c>
      <c r="B28" s="87"/>
      <c r="C28" s="87"/>
      <c r="D28" s="80"/>
      <c r="E28" s="80"/>
      <c r="F28" s="79">
        <v>350</v>
      </c>
      <c r="G28" s="79">
        <v>210</v>
      </c>
      <c r="H28" s="8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customHeight="1" spans="1:25">
      <c r="A29" s="78">
        <v>31</v>
      </c>
      <c r="B29" s="87"/>
      <c r="C29" s="87"/>
      <c r="D29" s="80"/>
      <c r="E29" s="80"/>
      <c r="F29" s="79">
        <v>350</v>
      </c>
      <c r="G29" s="79">
        <v>210</v>
      </c>
      <c r="H29" s="8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customHeight="1" spans="1:25">
      <c r="A30" s="78">
        <v>32</v>
      </c>
      <c r="B30" s="87"/>
      <c r="C30" s="87"/>
      <c r="D30" s="80"/>
      <c r="E30" s="80"/>
      <c r="F30" s="79">
        <v>350</v>
      </c>
      <c r="G30" s="79">
        <v>210</v>
      </c>
      <c r="H30" s="8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customHeight="1" spans="1:25">
      <c r="A31" s="78">
        <v>33</v>
      </c>
      <c r="B31" s="87"/>
      <c r="C31" s="87"/>
      <c r="D31" s="80"/>
      <c r="E31" s="80"/>
      <c r="F31" s="79">
        <v>350</v>
      </c>
      <c r="G31" s="79">
        <v>210</v>
      </c>
      <c r="H31" s="8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customHeight="1" spans="1:25">
      <c r="A32" s="78">
        <v>34</v>
      </c>
      <c r="B32" s="87"/>
      <c r="C32" s="87"/>
      <c r="D32" s="80"/>
      <c r="E32" s="80"/>
      <c r="F32" s="79">
        <v>350</v>
      </c>
      <c r="G32" s="79">
        <v>210</v>
      </c>
      <c r="H32" s="8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customHeight="1" spans="1:25">
      <c r="A33" s="78">
        <v>35</v>
      </c>
      <c r="B33" s="87"/>
      <c r="C33" s="87"/>
      <c r="D33" s="80"/>
      <c r="E33" s="80"/>
      <c r="F33" s="79">
        <v>350</v>
      </c>
      <c r="G33" s="79">
        <v>210</v>
      </c>
      <c r="H33" s="8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customHeight="1" spans="1:25">
      <c r="A34" s="78">
        <v>36</v>
      </c>
      <c r="B34" s="87"/>
      <c r="C34" s="87"/>
      <c r="D34" s="80"/>
      <c r="E34" s="80"/>
      <c r="F34" s="79">
        <v>350</v>
      </c>
      <c r="G34" s="79">
        <v>210</v>
      </c>
      <c r="H34" s="8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customHeight="1" spans="1:25">
      <c r="A35" s="78">
        <v>37</v>
      </c>
      <c r="B35" s="87"/>
      <c r="C35" s="87"/>
      <c r="D35" s="80"/>
      <c r="E35" s="80"/>
      <c r="F35" s="79">
        <v>350</v>
      </c>
      <c r="G35" s="79">
        <v>210</v>
      </c>
      <c r="H35" s="8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customHeight="1" spans="1:25">
      <c r="A36" s="78">
        <v>38</v>
      </c>
      <c r="B36" s="87"/>
      <c r="C36" s="87"/>
      <c r="D36" s="80"/>
      <c r="E36" s="80"/>
      <c r="F36" s="79">
        <v>350</v>
      </c>
      <c r="G36" s="79">
        <v>210</v>
      </c>
      <c r="H36" s="8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customHeight="1" spans="1:25">
      <c r="A37" s="78">
        <v>39</v>
      </c>
      <c r="B37" s="87"/>
      <c r="C37" s="87"/>
      <c r="D37" s="80"/>
      <c r="E37" s="80"/>
      <c r="F37" s="79">
        <v>350</v>
      </c>
      <c r="G37" s="79">
        <v>210</v>
      </c>
      <c r="H37" s="8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customHeight="1" spans="1:25">
      <c r="A38" s="78">
        <v>40</v>
      </c>
      <c r="B38" s="87"/>
      <c r="C38" s="87"/>
      <c r="D38" s="80"/>
      <c r="E38" s="80"/>
      <c r="F38" s="79">
        <v>350</v>
      </c>
      <c r="G38" s="79">
        <v>210</v>
      </c>
      <c r="H38" s="8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customHeight="1" spans="1:25">
      <c r="A39" s="78">
        <v>41</v>
      </c>
      <c r="B39" s="87"/>
      <c r="C39" s="87"/>
      <c r="D39" s="80"/>
      <c r="E39" s="80"/>
      <c r="F39" s="79">
        <v>350</v>
      </c>
      <c r="G39" s="79">
        <v>210</v>
      </c>
      <c r="H39" s="8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customHeight="1" spans="1:25">
      <c r="A40" s="78">
        <v>42</v>
      </c>
      <c r="B40" s="87"/>
      <c r="C40" s="87"/>
      <c r="D40" s="80"/>
      <c r="E40" s="80"/>
      <c r="F40" s="79">
        <v>350</v>
      </c>
      <c r="G40" s="79">
        <v>210</v>
      </c>
      <c r="H40" s="8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customHeight="1" spans="1:25">
      <c r="A41" s="78">
        <v>43</v>
      </c>
      <c r="B41" s="87"/>
      <c r="C41" s="87"/>
      <c r="D41" s="80"/>
      <c r="E41" s="80"/>
      <c r="F41" s="79">
        <v>350</v>
      </c>
      <c r="G41" s="79">
        <v>210</v>
      </c>
      <c r="H41" s="8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customHeight="1" spans="1:25">
      <c r="A42" s="78">
        <v>44</v>
      </c>
      <c r="B42" s="87"/>
      <c r="C42" s="87"/>
      <c r="D42" s="80"/>
      <c r="E42" s="80"/>
      <c r="F42" s="79">
        <v>350</v>
      </c>
      <c r="G42" s="79">
        <v>210</v>
      </c>
      <c r="H42" s="8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customHeight="1" spans="1:25">
      <c r="A43" s="78">
        <v>45</v>
      </c>
      <c r="B43" s="87"/>
      <c r="C43" s="87"/>
      <c r="D43" s="80"/>
      <c r="E43" s="80"/>
      <c r="F43" s="79">
        <v>350</v>
      </c>
      <c r="G43" s="79">
        <v>210</v>
      </c>
      <c r="H43" s="8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customHeight="1" spans="1:25">
      <c r="A44" s="70"/>
      <c r="B44" s="70"/>
      <c r="C44" s="70"/>
      <c r="D44" s="89"/>
      <c r="E44" s="89"/>
      <c r="F44" s="89"/>
      <c r="G44" s="89"/>
      <c r="H44" s="89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customHeight="1" spans="1:25">
      <c r="A45" s="70"/>
      <c r="B45" s="70"/>
      <c r="C45" s="70"/>
      <c r="D45" s="89"/>
      <c r="E45" s="89"/>
      <c r="F45" s="89"/>
      <c r="G45" s="89"/>
      <c r="H45" s="89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customHeight="1" spans="1:25">
      <c r="A46" s="70"/>
      <c r="B46" s="70"/>
      <c r="C46" s="70"/>
      <c r="D46" s="89"/>
      <c r="E46" s="89"/>
      <c r="F46" s="89"/>
      <c r="G46" s="89"/>
      <c r="H46" s="89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customHeight="1" spans="1:25">
      <c r="A47" s="70"/>
      <c r="B47" s="70"/>
      <c r="C47" s="70"/>
      <c r="D47" s="89"/>
      <c r="E47" s="89"/>
      <c r="F47" s="89"/>
      <c r="G47" s="89"/>
      <c r="H47" s="89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customHeight="1" spans="1:25">
      <c r="A48" s="70"/>
      <c r="B48" s="70"/>
      <c r="C48" s="70"/>
      <c r="D48" s="89"/>
      <c r="E48" s="89"/>
      <c r="F48" s="89"/>
      <c r="G48" s="89"/>
      <c r="H48" s="89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customHeight="1" spans="1:25">
      <c r="A49" s="70"/>
      <c r="B49" s="70"/>
      <c r="C49" s="70"/>
      <c r="D49" s="89"/>
      <c r="E49" s="89"/>
      <c r="F49" s="89"/>
      <c r="G49" s="89"/>
      <c r="H49" s="89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customHeight="1" spans="1:25">
      <c r="A50" s="70"/>
      <c r="B50" s="70"/>
      <c r="C50" s="70"/>
      <c r="D50" s="89"/>
      <c r="E50" s="89"/>
      <c r="F50" s="89"/>
      <c r="G50" s="89"/>
      <c r="H50" s="89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  <row r="51" customHeight="1" spans="1:25">
      <c r="A51" s="70"/>
      <c r="B51" s="70"/>
      <c r="C51" s="70"/>
      <c r="D51" s="89"/>
      <c r="E51" s="89"/>
      <c r="F51" s="89"/>
      <c r="G51" s="89"/>
      <c r="H51" s="89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customHeight="1" spans="1:25">
      <c r="A52" s="70"/>
      <c r="B52" s="70"/>
      <c r="C52" s="70"/>
      <c r="D52" s="89"/>
      <c r="E52" s="89"/>
      <c r="F52" s="89"/>
      <c r="G52" s="89"/>
      <c r="H52" s="89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</row>
    <row r="53" customHeight="1" spans="1:25">
      <c r="A53" s="70"/>
      <c r="B53" s="70"/>
      <c r="C53" s="70"/>
      <c r="D53" s="89"/>
      <c r="E53" s="89"/>
      <c r="F53" s="89"/>
      <c r="G53" s="89"/>
      <c r="H53" s="89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customHeight="1" spans="1:25">
      <c r="A54" s="70"/>
      <c r="B54" s="70"/>
      <c r="C54" s="70"/>
      <c r="D54" s="89"/>
      <c r="E54" s="89"/>
      <c r="F54" s="89"/>
      <c r="G54" s="89"/>
      <c r="H54" s="89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customHeight="1" spans="1:25">
      <c r="A55" s="70"/>
      <c r="B55" s="70"/>
      <c r="C55" s="70"/>
      <c r="D55" s="89"/>
      <c r="E55" s="89"/>
      <c r="F55" s="89"/>
      <c r="G55" s="89"/>
      <c r="H55" s="89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customHeight="1" spans="1:25">
      <c r="A56" s="70"/>
      <c r="B56" s="70"/>
      <c r="C56" s="70"/>
      <c r="D56" s="89"/>
      <c r="E56" s="89"/>
      <c r="F56" s="89"/>
      <c r="G56" s="89"/>
      <c r="H56" s="89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</row>
    <row r="57" customHeight="1" spans="1:25">
      <c r="A57" s="70"/>
      <c r="B57" s="70"/>
      <c r="C57" s="70"/>
      <c r="D57" s="89"/>
      <c r="E57" s="89"/>
      <c r="F57" s="89"/>
      <c r="G57" s="89"/>
      <c r="H57" s="89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</row>
    <row r="58" customHeight="1" spans="1:25">
      <c r="A58" s="70"/>
      <c r="B58" s="70"/>
      <c r="C58" s="70"/>
      <c r="D58" s="89"/>
      <c r="E58" s="89"/>
      <c r="F58" s="89"/>
      <c r="G58" s="89"/>
      <c r="H58" s="89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</row>
    <row r="59" customHeight="1" spans="1:25">
      <c r="A59" s="70"/>
      <c r="B59" s="70"/>
      <c r="C59" s="70"/>
      <c r="D59" s="89"/>
      <c r="E59" s="89"/>
      <c r="F59" s="89"/>
      <c r="G59" s="89"/>
      <c r="H59" s="89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</row>
    <row r="60" customHeight="1" spans="1:25">
      <c r="A60" s="70"/>
      <c r="B60" s="70"/>
      <c r="C60" s="70"/>
      <c r="D60" s="89"/>
      <c r="E60" s="89"/>
      <c r="F60" s="89"/>
      <c r="G60" s="89"/>
      <c r="H60" s="89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 customHeight="1" spans="1:25">
      <c r="A61" s="70"/>
      <c r="B61" s="70"/>
      <c r="C61" s="70"/>
      <c r="D61" s="89"/>
      <c r="E61" s="89"/>
      <c r="F61" s="89"/>
      <c r="G61" s="89"/>
      <c r="H61" s="89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 customHeight="1" spans="1:25">
      <c r="A62" s="70"/>
      <c r="B62" s="70"/>
      <c r="C62" s="70"/>
      <c r="D62" s="89"/>
      <c r="E62" s="89"/>
      <c r="F62" s="89"/>
      <c r="G62" s="89"/>
      <c r="H62" s="89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customHeight="1" spans="1:25">
      <c r="A63" s="70"/>
      <c r="B63" s="70"/>
      <c r="C63" s="70"/>
      <c r="D63" s="89"/>
      <c r="E63" s="89"/>
      <c r="F63" s="89"/>
      <c r="G63" s="89"/>
      <c r="H63" s="89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 customHeight="1" spans="1:25">
      <c r="A64" s="70"/>
      <c r="B64" s="70"/>
      <c r="C64" s="70"/>
      <c r="D64" s="89"/>
      <c r="E64" s="89"/>
      <c r="F64" s="89"/>
      <c r="G64" s="89"/>
      <c r="H64" s="89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customHeight="1" spans="1:25">
      <c r="A65" s="70"/>
      <c r="B65" s="70"/>
      <c r="C65" s="70"/>
      <c r="D65" s="89"/>
      <c r="E65" s="89"/>
      <c r="F65" s="89"/>
      <c r="G65" s="89"/>
      <c r="H65" s="89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 customHeight="1" spans="1:25">
      <c r="A66" s="70"/>
      <c r="B66" s="70"/>
      <c r="C66" s="70"/>
      <c r="D66" s="89"/>
      <c r="E66" s="89"/>
      <c r="F66" s="89"/>
      <c r="G66" s="89"/>
      <c r="H66" s="89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 customHeight="1" spans="1:25">
      <c r="A67" s="70"/>
      <c r="B67" s="70"/>
      <c r="C67" s="70"/>
      <c r="D67" s="89"/>
      <c r="E67" s="89"/>
      <c r="F67" s="89"/>
      <c r="G67" s="89"/>
      <c r="H67" s="89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 customHeight="1" spans="1:25">
      <c r="A68" s="70"/>
      <c r="B68" s="70"/>
      <c r="C68" s="70"/>
      <c r="D68" s="89"/>
      <c r="E68" s="89"/>
      <c r="F68" s="89"/>
      <c r="G68" s="89"/>
      <c r="H68" s="89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 customHeight="1" spans="1:25">
      <c r="A69" s="70"/>
      <c r="B69" s="70"/>
      <c r="C69" s="70"/>
      <c r="D69" s="89"/>
      <c r="E69" s="89"/>
      <c r="F69" s="89"/>
      <c r="G69" s="89"/>
      <c r="H69" s="89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 customHeight="1" spans="1:25">
      <c r="A70" s="70"/>
      <c r="B70" s="70"/>
      <c r="C70" s="70"/>
      <c r="D70" s="89"/>
      <c r="E70" s="89"/>
      <c r="F70" s="89"/>
      <c r="G70" s="89"/>
      <c r="H70" s="89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 customHeight="1" spans="1:25">
      <c r="A71" s="70"/>
      <c r="B71" s="70"/>
      <c r="C71" s="70"/>
      <c r="D71" s="89"/>
      <c r="E71" s="89"/>
      <c r="F71" s="89"/>
      <c r="G71" s="89"/>
      <c r="H71" s="89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 customHeight="1" spans="1:25">
      <c r="A72" s="70"/>
      <c r="B72" s="70"/>
      <c r="C72" s="70"/>
      <c r="D72" s="89"/>
      <c r="E72" s="89"/>
      <c r="F72" s="89"/>
      <c r="G72" s="89"/>
      <c r="H72" s="89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 customHeight="1" spans="1:25">
      <c r="A73" s="70"/>
      <c r="B73" s="70"/>
      <c r="C73" s="70"/>
      <c r="D73" s="89"/>
      <c r="E73" s="89"/>
      <c r="F73" s="89"/>
      <c r="G73" s="89"/>
      <c r="H73" s="89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customHeight="1" spans="1:25">
      <c r="A74" s="70"/>
      <c r="B74" s="70"/>
      <c r="C74" s="70"/>
      <c r="D74" s="89"/>
      <c r="E74" s="89"/>
      <c r="F74" s="89"/>
      <c r="G74" s="89"/>
      <c r="H74" s="89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customHeight="1" spans="1:25">
      <c r="A75" s="70"/>
      <c r="B75" s="70"/>
      <c r="C75" s="70"/>
      <c r="D75" s="89"/>
      <c r="E75" s="89"/>
      <c r="F75" s="89"/>
      <c r="G75" s="89"/>
      <c r="H75" s="89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 customHeight="1" spans="1:25">
      <c r="A76" s="70"/>
      <c r="B76" s="70"/>
      <c r="C76" s="70"/>
      <c r="D76" s="89"/>
      <c r="E76" s="89"/>
      <c r="F76" s="89"/>
      <c r="G76" s="89"/>
      <c r="H76" s="89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 customHeight="1" spans="1:25">
      <c r="A77" s="70"/>
      <c r="B77" s="70"/>
      <c r="C77" s="70"/>
      <c r="D77" s="89"/>
      <c r="E77" s="89"/>
      <c r="F77" s="89"/>
      <c r="G77" s="89"/>
      <c r="H77" s="89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 customHeight="1" spans="1:25">
      <c r="A78" s="70"/>
      <c r="B78" s="70"/>
      <c r="C78" s="70"/>
      <c r="D78" s="89"/>
      <c r="E78" s="89"/>
      <c r="F78" s="89"/>
      <c r="G78" s="89"/>
      <c r="H78" s="89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 customHeight="1" spans="1:25">
      <c r="A79" s="70"/>
      <c r="B79" s="70"/>
      <c r="C79" s="70"/>
      <c r="D79" s="89"/>
      <c r="E79" s="89"/>
      <c r="F79" s="89"/>
      <c r="G79" s="89"/>
      <c r="H79" s="89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 customHeight="1" spans="1:25">
      <c r="A80" s="70"/>
      <c r="B80" s="70"/>
      <c r="C80" s="70"/>
      <c r="D80" s="89"/>
      <c r="E80" s="89"/>
      <c r="F80" s="89"/>
      <c r="G80" s="89"/>
      <c r="H80" s="89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 customHeight="1" spans="1:25">
      <c r="A81" s="70"/>
      <c r="B81" s="70"/>
      <c r="C81" s="70"/>
      <c r="D81" s="89"/>
      <c r="E81" s="89"/>
      <c r="F81" s="89"/>
      <c r="G81" s="89"/>
      <c r="H81" s="89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 customHeight="1" spans="1:25">
      <c r="A82" s="70"/>
      <c r="B82" s="70"/>
      <c r="C82" s="70"/>
      <c r="D82" s="89"/>
      <c r="E82" s="89"/>
      <c r="F82" s="89"/>
      <c r="G82" s="89"/>
      <c r="H82" s="89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 customHeight="1" spans="1:25">
      <c r="A83" s="70"/>
      <c r="B83" s="70"/>
      <c r="C83" s="70"/>
      <c r="D83" s="89"/>
      <c r="E83" s="89"/>
      <c r="F83" s="89"/>
      <c r="G83" s="89"/>
      <c r="H83" s="89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 customHeight="1" spans="1:25">
      <c r="A84" s="70"/>
      <c r="B84" s="70"/>
      <c r="C84" s="70"/>
      <c r="D84" s="89"/>
      <c r="E84" s="89"/>
      <c r="F84" s="89"/>
      <c r="G84" s="89"/>
      <c r="H84" s="89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customHeight="1" spans="1:25">
      <c r="A85" s="70"/>
      <c r="B85" s="70"/>
      <c r="C85" s="70"/>
      <c r="D85" s="89"/>
      <c r="E85" s="89"/>
      <c r="F85" s="89"/>
      <c r="G85" s="89"/>
      <c r="H85" s="89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 customHeight="1" spans="1:25">
      <c r="A86" s="70"/>
      <c r="B86" s="70"/>
      <c r="C86" s="70"/>
      <c r="D86" s="89"/>
      <c r="E86" s="89"/>
      <c r="F86" s="89"/>
      <c r="G86" s="89"/>
      <c r="H86" s="89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 customHeight="1" spans="1:25">
      <c r="A87" s="70"/>
      <c r="B87" s="70"/>
      <c r="C87" s="70"/>
      <c r="D87" s="89"/>
      <c r="E87" s="89"/>
      <c r="F87" s="89"/>
      <c r="G87" s="89"/>
      <c r="H87" s="89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 customHeight="1" spans="1:25">
      <c r="A88" s="70"/>
      <c r="B88" s="70"/>
      <c r="C88" s="70"/>
      <c r="D88" s="89"/>
      <c r="E88" s="89"/>
      <c r="F88" s="89"/>
      <c r="G88" s="89"/>
      <c r="H88" s="89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 customHeight="1" spans="1:25">
      <c r="A89" s="70"/>
      <c r="B89" s="70"/>
      <c r="C89" s="70"/>
      <c r="D89" s="89"/>
      <c r="E89" s="89"/>
      <c r="F89" s="89"/>
      <c r="G89" s="89"/>
      <c r="H89" s="89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 customHeight="1" spans="1:25">
      <c r="A90" s="70"/>
      <c r="B90" s="70"/>
      <c r="C90" s="70"/>
      <c r="D90" s="89"/>
      <c r="E90" s="89"/>
      <c r="F90" s="89"/>
      <c r="G90" s="89"/>
      <c r="H90" s="89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 customHeight="1" spans="1:25">
      <c r="A91" s="70"/>
      <c r="B91" s="70"/>
      <c r="C91" s="70"/>
      <c r="D91" s="89"/>
      <c r="E91" s="89"/>
      <c r="F91" s="89"/>
      <c r="G91" s="89"/>
      <c r="H91" s="89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 customHeight="1" spans="1:25">
      <c r="A92" s="70"/>
      <c r="B92" s="70"/>
      <c r="C92" s="70"/>
      <c r="D92" s="89"/>
      <c r="E92" s="89"/>
      <c r="F92" s="89"/>
      <c r="G92" s="89"/>
      <c r="H92" s="89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 customHeight="1" spans="1:25">
      <c r="A93" s="70"/>
      <c r="B93" s="70"/>
      <c r="C93" s="70"/>
      <c r="D93" s="89"/>
      <c r="E93" s="89"/>
      <c r="F93" s="89"/>
      <c r="G93" s="89"/>
      <c r="H93" s="89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 customHeight="1" spans="1:25">
      <c r="A94" s="70"/>
      <c r="B94" s="70"/>
      <c r="C94" s="70"/>
      <c r="D94" s="89"/>
      <c r="E94" s="89"/>
      <c r="F94" s="89"/>
      <c r="G94" s="89"/>
      <c r="H94" s="89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 customHeight="1" spans="1:25">
      <c r="A95" s="70"/>
      <c r="B95" s="70"/>
      <c r="C95" s="70"/>
      <c r="D95" s="89"/>
      <c r="E95" s="89"/>
      <c r="F95" s="89"/>
      <c r="G95" s="89"/>
      <c r="H95" s="89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customHeight="1" spans="1:25">
      <c r="A96" s="70"/>
      <c r="B96" s="70"/>
      <c r="C96" s="70"/>
      <c r="D96" s="89"/>
      <c r="E96" s="89"/>
      <c r="F96" s="89"/>
      <c r="G96" s="89"/>
      <c r="H96" s="89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 customHeight="1" spans="1:25">
      <c r="A97" s="70"/>
      <c r="B97" s="70"/>
      <c r="C97" s="70"/>
      <c r="D97" s="89"/>
      <c r="E97" s="89"/>
      <c r="F97" s="89"/>
      <c r="G97" s="89"/>
      <c r="H97" s="89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customHeight="1" spans="1:25">
      <c r="A98" s="70"/>
      <c r="B98" s="70"/>
      <c r="C98" s="70"/>
      <c r="D98" s="89"/>
      <c r="E98" s="89"/>
      <c r="F98" s="89"/>
      <c r="G98" s="89"/>
      <c r="H98" s="89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 customHeight="1" spans="1:25">
      <c r="A99" s="70"/>
      <c r="B99" s="70"/>
      <c r="C99" s="70"/>
      <c r="D99" s="89"/>
      <c r="E99" s="89"/>
      <c r="F99" s="89"/>
      <c r="G99" s="89"/>
      <c r="H99" s="89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 customHeight="1" spans="1:25">
      <c r="A100" s="70"/>
      <c r="B100" s="70"/>
      <c r="C100" s="70"/>
      <c r="D100" s="89"/>
      <c r="E100" s="89"/>
      <c r="F100" s="89"/>
      <c r="G100" s="89"/>
      <c r="H100" s="89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customHeight="1" spans="1:25">
      <c r="A101" s="70"/>
      <c r="B101" s="70"/>
      <c r="C101" s="70"/>
      <c r="D101" s="89"/>
      <c r="E101" s="89"/>
      <c r="F101" s="89"/>
      <c r="G101" s="89"/>
      <c r="H101" s="89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 customHeight="1" spans="1:25">
      <c r="A102" s="70"/>
      <c r="B102" s="70"/>
      <c r="C102" s="70"/>
      <c r="D102" s="89"/>
      <c r="E102" s="89"/>
      <c r="F102" s="89"/>
      <c r="G102" s="89"/>
      <c r="H102" s="89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 customHeight="1" spans="1:25">
      <c r="A103" s="70"/>
      <c r="B103" s="70"/>
      <c r="C103" s="70"/>
      <c r="D103" s="89"/>
      <c r="E103" s="89"/>
      <c r="F103" s="89"/>
      <c r="G103" s="89"/>
      <c r="H103" s="89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 customHeight="1" spans="1:25">
      <c r="A104" s="70"/>
      <c r="B104" s="70"/>
      <c r="C104" s="70"/>
      <c r="D104" s="89"/>
      <c r="E104" s="89"/>
      <c r="F104" s="89"/>
      <c r="G104" s="89"/>
      <c r="H104" s="89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 customHeight="1" spans="1:25">
      <c r="A105" s="70"/>
      <c r="B105" s="70"/>
      <c r="C105" s="70"/>
      <c r="D105" s="89"/>
      <c r="E105" s="89"/>
      <c r="F105" s="89"/>
      <c r="G105" s="89"/>
      <c r="H105" s="89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customHeight="1" spans="1:25">
      <c r="A106" s="70"/>
      <c r="B106" s="70"/>
      <c r="C106" s="70"/>
      <c r="D106" s="89"/>
      <c r="E106" s="89"/>
      <c r="F106" s="89"/>
      <c r="G106" s="89"/>
      <c r="H106" s="89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 customHeight="1" spans="1:25">
      <c r="A107" s="70"/>
      <c r="B107" s="70"/>
      <c r="C107" s="70"/>
      <c r="D107" s="89"/>
      <c r="E107" s="89"/>
      <c r="F107" s="89"/>
      <c r="G107" s="89"/>
      <c r="H107" s="89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 customHeight="1" spans="1:25">
      <c r="A108" s="70"/>
      <c r="B108" s="70"/>
      <c r="C108" s="70"/>
      <c r="D108" s="89"/>
      <c r="E108" s="89"/>
      <c r="F108" s="89"/>
      <c r="G108" s="89"/>
      <c r="H108" s="89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 customHeight="1" spans="1:25">
      <c r="A109" s="70"/>
      <c r="B109" s="70"/>
      <c r="C109" s="70"/>
      <c r="D109" s="89"/>
      <c r="E109" s="89"/>
      <c r="F109" s="89"/>
      <c r="G109" s="89"/>
      <c r="H109" s="89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 customHeight="1" spans="1:25">
      <c r="A110" s="70"/>
      <c r="B110" s="70"/>
      <c r="C110" s="70"/>
      <c r="D110" s="89"/>
      <c r="E110" s="89"/>
      <c r="F110" s="89"/>
      <c r="G110" s="89"/>
      <c r="H110" s="89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 customHeight="1" spans="1:25">
      <c r="A111" s="70"/>
      <c r="B111" s="70"/>
      <c r="C111" s="70"/>
      <c r="D111" s="89"/>
      <c r="E111" s="89"/>
      <c r="F111" s="89"/>
      <c r="G111" s="89"/>
      <c r="H111" s="89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 customHeight="1" spans="1:25">
      <c r="A112" s="70"/>
      <c r="B112" s="70"/>
      <c r="C112" s="70"/>
      <c r="D112" s="89"/>
      <c r="E112" s="89"/>
      <c r="F112" s="89"/>
      <c r="G112" s="89"/>
      <c r="H112" s="89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 customHeight="1" spans="1:25">
      <c r="A113" s="70"/>
      <c r="B113" s="70"/>
      <c r="C113" s="70"/>
      <c r="D113" s="89"/>
      <c r="E113" s="89"/>
      <c r="F113" s="89"/>
      <c r="G113" s="89"/>
      <c r="H113" s="89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 customHeight="1" spans="1:25">
      <c r="A114" s="70"/>
      <c r="B114" s="70"/>
      <c r="C114" s="70"/>
      <c r="D114" s="89"/>
      <c r="E114" s="89"/>
      <c r="F114" s="89"/>
      <c r="G114" s="89"/>
      <c r="H114" s="89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 customHeight="1" spans="1:25">
      <c r="A115" s="70"/>
      <c r="B115" s="70"/>
      <c r="C115" s="70"/>
      <c r="D115" s="89"/>
      <c r="E115" s="89"/>
      <c r="F115" s="89"/>
      <c r="G115" s="89"/>
      <c r="H115" s="89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customHeight="1" spans="1:25">
      <c r="A116" s="70"/>
      <c r="B116" s="70"/>
      <c r="C116" s="70"/>
      <c r="D116" s="89"/>
      <c r="E116" s="89"/>
      <c r="F116" s="89"/>
      <c r="G116" s="89"/>
      <c r="H116" s="89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 customHeight="1" spans="1:25">
      <c r="A117" s="70"/>
      <c r="B117" s="70"/>
      <c r="C117" s="70"/>
      <c r="D117" s="89"/>
      <c r="E117" s="89"/>
      <c r="F117" s="89"/>
      <c r="G117" s="89"/>
      <c r="H117" s="89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 customHeight="1" spans="1:25">
      <c r="A118" s="70"/>
      <c r="B118" s="70"/>
      <c r="C118" s="70"/>
      <c r="D118" s="89"/>
      <c r="E118" s="89"/>
      <c r="F118" s="89"/>
      <c r="G118" s="89"/>
      <c r="H118" s="89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 customHeight="1" spans="1:25">
      <c r="A119" s="70"/>
      <c r="B119" s="70"/>
      <c r="C119" s="70"/>
      <c r="D119" s="89"/>
      <c r="E119" s="89"/>
      <c r="F119" s="89"/>
      <c r="G119" s="89"/>
      <c r="H119" s="89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 customHeight="1" spans="1:25">
      <c r="A120" s="70"/>
      <c r="B120" s="70"/>
      <c r="C120" s="70"/>
      <c r="D120" s="89"/>
      <c r="E120" s="89"/>
      <c r="F120" s="89"/>
      <c r="G120" s="89"/>
      <c r="H120" s="89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 customHeight="1" spans="1:25">
      <c r="A121" s="70"/>
      <c r="B121" s="70"/>
      <c r="C121" s="70"/>
      <c r="D121" s="89"/>
      <c r="E121" s="89"/>
      <c r="F121" s="89"/>
      <c r="G121" s="89"/>
      <c r="H121" s="89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 customHeight="1" spans="1:25">
      <c r="A122" s="70"/>
      <c r="B122" s="70"/>
      <c r="C122" s="70"/>
      <c r="D122" s="89"/>
      <c r="E122" s="89"/>
      <c r="F122" s="89"/>
      <c r="G122" s="89"/>
      <c r="H122" s="89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 customHeight="1" spans="1:25">
      <c r="A123" s="70"/>
      <c r="B123" s="70"/>
      <c r="C123" s="70"/>
      <c r="D123" s="89"/>
      <c r="E123" s="89"/>
      <c r="F123" s="89"/>
      <c r="G123" s="89"/>
      <c r="H123" s="89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 customHeight="1" spans="1:25">
      <c r="A124" s="70"/>
      <c r="B124" s="70"/>
      <c r="C124" s="70"/>
      <c r="D124" s="89"/>
      <c r="E124" s="89"/>
      <c r="F124" s="89"/>
      <c r="G124" s="89"/>
      <c r="H124" s="89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 customHeight="1" spans="1:25">
      <c r="A125" s="70"/>
      <c r="B125" s="70"/>
      <c r="C125" s="70"/>
      <c r="D125" s="89"/>
      <c r="E125" s="89"/>
      <c r="F125" s="89"/>
      <c r="G125" s="89"/>
      <c r="H125" s="89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customHeight="1" spans="1:25">
      <c r="A126" s="70"/>
      <c r="B126" s="70"/>
      <c r="C126" s="70"/>
      <c r="D126" s="89"/>
      <c r="E126" s="89"/>
      <c r="F126" s="89"/>
      <c r="G126" s="89"/>
      <c r="H126" s="89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customHeight="1" spans="1:25">
      <c r="A127" s="70"/>
      <c r="B127" s="70"/>
      <c r="C127" s="70"/>
      <c r="D127" s="89"/>
      <c r="E127" s="89"/>
      <c r="F127" s="89"/>
      <c r="G127" s="89"/>
      <c r="H127" s="89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 customHeight="1" spans="1:25">
      <c r="A128" s="70"/>
      <c r="B128" s="70"/>
      <c r="C128" s="70"/>
      <c r="D128" s="89"/>
      <c r="E128" s="89"/>
      <c r="F128" s="89"/>
      <c r="G128" s="89"/>
      <c r="H128" s="89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 customHeight="1" spans="1:25">
      <c r="A129" s="70"/>
      <c r="B129" s="70"/>
      <c r="C129" s="70"/>
      <c r="D129" s="89"/>
      <c r="E129" s="89"/>
      <c r="F129" s="89"/>
      <c r="G129" s="89"/>
      <c r="H129" s="89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 customHeight="1" spans="1:25">
      <c r="A130" s="70"/>
      <c r="B130" s="70"/>
      <c r="C130" s="70"/>
      <c r="D130" s="89"/>
      <c r="E130" s="89"/>
      <c r="F130" s="89"/>
      <c r="G130" s="89"/>
      <c r="H130" s="89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 customHeight="1" spans="1:25">
      <c r="A131" s="70"/>
      <c r="B131" s="70"/>
      <c r="C131" s="70"/>
      <c r="D131" s="89"/>
      <c r="E131" s="89"/>
      <c r="F131" s="89"/>
      <c r="G131" s="89"/>
      <c r="H131" s="89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 customHeight="1" spans="1:25">
      <c r="A132" s="70"/>
      <c r="B132" s="70"/>
      <c r="C132" s="70"/>
      <c r="D132" s="89"/>
      <c r="E132" s="89"/>
      <c r="F132" s="89"/>
      <c r="G132" s="89"/>
      <c r="H132" s="89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 customHeight="1" spans="1:25">
      <c r="A133" s="70"/>
      <c r="B133" s="70"/>
      <c r="C133" s="70"/>
      <c r="D133" s="89"/>
      <c r="E133" s="89"/>
      <c r="F133" s="89"/>
      <c r="G133" s="89"/>
      <c r="H133" s="89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 customHeight="1" spans="1:25">
      <c r="A134" s="70"/>
      <c r="B134" s="70"/>
      <c r="C134" s="70"/>
      <c r="D134" s="89"/>
      <c r="E134" s="89"/>
      <c r="F134" s="89"/>
      <c r="G134" s="89"/>
      <c r="H134" s="89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 customHeight="1" spans="1:25">
      <c r="A135" s="70"/>
      <c r="B135" s="70"/>
      <c r="C135" s="70"/>
      <c r="D135" s="89"/>
      <c r="E135" s="89"/>
      <c r="F135" s="89"/>
      <c r="G135" s="89"/>
      <c r="H135" s="89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customHeight="1" spans="1:25">
      <c r="A136" s="70"/>
      <c r="B136" s="70"/>
      <c r="C136" s="70"/>
      <c r="D136" s="89"/>
      <c r="E136" s="89"/>
      <c r="F136" s="89"/>
      <c r="G136" s="89"/>
      <c r="H136" s="89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 customHeight="1" spans="1:25">
      <c r="A137" s="70"/>
      <c r="B137" s="70"/>
      <c r="C137" s="70"/>
      <c r="D137" s="89"/>
      <c r="E137" s="89"/>
      <c r="F137" s="89"/>
      <c r="G137" s="89"/>
      <c r="H137" s="89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 customHeight="1" spans="1:25">
      <c r="A138" s="70"/>
      <c r="B138" s="70"/>
      <c r="C138" s="70"/>
      <c r="D138" s="89"/>
      <c r="E138" s="89"/>
      <c r="F138" s="89"/>
      <c r="G138" s="89"/>
      <c r="H138" s="89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 customHeight="1" spans="1:25">
      <c r="A139" s="70"/>
      <c r="B139" s="70"/>
      <c r="C139" s="70"/>
      <c r="D139" s="89"/>
      <c r="E139" s="89"/>
      <c r="F139" s="89"/>
      <c r="G139" s="89"/>
      <c r="H139" s="89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 customHeight="1" spans="1:25">
      <c r="A140" s="70"/>
      <c r="B140" s="70"/>
      <c r="C140" s="70"/>
      <c r="D140" s="89"/>
      <c r="E140" s="89"/>
      <c r="F140" s="89"/>
      <c r="G140" s="89"/>
      <c r="H140" s="89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 customHeight="1" spans="1:25">
      <c r="A141" s="70"/>
      <c r="B141" s="70"/>
      <c r="C141" s="70"/>
      <c r="D141" s="89"/>
      <c r="E141" s="89"/>
      <c r="F141" s="89"/>
      <c r="G141" s="89"/>
      <c r="H141" s="89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 customHeight="1" spans="1:25">
      <c r="A142" s="70"/>
      <c r="B142" s="70"/>
      <c r="C142" s="70"/>
      <c r="D142" s="89"/>
      <c r="E142" s="89"/>
      <c r="F142" s="89"/>
      <c r="G142" s="89"/>
      <c r="H142" s="89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 customHeight="1" spans="1:25">
      <c r="A143" s="70"/>
      <c r="B143" s="70"/>
      <c r="C143" s="70"/>
      <c r="D143" s="89"/>
      <c r="E143" s="89"/>
      <c r="F143" s="89"/>
      <c r="G143" s="89"/>
      <c r="H143" s="89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customHeight="1" spans="1:25">
      <c r="A144" s="70"/>
      <c r="B144" s="70"/>
      <c r="C144" s="70"/>
      <c r="D144" s="89"/>
      <c r="E144" s="89"/>
      <c r="F144" s="89"/>
      <c r="G144" s="89"/>
      <c r="H144" s="89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 customHeight="1" spans="1:25">
      <c r="A145" s="70"/>
      <c r="B145" s="70"/>
      <c r="C145" s="70"/>
      <c r="D145" s="89"/>
      <c r="E145" s="89"/>
      <c r="F145" s="89"/>
      <c r="G145" s="89"/>
      <c r="H145" s="89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customHeight="1" spans="1:25">
      <c r="A146" s="70"/>
      <c r="B146" s="70"/>
      <c r="C146" s="70"/>
      <c r="D146" s="89"/>
      <c r="E146" s="89"/>
      <c r="F146" s="89"/>
      <c r="G146" s="89"/>
      <c r="H146" s="89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customHeight="1" spans="1:25">
      <c r="A147" s="70"/>
      <c r="B147" s="70"/>
      <c r="C147" s="70"/>
      <c r="D147" s="89"/>
      <c r="E147" s="89"/>
      <c r="F147" s="89"/>
      <c r="G147" s="89"/>
      <c r="H147" s="89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 customHeight="1" spans="1:25">
      <c r="A148" s="70"/>
      <c r="B148" s="70"/>
      <c r="C148" s="70"/>
      <c r="D148" s="89"/>
      <c r="E148" s="89"/>
      <c r="F148" s="89"/>
      <c r="G148" s="89"/>
      <c r="H148" s="89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customHeight="1" spans="1:25">
      <c r="A149" s="70"/>
      <c r="B149" s="70"/>
      <c r="C149" s="70"/>
      <c r="D149" s="89"/>
      <c r="E149" s="89"/>
      <c r="F149" s="89"/>
      <c r="G149" s="89"/>
      <c r="H149" s="89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 customHeight="1" spans="1:25">
      <c r="A150" s="70"/>
      <c r="B150" s="70"/>
      <c r="C150" s="70"/>
      <c r="D150" s="89"/>
      <c r="E150" s="89"/>
      <c r="F150" s="89"/>
      <c r="G150" s="89"/>
      <c r="H150" s="89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 customHeight="1" spans="1:25">
      <c r="A151" s="70"/>
      <c r="B151" s="70"/>
      <c r="C151" s="70"/>
      <c r="D151" s="89"/>
      <c r="E151" s="89"/>
      <c r="F151" s="89"/>
      <c r="G151" s="89"/>
      <c r="H151" s="89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 customHeight="1" spans="1:25">
      <c r="A152" s="70"/>
      <c r="B152" s="70"/>
      <c r="C152" s="70"/>
      <c r="D152" s="89"/>
      <c r="E152" s="89"/>
      <c r="F152" s="89"/>
      <c r="G152" s="89"/>
      <c r="H152" s="89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customHeight="1" spans="1:25">
      <c r="A153" s="70"/>
      <c r="B153" s="70"/>
      <c r="C153" s="70"/>
      <c r="D153" s="89"/>
      <c r="E153" s="89"/>
      <c r="F153" s="89"/>
      <c r="G153" s="89"/>
      <c r="H153" s="89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 customHeight="1" spans="1:25">
      <c r="A154" s="70"/>
      <c r="B154" s="70"/>
      <c r="C154" s="70"/>
      <c r="D154" s="89"/>
      <c r="E154" s="89"/>
      <c r="F154" s="89"/>
      <c r="G154" s="89"/>
      <c r="H154" s="89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customHeight="1" spans="1:25">
      <c r="A155" s="70"/>
      <c r="B155" s="70"/>
      <c r="C155" s="70"/>
      <c r="D155" s="89"/>
      <c r="E155" s="89"/>
      <c r="F155" s="89"/>
      <c r="G155" s="89"/>
      <c r="H155" s="89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 customHeight="1" spans="1:25">
      <c r="A156" s="70"/>
      <c r="B156" s="70"/>
      <c r="C156" s="70"/>
      <c r="D156" s="89"/>
      <c r="E156" s="89"/>
      <c r="F156" s="89"/>
      <c r="G156" s="89"/>
      <c r="H156" s="89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 customHeight="1" spans="1:25">
      <c r="A157" s="70"/>
      <c r="B157" s="70"/>
      <c r="C157" s="70"/>
      <c r="D157" s="89"/>
      <c r="E157" s="89"/>
      <c r="F157" s="89"/>
      <c r="G157" s="89"/>
      <c r="H157" s="89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 customHeight="1" spans="1:25">
      <c r="A158" s="70"/>
      <c r="B158" s="70"/>
      <c r="C158" s="70"/>
      <c r="D158" s="89"/>
      <c r="E158" s="89"/>
      <c r="F158" s="89"/>
      <c r="G158" s="89"/>
      <c r="H158" s="89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 customHeight="1" spans="1:25">
      <c r="A159" s="70"/>
      <c r="B159" s="70"/>
      <c r="C159" s="70"/>
      <c r="D159" s="89"/>
      <c r="E159" s="89"/>
      <c r="F159" s="89"/>
      <c r="G159" s="89"/>
      <c r="H159" s="89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 customHeight="1" spans="1:25">
      <c r="A160" s="70"/>
      <c r="B160" s="70"/>
      <c r="C160" s="70"/>
      <c r="D160" s="89"/>
      <c r="E160" s="89"/>
      <c r="F160" s="89"/>
      <c r="G160" s="89"/>
      <c r="H160" s="89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 customHeight="1" spans="1:25">
      <c r="A161" s="70"/>
      <c r="B161" s="70"/>
      <c r="C161" s="70"/>
      <c r="D161" s="89"/>
      <c r="E161" s="89"/>
      <c r="F161" s="89"/>
      <c r="G161" s="89"/>
      <c r="H161" s="89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 customHeight="1" spans="1:25">
      <c r="A162" s="70"/>
      <c r="B162" s="70"/>
      <c r="C162" s="70"/>
      <c r="D162" s="89"/>
      <c r="E162" s="89"/>
      <c r="F162" s="89"/>
      <c r="G162" s="89"/>
      <c r="H162" s="89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 customHeight="1" spans="1:25">
      <c r="A163" s="70"/>
      <c r="B163" s="70"/>
      <c r="C163" s="70"/>
      <c r="D163" s="89"/>
      <c r="E163" s="89"/>
      <c r="F163" s="89"/>
      <c r="G163" s="89"/>
      <c r="H163" s="89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customHeight="1" spans="1:25">
      <c r="A164" s="70"/>
      <c r="B164" s="70"/>
      <c r="C164" s="70"/>
      <c r="D164" s="89"/>
      <c r="E164" s="89"/>
      <c r="F164" s="89"/>
      <c r="G164" s="89"/>
      <c r="H164" s="89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 customHeight="1" spans="1:25">
      <c r="A165" s="70"/>
      <c r="B165" s="70"/>
      <c r="C165" s="70"/>
      <c r="D165" s="89"/>
      <c r="E165" s="89"/>
      <c r="F165" s="89"/>
      <c r="G165" s="89"/>
      <c r="H165" s="89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 customHeight="1" spans="1:25">
      <c r="A166" s="70"/>
      <c r="B166" s="70"/>
      <c r="C166" s="70"/>
      <c r="D166" s="89"/>
      <c r="E166" s="89"/>
      <c r="F166" s="89"/>
      <c r="G166" s="89"/>
      <c r="H166" s="89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 customHeight="1" spans="1:25">
      <c r="A167" s="70"/>
      <c r="B167" s="70"/>
      <c r="C167" s="70"/>
      <c r="D167" s="89"/>
      <c r="E167" s="89"/>
      <c r="F167" s="89"/>
      <c r="G167" s="89"/>
      <c r="H167" s="89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customHeight="1" spans="1:25">
      <c r="A168" s="70"/>
      <c r="B168" s="70"/>
      <c r="C168" s="70"/>
      <c r="D168" s="89"/>
      <c r="E168" s="89"/>
      <c r="F168" s="89"/>
      <c r="G168" s="89"/>
      <c r="H168" s="89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customHeight="1" spans="1:25">
      <c r="A169" s="70"/>
      <c r="B169" s="70"/>
      <c r="C169" s="70"/>
      <c r="D169" s="89"/>
      <c r="E169" s="89"/>
      <c r="F169" s="89"/>
      <c r="G169" s="89"/>
      <c r="H169" s="89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customHeight="1" spans="1:25">
      <c r="A170" s="70"/>
      <c r="B170" s="70"/>
      <c r="C170" s="70"/>
      <c r="D170" s="89"/>
      <c r="E170" s="89"/>
      <c r="F170" s="89"/>
      <c r="G170" s="89"/>
      <c r="H170" s="89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 customHeight="1" spans="1:25">
      <c r="A171" s="70"/>
      <c r="B171" s="70"/>
      <c r="C171" s="70"/>
      <c r="D171" s="89"/>
      <c r="E171" s="89"/>
      <c r="F171" s="89"/>
      <c r="G171" s="89"/>
      <c r="H171" s="89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 customHeight="1" spans="1:25">
      <c r="A172" s="70"/>
      <c r="B172" s="70"/>
      <c r="C172" s="70"/>
      <c r="D172" s="89"/>
      <c r="E172" s="89"/>
      <c r="F172" s="89"/>
      <c r="G172" s="89"/>
      <c r="H172" s="89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 customHeight="1" spans="1:25">
      <c r="A173" s="70"/>
      <c r="B173" s="70"/>
      <c r="C173" s="70"/>
      <c r="D173" s="89"/>
      <c r="E173" s="89"/>
      <c r="F173" s="89"/>
      <c r="G173" s="89"/>
      <c r="H173" s="89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 customHeight="1" spans="1:25">
      <c r="A174" s="70"/>
      <c r="B174" s="70"/>
      <c r="C174" s="70"/>
      <c r="D174" s="89"/>
      <c r="E174" s="89"/>
      <c r="F174" s="89"/>
      <c r="G174" s="89"/>
      <c r="H174" s="89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 customHeight="1" spans="1:25">
      <c r="A175" s="70"/>
      <c r="B175" s="70"/>
      <c r="C175" s="70"/>
      <c r="D175" s="89"/>
      <c r="E175" s="89"/>
      <c r="F175" s="89"/>
      <c r="G175" s="89"/>
      <c r="H175" s="89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 customHeight="1" spans="1:25">
      <c r="A176" s="70"/>
      <c r="B176" s="70"/>
      <c r="C176" s="70"/>
      <c r="D176" s="89"/>
      <c r="E176" s="89"/>
      <c r="F176" s="89"/>
      <c r="G176" s="89"/>
      <c r="H176" s="89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 customHeight="1" spans="1:25">
      <c r="A177" s="70"/>
      <c r="B177" s="70"/>
      <c r="C177" s="70"/>
      <c r="D177" s="89"/>
      <c r="E177" s="89"/>
      <c r="F177" s="89"/>
      <c r="G177" s="89"/>
      <c r="H177" s="89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 customHeight="1" spans="1:25">
      <c r="A178" s="70"/>
      <c r="B178" s="70"/>
      <c r="C178" s="70"/>
      <c r="D178" s="89"/>
      <c r="E178" s="89"/>
      <c r="F178" s="89"/>
      <c r="G178" s="89"/>
      <c r="H178" s="89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customHeight="1" spans="1:25">
      <c r="A179" s="70"/>
      <c r="B179" s="70"/>
      <c r="C179" s="70"/>
      <c r="D179" s="89"/>
      <c r="E179" s="89"/>
      <c r="F179" s="89"/>
      <c r="G179" s="89"/>
      <c r="H179" s="89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 customHeight="1" spans="1:25">
      <c r="A180" s="70"/>
      <c r="B180" s="70"/>
      <c r="C180" s="70"/>
      <c r="D180" s="89"/>
      <c r="E180" s="89"/>
      <c r="F180" s="89"/>
      <c r="G180" s="89"/>
      <c r="H180" s="89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 customHeight="1" spans="1:25">
      <c r="A181" s="70"/>
      <c r="B181" s="70"/>
      <c r="C181" s="70"/>
      <c r="D181" s="89"/>
      <c r="E181" s="89"/>
      <c r="F181" s="89"/>
      <c r="G181" s="89"/>
      <c r="H181" s="89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 customHeight="1" spans="1:25">
      <c r="A182" s="70"/>
      <c r="B182" s="70"/>
      <c r="C182" s="70"/>
      <c r="D182" s="89"/>
      <c r="E182" s="89"/>
      <c r="F182" s="89"/>
      <c r="G182" s="89"/>
      <c r="H182" s="89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 customHeight="1" spans="1:25">
      <c r="A183" s="70"/>
      <c r="B183" s="70"/>
      <c r="C183" s="70"/>
      <c r="D183" s="89"/>
      <c r="E183" s="89"/>
      <c r="F183" s="89"/>
      <c r="G183" s="89"/>
      <c r="H183" s="89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 customHeight="1" spans="1:25">
      <c r="A184" s="70"/>
      <c r="B184" s="70"/>
      <c r="C184" s="70"/>
      <c r="D184" s="89"/>
      <c r="E184" s="89"/>
      <c r="F184" s="89"/>
      <c r="G184" s="89"/>
      <c r="H184" s="89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 customHeight="1" spans="1:25">
      <c r="A185" s="70"/>
      <c r="B185" s="70"/>
      <c r="C185" s="70"/>
      <c r="D185" s="89"/>
      <c r="E185" s="89"/>
      <c r="F185" s="89"/>
      <c r="G185" s="89"/>
      <c r="H185" s="89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 customHeight="1" spans="1:25">
      <c r="A186" s="70"/>
      <c r="B186" s="70"/>
      <c r="C186" s="70"/>
      <c r="D186" s="89"/>
      <c r="E186" s="89"/>
      <c r="F186" s="89"/>
      <c r="G186" s="89"/>
      <c r="H186" s="89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 customHeight="1" spans="1:25">
      <c r="A187" s="70"/>
      <c r="B187" s="70"/>
      <c r="C187" s="70"/>
      <c r="D187" s="89"/>
      <c r="E187" s="89"/>
      <c r="F187" s="89"/>
      <c r="G187" s="89"/>
      <c r="H187" s="89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 customHeight="1" spans="1:25">
      <c r="A188" s="70"/>
      <c r="B188" s="70"/>
      <c r="C188" s="70"/>
      <c r="D188" s="89"/>
      <c r="E188" s="89"/>
      <c r="F188" s="89"/>
      <c r="G188" s="89"/>
      <c r="H188" s="89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 customHeight="1" spans="1:25">
      <c r="A189" s="70"/>
      <c r="B189" s="70"/>
      <c r="C189" s="70"/>
      <c r="D189" s="89"/>
      <c r="E189" s="89"/>
      <c r="F189" s="89"/>
      <c r="G189" s="89"/>
      <c r="H189" s="89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9" customWidth="1"/>
    <col min="2" max="2" width="13.7142857142857" style="59" customWidth="1"/>
    <col min="3" max="3" width="4.42857142857143" style="57" customWidth="1"/>
    <col min="4" max="6" width="4" style="57" customWidth="1"/>
    <col min="7" max="7" width="3.87619047619048" style="57" customWidth="1"/>
    <col min="8" max="12" width="4.28571428571429" style="57" customWidth="1"/>
    <col min="13" max="13" width="4.00952380952381" style="57" customWidth="1"/>
    <col min="14" max="14" width="4.28571428571429" style="57" customWidth="1"/>
    <col min="15" max="15" width="4.00952380952381" style="57" customWidth="1"/>
    <col min="16" max="16" width="3.87619047619048" style="57" customWidth="1"/>
    <col min="17" max="17" width="4.28571428571429" style="57" customWidth="1"/>
    <col min="18" max="19" width="4.14285714285714" style="57" customWidth="1"/>
    <col min="20" max="20" width="4.57142857142857" style="57" customWidth="1"/>
    <col min="21" max="25" width="4.14285714285714" style="57" customWidth="1"/>
    <col min="26" max="27" width="4.57142857142857" style="57" customWidth="1"/>
    <col min="28" max="28" width="4.16190476190476" style="57" customWidth="1"/>
    <col min="29" max="30" width="4.28571428571429" style="57" customWidth="1"/>
    <col min="31" max="31" width="4.00952380952381" style="57" customWidth="1"/>
    <col min="32" max="32" width="3.85714285714286" style="57" customWidth="1"/>
    <col min="33" max="34" width="4.28571428571429" style="57" customWidth="1"/>
    <col min="35" max="36" width="4.57142857142857" style="57" customWidth="1"/>
    <col min="37" max="37" width="4.28571428571429" style="57" customWidth="1"/>
    <col min="38" max="38" width="3.85714285714286" style="57" customWidth="1"/>
    <col min="39" max="16384" width="10.2857142857143" style="57"/>
  </cols>
  <sheetData>
    <row r="1" s="57" customFormat="1" ht="26" customHeight="1" spans="1:38">
      <c r="A1" s="54" t="s">
        <v>47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="57" customFormat="1" ht="26" customHeight="1" spans="1:38">
      <c r="A2" s="60" t="s">
        <v>48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</row>
    <row r="3" s="58" customFormat="1" ht="40" customHeight="1" spans="1:38">
      <c r="A3" s="61" t="s">
        <v>2</v>
      </c>
      <c r="B3" s="61" t="s">
        <v>49</v>
      </c>
      <c r="C3" s="55">
        <v>1</v>
      </c>
      <c r="D3" s="55">
        <v>2</v>
      </c>
      <c r="E3" s="55">
        <v>3</v>
      </c>
      <c r="F3" s="55">
        <v>4</v>
      </c>
      <c r="G3" s="55">
        <v>5</v>
      </c>
      <c r="H3" s="55">
        <v>6</v>
      </c>
      <c r="I3" s="55">
        <v>7</v>
      </c>
      <c r="J3" s="55">
        <v>8</v>
      </c>
      <c r="K3" s="55">
        <v>9</v>
      </c>
      <c r="L3" s="55">
        <v>10</v>
      </c>
      <c r="M3" s="55">
        <v>11</v>
      </c>
      <c r="N3" s="55">
        <v>12</v>
      </c>
      <c r="O3" s="55">
        <v>13</v>
      </c>
      <c r="P3" s="55">
        <v>14</v>
      </c>
      <c r="Q3" s="55">
        <v>15</v>
      </c>
      <c r="R3" s="55">
        <v>16</v>
      </c>
      <c r="S3" s="55">
        <v>17</v>
      </c>
      <c r="T3" s="55">
        <v>18</v>
      </c>
      <c r="U3" s="55">
        <v>19</v>
      </c>
      <c r="V3" s="55">
        <v>20</v>
      </c>
      <c r="W3" s="55">
        <v>21</v>
      </c>
      <c r="X3" s="55">
        <v>22</v>
      </c>
      <c r="Y3" s="55">
        <v>23</v>
      </c>
      <c r="Z3" s="55">
        <v>24</v>
      </c>
      <c r="AA3" s="55">
        <v>25</v>
      </c>
      <c r="AB3" s="55">
        <v>26</v>
      </c>
      <c r="AC3" s="55">
        <v>27</v>
      </c>
      <c r="AD3" s="55">
        <v>28</v>
      </c>
      <c r="AE3" s="55">
        <v>29</v>
      </c>
      <c r="AF3" s="55">
        <v>30</v>
      </c>
      <c r="AG3" s="55"/>
      <c r="AH3" s="55"/>
      <c r="AI3" s="55"/>
      <c r="AJ3" s="55"/>
      <c r="AK3" s="55"/>
      <c r="AL3" s="55"/>
    </row>
    <row r="4" s="57" customFormat="1" ht="25" customHeight="1" spans="1:38">
      <c r="A4" s="62">
        <v>1</v>
      </c>
      <c r="B4" s="63"/>
      <c r="C4" s="62"/>
      <c r="D4" s="62"/>
      <c r="E4" s="62"/>
      <c r="F4" s="62"/>
      <c r="G4" s="62"/>
      <c r="H4" s="62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</row>
    <row r="5" s="57" customFormat="1" ht="25" customHeight="1" spans="1:38">
      <c r="A5" s="62">
        <v>2</v>
      </c>
      <c r="B5" s="63"/>
      <c r="C5" s="62"/>
      <c r="D5" s="62"/>
      <c r="E5" s="62"/>
      <c r="F5" s="62"/>
      <c r="G5" s="62"/>
      <c r="H5" s="62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</row>
    <row r="6" s="57" customFormat="1" ht="25" customHeight="1" spans="1:38">
      <c r="A6" s="62">
        <v>3</v>
      </c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</row>
    <row r="7" s="57" customFormat="1" ht="25" customHeight="1" spans="1:38">
      <c r="A7" s="62">
        <v>13</v>
      </c>
      <c r="B7" s="63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</row>
    <row r="8" s="57" customFormat="1" ht="25" customHeight="1" spans="1:38">
      <c r="A8" s="62">
        <v>14</v>
      </c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</row>
    <row r="9" s="57" customFormat="1" ht="25" customHeight="1" spans="1:38">
      <c r="A9" s="62">
        <v>15</v>
      </c>
      <c r="B9" s="63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</row>
    <row r="10" s="57" customFormat="1" ht="25" customHeight="1" spans="1:38">
      <c r="A10" s="62">
        <v>16</v>
      </c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</row>
    <row r="11" s="57" customFormat="1" ht="25" customHeight="1" spans="1:38">
      <c r="A11" s="62">
        <v>17</v>
      </c>
      <c r="B11" s="65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</row>
    <row r="12" s="57" customFormat="1" ht="25" customHeight="1" spans="1:38">
      <c r="A12" s="62">
        <v>18</v>
      </c>
      <c r="B12" s="65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</row>
    <row r="13" s="57" customFormat="1" ht="15" customHeight="1" spans="1:38">
      <c r="A13" s="66"/>
      <c r="B13" s="66"/>
    </row>
    <row r="14" s="57" customFormat="1" ht="15" customHeight="1" spans="1:38">
      <c r="A14" s="66"/>
      <c r="B14" s="66"/>
    </row>
    <row r="15" s="57" customFormat="1" ht="15" customHeight="1" spans="1:38">
      <c r="A15" s="66"/>
      <c r="B15" s="66"/>
    </row>
    <row r="16" s="57" customFormat="1" ht="15" customHeight="1" spans="1:38">
      <c r="A16" s="66"/>
      <c r="B16" s="66"/>
    </row>
    <row r="17" s="57" customFormat="1" ht="15" customHeight="1" spans="1:2">
      <c r="A17" s="66"/>
      <c r="B17" s="66"/>
    </row>
    <row r="18" s="57" customFormat="1" ht="15" customHeight="1" spans="1:2">
      <c r="A18" s="66"/>
      <c r="B18" s="66"/>
    </row>
    <row r="19" s="57" customFormat="1" ht="15" customHeight="1" spans="1:2">
      <c r="A19" s="66"/>
      <c r="B19" s="66"/>
    </row>
    <row r="20" s="57" customFormat="1" ht="15" customHeight="1" spans="1:2">
      <c r="A20" s="66"/>
      <c r="B20" s="66"/>
    </row>
    <row r="21" s="57" customFormat="1" ht="15" customHeight="1" spans="1:2">
      <c r="A21" s="66"/>
      <c r="B21" s="66"/>
    </row>
    <row r="22" s="57" customFormat="1" ht="15" customHeight="1" spans="1:2">
      <c r="A22" s="66"/>
      <c r="B22" s="66"/>
    </row>
    <row r="23" s="57" customFormat="1" ht="15" customHeight="1" spans="1:2">
      <c r="A23" s="66"/>
      <c r="B23" s="66"/>
    </row>
    <row r="24" s="57" customFormat="1" ht="15" customHeight="1" spans="1:2">
      <c r="A24" s="66"/>
      <c r="B24" s="66"/>
    </row>
    <row r="25" s="57" customFormat="1" ht="15" customHeight="1" spans="1:2">
      <c r="A25" s="66"/>
      <c r="B25" s="66"/>
    </row>
    <row r="26" s="57" customFormat="1" ht="15" customHeight="1" spans="1:2">
      <c r="A26" s="66"/>
      <c r="B26" s="66"/>
    </row>
    <row r="27" s="57" customFormat="1" ht="15" customHeight="1" spans="1:2">
      <c r="A27" s="66"/>
      <c r="B27" s="66"/>
    </row>
    <row r="28" s="57" customFormat="1" ht="15" customHeight="1" spans="1:2">
      <c r="A28" s="66"/>
      <c r="B28" s="66"/>
    </row>
    <row r="29" s="57" customFormat="1" ht="15" customHeight="1" spans="1:2">
      <c r="A29" s="66"/>
      <c r="B29" s="66"/>
    </row>
    <row r="30" s="57" customFormat="1" ht="15" customHeight="1" spans="1:2">
      <c r="A30" s="66"/>
      <c r="B30" s="66"/>
    </row>
    <row r="31" s="57" customFormat="1" ht="15" customHeight="1" spans="1:2">
      <c r="A31" s="66"/>
      <c r="B31" s="66"/>
    </row>
    <row r="32" s="57" customFormat="1" ht="15" customHeight="1" spans="1:2">
      <c r="A32" s="66"/>
      <c r="B32" s="66"/>
    </row>
    <row r="33" s="57" customFormat="1" ht="15" customHeight="1" spans="1:2">
      <c r="A33" s="66"/>
      <c r="B33" s="66"/>
    </row>
    <row r="34" s="57" customFormat="1" ht="15" customHeight="1" spans="1:2">
      <c r="A34" s="66"/>
      <c r="B34" s="66"/>
    </row>
    <row r="35" s="57" customFormat="1" ht="15" customHeight="1" spans="1:2">
      <c r="A35" s="66"/>
      <c r="B35" s="66"/>
    </row>
    <row r="36" s="57" customFormat="1" ht="15" customHeight="1" spans="1:2">
      <c r="A36" s="66"/>
      <c r="B36" s="66"/>
    </row>
    <row r="37" s="57" customFormat="1" ht="15" customHeight="1" spans="1:2">
      <c r="A37" s="66"/>
      <c r="B37" s="66"/>
    </row>
    <row r="38" s="57" customFormat="1" ht="15" customHeight="1" spans="1:2">
      <c r="A38" s="66"/>
      <c r="B38" s="66"/>
    </row>
    <row r="39" s="57" customFormat="1" ht="15" customHeight="1" spans="1:2">
      <c r="A39" s="66"/>
      <c r="B39" s="66"/>
    </row>
    <row r="40" s="57" customFormat="1" ht="15" customHeight="1" spans="1:2">
      <c r="A40" s="66"/>
      <c r="B40" s="66"/>
    </row>
    <row r="41" s="57" customFormat="1" ht="15" customHeight="1" spans="1:2">
      <c r="A41" s="66"/>
      <c r="B41" s="66"/>
    </row>
    <row r="42" s="57" customFormat="1" ht="15" customHeight="1" spans="1:2">
      <c r="A42" s="66"/>
      <c r="B42" s="66"/>
    </row>
    <row r="43" s="57" customFormat="1" ht="15" customHeight="1" spans="1:2">
      <c r="A43" s="66"/>
      <c r="B43" s="66"/>
    </row>
    <row r="44" s="57" customFormat="1" ht="15" customHeight="1" spans="1:2">
      <c r="A44" s="66"/>
      <c r="B44" s="66"/>
    </row>
    <row r="45" s="57" customFormat="1" ht="15" customHeight="1" spans="1:2">
      <c r="A45" s="66"/>
      <c r="B45" s="66"/>
    </row>
    <row r="46" s="57" customFormat="1" ht="15" customHeight="1" spans="1:2">
      <c r="A46" s="66"/>
      <c r="B46" s="66"/>
    </row>
    <row r="47" s="57" customFormat="1" ht="15" customHeight="1" spans="1:2">
      <c r="A47" s="66"/>
      <c r="B47" s="66"/>
    </row>
    <row r="48" s="57" customFormat="1" ht="15" customHeight="1" spans="1:2">
      <c r="A48" s="66"/>
      <c r="B48" s="66"/>
    </row>
    <row r="49" s="57" customFormat="1" ht="15" customHeight="1" spans="1:2">
      <c r="A49" s="66"/>
      <c r="B49" s="66"/>
    </row>
    <row r="50" s="57" customFormat="1" ht="15" customHeight="1" spans="1:2">
      <c r="A50" s="66"/>
      <c r="B50" s="66"/>
    </row>
    <row r="51" s="57" customFormat="1" ht="15" customHeight="1" spans="1:2">
      <c r="A51" s="66"/>
      <c r="B51" s="66"/>
    </row>
    <row r="52" s="57" customFormat="1" ht="15" customHeight="1" spans="1:2">
      <c r="A52" s="66"/>
      <c r="B52" s="66"/>
    </row>
    <row r="53" s="57" customFormat="1" ht="15" customHeight="1" spans="1:2">
      <c r="A53" s="66"/>
      <c r="B53" s="66"/>
    </row>
    <row r="54" s="57" customFormat="1" ht="15" customHeight="1" spans="1:2">
      <c r="A54" s="66"/>
      <c r="B54" s="66"/>
    </row>
    <row r="55" s="57" customFormat="1" ht="15" customHeight="1" spans="1:2">
      <c r="A55" s="66"/>
      <c r="B55" s="66"/>
    </row>
    <row r="56" s="57" customFormat="1" ht="15" customHeight="1" spans="1:2">
      <c r="A56" s="66"/>
      <c r="B56" s="66"/>
    </row>
    <row r="57" s="57" customFormat="1" ht="15" customHeight="1" spans="1:2">
      <c r="A57" s="66"/>
      <c r="B57" s="66"/>
    </row>
    <row r="58" s="57" customFormat="1" ht="15" customHeight="1" spans="1:2">
      <c r="A58" s="66"/>
      <c r="B58" s="66"/>
    </row>
    <row r="59" s="57" customFormat="1" ht="15" customHeight="1" spans="1:2">
      <c r="A59" s="66"/>
      <c r="B59" s="66"/>
    </row>
    <row r="60" s="57" customFormat="1" ht="15" customHeight="1" spans="1:2">
      <c r="A60" s="66"/>
      <c r="B60" s="66"/>
    </row>
    <row r="61" s="57" customFormat="1" ht="15" customHeight="1" spans="1:2">
      <c r="A61" s="66"/>
      <c r="B61" s="66"/>
    </row>
    <row r="62" s="57" customFormat="1" ht="15" customHeight="1" spans="1:2">
      <c r="A62" s="66"/>
      <c r="B62" s="66"/>
    </row>
    <row r="63" s="57" customFormat="1" ht="15" customHeight="1" spans="1:2">
      <c r="A63" s="66"/>
      <c r="B63" s="66"/>
    </row>
    <row r="64" s="57" customFormat="1" ht="15" customHeight="1" spans="1:2">
      <c r="A64" s="66"/>
      <c r="B64" s="66"/>
    </row>
    <row r="65" s="57" customFormat="1" ht="15" customHeight="1" spans="1:2">
      <c r="A65" s="66"/>
      <c r="B65" s="66"/>
    </row>
    <row r="66" s="57" customFormat="1" ht="15" customHeight="1" spans="1:2">
      <c r="A66" s="66"/>
      <c r="B66" s="66"/>
    </row>
    <row r="67" s="57" customFormat="1" ht="15" customHeight="1" spans="1:2">
      <c r="A67" s="66"/>
      <c r="B67" s="66"/>
    </row>
    <row r="68" s="57" customFormat="1" ht="15" customHeight="1" spans="1:2">
      <c r="A68" s="66"/>
      <c r="B68" s="66"/>
    </row>
    <row r="69" s="57" customFormat="1" ht="15" customHeight="1" spans="1:2">
      <c r="A69" s="66"/>
      <c r="B69" s="66"/>
    </row>
    <row r="70" s="57" customFormat="1" ht="15" customHeight="1" spans="1:2">
      <c r="A70" s="66"/>
      <c r="B70" s="66"/>
    </row>
    <row r="71" s="57" customFormat="1" spans="1:2">
      <c r="A71" s="59"/>
      <c r="B71" s="59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F21" sqref="F2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54" t="s">
        <v>50</v>
      </c>
      <c r="B1" s="54"/>
      <c r="C1" s="54"/>
      <c r="D1" s="54"/>
      <c r="E1" s="54"/>
      <c r="F1" s="54"/>
    </row>
    <row r="2" s="1" customFormat="1" ht="39" customHeight="1" spans="1:6">
      <c r="A2" s="7" t="s">
        <v>2</v>
      </c>
      <c r="B2" s="7" t="s">
        <v>51</v>
      </c>
      <c r="C2" s="7" t="s">
        <v>3</v>
      </c>
      <c r="D2" s="55" t="s">
        <v>52</v>
      </c>
      <c r="E2" s="7" t="s">
        <v>53</v>
      </c>
      <c r="F2" s="7" t="s">
        <v>7</v>
      </c>
    </row>
    <row r="3" ht="26" customHeight="1" spans="1:6">
      <c r="A3" s="46">
        <v>1</v>
      </c>
      <c r="B3" s="9">
        <v>46093</v>
      </c>
      <c r="C3" s="10" t="s">
        <v>16</v>
      </c>
      <c r="D3" s="56">
        <v>1</v>
      </c>
      <c r="E3" s="20"/>
      <c r="F3" s="12"/>
    </row>
    <row r="4" ht="26" customHeight="1" spans="1:6">
      <c r="A4" s="46">
        <v>2</v>
      </c>
      <c r="B4" s="9">
        <v>46093</v>
      </c>
      <c r="C4" s="10" t="s">
        <v>19</v>
      </c>
      <c r="D4" s="56">
        <v>1</v>
      </c>
      <c r="E4" s="20"/>
      <c r="F4" s="14"/>
    </row>
    <row r="5" ht="26" customHeight="1" spans="1:6">
      <c r="A5" s="46">
        <v>3</v>
      </c>
      <c r="B5" s="9">
        <v>46093</v>
      </c>
      <c r="C5" s="10" t="s">
        <v>20</v>
      </c>
      <c r="D5" s="56">
        <v>1</v>
      </c>
      <c r="E5" s="20"/>
      <c r="F5" s="14"/>
    </row>
    <row r="6" ht="26" customHeight="1" spans="1:6">
      <c r="A6" s="46">
        <v>4</v>
      </c>
      <c r="B6" s="9">
        <v>46093</v>
      </c>
      <c r="C6" s="10" t="s">
        <v>22</v>
      </c>
      <c r="D6" s="56">
        <v>1</v>
      </c>
      <c r="E6" s="20"/>
      <c r="F6" s="14"/>
    </row>
    <row r="7" ht="26" customHeight="1" spans="1:6">
      <c r="A7" s="46">
        <v>5</v>
      </c>
      <c r="B7" s="9">
        <v>46093</v>
      </c>
      <c r="C7" s="10" t="s">
        <v>24</v>
      </c>
      <c r="D7" s="56">
        <v>1</v>
      </c>
      <c r="E7" s="20"/>
      <c r="F7" s="14"/>
    </row>
    <row r="8" ht="26" customHeight="1" spans="1:6">
      <c r="A8" s="46">
        <v>6</v>
      </c>
      <c r="B8" s="9">
        <v>46093</v>
      </c>
      <c r="C8" s="10" t="s">
        <v>54</v>
      </c>
      <c r="D8" s="56">
        <v>1</v>
      </c>
      <c r="E8" s="20"/>
      <c r="F8" s="14"/>
    </row>
    <row r="9" ht="26" customHeight="1" spans="1:6">
      <c r="A9" s="46">
        <v>7</v>
      </c>
      <c r="B9" s="9">
        <v>46093</v>
      </c>
      <c r="C9" s="10" t="s">
        <v>27</v>
      </c>
      <c r="D9" s="56">
        <v>1</v>
      </c>
      <c r="E9" s="56"/>
      <c r="F9" s="15"/>
    </row>
    <row r="10" customFormat="1" ht="26" customHeight="1" spans="1:6">
      <c r="A10" s="46">
        <v>8</v>
      </c>
      <c r="B10" s="9">
        <v>46093</v>
      </c>
      <c r="C10" s="10" t="s">
        <v>28</v>
      </c>
      <c r="D10" s="56">
        <v>1</v>
      </c>
      <c r="E10" s="56"/>
      <c r="F10" s="15"/>
    </row>
    <row r="11" ht="26" customHeight="1" spans="1:6">
      <c r="A11" s="46">
        <v>9</v>
      </c>
      <c r="B11" s="9">
        <v>46093</v>
      </c>
      <c r="C11" s="10" t="s">
        <v>29</v>
      </c>
      <c r="D11" s="56">
        <v>1</v>
      </c>
      <c r="E11" s="56"/>
      <c r="F11" s="15"/>
    </row>
    <row r="12" ht="26" customHeight="1" spans="1:6">
      <c r="A12" s="46">
        <v>10</v>
      </c>
      <c r="B12" s="9">
        <v>46093</v>
      </c>
      <c r="C12" s="26" t="s">
        <v>31</v>
      </c>
      <c r="D12" s="56">
        <v>1</v>
      </c>
      <c r="E12" s="56"/>
      <c r="F12" s="15"/>
    </row>
    <row r="13" ht="20" customHeight="1" spans="1:6">
      <c r="C13" s="13" t="s">
        <v>32</v>
      </c>
      <c r="D13" s="56">
        <v>1</v>
      </c>
      <c r="F13" t="s">
        <v>55</v>
      </c>
    </row>
    <row r="14" ht="14.25" spans="1:6">
      <c r="C14" s="13" t="s">
        <v>34</v>
      </c>
      <c r="D14" s="56">
        <v>1</v>
      </c>
      <c r="F14" t="s">
        <v>55</v>
      </c>
    </row>
    <row r="15" ht="14.25" spans="1:6">
      <c r="C15" s="13" t="s">
        <v>35</v>
      </c>
      <c r="D15" s="56">
        <v>1</v>
      </c>
      <c r="F15" t="s">
        <v>55</v>
      </c>
    </row>
    <row r="16" ht="14.25" spans="1:6">
      <c r="C16" s="13" t="s">
        <v>36</v>
      </c>
      <c r="D16" s="56">
        <v>1</v>
      </c>
      <c r="F16" t="s">
        <v>55</v>
      </c>
    </row>
    <row r="17" ht="14.25" spans="3:6">
      <c r="C17" s="26" t="s">
        <v>41</v>
      </c>
      <c r="D17" s="56">
        <v>1</v>
      </c>
      <c r="F17" t="s">
        <v>55</v>
      </c>
    </row>
    <row r="18" ht="14.25" spans="3:6">
      <c r="C18" s="10" t="s">
        <v>40</v>
      </c>
      <c r="D18" s="56">
        <v>1</v>
      </c>
    </row>
    <row r="19" spans="3:6">
      <c r="D19" s="38">
        <f>SUM(D13:D18)</f>
        <v>6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topLeftCell="B1" workbookViewId="0">
      <pane xSplit="2" ySplit="2" topLeftCell="D7" activePane="bottomRight" state="frozen"/>
      <selection/>
      <selection pane="topRight"/>
      <selection pane="bottomLeft"/>
      <selection pane="bottomRight" activeCell="P27" sqref="P27"/>
    </sheetView>
  </sheetViews>
  <sheetFormatPr defaultColWidth="9.14285714285714" defaultRowHeight="23" customHeight="1"/>
  <cols>
    <col min="1" max="1" width="9.14285714285714" style="38"/>
    <col min="2" max="2" width="10.7142857142857" style="38" customWidth="1"/>
    <col min="3" max="3" width="10" style="38" customWidth="1"/>
    <col min="4" max="13" width="7.42857142857143" style="38" customWidth="1"/>
    <col min="14" max="20" width="7" style="38" customWidth="1"/>
    <col min="21" max="16384" width="9.14285714285714" style="38"/>
  </cols>
  <sheetData>
    <row r="1" s="35" customFormat="1" customHeight="1" spans="1:23">
      <c r="A1" s="39" t="s">
        <v>56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="36" customFormat="1" ht="20" customHeight="1" spans="1:23">
      <c r="A2" s="41" t="s">
        <v>2</v>
      </c>
      <c r="B2" s="41" t="s">
        <v>49</v>
      </c>
      <c r="C2" s="41" t="s">
        <v>57</v>
      </c>
      <c r="D2" s="42">
        <v>46090</v>
      </c>
      <c r="E2" s="42">
        <v>46093</v>
      </c>
      <c r="F2" s="42">
        <v>46097</v>
      </c>
      <c r="G2" s="43">
        <v>46100</v>
      </c>
      <c r="H2" s="43">
        <v>46104</v>
      </c>
      <c r="I2" s="43">
        <v>46107</v>
      </c>
      <c r="J2" s="43">
        <v>46111</v>
      </c>
      <c r="K2" s="43">
        <v>46114</v>
      </c>
      <c r="L2" s="43">
        <v>46119</v>
      </c>
      <c r="M2" s="43">
        <v>46121</v>
      </c>
      <c r="N2" s="43">
        <v>46125</v>
      </c>
      <c r="O2" s="43">
        <v>46128</v>
      </c>
      <c r="P2" s="43">
        <v>46132</v>
      </c>
      <c r="Q2" s="43">
        <v>46135</v>
      </c>
      <c r="R2" s="43">
        <v>46139</v>
      </c>
      <c r="S2" s="43">
        <v>46142</v>
      </c>
      <c r="T2" s="43"/>
      <c r="U2" s="44" t="s">
        <v>58</v>
      </c>
      <c r="V2" s="36" t="s">
        <v>59</v>
      </c>
    </row>
    <row r="3" s="37" customFormat="1" customHeight="1" spans="1:23">
      <c r="A3" s="41">
        <v>1</v>
      </c>
      <c r="B3" s="41" t="s">
        <v>16</v>
      </c>
      <c r="C3" s="41">
        <v>100</v>
      </c>
      <c r="D3" s="41">
        <v>3</v>
      </c>
      <c r="E3" s="41">
        <v>4</v>
      </c>
      <c r="F3" s="41">
        <v>3</v>
      </c>
      <c r="G3" s="41">
        <v>4</v>
      </c>
      <c r="H3" s="45">
        <v>3</v>
      </c>
      <c r="I3" s="41">
        <v>4</v>
      </c>
      <c r="J3" s="45">
        <v>3</v>
      </c>
      <c r="K3" s="41">
        <v>4</v>
      </c>
      <c r="L3" s="45">
        <v>3</v>
      </c>
      <c r="M3" s="41">
        <v>4</v>
      </c>
      <c r="N3" s="45">
        <v>3</v>
      </c>
      <c r="O3" s="45">
        <f ca="1">SUMIF('4.16'!$C$3:C22,B3,'4.16'!$I$3:I20)</f>
        <v>4</v>
      </c>
      <c r="P3" s="45">
        <f ca="1">SUMIF('4.20'!$C$3:D22,B3,'4.20'!$I$3:J20)</f>
        <v>3</v>
      </c>
      <c r="Q3" s="45">
        <f>SUMIF('4.23'!$C$3:E22,B3,'4.23'!$I$3:K22)</f>
        <v>4</v>
      </c>
      <c r="R3" s="45">
        <f ca="1">SUMIF('4.27'!$C$3:F22,B3,'4.27'!$I$3:L20)</f>
        <v>3</v>
      </c>
      <c r="S3" s="45">
        <f ca="1">SUMIF('4.30'!$C$3:G22,B3,'4.30'!$I$3:M20)</f>
        <v>4</v>
      </c>
      <c r="T3" s="46"/>
      <c r="U3" s="46">
        <f ca="1">SUM(D3:T3)</f>
        <v>56</v>
      </c>
      <c r="V3" s="37">
        <f ca="1" t="shared" ref="V3:V35" si="0">C3-U3</f>
        <v>44</v>
      </c>
    </row>
    <row r="4" s="37" customFormat="1" customHeight="1" spans="1:23">
      <c r="A4" s="41">
        <v>2</v>
      </c>
      <c r="B4" s="41" t="s">
        <v>19</v>
      </c>
      <c r="C4" s="41">
        <v>100</v>
      </c>
      <c r="D4" s="41">
        <v>3</v>
      </c>
      <c r="E4" s="41">
        <v>4</v>
      </c>
      <c r="F4" s="41">
        <v>3</v>
      </c>
      <c r="G4" s="41">
        <v>4</v>
      </c>
      <c r="H4" s="45">
        <v>3</v>
      </c>
      <c r="I4" s="41">
        <v>4</v>
      </c>
      <c r="J4" s="45">
        <v>3</v>
      </c>
      <c r="K4" s="41">
        <v>4</v>
      </c>
      <c r="L4" s="45">
        <v>3</v>
      </c>
      <c r="M4" s="41">
        <v>4</v>
      </c>
      <c r="N4" s="45">
        <v>3</v>
      </c>
      <c r="O4" s="45">
        <f ca="1">SUMIF('4.16'!$C$3:C23,B4,'4.16'!$I$3:I21)</f>
        <v>4</v>
      </c>
      <c r="P4" s="45">
        <f ca="1">SUMIF('4.20'!$C$3:D23,B4,'4.20'!$I$3:J21)</f>
        <v>3</v>
      </c>
      <c r="Q4" s="45">
        <f>SUMIF('4.23'!$C$3:E23,B4,'4.23'!$I$3:K23)</f>
        <v>4</v>
      </c>
      <c r="R4" s="45">
        <f ca="1">SUMIF('4.27'!$C$3:F23,B4,'4.27'!$I$3:L21)</f>
        <v>3</v>
      </c>
      <c r="S4" s="45">
        <f ca="1">SUMIF('4.30'!$C$3:G23,B4,'4.30'!$I$3:M21)</f>
        <v>4</v>
      </c>
      <c r="T4" s="46"/>
      <c r="U4" s="46">
        <f ca="1">SUM(D4:T4)</f>
        <v>56</v>
      </c>
      <c r="V4" s="37">
        <f ca="1" t="shared" si="0"/>
        <v>44</v>
      </c>
      <c r="W4" s="38"/>
    </row>
    <row r="5" s="37" customFormat="1" customHeight="1" spans="1:23">
      <c r="A5" s="41">
        <v>3</v>
      </c>
      <c r="B5" s="41" t="s">
        <v>60</v>
      </c>
      <c r="C5" s="41">
        <v>100</v>
      </c>
      <c r="D5" s="41">
        <v>3</v>
      </c>
      <c r="E5" s="41">
        <v>4</v>
      </c>
      <c r="F5" s="41">
        <v>3</v>
      </c>
      <c r="G5" s="41">
        <v>4</v>
      </c>
      <c r="H5" s="45">
        <v>3</v>
      </c>
      <c r="I5" s="41">
        <v>4</v>
      </c>
      <c r="J5" s="45">
        <v>3</v>
      </c>
      <c r="K5" s="41">
        <v>4</v>
      </c>
      <c r="L5" s="45">
        <v>3</v>
      </c>
      <c r="M5" s="41">
        <v>4</v>
      </c>
      <c r="N5" s="45">
        <v>3</v>
      </c>
      <c r="O5" s="45">
        <f ca="1">SUMIF('4.16'!$C$3:C24,B5,'4.16'!$I$3:I22)</f>
        <v>4</v>
      </c>
      <c r="P5" s="45">
        <f ca="1">SUMIF('4.20'!$C$3:D24,B5,'4.20'!$I$3:J22)</f>
        <v>3</v>
      </c>
      <c r="Q5" s="45">
        <f>SUMIF('4.23'!$C$3:E24,B5,'4.23'!$I$3:K24)</f>
        <v>4</v>
      </c>
      <c r="R5" s="45">
        <f ca="1">SUMIF('4.27'!$C$3:F24,B5,'4.27'!$I$3:L22)</f>
        <v>3</v>
      </c>
      <c r="S5" s="45">
        <f ca="1">SUMIF('4.30'!$C$3:G24,B5,'4.30'!$I$3:M22)</f>
        <v>4</v>
      </c>
      <c r="T5" s="46"/>
      <c r="U5" s="46">
        <f ca="1">SUM(D5:T5)</f>
        <v>56</v>
      </c>
      <c r="V5" s="37">
        <f ca="1" t="shared" si="0"/>
        <v>44</v>
      </c>
      <c r="W5" s="38"/>
    </row>
    <row r="6" s="37" customFormat="1" customHeight="1" spans="1:23">
      <c r="A6" s="41">
        <v>4</v>
      </c>
      <c r="B6" s="41" t="s">
        <v>22</v>
      </c>
      <c r="C6" s="41">
        <v>100</v>
      </c>
      <c r="D6" s="41">
        <v>3</v>
      </c>
      <c r="E6" s="41">
        <v>4</v>
      </c>
      <c r="F6" s="41">
        <v>3</v>
      </c>
      <c r="G6" s="41">
        <v>4</v>
      </c>
      <c r="H6" s="45">
        <v>3</v>
      </c>
      <c r="I6" s="41">
        <v>4</v>
      </c>
      <c r="J6" s="45">
        <v>3</v>
      </c>
      <c r="K6" s="41">
        <v>4</v>
      </c>
      <c r="L6" s="45">
        <v>3</v>
      </c>
      <c r="M6" s="41">
        <v>4</v>
      </c>
      <c r="N6" s="45">
        <v>3</v>
      </c>
      <c r="O6" s="45">
        <f ca="1">SUMIF('4.16'!$C$3:C25,B6,'4.16'!$I$3:I23)</f>
        <v>4</v>
      </c>
      <c r="P6" s="45">
        <f ca="1">SUMIF('4.20'!$C$3:D25,B6,'4.20'!$I$3:J23)</f>
        <v>3</v>
      </c>
      <c r="Q6" s="45">
        <f>SUMIF('4.23'!$C$3:E25,B6,'4.23'!$I$3:K25)</f>
        <v>4</v>
      </c>
      <c r="R6" s="45">
        <f ca="1">SUMIF('4.27'!$C$3:F25,B6,'4.27'!$I$3:L23)</f>
        <v>3</v>
      </c>
      <c r="S6" s="45">
        <f ca="1">SUMIF('4.30'!$C$3:G25,B6,'4.30'!$I$3:M23)</f>
        <v>4</v>
      </c>
      <c r="T6" s="46"/>
      <c r="U6" s="46">
        <f ca="1" t="shared" ref="U6:U32" si="1">SUM(D6:T6)</f>
        <v>56</v>
      </c>
      <c r="V6" s="37">
        <f ca="1" t="shared" si="0"/>
        <v>44</v>
      </c>
    </row>
    <row r="7" s="37" customFormat="1" customHeight="1" spans="1:23">
      <c r="A7" s="41">
        <v>5</v>
      </c>
      <c r="B7" s="41" t="s">
        <v>24</v>
      </c>
      <c r="C7" s="41">
        <v>100</v>
      </c>
      <c r="D7" s="41">
        <v>3</v>
      </c>
      <c r="E7" s="41">
        <v>4</v>
      </c>
      <c r="F7" s="41">
        <v>3</v>
      </c>
      <c r="G7" s="41">
        <v>4</v>
      </c>
      <c r="H7" s="45">
        <v>3</v>
      </c>
      <c r="I7" s="41">
        <v>4</v>
      </c>
      <c r="J7" s="45">
        <v>3</v>
      </c>
      <c r="K7" s="41">
        <v>4</v>
      </c>
      <c r="L7" s="45">
        <v>3</v>
      </c>
      <c r="M7" s="41">
        <v>4</v>
      </c>
      <c r="N7" s="45">
        <v>3</v>
      </c>
      <c r="O7" s="45">
        <f ca="1">SUMIF('4.16'!$C$3:C26,B7,'4.16'!$I$3:I24)</f>
        <v>4</v>
      </c>
      <c r="P7" s="45">
        <f ca="1">SUMIF('4.20'!$C$3:D26,B7,'4.20'!$I$3:J24)</f>
        <v>3</v>
      </c>
      <c r="Q7" s="45">
        <f>SUMIF('4.23'!$C$3:E26,B7,'4.23'!$I$3:K26)</f>
        <v>4</v>
      </c>
      <c r="R7" s="45">
        <f ca="1">SUMIF('4.27'!$C$3:F26,B7,'4.27'!$I$3:L24)</f>
        <v>3</v>
      </c>
      <c r="S7" s="45">
        <f ca="1">SUMIF('4.30'!$C$3:G26,B7,'4.30'!$I$3:M24)</f>
        <v>4</v>
      </c>
      <c r="T7" s="46"/>
      <c r="U7" s="46">
        <f ca="1" t="shared" si="1"/>
        <v>56</v>
      </c>
      <c r="V7" s="37">
        <f ca="1" t="shared" si="0"/>
        <v>44</v>
      </c>
    </row>
    <row r="8" s="37" customFormat="1" customHeight="1" spans="1:23">
      <c r="A8" s="41">
        <v>6</v>
      </c>
      <c r="B8" s="41" t="s">
        <v>26</v>
      </c>
      <c r="C8" s="41">
        <v>100</v>
      </c>
      <c r="D8" s="41">
        <v>3</v>
      </c>
      <c r="E8" s="41">
        <v>4</v>
      </c>
      <c r="F8" s="41">
        <v>3</v>
      </c>
      <c r="G8" s="41">
        <v>4</v>
      </c>
      <c r="H8" s="45">
        <v>3</v>
      </c>
      <c r="I8" s="41">
        <v>4</v>
      </c>
      <c r="J8" s="45">
        <v>3</v>
      </c>
      <c r="K8" s="41">
        <v>4</v>
      </c>
      <c r="L8" s="45">
        <v>3</v>
      </c>
      <c r="M8" s="41">
        <v>4</v>
      </c>
      <c r="N8" s="45">
        <v>3</v>
      </c>
      <c r="O8" s="45">
        <f ca="1">SUMIF('4.16'!$C$3:C27,B8,'4.16'!$I$3:I25)</f>
        <v>4</v>
      </c>
      <c r="P8" s="45">
        <f ca="1">SUMIF('4.20'!$C$3:D27,B8,'4.20'!$I$3:J25)</f>
        <v>3</v>
      </c>
      <c r="Q8" s="45">
        <f>SUMIF('4.23'!$C$3:E27,B8,'4.23'!$I$3:K27)</f>
        <v>4</v>
      </c>
      <c r="R8" s="45">
        <f ca="1">SUMIF('4.27'!$C$3:F27,B8,'4.27'!$I$3:L25)</f>
        <v>3</v>
      </c>
      <c r="S8" s="45">
        <f ca="1">SUMIF('4.30'!$C$3:G27,B8,'4.30'!$I$3:M25)</f>
        <v>4</v>
      </c>
      <c r="T8" s="46"/>
      <c r="U8" s="46">
        <f ca="1" t="shared" si="1"/>
        <v>56</v>
      </c>
      <c r="V8" s="37">
        <f ca="1" t="shared" si="0"/>
        <v>44</v>
      </c>
    </row>
    <row r="9" s="37" customFormat="1" customHeight="1" spans="1:23">
      <c r="A9" s="41">
        <v>7</v>
      </c>
      <c r="B9" s="41" t="s">
        <v>27</v>
      </c>
      <c r="C9" s="41">
        <v>100</v>
      </c>
      <c r="D9" s="41">
        <v>3</v>
      </c>
      <c r="E9" s="41">
        <v>4</v>
      </c>
      <c r="F9" s="41">
        <v>3</v>
      </c>
      <c r="G9" s="41">
        <v>4</v>
      </c>
      <c r="H9" s="45">
        <v>3</v>
      </c>
      <c r="I9" s="41">
        <v>4</v>
      </c>
      <c r="J9" s="45">
        <v>3</v>
      </c>
      <c r="K9" s="41">
        <v>4</v>
      </c>
      <c r="L9" s="45">
        <v>3</v>
      </c>
      <c r="M9" s="41">
        <v>4</v>
      </c>
      <c r="N9" s="45">
        <v>3</v>
      </c>
      <c r="O9" s="45">
        <f ca="1">SUMIF('4.16'!$C$3:C28,B9,'4.16'!$I$3:I26)</f>
        <v>4</v>
      </c>
      <c r="P9" s="45">
        <f ca="1">SUMIF('4.20'!$C$3:D28,B9,'4.20'!$I$3:J26)</f>
        <v>3</v>
      </c>
      <c r="Q9" s="45">
        <f>SUMIF('4.23'!$C$3:E28,B9,'4.23'!$I$3:K28)</f>
        <v>4</v>
      </c>
      <c r="R9" s="45">
        <f ca="1">SUMIF('4.27'!$C$3:F28,B9,'4.27'!$I$3:L26)</f>
        <v>3</v>
      </c>
      <c r="S9" s="45">
        <f ca="1">SUMIF('4.30'!$C$3:G28,B9,'4.30'!$I$3:M26)</f>
        <v>4</v>
      </c>
      <c r="T9" s="46"/>
      <c r="U9" s="46">
        <f ca="1" t="shared" si="1"/>
        <v>56</v>
      </c>
      <c r="V9" s="37">
        <f ca="1" t="shared" si="0"/>
        <v>44</v>
      </c>
    </row>
    <row r="10" customHeight="1" spans="1:23">
      <c r="A10" s="41">
        <v>8</v>
      </c>
      <c r="B10" s="41" t="s">
        <v>28</v>
      </c>
      <c r="C10" s="41">
        <v>100</v>
      </c>
      <c r="D10" s="41">
        <v>3</v>
      </c>
      <c r="E10" s="41">
        <v>4</v>
      </c>
      <c r="F10" s="41">
        <v>3</v>
      </c>
      <c r="G10" s="41">
        <v>4</v>
      </c>
      <c r="H10" s="45">
        <v>3</v>
      </c>
      <c r="I10" s="41">
        <v>4</v>
      </c>
      <c r="J10" s="45">
        <v>3</v>
      </c>
      <c r="K10" s="41">
        <v>4</v>
      </c>
      <c r="L10" s="45">
        <v>3</v>
      </c>
      <c r="M10" s="41">
        <v>4</v>
      </c>
      <c r="N10" s="45">
        <v>3</v>
      </c>
      <c r="O10" s="45">
        <f ca="1">SUMIF('4.16'!$C$3:C29,B10,'4.16'!$I$3:I27)</f>
        <v>4</v>
      </c>
      <c r="P10" s="45">
        <f ca="1">SUMIF('4.20'!$C$3:D29,B10,'4.20'!$I$3:J27)</f>
        <v>3</v>
      </c>
      <c r="Q10" s="45">
        <f>SUMIF('4.23'!$C$3:E29,B10,'4.23'!$I$3:K29)</f>
        <v>4</v>
      </c>
      <c r="R10" s="45">
        <f ca="1">SUMIF('4.27'!$C$3:F29,B10,'4.27'!$I$3:L27)</f>
        <v>3</v>
      </c>
      <c r="S10" s="45">
        <f ca="1">SUMIF('4.30'!$C$3:G29,B10,'4.30'!$I$3:M27)</f>
        <v>4</v>
      </c>
      <c r="T10" s="47"/>
      <c r="U10" s="46">
        <f ca="1" t="shared" si="1"/>
        <v>56</v>
      </c>
      <c r="V10" s="37">
        <f ca="1" t="shared" si="0"/>
        <v>44</v>
      </c>
    </row>
    <row r="11" customHeight="1" spans="1:23">
      <c r="A11" s="41">
        <v>9</v>
      </c>
      <c r="B11" s="41" t="s">
        <v>29</v>
      </c>
      <c r="C11" s="41">
        <v>100</v>
      </c>
      <c r="D11" s="41">
        <v>3</v>
      </c>
      <c r="E11" s="41">
        <v>4</v>
      </c>
      <c r="F11" s="41">
        <v>3</v>
      </c>
      <c r="G11" s="41">
        <v>4</v>
      </c>
      <c r="H11" s="45">
        <v>3</v>
      </c>
      <c r="I11" s="41">
        <v>4</v>
      </c>
      <c r="J11" s="45">
        <v>3</v>
      </c>
      <c r="K11" s="41">
        <v>4</v>
      </c>
      <c r="L11" s="45">
        <v>3</v>
      </c>
      <c r="M11" s="41">
        <v>4</v>
      </c>
      <c r="N11" s="45">
        <v>3</v>
      </c>
      <c r="O11" s="45">
        <f ca="1">SUMIF('4.16'!$C$3:C30,B11,'4.16'!$I$3:I28)</f>
        <v>4</v>
      </c>
      <c r="P11" s="45">
        <f ca="1">SUMIF('4.20'!$C$3:D30,B11,'4.20'!$I$3:J28)</f>
        <v>3</v>
      </c>
      <c r="Q11" s="45">
        <f>SUMIF('4.23'!$C$3:E30,B11,'4.23'!$I$3:K30)</f>
        <v>4</v>
      </c>
      <c r="R11" s="45">
        <f ca="1">SUMIF('4.27'!$C$3:F30,B11,'4.27'!$I$3:L28)</f>
        <v>3</v>
      </c>
      <c r="S11" s="45">
        <f ca="1">SUMIF('4.30'!$C$3:G30,B11,'4.30'!$I$3:M28)</f>
        <v>4</v>
      </c>
      <c r="T11" s="47"/>
      <c r="U11" s="46">
        <f ca="1" t="shared" si="1"/>
        <v>56</v>
      </c>
      <c r="V11" s="37">
        <f ca="1" t="shared" si="0"/>
        <v>44</v>
      </c>
    </row>
    <row r="12" customHeight="1" spans="1:23">
      <c r="A12" s="41">
        <v>10</v>
      </c>
      <c r="B12" s="41" t="s">
        <v>31</v>
      </c>
      <c r="C12" s="41">
        <v>100</v>
      </c>
      <c r="D12" s="41">
        <v>3</v>
      </c>
      <c r="E12" s="41">
        <v>4</v>
      </c>
      <c r="F12" s="41">
        <v>3</v>
      </c>
      <c r="G12" s="41">
        <v>4</v>
      </c>
      <c r="H12" s="45">
        <v>3</v>
      </c>
      <c r="I12" s="41">
        <v>4</v>
      </c>
      <c r="J12" s="45">
        <v>3</v>
      </c>
      <c r="K12" s="41">
        <v>4</v>
      </c>
      <c r="L12" s="45">
        <v>3</v>
      </c>
      <c r="M12" s="41">
        <v>4</v>
      </c>
      <c r="N12" s="45">
        <v>3</v>
      </c>
      <c r="O12" s="45">
        <f ca="1">SUMIF('4.16'!$C$3:C31,B12,'4.16'!$I$3:I29)</f>
        <v>4</v>
      </c>
      <c r="P12" s="45">
        <f ca="1">SUMIF('4.20'!$C$3:D31,B12,'4.20'!$I$3:J29)</f>
        <v>3</v>
      </c>
      <c r="Q12" s="45">
        <f>SUMIF('4.23'!$C$3:E31,B12,'4.23'!$I$3:K31)</f>
        <v>4</v>
      </c>
      <c r="R12" s="45">
        <f ca="1">SUMIF('4.27'!$C$3:F31,B12,'4.27'!$I$3:L29)</f>
        <v>3</v>
      </c>
      <c r="S12" s="45">
        <f ca="1">SUMIF('4.30'!$C$3:G31,B12,'4.30'!$I$3:M29)</f>
        <v>4</v>
      </c>
      <c r="T12" s="47"/>
      <c r="U12" s="46">
        <f ca="1" t="shared" si="1"/>
        <v>56</v>
      </c>
      <c r="V12" s="37">
        <f ca="1" t="shared" si="0"/>
        <v>44</v>
      </c>
    </row>
    <row r="13" customHeight="1" spans="1:23">
      <c r="A13" s="41">
        <v>11</v>
      </c>
      <c r="B13" s="41" t="s">
        <v>32</v>
      </c>
      <c r="C13" s="41">
        <v>100</v>
      </c>
      <c r="D13" s="41">
        <v>0</v>
      </c>
      <c r="E13" s="41">
        <v>0</v>
      </c>
      <c r="F13" s="41">
        <v>6</v>
      </c>
      <c r="G13" s="41">
        <v>8</v>
      </c>
      <c r="H13" s="45">
        <v>3</v>
      </c>
      <c r="I13" s="41">
        <v>4</v>
      </c>
      <c r="J13" s="45">
        <v>3</v>
      </c>
      <c r="K13" s="41">
        <v>4</v>
      </c>
      <c r="L13" s="45">
        <v>3</v>
      </c>
      <c r="M13" s="41">
        <v>4</v>
      </c>
      <c r="N13" s="45">
        <v>3</v>
      </c>
      <c r="O13" s="45">
        <f ca="1">SUMIF('4.16'!$C$3:C32,B13,'4.16'!$I$3:I30)</f>
        <v>4</v>
      </c>
      <c r="P13" s="45">
        <f ca="1">SUMIF('4.20'!$C$3:D32,B13,'4.20'!$I$3:J30)</f>
        <v>3</v>
      </c>
      <c r="Q13" s="45">
        <f>SUMIF('4.23'!$C$3:E32,B13,'4.23'!$I$3:K32)</f>
        <v>4</v>
      </c>
      <c r="R13" s="45">
        <f ca="1">SUMIF('4.27'!$C$3:F32,B13,'4.27'!$I$3:L30)</f>
        <v>3</v>
      </c>
      <c r="S13" s="45">
        <f ca="1">SUMIF('4.30'!$C$3:G32,B13,'4.30'!$I$3:M30)</f>
        <v>4</v>
      </c>
      <c r="T13" s="47"/>
      <c r="U13" s="46">
        <f ca="1" t="shared" si="1"/>
        <v>56</v>
      </c>
      <c r="V13" s="37">
        <f ca="1" t="shared" si="0"/>
        <v>44</v>
      </c>
    </row>
    <row r="14" customHeight="1" spans="1:23">
      <c r="A14" s="46">
        <v>12</v>
      </c>
      <c r="B14" s="13" t="s">
        <v>34</v>
      </c>
      <c r="C14" s="45">
        <v>100</v>
      </c>
      <c r="D14" s="41">
        <v>0</v>
      </c>
      <c r="E14" s="41">
        <v>0</v>
      </c>
      <c r="F14" s="41">
        <v>6</v>
      </c>
      <c r="G14" s="41">
        <v>8</v>
      </c>
      <c r="H14" s="45">
        <v>3</v>
      </c>
      <c r="I14" s="41">
        <v>4</v>
      </c>
      <c r="J14" s="45">
        <v>3</v>
      </c>
      <c r="K14" s="41">
        <v>4</v>
      </c>
      <c r="L14" s="45">
        <v>3</v>
      </c>
      <c r="M14" s="41">
        <v>4</v>
      </c>
      <c r="N14" s="45">
        <v>3</v>
      </c>
      <c r="O14" s="45">
        <f ca="1">SUMIF('4.16'!$C$3:C33,B14,'4.16'!$I$3:I31)</f>
        <v>4</v>
      </c>
      <c r="P14" s="45">
        <f ca="1">SUMIF('4.20'!$C$3:D33,B14,'4.20'!$I$3:J31)</f>
        <v>3</v>
      </c>
      <c r="Q14" s="45">
        <f>SUMIF('4.23'!$C$3:E33,B14,'4.23'!$I$3:K33)</f>
        <v>4</v>
      </c>
      <c r="R14" s="45">
        <f ca="1">SUMIF('4.27'!$C$3:F33,B14,'4.27'!$I$3:L31)</f>
        <v>3</v>
      </c>
      <c r="S14" s="45">
        <f ca="1">SUMIF('4.30'!$C$3:G33,B14,'4.30'!$I$3:M31)</f>
        <v>4</v>
      </c>
      <c r="T14" s="47"/>
      <c r="U14" s="46">
        <f ca="1" t="shared" si="1"/>
        <v>56</v>
      </c>
      <c r="V14" s="37">
        <f ca="1" t="shared" si="0"/>
        <v>44</v>
      </c>
    </row>
    <row r="15" customHeight="1" spans="1:23">
      <c r="A15" s="46">
        <v>13</v>
      </c>
      <c r="B15" s="41" t="s">
        <v>35</v>
      </c>
      <c r="C15" s="45">
        <v>100</v>
      </c>
      <c r="D15" s="41">
        <v>0</v>
      </c>
      <c r="E15" s="41">
        <v>0</v>
      </c>
      <c r="F15" s="41">
        <v>6</v>
      </c>
      <c r="G15" s="41">
        <v>8</v>
      </c>
      <c r="H15" s="45">
        <v>3</v>
      </c>
      <c r="I15" s="41">
        <v>4</v>
      </c>
      <c r="J15" s="45">
        <v>3</v>
      </c>
      <c r="K15" s="41">
        <v>4</v>
      </c>
      <c r="L15" s="45">
        <v>3</v>
      </c>
      <c r="M15" s="41">
        <v>4</v>
      </c>
      <c r="N15" s="45">
        <v>3</v>
      </c>
      <c r="O15" s="45">
        <f ca="1">SUMIF('4.16'!$C$3:C34,B15,'4.16'!$I$3:I32)</f>
        <v>4</v>
      </c>
      <c r="P15" s="45">
        <f ca="1">SUMIF('4.20'!$C$3:D34,B15,'4.20'!$I$3:J32)</f>
        <v>3</v>
      </c>
      <c r="Q15" s="45">
        <f>SUMIF('4.23'!$C$3:E34,B15,'4.23'!$I$3:K34)</f>
        <v>4</v>
      </c>
      <c r="R15" s="45">
        <f ca="1">SUMIF('4.27'!$C$3:F34,B15,'4.27'!$I$3:L32)</f>
        <v>3</v>
      </c>
      <c r="S15" s="45">
        <f ca="1">SUMIF('4.30'!$C$3:G34,B15,'4.30'!$I$3:M32)</f>
        <v>4</v>
      </c>
      <c r="T15" s="47"/>
      <c r="U15" s="46">
        <f ca="1" t="shared" si="1"/>
        <v>56</v>
      </c>
      <c r="V15" s="37">
        <f ca="1" t="shared" si="0"/>
        <v>44</v>
      </c>
    </row>
    <row r="16" customHeight="1" spans="1:23">
      <c r="A16" s="46">
        <v>14</v>
      </c>
      <c r="B16" s="41" t="s">
        <v>36</v>
      </c>
      <c r="C16" s="45">
        <v>100</v>
      </c>
      <c r="D16" s="41">
        <v>0</v>
      </c>
      <c r="E16" s="41">
        <v>0</v>
      </c>
      <c r="F16" s="41">
        <v>6</v>
      </c>
      <c r="G16" s="41">
        <v>8</v>
      </c>
      <c r="H16" s="45">
        <v>3</v>
      </c>
      <c r="I16" s="41">
        <v>4</v>
      </c>
      <c r="J16" s="45">
        <v>3</v>
      </c>
      <c r="K16" s="41">
        <v>4</v>
      </c>
      <c r="L16" s="45">
        <v>3</v>
      </c>
      <c r="M16" s="41">
        <v>4</v>
      </c>
      <c r="N16" s="45">
        <v>3</v>
      </c>
      <c r="O16" s="45">
        <f ca="1">SUMIF('4.16'!$C$3:C35,B16,'4.16'!$I$3:I33)</f>
        <v>4</v>
      </c>
      <c r="P16" s="45">
        <f ca="1">SUMIF('4.20'!$C$3:D35,B16,'4.20'!$I$3:J33)</f>
        <v>3</v>
      </c>
      <c r="Q16" s="45">
        <f>SUMIF('4.23'!$C$3:E35,B16,'4.23'!$I$3:K35)</f>
        <v>4</v>
      </c>
      <c r="R16" s="45">
        <f ca="1">SUMIF('4.27'!$C$3:F35,B16,'4.27'!$I$3:L33)</f>
        <v>3</v>
      </c>
      <c r="S16" s="45">
        <f ca="1">SUMIF('4.30'!$C$3:G35,B16,'4.30'!$I$3:M33)</f>
        <v>4</v>
      </c>
      <c r="T16" s="47"/>
      <c r="U16" s="46">
        <f ca="1" t="shared" si="1"/>
        <v>56</v>
      </c>
      <c r="V16" s="37">
        <f ca="1" t="shared" si="0"/>
        <v>44</v>
      </c>
    </row>
    <row r="17" customHeight="1" spans="1:22">
      <c r="A17" s="46">
        <v>15</v>
      </c>
      <c r="B17" s="41" t="s">
        <v>38</v>
      </c>
      <c r="C17" s="45">
        <v>100</v>
      </c>
      <c r="D17" s="41">
        <v>0</v>
      </c>
      <c r="E17" s="41">
        <v>0</v>
      </c>
      <c r="F17" s="41">
        <v>6</v>
      </c>
      <c r="G17" s="41">
        <v>8</v>
      </c>
      <c r="H17" s="45">
        <v>3</v>
      </c>
      <c r="I17" s="41">
        <v>4</v>
      </c>
      <c r="J17" s="45">
        <v>3</v>
      </c>
      <c r="K17" s="41">
        <v>4</v>
      </c>
      <c r="L17" s="45">
        <v>3</v>
      </c>
      <c r="M17" s="41">
        <v>4</v>
      </c>
      <c r="N17" s="45">
        <v>3</v>
      </c>
      <c r="O17" s="45">
        <f ca="1">SUMIF('4.16'!$C$3:C36,B17,'4.16'!$I$3:I34)</f>
        <v>4</v>
      </c>
      <c r="P17" s="45">
        <f ca="1">SUMIF('4.20'!$C$3:D36,B17,'4.20'!$I$3:J34)</f>
        <v>3</v>
      </c>
      <c r="Q17" s="45">
        <f>SUMIF('4.23'!$C$3:E36,B17,'4.23'!$I$3:K36)</f>
        <v>4</v>
      </c>
      <c r="R17" s="45">
        <f ca="1">SUMIF('4.27'!$C$3:F36,B17,'4.27'!$I$3:L34)</f>
        <v>3</v>
      </c>
      <c r="S17" s="45">
        <f ca="1">SUMIF('4.30'!$C$3:G36,B17,'4.30'!$I$3:M34)</f>
        <v>4</v>
      </c>
      <c r="T17" s="47"/>
      <c r="U17" s="46">
        <f ca="1" t="shared" si="1"/>
        <v>56</v>
      </c>
      <c r="V17" s="37">
        <f ca="1" t="shared" si="0"/>
        <v>44</v>
      </c>
    </row>
    <row r="18" customHeight="1" spans="1:22">
      <c r="A18" s="46">
        <v>16</v>
      </c>
      <c r="B18" s="41" t="s">
        <v>41</v>
      </c>
      <c r="C18" s="45">
        <v>100</v>
      </c>
      <c r="D18" s="41">
        <v>0</v>
      </c>
      <c r="E18" s="41">
        <v>0</v>
      </c>
      <c r="F18" s="41">
        <v>6</v>
      </c>
      <c r="G18" s="41">
        <v>8</v>
      </c>
      <c r="H18" s="45">
        <v>3</v>
      </c>
      <c r="I18" s="41">
        <v>4</v>
      </c>
      <c r="J18" s="45">
        <v>3</v>
      </c>
      <c r="K18" s="41">
        <v>4</v>
      </c>
      <c r="L18" s="45">
        <v>3</v>
      </c>
      <c r="M18" s="41">
        <v>4</v>
      </c>
      <c r="N18" s="45">
        <v>3</v>
      </c>
      <c r="O18" s="45">
        <f ca="1">SUMIF('4.16'!$C$3:C37,B18,'4.16'!$I$3:I35)</f>
        <v>4</v>
      </c>
      <c r="P18" s="45">
        <f ca="1">SUMIF('4.20'!$C$3:D37,B18,'4.20'!$I$3:J35)</f>
        <v>3</v>
      </c>
      <c r="Q18" s="45">
        <f>SUMIF('4.23'!$C$3:E37,B18,'4.23'!$I$3:K37)</f>
        <v>4</v>
      </c>
      <c r="R18" s="45">
        <f ca="1">SUMIF('4.27'!$C$3:F37,B18,'4.27'!$I$3:L35)</f>
        <v>3</v>
      </c>
      <c r="S18" s="45">
        <f ca="1">SUMIF('4.30'!$C$3:G37,B18,'4.30'!$I$3:M35)</f>
        <v>4</v>
      </c>
      <c r="T18" s="47"/>
      <c r="U18" s="46">
        <f ca="1" t="shared" si="1"/>
        <v>56</v>
      </c>
      <c r="V18" s="37">
        <f ca="1" t="shared" si="0"/>
        <v>44</v>
      </c>
    </row>
    <row r="19" customHeight="1" spans="1:22">
      <c r="A19" s="46">
        <v>17</v>
      </c>
      <c r="B19" s="41" t="s">
        <v>40</v>
      </c>
      <c r="C19" s="45">
        <v>100</v>
      </c>
      <c r="D19" s="41">
        <v>0</v>
      </c>
      <c r="E19" s="41">
        <v>0</v>
      </c>
      <c r="F19" s="41">
        <v>6</v>
      </c>
      <c r="G19" s="41">
        <v>8</v>
      </c>
      <c r="H19" s="45">
        <v>3</v>
      </c>
      <c r="I19" s="41">
        <v>4</v>
      </c>
      <c r="J19" s="45">
        <v>3</v>
      </c>
      <c r="K19" s="41">
        <v>4</v>
      </c>
      <c r="L19" s="45">
        <v>3</v>
      </c>
      <c r="M19" s="41">
        <v>4</v>
      </c>
      <c r="N19" s="45">
        <v>3</v>
      </c>
      <c r="O19" s="45">
        <f ca="1">SUMIF('4.16'!$C$3:C38,B19,'4.16'!$I$3:I36)</f>
        <v>4</v>
      </c>
      <c r="P19" s="45">
        <f ca="1">SUMIF('4.20'!$C$3:D38,B19,'4.20'!$I$3:J36)</f>
        <v>3</v>
      </c>
      <c r="Q19" s="45">
        <f>SUMIF('4.23'!$C$3:E38,B19,'4.23'!$I$3:K38)</f>
        <v>4</v>
      </c>
      <c r="R19" s="45">
        <f ca="1">SUMIF('4.27'!$C$3:F38,B19,'4.27'!$I$3:L36)</f>
        <v>3</v>
      </c>
      <c r="S19" s="45">
        <f ca="1">SUMIF('4.30'!$C$3:G38,B19,'4.30'!$I$3:M36)</f>
        <v>4</v>
      </c>
      <c r="T19" s="47"/>
      <c r="U19" s="46">
        <f ca="1" t="shared" si="1"/>
        <v>56</v>
      </c>
      <c r="V19" s="37">
        <f ca="1" t="shared" si="0"/>
        <v>44</v>
      </c>
    </row>
    <row r="20" customHeight="1" spans="1:22">
      <c r="A20" s="46">
        <v>18</v>
      </c>
      <c r="B20" s="41" t="s">
        <v>43</v>
      </c>
      <c r="C20" s="45">
        <v>100</v>
      </c>
      <c r="D20" s="41">
        <v>0</v>
      </c>
      <c r="E20" s="41">
        <v>0</v>
      </c>
      <c r="F20" s="41">
        <v>0</v>
      </c>
      <c r="G20" s="41">
        <v>0</v>
      </c>
      <c r="H20" s="45">
        <v>3</v>
      </c>
      <c r="I20" s="45">
        <v>8</v>
      </c>
      <c r="J20" s="45">
        <v>6</v>
      </c>
      <c r="K20" s="45">
        <v>5</v>
      </c>
      <c r="L20" s="45">
        <v>4</v>
      </c>
      <c r="M20" s="45">
        <v>5</v>
      </c>
      <c r="N20" s="45">
        <v>4</v>
      </c>
      <c r="O20" s="45">
        <v>5</v>
      </c>
      <c r="P20" s="45">
        <f ca="1">SUMIF('4.20'!$C$3:D39,B20,'4.20'!$I$3:J37)</f>
        <v>3</v>
      </c>
      <c r="Q20" s="45">
        <v>5</v>
      </c>
      <c r="R20" s="45">
        <f ca="1">SUMIF('4.27'!$C$3:F39,B20,'4.27'!$I$3:L37)</f>
        <v>3</v>
      </c>
      <c r="S20" s="45">
        <v>5</v>
      </c>
      <c r="T20" s="47"/>
      <c r="U20" s="46">
        <f ca="1" t="shared" si="1"/>
        <v>56</v>
      </c>
      <c r="V20" s="37">
        <f ca="1" t="shared" si="0"/>
        <v>44</v>
      </c>
    </row>
    <row r="21" customHeight="1" spans="1:22">
      <c r="A21" s="46">
        <v>19</v>
      </c>
      <c r="B21" s="41" t="s">
        <v>45</v>
      </c>
      <c r="C21" s="45">
        <v>100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5">
        <v>4</v>
      </c>
      <c r="J21" s="45">
        <v>6</v>
      </c>
      <c r="K21" s="45">
        <v>8</v>
      </c>
      <c r="L21" s="45">
        <v>6</v>
      </c>
      <c r="M21" s="45">
        <v>8</v>
      </c>
      <c r="N21" s="45">
        <v>6</v>
      </c>
      <c r="O21" s="45">
        <f ca="1">SUMIF('4.16'!$C$3:C40,B21,'4.16'!$I$3:I38)</f>
        <v>4</v>
      </c>
      <c r="P21" s="45">
        <f ca="1">SUMIF('4.20'!$C$3:D40,B21,'4.20'!$I$3:J38)</f>
        <v>3</v>
      </c>
      <c r="Q21" s="45">
        <f>SUMIF('4.23'!$C$3:E40,B21,'4.23'!$I$3:K40)</f>
        <v>4</v>
      </c>
      <c r="R21" s="45">
        <f ca="1">SUMIF('4.27'!$C$3:F40,B21,'4.27'!$I$3:L38)</f>
        <v>3</v>
      </c>
      <c r="S21" s="45">
        <f ca="1">SUMIF('4.30'!$C$3:G40,B21,'4.30'!$I$3:M38)</f>
        <v>4</v>
      </c>
      <c r="T21" s="47"/>
      <c r="U21" s="46">
        <f ca="1" t="shared" si="1"/>
        <v>56</v>
      </c>
      <c r="V21" s="37">
        <f ca="1" t="shared" si="0"/>
        <v>44</v>
      </c>
    </row>
    <row r="22" customHeight="1" spans="1:22">
      <c r="A22" s="46">
        <v>20</v>
      </c>
      <c r="B22" s="41" t="s">
        <v>46</v>
      </c>
      <c r="C22" s="45">
        <v>100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5">
        <v>4</v>
      </c>
      <c r="J22" s="45">
        <v>6</v>
      </c>
      <c r="K22" s="45">
        <v>8</v>
      </c>
      <c r="L22" s="45">
        <v>6</v>
      </c>
      <c r="M22" s="45">
        <v>8</v>
      </c>
      <c r="N22" s="45">
        <v>6</v>
      </c>
      <c r="O22" s="45">
        <f ca="1">SUMIF('4.16'!$C$3:C41,B22,'4.16'!$I$3:I39)</f>
        <v>4</v>
      </c>
      <c r="P22" s="45">
        <f ca="1">SUMIF('4.20'!$C$3:D41,B22,'4.20'!$I$3:J39)</f>
        <v>3</v>
      </c>
      <c r="Q22" s="45">
        <f>SUMIF('4.23'!$C$3:E41,B22,'4.23'!$I$3:K41)</f>
        <v>4</v>
      </c>
      <c r="R22" s="45">
        <f ca="1">SUMIF('4.27'!$C$3:F41,B22,'4.27'!$I$3:L39)</f>
        <v>3</v>
      </c>
      <c r="S22" s="45">
        <f ca="1">SUMIF('4.30'!$C$3:G41,B22,'4.30'!$I$3:M39)</f>
        <v>4</v>
      </c>
      <c r="T22" s="47"/>
      <c r="U22" s="46">
        <f ca="1" t="shared" si="1"/>
        <v>56</v>
      </c>
      <c r="V22" s="37">
        <f ca="1" t="shared" si="0"/>
        <v>44</v>
      </c>
    </row>
    <row r="23" customHeight="1" spans="1:22">
      <c r="A23" s="46">
        <v>21</v>
      </c>
      <c r="B23" s="41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7"/>
      <c r="U23" s="46">
        <f t="shared" si="1"/>
        <v>0</v>
      </c>
      <c r="V23" s="37">
        <f t="shared" si="0"/>
        <v>0</v>
      </c>
    </row>
    <row r="24" customHeight="1" spans="1:22">
      <c r="A24" s="46">
        <v>22</v>
      </c>
      <c r="B24" s="41"/>
      <c r="C24" s="45"/>
      <c r="D24" s="45">
        <f>SUM(D3:D23)</f>
        <v>30</v>
      </c>
      <c r="E24" s="45">
        <f t="shared" ref="E24:S24" si="2">SUM(E3:E23)</f>
        <v>40</v>
      </c>
      <c r="F24" s="45">
        <f t="shared" si="2"/>
        <v>72</v>
      </c>
      <c r="G24" s="45">
        <f t="shared" si="2"/>
        <v>96</v>
      </c>
      <c r="H24" s="45">
        <f t="shared" si="2"/>
        <v>54</v>
      </c>
      <c r="I24" s="45">
        <f t="shared" si="2"/>
        <v>84</v>
      </c>
      <c r="J24" s="45">
        <f t="shared" si="2"/>
        <v>69</v>
      </c>
      <c r="K24" s="45">
        <f t="shared" si="2"/>
        <v>89</v>
      </c>
      <c r="L24" s="45">
        <f t="shared" si="2"/>
        <v>67</v>
      </c>
      <c r="M24" s="45">
        <f t="shared" si="2"/>
        <v>89</v>
      </c>
      <c r="N24" s="45">
        <f t="shared" si="2"/>
        <v>67</v>
      </c>
      <c r="O24" s="45">
        <f ca="1" t="shared" si="2"/>
        <v>81</v>
      </c>
      <c r="P24" s="45">
        <f ca="1" t="shared" si="2"/>
        <v>60</v>
      </c>
      <c r="Q24" s="45">
        <f t="shared" si="2"/>
        <v>81</v>
      </c>
      <c r="R24" s="45">
        <f ca="1" t="shared" si="2"/>
        <v>60</v>
      </c>
      <c r="S24" s="45">
        <f ca="1" t="shared" si="2"/>
        <v>81</v>
      </c>
      <c r="T24" s="47"/>
      <c r="U24" s="46"/>
      <c r="V24" s="37"/>
    </row>
    <row r="25" customHeight="1" spans="1:22">
      <c r="A25" s="46">
        <v>23</v>
      </c>
      <c r="B25" s="48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7"/>
      <c r="U25" s="46">
        <f t="shared" si="1"/>
        <v>0</v>
      </c>
      <c r="V25" s="37">
        <f t="shared" si="0"/>
        <v>0</v>
      </c>
    </row>
    <row r="26" customHeight="1" spans="1:22">
      <c r="A26" s="46">
        <v>24</v>
      </c>
      <c r="B26" s="48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7"/>
      <c r="U26" s="46">
        <f t="shared" si="1"/>
        <v>0</v>
      </c>
      <c r="V26" s="37">
        <f t="shared" si="0"/>
        <v>0</v>
      </c>
    </row>
    <row r="27" customHeight="1" spans="1:22">
      <c r="A27" s="49">
        <v>25</v>
      </c>
      <c r="B27" s="50"/>
      <c r="C27" s="51"/>
      <c r="D27" s="52"/>
      <c r="E27" s="52"/>
      <c r="F27" s="52"/>
      <c r="G27" s="52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2"/>
      <c r="U27" s="49">
        <f t="shared" si="1"/>
        <v>0</v>
      </c>
      <c r="V27" s="37">
        <f t="shared" si="0"/>
        <v>0</v>
      </c>
    </row>
    <row r="28" customHeight="1" spans="1:22">
      <c r="A28" s="46">
        <v>26</v>
      </c>
      <c r="B28" s="48"/>
      <c r="C28" s="45"/>
      <c r="D28" s="47"/>
      <c r="E28" s="47"/>
      <c r="F28" s="47"/>
      <c r="G28" s="47"/>
      <c r="H28" s="45"/>
      <c r="I28" s="45"/>
      <c r="J28" s="45"/>
      <c r="K28" s="45"/>
      <c r="L28" s="45"/>
      <c r="M28" s="45"/>
      <c r="N28" s="51"/>
      <c r="O28" s="51"/>
      <c r="P28" s="51"/>
      <c r="Q28" s="51"/>
      <c r="R28" s="51"/>
      <c r="S28" s="51"/>
      <c r="T28" s="47"/>
      <c r="U28" s="46">
        <f t="shared" si="1"/>
        <v>0</v>
      </c>
      <c r="V28" s="37">
        <f t="shared" si="0"/>
        <v>0</v>
      </c>
    </row>
    <row r="29" customHeight="1" spans="1:22">
      <c r="A29" s="46">
        <v>27</v>
      </c>
      <c r="B29" s="48"/>
      <c r="C29" s="45"/>
      <c r="D29" s="47"/>
      <c r="E29" s="47"/>
      <c r="F29" s="47"/>
      <c r="G29" s="47"/>
      <c r="H29" s="45"/>
      <c r="I29" s="45"/>
      <c r="J29" s="45"/>
      <c r="K29" s="45"/>
      <c r="L29" s="45"/>
      <c r="M29" s="45"/>
      <c r="N29" s="51"/>
      <c r="O29" s="51"/>
      <c r="P29" s="51"/>
      <c r="Q29" s="51"/>
      <c r="R29" s="51"/>
      <c r="S29" s="51"/>
      <c r="T29" s="47"/>
      <c r="U29" s="46">
        <f t="shared" si="1"/>
        <v>0</v>
      </c>
      <c r="V29" s="37">
        <f t="shared" si="0"/>
        <v>0</v>
      </c>
    </row>
    <row r="30" customHeight="1" spans="1:22">
      <c r="A30" s="46">
        <v>28</v>
      </c>
      <c r="B30" s="48"/>
      <c r="C30" s="45"/>
      <c r="D30" s="47"/>
      <c r="E30" s="47"/>
      <c r="F30" s="47"/>
      <c r="G30" s="47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7"/>
      <c r="U30" s="46">
        <f t="shared" si="1"/>
        <v>0</v>
      </c>
      <c r="V30" s="37">
        <f t="shared" si="0"/>
        <v>0</v>
      </c>
    </row>
    <row r="31" customHeight="1" spans="1:22">
      <c r="A31" s="46">
        <v>29</v>
      </c>
      <c r="B31" s="48"/>
      <c r="C31" s="45"/>
      <c r="D31" s="47"/>
      <c r="E31" s="47"/>
      <c r="F31" s="47"/>
      <c r="G31" s="47"/>
      <c r="H31" s="47"/>
      <c r="I31" s="47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7"/>
      <c r="U31" s="46">
        <f t="shared" si="1"/>
        <v>0</v>
      </c>
      <c r="V31" s="37">
        <f t="shared" si="0"/>
        <v>0</v>
      </c>
    </row>
    <row r="32" customHeight="1" spans="1:22">
      <c r="A32" s="46">
        <v>30</v>
      </c>
      <c r="B32" s="48"/>
      <c r="C32" s="45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>
        <f t="shared" si="1"/>
        <v>0</v>
      </c>
      <c r="V32" s="37">
        <f t="shared" si="0"/>
        <v>0</v>
      </c>
    </row>
    <row r="33" customHeight="1" spans="1:22">
      <c r="A33" s="47"/>
      <c r="B33" s="53"/>
      <c r="C33" s="5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37">
        <f t="shared" si="0"/>
        <v>0</v>
      </c>
    </row>
    <row r="34" customHeight="1" spans="1:22">
      <c r="A34" s="47"/>
      <c r="B34" s="53"/>
      <c r="C34" s="53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37">
        <f t="shared" si="0"/>
        <v>0</v>
      </c>
    </row>
    <row r="35" customHeight="1" spans="1:22">
      <c r="A35" s="47"/>
      <c r="B35" s="53"/>
      <c r="C35" s="53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37">
        <f t="shared" si="0"/>
        <v>0</v>
      </c>
    </row>
  </sheetData>
  <mergeCells count="1">
    <mergeCell ref="A1:U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D32" sqref="D3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16</v>
      </c>
      <c r="D3" s="11" t="s">
        <v>65</v>
      </c>
      <c r="E3" s="10">
        <v>2</v>
      </c>
      <c r="F3" s="10">
        <v>1</v>
      </c>
      <c r="G3" s="12"/>
    </row>
    <row r="4" ht="22" customHeight="1" spans="1:7">
      <c r="A4" s="8">
        <v>2</v>
      </c>
      <c r="B4" s="9">
        <v>46090</v>
      </c>
      <c r="C4" s="10" t="s">
        <v>19</v>
      </c>
      <c r="D4" s="11" t="s">
        <v>65</v>
      </c>
      <c r="E4" s="13"/>
      <c r="F4" s="10">
        <v>3</v>
      </c>
      <c r="G4" s="14"/>
    </row>
    <row r="5" ht="22" customHeight="1" spans="1:7">
      <c r="A5" s="8">
        <v>3</v>
      </c>
      <c r="B5" s="9">
        <v>46090</v>
      </c>
      <c r="C5" s="10" t="s">
        <v>20</v>
      </c>
      <c r="D5" s="11" t="s">
        <v>65</v>
      </c>
      <c r="E5" s="13"/>
      <c r="F5" s="10">
        <v>3</v>
      </c>
      <c r="G5" s="14"/>
    </row>
    <row r="6" ht="22" customHeight="1" spans="1:7">
      <c r="A6" s="8">
        <v>4</v>
      </c>
      <c r="B6" s="9">
        <v>46090</v>
      </c>
      <c r="C6" s="10" t="s">
        <v>22</v>
      </c>
      <c r="D6" s="11" t="s">
        <v>65</v>
      </c>
      <c r="E6" s="10">
        <v>3</v>
      </c>
      <c r="F6" s="13"/>
      <c r="G6" s="14"/>
    </row>
    <row r="7" ht="22" customHeight="1" spans="1:7">
      <c r="A7" s="8">
        <v>5</v>
      </c>
      <c r="B7" s="9">
        <v>46090</v>
      </c>
      <c r="C7" s="10" t="s">
        <v>24</v>
      </c>
      <c r="D7" s="11" t="s">
        <v>65</v>
      </c>
      <c r="E7" s="13"/>
      <c r="F7" s="10">
        <v>3</v>
      </c>
      <c r="G7" s="14"/>
    </row>
    <row r="8" ht="22" customHeight="1" spans="1:7">
      <c r="A8" s="8">
        <v>6</v>
      </c>
      <c r="B8" s="9">
        <v>46090</v>
      </c>
      <c r="C8" s="10" t="s">
        <v>54</v>
      </c>
      <c r="D8" s="11" t="s">
        <v>65</v>
      </c>
      <c r="E8" s="10">
        <v>2</v>
      </c>
      <c r="F8" s="10">
        <v>1</v>
      </c>
      <c r="G8" s="14"/>
    </row>
    <row r="9" ht="22" customHeight="1" spans="1:7">
      <c r="A9" s="8">
        <v>7</v>
      </c>
      <c r="B9" s="9">
        <v>46090</v>
      </c>
      <c r="C9" s="10" t="s">
        <v>27</v>
      </c>
      <c r="D9" s="11" t="s">
        <v>65</v>
      </c>
      <c r="E9" s="13"/>
      <c r="F9" s="10">
        <v>3</v>
      </c>
      <c r="G9" s="15"/>
    </row>
    <row r="10" ht="22" customHeight="1" spans="1:7">
      <c r="A10" s="8">
        <v>8</v>
      </c>
      <c r="B10" s="9">
        <v>46090</v>
      </c>
      <c r="C10" s="10" t="s">
        <v>28</v>
      </c>
      <c r="D10" s="11" t="s">
        <v>65</v>
      </c>
      <c r="E10" s="13"/>
      <c r="F10" s="10">
        <v>3</v>
      </c>
      <c r="G10" s="15"/>
    </row>
    <row r="11" customFormat="1" ht="22" customHeight="1" spans="1:7">
      <c r="A11" s="8">
        <v>9</v>
      </c>
      <c r="B11" s="9">
        <v>46090</v>
      </c>
      <c r="C11" s="10" t="s">
        <v>29</v>
      </c>
      <c r="D11" s="11" t="s">
        <v>65</v>
      </c>
      <c r="E11" s="10">
        <v>2</v>
      </c>
      <c r="F11" s="10">
        <v>1</v>
      </c>
      <c r="G11" s="15"/>
    </row>
    <row r="12" customFormat="1" ht="22" customHeight="1" spans="1:7">
      <c r="A12" s="8">
        <v>10</v>
      </c>
      <c r="B12" s="9">
        <v>46090</v>
      </c>
      <c r="C12" s="26" t="s">
        <v>31</v>
      </c>
      <c r="D12" s="11" t="s">
        <v>65</v>
      </c>
      <c r="E12" s="10">
        <v>3</v>
      </c>
      <c r="F12" s="15"/>
      <c r="G12" s="15"/>
    </row>
    <row r="13" customFormat="1" ht="22" customHeight="1" spans="1:7">
      <c r="A13" s="8"/>
      <c r="B13" s="9"/>
      <c r="C13" s="26"/>
      <c r="D13" s="11"/>
      <c r="E13" s="12"/>
      <c r="F13" s="15"/>
      <c r="G13" s="15"/>
    </row>
    <row r="14" customFormat="1" ht="22" customHeight="1" spans="1:7">
      <c r="A14" s="8"/>
      <c r="B14" s="17"/>
      <c r="C14" s="26"/>
      <c r="D14" s="18"/>
      <c r="E14" s="19"/>
      <c r="F14" s="20"/>
      <c r="G14" s="20"/>
    </row>
    <row r="15" ht="13.5" spans="1:7">
      <c r="E15" s="21">
        <f>SUM(E3:E14)</f>
        <v>12</v>
      </c>
      <c r="F15" s="21">
        <f>SUM(F3:F14)</f>
        <v>18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8" sqref="B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16</v>
      </c>
      <c r="D3" s="11" t="s">
        <v>66</v>
      </c>
      <c r="E3" s="10">
        <v>2</v>
      </c>
      <c r="F3" s="10">
        <v>2</v>
      </c>
      <c r="G3" s="12"/>
    </row>
    <row r="4" ht="22" customHeight="1" spans="1:7">
      <c r="A4" s="8">
        <v>2</v>
      </c>
      <c r="B4" s="9">
        <v>46093</v>
      </c>
      <c r="C4" s="10" t="s">
        <v>19</v>
      </c>
      <c r="D4" s="11" t="s">
        <v>66</v>
      </c>
      <c r="E4" s="13"/>
      <c r="F4" s="10">
        <v>4</v>
      </c>
      <c r="G4" s="14"/>
    </row>
    <row r="5" ht="22" customHeight="1" spans="1:7">
      <c r="A5" s="8">
        <v>3</v>
      </c>
      <c r="B5" s="9">
        <v>46093</v>
      </c>
      <c r="C5" s="10" t="s">
        <v>20</v>
      </c>
      <c r="D5" s="11" t="s">
        <v>66</v>
      </c>
      <c r="E5" s="13"/>
      <c r="F5" s="10">
        <v>4</v>
      </c>
      <c r="G5" s="14"/>
    </row>
    <row r="6" ht="22" customHeight="1" spans="1:7">
      <c r="A6" s="8">
        <v>4</v>
      </c>
      <c r="B6" s="9">
        <v>46093</v>
      </c>
      <c r="C6" s="10" t="s">
        <v>22</v>
      </c>
      <c r="D6" s="11" t="s">
        <v>66</v>
      </c>
      <c r="E6" s="10">
        <v>4</v>
      </c>
      <c r="F6" s="13"/>
      <c r="G6" s="14"/>
    </row>
    <row r="7" ht="22" customHeight="1" spans="1:7">
      <c r="A7" s="8">
        <v>5</v>
      </c>
      <c r="B7" s="9">
        <v>46093</v>
      </c>
      <c r="C7" s="10" t="s">
        <v>24</v>
      </c>
      <c r="D7" s="11" t="s">
        <v>66</v>
      </c>
      <c r="E7" s="13"/>
      <c r="F7" s="10">
        <v>4</v>
      </c>
      <c r="G7" s="14"/>
    </row>
    <row r="8" ht="22" customHeight="1" spans="1:7">
      <c r="A8" s="8">
        <v>6</v>
      </c>
      <c r="B8" s="9">
        <v>46093</v>
      </c>
      <c r="C8" s="10" t="s">
        <v>54</v>
      </c>
      <c r="D8" s="11" t="s">
        <v>66</v>
      </c>
      <c r="E8" s="10">
        <v>2</v>
      </c>
      <c r="F8" s="10">
        <v>2</v>
      </c>
      <c r="G8" s="14"/>
    </row>
    <row r="9" ht="22" customHeight="1" spans="1:7">
      <c r="A9" s="8">
        <v>7</v>
      </c>
      <c r="B9" s="9">
        <v>46093</v>
      </c>
      <c r="C9" s="10" t="s">
        <v>27</v>
      </c>
      <c r="D9" s="11" t="s">
        <v>66</v>
      </c>
      <c r="E9" s="13"/>
      <c r="F9" s="10">
        <v>4</v>
      </c>
      <c r="G9" s="15"/>
    </row>
    <row r="10" ht="22" customHeight="1" spans="1:7">
      <c r="A10" s="8">
        <v>8</v>
      </c>
      <c r="B10" s="9">
        <v>46093</v>
      </c>
      <c r="C10" s="10" t="s">
        <v>28</v>
      </c>
      <c r="D10" s="11" t="s">
        <v>66</v>
      </c>
      <c r="E10" s="13"/>
      <c r="F10" s="10">
        <v>4</v>
      </c>
      <c r="G10" s="15"/>
    </row>
    <row r="11" customFormat="1" ht="22" customHeight="1" spans="1:7">
      <c r="A11" s="8">
        <v>9</v>
      </c>
      <c r="B11" s="9">
        <v>46093</v>
      </c>
      <c r="C11" s="10" t="s">
        <v>29</v>
      </c>
      <c r="D11" s="11" t="s">
        <v>66</v>
      </c>
      <c r="E11" s="10">
        <v>2</v>
      </c>
      <c r="F11" s="10">
        <v>2</v>
      </c>
      <c r="G11" s="15"/>
    </row>
    <row r="12" customFormat="1" ht="22" customHeight="1" spans="1:7">
      <c r="A12" s="8">
        <v>10</v>
      </c>
      <c r="B12" s="9">
        <v>46093</v>
      </c>
      <c r="C12" s="26" t="s">
        <v>31</v>
      </c>
      <c r="D12" s="11" t="s">
        <v>66</v>
      </c>
      <c r="E12" s="10">
        <v>4</v>
      </c>
      <c r="F12" s="15"/>
      <c r="G12" s="15"/>
    </row>
    <row r="13" customFormat="1" ht="22" customHeight="1" spans="1:7">
      <c r="A13" s="8"/>
      <c r="B13" s="9"/>
      <c r="C13" s="26"/>
      <c r="D13" s="11"/>
      <c r="E13" s="12"/>
      <c r="F13" s="15"/>
      <c r="G13" s="15"/>
    </row>
    <row r="14" customFormat="1" ht="22" customHeight="1" spans="1:7">
      <c r="A14" s="8"/>
      <c r="B14" s="17"/>
      <c r="C14" s="26"/>
      <c r="D14" s="18"/>
      <c r="E14" s="19"/>
      <c r="F14" s="20"/>
      <c r="G14" s="20"/>
    </row>
    <row r="15" ht="13.5" spans="1:7">
      <c r="E15" s="21">
        <f>SUM(E3:E14)</f>
        <v>14</v>
      </c>
      <c r="F15" s="21">
        <f>SUM(F3:F14)</f>
        <v>26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90" zoomScaleNormal="90" topLeftCell="A6" workbookViewId="0">
      <selection activeCell="A25" sqref="$A25:$XFD2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8">
      <c r="A3" s="8">
        <v>1</v>
      </c>
      <c r="B3" s="9">
        <v>46097</v>
      </c>
      <c r="C3" s="10" t="s">
        <v>16</v>
      </c>
      <c r="D3" s="11" t="s">
        <v>65</v>
      </c>
      <c r="E3" s="10">
        <v>2</v>
      </c>
      <c r="F3" s="10">
        <v>1</v>
      </c>
      <c r="G3" s="12"/>
    </row>
    <row r="4" ht="22" customHeight="1" spans="1:8">
      <c r="A4" s="8">
        <v>2</v>
      </c>
      <c r="B4" s="9">
        <v>46097</v>
      </c>
      <c r="C4" s="10" t="s">
        <v>19</v>
      </c>
      <c r="D4" s="11" t="s">
        <v>65</v>
      </c>
      <c r="E4" s="13"/>
      <c r="F4" s="10">
        <v>3</v>
      </c>
      <c r="G4" s="14"/>
    </row>
    <row r="5" ht="22" customHeight="1" spans="1:8">
      <c r="A5" s="8">
        <v>3</v>
      </c>
      <c r="B5" s="9">
        <v>46097</v>
      </c>
      <c r="C5" s="10" t="s">
        <v>60</v>
      </c>
      <c r="D5" s="11" t="s">
        <v>65</v>
      </c>
      <c r="E5" s="13"/>
      <c r="F5" s="10">
        <v>3</v>
      </c>
      <c r="G5" s="14"/>
    </row>
    <row r="6" ht="22" customHeight="1" spans="1:8">
      <c r="A6" s="8">
        <v>4</v>
      </c>
      <c r="B6" s="9">
        <v>46097</v>
      </c>
      <c r="C6" s="10" t="s">
        <v>22</v>
      </c>
      <c r="D6" s="11" t="s">
        <v>65</v>
      </c>
      <c r="E6" s="10">
        <v>3</v>
      </c>
      <c r="F6" s="13"/>
      <c r="G6" s="14"/>
    </row>
    <row r="7" ht="22" customHeight="1" spans="1:8">
      <c r="A7" s="8">
        <v>5</v>
      </c>
      <c r="B7" s="9">
        <v>46097</v>
      </c>
      <c r="C7" s="10" t="s">
        <v>24</v>
      </c>
      <c r="D7" s="11" t="s">
        <v>65</v>
      </c>
      <c r="E7" s="13"/>
      <c r="F7" s="10">
        <v>3</v>
      </c>
      <c r="G7" s="14"/>
    </row>
    <row r="8" ht="22" customHeight="1" spans="1:8">
      <c r="A8" s="8">
        <v>6</v>
      </c>
      <c r="B8" s="9">
        <v>46097</v>
      </c>
      <c r="C8" s="10" t="s">
        <v>26</v>
      </c>
      <c r="D8" s="11" t="s">
        <v>65</v>
      </c>
      <c r="E8" s="10">
        <v>3</v>
      </c>
      <c r="F8" s="10"/>
      <c r="G8" s="14"/>
    </row>
    <row r="9" ht="22" customHeight="1" spans="1:8">
      <c r="A9" s="8">
        <v>7</v>
      </c>
      <c r="B9" s="9">
        <v>46097</v>
      </c>
      <c r="C9" s="10" t="s">
        <v>40</v>
      </c>
      <c r="D9" s="11" t="s">
        <v>65</v>
      </c>
      <c r="E9" s="10"/>
      <c r="F9" s="10">
        <v>3</v>
      </c>
      <c r="G9" s="14"/>
      <c r="H9">
        <v>6</v>
      </c>
    </row>
    <row r="10" ht="22" customHeight="1" spans="1:8">
      <c r="A10" s="8">
        <v>8</v>
      </c>
      <c r="B10" s="9">
        <v>46097</v>
      </c>
      <c r="C10" s="10" t="s">
        <v>27</v>
      </c>
      <c r="D10" s="11" t="s">
        <v>65</v>
      </c>
      <c r="E10" s="13"/>
      <c r="F10" s="10">
        <v>3</v>
      </c>
      <c r="G10" s="15"/>
    </row>
    <row r="11" ht="22" customHeight="1" spans="1:8">
      <c r="A11" s="8">
        <v>9</v>
      </c>
      <c r="B11" s="9">
        <v>46097</v>
      </c>
      <c r="C11" s="10" t="s">
        <v>28</v>
      </c>
      <c r="D11" s="11" t="s">
        <v>65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46097</v>
      </c>
      <c r="C12" s="10" t="s">
        <v>29</v>
      </c>
      <c r="D12" s="11" t="s">
        <v>65</v>
      </c>
      <c r="E12" s="10">
        <v>2</v>
      </c>
      <c r="F12" s="10">
        <v>1</v>
      </c>
      <c r="G12" s="15"/>
    </row>
    <row r="13" customFormat="1" ht="22" customHeight="1" spans="1:8">
      <c r="A13" s="8">
        <v>11</v>
      </c>
      <c r="B13" s="9">
        <v>46097</v>
      </c>
      <c r="C13" s="10" t="s">
        <v>31</v>
      </c>
      <c r="D13" s="11" t="s">
        <v>65</v>
      </c>
      <c r="E13" s="10">
        <v>3</v>
      </c>
      <c r="F13" s="15"/>
      <c r="G13" s="15"/>
    </row>
    <row r="14" customFormat="1" ht="22" customHeight="1" spans="1:8">
      <c r="A14" s="8">
        <v>12</v>
      </c>
      <c r="B14" s="9">
        <v>46097</v>
      </c>
      <c r="C14" s="10" t="s">
        <v>32</v>
      </c>
      <c r="D14" s="11" t="s">
        <v>65</v>
      </c>
      <c r="E14" s="12">
        <v>3</v>
      </c>
      <c r="F14" s="15"/>
      <c r="G14" s="15"/>
    </row>
    <row r="15" customFormat="1" ht="22" customHeight="1" spans="1:8">
      <c r="A15" s="8">
        <v>13</v>
      </c>
      <c r="B15" s="9">
        <v>46097</v>
      </c>
      <c r="C15" s="10" t="s">
        <v>34</v>
      </c>
      <c r="D15" s="11" t="s">
        <v>65</v>
      </c>
      <c r="E15" s="12"/>
      <c r="F15" s="15">
        <v>3</v>
      </c>
      <c r="G15" s="15"/>
    </row>
    <row r="16" customFormat="1" ht="22" customHeight="1" spans="1:8">
      <c r="A16" s="8">
        <v>16</v>
      </c>
      <c r="B16" s="9">
        <v>46097</v>
      </c>
      <c r="C16" s="10" t="s">
        <v>35</v>
      </c>
      <c r="D16" s="11" t="s">
        <v>65</v>
      </c>
      <c r="E16" s="12"/>
      <c r="F16" s="15">
        <v>3</v>
      </c>
      <c r="G16" s="15"/>
    </row>
    <row r="17" customFormat="1" ht="22" customHeight="1" spans="1:8">
      <c r="A17" s="8">
        <v>18</v>
      </c>
      <c r="B17" s="9">
        <v>46097</v>
      </c>
      <c r="C17" s="10" t="s">
        <v>36</v>
      </c>
      <c r="D17" s="11" t="s">
        <v>65</v>
      </c>
      <c r="E17" s="12">
        <v>2</v>
      </c>
      <c r="F17" s="15">
        <v>1</v>
      </c>
      <c r="G17" s="15"/>
    </row>
    <row r="18" customFormat="1" ht="22" customHeight="1" spans="1:8">
      <c r="A18" s="8">
        <v>20</v>
      </c>
      <c r="B18" s="9">
        <v>46097</v>
      </c>
      <c r="C18" s="10" t="s">
        <v>38</v>
      </c>
      <c r="D18" s="11" t="s">
        <v>65</v>
      </c>
      <c r="E18" s="12"/>
      <c r="F18" s="15">
        <v>3</v>
      </c>
      <c r="G18" s="15"/>
      <c r="H18">
        <v>6</v>
      </c>
    </row>
    <row r="19" customFormat="1" ht="22" customHeight="1" spans="1:8">
      <c r="A19" s="8">
        <v>21</v>
      </c>
      <c r="B19" s="9">
        <v>46097</v>
      </c>
      <c r="C19" s="10" t="s">
        <v>41</v>
      </c>
      <c r="D19" s="11" t="s">
        <v>65</v>
      </c>
      <c r="E19" s="12"/>
      <c r="F19" s="15">
        <v>3</v>
      </c>
      <c r="G19" s="15"/>
      <c r="H19" t="s">
        <v>67</v>
      </c>
    </row>
    <row r="20" customFormat="1" ht="22" customHeight="1" spans="1:8">
      <c r="A20" s="8">
        <v>19</v>
      </c>
      <c r="B20" s="9">
        <v>46097</v>
      </c>
      <c r="C20" s="10" t="s">
        <v>36</v>
      </c>
      <c r="D20" s="11" t="s">
        <v>65</v>
      </c>
      <c r="E20" s="12">
        <v>2</v>
      </c>
      <c r="F20" s="15">
        <v>1</v>
      </c>
      <c r="G20" s="15" t="s">
        <v>68</v>
      </c>
    </row>
    <row r="21" customFormat="1" ht="22" customHeight="1" spans="1:8">
      <c r="A21" s="8">
        <v>17</v>
      </c>
      <c r="B21" s="9">
        <v>46097</v>
      </c>
      <c r="C21" s="10" t="s">
        <v>35</v>
      </c>
      <c r="D21" s="11" t="s">
        <v>65</v>
      </c>
      <c r="E21" s="12"/>
      <c r="F21" s="15">
        <v>3</v>
      </c>
      <c r="G21" s="15" t="s">
        <v>68</v>
      </c>
    </row>
    <row r="22" customFormat="1" ht="22" customHeight="1" spans="1:8">
      <c r="A22" s="8">
        <v>14</v>
      </c>
      <c r="B22" s="9">
        <v>46097</v>
      </c>
      <c r="C22" s="10" t="s">
        <v>32</v>
      </c>
      <c r="D22" s="11" t="s">
        <v>65</v>
      </c>
      <c r="E22" s="12">
        <v>3</v>
      </c>
      <c r="F22" s="15"/>
      <c r="G22" s="15" t="s">
        <v>68</v>
      </c>
    </row>
    <row r="23" customFormat="1" ht="22" customHeight="1" spans="1:8">
      <c r="A23" s="8">
        <v>15</v>
      </c>
      <c r="B23" s="9">
        <v>46097</v>
      </c>
      <c r="C23" s="10" t="s">
        <v>34</v>
      </c>
      <c r="D23" s="11" t="s">
        <v>65</v>
      </c>
      <c r="E23" s="12"/>
      <c r="F23" s="15">
        <v>3</v>
      </c>
      <c r="G23" s="15" t="s">
        <v>68</v>
      </c>
    </row>
    <row r="24" customFormat="1" ht="22" customHeight="1" spans="1:8">
      <c r="A24" s="8">
        <v>22</v>
      </c>
      <c r="B24" s="9">
        <v>46097</v>
      </c>
      <c r="C24" s="10" t="s">
        <v>38</v>
      </c>
      <c r="D24" s="11" t="s">
        <v>65</v>
      </c>
      <c r="E24" s="12"/>
      <c r="F24" s="15">
        <v>3</v>
      </c>
      <c r="G24" s="15" t="s">
        <v>68</v>
      </c>
    </row>
    <row r="25" customFormat="1" ht="22" customHeight="1" spans="1:8">
      <c r="A25" s="8">
        <v>23</v>
      </c>
      <c r="B25" s="9">
        <v>46097</v>
      </c>
      <c r="C25" s="10" t="s">
        <v>41</v>
      </c>
      <c r="D25" s="11" t="s">
        <v>65</v>
      </c>
      <c r="E25" s="12"/>
      <c r="F25" s="15">
        <v>3</v>
      </c>
      <c r="G25" s="15" t="s">
        <v>68</v>
      </c>
      <c r="H25" t="s">
        <v>67</v>
      </c>
    </row>
    <row r="26" customFormat="1" ht="22" customHeight="1" spans="1:8">
      <c r="A26" s="8">
        <v>24</v>
      </c>
      <c r="B26" s="9">
        <v>46097</v>
      </c>
      <c r="C26" s="10" t="s">
        <v>40</v>
      </c>
      <c r="D26" s="11" t="s">
        <v>65</v>
      </c>
      <c r="E26" s="12">
        <v>2</v>
      </c>
      <c r="F26" s="15">
        <v>1</v>
      </c>
      <c r="G26" s="15" t="s">
        <v>68</v>
      </c>
      <c r="H26">
        <v>6</v>
      </c>
    </row>
    <row r="27" customFormat="1" ht="22" customHeight="1" spans="1:8">
      <c r="A27" s="8"/>
      <c r="B27" s="17"/>
      <c r="C27" s="10"/>
      <c r="D27" s="18"/>
      <c r="E27" s="19"/>
      <c r="F27" s="20"/>
      <c r="G27" s="20"/>
    </row>
    <row r="28" ht="13.5" spans="1:8">
      <c r="E28" s="21">
        <f>SUM(E3:E27)</f>
        <v>25</v>
      </c>
      <c r="F28" s="21">
        <f>SUM(F3:F27)</f>
        <v>47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90" zoomScaleNormal="90" topLeftCell="A4" workbookViewId="0">
      <selection activeCell="A19" sqref="$A19:$XFD19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8">
      <c r="A3" s="8">
        <v>1</v>
      </c>
      <c r="B3" s="9">
        <v>46100</v>
      </c>
      <c r="C3" s="10" t="s">
        <v>16</v>
      </c>
      <c r="D3" s="11" t="s">
        <v>66</v>
      </c>
      <c r="E3" s="10">
        <v>2</v>
      </c>
      <c r="F3" s="10">
        <v>2</v>
      </c>
      <c r="G3" s="12"/>
    </row>
    <row r="4" ht="22" customHeight="1" spans="1:8">
      <c r="A4" s="8">
        <v>2</v>
      </c>
      <c r="B4" s="9">
        <v>46100</v>
      </c>
      <c r="C4" s="10" t="s">
        <v>19</v>
      </c>
      <c r="D4" s="11" t="s">
        <v>66</v>
      </c>
      <c r="E4" s="13"/>
      <c r="F4" s="10">
        <v>4</v>
      </c>
      <c r="G4" s="14"/>
    </row>
    <row r="5" ht="22" customHeight="1" spans="1:8">
      <c r="A5" s="8">
        <v>3</v>
      </c>
      <c r="B5" s="9">
        <v>46100</v>
      </c>
      <c r="C5" s="13" t="s">
        <v>60</v>
      </c>
      <c r="D5" s="11" t="s">
        <v>66</v>
      </c>
      <c r="E5" s="13"/>
      <c r="F5" s="10">
        <v>4</v>
      </c>
      <c r="G5" s="14"/>
    </row>
    <row r="6" customFormat="1" ht="22" customHeight="1" spans="1:8">
      <c r="A6" s="8">
        <v>4</v>
      </c>
      <c r="B6" s="9">
        <v>46100</v>
      </c>
      <c r="C6" s="13" t="s">
        <v>38</v>
      </c>
      <c r="D6" s="11" t="s">
        <v>66</v>
      </c>
      <c r="E6" s="12"/>
      <c r="F6" s="15">
        <v>4</v>
      </c>
      <c r="G6" s="15"/>
      <c r="H6">
        <v>8</v>
      </c>
    </row>
    <row r="7" ht="22" customHeight="1" spans="1:8">
      <c r="A7" s="8">
        <v>5</v>
      </c>
      <c r="B7" s="9">
        <v>46100</v>
      </c>
      <c r="C7" s="10" t="s">
        <v>22</v>
      </c>
      <c r="D7" s="11" t="s">
        <v>66</v>
      </c>
      <c r="E7" s="10">
        <v>4</v>
      </c>
      <c r="F7" s="13"/>
      <c r="G7" s="14"/>
    </row>
    <row r="8" ht="22" customHeight="1" spans="1:8">
      <c r="A8" s="8">
        <v>6</v>
      </c>
      <c r="B8" s="9">
        <v>46100</v>
      </c>
      <c r="C8" s="10" t="s">
        <v>24</v>
      </c>
      <c r="D8" s="11" t="s">
        <v>66</v>
      </c>
      <c r="E8" s="13"/>
      <c r="F8" s="10">
        <v>4</v>
      </c>
      <c r="G8" s="14"/>
    </row>
    <row r="9" ht="22" customHeight="1" spans="1:8">
      <c r="A9" s="8">
        <v>7</v>
      </c>
      <c r="B9" s="9">
        <v>46100</v>
      </c>
      <c r="C9" s="10" t="s">
        <v>54</v>
      </c>
      <c r="D9" s="11" t="s">
        <v>66</v>
      </c>
      <c r="E9" s="10">
        <v>4</v>
      </c>
      <c r="F9" s="10"/>
      <c r="G9" s="14"/>
    </row>
    <row r="10" ht="22" customHeight="1" spans="1:8">
      <c r="A10" s="8">
        <v>8</v>
      </c>
      <c r="B10" s="9">
        <v>46097</v>
      </c>
      <c r="C10" s="10" t="s">
        <v>40</v>
      </c>
      <c r="D10" s="11" t="s">
        <v>66</v>
      </c>
      <c r="E10" s="10"/>
      <c r="F10" s="10">
        <v>4</v>
      </c>
      <c r="G10" s="14"/>
    </row>
    <row r="11" ht="22" customHeight="1" spans="1:8">
      <c r="A11" s="8">
        <v>9</v>
      </c>
      <c r="B11" s="9">
        <v>46100</v>
      </c>
      <c r="C11" s="10" t="s">
        <v>27</v>
      </c>
      <c r="D11" s="11" t="s">
        <v>66</v>
      </c>
      <c r="E11" s="13"/>
      <c r="F11" s="10">
        <v>4</v>
      </c>
      <c r="G11" s="15"/>
    </row>
    <row r="12" ht="22" customHeight="1" spans="1:8">
      <c r="A12" s="8">
        <v>10</v>
      </c>
      <c r="B12" s="9">
        <v>46100</v>
      </c>
      <c r="C12" s="10" t="s">
        <v>28</v>
      </c>
      <c r="D12" s="11" t="s">
        <v>66</v>
      </c>
      <c r="E12" s="13"/>
      <c r="F12" s="10">
        <v>4</v>
      </c>
      <c r="G12" s="15"/>
    </row>
    <row r="13" customFormat="1" ht="22" customHeight="1" spans="1:8">
      <c r="A13" s="8">
        <v>11</v>
      </c>
      <c r="B13" s="9">
        <v>46100</v>
      </c>
      <c r="C13" s="10" t="s">
        <v>29</v>
      </c>
      <c r="D13" s="11" t="s">
        <v>66</v>
      </c>
      <c r="E13" s="10">
        <v>2</v>
      </c>
      <c r="F13" s="10">
        <v>2</v>
      </c>
      <c r="G13" s="15"/>
    </row>
    <row r="14" customFormat="1" ht="22" customHeight="1" spans="1:8">
      <c r="A14" s="8">
        <v>12</v>
      </c>
      <c r="B14" s="9">
        <v>46100</v>
      </c>
      <c r="C14" s="26" t="s">
        <v>31</v>
      </c>
      <c r="D14" s="11" t="s">
        <v>66</v>
      </c>
      <c r="E14" s="10">
        <v>4</v>
      </c>
      <c r="F14" s="15"/>
      <c r="G14" s="15"/>
    </row>
    <row r="15" customFormat="1" ht="22" customHeight="1" spans="1:8">
      <c r="A15" s="8">
        <v>13</v>
      </c>
      <c r="B15" s="9">
        <v>46100</v>
      </c>
      <c r="C15" s="13" t="s">
        <v>32</v>
      </c>
      <c r="D15" s="11" t="s">
        <v>66</v>
      </c>
      <c r="E15" s="12">
        <v>4</v>
      </c>
      <c r="F15" s="15"/>
      <c r="G15" s="15"/>
      <c r="H15">
        <v>8</v>
      </c>
    </row>
    <row r="16" customFormat="1" ht="22" customHeight="1" spans="1:8">
      <c r="A16" s="8">
        <v>14</v>
      </c>
      <c r="B16" s="9">
        <v>46100</v>
      </c>
      <c r="C16" s="13" t="s">
        <v>34</v>
      </c>
      <c r="D16" s="11" t="s">
        <v>66</v>
      </c>
      <c r="E16" s="12"/>
      <c r="F16" s="15">
        <v>4</v>
      </c>
      <c r="G16" s="15"/>
      <c r="H16">
        <v>8</v>
      </c>
    </row>
    <row r="17" customFormat="1" ht="22" customHeight="1" spans="1:8">
      <c r="A17" s="8">
        <v>15</v>
      </c>
      <c r="B17" s="9">
        <v>46100</v>
      </c>
      <c r="C17" s="13" t="s">
        <v>35</v>
      </c>
      <c r="D17" s="11" t="s">
        <v>66</v>
      </c>
      <c r="E17" s="12"/>
      <c r="F17" s="15">
        <v>4</v>
      </c>
      <c r="G17" s="15"/>
      <c r="H17">
        <v>8</v>
      </c>
    </row>
    <row r="18" customFormat="1" ht="22" customHeight="1" spans="1:8">
      <c r="A18" s="8">
        <v>16</v>
      </c>
      <c r="B18" s="9">
        <v>46100</v>
      </c>
      <c r="C18" s="13" t="s">
        <v>36</v>
      </c>
      <c r="D18" s="11" t="s">
        <v>66</v>
      </c>
      <c r="E18" s="12">
        <v>2</v>
      </c>
      <c r="F18" s="15">
        <v>2</v>
      </c>
      <c r="G18" s="15"/>
      <c r="H18">
        <v>8</v>
      </c>
    </row>
    <row r="19" customFormat="1" ht="22" customHeight="1" spans="1:8">
      <c r="A19" s="8">
        <v>17</v>
      </c>
      <c r="B19" s="9">
        <v>46100</v>
      </c>
      <c r="C19" s="26" t="s">
        <v>41</v>
      </c>
      <c r="D19" s="11" t="s">
        <v>66</v>
      </c>
      <c r="E19" s="12"/>
      <c r="F19" s="15">
        <v>4</v>
      </c>
      <c r="G19" s="27"/>
    </row>
    <row r="20" customFormat="1" ht="22" customHeight="1" spans="1:8">
      <c r="A20" s="8">
        <v>18</v>
      </c>
      <c r="B20" s="9">
        <v>46100</v>
      </c>
      <c r="C20" s="13" t="s">
        <v>36</v>
      </c>
      <c r="D20" s="11" t="s">
        <v>66</v>
      </c>
      <c r="E20" s="12">
        <v>2</v>
      </c>
      <c r="F20" s="15">
        <v>2</v>
      </c>
      <c r="G20" s="15" t="s">
        <v>68</v>
      </c>
    </row>
    <row r="21" customFormat="1" ht="22" customHeight="1" spans="1:8">
      <c r="A21" s="8">
        <v>19</v>
      </c>
      <c r="B21" s="9">
        <v>46100</v>
      </c>
      <c r="C21" s="13" t="s">
        <v>35</v>
      </c>
      <c r="D21" s="11" t="s">
        <v>66</v>
      </c>
      <c r="E21" s="12"/>
      <c r="F21" s="15">
        <v>4</v>
      </c>
      <c r="G21" s="15" t="s">
        <v>68</v>
      </c>
    </row>
    <row r="22" customFormat="1" ht="22" customHeight="1" spans="1:8">
      <c r="A22" s="8">
        <v>20</v>
      </c>
      <c r="B22" s="9">
        <v>46100</v>
      </c>
      <c r="C22" s="13" t="s">
        <v>32</v>
      </c>
      <c r="D22" s="11" t="s">
        <v>66</v>
      </c>
      <c r="E22" s="12">
        <v>4</v>
      </c>
      <c r="F22" s="15"/>
      <c r="G22" s="15" t="s">
        <v>68</v>
      </c>
    </row>
    <row r="23" customFormat="1" ht="22" customHeight="1" spans="1:8">
      <c r="A23" s="8">
        <v>21</v>
      </c>
      <c r="B23" s="9">
        <v>46100</v>
      </c>
      <c r="C23" s="13" t="s">
        <v>34</v>
      </c>
      <c r="D23" s="11" t="s">
        <v>66</v>
      </c>
      <c r="E23" s="12"/>
      <c r="F23" s="15">
        <v>4</v>
      </c>
      <c r="G23" s="15" t="s">
        <v>68</v>
      </c>
    </row>
    <row r="24" customFormat="1" ht="22" customHeight="1" spans="1:8">
      <c r="A24" s="8">
        <v>22</v>
      </c>
      <c r="B24" s="9">
        <v>46100</v>
      </c>
      <c r="C24" s="13" t="s">
        <v>38</v>
      </c>
      <c r="D24" s="11" t="s">
        <v>66</v>
      </c>
      <c r="E24" s="12"/>
      <c r="F24" s="15">
        <v>4</v>
      </c>
      <c r="G24" s="15" t="s">
        <v>68</v>
      </c>
    </row>
    <row r="25" customFormat="1" ht="22" customHeight="1" spans="1:8">
      <c r="A25" s="8">
        <v>23</v>
      </c>
      <c r="B25" s="9">
        <v>46100</v>
      </c>
      <c r="C25" s="10" t="s">
        <v>40</v>
      </c>
      <c r="D25" s="11" t="s">
        <v>66</v>
      </c>
      <c r="E25" s="12">
        <v>2</v>
      </c>
      <c r="F25" s="15">
        <v>2</v>
      </c>
      <c r="G25" s="15" t="s">
        <v>68</v>
      </c>
    </row>
    <row r="26" s="25" customFormat="1" ht="22" customHeight="1" spans="1:8">
      <c r="A26" s="28"/>
      <c r="B26" s="29">
        <v>46100</v>
      </c>
      <c r="C26" s="30" t="s">
        <v>41</v>
      </c>
      <c r="D26" s="31" t="s">
        <v>68</v>
      </c>
      <c r="E26" s="32"/>
      <c r="F26" s="33">
        <v>4</v>
      </c>
      <c r="G26" s="15" t="s">
        <v>68</v>
      </c>
      <c r="H26" s="34"/>
    </row>
    <row r="27" customFormat="1" ht="22" customHeight="1" spans="1:8">
      <c r="A27" s="8"/>
      <c r="B27" s="17"/>
      <c r="C27" s="26"/>
      <c r="D27" s="18"/>
      <c r="E27" s="19"/>
      <c r="F27" s="20"/>
      <c r="G27" s="20"/>
    </row>
    <row r="28" ht="13.5" spans="1:8">
      <c r="E28" s="21">
        <f>SUM(E3:E27)</f>
        <v>30</v>
      </c>
      <c r="F28" s="21">
        <f>SUM(F3:F27)</f>
        <v>66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2" workbookViewId="0">
      <selection activeCell="D21" sqref="D21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46104</v>
      </c>
      <c r="C3" s="10" t="s">
        <v>16</v>
      </c>
      <c r="D3" s="11" t="s">
        <v>65</v>
      </c>
      <c r="E3" s="10">
        <v>2</v>
      </c>
      <c r="F3" s="10">
        <v>1</v>
      </c>
      <c r="G3" s="12" t="s">
        <v>69</v>
      </c>
    </row>
    <row r="4" ht="22" customHeight="1" spans="1:7">
      <c r="A4" s="8">
        <v>2</v>
      </c>
      <c r="B4" s="9">
        <v>46104</v>
      </c>
      <c r="C4" s="10" t="s">
        <v>19</v>
      </c>
      <c r="D4" s="11" t="s">
        <v>65</v>
      </c>
      <c r="E4" s="13"/>
      <c r="F4" s="10">
        <v>3</v>
      </c>
      <c r="G4" s="14"/>
    </row>
    <row r="5" ht="22" customHeight="1" spans="1:7">
      <c r="A5" s="8">
        <v>3</v>
      </c>
      <c r="B5" s="9">
        <v>46104</v>
      </c>
      <c r="C5" s="10" t="s">
        <v>60</v>
      </c>
      <c r="D5" s="11" t="s">
        <v>65</v>
      </c>
      <c r="E5" s="13"/>
      <c r="F5" s="10">
        <v>3</v>
      </c>
      <c r="G5" s="14"/>
    </row>
    <row r="6" ht="22" customHeight="1" spans="1:7">
      <c r="A6" s="8">
        <v>4</v>
      </c>
      <c r="B6" s="9">
        <v>46104</v>
      </c>
      <c r="C6" s="10" t="s">
        <v>22</v>
      </c>
      <c r="D6" s="11" t="s">
        <v>65</v>
      </c>
      <c r="E6" s="10">
        <v>3</v>
      </c>
      <c r="F6" s="13"/>
      <c r="G6" s="14"/>
    </row>
    <row r="7" ht="22" customHeight="1" spans="1:7">
      <c r="A7" s="8">
        <v>5</v>
      </c>
      <c r="B7" s="9">
        <v>46104</v>
      </c>
      <c r="C7" s="10" t="s">
        <v>24</v>
      </c>
      <c r="D7" s="11" t="s">
        <v>65</v>
      </c>
      <c r="E7" s="13"/>
      <c r="F7" s="10">
        <v>3</v>
      </c>
      <c r="G7" s="14"/>
    </row>
    <row r="8" ht="22" customHeight="1" spans="1:7">
      <c r="A8" s="8">
        <v>6</v>
      </c>
      <c r="B8" s="9">
        <v>46104</v>
      </c>
      <c r="C8" s="10" t="s">
        <v>26</v>
      </c>
      <c r="D8" s="11" t="s">
        <v>65</v>
      </c>
      <c r="E8" s="10">
        <v>3</v>
      </c>
      <c r="F8" s="10"/>
      <c r="G8" s="14"/>
    </row>
    <row r="9" ht="22" customHeight="1" spans="1:7">
      <c r="A9" s="8">
        <v>7</v>
      </c>
      <c r="B9" s="9">
        <v>46104</v>
      </c>
      <c r="C9" s="10" t="s">
        <v>40</v>
      </c>
      <c r="D9" s="11" t="s">
        <v>65</v>
      </c>
      <c r="E9" s="10"/>
      <c r="F9" s="10">
        <v>3</v>
      </c>
      <c r="G9" s="14"/>
    </row>
    <row r="10" ht="22" customHeight="1" spans="1:7">
      <c r="A10" s="8">
        <v>8</v>
      </c>
      <c r="B10" s="9">
        <v>46104</v>
      </c>
      <c r="C10" s="10" t="s">
        <v>27</v>
      </c>
      <c r="D10" s="11" t="s">
        <v>65</v>
      </c>
      <c r="E10" s="13"/>
      <c r="F10" s="10">
        <v>3</v>
      </c>
      <c r="G10" s="15"/>
    </row>
    <row r="11" ht="22" customHeight="1" spans="1:7">
      <c r="A11" s="8">
        <v>9</v>
      </c>
      <c r="B11" s="9">
        <v>46104</v>
      </c>
      <c r="C11" s="10" t="s">
        <v>28</v>
      </c>
      <c r="D11" s="11" t="s">
        <v>65</v>
      </c>
      <c r="E11" s="13"/>
      <c r="F11" s="10">
        <v>3</v>
      </c>
      <c r="G11" s="15"/>
    </row>
    <row r="12" customFormat="1" ht="22" customHeight="1" spans="1:7">
      <c r="A12" s="8">
        <v>10</v>
      </c>
      <c r="B12" s="9">
        <v>46104</v>
      </c>
      <c r="C12" s="10" t="s">
        <v>29</v>
      </c>
      <c r="D12" s="11" t="s">
        <v>65</v>
      </c>
      <c r="E12" s="10">
        <v>2</v>
      </c>
      <c r="F12" s="10">
        <v>1</v>
      </c>
      <c r="G12" s="15"/>
    </row>
    <row r="13" customFormat="1" ht="22" customHeight="1" spans="1:7">
      <c r="A13" s="8">
        <v>11</v>
      </c>
      <c r="B13" s="9">
        <v>46104</v>
      </c>
      <c r="C13" s="10" t="s">
        <v>31</v>
      </c>
      <c r="D13" s="11" t="s">
        <v>65</v>
      </c>
      <c r="E13" s="10">
        <v>3</v>
      </c>
      <c r="F13" s="15"/>
      <c r="G13" s="15"/>
    </row>
    <row r="14" customFormat="1" ht="22" customHeight="1" spans="1:7">
      <c r="A14" s="8">
        <v>12</v>
      </c>
      <c r="B14" s="9">
        <v>46104</v>
      </c>
      <c r="C14" s="10" t="s">
        <v>32</v>
      </c>
      <c r="D14" s="11" t="s">
        <v>65</v>
      </c>
      <c r="E14" s="12">
        <v>3</v>
      </c>
      <c r="F14" s="15"/>
      <c r="G14" s="15"/>
    </row>
    <row r="15" customFormat="1" ht="22" customHeight="1" spans="1:7">
      <c r="A15" s="8">
        <v>13</v>
      </c>
      <c r="B15" s="9">
        <v>46104</v>
      </c>
      <c r="C15" s="10" t="s">
        <v>34</v>
      </c>
      <c r="D15" s="11" t="s">
        <v>65</v>
      </c>
      <c r="E15" s="12"/>
      <c r="F15" s="15">
        <v>3</v>
      </c>
      <c r="G15" s="15"/>
    </row>
    <row r="16" customFormat="1" ht="22" customHeight="1" spans="1:7">
      <c r="A16" s="8">
        <v>14</v>
      </c>
      <c r="B16" s="9">
        <v>46104</v>
      </c>
      <c r="C16" s="10" t="s">
        <v>35</v>
      </c>
      <c r="D16" s="11" t="s">
        <v>65</v>
      </c>
      <c r="E16" s="12"/>
      <c r="F16" s="15">
        <v>3</v>
      </c>
      <c r="G16" s="15"/>
    </row>
    <row r="17" customFormat="1" ht="22" customHeight="1" spans="1:7">
      <c r="A17" s="8">
        <v>15</v>
      </c>
      <c r="B17" s="9">
        <v>46104</v>
      </c>
      <c r="C17" s="10" t="s">
        <v>36</v>
      </c>
      <c r="D17" s="11" t="s">
        <v>65</v>
      </c>
      <c r="E17" s="12">
        <v>2</v>
      </c>
      <c r="F17" s="15">
        <v>1</v>
      </c>
      <c r="G17" s="15"/>
    </row>
    <row r="18" customFormat="1" ht="22" customHeight="1" spans="1:7">
      <c r="A18" s="8">
        <v>16</v>
      </c>
      <c r="B18" s="9">
        <v>46104</v>
      </c>
      <c r="C18" s="10" t="s">
        <v>38</v>
      </c>
      <c r="D18" s="11" t="s">
        <v>65</v>
      </c>
      <c r="E18" s="12"/>
      <c r="F18" s="15">
        <v>3</v>
      </c>
      <c r="G18" s="15"/>
    </row>
    <row r="19" customFormat="1" ht="22" customHeight="1" spans="1:7">
      <c r="A19" s="8">
        <v>17</v>
      </c>
      <c r="B19" s="9">
        <v>46104</v>
      </c>
      <c r="C19" s="10" t="s">
        <v>41</v>
      </c>
      <c r="D19" s="11" t="s">
        <v>65</v>
      </c>
      <c r="E19" s="12"/>
      <c r="F19" s="15">
        <v>3</v>
      </c>
      <c r="G19" s="15"/>
    </row>
    <row r="20" customFormat="1" ht="22" customHeight="1" spans="1:7">
      <c r="A20" s="8">
        <v>18</v>
      </c>
      <c r="B20" s="9">
        <v>46104</v>
      </c>
      <c r="C20" s="10" t="s">
        <v>43</v>
      </c>
      <c r="D20" s="11" t="s">
        <v>65</v>
      </c>
      <c r="E20" s="12">
        <v>3</v>
      </c>
      <c r="F20" s="15"/>
      <c r="G20" s="15"/>
    </row>
    <row r="21" customFormat="1" ht="22" customHeight="1" spans="1:7">
      <c r="A21" s="8"/>
      <c r="B21" s="9"/>
      <c r="C21" s="10"/>
      <c r="D21" s="11"/>
      <c r="E21" s="12"/>
      <c r="F21" s="15"/>
      <c r="G21" s="15"/>
    </row>
    <row r="22" customFormat="1" ht="22" customHeight="1" spans="1:7">
      <c r="A22" s="8"/>
      <c r="B22" s="9"/>
      <c r="C22" s="10"/>
      <c r="D22" s="11"/>
      <c r="E22" s="12"/>
      <c r="F22" s="15"/>
      <c r="G22" s="15"/>
    </row>
    <row r="23" customFormat="1" ht="22" customHeight="1" spans="1:7">
      <c r="A23" s="8"/>
      <c r="B23" s="9"/>
      <c r="C23" s="10"/>
      <c r="D23" s="11"/>
      <c r="E23" s="12"/>
      <c r="F23" s="15"/>
      <c r="G23" s="15"/>
    </row>
    <row r="24" customFormat="1" ht="22" customHeight="1" spans="1:7">
      <c r="A24" s="8"/>
      <c r="B24" s="17"/>
      <c r="C24" s="10"/>
      <c r="D24" s="18"/>
      <c r="E24" s="19"/>
      <c r="F24" s="20"/>
      <c r="G24" s="20"/>
    </row>
    <row r="25" customFormat="1" ht="13.5" spans="1:7">
      <c r="E25" s="21">
        <f>SUM(E3:E24)</f>
        <v>21</v>
      </c>
      <c r="F25" s="21">
        <f>SUM(F3:F24)</f>
        <v>33</v>
      </c>
    </row>
    <row r="27" ht="26" customHeight="1" spans="1:7">
      <c r="C27" s="22" t="s">
        <v>70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5" workbookViewId="0">
      <selection activeCell="C19" sqref="C1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8">
      <c r="A3" s="8">
        <v>1</v>
      </c>
      <c r="B3" s="9">
        <v>46107</v>
      </c>
      <c r="C3" s="10" t="s">
        <v>16</v>
      </c>
      <c r="D3" s="11" t="s">
        <v>66</v>
      </c>
      <c r="E3" s="10">
        <v>2</v>
      </c>
      <c r="F3" s="10">
        <v>2</v>
      </c>
      <c r="G3" s="12"/>
      <c r="H3">
        <f t="shared" ref="H3:H23" si="0">SUM(E3:F3)</f>
        <v>4</v>
      </c>
    </row>
    <row r="4" ht="22" customHeight="1" spans="1:8">
      <c r="A4" s="8">
        <v>2</v>
      </c>
      <c r="B4" s="9">
        <v>46107</v>
      </c>
      <c r="C4" s="10" t="s">
        <v>19</v>
      </c>
      <c r="D4" s="11" t="s">
        <v>66</v>
      </c>
      <c r="E4" s="13"/>
      <c r="F4" s="10">
        <v>4</v>
      </c>
      <c r="G4" s="14"/>
      <c r="H4">
        <f t="shared" si="0"/>
        <v>4</v>
      </c>
    </row>
    <row r="5" ht="22" customHeight="1" spans="1:8">
      <c r="A5" s="8">
        <v>3</v>
      </c>
      <c r="B5" s="9">
        <v>46107</v>
      </c>
      <c r="C5" s="10" t="s">
        <v>60</v>
      </c>
      <c r="D5" s="11" t="s">
        <v>66</v>
      </c>
      <c r="E5" s="13"/>
      <c r="F5" s="10">
        <v>4</v>
      </c>
      <c r="G5" s="14"/>
      <c r="H5">
        <f t="shared" si="0"/>
        <v>4</v>
      </c>
    </row>
    <row r="6" ht="22" customHeight="1" spans="1:8">
      <c r="A6" s="8">
        <v>4</v>
      </c>
      <c r="B6" s="9">
        <v>46107</v>
      </c>
      <c r="C6" s="10" t="s">
        <v>22</v>
      </c>
      <c r="D6" s="11" t="s">
        <v>66</v>
      </c>
      <c r="E6" s="10">
        <v>4</v>
      </c>
      <c r="F6" s="13"/>
      <c r="G6" s="14"/>
      <c r="H6">
        <f t="shared" si="0"/>
        <v>4</v>
      </c>
    </row>
    <row r="7" ht="22" customHeight="1" spans="1:8">
      <c r="A7" s="8">
        <v>5</v>
      </c>
      <c r="B7" s="9">
        <v>46107</v>
      </c>
      <c r="C7" s="10" t="s">
        <v>24</v>
      </c>
      <c r="D7" s="11" t="s">
        <v>66</v>
      </c>
      <c r="E7" s="13"/>
      <c r="F7" s="10">
        <v>4</v>
      </c>
      <c r="G7" s="14"/>
      <c r="H7">
        <f t="shared" si="0"/>
        <v>4</v>
      </c>
    </row>
    <row r="8" ht="22" customHeight="1" spans="1:8">
      <c r="A8" s="8">
        <v>6</v>
      </c>
      <c r="B8" s="9">
        <v>46107</v>
      </c>
      <c r="C8" s="10" t="s">
        <v>26</v>
      </c>
      <c r="D8" s="11" t="s">
        <v>66</v>
      </c>
      <c r="E8" s="10">
        <v>4</v>
      </c>
      <c r="F8" s="10"/>
      <c r="G8" s="14"/>
      <c r="H8">
        <f t="shared" si="0"/>
        <v>4</v>
      </c>
    </row>
    <row r="9" ht="22" customHeight="1" spans="1:8">
      <c r="A9" s="8">
        <v>7</v>
      </c>
      <c r="B9" s="9">
        <v>46107</v>
      </c>
      <c r="C9" s="10" t="s">
        <v>40</v>
      </c>
      <c r="D9" s="11" t="s">
        <v>66</v>
      </c>
      <c r="E9" s="10"/>
      <c r="F9" s="10">
        <v>4</v>
      </c>
      <c r="G9" s="14"/>
      <c r="H9">
        <f t="shared" si="0"/>
        <v>4</v>
      </c>
    </row>
    <row r="10" ht="22" customHeight="1" spans="1:8">
      <c r="A10" s="8">
        <v>8</v>
      </c>
      <c r="B10" s="9">
        <v>46107</v>
      </c>
      <c r="C10" s="10" t="s">
        <v>27</v>
      </c>
      <c r="D10" s="11" t="s">
        <v>66</v>
      </c>
      <c r="E10" s="13"/>
      <c r="F10" s="10">
        <v>4</v>
      </c>
      <c r="G10" s="15"/>
      <c r="H10">
        <f t="shared" si="0"/>
        <v>4</v>
      </c>
    </row>
    <row r="11" ht="22" customHeight="1" spans="1:8">
      <c r="A11" s="8">
        <v>9</v>
      </c>
      <c r="B11" s="9">
        <v>46107</v>
      </c>
      <c r="C11" s="10" t="s">
        <v>28</v>
      </c>
      <c r="D11" s="11" t="s">
        <v>66</v>
      </c>
      <c r="E11" s="13"/>
      <c r="F11" s="10">
        <v>4</v>
      </c>
      <c r="G11" s="15"/>
      <c r="H11">
        <f t="shared" si="0"/>
        <v>4</v>
      </c>
    </row>
    <row r="12" customFormat="1" ht="22" customHeight="1" spans="1:8">
      <c r="A12" s="8">
        <v>10</v>
      </c>
      <c r="B12" s="9">
        <v>46107</v>
      </c>
      <c r="C12" s="10" t="s">
        <v>29</v>
      </c>
      <c r="D12" s="11" t="s">
        <v>66</v>
      </c>
      <c r="E12" s="10">
        <v>2</v>
      </c>
      <c r="F12" s="10">
        <v>2</v>
      </c>
      <c r="G12" s="15"/>
      <c r="H12">
        <f t="shared" si="0"/>
        <v>4</v>
      </c>
    </row>
    <row r="13" customFormat="1" ht="22" customHeight="1" spans="1:8">
      <c r="A13" s="8">
        <v>11</v>
      </c>
      <c r="B13" s="9">
        <v>46107</v>
      </c>
      <c r="C13" s="10" t="s">
        <v>31</v>
      </c>
      <c r="D13" s="11" t="s">
        <v>66</v>
      </c>
      <c r="E13" s="10">
        <v>4</v>
      </c>
      <c r="F13" s="15"/>
      <c r="G13" s="15"/>
      <c r="H13">
        <f t="shared" si="0"/>
        <v>4</v>
      </c>
    </row>
    <row r="14" customFormat="1" ht="22" customHeight="1" spans="1:8">
      <c r="A14" s="8">
        <v>12</v>
      </c>
      <c r="B14" s="9">
        <v>46107</v>
      </c>
      <c r="C14" s="10" t="s">
        <v>71</v>
      </c>
      <c r="D14" s="11" t="s">
        <v>66</v>
      </c>
      <c r="E14" s="10">
        <v>4</v>
      </c>
      <c r="F14" s="15"/>
      <c r="G14" s="15"/>
      <c r="H14">
        <f t="shared" si="0"/>
        <v>4</v>
      </c>
    </row>
    <row r="15" customFormat="1" ht="22" customHeight="1" spans="1:8">
      <c r="A15" s="8">
        <v>13</v>
      </c>
      <c r="B15" s="9">
        <v>46107</v>
      </c>
      <c r="C15" s="10" t="s">
        <v>34</v>
      </c>
      <c r="D15" s="11" t="s">
        <v>66</v>
      </c>
      <c r="E15" s="12"/>
      <c r="F15" s="10">
        <v>4</v>
      </c>
      <c r="G15" s="15"/>
      <c r="H15">
        <f t="shared" si="0"/>
        <v>4</v>
      </c>
    </row>
    <row r="16" customFormat="1" ht="22" customHeight="1" spans="1:8">
      <c r="A16" s="8">
        <v>14</v>
      </c>
      <c r="B16" s="9">
        <v>46107</v>
      </c>
      <c r="C16" s="10" t="s">
        <v>35</v>
      </c>
      <c r="D16" s="11" t="s">
        <v>66</v>
      </c>
      <c r="E16" s="12"/>
      <c r="F16" s="10">
        <v>4</v>
      </c>
      <c r="G16" s="15"/>
      <c r="H16">
        <f t="shared" si="0"/>
        <v>4</v>
      </c>
    </row>
    <row r="17" customFormat="1" ht="22" customHeight="1" spans="1:9">
      <c r="A17" s="8">
        <v>15</v>
      </c>
      <c r="B17" s="9">
        <v>46107</v>
      </c>
      <c r="C17" s="10" t="s">
        <v>36</v>
      </c>
      <c r="D17" s="11" t="s">
        <v>66</v>
      </c>
      <c r="E17" s="10">
        <v>2</v>
      </c>
      <c r="F17" s="10">
        <v>2</v>
      </c>
      <c r="G17" s="15"/>
      <c r="H17">
        <f t="shared" si="0"/>
        <v>4</v>
      </c>
    </row>
    <row r="18" customFormat="1" ht="22" customHeight="1" spans="1:9">
      <c r="A18" s="8">
        <v>16</v>
      </c>
      <c r="B18" s="9">
        <v>46107</v>
      </c>
      <c r="C18" s="10" t="s">
        <v>38</v>
      </c>
      <c r="D18" s="11" t="s">
        <v>66</v>
      </c>
      <c r="E18" s="12"/>
      <c r="F18" s="10">
        <v>4</v>
      </c>
      <c r="G18" s="15"/>
      <c r="H18">
        <f t="shared" si="0"/>
        <v>4</v>
      </c>
    </row>
    <row r="19" customFormat="1" ht="22" customHeight="1" spans="1:9">
      <c r="A19" s="8">
        <v>17</v>
      </c>
      <c r="B19" s="9">
        <v>46107</v>
      </c>
      <c r="C19" s="10" t="s">
        <v>41</v>
      </c>
      <c r="D19" s="11" t="s">
        <v>66</v>
      </c>
      <c r="E19" s="12"/>
      <c r="F19" s="10">
        <v>4</v>
      </c>
      <c r="G19" s="15"/>
      <c r="H19">
        <f t="shared" si="0"/>
        <v>4</v>
      </c>
    </row>
    <row r="20" customFormat="1" ht="22" customHeight="1" spans="1:9">
      <c r="A20" s="8">
        <v>18</v>
      </c>
      <c r="B20" s="9">
        <v>46107</v>
      </c>
      <c r="C20" s="10" t="s">
        <v>43</v>
      </c>
      <c r="D20" s="11" t="s">
        <v>66</v>
      </c>
      <c r="E20" s="10">
        <v>4</v>
      </c>
      <c r="F20" s="15"/>
      <c r="G20" s="15"/>
      <c r="H20">
        <f t="shared" si="0"/>
        <v>4</v>
      </c>
    </row>
    <row r="21" customFormat="1" ht="22" customHeight="1" spans="1:9">
      <c r="A21" s="8">
        <v>19</v>
      </c>
      <c r="B21" s="9">
        <v>46107</v>
      </c>
      <c r="C21" s="10" t="s">
        <v>43</v>
      </c>
      <c r="D21" s="11" t="s">
        <v>66</v>
      </c>
      <c r="E21" s="10">
        <v>4</v>
      </c>
      <c r="F21" s="15"/>
      <c r="G21" s="15" t="s">
        <v>68</v>
      </c>
      <c r="H21">
        <f t="shared" si="0"/>
        <v>4</v>
      </c>
      <c r="I21" s="16" t="s">
        <v>72</v>
      </c>
    </row>
    <row r="22" customFormat="1" ht="22" customHeight="1" spans="1:9">
      <c r="A22" s="8">
        <v>20</v>
      </c>
      <c r="B22" s="9">
        <v>46107</v>
      </c>
      <c r="C22" s="10" t="s">
        <v>45</v>
      </c>
      <c r="D22" s="11" t="s">
        <v>66</v>
      </c>
      <c r="E22" s="12"/>
      <c r="F22" s="15">
        <v>4</v>
      </c>
      <c r="G22" s="15"/>
      <c r="H22">
        <f t="shared" si="0"/>
        <v>4</v>
      </c>
    </row>
    <row r="23" customFormat="1" ht="22" customHeight="1" spans="1:9">
      <c r="A23" s="8">
        <v>21</v>
      </c>
      <c r="B23" s="9">
        <v>46107</v>
      </c>
      <c r="C23" s="10" t="s">
        <v>46</v>
      </c>
      <c r="D23" s="11" t="s">
        <v>66</v>
      </c>
      <c r="E23" s="12"/>
      <c r="F23" s="15">
        <v>4</v>
      </c>
      <c r="G23" s="15"/>
      <c r="H23">
        <f t="shared" si="0"/>
        <v>4</v>
      </c>
    </row>
    <row r="24" customFormat="1" ht="22" customHeight="1" spans="1:9">
      <c r="A24" s="8"/>
      <c r="B24" s="9"/>
      <c r="C24" s="10"/>
      <c r="D24" s="11"/>
      <c r="E24" s="12"/>
      <c r="F24" s="15"/>
      <c r="G24" s="15"/>
    </row>
    <row r="25" customFormat="1" ht="22" customHeight="1" spans="1:9">
      <c r="A25" s="8"/>
      <c r="B25" s="17"/>
      <c r="C25" s="10"/>
      <c r="D25" s="18"/>
      <c r="E25" s="19"/>
      <c r="F25" s="20"/>
      <c r="G25" s="20"/>
    </row>
    <row r="26" customFormat="1" ht="13.5" spans="1:9">
      <c r="E26" s="21">
        <f>SUM(E3:E25)</f>
        <v>30</v>
      </c>
      <c r="F26" s="21">
        <f>SUM(F3:F25)</f>
        <v>54</v>
      </c>
    </row>
    <row r="28" customFormat="1" ht="26" customHeight="1" spans="1:9">
      <c r="C28" s="22" t="s">
        <v>70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15" sqref="G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46111</v>
      </c>
      <c r="C3" s="10" t="s">
        <v>16</v>
      </c>
      <c r="D3" s="11" t="s">
        <v>65</v>
      </c>
      <c r="E3" s="10">
        <v>2</v>
      </c>
      <c r="F3" s="10">
        <v>1</v>
      </c>
      <c r="G3" s="23" t="s">
        <v>73</v>
      </c>
    </row>
    <row r="4" ht="22" customHeight="1" spans="1:7">
      <c r="A4" s="8">
        <v>2</v>
      </c>
      <c r="B4" s="9">
        <v>46111</v>
      </c>
      <c r="C4" s="10" t="s">
        <v>19</v>
      </c>
      <c r="D4" s="11" t="s">
        <v>65</v>
      </c>
      <c r="E4" s="13"/>
      <c r="F4" s="10">
        <v>3</v>
      </c>
      <c r="G4" s="14"/>
    </row>
    <row r="5" ht="22" customHeight="1" spans="1:7">
      <c r="A5" s="8">
        <v>3</v>
      </c>
      <c r="B5" s="9">
        <v>46111</v>
      </c>
      <c r="C5" s="10" t="s">
        <v>60</v>
      </c>
      <c r="D5" s="11" t="s">
        <v>65</v>
      </c>
      <c r="E5" s="13"/>
      <c r="F5" s="10">
        <v>3</v>
      </c>
      <c r="G5" s="14"/>
    </row>
    <row r="6" ht="22" customHeight="1" spans="1:7">
      <c r="A6" s="8">
        <v>4</v>
      </c>
      <c r="B6" s="9">
        <v>46111</v>
      </c>
      <c r="C6" s="10" t="s">
        <v>22</v>
      </c>
      <c r="D6" s="11" t="s">
        <v>65</v>
      </c>
      <c r="E6" s="10">
        <v>3</v>
      </c>
      <c r="F6" s="13"/>
      <c r="G6" s="14"/>
    </row>
    <row r="7" ht="22" customHeight="1" spans="1:7">
      <c r="A7" s="8">
        <v>5</v>
      </c>
      <c r="B7" s="9">
        <v>46111</v>
      </c>
      <c r="C7" s="10" t="s">
        <v>24</v>
      </c>
      <c r="D7" s="11" t="s">
        <v>65</v>
      </c>
      <c r="E7" s="13"/>
      <c r="F7" s="10">
        <v>3</v>
      </c>
      <c r="G7" s="14"/>
    </row>
    <row r="8" ht="22" customHeight="1" spans="1:7">
      <c r="A8" s="8">
        <v>6</v>
      </c>
      <c r="B8" s="9">
        <v>46111</v>
      </c>
      <c r="C8" s="10" t="s">
        <v>26</v>
      </c>
      <c r="D8" s="11" t="s">
        <v>65</v>
      </c>
      <c r="E8" s="10">
        <v>3</v>
      </c>
      <c r="F8" s="10"/>
      <c r="G8" s="14"/>
    </row>
    <row r="9" ht="22" customHeight="1" spans="1:7">
      <c r="A9" s="8">
        <v>7</v>
      </c>
      <c r="B9" s="9">
        <v>46111</v>
      </c>
      <c r="C9" s="10" t="s">
        <v>40</v>
      </c>
      <c r="D9" s="11" t="s">
        <v>65</v>
      </c>
      <c r="E9" s="10"/>
      <c r="F9" s="10">
        <v>3</v>
      </c>
      <c r="G9" s="14"/>
    </row>
    <row r="10" ht="22" customHeight="1" spans="1:7">
      <c r="A10" s="8">
        <v>8</v>
      </c>
      <c r="B10" s="9">
        <v>46111</v>
      </c>
      <c r="C10" s="10" t="s">
        <v>27</v>
      </c>
      <c r="D10" s="11" t="s">
        <v>65</v>
      </c>
      <c r="E10" s="13"/>
      <c r="F10" s="10">
        <v>3</v>
      </c>
      <c r="G10" s="15"/>
    </row>
    <row r="11" ht="22" customHeight="1" spans="1:7">
      <c r="A11" s="8">
        <v>9</v>
      </c>
      <c r="B11" s="9">
        <v>46111</v>
      </c>
      <c r="C11" s="10" t="s">
        <v>28</v>
      </c>
      <c r="D11" s="11" t="s">
        <v>65</v>
      </c>
      <c r="E11" s="13"/>
      <c r="F11" s="10">
        <v>3</v>
      </c>
      <c r="G11" s="15"/>
    </row>
    <row r="12" customFormat="1" ht="22" customHeight="1" spans="1:7">
      <c r="A12" s="8">
        <v>10</v>
      </c>
      <c r="B12" s="9">
        <v>46111</v>
      </c>
      <c r="C12" s="10" t="s">
        <v>29</v>
      </c>
      <c r="D12" s="11" t="s">
        <v>65</v>
      </c>
      <c r="E12" s="10">
        <v>2</v>
      </c>
      <c r="F12" s="10">
        <v>1</v>
      </c>
      <c r="G12" s="15"/>
    </row>
    <row r="13" customFormat="1" ht="22" customHeight="1" spans="1:7">
      <c r="A13" s="8">
        <v>11</v>
      </c>
      <c r="B13" s="9">
        <v>46111</v>
      </c>
      <c r="C13" s="10" t="s">
        <v>31</v>
      </c>
      <c r="D13" s="11" t="s">
        <v>65</v>
      </c>
      <c r="E13" s="10">
        <v>3</v>
      </c>
      <c r="F13" s="15"/>
      <c r="G13" s="15"/>
    </row>
    <row r="14" customFormat="1" ht="22" customHeight="1" spans="1:7">
      <c r="A14" s="8">
        <v>12</v>
      </c>
      <c r="B14" s="9">
        <v>46111</v>
      </c>
      <c r="C14" s="10" t="s">
        <v>32</v>
      </c>
      <c r="D14" s="11" t="s">
        <v>65</v>
      </c>
      <c r="E14" s="12">
        <v>3</v>
      </c>
      <c r="F14" s="15"/>
      <c r="G14" s="15"/>
    </row>
    <row r="15" customFormat="1" ht="22" customHeight="1" spans="1:7">
      <c r="A15" s="8">
        <v>13</v>
      </c>
      <c r="B15" s="9">
        <v>46111</v>
      </c>
      <c r="C15" s="10" t="s">
        <v>34</v>
      </c>
      <c r="D15" s="11" t="s">
        <v>65</v>
      </c>
      <c r="E15" s="12"/>
      <c r="F15" s="15">
        <v>3</v>
      </c>
      <c r="G15" s="15"/>
    </row>
    <row r="16" customFormat="1" ht="22" customHeight="1" spans="1:7">
      <c r="A16" s="8">
        <v>14</v>
      </c>
      <c r="B16" s="9">
        <v>46111</v>
      </c>
      <c r="C16" s="10" t="s">
        <v>35</v>
      </c>
      <c r="D16" s="11" t="s">
        <v>65</v>
      </c>
      <c r="E16" s="12"/>
      <c r="F16" s="15">
        <v>3</v>
      </c>
      <c r="G16" s="15"/>
    </row>
    <row r="17" customFormat="1" ht="22" customHeight="1" spans="1:8">
      <c r="A17" s="8">
        <v>15</v>
      </c>
      <c r="B17" s="9">
        <v>46111</v>
      </c>
      <c r="C17" s="10" t="s">
        <v>36</v>
      </c>
      <c r="D17" s="11" t="s">
        <v>65</v>
      </c>
      <c r="E17" s="12">
        <v>2</v>
      </c>
      <c r="F17" s="15">
        <v>1</v>
      </c>
      <c r="G17" s="15"/>
    </row>
    <row r="18" customFormat="1" ht="22" customHeight="1" spans="1:8">
      <c r="A18" s="8">
        <v>16</v>
      </c>
      <c r="B18" s="9">
        <v>46111</v>
      </c>
      <c r="C18" s="10" t="s">
        <v>38</v>
      </c>
      <c r="D18" s="11" t="s">
        <v>65</v>
      </c>
      <c r="E18" s="12"/>
      <c r="F18" s="15">
        <v>3</v>
      </c>
      <c r="G18" s="15"/>
    </row>
    <row r="19" customFormat="1" ht="22" customHeight="1" spans="1:8">
      <c r="A19" s="8">
        <v>17</v>
      </c>
      <c r="B19" s="9">
        <v>46111</v>
      </c>
      <c r="C19" s="10" t="s">
        <v>41</v>
      </c>
      <c r="D19" s="11" t="s">
        <v>65</v>
      </c>
      <c r="E19" s="12"/>
      <c r="F19" s="15">
        <v>3</v>
      </c>
      <c r="G19" s="15"/>
    </row>
    <row r="20" customFormat="1" ht="22" customHeight="1" spans="1:8">
      <c r="A20" s="8">
        <v>18</v>
      </c>
      <c r="B20" s="9">
        <v>46111</v>
      </c>
      <c r="C20" s="10" t="s">
        <v>43</v>
      </c>
      <c r="D20" s="11" t="s">
        <v>65</v>
      </c>
      <c r="E20" s="12">
        <v>3</v>
      </c>
      <c r="F20" s="15"/>
      <c r="G20" s="15"/>
    </row>
    <row r="21" customFormat="1" ht="22" customHeight="1" spans="1:8">
      <c r="A21" s="8">
        <v>19</v>
      </c>
      <c r="B21" s="9">
        <v>46111</v>
      </c>
      <c r="C21" s="10" t="s">
        <v>43</v>
      </c>
      <c r="D21" s="11" t="s">
        <v>65</v>
      </c>
      <c r="E21" s="10">
        <v>3</v>
      </c>
      <c r="F21" s="15"/>
      <c r="G21" s="15" t="s">
        <v>68</v>
      </c>
      <c r="H21" s="16" t="s">
        <v>74</v>
      </c>
    </row>
    <row r="22" customFormat="1" ht="22" customHeight="1" spans="1:8">
      <c r="A22" s="8">
        <v>20</v>
      </c>
      <c r="B22" s="9">
        <v>46111</v>
      </c>
      <c r="C22" s="10" t="s">
        <v>45</v>
      </c>
      <c r="D22" s="11" t="s">
        <v>65</v>
      </c>
      <c r="E22" s="12"/>
      <c r="F22" s="12">
        <v>3</v>
      </c>
      <c r="G22" s="15"/>
    </row>
    <row r="23" customFormat="1" ht="22" customHeight="1" spans="1:8">
      <c r="A23" s="8">
        <v>21</v>
      </c>
      <c r="B23" s="9">
        <v>46111</v>
      </c>
      <c r="C23" s="10" t="s">
        <v>46</v>
      </c>
      <c r="D23" s="11" t="s">
        <v>65</v>
      </c>
      <c r="E23" s="12"/>
      <c r="F23" s="12">
        <v>3</v>
      </c>
      <c r="G23" s="15"/>
    </row>
    <row r="24" customFormat="1" ht="22" customHeight="1" spans="1:8">
      <c r="A24" s="8">
        <v>22</v>
      </c>
      <c r="B24" s="9">
        <v>46111</v>
      </c>
      <c r="C24" s="10" t="s">
        <v>45</v>
      </c>
      <c r="D24" s="11" t="s">
        <v>65</v>
      </c>
      <c r="E24" s="12"/>
      <c r="F24" s="12">
        <v>3</v>
      </c>
      <c r="G24" s="15" t="s">
        <v>68</v>
      </c>
      <c r="H24" s="16" t="s">
        <v>75</v>
      </c>
    </row>
    <row r="25" customFormat="1" ht="22" customHeight="1" spans="1:8">
      <c r="A25" s="8">
        <v>23</v>
      </c>
      <c r="B25" s="9">
        <v>46111</v>
      </c>
      <c r="C25" s="10" t="s">
        <v>46</v>
      </c>
      <c r="D25" s="11" t="s">
        <v>65</v>
      </c>
      <c r="E25" s="12"/>
      <c r="F25" s="12">
        <v>3</v>
      </c>
      <c r="G25" s="15" t="s">
        <v>68</v>
      </c>
      <c r="H25" s="16" t="s">
        <v>75</v>
      </c>
    </row>
    <row r="26" customFormat="1" ht="22" customHeight="1" spans="1:8">
      <c r="A26" s="8"/>
      <c r="B26" s="9"/>
      <c r="C26" s="10"/>
      <c r="D26" s="11"/>
      <c r="E26" s="12"/>
      <c r="F26" s="15"/>
      <c r="G26" s="15"/>
    </row>
    <row r="27" customFormat="1" ht="22" customHeight="1" spans="1:8">
      <c r="A27" s="8"/>
      <c r="B27" s="17"/>
      <c r="C27" s="10"/>
      <c r="D27" s="18"/>
      <c r="E27" s="19"/>
      <c r="F27" s="20"/>
      <c r="G27" s="20"/>
    </row>
    <row r="28" customFormat="1" ht="13.5" spans="1:8">
      <c r="E28" s="21">
        <f>SUM(E3:E27)</f>
        <v>24</v>
      </c>
      <c r="F28" s="21">
        <f>SUM(F3:F27)</f>
        <v>45</v>
      </c>
    </row>
    <row r="30" ht="26" customHeight="1" spans="1:8">
      <c r="C30" s="22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pane ySplit="2" topLeftCell="A9" activePane="bottomLeft" state="frozen"/>
      <selection/>
      <selection pane="bottomLeft" activeCell="I5" sqref="I5"/>
    </sheetView>
  </sheetViews>
  <sheetFormatPr defaultColWidth="9.14285714285714" defaultRowHeight="12" outlineLevelCol="7"/>
  <cols>
    <col min="1" max="1" width="7.85714285714286" customWidth="1"/>
    <col min="2" max="2" width="14.4285714285714" customWidth="1"/>
    <col min="3" max="3" width="18.7142857142857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46114</v>
      </c>
      <c r="C3" s="10" t="s">
        <v>16</v>
      </c>
      <c r="D3" s="11" t="s">
        <v>66</v>
      </c>
      <c r="E3" s="10">
        <v>2</v>
      </c>
      <c r="F3" s="10">
        <v>2</v>
      </c>
      <c r="G3" s="12" t="s">
        <v>76</v>
      </c>
    </row>
    <row r="4" ht="22" customHeight="1" spans="1:7">
      <c r="A4" s="8">
        <v>2</v>
      </c>
      <c r="B4" s="9">
        <v>46114</v>
      </c>
      <c r="C4" s="10" t="s">
        <v>19</v>
      </c>
      <c r="D4" s="11" t="s">
        <v>66</v>
      </c>
      <c r="E4" s="13"/>
      <c r="F4" s="10">
        <v>4</v>
      </c>
      <c r="G4" s="14"/>
    </row>
    <row r="5" ht="22" customHeight="1" spans="1:7">
      <c r="A5" s="8">
        <v>3</v>
      </c>
      <c r="B5" s="9">
        <v>46114</v>
      </c>
      <c r="C5" s="10" t="s">
        <v>60</v>
      </c>
      <c r="D5" s="11" t="s">
        <v>66</v>
      </c>
      <c r="E5" s="13"/>
      <c r="F5" s="10">
        <v>4</v>
      </c>
      <c r="G5" s="14"/>
    </row>
    <row r="6" ht="22" customHeight="1" spans="1:7">
      <c r="A6" s="8">
        <v>4</v>
      </c>
      <c r="B6" s="9">
        <v>46114</v>
      </c>
      <c r="C6" s="10" t="s">
        <v>22</v>
      </c>
      <c r="D6" s="11" t="s">
        <v>66</v>
      </c>
      <c r="E6" s="10">
        <v>4</v>
      </c>
      <c r="F6" s="13"/>
      <c r="G6" s="14"/>
    </row>
    <row r="7" ht="22" customHeight="1" spans="1:7">
      <c r="A7" s="8">
        <v>5</v>
      </c>
      <c r="B7" s="9">
        <v>46114</v>
      </c>
      <c r="C7" s="10" t="s">
        <v>24</v>
      </c>
      <c r="D7" s="11" t="s">
        <v>66</v>
      </c>
      <c r="E7" s="13"/>
      <c r="F7" s="10">
        <v>4</v>
      </c>
      <c r="G7" s="14"/>
    </row>
    <row r="8" ht="22" customHeight="1" spans="1:7">
      <c r="A8" s="8">
        <v>6</v>
      </c>
      <c r="B8" s="9">
        <v>46114</v>
      </c>
      <c r="C8" s="10" t="s">
        <v>26</v>
      </c>
      <c r="D8" s="11" t="s">
        <v>66</v>
      </c>
      <c r="E8" s="10">
        <v>4</v>
      </c>
      <c r="F8" s="10"/>
      <c r="G8" s="14"/>
    </row>
    <row r="9" ht="22" customHeight="1" spans="1:7">
      <c r="A9" s="8">
        <v>7</v>
      </c>
      <c r="B9" s="9">
        <v>46114</v>
      </c>
      <c r="C9" s="10" t="s">
        <v>40</v>
      </c>
      <c r="D9" s="11" t="s">
        <v>66</v>
      </c>
      <c r="E9" s="10"/>
      <c r="F9" s="10">
        <v>4</v>
      </c>
      <c r="G9" s="14"/>
    </row>
    <row r="10" ht="22" customHeight="1" spans="1:7">
      <c r="A10" s="8">
        <v>8</v>
      </c>
      <c r="B10" s="9">
        <v>46114</v>
      </c>
      <c r="C10" s="10" t="s">
        <v>27</v>
      </c>
      <c r="D10" s="11" t="s">
        <v>66</v>
      </c>
      <c r="E10" s="13"/>
      <c r="F10" s="10">
        <v>4</v>
      </c>
      <c r="G10" s="15"/>
    </row>
    <row r="11" ht="22" customHeight="1" spans="1:7">
      <c r="A11" s="8">
        <v>9</v>
      </c>
      <c r="B11" s="9">
        <v>46114</v>
      </c>
      <c r="C11" s="10" t="s">
        <v>28</v>
      </c>
      <c r="D11" s="11" t="s">
        <v>66</v>
      </c>
      <c r="E11" s="13"/>
      <c r="F11" s="10">
        <v>4</v>
      </c>
      <c r="G11" s="15"/>
    </row>
    <row r="12" customFormat="1" ht="22" customHeight="1" spans="1:7">
      <c r="A12" s="8">
        <v>10</v>
      </c>
      <c r="B12" s="9">
        <v>46114</v>
      </c>
      <c r="C12" s="10" t="s">
        <v>29</v>
      </c>
      <c r="D12" s="11" t="s">
        <v>66</v>
      </c>
      <c r="E12" s="10">
        <v>2</v>
      </c>
      <c r="F12" s="10">
        <v>2</v>
      </c>
      <c r="G12" s="15"/>
    </row>
    <row r="13" customFormat="1" ht="22" customHeight="1" spans="1:7">
      <c r="A13" s="8">
        <v>11</v>
      </c>
      <c r="B13" s="9">
        <v>46114</v>
      </c>
      <c r="C13" s="10" t="s">
        <v>31</v>
      </c>
      <c r="D13" s="11" t="s">
        <v>66</v>
      </c>
      <c r="E13" s="10">
        <v>4</v>
      </c>
      <c r="F13" s="15"/>
      <c r="G13" s="15"/>
    </row>
    <row r="14" customFormat="1" ht="22" customHeight="1" spans="1:7">
      <c r="A14" s="8">
        <v>12</v>
      </c>
      <c r="B14" s="9">
        <v>46114</v>
      </c>
      <c r="C14" s="10" t="s">
        <v>32</v>
      </c>
      <c r="D14" s="11" t="s">
        <v>66</v>
      </c>
      <c r="E14" s="10">
        <v>4</v>
      </c>
      <c r="F14" s="15"/>
      <c r="G14" s="15"/>
    </row>
    <row r="15" customFormat="1" ht="22" customHeight="1" spans="1:7">
      <c r="A15" s="8">
        <v>13</v>
      </c>
      <c r="B15" s="9">
        <v>46114</v>
      </c>
      <c r="C15" s="10" t="s">
        <v>34</v>
      </c>
      <c r="D15" s="11" t="s">
        <v>66</v>
      </c>
      <c r="E15" s="12"/>
      <c r="F15" s="10">
        <v>4</v>
      </c>
      <c r="G15" s="15"/>
    </row>
    <row r="16" customFormat="1" ht="22" customHeight="1" spans="1:7">
      <c r="A16" s="8">
        <v>14</v>
      </c>
      <c r="B16" s="9">
        <v>46114</v>
      </c>
      <c r="C16" s="10" t="s">
        <v>35</v>
      </c>
      <c r="D16" s="11" t="s">
        <v>66</v>
      </c>
      <c r="E16" s="12"/>
      <c r="F16" s="10">
        <v>4</v>
      </c>
      <c r="G16" s="15"/>
    </row>
    <row r="17" customFormat="1" ht="22" customHeight="1" spans="1:8">
      <c r="A17" s="8">
        <v>15</v>
      </c>
      <c r="B17" s="9">
        <v>46114</v>
      </c>
      <c r="C17" s="10" t="s">
        <v>36</v>
      </c>
      <c r="D17" s="11" t="s">
        <v>66</v>
      </c>
      <c r="E17" s="10">
        <v>2</v>
      </c>
      <c r="F17" s="10">
        <v>2</v>
      </c>
      <c r="G17" s="15"/>
    </row>
    <row r="18" customFormat="1" ht="22" customHeight="1" spans="1:8">
      <c r="A18" s="8">
        <v>16</v>
      </c>
      <c r="B18" s="9">
        <v>46114</v>
      </c>
      <c r="C18" s="10" t="s">
        <v>38</v>
      </c>
      <c r="D18" s="11" t="s">
        <v>66</v>
      </c>
      <c r="E18" s="12"/>
      <c r="F18" s="10">
        <v>4</v>
      </c>
      <c r="G18" s="15"/>
    </row>
    <row r="19" customFormat="1" ht="22" customHeight="1" spans="1:8">
      <c r="A19" s="8">
        <v>17</v>
      </c>
      <c r="B19" s="9">
        <v>46114</v>
      </c>
      <c r="C19" s="10" t="s">
        <v>41</v>
      </c>
      <c r="D19" s="11" t="s">
        <v>66</v>
      </c>
      <c r="E19" s="12"/>
      <c r="F19" s="10">
        <v>4</v>
      </c>
      <c r="G19" s="15"/>
    </row>
    <row r="20" customFormat="1" ht="22" customHeight="1" spans="1:8">
      <c r="A20" s="8">
        <v>18</v>
      </c>
      <c r="B20" s="9">
        <v>46114</v>
      </c>
      <c r="C20" s="10" t="s">
        <v>43</v>
      </c>
      <c r="D20" s="11" t="s">
        <v>66</v>
      </c>
      <c r="E20" s="10">
        <v>4</v>
      </c>
      <c r="F20" s="15"/>
      <c r="G20" s="15"/>
    </row>
    <row r="21" customFormat="1" ht="22" customHeight="1" spans="1:8">
      <c r="A21" s="8">
        <v>19</v>
      </c>
      <c r="B21" s="9">
        <v>46114</v>
      </c>
      <c r="C21" s="10" t="s">
        <v>43</v>
      </c>
      <c r="D21" s="11" t="s">
        <v>66</v>
      </c>
      <c r="E21" s="10">
        <v>1</v>
      </c>
      <c r="F21" s="15"/>
      <c r="G21" s="15" t="s">
        <v>68</v>
      </c>
      <c r="H21" s="16" t="s">
        <v>74</v>
      </c>
    </row>
    <row r="22" customFormat="1" ht="22" customHeight="1" spans="1:8">
      <c r="A22" s="8">
        <v>20</v>
      </c>
      <c r="B22" s="9">
        <v>46114</v>
      </c>
      <c r="C22" s="10" t="s">
        <v>45</v>
      </c>
      <c r="D22" s="11" t="s">
        <v>66</v>
      </c>
      <c r="E22" s="12"/>
      <c r="F22" s="10">
        <v>4</v>
      </c>
      <c r="G22" s="15"/>
    </row>
    <row r="23" customFormat="1" ht="22" customHeight="1" spans="1:8">
      <c r="A23" s="8">
        <v>21</v>
      </c>
      <c r="B23" s="9">
        <v>46114</v>
      </c>
      <c r="C23" s="10" t="s">
        <v>46</v>
      </c>
      <c r="D23" s="11" t="s">
        <v>66</v>
      </c>
      <c r="E23" s="12"/>
      <c r="F23" s="10">
        <v>4</v>
      </c>
      <c r="G23" s="15"/>
    </row>
    <row r="24" customFormat="1" ht="22" customHeight="1" spans="1:8">
      <c r="A24" s="8">
        <v>22</v>
      </c>
      <c r="B24" s="9">
        <v>46114</v>
      </c>
      <c r="C24" s="10" t="s">
        <v>45</v>
      </c>
      <c r="D24" s="11" t="s">
        <v>66</v>
      </c>
      <c r="E24" s="12"/>
      <c r="F24" s="10">
        <v>4</v>
      </c>
      <c r="G24" s="15" t="s">
        <v>68</v>
      </c>
      <c r="H24" s="16" t="s">
        <v>75</v>
      </c>
    </row>
    <row r="25" customFormat="1" ht="22" customHeight="1" spans="1:8">
      <c r="A25" s="8">
        <v>23</v>
      </c>
      <c r="B25" s="9">
        <v>46114</v>
      </c>
      <c r="C25" s="10" t="s">
        <v>46</v>
      </c>
      <c r="D25" s="11" t="s">
        <v>66</v>
      </c>
      <c r="E25" s="12"/>
      <c r="F25" s="10">
        <v>4</v>
      </c>
      <c r="G25" s="15" t="s">
        <v>68</v>
      </c>
      <c r="H25" s="16" t="s">
        <v>75</v>
      </c>
    </row>
    <row r="26" customFormat="1" ht="22" customHeight="1" spans="1:8">
      <c r="A26" s="8"/>
      <c r="B26" s="9"/>
      <c r="C26" s="10"/>
      <c r="D26" s="11"/>
      <c r="E26" s="12"/>
      <c r="F26" s="15"/>
      <c r="G26" s="15"/>
    </row>
    <row r="27" customFormat="1" ht="22" customHeight="1" spans="1:8">
      <c r="A27" s="8"/>
      <c r="B27" s="17"/>
      <c r="C27" s="10"/>
      <c r="D27" s="18"/>
      <c r="E27" s="19"/>
      <c r="F27" s="20"/>
      <c r="G27" s="20"/>
    </row>
    <row r="28" customFormat="1" ht="13.5" spans="1:8">
      <c r="E28" s="21">
        <f>SUM(E3:E27)</f>
        <v>27</v>
      </c>
      <c r="F28" s="21">
        <f>SUM(F3:F27)</f>
        <v>62</v>
      </c>
    </row>
    <row r="30" ht="26" customHeight="1" spans="1:8">
      <c r="C30" s="22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G21" sqref="G21"/>
    </sheetView>
  </sheetViews>
  <sheetFormatPr defaultColWidth="9.14285714285714" defaultRowHeight="12" outlineLevelCol="7"/>
  <cols>
    <col min="1" max="1" width="8.71428571428571" customWidth="1"/>
    <col min="2" max="2" width="14.4285714285714" customWidth="1"/>
    <col min="3" max="3" width="17.5714285714286" customWidth="1"/>
    <col min="4" max="6" width="12.1428571428571" customWidth="1"/>
    <col min="7" max="7" width="25.2857142857143" customWidth="1"/>
  </cols>
  <sheetData>
    <row r="1" ht="38" customHeight="1" spans="1:8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8">
      <c r="A3" s="8">
        <v>1</v>
      </c>
      <c r="B3" s="9">
        <v>46119</v>
      </c>
      <c r="C3" s="10" t="s">
        <v>16</v>
      </c>
      <c r="D3" s="11" t="s">
        <v>65</v>
      </c>
      <c r="E3" s="10">
        <v>1</v>
      </c>
      <c r="F3" s="10">
        <v>2</v>
      </c>
      <c r="G3" s="23"/>
      <c r="H3" s="24" t="s">
        <v>73</v>
      </c>
    </row>
    <row r="4" ht="22" customHeight="1" spans="1:8">
      <c r="A4" s="8">
        <v>2</v>
      </c>
      <c r="B4" s="9">
        <v>46119</v>
      </c>
      <c r="C4" s="10" t="s">
        <v>19</v>
      </c>
      <c r="D4" s="11" t="s">
        <v>65</v>
      </c>
      <c r="E4" s="13"/>
      <c r="F4" s="10">
        <v>3</v>
      </c>
      <c r="G4" s="14"/>
    </row>
    <row r="5" ht="22" customHeight="1" spans="1:8">
      <c r="A5" s="8">
        <v>3</v>
      </c>
      <c r="B5" s="9">
        <v>46119</v>
      </c>
      <c r="C5" s="10" t="s">
        <v>60</v>
      </c>
      <c r="D5" s="11" t="s">
        <v>65</v>
      </c>
      <c r="E5" s="13"/>
      <c r="F5" s="10">
        <v>3</v>
      </c>
      <c r="G5" s="14"/>
    </row>
    <row r="6" ht="22" customHeight="1" spans="1:8">
      <c r="A6" s="8">
        <v>4</v>
      </c>
      <c r="B6" s="9">
        <v>46119</v>
      </c>
      <c r="C6" s="10" t="s">
        <v>22</v>
      </c>
      <c r="D6" s="11" t="s">
        <v>65</v>
      </c>
      <c r="E6" s="10">
        <v>3</v>
      </c>
      <c r="F6" s="13"/>
      <c r="G6" s="14"/>
    </row>
    <row r="7" ht="22" customHeight="1" spans="1:8">
      <c r="A7" s="8">
        <v>5</v>
      </c>
      <c r="B7" s="9">
        <v>46119</v>
      </c>
      <c r="C7" s="10" t="s">
        <v>24</v>
      </c>
      <c r="D7" s="11" t="s">
        <v>65</v>
      </c>
      <c r="E7" s="13"/>
      <c r="F7" s="10">
        <v>3</v>
      </c>
      <c r="G7" s="14"/>
    </row>
    <row r="8" ht="22" customHeight="1" spans="1:8">
      <c r="A8" s="8">
        <v>6</v>
      </c>
      <c r="B8" s="9">
        <v>46119</v>
      </c>
      <c r="C8" s="10" t="s">
        <v>26</v>
      </c>
      <c r="D8" s="11" t="s">
        <v>65</v>
      </c>
      <c r="E8" s="10">
        <v>3</v>
      </c>
      <c r="F8" s="10"/>
      <c r="G8" s="14"/>
    </row>
    <row r="9" ht="22" customHeight="1" spans="1:8">
      <c r="A9" s="8">
        <v>7</v>
      </c>
      <c r="B9" s="9">
        <v>46119</v>
      </c>
      <c r="C9" s="10" t="s">
        <v>40</v>
      </c>
      <c r="D9" s="11" t="s">
        <v>65</v>
      </c>
      <c r="E9" s="10"/>
      <c r="F9" s="10">
        <v>3</v>
      </c>
      <c r="G9" s="14"/>
    </row>
    <row r="10" ht="22" customHeight="1" spans="1:8">
      <c r="A10" s="8">
        <v>8</v>
      </c>
      <c r="B10" s="9">
        <v>46119</v>
      </c>
      <c r="C10" s="10" t="s">
        <v>27</v>
      </c>
      <c r="D10" s="11" t="s">
        <v>65</v>
      </c>
      <c r="E10" s="13"/>
      <c r="F10" s="10">
        <v>3</v>
      </c>
      <c r="G10" s="15"/>
    </row>
    <row r="11" ht="22" customHeight="1" spans="1:8">
      <c r="A11" s="8">
        <v>9</v>
      </c>
      <c r="B11" s="9">
        <v>46119</v>
      </c>
      <c r="C11" s="10" t="s">
        <v>28</v>
      </c>
      <c r="D11" s="11" t="s">
        <v>65</v>
      </c>
      <c r="E11" s="13"/>
      <c r="F11" s="10">
        <v>3</v>
      </c>
      <c r="G11" s="15"/>
    </row>
    <row r="12" customFormat="1" ht="22" customHeight="1" spans="1:8">
      <c r="A12" s="8">
        <v>10</v>
      </c>
      <c r="B12" s="9">
        <v>46119</v>
      </c>
      <c r="C12" s="10" t="s">
        <v>29</v>
      </c>
      <c r="D12" s="11" t="s">
        <v>65</v>
      </c>
      <c r="E12" s="10">
        <v>2</v>
      </c>
      <c r="F12" s="10">
        <v>1</v>
      </c>
      <c r="G12" s="15"/>
    </row>
    <row r="13" customFormat="1" ht="22" customHeight="1" spans="1:8">
      <c r="A13" s="8">
        <v>11</v>
      </c>
      <c r="B13" s="9">
        <v>46119</v>
      </c>
      <c r="C13" s="10" t="s">
        <v>31</v>
      </c>
      <c r="D13" s="11" t="s">
        <v>65</v>
      </c>
      <c r="E13" s="10">
        <v>3</v>
      </c>
      <c r="F13" s="15"/>
      <c r="G13" s="15"/>
    </row>
    <row r="14" customFormat="1" ht="22" customHeight="1" spans="1:8">
      <c r="A14" s="8">
        <v>12</v>
      </c>
      <c r="B14" s="9">
        <v>46119</v>
      </c>
      <c r="C14" s="10" t="s">
        <v>32</v>
      </c>
      <c r="D14" s="11" t="s">
        <v>65</v>
      </c>
      <c r="E14" s="12">
        <v>3</v>
      </c>
      <c r="F14" s="15"/>
      <c r="G14" s="15"/>
    </row>
    <row r="15" customFormat="1" ht="22" customHeight="1" spans="1:8">
      <c r="A15" s="8">
        <v>13</v>
      </c>
      <c r="B15" s="9">
        <v>46119</v>
      </c>
      <c r="C15" s="10" t="s">
        <v>34</v>
      </c>
      <c r="D15" s="11" t="s">
        <v>65</v>
      </c>
      <c r="E15" s="12"/>
      <c r="F15" s="15">
        <v>3</v>
      </c>
      <c r="G15" s="15"/>
    </row>
    <row r="16" customFormat="1" ht="22" customHeight="1" spans="1:8">
      <c r="A16" s="8">
        <v>14</v>
      </c>
      <c r="B16" s="9">
        <v>46119</v>
      </c>
      <c r="C16" s="10" t="s">
        <v>35</v>
      </c>
      <c r="D16" s="11" t="s">
        <v>65</v>
      </c>
      <c r="E16" s="12"/>
      <c r="F16" s="15">
        <v>3</v>
      </c>
      <c r="G16" s="15"/>
    </row>
    <row r="17" customFormat="1" ht="22" customHeight="1" spans="1:8">
      <c r="A17" s="8">
        <v>15</v>
      </c>
      <c r="B17" s="9">
        <v>46119</v>
      </c>
      <c r="C17" s="10" t="s">
        <v>36</v>
      </c>
      <c r="D17" s="11" t="s">
        <v>65</v>
      </c>
      <c r="E17" s="12">
        <v>2</v>
      </c>
      <c r="F17" s="15">
        <v>1</v>
      </c>
      <c r="G17" s="15"/>
    </row>
    <row r="18" customFormat="1" ht="22" customHeight="1" spans="1:8">
      <c r="A18" s="8">
        <v>16</v>
      </c>
      <c r="B18" s="9">
        <v>46119</v>
      </c>
      <c r="C18" s="10" t="s">
        <v>38</v>
      </c>
      <c r="D18" s="11" t="s">
        <v>65</v>
      </c>
      <c r="E18" s="12"/>
      <c r="F18" s="15">
        <v>3</v>
      </c>
      <c r="G18" s="15"/>
    </row>
    <row r="19" customFormat="1" ht="22" customHeight="1" spans="1:8">
      <c r="A19" s="8">
        <v>17</v>
      </c>
      <c r="B19" s="9">
        <v>46119</v>
      </c>
      <c r="C19" s="10" t="s">
        <v>41</v>
      </c>
      <c r="D19" s="11" t="s">
        <v>65</v>
      </c>
      <c r="E19" s="12"/>
      <c r="F19" s="15">
        <v>3</v>
      </c>
      <c r="G19" s="15"/>
    </row>
    <row r="20" customFormat="1" ht="22" customHeight="1" spans="1:8">
      <c r="A20" s="8">
        <v>18</v>
      </c>
      <c r="B20" s="9">
        <v>46119</v>
      </c>
      <c r="C20" s="10" t="s">
        <v>43</v>
      </c>
      <c r="D20" s="11" t="s">
        <v>65</v>
      </c>
      <c r="E20" s="12">
        <v>3</v>
      </c>
      <c r="F20" s="15"/>
      <c r="G20" s="15"/>
    </row>
    <row r="21" customFormat="1" ht="22" customHeight="1" spans="1:8">
      <c r="A21" s="8">
        <v>19</v>
      </c>
      <c r="B21" s="9">
        <v>46119</v>
      </c>
      <c r="C21" s="10" t="s">
        <v>43</v>
      </c>
      <c r="D21" s="11" t="s">
        <v>65</v>
      </c>
      <c r="E21" s="10">
        <v>1</v>
      </c>
      <c r="F21" s="15"/>
      <c r="G21" s="15" t="s">
        <v>68</v>
      </c>
      <c r="H21" s="16" t="s">
        <v>74</v>
      </c>
    </row>
    <row r="22" customFormat="1" ht="22" customHeight="1" spans="1:8">
      <c r="A22" s="8">
        <v>20</v>
      </c>
      <c r="B22" s="9">
        <v>46119</v>
      </c>
      <c r="C22" s="10" t="s">
        <v>45</v>
      </c>
      <c r="D22" s="11" t="s">
        <v>65</v>
      </c>
      <c r="E22" s="12"/>
      <c r="F22" s="12">
        <v>3</v>
      </c>
      <c r="G22" s="15"/>
    </row>
    <row r="23" customFormat="1" ht="22" customHeight="1" spans="1:8">
      <c r="A23" s="8">
        <v>21</v>
      </c>
      <c r="B23" s="9">
        <v>46119</v>
      </c>
      <c r="C23" s="10" t="s">
        <v>46</v>
      </c>
      <c r="D23" s="11" t="s">
        <v>65</v>
      </c>
      <c r="E23" s="12"/>
      <c r="F23" s="12">
        <v>3</v>
      </c>
      <c r="G23" s="15"/>
    </row>
    <row r="24" customFormat="1" ht="22" customHeight="1" spans="1:8">
      <c r="A24" s="8">
        <v>22</v>
      </c>
      <c r="B24" s="9">
        <v>46119</v>
      </c>
      <c r="C24" s="10" t="s">
        <v>45</v>
      </c>
      <c r="D24" s="11" t="s">
        <v>65</v>
      </c>
      <c r="E24" s="12"/>
      <c r="F24" s="12">
        <v>3</v>
      </c>
      <c r="G24" s="15" t="s">
        <v>68</v>
      </c>
      <c r="H24" s="16" t="s">
        <v>75</v>
      </c>
    </row>
    <row r="25" customFormat="1" ht="22" customHeight="1" spans="1:8">
      <c r="A25" s="8">
        <v>23</v>
      </c>
      <c r="B25" s="9">
        <v>46119</v>
      </c>
      <c r="C25" s="10" t="s">
        <v>46</v>
      </c>
      <c r="D25" s="11" t="s">
        <v>65</v>
      </c>
      <c r="E25" s="12"/>
      <c r="F25" s="12">
        <v>3</v>
      </c>
      <c r="G25" s="15" t="s">
        <v>68</v>
      </c>
      <c r="H25" s="16" t="s">
        <v>75</v>
      </c>
    </row>
    <row r="26" customFormat="1" ht="22" customHeight="1" spans="1:8">
      <c r="A26" s="8"/>
      <c r="B26" s="9"/>
      <c r="C26" s="10"/>
      <c r="D26" s="11"/>
      <c r="E26" s="12"/>
      <c r="F26" s="15"/>
      <c r="G26" s="15"/>
    </row>
    <row r="27" customFormat="1" ht="22" customHeight="1" spans="1:8">
      <c r="A27" s="8"/>
      <c r="B27" s="17"/>
      <c r="C27" s="10"/>
      <c r="D27" s="18"/>
      <c r="E27" s="19"/>
      <c r="F27" s="20"/>
      <c r="G27" s="20"/>
    </row>
    <row r="28" customFormat="1" ht="13.5" spans="1:8">
      <c r="E28" s="21">
        <f>SUM(E3:E27)</f>
        <v>21</v>
      </c>
      <c r="F28" s="21">
        <f>SUM(F3:F27)</f>
        <v>46</v>
      </c>
    </row>
    <row r="30" ht="26" customHeight="1" spans="1:8">
      <c r="C30" s="22"/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pane ySplit="2" topLeftCell="A3" activePane="bottomLeft" state="frozen"/>
      <selection/>
      <selection pane="bottomLeft" activeCell="H25" sqref="H25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8.7142857142857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  <c r="I1" t="s">
        <v>77</v>
      </c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46121</v>
      </c>
      <c r="C3" s="10" t="s">
        <v>16</v>
      </c>
      <c r="D3" s="11" t="s">
        <v>66</v>
      </c>
      <c r="E3" s="10">
        <v>2</v>
      </c>
      <c r="F3" s="10">
        <v>2</v>
      </c>
      <c r="G3" s="12" t="s">
        <v>76</v>
      </c>
    </row>
    <row r="4" ht="22" customHeight="1" spans="1:9">
      <c r="A4" s="8">
        <v>2</v>
      </c>
      <c r="B4" s="9">
        <v>46121</v>
      </c>
      <c r="C4" s="10" t="s">
        <v>19</v>
      </c>
      <c r="D4" s="11" t="s">
        <v>66</v>
      </c>
      <c r="E4" s="13"/>
      <c r="F4" s="10">
        <v>4</v>
      </c>
      <c r="G4" s="14"/>
    </row>
    <row r="5" ht="22" customHeight="1" spans="1:9">
      <c r="A5" s="8">
        <v>3</v>
      </c>
      <c r="B5" s="9">
        <v>46121</v>
      </c>
      <c r="C5" s="10" t="s">
        <v>60</v>
      </c>
      <c r="D5" s="11" t="s">
        <v>66</v>
      </c>
      <c r="E5" s="13"/>
      <c r="F5" s="10">
        <v>4</v>
      </c>
      <c r="G5" s="14"/>
    </row>
    <row r="6" ht="22" customHeight="1" spans="1:9">
      <c r="A6" s="8">
        <v>4</v>
      </c>
      <c r="B6" s="9">
        <v>46121</v>
      </c>
      <c r="C6" s="10" t="s">
        <v>22</v>
      </c>
      <c r="D6" s="11" t="s">
        <v>66</v>
      </c>
      <c r="E6" s="10">
        <v>4</v>
      </c>
      <c r="F6" s="13"/>
      <c r="G6" s="14"/>
    </row>
    <row r="7" ht="22" customHeight="1" spans="1:9">
      <c r="A7" s="8">
        <v>5</v>
      </c>
      <c r="B7" s="9">
        <v>46121</v>
      </c>
      <c r="C7" s="10" t="s">
        <v>24</v>
      </c>
      <c r="D7" s="11" t="s">
        <v>66</v>
      </c>
      <c r="E7" s="13"/>
      <c r="F7" s="10">
        <v>4</v>
      </c>
      <c r="G7" s="14"/>
    </row>
    <row r="8" ht="22" customHeight="1" spans="1:9">
      <c r="A8" s="8">
        <v>6</v>
      </c>
      <c r="B8" s="9">
        <v>46121</v>
      </c>
      <c r="C8" s="10" t="s">
        <v>26</v>
      </c>
      <c r="D8" s="11" t="s">
        <v>66</v>
      </c>
      <c r="E8" s="10">
        <v>4</v>
      </c>
      <c r="F8" s="10"/>
      <c r="G8" s="14"/>
    </row>
    <row r="9" ht="22" customHeight="1" spans="1:9">
      <c r="A9" s="8">
        <v>7</v>
      </c>
      <c r="B9" s="9">
        <v>46121</v>
      </c>
      <c r="C9" s="10" t="s">
        <v>40</v>
      </c>
      <c r="D9" s="11" t="s">
        <v>66</v>
      </c>
      <c r="E9" s="10"/>
      <c r="F9" s="10">
        <v>4</v>
      </c>
      <c r="G9" s="14"/>
    </row>
    <row r="10" ht="22" customHeight="1" spans="1:9">
      <c r="A10" s="8">
        <v>8</v>
      </c>
      <c r="B10" s="9">
        <v>46121</v>
      </c>
      <c r="C10" s="10" t="s">
        <v>27</v>
      </c>
      <c r="D10" s="11" t="s">
        <v>66</v>
      </c>
      <c r="E10" s="13"/>
      <c r="F10" s="10">
        <v>4</v>
      </c>
      <c r="G10" s="15"/>
    </row>
    <row r="11" ht="22" customHeight="1" spans="1:9">
      <c r="A11" s="8">
        <v>9</v>
      </c>
      <c r="B11" s="9">
        <v>46121</v>
      </c>
      <c r="C11" s="10" t="s">
        <v>28</v>
      </c>
      <c r="D11" s="11" t="s">
        <v>66</v>
      </c>
      <c r="E11" s="13"/>
      <c r="F11" s="10">
        <v>4</v>
      </c>
      <c r="G11" s="15"/>
    </row>
    <row r="12" customFormat="1" ht="22" customHeight="1" spans="1:9">
      <c r="A12" s="8">
        <v>10</v>
      </c>
      <c r="B12" s="9">
        <v>46121</v>
      </c>
      <c r="C12" s="10" t="s">
        <v>29</v>
      </c>
      <c r="D12" s="11" t="s">
        <v>66</v>
      </c>
      <c r="E12" s="10">
        <v>2</v>
      </c>
      <c r="F12" s="10">
        <v>2</v>
      </c>
      <c r="G12" s="15"/>
    </row>
    <row r="13" customFormat="1" ht="22" customHeight="1" spans="1:9">
      <c r="A13" s="8">
        <v>11</v>
      </c>
      <c r="B13" s="9">
        <v>46121</v>
      </c>
      <c r="C13" s="10" t="s">
        <v>31</v>
      </c>
      <c r="D13" s="11" t="s">
        <v>66</v>
      </c>
      <c r="E13" s="10">
        <v>4</v>
      </c>
      <c r="F13" s="15"/>
      <c r="G13" s="15"/>
    </row>
    <row r="14" customFormat="1" ht="22" customHeight="1" spans="1:9">
      <c r="A14" s="8">
        <v>12</v>
      </c>
      <c r="B14" s="9">
        <v>46121</v>
      </c>
      <c r="C14" s="10" t="s">
        <v>32</v>
      </c>
      <c r="D14" s="11" t="s">
        <v>66</v>
      </c>
      <c r="E14" s="10">
        <v>4</v>
      </c>
      <c r="F14" s="15"/>
      <c r="G14" s="15"/>
    </row>
    <row r="15" customFormat="1" ht="22" customHeight="1" spans="1:9">
      <c r="A15" s="8">
        <v>13</v>
      </c>
      <c r="B15" s="9">
        <v>46121</v>
      </c>
      <c r="C15" s="10" t="s">
        <v>34</v>
      </c>
      <c r="D15" s="11" t="s">
        <v>66</v>
      </c>
      <c r="E15" s="12"/>
      <c r="F15" s="10">
        <v>4</v>
      </c>
      <c r="G15" s="15"/>
    </row>
    <row r="16" customFormat="1" ht="22" customHeight="1" spans="1:9">
      <c r="A16" s="8">
        <v>14</v>
      </c>
      <c r="B16" s="9">
        <v>46121</v>
      </c>
      <c r="C16" s="10" t="s">
        <v>35</v>
      </c>
      <c r="D16" s="11" t="s">
        <v>66</v>
      </c>
      <c r="E16" s="12"/>
      <c r="F16" s="10">
        <v>4</v>
      </c>
      <c r="G16" s="15"/>
    </row>
    <row r="17" customFormat="1" ht="22" customHeight="1" spans="1:8">
      <c r="A17" s="8">
        <v>15</v>
      </c>
      <c r="B17" s="9">
        <v>46121</v>
      </c>
      <c r="C17" s="10" t="s">
        <v>36</v>
      </c>
      <c r="D17" s="11" t="s">
        <v>66</v>
      </c>
      <c r="E17" s="10">
        <v>2</v>
      </c>
      <c r="F17" s="10">
        <v>2</v>
      </c>
      <c r="G17" s="15"/>
    </row>
    <row r="18" customFormat="1" ht="22" customHeight="1" spans="1:8">
      <c r="A18" s="8">
        <v>16</v>
      </c>
      <c r="B18" s="9">
        <v>46121</v>
      </c>
      <c r="C18" s="10" t="s">
        <v>38</v>
      </c>
      <c r="D18" s="11" t="s">
        <v>66</v>
      </c>
      <c r="E18" s="12"/>
      <c r="F18" s="10">
        <v>4</v>
      </c>
      <c r="G18" s="15"/>
    </row>
    <row r="19" customFormat="1" ht="22" customHeight="1" spans="1:8">
      <c r="A19" s="8">
        <v>17</v>
      </c>
      <c r="B19" s="9">
        <v>46121</v>
      </c>
      <c r="C19" s="10" t="s">
        <v>41</v>
      </c>
      <c r="D19" s="11" t="s">
        <v>66</v>
      </c>
      <c r="E19" s="12"/>
      <c r="F19" s="10">
        <v>4</v>
      </c>
      <c r="G19" s="15"/>
    </row>
    <row r="20" customFormat="1" ht="22" customHeight="1" spans="1:8">
      <c r="A20" s="8">
        <v>18</v>
      </c>
      <c r="B20" s="9">
        <v>46121</v>
      </c>
      <c r="C20" s="10" t="s">
        <v>43</v>
      </c>
      <c r="D20" s="11" t="s">
        <v>66</v>
      </c>
      <c r="E20" s="10">
        <v>4</v>
      </c>
      <c r="F20" s="15"/>
      <c r="G20" s="15"/>
    </row>
    <row r="21" customFormat="1" ht="22" customHeight="1" spans="1:8">
      <c r="A21" s="8">
        <v>19</v>
      </c>
      <c r="B21" s="9">
        <v>46121</v>
      </c>
      <c r="C21" s="10" t="s">
        <v>43</v>
      </c>
      <c r="D21" s="11" t="s">
        <v>66</v>
      </c>
      <c r="E21" s="10">
        <v>1</v>
      </c>
      <c r="F21" s="15"/>
      <c r="G21" s="15" t="s">
        <v>68</v>
      </c>
      <c r="H21" s="16" t="s">
        <v>74</v>
      </c>
    </row>
    <row r="22" customFormat="1" ht="22" customHeight="1" spans="1:8">
      <c r="A22" s="8">
        <v>20</v>
      </c>
      <c r="B22" s="9">
        <v>46121</v>
      </c>
      <c r="C22" s="10" t="s">
        <v>45</v>
      </c>
      <c r="D22" s="11" t="s">
        <v>66</v>
      </c>
      <c r="E22" s="12"/>
      <c r="F22" s="10">
        <v>4</v>
      </c>
      <c r="G22" s="15"/>
    </row>
    <row r="23" customFormat="1" ht="22" customHeight="1" spans="1:8">
      <c r="A23" s="8">
        <v>21</v>
      </c>
      <c r="B23" s="9">
        <v>46121</v>
      </c>
      <c r="C23" s="10" t="s">
        <v>46</v>
      </c>
      <c r="D23" s="11" t="s">
        <v>66</v>
      </c>
      <c r="E23" s="12"/>
      <c r="F23" s="10">
        <v>4</v>
      </c>
      <c r="G23" s="15"/>
    </row>
    <row r="24" customFormat="1" ht="22" customHeight="1" spans="1:8">
      <c r="A24" s="8">
        <v>22</v>
      </c>
      <c r="B24" s="9">
        <v>46121</v>
      </c>
      <c r="C24" s="10" t="s">
        <v>45</v>
      </c>
      <c r="D24" s="11" t="s">
        <v>66</v>
      </c>
      <c r="E24" s="12"/>
      <c r="F24" s="10">
        <v>4</v>
      </c>
      <c r="G24" s="15" t="s">
        <v>68</v>
      </c>
      <c r="H24" s="16" t="s">
        <v>78</v>
      </c>
    </row>
    <row r="25" customFormat="1" ht="22" customHeight="1" spans="1:8">
      <c r="A25" s="8">
        <v>23</v>
      </c>
      <c r="B25" s="9">
        <v>46121</v>
      </c>
      <c r="C25" s="10" t="s">
        <v>46</v>
      </c>
      <c r="D25" s="11" t="s">
        <v>66</v>
      </c>
      <c r="E25" s="12"/>
      <c r="F25" s="10">
        <v>4</v>
      </c>
      <c r="G25" s="15" t="s">
        <v>68</v>
      </c>
      <c r="H25" s="16" t="s">
        <v>78</v>
      </c>
    </row>
    <row r="26" customFormat="1" ht="22" customHeight="1" spans="1:8">
      <c r="A26" s="8"/>
      <c r="B26" s="9"/>
      <c r="C26" s="10"/>
      <c r="D26" s="11"/>
      <c r="E26" s="12"/>
      <c r="F26" s="15"/>
      <c r="G26" s="15"/>
    </row>
    <row r="27" customFormat="1" ht="22" customHeight="1" spans="1:8">
      <c r="A27" s="8"/>
      <c r="B27" s="17"/>
      <c r="C27" s="10"/>
      <c r="D27" s="18"/>
      <c r="E27" s="19"/>
      <c r="F27" s="20"/>
      <c r="G27" s="20"/>
    </row>
    <row r="28" customFormat="1" ht="13.5" spans="1:8">
      <c r="E28" s="21">
        <f>SUM(E3:E27)</f>
        <v>27</v>
      </c>
      <c r="F28" s="21">
        <f>SUM(F3:F27)</f>
        <v>62</v>
      </c>
    </row>
    <row r="30" ht="26" customHeight="1" spans="1:8">
      <c r="C30" s="22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H21" sqref="H21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7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46125</v>
      </c>
      <c r="C3" s="10" t="s">
        <v>16</v>
      </c>
      <c r="D3" s="11" t="s">
        <v>65</v>
      </c>
      <c r="E3" s="10">
        <v>1</v>
      </c>
      <c r="F3" s="10">
        <v>2</v>
      </c>
      <c r="G3" s="23"/>
      <c r="H3" s="24" t="s">
        <v>73</v>
      </c>
      <c r="I3">
        <f>E3+F3</f>
        <v>3</v>
      </c>
    </row>
    <row r="4" ht="22" customHeight="1" spans="1:9">
      <c r="A4" s="8">
        <v>2</v>
      </c>
      <c r="B4" s="9">
        <v>46125</v>
      </c>
      <c r="C4" s="10" t="s">
        <v>19</v>
      </c>
      <c r="D4" s="11" t="s">
        <v>65</v>
      </c>
      <c r="E4" s="13"/>
      <c r="F4" s="10">
        <v>3</v>
      </c>
      <c r="G4" s="14"/>
      <c r="I4">
        <f t="shared" ref="I4:I28" si="0">E4+F4</f>
        <v>3</v>
      </c>
    </row>
    <row r="5" ht="22" customHeight="1" spans="1:9">
      <c r="A5" s="8">
        <v>3</v>
      </c>
      <c r="B5" s="9">
        <v>46125</v>
      </c>
      <c r="C5" s="10" t="s">
        <v>60</v>
      </c>
      <c r="D5" s="11" t="s">
        <v>65</v>
      </c>
      <c r="E5" s="13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46125</v>
      </c>
      <c r="C6" s="10" t="s">
        <v>22</v>
      </c>
      <c r="D6" s="11" t="s">
        <v>65</v>
      </c>
      <c r="E6" s="10">
        <v>3</v>
      </c>
      <c r="F6" s="13"/>
      <c r="G6" s="14"/>
      <c r="I6">
        <f t="shared" si="0"/>
        <v>3</v>
      </c>
    </row>
    <row r="7" ht="22" customHeight="1" spans="1:9">
      <c r="A7" s="8">
        <v>5</v>
      </c>
      <c r="B7" s="9">
        <v>46125</v>
      </c>
      <c r="C7" s="10" t="s">
        <v>24</v>
      </c>
      <c r="D7" s="11" t="s">
        <v>65</v>
      </c>
      <c r="E7" s="13"/>
      <c r="F7" s="10">
        <v>3</v>
      </c>
      <c r="G7" s="14"/>
      <c r="I7">
        <f t="shared" si="0"/>
        <v>3</v>
      </c>
    </row>
    <row r="8" ht="22" customHeight="1" spans="1:9">
      <c r="A8" s="8">
        <v>6</v>
      </c>
      <c r="B8" s="9">
        <v>46125</v>
      </c>
      <c r="C8" s="10" t="s">
        <v>26</v>
      </c>
      <c r="D8" s="11" t="s">
        <v>65</v>
      </c>
      <c r="E8" s="10">
        <v>3</v>
      </c>
      <c r="F8" s="10"/>
      <c r="G8" s="14"/>
      <c r="I8">
        <f t="shared" si="0"/>
        <v>3</v>
      </c>
    </row>
    <row r="9" ht="22" customHeight="1" spans="1:9">
      <c r="A9" s="8">
        <v>7</v>
      </c>
      <c r="B9" s="9">
        <v>46125</v>
      </c>
      <c r="C9" s="10" t="s">
        <v>40</v>
      </c>
      <c r="D9" s="11" t="s">
        <v>65</v>
      </c>
      <c r="E9" s="10"/>
      <c r="F9" s="10">
        <v>3</v>
      </c>
      <c r="G9" s="14"/>
      <c r="I9">
        <f t="shared" si="0"/>
        <v>3</v>
      </c>
    </row>
    <row r="10" ht="22" customHeight="1" spans="1:9">
      <c r="A10" s="8">
        <v>8</v>
      </c>
      <c r="B10" s="9">
        <v>46125</v>
      </c>
      <c r="C10" s="10" t="s">
        <v>27</v>
      </c>
      <c r="D10" s="11" t="s">
        <v>65</v>
      </c>
      <c r="E10" s="13"/>
      <c r="F10" s="10">
        <v>3</v>
      </c>
      <c r="G10" s="15"/>
      <c r="I10">
        <f t="shared" si="0"/>
        <v>3</v>
      </c>
    </row>
    <row r="11" ht="22" customHeight="1" spans="1:9">
      <c r="A11" s="8">
        <v>9</v>
      </c>
      <c r="B11" s="9">
        <v>46125</v>
      </c>
      <c r="C11" s="10" t="s">
        <v>28</v>
      </c>
      <c r="D11" s="11" t="s">
        <v>65</v>
      </c>
      <c r="E11" s="13"/>
      <c r="F11" s="10">
        <v>3</v>
      </c>
      <c r="G11" s="15"/>
      <c r="I11">
        <f t="shared" si="0"/>
        <v>3</v>
      </c>
    </row>
    <row r="12" customFormat="1" ht="22" customHeight="1" spans="1:9">
      <c r="A12" s="8">
        <v>10</v>
      </c>
      <c r="B12" s="9">
        <v>46125</v>
      </c>
      <c r="C12" s="10" t="s">
        <v>29</v>
      </c>
      <c r="D12" s="11" t="s">
        <v>65</v>
      </c>
      <c r="E12" s="10">
        <v>2</v>
      </c>
      <c r="F12" s="10">
        <v>1</v>
      </c>
      <c r="G12" s="15"/>
      <c r="I12">
        <f t="shared" si="0"/>
        <v>3</v>
      </c>
    </row>
    <row r="13" customFormat="1" ht="22" customHeight="1" spans="1:9">
      <c r="A13" s="8">
        <v>11</v>
      </c>
      <c r="B13" s="9">
        <v>46125</v>
      </c>
      <c r="C13" s="10" t="s">
        <v>31</v>
      </c>
      <c r="D13" s="11" t="s">
        <v>65</v>
      </c>
      <c r="E13" s="10">
        <v>3</v>
      </c>
      <c r="F13" s="15"/>
      <c r="G13" s="15"/>
      <c r="I13">
        <f t="shared" si="0"/>
        <v>3</v>
      </c>
    </row>
    <row r="14" customFormat="1" ht="22" customHeight="1" spans="1:9">
      <c r="A14" s="8">
        <v>12</v>
      </c>
      <c r="B14" s="9">
        <v>46125</v>
      </c>
      <c r="C14" s="10" t="s">
        <v>32</v>
      </c>
      <c r="D14" s="11" t="s">
        <v>65</v>
      </c>
      <c r="E14" s="12">
        <v>3</v>
      </c>
      <c r="F14" s="15"/>
      <c r="G14" s="15"/>
      <c r="I14">
        <f t="shared" si="0"/>
        <v>3</v>
      </c>
    </row>
    <row r="15" customFormat="1" ht="22" customHeight="1" spans="1:9">
      <c r="A15" s="8">
        <v>13</v>
      </c>
      <c r="B15" s="9">
        <v>46125</v>
      </c>
      <c r="C15" s="10" t="s">
        <v>34</v>
      </c>
      <c r="D15" s="11" t="s">
        <v>65</v>
      </c>
      <c r="E15" s="12"/>
      <c r="F15" s="15">
        <v>3</v>
      </c>
      <c r="G15" s="15"/>
      <c r="I15">
        <f t="shared" si="0"/>
        <v>3</v>
      </c>
    </row>
    <row r="16" customFormat="1" ht="22" customHeight="1" spans="1:9">
      <c r="A16" s="8">
        <v>14</v>
      </c>
      <c r="B16" s="9">
        <v>46125</v>
      </c>
      <c r="C16" s="10" t="s">
        <v>35</v>
      </c>
      <c r="D16" s="11" t="s">
        <v>65</v>
      </c>
      <c r="E16" s="12"/>
      <c r="F16" s="15">
        <v>3</v>
      </c>
      <c r="G16" s="15"/>
      <c r="I16">
        <f t="shared" si="0"/>
        <v>3</v>
      </c>
    </row>
    <row r="17" customFormat="1" ht="22" customHeight="1" spans="1:9">
      <c r="A17" s="8">
        <v>15</v>
      </c>
      <c r="B17" s="9">
        <v>46125</v>
      </c>
      <c r="C17" s="10" t="s">
        <v>36</v>
      </c>
      <c r="D17" s="11" t="s">
        <v>65</v>
      </c>
      <c r="E17" s="12">
        <v>2</v>
      </c>
      <c r="F17" s="15">
        <v>1</v>
      </c>
      <c r="G17" s="15"/>
      <c r="I17">
        <f t="shared" si="0"/>
        <v>3</v>
      </c>
    </row>
    <row r="18" customFormat="1" ht="22" customHeight="1" spans="1:9">
      <c r="A18" s="8">
        <v>16</v>
      </c>
      <c r="B18" s="9">
        <v>46125</v>
      </c>
      <c r="C18" s="10" t="s">
        <v>38</v>
      </c>
      <c r="D18" s="11" t="s">
        <v>65</v>
      </c>
      <c r="E18" s="12"/>
      <c r="F18" s="15">
        <v>3</v>
      </c>
      <c r="G18" s="15"/>
      <c r="I18">
        <f t="shared" si="0"/>
        <v>3</v>
      </c>
    </row>
    <row r="19" customFormat="1" ht="22" customHeight="1" spans="1:9">
      <c r="A19" s="8">
        <v>17</v>
      </c>
      <c r="B19" s="9">
        <v>46125</v>
      </c>
      <c r="C19" s="10" t="s">
        <v>41</v>
      </c>
      <c r="D19" s="11" t="s">
        <v>65</v>
      </c>
      <c r="E19" s="12"/>
      <c r="F19" s="15">
        <v>3</v>
      </c>
      <c r="G19" s="15"/>
      <c r="I19">
        <f t="shared" si="0"/>
        <v>3</v>
      </c>
    </row>
    <row r="20" customFormat="1" ht="22" customHeight="1" spans="1:9">
      <c r="A20" s="8">
        <v>18</v>
      </c>
      <c r="B20" s="9">
        <v>46125</v>
      </c>
      <c r="C20" s="10" t="s">
        <v>43</v>
      </c>
      <c r="D20" s="11" t="s">
        <v>65</v>
      </c>
      <c r="E20" s="12">
        <v>3</v>
      </c>
      <c r="F20" s="15"/>
      <c r="G20" s="15"/>
      <c r="I20">
        <f t="shared" si="0"/>
        <v>3</v>
      </c>
    </row>
    <row r="21" customFormat="1" ht="22" customHeight="1" spans="1:9">
      <c r="A21" s="8">
        <v>19</v>
      </c>
      <c r="B21" s="9">
        <v>46125</v>
      </c>
      <c r="C21" s="10" t="s">
        <v>43</v>
      </c>
      <c r="D21" s="11" t="s">
        <v>65</v>
      </c>
      <c r="E21" s="10">
        <v>1</v>
      </c>
      <c r="F21" s="15"/>
      <c r="G21" s="15" t="s">
        <v>68</v>
      </c>
      <c r="H21" s="16" t="s">
        <v>74</v>
      </c>
      <c r="I21">
        <f t="shared" si="0"/>
        <v>1</v>
      </c>
    </row>
    <row r="22" customFormat="1" ht="22" customHeight="1" spans="1:9">
      <c r="A22" s="8">
        <v>20</v>
      </c>
      <c r="B22" s="9">
        <v>46125</v>
      </c>
      <c r="C22" s="10" t="s">
        <v>45</v>
      </c>
      <c r="D22" s="11" t="s">
        <v>65</v>
      </c>
      <c r="E22" s="12"/>
      <c r="F22" s="12">
        <v>3</v>
      </c>
      <c r="G22" s="15"/>
      <c r="I22">
        <f t="shared" si="0"/>
        <v>3</v>
      </c>
    </row>
    <row r="23" customFormat="1" ht="22" customHeight="1" spans="1:9">
      <c r="A23" s="8">
        <v>21</v>
      </c>
      <c r="B23" s="9">
        <v>46125</v>
      </c>
      <c r="C23" s="10" t="s">
        <v>46</v>
      </c>
      <c r="D23" s="11" t="s">
        <v>65</v>
      </c>
      <c r="E23" s="12"/>
      <c r="F23" s="12">
        <v>3</v>
      </c>
      <c r="G23" s="15"/>
      <c r="I23">
        <f t="shared" si="0"/>
        <v>3</v>
      </c>
    </row>
    <row r="24" customFormat="1" ht="22" customHeight="1" spans="1:9">
      <c r="A24" s="8">
        <v>22</v>
      </c>
      <c r="B24" s="9">
        <v>46125</v>
      </c>
      <c r="C24" s="10" t="s">
        <v>45</v>
      </c>
      <c r="D24" s="11" t="s">
        <v>65</v>
      </c>
      <c r="E24" s="12"/>
      <c r="F24" s="12">
        <v>3</v>
      </c>
      <c r="G24" s="15" t="s">
        <v>68</v>
      </c>
      <c r="H24" s="16" t="s">
        <v>79</v>
      </c>
      <c r="I24">
        <f t="shared" si="0"/>
        <v>3</v>
      </c>
    </row>
    <row r="25" customFormat="1" ht="22" customHeight="1" spans="1:9">
      <c r="A25" s="8">
        <v>23</v>
      </c>
      <c r="B25" s="9">
        <v>46125</v>
      </c>
      <c r="C25" s="10" t="s">
        <v>46</v>
      </c>
      <c r="D25" s="11" t="s">
        <v>65</v>
      </c>
      <c r="E25" s="12"/>
      <c r="F25" s="12">
        <v>3</v>
      </c>
      <c r="G25" s="15" t="s">
        <v>68</v>
      </c>
      <c r="H25" s="16" t="s">
        <v>79</v>
      </c>
      <c r="I25">
        <f t="shared" si="0"/>
        <v>3</v>
      </c>
    </row>
    <row r="26" customFormat="1" ht="22" customHeight="1" spans="1:9">
      <c r="A26" s="8"/>
      <c r="B26" s="9"/>
      <c r="C26" s="10"/>
      <c r="D26" s="11"/>
      <c r="E26" s="12"/>
      <c r="F26" s="15"/>
      <c r="G26" s="15"/>
      <c r="I26">
        <f t="shared" si="0"/>
        <v>0</v>
      </c>
    </row>
    <row r="27" customFormat="1" ht="22" customHeight="1" spans="1:9">
      <c r="A27" s="8"/>
      <c r="B27" s="17"/>
      <c r="C27" s="10"/>
      <c r="D27" s="18"/>
      <c r="E27" s="19"/>
      <c r="F27" s="20"/>
      <c r="G27" s="20"/>
      <c r="I27">
        <f t="shared" si="0"/>
        <v>0</v>
      </c>
    </row>
    <row r="28" customFormat="1" ht="13.5" spans="1:9">
      <c r="E28" s="21">
        <f>SUM(E3:E27)</f>
        <v>21</v>
      </c>
      <c r="F28" s="21">
        <f>SUM(F3:F27)</f>
        <v>46</v>
      </c>
      <c r="I28">
        <f t="shared" si="0"/>
        <v>67</v>
      </c>
    </row>
    <row r="30" ht="26" customHeight="1" spans="1:9">
      <c r="C30" s="22"/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2" topLeftCell="A11" activePane="bottomLeft" state="frozen"/>
      <selection/>
      <selection pane="bottomLeft" activeCell="G14" sqref="G14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8.7142857142857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  <c r="I1" t="s">
        <v>77</v>
      </c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46128</v>
      </c>
      <c r="C3" s="10" t="s">
        <v>16</v>
      </c>
      <c r="D3" s="11" t="s">
        <v>66</v>
      </c>
      <c r="E3" s="10">
        <v>2</v>
      </c>
      <c r="F3" s="10">
        <v>2</v>
      </c>
      <c r="G3" s="12" t="s">
        <v>76</v>
      </c>
      <c r="I3">
        <f>E3+F3</f>
        <v>4</v>
      </c>
    </row>
    <row r="4" ht="22" customHeight="1" spans="1:9">
      <c r="A4" s="8">
        <v>2</v>
      </c>
      <c r="B4" s="9">
        <v>46128</v>
      </c>
      <c r="C4" s="10" t="s">
        <v>19</v>
      </c>
      <c r="D4" s="11" t="s">
        <v>66</v>
      </c>
      <c r="E4" s="13"/>
      <c r="F4" s="10">
        <v>4</v>
      </c>
      <c r="G4" s="14"/>
      <c r="I4">
        <f t="shared" ref="I4:I28" si="0">E4+F4</f>
        <v>4</v>
      </c>
    </row>
    <row r="5" ht="22" customHeight="1" spans="1:9">
      <c r="A5" s="8">
        <v>3</v>
      </c>
      <c r="B5" s="9">
        <v>46128</v>
      </c>
      <c r="C5" s="10" t="s">
        <v>60</v>
      </c>
      <c r="D5" s="11" t="s">
        <v>66</v>
      </c>
      <c r="E5" s="13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22</v>
      </c>
      <c r="D6" s="11" t="s">
        <v>66</v>
      </c>
      <c r="E6" s="10">
        <v>4</v>
      </c>
      <c r="F6" s="13"/>
      <c r="G6" s="14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24</v>
      </c>
      <c r="D7" s="11" t="s">
        <v>66</v>
      </c>
      <c r="E7" s="13"/>
      <c r="F7" s="10">
        <v>4</v>
      </c>
      <c r="G7" s="14"/>
      <c r="I7">
        <f t="shared" si="0"/>
        <v>4</v>
      </c>
    </row>
    <row r="8" ht="22" customHeight="1" spans="1:9">
      <c r="A8" s="8">
        <v>6</v>
      </c>
      <c r="B8" s="9">
        <v>46128</v>
      </c>
      <c r="C8" s="10" t="s">
        <v>26</v>
      </c>
      <c r="D8" s="11" t="s">
        <v>66</v>
      </c>
      <c r="E8" s="10">
        <v>4</v>
      </c>
      <c r="F8" s="10"/>
      <c r="G8" s="14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40</v>
      </c>
      <c r="D9" s="11" t="s">
        <v>66</v>
      </c>
      <c r="E9" s="10"/>
      <c r="F9" s="10">
        <v>4</v>
      </c>
      <c r="G9" s="14"/>
      <c r="I9">
        <f t="shared" si="0"/>
        <v>4</v>
      </c>
    </row>
    <row r="10" ht="22" customHeight="1" spans="1:9">
      <c r="A10" s="8">
        <v>8</v>
      </c>
      <c r="B10" s="9">
        <v>46128</v>
      </c>
      <c r="C10" s="10" t="s">
        <v>27</v>
      </c>
      <c r="D10" s="11" t="s">
        <v>66</v>
      </c>
      <c r="E10" s="13"/>
      <c r="F10" s="10">
        <v>4</v>
      </c>
      <c r="G10" s="15"/>
      <c r="I10">
        <f t="shared" si="0"/>
        <v>4</v>
      </c>
    </row>
    <row r="11" ht="22" customHeight="1" spans="1:9">
      <c r="A11" s="8">
        <v>9</v>
      </c>
      <c r="B11" s="9">
        <v>46128</v>
      </c>
      <c r="C11" s="10" t="s">
        <v>28</v>
      </c>
      <c r="D11" s="11" t="s">
        <v>66</v>
      </c>
      <c r="E11" s="13"/>
      <c r="F11" s="10">
        <v>4</v>
      </c>
      <c r="G11" s="15"/>
      <c r="I11">
        <f t="shared" si="0"/>
        <v>4</v>
      </c>
    </row>
    <row r="12" customFormat="1" ht="22" customHeight="1" spans="1:9">
      <c r="A12" s="8">
        <v>10</v>
      </c>
      <c r="B12" s="9">
        <v>46128</v>
      </c>
      <c r="C12" s="10" t="s">
        <v>29</v>
      </c>
      <c r="D12" s="11" t="s">
        <v>66</v>
      </c>
      <c r="E12" s="10">
        <v>2</v>
      </c>
      <c r="F12" s="10">
        <v>2</v>
      </c>
      <c r="G12" s="15"/>
      <c r="I12">
        <f t="shared" si="0"/>
        <v>4</v>
      </c>
    </row>
    <row r="13" customFormat="1" ht="22" customHeight="1" spans="1:9">
      <c r="A13" s="8">
        <v>11</v>
      </c>
      <c r="B13" s="9">
        <v>46128</v>
      </c>
      <c r="C13" s="10" t="s">
        <v>31</v>
      </c>
      <c r="D13" s="11" t="s">
        <v>66</v>
      </c>
      <c r="E13" s="10">
        <v>4</v>
      </c>
      <c r="F13" s="15"/>
      <c r="G13" s="15"/>
      <c r="I13">
        <f t="shared" si="0"/>
        <v>4</v>
      </c>
    </row>
    <row r="14" customFormat="1" ht="22" customHeight="1" spans="1:9">
      <c r="A14" s="8">
        <v>12</v>
      </c>
      <c r="B14" s="9">
        <v>46128</v>
      </c>
      <c r="C14" s="10" t="s">
        <v>32</v>
      </c>
      <c r="D14" s="11" t="s">
        <v>66</v>
      </c>
      <c r="E14" s="10">
        <v>4</v>
      </c>
      <c r="F14" s="15"/>
      <c r="G14" s="15"/>
      <c r="I14">
        <f t="shared" si="0"/>
        <v>4</v>
      </c>
    </row>
    <row r="15" customFormat="1" ht="22" customHeight="1" spans="1:9">
      <c r="A15" s="8">
        <v>13</v>
      </c>
      <c r="B15" s="9">
        <v>46128</v>
      </c>
      <c r="C15" s="10" t="s">
        <v>34</v>
      </c>
      <c r="D15" s="11" t="s">
        <v>66</v>
      </c>
      <c r="E15" s="12"/>
      <c r="F15" s="10">
        <v>4</v>
      </c>
      <c r="G15" s="15"/>
      <c r="I15">
        <f t="shared" si="0"/>
        <v>4</v>
      </c>
    </row>
    <row r="16" customFormat="1" ht="22" customHeight="1" spans="1:9">
      <c r="A16" s="8">
        <v>14</v>
      </c>
      <c r="B16" s="9">
        <v>46128</v>
      </c>
      <c r="C16" s="10" t="s">
        <v>35</v>
      </c>
      <c r="D16" s="11" t="s">
        <v>66</v>
      </c>
      <c r="E16" s="12"/>
      <c r="F16" s="10">
        <v>4</v>
      </c>
      <c r="G16" s="15"/>
      <c r="I16">
        <f t="shared" si="0"/>
        <v>4</v>
      </c>
    </row>
    <row r="17" customFormat="1" ht="22" customHeight="1" spans="1:9">
      <c r="A17" s="8">
        <v>15</v>
      </c>
      <c r="B17" s="9">
        <v>46128</v>
      </c>
      <c r="C17" s="10" t="s">
        <v>36</v>
      </c>
      <c r="D17" s="11" t="s">
        <v>66</v>
      </c>
      <c r="E17" s="10">
        <v>2</v>
      </c>
      <c r="F17" s="10">
        <v>2</v>
      </c>
      <c r="G17" s="15"/>
      <c r="I17">
        <f t="shared" si="0"/>
        <v>4</v>
      </c>
    </row>
    <row r="18" customFormat="1" ht="22" customHeight="1" spans="1:9">
      <c r="A18" s="8">
        <v>16</v>
      </c>
      <c r="B18" s="9">
        <v>46128</v>
      </c>
      <c r="C18" s="10" t="s">
        <v>38</v>
      </c>
      <c r="D18" s="11" t="s">
        <v>66</v>
      </c>
      <c r="E18" s="12"/>
      <c r="F18" s="10">
        <v>4</v>
      </c>
      <c r="G18" s="15"/>
      <c r="I18">
        <f t="shared" si="0"/>
        <v>4</v>
      </c>
    </row>
    <row r="19" customFormat="1" ht="22" customHeight="1" spans="1:9">
      <c r="A19" s="8">
        <v>17</v>
      </c>
      <c r="B19" s="9">
        <v>46128</v>
      </c>
      <c r="C19" s="10" t="s">
        <v>41</v>
      </c>
      <c r="D19" s="11" t="s">
        <v>66</v>
      </c>
      <c r="E19" s="12"/>
      <c r="F19" s="10">
        <v>4</v>
      </c>
      <c r="G19" s="15"/>
      <c r="I19">
        <f t="shared" si="0"/>
        <v>4</v>
      </c>
    </row>
    <row r="20" customFormat="1" ht="22" customHeight="1" spans="1:9">
      <c r="A20" s="8">
        <v>18</v>
      </c>
      <c r="B20" s="9">
        <v>46128</v>
      </c>
      <c r="C20" s="10" t="s">
        <v>43</v>
      </c>
      <c r="D20" s="11" t="s">
        <v>66</v>
      </c>
      <c r="E20" s="10">
        <v>5</v>
      </c>
      <c r="F20" s="15"/>
      <c r="G20" s="15" t="s">
        <v>80</v>
      </c>
      <c r="I20">
        <f t="shared" si="0"/>
        <v>5</v>
      </c>
    </row>
    <row r="21" customFormat="1" ht="22" customHeight="1" spans="1:9">
      <c r="A21" s="8">
        <v>19</v>
      </c>
      <c r="B21" s="9">
        <v>46128</v>
      </c>
      <c r="C21" s="10" t="s">
        <v>45</v>
      </c>
      <c r="D21" s="11" t="s">
        <v>66</v>
      </c>
      <c r="E21" s="12"/>
      <c r="F21" s="10">
        <v>4</v>
      </c>
      <c r="G21" s="15"/>
      <c r="I21">
        <f t="shared" si="0"/>
        <v>4</v>
      </c>
    </row>
    <row r="22" customFormat="1" ht="22" customHeight="1" spans="1:9">
      <c r="A22" s="8">
        <v>20</v>
      </c>
      <c r="B22" s="9">
        <v>46128</v>
      </c>
      <c r="C22" s="10" t="s">
        <v>46</v>
      </c>
      <c r="D22" s="11" t="s">
        <v>66</v>
      </c>
      <c r="E22" s="12"/>
      <c r="F22" s="10">
        <v>4</v>
      </c>
      <c r="G22" s="15"/>
      <c r="I22">
        <f t="shared" si="0"/>
        <v>4</v>
      </c>
    </row>
    <row r="23" customFormat="1" ht="22" customHeight="1" spans="1:9">
      <c r="A23" s="8"/>
      <c r="B23" s="9"/>
      <c r="C23" s="10"/>
      <c r="D23" s="11"/>
      <c r="E23" s="12"/>
      <c r="F23" s="10"/>
      <c r="G23" s="15"/>
      <c r="H23" s="16"/>
      <c r="I23">
        <f t="shared" si="0"/>
        <v>0</v>
      </c>
    </row>
    <row r="24" customFormat="1" ht="22" customHeight="1" spans="1:9">
      <c r="A24" s="8"/>
      <c r="B24" s="9"/>
      <c r="C24" s="10"/>
      <c r="D24" s="11"/>
      <c r="E24" s="12"/>
      <c r="F24" s="10"/>
      <c r="G24" s="15"/>
      <c r="H24" s="16"/>
      <c r="I24">
        <f t="shared" si="0"/>
        <v>0</v>
      </c>
    </row>
    <row r="25" customFormat="1" ht="22" customHeight="1" spans="1:9">
      <c r="A25" s="8"/>
      <c r="B25" s="9"/>
      <c r="C25" s="10"/>
      <c r="D25" s="11"/>
      <c r="E25" s="12"/>
      <c r="F25" s="15"/>
      <c r="G25" s="15"/>
      <c r="I25">
        <f t="shared" si="0"/>
        <v>0</v>
      </c>
    </row>
    <row r="26" customFormat="1" ht="22" customHeight="1" spans="1:9">
      <c r="A26" s="8"/>
      <c r="B26" s="17"/>
      <c r="C26" s="10"/>
      <c r="D26" s="18"/>
      <c r="E26" s="19"/>
      <c r="F26" s="20"/>
      <c r="G26" s="20"/>
      <c r="I26">
        <f t="shared" si="0"/>
        <v>0</v>
      </c>
    </row>
    <row r="27" customFormat="1" ht="13.5" spans="1:9">
      <c r="E27" s="21">
        <f>SUM(E3:E26)</f>
        <v>27</v>
      </c>
      <c r="F27" s="21">
        <f>SUM(F3:F26)</f>
        <v>54</v>
      </c>
      <c r="I27">
        <f t="shared" si="0"/>
        <v>81</v>
      </c>
    </row>
    <row r="29" ht="26" customHeight="1" spans="1:9">
      <c r="C29" s="22"/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topLeftCell="A3" workbookViewId="0">
      <selection activeCell="A1" sqref="A1:G27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7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46132</v>
      </c>
      <c r="C3" s="10" t="s">
        <v>16</v>
      </c>
      <c r="D3" s="11" t="s">
        <v>65</v>
      </c>
      <c r="E3" s="10">
        <v>1</v>
      </c>
      <c r="F3" s="10">
        <v>2</v>
      </c>
      <c r="G3" s="23"/>
      <c r="H3" s="24" t="s">
        <v>73</v>
      </c>
      <c r="I3">
        <f>E3+F3</f>
        <v>3</v>
      </c>
    </row>
    <row r="4" ht="22" customHeight="1" spans="1:9">
      <c r="A4" s="8">
        <v>2</v>
      </c>
      <c r="B4" s="9">
        <v>46132</v>
      </c>
      <c r="C4" s="10" t="s">
        <v>19</v>
      </c>
      <c r="D4" s="11" t="s">
        <v>65</v>
      </c>
      <c r="E4" s="13"/>
      <c r="F4" s="10">
        <v>3</v>
      </c>
      <c r="G4" s="14"/>
      <c r="I4">
        <f t="shared" ref="I4:I28" si="0">E4+F4</f>
        <v>3</v>
      </c>
    </row>
    <row r="5" ht="22" customHeight="1" spans="1:9">
      <c r="A5" s="8">
        <v>3</v>
      </c>
      <c r="B5" s="9">
        <v>46132</v>
      </c>
      <c r="C5" s="10" t="s">
        <v>60</v>
      </c>
      <c r="D5" s="11" t="s">
        <v>65</v>
      </c>
      <c r="E5" s="13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46132</v>
      </c>
      <c r="C6" s="10" t="s">
        <v>22</v>
      </c>
      <c r="D6" s="11" t="s">
        <v>65</v>
      </c>
      <c r="E6" s="10">
        <v>3</v>
      </c>
      <c r="F6" s="13"/>
      <c r="G6" s="14"/>
      <c r="I6">
        <f t="shared" si="0"/>
        <v>3</v>
      </c>
    </row>
    <row r="7" ht="22" customHeight="1" spans="1:9">
      <c r="A7" s="8">
        <v>5</v>
      </c>
      <c r="B7" s="9">
        <v>46132</v>
      </c>
      <c r="C7" s="10" t="s">
        <v>24</v>
      </c>
      <c r="D7" s="11" t="s">
        <v>65</v>
      </c>
      <c r="E7" s="13"/>
      <c r="F7" s="10">
        <v>3</v>
      </c>
      <c r="G7" s="14"/>
      <c r="I7">
        <f t="shared" si="0"/>
        <v>3</v>
      </c>
    </row>
    <row r="8" ht="22" customHeight="1" spans="1:9">
      <c r="A8" s="8">
        <v>6</v>
      </c>
      <c r="B8" s="9">
        <v>46132</v>
      </c>
      <c r="C8" s="10" t="s">
        <v>26</v>
      </c>
      <c r="D8" s="11" t="s">
        <v>65</v>
      </c>
      <c r="E8" s="10">
        <v>3</v>
      </c>
      <c r="F8" s="10"/>
      <c r="G8" s="14"/>
      <c r="I8">
        <f t="shared" si="0"/>
        <v>3</v>
      </c>
    </row>
    <row r="9" ht="22" customHeight="1" spans="1:9">
      <c r="A9" s="8">
        <v>7</v>
      </c>
      <c r="B9" s="9">
        <v>46132</v>
      </c>
      <c r="C9" s="10" t="s">
        <v>40</v>
      </c>
      <c r="D9" s="11" t="s">
        <v>65</v>
      </c>
      <c r="E9" s="10"/>
      <c r="F9" s="10">
        <v>3</v>
      </c>
      <c r="G9" s="14"/>
      <c r="I9">
        <f t="shared" si="0"/>
        <v>3</v>
      </c>
    </row>
    <row r="10" ht="22" customHeight="1" spans="1:9">
      <c r="A10" s="8">
        <v>8</v>
      </c>
      <c r="B10" s="9">
        <v>46132</v>
      </c>
      <c r="C10" s="10" t="s">
        <v>27</v>
      </c>
      <c r="D10" s="11" t="s">
        <v>65</v>
      </c>
      <c r="E10" s="13"/>
      <c r="F10" s="10">
        <v>3</v>
      </c>
      <c r="G10" s="15"/>
      <c r="I10">
        <f t="shared" si="0"/>
        <v>3</v>
      </c>
    </row>
    <row r="11" ht="22" customHeight="1" spans="1:9">
      <c r="A11" s="8">
        <v>9</v>
      </c>
      <c r="B11" s="9">
        <v>46132</v>
      </c>
      <c r="C11" s="10" t="s">
        <v>28</v>
      </c>
      <c r="D11" s="11" t="s">
        <v>65</v>
      </c>
      <c r="E11" s="13"/>
      <c r="F11" s="10">
        <v>3</v>
      </c>
      <c r="G11" s="15"/>
      <c r="I11">
        <f t="shared" si="0"/>
        <v>3</v>
      </c>
    </row>
    <row r="12" customFormat="1" ht="22" customHeight="1" spans="1:9">
      <c r="A12" s="8">
        <v>10</v>
      </c>
      <c r="B12" s="9">
        <v>46132</v>
      </c>
      <c r="C12" s="10" t="s">
        <v>29</v>
      </c>
      <c r="D12" s="11" t="s">
        <v>65</v>
      </c>
      <c r="E12" s="10">
        <v>2</v>
      </c>
      <c r="F12" s="10">
        <v>1</v>
      </c>
      <c r="G12" s="15"/>
      <c r="I12">
        <f t="shared" si="0"/>
        <v>3</v>
      </c>
    </row>
    <row r="13" customFormat="1" ht="22" customHeight="1" spans="1:9">
      <c r="A13" s="8">
        <v>11</v>
      </c>
      <c r="B13" s="9">
        <v>46132</v>
      </c>
      <c r="C13" s="10" t="s">
        <v>31</v>
      </c>
      <c r="D13" s="11" t="s">
        <v>65</v>
      </c>
      <c r="E13" s="10">
        <v>3</v>
      </c>
      <c r="F13" s="15"/>
      <c r="G13" s="15"/>
      <c r="I13">
        <f t="shared" si="0"/>
        <v>3</v>
      </c>
    </row>
    <row r="14" customFormat="1" ht="22" customHeight="1" spans="1:9">
      <c r="A14" s="8">
        <v>12</v>
      </c>
      <c r="B14" s="9">
        <v>46132</v>
      </c>
      <c r="C14" s="10" t="s">
        <v>32</v>
      </c>
      <c r="D14" s="11" t="s">
        <v>65</v>
      </c>
      <c r="E14" s="12">
        <v>3</v>
      </c>
      <c r="F14" s="15"/>
      <c r="G14" s="15"/>
      <c r="I14">
        <f t="shared" si="0"/>
        <v>3</v>
      </c>
    </row>
    <row r="15" customFormat="1" ht="22" customHeight="1" spans="1:9">
      <c r="A15" s="8">
        <v>13</v>
      </c>
      <c r="B15" s="9">
        <v>46132</v>
      </c>
      <c r="C15" s="10" t="s">
        <v>34</v>
      </c>
      <c r="D15" s="11" t="s">
        <v>65</v>
      </c>
      <c r="E15" s="12"/>
      <c r="F15" s="15">
        <v>3</v>
      </c>
      <c r="G15" s="15"/>
      <c r="I15">
        <f t="shared" si="0"/>
        <v>3</v>
      </c>
    </row>
    <row r="16" customFormat="1" ht="22" customHeight="1" spans="1:9">
      <c r="A16" s="8">
        <v>14</v>
      </c>
      <c r="B16" s="9">
        <v>46132</v>
      </c>
      <c r="C16" s="10" t="s">
        <v>35</v>
      </c>
      <c r="D16" s="11" t="s">
        <v>65</v>
      </c>
      <c r="E16" s="12"/>
      <c r="F16" s="15">
        <v>3</v>
      </c>
      <c r="G16" s="15"/>
      <c r="I16">
        <f t="shared" si="0"/>
        <v>3</v>
      </c>
    </row>
    <row r="17" customFormat="1" ht="22" customHeight="1" spans="1:9">
      <c r="A17" s="8">
        <v>15</v>
      </c>
      <c r="B17" s="9">
        <v>46132</v>
      </c>
      <c r="C17" s="10" t="s">
        <v>36</v>
      </c>
      <c r="D17" s="11" t="s">
        <v>65</v>
      </c>
      <c r="E17" s="12">
        <v>2</v>
      </c>
      <c r="F17" s="15">
        <v>1</v>
      </c>
      <c r="G17" s="15"/>
      <c r="I17">
        <f t="shared" si="0"/>
        <v>3</v>
      </c>
    </row>
    <row r="18" customFormat="1" ht="22" customHeight="1" spans="1:9">
      <c r="A18" s="8">
        <v>16</v>
      </c>
      <c r="B18" s="9">
        <v>46132</v>
      </c>
      <c r="C18" s="10" t="s">
        <v>38</v>
      </c>
      <c r="D18" s="11" t="s">
        <v>65</v>
      </c>
      <c r="E18" s="12"/>
      <c r="F18" s="15">
        <v>3</v>
      </c>
      <c r="G18" s="15"/>
      <c r="I18">
        <f t="shared" si="0"/>
        <v>3</v>
      </c>
    </row>
    <row r="19" customFormat="1" ht="22" customHeight="1" spans="1:9">
      <c r="A19" s="8">
        <v>17</v>
      </c>
      <c r="B19" s="9">
        <v>46132</v>
      </c>
      <c r="C19" s="10" t="s">
        <v>41</v>
      </c>
      <c r="D19" s="11" t="s">
        <v>65</v>
      </c>
      <c r="E19" s="12"/>
      <c r="F19" s="15">
        <v>3</v>
      </c>
      <c r="G19" s="15"/>
      <c r="I19">
        <f t="shared" si="0"/>
        <v>3</v>
      </c>
    </row>
    <row r="20" customFormat="1" ht="22" customHeight="1" spans="1:9">
      <c r="A20" s="8">
        <v>18</v>
      </c>
      <c r="B20" s="9">
        <v>46132</v>
      </c>
      <c r="C20" s="10" t="s">
        <v>43</v>
      </c>
      <c r="D20" s="11" t="s">
        <v>65</v>
      </c>
      <c r="E20" s="12">
        <v>2</v>
      </c>
      <c r="F20" s="15">
        <v>1</v>
      </c>
      <c r="G20" s="15"/>
      <c r="I20">
        <f t="shared" si="0"/>
        <v>3</v>
      </c>
    </row>
    <row r="21" customFormat="1" ht="22" customHeight="1" spans="1:9">
      <c r="A21" s="8">
        <v>19</v>
      </c>
      <c r="B21" s="9">
        <v>46132</v>
      </c>
      <c r="C21" s="10" t="s">
        <v>45</v>
      </c>
      <c r="D21" s="11" t="s">
        <v>65</v>
      </c>
      <c r="E21" s="12"/>
      <c r="F21" s="12">
        <v>3</v>
      </c>
      <c r="G21" s="15"/>
      <c r="I21">
        <f t="shared" si="0"/>
        <v>3</v>
      </c>
    </row>
    <row r="22" customFormat="1" ht="22" customHeight="1" spans="1:9">
      <c r="A22" s="8">
        <v>20</v>
      </c>
      <c r="B22" s="9">
        <v>46132</v>
      </c>
      <c r="C22" s="10" t="s">
        <v>46</v>
      </c>
      <c r="D22" s="11" t="s">
        <v>65</v>
      </c>
      <c r="E22" s="12"/>
      <c r="F22" s="12">
        <v>3</v>
      </c>
      <c r="G22" s="15"/>
      <c r="I22">
        <f t="shared" si="0"/>
        <v>3</v>
      </c>
    </row>
    <row r="23" customFormat="1" ht="22" customHeight="1" spans="1:9">
      <c r="A23" s="8"/>
      <c r="B23" s="9"/>
      <c r="C23" s="10"/>
      <c r="D23" s="11"/>
      <c r="E23" s="12"/>
      <c r="F23" s="12"/>
      <c r="G23" s="15"/>
      <c r="H23" s="16"/>
      <c r="I23">
        <f t="shared" si="0"/>
        <v>0</v>
      </c>
    </row>
    <row r="24" customFormat="1" ht="22" customHeight="1" spans="1:9">
      <c r="A24" s="8"/>
      <c r="B24" s="9"/>
      <c r="C24" s="10"/>
      <c r="D24" s="11"/>
      <c r="E24" s="12"/>
      <c r="F24" s="12"/>
      <c r="G24" s="15"/>
      <c r="H24" s="16"/>
      <c r="I24">
        <f t="shared" si="0"/>
        <v>0</v>
      </c>
    </row>
    <row r="25" customFormat="1" ht="22" customHeight="1" spans="1:9">
      <c r="A25" s="8"/>
      <c r="B25" s="9"/>
      <c r="C25" s="10"/>
      <c r="D25" s="11"/>
      <c r="E25" s="12"/>
      <c r="F25" s="15"/>
      <c r="G25" s="15"/>
      <c r="I25">
        <f t="shared" si="0"/>
        <v>0</v>
      </c>
    </row>
    <row r="26" customFormat="1" ht="22" customHeight="1" spans="1:9">
      <c r="A26" s="8"/>
      <c r="B26" s="17"/>
      <c r="C26" s="10"/>
      <c r="D26" s="18"/>
      <c r="E26" s="19"/>
      <c r="F26" s="20"/>
      <c r="G26" s="20"/>
      <c r="I26">
        <f t="shared" si="0"/>
        <v>0</v>
      </c>
    </row>
    <row r="27" customFormat="1" ht="13.5" spans="1:9">
      <c r="E27" s="21">
        <f>SUM(E3:E26)</f>
        <v>19</v>
      </c>
      <c r="F27" s="21">
        <f>SUM(F3:F26)</f>
        <v>41</v>
      </c>
      <c r="I27">
        <f t="shared" si="0"/>
        <v>60</v>
      </c>
    </row>
    <row r="29" ht="26" customHeight="1" spans="1:9">
      <c r="C29" s="22"/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2" topLeftCell="A9" activePane="bottomLeft" state="frozen"/>
      <selection/>
      <selection pane="bottomLeft" activeCell="E27" sqref="E27:F27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8.7142857142857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  <c r="I1" t="s">
        <v>77</v>
      </c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46121</v>
      </c>
      <c r="C3" s="10" t="s">
        <v>16</v>
      </c>
      <c r="D3" s="11" t="s">
        <v>66</v>
      </c>
      <c r="E3" s="10">
        <v>2</v>
      </c>
      <c r="F3" s="10">
        <v>2</v>
      </c>
      <c r="G3" s="12" t="s">
        <v>76</v>
      </c>
      <c r="I3">
        <f>E3+F3</f>
        <v>4</v>
      </c>
    </row>
    <row r="4" ht="22" customHeight="1" spans="1:9">
      <c r="A4" s="8">
        <v>2</v>
      </c>
      <c r="B4" s="9">
        <v>46121</v>
      </c>
      <c r="C4" s="10" t="s">
        <v>19</v>
      </c>
      <c r="D4" s="11" t="s">
        <v>66</v>
      </c>
      <c r="E4" s="13"/>
      <c r="F4" s="10">
        <v>4</v>
      </c>
      <c r="G4" s="14"/>
      <c r="I4">
        <f t="shared" ref="I4:I28" si="0">E4+F4</f>
        <v>4</v>
      </c>
    </row>
    <row r="5" ht="22" customHeight="1" spans="1:9">
      <c r="A5" s="8">
        <v>3</v>
      </c>
      <c r="B5" s="9">
        <v>46121</v>
      </c>
      <c r="C5" s="10" t="s">
        <v>60</v>
      </c>
      <c r="D5" s="11" t="s">
        <v>66</v>
      </c>
      <c r="E5" s="13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46121</v>
      </c>
      <c r="C6" s="10" t="s">
        <v>22</v>
      </c>
      <c r="D6" s="11" t="s">
        <v>66</v>
      </c>
      <c r="E6" s="10">
        <v>4</v>
      </c>
      <c r="F6" s="13"/>
      <c r="G6" s="14"/>
      <c r="I6">
        <f t="shared" si="0"/>
        <v>4</v>
      </c>
    </row>
    <row r="7" ht="22" customHeight="1" spans="1:9">
      <c r="A7" s="8">
        <v>5</v>
      </c>
      <c r="B7" s="9">
        <v>46121</v>
      </c>
      <c r="C7" s="10" t="s">
        <v>24</v>
      </c>
      <c r="D7" s="11" t="s">
        <v>66</v>
      </c>
      <c r="E7" s="13"/>
      <c r="F7" s="10">
        <v>4</v>
      </c>
      <c r="G7" s="14"/>
      <c r="I7">
        <f t="shared" si="0"/>
        <v>4</v>
      </c>
    </row>
    <row r="8" ht="22" customHeight="1" spans="1:9">
      <c r="A8" s="8">
        <v>6</v>
      </c>
      <c r="B8" s="9">
        <v>46121</v>
      </c>
      <c r="C8" s="10" t="s">
        <v>26</v>
      </c>
      <c r="D8" s="11" t="s">
        <v>66</v>
      </c>
      <c r="E8" s="10">
        <v>4</v>
      </c>
      <c r="F8" s="10"/>
      <c r="G8" s="14"/>
      <c r="I8">
        <f t="shared" si="0"/>
        <v>4</v>
      </c>
    </row>
    <row r="9" ht="22" customHeight="1" spans="1:9">
      <c r="A9" s="8">
        <v>7</v>
      </c>
      <c r="B9" s="9">
        <v>46121</v>
      </c>
      <c r="C9" s="10" t="s">
        <v>40</v>
      </c>
      <c r="D9" s="11" t="s">
        <v>66</v>
      </c>
      <c r="E9" s="10"/>
      <c r="F9" s="10">
        <v>4</v>
      </c>
      <c r="G9" s="14"/>
      <c r="I9">
        <f t="shared" si="0"/>
        <v>4</v>
      </c>
    </row>
    <row r="10" ht="22" customHeight="1" spans="1:9">
      <c r="A10" s="8">
        <v>8</v>
      </c>
      <c r="B10" s="9">
        <v>46121</v>
      </c>
      <c r="C10" s="10" t="s">
        <v>27</v>
      </c>
      <c r="D10" s="11" t="s">
        <v>66</v>
      </c>
      <c r="E10" s="13"/>
      <c r="F10" s="10">
        <v>4</v>
      </c>
      <c r="G10" s="15"/>
      <c r="I10">
        <f t="shared" si="0"/>
        <v>4</v>
      </c>
    </row>
    <row r="11" ht="22" customHeight="1" spans="1:9">
      <c r="A11" s="8">
        <v>9</v>
      </c>
      <c r="B11" s="9">
        <v>46135</v>
      </c>
      <c r="C11" s="10" t="s">
        <v>28</v>
      </c>
      <c r="D11" s="11" t="s">
        <v>66</v>
      </c>
      <c r="E11" s="13"/>
      <c r="F11" s="10">
        <v>4</v>
      </c>
      <c r="G11" s="15"/>
      <c r="I11">
        <f t="shared" si="0"/>
        <v>4</v>
      </c>
    </row>
    <row r="12" customFormat="1" ht="22" customHeight="1" spans="1:9">
      <c r="A12" s="8">
        <v>10</v>
      </c>
      <c r="B12" s="9">
        <v>46135</v>
      </c>
      <c r="C12" s="10" t="s">
        <v>29</v>
      </c>
      <c r="D12" s="11" t="s">
        <v>66</v>
      </c>
      <c r="E12" s="10">
        <v>2</v>
      </c>
      <c r="F12" s="10">
        <v>2</v>
      </c>
      <c r="G12" s="15"/>
      <c r="I12">
        <f t="shared" si="0"/>
        <v>4</v>
      </c>
    </row>
    <row r="13" customFormat="1" ht="22" customHeight="1" spans="1:9">
      <c r="A13" s="8">
        <v>11</v>
      </c>
      <c r="B13" s="9">
        <v>46135</v>
      </c>
      <c r="C13" s="10" t="s">
        <v>31</v>
      </c>
      <c r="D13" s="11" t="s">
        <v>66</v>
      </c>
      <c r="E13" s="10">
        <v>4</v>
      </c>
      <c r="F13" s="15"/>
      <c r="G13" s="15"/>
      <c r="I13">
        <f t="shared" si="0"/>
        <v>4</v>
      </c>
    </row>
    <row r="14" customFormat="1" ht="22" customHeight="1" spans="1:9">
      <c r="A14" s="8">
        <v>12</v>
      </c>
      <c r="B14" s="9">
        <v>46135</v>
      </c>
      <c r="C14" s="10" t="s">
        <v>32</v>
      </c>
      <c r="D14" s="11" t="s">
        <v>66</v>
      </c>
      <c r="E14" s="10">
        <v>4</v>
      </c>
      <c r="F14" s="15"/>
      <c r="G14" s="15"/>
      <c r="I14">
        <f t="shared" si="0"/>
        <v>4</v>
      </c>
    </row>
    <row r="15" customFormat="1" ht="22" customHeight="1" spans="1:9">
      <c r="A15" s="8">
        <v>13</v>
      </c>
      <c r="B15" s="9">
        <v>46135</v>
      </c>
      <c r="C15" s="10" t="s">
        <v>34</v>
      </c>
      <c r="D15" s="11" t="s">
        <v>66</v>
      </c>
      <c r="E15" s="12"/>
      <c r="F15" s="10">
        <v>4</v>
      </c>
      <c r="G15" s="15"/>
      <c r="I15">
        <f t="shared" si="0"/>
        <v>4</v>
      </c>
    </row>
    <row r="16" customFormat="1" ht="22" customHeight="1" spans="1:9">
      <c r="A16" s="8">
        <v>14</v>
      </c>
      <c r="B16" s="9">
        <v>46135</v>
      </c>
      <c r="C16" s="10" t="s">
        <v>35</v>
      </c>
      <c r="D16" s="11" t="s">
        <v>66</v>
      </c>
      <c r="E16" s="12"/>
      <c r="F16" s="10">
        <v>4</v>
      </c>
      <c r="G16" s="15"/>
      <c r="I16">
        <f t="shared" si="0"/>
        <v>4</v>
      </c>
    </row>
    <row r="17" customFormat="1" ht="22" customHeight="1" spans="1:9">
      <c r="A17" s="8">
        <v>15</v>
      </c>
      <c r="B17" s="9">
        <v>46135</v>
      </c>
      <c r="C17" s="10" t="s">
        <v>36</v>
      </c>
      <c r="D17" s="11" t="s">
        <v>66</v>
      </c>
      <c r="E17" s="10">
        <v>2</v>
      </c>
      <c r="F17" s="10">
        <v>2</v>
      </c>
      <c r="G17" s="15"/>
      <c r="I17">
        <f t="shared" si="0"/>
        <v>4</v>
      </c>
    </row>
    <row r="18" customFormat="1" ht="22" customHeight="1" spans="1:9">
      <c r="A18" s="8">
        <v>16</v>
      </c>
      <c r="B18" s="9">
        <v>46135</v>
      </c>
      <c r="C18" s="10" t="s">
        <v>38</v>
      </c>
      <c r="D18" s="11" t="s">
        <v>66</v>
      </c>
      <c r="E18" s="12"/>
      <c r="F18" s="10">
        <v>4</v>
      </c>
      <c r="G18" s="15"/>
      <c r="I18">
        <f t="shared" si="0"/>
        <v>4</v>
      </c>
    </row>
    <row r="19" customFormat="1" ht="22" customHeight="1" spans="1:9">
      <c r="A19" s="8">
        <v>17</v>
      </c>
      <c r="B19" s="9">
        <v>46135</v>
      </c>
      <c r="C19" s="10" t="s">
        <v>41</v>
      </c>
      <c r="D19" s="11" t="s">
        <v>66</v>
      </c>
      <c r="E19" s="12"/>
      <c r="F19" s="10">
        <v>4</v>
      </c>
      <c r="G19" s="15"/>
      <c r="I19">
        <f t="shared" si="0"/>
        <v>4</v>
      </c>
    </row>
    <row r="20" customFormat="1" ht="22" customHeight="1" spans="1:9">
      <c r="A20" s="8">
        <v>18</v>
      </c>
      <c r="B20" s="9">
        <v>46135</v>
      </c>
      <c r="C20" s="10" t="s">
        <v>43</v>
      </c>
      <c r="D20" s="11" t="s">
        <v>66</v>
      </c>
      <c r="E20" s="10">
        <v>3</v>
      </c>
      <c r="F20" s="15">
        <v>2</v>
      </c>
      <c r="G20" s="15" t="s">
        <v>80</v>
      </c>
      <c r="I20">
        <f t="shared" si="0"/>
        <v>5</v>
      </c>
    </row>
    <row r="21" customFormat="1" ht="22" customHeight="1" spans="1:9">
      <c r="A21" s="8">
        <v>19</v>
      </c>
      <c r="B21" s="9">
        <v>46135</v>
      </c>
      <c r="C21" s="10" t="s">
        <v>45</v>
      </c>
      <c r="D21" s="11" t="s">
        <v>66</v>
      </c>
      <c r="E21" s="12"/>
      <c r="F21" s="10">
        <v>4</v>
      </c>
      <c r="G21" s="15"/>
      <c r="I21">
        <f t="shared" si="0"/>
        <v>4</v>
      </c>
    </row>
    <row r="22" customFormat="1" ht="22" customHeight="1" spans="1:9">
      <c r="A22" s="8">
        <v>20</v>
      </c>
      <c r="B22" s="9">
        <v>46135</v>
      </c>
      <c r="C22" s="10" t="s">
        <v>46</v>
      </c>
      <c r="D22" s="11" t="s">
        <v>66</v>
      </c>
      <c r="E22" s="12"/>
      <c r="F22" s="10">
        <v>4</v>
      </c>
      <c r="G22" s="15"/>
      <c r="I22">
        <f t="shared" si="0"/>
        <v>4</v>
      </c>
    </row>
    <row r="23" customFormat="1" ht="22" customHeight="1" spans="1:9">
      <c r="A23" s="8"/>
      <c r="B23" s="9"/>
      <c r="C23" s="10"/>
      <c r="D23" s="11"/>
      <c r="E23" s="12"/>
      <c r="F23" s="10"/>
      <c r="G23" s="15"/>
      <c r="H23" s="16"/>
      <c r="I23">
        <f t="shared" si="0"/>
        <v>0</v>
      </c>
    </row>
    <row r="24" customFormat="1" ht="22" customHeight="1" spans="1:9">
      <c r="A24" s="8"/>
      <c r="B24" s="9"/>
      <c r="C24" s="10"/>
      <c r="D24" s="11"/>
      <c r="E24" s="12"/>
      <c r="F24" s="10"/>
      <c r="G24" s="15"/>
      <c r="H24" s="16"/>
      <c r="I24">
        <f t="shared" si="0"/>
        <v>0</v>
      </c>
    </row>
    <row r="25" customFormat="1" ht="22" customHeight="1" spans="1:9">
      <c r="A25" s="8"/>
      <c r="B25" s="9"/>
      <c r="C25" s="10"/>
      <c r="D25" s="11"/>
      <c r="E25" s="12"/>
      <c r="F25" s="15"/>
      <c r="G25" s="15"/>
      <c r="I25">
        <f t="shared" si="0"/>
        <v>0</v>
      </c>
    </row>
    <row r="26" customFormat="1" ht="22" customHeight="1" spans="1:9">
      <c r="A26" s="8"/>
      <c r="B26" s="17"/>
      <c r="C26" s="10"/>
      <c r="D26" s="18"/>
      <c r="E26" s="19"/>
      <c r="F26" s="20"/>
      <c r="G26" s="20"/>
      <c r="I26">
        <f t="shared" si="0"/>
        <v>0</v>
      </c>
    </row>
    <row r="27" customFormat="1" ht="13.5" spans="1:9">
      <c r="E27" s="21">
        <f>SUM(E3:E26)</f>
        <v>25</v>
      </c>
      <c r="F27" s="21">
        <f>SUM(F3:F26)</f>
        <v>56</v>
      </c>
      <c r="I27">
        <f t="shared" si="0"/>
        <v>81</v>
      </c>
    </row>
    <row r="29" ht="26" customHeight="1" spans="1:9">
      <c r="C29" s="22"/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2" workbookViewId="0">
      <selection activeCell="G20" sqref="G20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7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46139</v>
      </c>
      <c r="C3" s="10" t="s">
        <v>16</v>
      </c>
      <c r="D3" s="11" t="s">
        <v>65</v>
      </c>
      <c r="E3" s="10">
        <v>1</v>
      </c>
      <c r="F3" s="10">
        <v>2</v>
      </c>
      <c r="G3" s="23"/>
      <c r="H3" s="24" t="s">
        <v>73</v>
      </c>
      <c r="I3">
        <f>E3+F3</f>
        <v>3</v>
      </c>
    </row>
    <row r="4" ht="22" customHeight="1" spans="1:9">
      <c r="A4" s="8">
        <v>2</v>
      </c>
      <c r="B4" s="9">
        <v>46139</v>
      </c>
      <c r="C4" s="10" t="s">
        <v>19</v>
      </c>
      <c r="D4" s="11" t="s">
        <v>65</v>
      </c>
      <c r="E4" s="13"/>
      <c r="F4" s="10">
        <v>3</v>
      </c>
      <c r="G4" s="14"/>
      <c r="I4">
        <f t="shared" ref="I4:I28" si="0">E4+F4</f>
        <v>3</v>
      </c>
    </row>
    <row r="5" ht="22" customHeight="1" spans="1:9">
      <c r="A5" s="8">
        <v>3</v>
      </c>
      <c r="B5" s="9">
        <v>46139</v>
      </c>
      <c r="C5" s="10" t="s">
        <v>60</v>
      </c>
      <c r="D5" s="11" t="s">
        <v>65</v>
      </c>
      <c r="E5" s="13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46139</v>
      </c>
      <c r="C6" s="10" t="s">
        <v>22</v>
      </c>
      <c r="D6" s="11" t="s">
        <v>65</v>
      </c>
      <c r="E6" s="10">
        <v>3</v>
      </c>
      <c r="F6" s="13"/>
      <c r="G6" s="14"/>
      <c r="I6">
        <f t="shared" si="0"/>
        <v>3</v>
      </c>
    </row>
    <row r="7" ht="22" customHeight="1" spans="1:9">
      <c r="A7" s="8">
        <v>5</v>
      </c>
      <c r="B7" s="9">
        <v>46139</v>
      </c>
      <c r="C7" s="10" t="s">
        <v>24</v>
      </c>
      <c r="D7" s="11" t="s">
        <v>65</v>
      </c>
      <c r="E7" s="13"/>
      <c r="F7" s="10">
        <v>3</v>
      </c>
      <c r="G7" s="14"/>
      <c r="I7">
        <f t="shared" si="0"/>
        <v>3</v>
      </c>
    </row>
    <row r="8" ht="22" customHeight="1" spans="1:9">
      <c r="A8" s="8">
        <v>6</v>
      </c>
      <c r="B8" s="9">
        <v>46139</v>
      </c>
      <c r="C8" s="10" t="s">
        <v>26</v>
      </c>
      <c r="D8" s="11" t="s">
        <v>65</v>
      </c>
      <c r="E8" s="10">
        <v>3</v>
      </c>
      <c r="F8" s="10"/>
      <c r="G8" s="14"/>
      <c r="I8">
        <f t="shared" si="0"/>
        <v>3</v>
      </c>
    </row>
    <row r="9" ht="22" customHeight="1" spans="1:9">
      <c r="A9" s="8">
        <v>7</v>
      </c>
      <c r="B9" s="9">
        <v>46139</v>
      </c>
      <c r="C9" s="10" t="s">
        <v>40</v>
      </c>
      <c r="D9" s="11" t="s">
        <v>65</v>
      </c>
      <c r="E9" s="10"/>
      <c r="F9" s="10">
        <v>3</v>
      </c>
      <c r="G9" s="14"/>
      <c r="I9">
        <f t="shared" si="0"/>
        <v>3</v>
      </c>
    </row>
    <row r="10" ht="22" customHeight="1" spans="1:9">
      <c r="A10" s="8">
        <v>8</v>
      </c>
      <c r="B10" s="9">
        <v>46139</v>
      </c>
      <c r="C10" s="10" t="s">
        <v>27</v>
      </c>
      <c r="D10" s="11" t="s">
        <v>65</v>
      </c>
      <c r="E10" s="13"/>
      <c r="F10" s="10">
        <v>3</v>
      </c>
      <c r="G10" s="15"/>
      <c r="I10">
        <f t="shared" si="0"/>
        <v>3</v>
      </c>
    </row>
    <row r="11" ht="22" customHeight="1" spans="1:9">
      <c r="A11" s="8">
        <v>9</v>
      </c>
      <c r="B11" s="9">
        <v>46139</v>
      </c>
      <c r="C11" s="10" t="s">
        <v>28</v>
      </c>
      <c r="D11" s="11" t="s">
        <v>65</v>
      </c>
      <c r="E11" s="13"/>
      <c r="F11" s="10">
        <v>3</v>
      </c>
      <c r="G11" s="15"/>
      <c r="I11">
        <f t="shared" si="0"/>
        <v>3</v>
      </c>
    </row>
    <row r="12" customFormat="1" ht="22" customHeight="1" spans="1:9">
      <c r="A12" s="8">
        <v>10</v>
      </c>
      <c r="B12" s="9">
        <v>46139</v>
      </c>
      <c r="C12" s="10" t="s">
        <v>29</v>
      </c>
      <c r="D12" s="11" t="s">
        <v>65</v>
      </c>
      <c r="E12" s="10">
        <v>2</v>
      </c>
      <c r="F12" s="10">
        <v>1</v>
      </c>
      <c r="G12" s="15"/>
      <c r="I12">
        <f t="shared" si="0"/>
        <v>3</v>
      </c>
    </row>
    <row r="13" customFormat="1" ht="22" customHeight="1" spans="1:9">
      <c r="A13" s="8">
        <v>11</v>
      </c>
      <c r="B13" s="9">
        <v>46139</v>
      </c>
      <c r="C13" s="10" t="s">
        <v>31</v>
      </c>
      <c r="D13" s="11" t="s">
        <v>65</v>
      </c>
      <c r="E13" s="10">
        <v>3</v>
      </c>
      <c r="F13" s="15"/>
      <c r="G13" s="15"/>
      <c r="I13">
        <f t="shared" si="0"/>
        <v>3</v>
      </c>
    </row>
    <row r="14" customFormat="1" ht="22" customHeight="1" spans="1:9">
      <c r="A14" s="8">
        <v>12</v>
      </c>
      <c r="B14" s="9">
        <v>46139</v>
      </c>
      <c r="C14" s="10" t="s">
        <v>32</v>
      </c>
      <c r="D14" s="11" t="s">
        <v>65</v>
      </c>
      <c r="E14" s="12">
        <v>3</v>
      </c>
      <c r="F14" s="15"/>
      <c r="G14" s="15"/>
      <c r="I14">
        <f t="shared" si="0"/>
        <v>3</v>
      </c>
    </row>
    <row r="15" customFormat="1" ht="22" customHeight="1" spans="1:9">
      <c r="A15" s="8">
        <v>13</v>
      </c>
      <c r="B15" s="9">
        <v>46139</v>
      </c>
      <c r="C15" s="10" t="s">
        <v>34</v>
      </c>
      <c r="D15" s="11" t="s">
        <v>65</v>
      </c>
      <c r="E15" s="12"/>
      <c r="F15" s="15">
        <v>3</v>
      </c>
      <c r="G15" s="15"/>
      <c r="I15">
        <f t="shared" si="0"/>
        <v>3</v>
      </c>
    </row>
    <row r="16" customFormat="1" ht="22" customHeight="1" spans="1:9">
      <c r="A16" s="8">
        <v>14</v>
      </c>
      <c r="B16" s="9">
        <v>46139</v>
      </c>
      <c r="C16" s="10" t="s">
        <v>35</v>
      </c>
      <c r="D16" s="11" t="s">
        <v>65</v>
      </c>
      <c r="E16" s="12"/>
      <c r="F16" s="15">
        <v>3</v>
      </c>
      <c r="G16" s="15"/>
      <c r="I16">
        <f t="shared" si="0"/>
        <v>3</v>
      </c>
    </row>
    <row r="17" customFormat="1" ht="22" customHeight="1" spans="1:9">
      <c r="A17" s="8">
        <v>15</v>
      </c>
      <c r="B17" s="9">
        <v>46139</v>
      </c>
      <c r="C17" s="10" t="s">
        <v>36</v>
      </c>
      <c r="D17" s="11" t="s">
        <v>65</v>
      </c>
      <c r="E17" s="12">
        <v>2</v>
      </c>
      <c r="F17" s="15">
        <v>1</v>
      </c>
      <c r="G17" s="15"/>
      <c r="I17">
        <f t="shared" si="0"/>
        <v>3</v>
      </c>
    </row>
    <row r="18" customFormat="1" ht="22" customHeight="1" spans="1:9">
      <c r="A18" s="8">
        <v>16</v>
      </c>
      <c r="B18" s="9">
        <v>46139</v>
      </c>
      <c r="C18" s="10" t="s">
        <v>38</v>
      </c>
      <c r="D18" s="11" t="s">
        <v>65</v>
      </c>
      <c r="E18" s="12"/>
      <c r="F18" s="15">
        <v>3</v>
      </c>
      <c r="G18" s="15"/>
      <c r="I18">
        <f t="shared" si="0"/>
        <v>3</v>
      </c>
    </row>
    <row r="19" customFormat="1" ht="22" customHeight="1" spans="1:9">
      <c r="A19" s="8">
        <v>17</v>
      </c>
      <c r="B19" s="9">
        <v>46139</v>
      </c>
      <c r="C19" s="10" t="s">
        <v>41</v>
      </c>
      <c r="D19" s="11" t="s">
        <v>65</v>
      </c>
      <c r="E19" s="12"/>
      <c r="F19" s="15">
        <v>3</v>
      </c>
      <c r="G19" s="15"/>
      <c r="I19">
        <f t="shared" si="0"/>
        <v>3</v>
      </c>
    </row>
    <row r="20" customFormat="1" ht="22" customHeight="1" spans="1:9">
      <c r="A20" s="8">
        <v>18</v>
      </c>
      <c r="B20" s="9">
        <v>46139</v>
      </c>
      <c r="C20" s="10" t="s">
        <v>43</v>
      </c>
      <c r="D20" s="11" t="s">
        <v>65</v>
      </c>
      <c r="E20" s="12">
        <v>2</v>
      </c>
      <c r="F20" s="15">
        <v>1</v>
      </c>
      <c r="G20" s="15"/>
      <c r="I20">
        <f t="shared" si="0"/>
        <v>3</v>
      </c>
    </row>
    <row r="21" customFormat="1" ht="22" customHeight="1" spans="1:9">
      <c r="A21" s="8">
        <v>19</v>
      </c>
      <c r="B21" s="9">
        <v>46139</v>
      </c>
      <c r="C21" s="10" t="s">
        <v>45</v>
      </c>
      <c r="D21" s="11" t="s">
        <v>65</v>
      </c>
      <c r="E21" s="12"/>
      <c r="F21" s="12">
        <v>3</v>
      </c>
      <c r="G21" s="15"/>
      <c r="I21">
        <f t="shared" si="0"/>
        <v>3</v>
      </c>
    </row>
    <row r="22" customFormat="1" ht="22" customHeight="1" spans="1:9">
      <c r="A22" s="8">
        <v>20</v>
      </c>
      <c r="B22" s="9">
        <v>46139</v>
      </c>
      <c r="C22" s="10" t="s">
        <v>46</v>
      </c>
      <c r="D22" s="11" t="s">
        <v>65</v>
      </c>
      <c r="E22" s="12"/>
      <c r="F22" s="12">
        <v>3</v>
      </c>
      <c r="G22" s="15"/>
      <c r="I22">
        <f t="shared" si="0"/>
        <v>3</v>
      </c>
    </row>
    <row r="23" customFormat="1" ht="22" customHeight="1" spans="1:9">
      <c r="A23" s="8"/>
      <c r="B23" s="9"/>
      <c r="C23" s="10"/>
      <c r="D23" s="11"/>
      <c r="E23" s="12"/>
      <c r="F23" s="12"/>
      <c r="G23" s="15"/>
      <c r="H23" s="16"/>
      <c r="I23">
        <f t="shared" si="0"/>
        <v>0</v>
      </c>
    </row>
    <row r="24" customFormat="1" ht="22" customHeight="1" spans="1:9">
      <c r="A24" s="8"/>
      <c r="B24" s="9"/>
      <c r="C24" s="10"/>
      <c r="D24" s="11"/>
      <c r="E24" s="12"/>
      <c r="F24" s="12"/>
      <c r="G24" s="15"/>
      <c r="H24" s="16"/>
      <c r="I24">
        <f t="shared" si="0"/>
        <v>0</v>
      </c>
    </row>
    <row r="25" customFormat="1" ht="22" customHeight="1" spans="1:9">
      <c r="A25" s="8"/>
      <c r="B25" s="9"/>
      <c r="C25" s="10"/>
      <c r="D25" s="11"/>
      <c r="E25" s="12"/>
      <c r="F25" s="15"/>
      <c r="G25" s="15"/>
      <c r="I25">
        <f t="shared" si="0"/>
        <v>0</v>
      </c>
    </row>
    <row r="26" customFormat="1" ht="22" customHeight="1" spans="1:9">
      <c r="A26" s="8"/>
      <c r="B26" s="17"/>
      <c r="C26" s="10"/>
      <c r="D26" s="18"/>
      <c r="E26" s="19"/>
      <c r="F26" s="20"/>
      <c r="G26" s="20"/>
      <c r="I26">
        <f t="shared" si="0"/>
        <v>0</v>
      </c>
    </row>
    <row r="27" customFormat="1" ht="13.5" spans="1:9">
      <c r="E27" s="21">
        <f>SUM(E3:E26)</f>
        <v>19</v>
      </c>
      <c r="F27" s="21">
        <f>SUM(F3:F26)</f>
        <v>41</v>
      </c>
      <c r="I27">
        <f t="shared" si="0"/>
        <v>60</v>
      </c>
    </row>
    <row r="29" ht="26" customHeight="1" spans="1:9">
      <c r="C29" s="22"/>
    </row>
  </sheetData>
  <mergeCells count="1">
    <mergeCell ref="A1:G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2" topLeftCell="A5" activePane="bottomLeft" state="frozen"/>
      <selection/>
      <selection pane="bottomLeft" activeCell="G21" sqref="G21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8.7142857142857" customWidth="1"/>
    <col min="4" max="6" width="12.1428571428571" customWidth="1"/>
    <col min="7" max="7" width="25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  <c r="I1" t="s">
        <v>77</v>
      </c>
    </row>
    <row r="2" s="1" customFormat="1" ht="32" customHeight="1" spans="1:9">
      <c r="A2" s="5" t="s">
        <v>2</v>
      </c>
      <c r="B2" s="5" t="s">
        <v>51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46121</v>
      </c>
      <c r="C3" s="10" t="s">
        <v>16</v>
      </c>
      <c r="D3" s="11" t="s">
        <v>66</v>
      </c>
      <c r="E3" s="10">
        <v>2</v>
      </c>
      <c r="F3" s="10">
        <v>2</v>
      </c>
      <c r="G3" s="12" t="s">
        <v>76</v>
      </c>
      <c r="I3">
        <f>E3+F3</f>
        <v>4</v>
      </c>
    </row>
    <row r="4" ht="22" customHeight="1" spans="1:9">
      <c r="A4" s="8">
        <v>2</v>
      </c>
      <c r="B4" s="9">
        <v>46121</v>
      </c>
      <c r="C4" s="10" t="s">
        <v>19</v>
      </c>
      <c r="D4" s="11" t="s">
        <v>66</v>
      </c>
      <c r="E4" s="13"/>
      <c r="F4" s="10">
        <v>4</v>
      </c>
      <c r="G4" s="14"/>
      <c r="I4">
        <f t="shared" ref="I4:I27" si="0">E4+F4</f>
        <v>4</v>
      </c>
    </row>
    <row r="5" ht="22" customHeight="1" spans="1:9">
      <c r="A5" s="8">
        <v>3</v>
      </c>
      <c r="B5" s="9">
        <v>46121</v>
      </c>
      <c r="C5" s="10" t="s">
        <v>60</v>
      </c>
      <c r="D5" s="11" t="s">
        <v>66</v>
      </c>
      <c r="E5" s="13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46121</v>
      </c>
      <c r="C6" s="10" t="s">
        <v>22</v>
      </c>
      <c r="D6" s="11" t="s">
        <v>66</v>
      </c>
      <c r="E6" s="10">
        <v>4</v>
      </c>
      <c r="F6" s="13"/>
      <c r="G6" s="14"/>
      <c r="I6">
        <f t="shared" si="0"/>
        <v>4</v>
      </c>
    </row>
    <row r="7" ht="22" customHeight="1" spans="1:9">
      <c r="A7" s="8">
        <v>5</v>
      </c>
      <c r="B7" s="9">
        <v>46121</v>
      </c>
      <c r="C7" s="10" t="s">
        <v>24</v>
      </c>
      <c r="D7" s="11" t="s">
        <v>66</v>
      </c>
      <c r="E7" s="13"/>
      <c r="F7" s="10">
        <v>4</v>
      </c>
      <c r="G7" s="14"/>
      <c r="I7">
        <f t="shared" si="0"/>
        <v>4</v>
      </c>
    </row>
    <row r="8" ht="22" customHeight="1" spans="1:9">
      <c r="A8" s="8">
        <v>6</v>
      </c>
      <c r="B8" s="9">
        <v>46121</v>
      </c>
      <c r="C8" s="10" t="s">
        <v>26</v>
      </c>
      <c r="D8" s="11" t="s">
        <v>66</v>
      </c>
      <c r="E8" s="10">
        <v>4</v>
      </c>
      <c r="F8" s="10"/>
      <c r="G8" s="14"/>
      <c r="I8">
        <f t="shared" si="0"/>
        <v>4</v>
      </c>
    </row>
    <row r="9" ht="22" customHeight="1" spans="1:9">
      <c r="A9" s="8">
        <v>7</v>
      </c>
      <c r="B9" s="9">
        <v>46121</v>
      </c>
      <c r="C9" s="10" t="s">
        <v>40</v>
      </c>
      <c r="D9" s="11" t="s">
        <v>66</v>
      </c>
      <c r="E9" s="10"/>
      <c r="F9" s="10">
        <v>4</v>
      </c>
      <c r="G9" s="14"/>
      <c r="I9">
        <f t="shared" si="0"/>
        <v>4</v>
      </c>
    </row>
    <row r="10" ht="22" customHeight="1" spans="1:9">
      <c r="A10" s="8">
        <v>8</v>
      </c>
      <c r="B10" s="9">
        <v>46121</v>
      </c>
      <c r="C10" s="10" t="s">
        <v>27</v>
      </c>
      <c r="D10" s="11" t="s">
        <v>66</v>
      </c>
      <c r="E10" s="13"/>
      <c r="F10" s="10">
        <v>4</v>
      </c>
      <c r="G10" s="15"/>
      <c r="I10">
        <f t="shared" si="0"/>
        <v>4</v>
      </c>
    </row>
    <row r="11" ht="22" customHeight="1" spans="1:9">
      <c r="A11" s="8">
        <v>9</v>
      </c>
      <c r="B11" s="9">
        <v>46142</v>
      </c>
      <c r="C11" s="10" t="s">
        <v>28</v>
      </c>
      <c r="D11" s="11" t="s">
        <v>66</v>
      </c>
      <c r="E11" s="13"/>
      <c r="F11" s="10">
        <v>4</v>
      </c>
      <c r="G11" s="15"/>
      <c r="I11">
        <f t="shared" si="0"/>
        <v>4</v>
      </c>
    </row>
    <row r="12" customFormat="1" ht="22" customHeight="1" spans="1:9">
      <c r="A12" s="8">
        <v>10</v>
      </c>
      <c r="B12" s="9">
        <v>46142</v>
      </c>
      <c r="C12" s="10" t="s">
        <v>29</v>
      </c>
      <c r="D12" s="11" t="s">
        <v>66</v>
      </c>
      <c r="E12" s="10">
        <v>2</v>
      </c>
      <c r="F12" s="10">
        <v>2</v>
      </c>
      <c r="G12" s="15"/>
      <c r="I12">
        <f t="shared" si="0"/>
        <v>4</v>
      </c>
    </row>
    <row r="13" customFormat="1" ht="22" customHeight="1" spans="1:9">
      <c r="A13" s="8">
        <v>11</v>
      </c>
      <c r="B13" s="9">
        <v>46142</v>
      </c>
      <c r="C13" s="10" t="s">
        <v>31</v>
      </c>
      <c r="D13" s="11" t="s">
        <v>66</v>
      </c>
      <c r="E13" s="10">
        <v>4</v>
      </c>
      <c r="F13" s="15"/>
      <c r="G13" s="15"/>
      <c r="I13">
        <f t="shared" si="0"/>
        <v>4</v>
      </c>
    </row>
    <row r="14" customFormat="1" ht="22" customHeight="1" spans="1:9">
      <c r="A14" s="8">
        <v>12</v>
      </c>
      <c r="B14" s="9">
        <v>46142</v>
      </c>
      <c r="C14" s="10" t="s">
        <v>32</v>
      </c>
      <c r="D14" s="11" t="s">
        <v>66</v>
      </c>
      <c r="E14" s="10">
        <v>4</v>
      </c>
      <c r="F14" s="15"/>
      <c r="G14" s="15"/>
      <c r="I14">
        <f t="shared" si="0"/>
        <v>4</v>
      </c>
    </row>
    <row r="15" customFormat="1" ht="22" customHeight="1" spans="1:9">
      <c r="A15" s="8">
        <v>13</v>
      </c>
      <c r="B15" s="9">
        <v>46142</v>
      </c>
      <c r="C15" s="10" t="s">
        <v>34</v>
      </c>
      <c r="D15" s="11" t="s">
        <v>66</v>
      </c>
      <c r="E15" s="12"/>
      <c r="F15" s="10">
        <v>4</v>
      </c>
      <c r="G15" s="15"/>
      <c r="I15">
        <f t="shared" si="0"/>
        <v>4</v>
      </c>
    </row>
    <row r="16" customFormat="1" ht="22" customHeight="1" spans="1:9">
      <c r="A16" s="8">
        <v>14</v>
      </c>
      <c r="B16" s="9">
        <v>46142</v>
      </c>
      <c r="C16" s="10" t="s">
        <v>35</v>
      </c>
      <c r="D16" s="11" t="s">
        <v>66</v>
      </c>
      <c r="E16" s="12"/>
      <c r="F16" s="10">
        <v>4</v>
      </c>
      <c r="G16" s="15"/>
      <c r="I16">
        <f t="shared" si="0"/>
        <v>4</v>
      </c>
    </row>
    <row r="17" customFormat="1" ht="22" customHeight="1" spans="1:9">
      <c r="A17" s="8">
        <v>15</v>
      </c>
      <c r="B17" s="9">
        <v>46142</v>
      </c>
      <c r="C17" s="10" t="s">
        <v>36</v>
      </c>
      <c r="D17" s="11" t="s">
        <v>66</v>
      </c>
      <c r="E17" s="10">
        <v>2</v>
      </c>
      <c r="F17" s="10">
        <v>2</v>
      </c>
      <c r="G17" s="15"/>
      <c r="I17">
        <f t="shared" si="0"/>
        <v>4</v>
      </c>
    </row>
    <row r="18" customFormat="1" ht="22" customHeight="1" spans="1:9">
      <c r="A18" s="8">
        <v>16</v>
      </c>
      <c r="B18" s="9">
        <v>46142</v>
      </c>
      <c r="C18" s="10" t="s">
        <v>38</v>
      </c>
      <c r="D18" s="11" t="s">
        <v>66</v>
      </c>
      <c r="E18" s="12"/>
      <c r="F18" s="10">
        <v>4</v>
      </c>
      <c r="G18" s="15"/>
      <c r="I18">
        <f t="shared" si="0"/>
        <v>4</v>
      </c>
    </row>
    <row r="19" customFormat="1" ht="22" customHeight="1" spans="1:9">
      <c r="A19" s="8">
        <v>17</v>
      </c>
      <c r="B19" s="9">
        <v>46142</v>
      </c>
      <c r="C19" s="10" t="s">
        <v>41</v>
      </c>
      <c r="D19" s="11" t="s">
        <v>66</v>
      </c>
      <c r="E19" s="12"/>
      <c r="F19" s="10">
        <v>4</v>
      </c>
      <c r="G19" s="15"/>
      <c r="I19">
        <f t="shared" si="0"/>
        <v>4</v>
      </c>
    </row>
    <row r="20" customFormat="1" ht="22" customHeight="1" spans="1:9">
      <c r="A20" s="8">
        <v>18</v>
      </c>
      <c r="B20" s="9">
        <v>46142</v>
      </c>
      <c r="C20" s="10" t="s">
        <v>43</v>
      </c>
      <c r="D20" s="11" t="s">
        <v>66</v>
      </c>
      <c r="E20" s="10">
        <v>3</v>
      </c>
      <c r="F20" s="15">
        <v>2</v>
      </c>
      <c r="G20" s="15" t="s">
        <v>80</v>
      </c>
      <c r="I20">
        <f t="shared" si="0"/>
        <v>5</v>
      </c>
    </row>
    <row r="21" customFormat="1" ht="22" customHeight="1" spans="1:9">
      <c r="A21" s="8">
        <v>19</v>
      </c>
      <c r="B21" s="9">
        <v>46142</v>
      </c>
      <c r="C21" s="10" t="s">
        <v>45</v>
      </c>
      <c r="D21" s="11" t="s">
        <v>66</v>
      </c>
      <c r="E21" s="12"/>
      <c r="F21" s="10">
        <v>4</v>
      </c>
      <c r="G21" s="15"/>
      <c r="I21">
        <f t="shared" si="0"/>
        <v>4</v>
      </c>
    </row>
    <row r="22" customFormat="1" ht="22" customHeight="1" spans="1:9">
      <c r="A22" s="8">
        <v>20</v>
      </c>
      <c r="B22" s="9">
        <v>46142</v>
      </c>
      <c r="C22" s="10" t="s">
        <v>46</v>
      </c>
      <c r="D22" s="11" t="s">
        <v>66</v>
      </c>
      <c r="E22" s="12"/>
      <c r="F22" s="10">
        <v>4</v>
      </c>
      <c r="G22" s="15"/>
      <c r="I22">
        <f t="shared" si="0"/>
        <v>4</v>
      </c>
    </row>
    <row r="23" customFormat="1" ht="22" customHeight="1" spans="1:9">
      <c r="A23" s="8"/>
      <c r="B23" s="9"/>
      <c r="C23" s="10"/>
      <c r="D23" s="11"/>
      <c r="E23" s="12"/>
      <c r="F23" s="10"/>
      <c r="G23" s="15"/>
      <c r="H23" s="16"/>
      <c r="I23">
        <f t="shared" si="0"/>
        <v>0</v>
      </c>
    </row>
    <row r="24" customFormat="1" ht="22" customHeight="1" spans="1:9">
      <c r="A24" s="8"/>
      <c r="B24" s="9"/>
      <c r="C24" s="10"/>
      <c r="D24" s="11"/>
      <c r="E24" s="12"/>
      <c r="F24" s="10"/>
      <c r="G24" s="15"/>
      <c r="H24" s="16"/>
      <c r="I24">
        <f t="shared" si="0"/>
        <v>0</v>
      </c>
    </row>
    <row r="25" customFormat="1" ht="22" customHeight="1" spans="1:9">
      <c r="A25" s="8"/>
      <c r="B25" s="9"/>
      <c r="C25" s="10"/>
      <c r="D25" s="11"/>
      <c r="E25" s="12"/>
      <c r="F25" s="15"/>
      <c r="G25" s="15"/>
      <c r="I25">
        <f t="shared" si="0"/>
        <v>0</v>
      </c>
    </row>
    <row r="26" customFormat="1" ht="22" customHeight="1" spans="1:9">
      <c r="A26" s="8"/>
      <c r="B26" s="17"/>
      <c r="C26" s="10"/>
      <c r="D26" s="18"/>
      <c r="E26" s="19"/>
      <c r="F26" s="20"/>
      <c r="G26" s="20"/>
      <c r="I26">
        <f t="shared" si="0"/>
        <v>0</v>
      </c>
    </row>
    <row r="27" customFormat="1" ht="13.5" spans="1:9">
      <c r="E27" s="21">
        <f>SUM(E3:E26)</f>
        <v>25</v>
      </c>
      <c r="F27" s="21">
        <f>SUM(F3:F26)</f>
        <v>56</v>
      </c>
      <c r="I27">
        <f t="shared" si="0"/>
        <v>81</v>
      </c>
    </row>
    <row r="29" ht="26" customHeight="1" spans="1:9">
      <c r="C29" s="22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  <vt:lpstr>4.30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