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949" firstSheet="1" activeTab="17"/>
  </bookViews>
  <sheets>
    <sheet name="老师" sheetId="1" r:id="rId1"/>
    <sheet name="领奶表" sheetId="5" r:id="rId2"/>
    <sheet name="签收" sheetId="8" r:id="rId3"/>
    <sheet name="配送汇总" sheetId="6" r:id="rId4"/>
    <sheet name="3.9" sheetId="2" r:id="rId5"/>
    <sheet name="3.12" sheetId="7" r:id="rId6"/>
    <sheet name="3.16" sheetId="9" r:id="rId7"/>
    <sheet name="3.19" sheetId="10" r:id="rId8"/>
    <sheet name="3.23(星期一)" sheetId="11" r:id="rId9"/>
    <sheet name="3.26（四）" sheetId="12" r:id="rId10"/>
    <sheet name="3.30（一）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</sheets>
  <definedNames>
    <definedName name="_xlnm._FilterDatabase" localSheetId="3" hidden="1">配送汇总!$A$1:$Z$33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本学期订了150支</t>
        </r>
      </text>
    </comment>
    <comment ref="C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2025年秋季剩余40支</t>
        </r>
      </text>
    </comment>
  </commentList>
</comments>
</file>

<file path=xl/sharedStrings.xml><?xml version="1.0" encoding="utf-8"?>
<sst xmlns="http://schemas.openxmlformats.org/spreadsheetml/2006/main" count="589" uniqueCount="72">
  <si>
    <t>2026春季石牯塘中心小学教职工巴氏鲜奶补贴订购申请表（20份起送，特殊申请除外</t>
  </si>
  <si>
    <t>本学期2月15日前订购一份赠送1本笔记本+1支花梨木圆珠笔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</si>
  <si>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</si>
  <si>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</si>
  <si>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</si>
  <si>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</si>
  <si>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</si>
  <si>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</si>
  <si>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</si>
  <si>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</si>
  <si>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</si>
  <si>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</si>
  <si>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</si>
  <si>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钟志光</t>
  </si>
  <si>
    <t>✔️</t>
  </si>
  <si>
    <t>已收款</t>
  </si>
  <si>
    <t>林志慧</t>
  </si>
  <si>
    <t>李启广</t>
  </si>
  <si>
    <t>巫奕财</t>
  </si>
  <si>
    <t>3.27已收款</t>
  </si>
  <si>
    <t>罗桂英</t>
  </si>
  <si>
    <t>V</t>
  </si>
  <si>
    <t>陈素妤</t>
  </si>
  <si>
    <t>√</t>
  </si>
  <si>
    <t>黄检娣</t>
  </si>
  <si>
    <t>鲜奶150支</t>
  </si>
  <si>
    <t>黄桂金</t>
  </si>
  <si>
    <t>3/13新增</t>
  </si>
  <si>
    <t>范桂乐</t>
  </si>
  <si>
    <t>3/17新增</t>
  </si>
  <si>
    <t>李瑞娟</t>
  </si>
  <si>
    <t>3.22新增</t>
  </si>
  <si>
    <t>英德市石牯塘镇中心小学教师鲜奶领奶表</t>
  </si>
  <si>
    <t>（ ）月份（填写领取数量/盒）</t>
  </si>
  <si>
    <t>姓名</t>
  </si>
  <si>
    <t>石牯塘镇中心小学教师鲜奶赠品领取表</t>
  </si>
  <si>
    <t>配送日期</t>
  </si>
  <si>
    <t>礼品份数
（笔记本+笔）</t>
  </si>
  <si>
    <t>签名</t>
  </si>
  <si>
    <t>罗桂英1</t>
  </si>
  <si>
    <t>罗桂英2</t>
  </si>
  <si>
    <t>3.19送</t>
  </si>
  <si>
    <t xml:space="preserve">                                                   英德市石牯塘镇中心小学教师鲜奶领奶表</t>
  </si>
  <si>
    <t>订购份数</t>
  </si>
  <si>
    <t>已发</t>
  </si>
  <si>
    <t>总计</t>
  </si>
  <si>
    <t>推迟到4月13日送酸奶，现在小孩咳嗽不能喝</t>
  </si>
  <si>
    <t>钟秋容</t>
  </si>
  <si>
    <t>蒙冠呈</t>
  </si>
  <si>
    <t>4.20新增</t>
  </si>
  <si>
    <t>石牯塘镇中心小学教师鲜奶领奶表</t>
  </si>
  <si>
    <t>配送天数</t>
  </si>
  <si>
    <t>鲜</t>
  </si>
  <si>
    <t>酸</t>
  </si>
  <si>
    <t>3天</t>
  </si>
  <si>
    <t>推迟到4月13日送</t>
  </si>
  <si>
    <t>要鲜、酸各半</t>
  </si>
  <si>
    <t>10号下单，周一6周四4</t>
  </si>
  <si>
    <t>4天</t>
  </si>
  <si>
    <t>补发</t>
  </si>
  <si>
    <t>周一6支，周四4支</t>
  </si>
  <si>
    <t>6天</t>
  </si>
  <si>
    <t>2天</t>
  </si>
  <si>
    <t>周一6支，周四4支，3.16暂不配送，3.19再送</t>
  </si>
  <si>
    <t>每周一送3支，周四送2支</t>
  </si>
  <si>
    <t>一半酸一半鲜</t>
  </si>
  <si>
    <t>只要鲜奶周一6支，周四4支</t>
  </si>
  <si>
    <t>李瑞娟3.22订一份酸奶，加在3.26配送</t>
  </si>
  <si>
    <r>
      <rPr>
        <sz val="11"/>
        <color rgb="FF000000"/>
        <rFont val="宋体"/>
        <charset val="134"/>
        <scheme val="minor"/>
      </rPr>
      <t>每周一送3支，</t>
    </r>
    <r>
      <rPr>
        <sz val="11"/>
        <color rgb="FFFF0000"/>
        <rFont val="宋体"/>
        <charset val="134"/>
        <scheme val="minor"/>
      </rPr>
      <t>周四送2支</t>
    </r>
  </si>
  <si>
    <t>只要鲜奶，周一6支，周四4支</t>
  </si>
  <si>
    <t>李瑞娟礼品</t>
  </si>
  <si>
    <t>4.20 新增，每次发2份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</si>
</sst>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3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14" applyNumberFormat="0" applyAlignment="0" applyProtection="0">
      <alignment vertical="center"/>
    </xf>
    <xf numFmtId="0" fontId="33" fillId="5" borderId="15" applyNumberFormat="0" applyAlignment="0" applyProtection="0">
      <alignment vertical="center"/>
    </xf>
    <xf numFmtId="0" fontId="34" fillId="5" borderId="14" applyNumberFormat="0" applyAlignment="0" applyProtection="0">
      <alignment vertical="center"/>
    </xf>
    <xf numFmtId="0" fontId="35" fillId="6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58" fontId="4" fillId="0" borderId="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11" fillId="0" borderId="5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 wrapText="1"/>
    </xf>
    <xf numFmtId="58" fontId="16" fillId="0" borderId="5" xfId="0" applyNumberFormat="1" applyFont="1" applyFill="1" applyBorder="1" applyAlignment="1">
      <alignment horizontal="center" vertical="center" wrapText="1"/>
    </xf>
    <xf numFmtId="58" fontId="16" fillId="0" borderId="5" xfId="0" applyNumberFormat="1" applyFont="1" applyFill="1" applyBorder="1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58" fontId="4" fillId="0" borderId="8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58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19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7" fillId="0" borderId="5" xfId="0" applyNumberFormat="1" applyFont="1" applyFill="1" applyBorder="1" applyAlignment="1">
      <alignment vertical="center"/>
    </xf>
    <xf numFmtId="0" fontId="11" fillId="0" borderId="5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9" fillId="2" borderId="7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workbookViewId="0">
      <selection activeCell="I13" sqref="I13"/>
    </sheetView>
  </sheetViews>
  <sheetFormatPr defaultColWidth="14" defaultRowHeight="18" customHeight="1"/>
  <cols>
    <col min="3" max="3" width="14.5714285714286"/>
  </cols>
  <sheetData>
    <row r="1" ht="20.25" customHeight="1" spans="1:25">
      <c r="A1" s="73" t="s">
        <v>0</v>
      </c>
      <c r="B1" s="73"/>
      <c r="C1" s="73"/>
      <c r="D1" s="73"/>
      <c r="E1" s="73"/>
      <c r="F1" s="73"/>
      <c r="G1" s="73"/>
      <c r="H1" s="73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ht="20.25" customHeight="1" spans="1:25">
      <c r="A2" s="75" t="s">
        <v>1</v>
      </c>
      <c r="B2" s="75"/>
      <c r="C2" s="75"/>
      <c r="D2" s="75"/>
      <c r="E2" s="75"/>
      <c r="F2" s="75"/>
      <c r="G2" s="75"/>
      <c r="H2" s="75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customHeight="1" spans="1:25">
      <c r="A3" s="76" t="s">
        <v>2</v>
      </c>
      <c r="B3" s="76" t="s">
        <v>3</v>
      </c>
      <c r="C3" s="76" t="s">
        <v>4</v>
      </c>
      <c r="D3" s="77" t="s">
        <v>5</v>
      </c>
      <c r="E3" s="77"/>
      <c r="F3" s="77" t="s">
        <v>6</v>
      </c>
      <c r="G3" s="77"/>
      <c r="H3" s="76" t="s">
        <v>7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ht="54" spans="1:25">
      <c r="A4" s="76"/>
      <c r="B4" s="76"/>
      <c r="C4" s="76"/>
      <c r="D4" s="78" t="s">
        <v>8</v>
      </c>
      <c r="E4" s="78" t="s">
        <v>9</v>
      </c>
      <c r="F4" s="78" t="s">
        <v>10</v>
      </c>
      <c r="G4" s="78" t="s">
        <v>11</v>
      </c>
      <c r="H4" s="79" t="s">
        <v>12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customHeight="1" spans="1:25">
      <c r="A5" s="28">
        <v>1</v>
      </c>
      <c r="B5" s="80" t="s">
        <v>13</v>
      </c>
      <c r="C5" s="80">
        <v>13553941727</v>
      </c>
      <c r="D5" s="80" t="s">
        <v>14</v>
      </c>
      <c r="E5" s="81"/>
      <c r="F5" s="80">
        <v>350</v>
      </c>
      <c r="G5" s="28">
        <v>210</v>
      </c>
      <c r="H5" s="29"/>
      <c r="I5" s="82" t="s">
        <v>15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customHeight="1" spans="1:25">
      <c r="A6" s="28">
        <v>2</v>
      </c>
      <c r="B6" s="80" t="s">
        <v>16</v>
      </c>
      <c r="C6" s="80">
        <v>15992021769</v>
      </c>
      <c r="D6" s="81"/>
      <c r="E6" s="80" t="s">
        <v>14</v>
      </c>
      <c r="F6" s="80">
        <v>350</v>
      </c>
      <c r="G6" s="28">
        <v>210</v>
      </c>
      <c r="H6" s="29"/>
      <c r="I6" s="82" t="s">
        <v>15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customHeight="1" spans="1:25">
      <c r="A7" s="28">
        <v>3</v>
      </c>
      <c r="B7" s="80" t="s">
        <v>17</v>
      </c>
      <c r="C7" s="80">
        <v>15876334862</v>
      </c>
      <c r="D7" s="80" t="s">
        <v>14</v>
      </c>
      <c r="E7" s="81"/>
      <c r="F7" s="80">
        <v>350</v>
      </c>
      <c r="G7" s="28">
        <v>210</v>
      </c>
      <c r="H7" s="29"/>
      <c r="I7" s="82" t="s">
        <v>15</v>
      </c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customHeight="1" spans="1:25">
      <c r="A8" s="28">
        <v>4</v>
      </c>
      <c r="B8" s="83" t="s">
        <v>18</v>
      </c>
      <c r="C8" s="81">
        <v>13553958518</v>
      </c>
      <c r="D8" s="80" t="s">
        <v>14</v>
      </c>
      <c r="E8" s="81"/>
      <c r="F8" s="80">
        <v>350</v>
      </c>
      <c r="G8" s="28">
        <v>210</v>
      </c>
      <c r="H8" s="82" t="s">
        <v>15</v>
      </c>
      <c r="I8" s="82" t="s">
        <v>19</v>
      </c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customHeight="1" spans="1:25">
      <c r="A9" s="28">
        <v>5</v>
      </c>
      <c r="B9" s="80" t="s">
        <v>20</v>
      </c>
      <c r="C9" s="80">
        <v>13727160241</v>
      </c>
      <c r="D9" s="81"/>
      <c r="E9" s="80" t="s">
        <v>21</v>
      </c>
      <c r="F9" s="80">
        <v>350</v>
      </c>
      <c r="G9" s="28">
        <v>210</v>
      </c>
      <c r="H9" s="28"/>
      <c r="I9" s="82" t="s">
        <v>15</v>
      </c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customHeight="1" spans="1:25">
      <c r="A10" s="28">
        <v>6</v>
      </c>
      <c r="B10" s="80" t="s">
        <v>20</v>
      </c>
      <c r="C10" s="80">
        <v>13727160241</v>
      </c>
      <c r="D10" s="81"/>
      <c r="E10" s="80" t="s">
        <v>21</v>
      </c>
      <c r="F10" s="80"/>
      <c r="G10" s="28"/>
      <c r="H10" s="29"/>
      <c r="I10" s="82" t="s">
        <v>15</v>
      </c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customHeight="1" spans="1:25">
      <c r="A11" s="28">
        <v>7</v>
      </c>
      <c r="B11" s="80" t="s">
        <v>22</v>
      </c>
      <c r="C11" s="80">
        <v>13417283715</v>
      </c>
      <c r="D11" s="81"/>
      <c r="E11" s="80" t="s">
        <v>23</v>
      </c>
      <c r="F11" s="80">
        <v>350</v>
      </c>
      <c r="G11" s="28">
        <v>210</v>
      </c>
      <c r="H11" s="29"/>
      <c r="I11" s="82" t="s">
        <v>15</v>
      </c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customHeight="1" spans="1:25">
      <c r="A12" s="28">
        <v>8</v>
      </c>
      <c r="B12" s="84" t="s">
        <v>24</v>
      </c>
      <c r="C12" s="81"/>
      <c r="D12" s="80" t="s">
        <v>14</v>
      </c>
      <c r="E12" s="81"/>
      <c r="F12" s="80">
        <v>350</v>
      </c>
      <c r="G12" s="28">
        <v>210</v>
      </c>
      <c r="H12" s="29" t="s">
        <v>25</v>
      </c>
      <c r="I12" s="82" t="s">
        <v>15</v>
      </c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customHeight="1" spans="1:25">
      <c r="A13" s="28">
        <v>9</v>
      </c>
      <c r="B13" s="81" t="s">
        <v>26</v>
      </c>
      <c r="C13" s="81">
        <v>18025033528</v>
      </c>
      <c r="D13" s="80"/>
      <c r="E13" s="80" t="s">
        <v>14</v>
      </c>
      <c r="F13" s="80">
        <v>350</v>
      </c>
      <c r="G13" s="28">
        <v>210</v>
      </c>
      <c r="H13" s="29" t="s">
        <v>27</v>
      </c>
      <c r="I13" s="82" t="s">
        <v>15</v>
      </c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customHeight="1" spans="1:25">
      <c r="A14" s="28">
        <v>10</v>
      </c>
      <c r="B14" s="81" t="s">
        <v>28</v>
      </c>
      <c r="C14" s="81">
        <v>15876321078</v>
      </c>
      <c r="D14" s="81"/>
      <c r="E14" s="80" t="s">
        <v>14</v>
      </c>
      <c r="F14" s="80">
        <v>350</v>
      </c>
      <c r="G14" s="28">
        <v>210</v>
      </c>
      <c r="H14" s="29" t="s">
        <v>29</v>
      </c>
      <c r="I14" s="82" t="s">
        <v>15</v>
      </c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customHeight="1" spans="1:25">
      <c r="A15" s="28">
        <v>10</v>
      </c>
      <c r="B15" s="81" t="s">
        <v>30</v>
      </c>
      <c r="C15" s="81">
        <v>13416527664</v>
      </c>
      <c r="D15" s="81"/>
      <c r="E15" s="80" t="s">
        <v>14</v>
      </c>
      <c r="F15" s="80">
        <v>350</v>
      </c>
      <c r="G15" s="28">
        <v>210</v>
      </c>
      <c r="H15" s="29" t="s">
        <v>31</v>
      </c>
      <c r="I15" s="82" t="s">
        <v>15</v>
      </c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customHeight="1" spans="1:25">
      <c r="A16" s="28">
        <v>11</v>
      </c>
      <c r="B16" s="10"/>
      <c r="C16" s="81"/>
      <c r="D16" s="81"/>
      <c r="E16" s="81"/>
      <c r="F16" s="80">
        <v>350</v>
      </c>
      <c r="G16" s="28">
        <v>210</v>
      </c>
      <c r="H16" s="29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customHeight="1" spans="1:25">
      <c r="A17" s="28">
        <v>12</v>
      </c>
      <c r="B17" s="10"/>
      <c r="C17" s="81"/>
      <c r="D17" s="81"/>
      <c r="E17" s="81"/>
      <c r="F17" s="80">
        <v>350</v>
      </c>
      <c r="G17" s="28">
        <v>210</v>
      </c>
      <c r="H17" s="29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customHeight="1" spans="1:25">
      <c r="A18" s="28">
        <v>13</v>
      </c>
      <c r="B18" s="10"/>
      <c r="C18" s="81"/>
      <c r="D18" s="81"/>
      <c r="E18" s="81"/>
      <c r="F18" s="80">
        <v>350</v>
      </c>
      <c r="G18" s="28">
        <v>210</v>
      </c>
      <c r="H18" s="29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customHeight="1" spans="1:25">
      <c r="A19" s="28">
        <v>14</v>
      </c>
      <c r="B19" s="10"/>
      <c r="C19" s="81"/>
      <c r="D19" s="81"/>
      <c r="E19" s="81"/>
      <c r="F19" s="80">
        <v>350</v>
      </c>
      <c r="G19" s="28">
        <v>210</v>
      </c>
      <c r="H19" s="29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customHeight="1" spans="1:25">
      <c r="A20" s="28">
        <v>15</v>
      </c>
      <c r="B20" s="10"/>
      <c r="C20" s="81"/>
      <c r="D20" s="81"/>
      <c r="E20" s="81"/>
      <c r="F20" s="80">
        <v>350</v>
      </c>
      <c r="G20" s="28">
        <v>210</v>
      </c>
      <c r="H20" s="29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customHeight="1" spans="1:25">
      <c r="A21" s="28">
        <v>16</v>
      </c>
      <c r="B21" s="10"/>
      <c r="C21" s="81"/>
      <c r="D21" s="81"/>
      <c r="E21" s="81"/>
      <c r="F21" s="80">
        <v>350</v>
      </c>
      <c r="G21" s="28">
        <v>210</v>
      </c>
      <c r="H21" s="29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customHeight="1" spans="1:25">
      <c r="A22" s="28">
        <v>17</v>
      </c>
      <c r="B22" s="10"/>
      <c r="C22" s="81"/>
      <c r="D22" s="81"/>
      <c r="E22" s="85"/>
      <c r="F22" s="80">
        <v>350</v>
      </c>
      <c r="G22" s="28">
        <v>210</v>
      </c>
      <c r="H22" s="29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customHeight="1" spans="1:25">
      <c r="A23" s="28">
        <v>18</v>
      </c>
      <c r="B23" s="15"/>
      <c r="C23" s="81"/>
      <c r="D23" s="81"/>
      <c r="E23" s="81"/>
      <c r="F23" s="80">
        <v>350</v>
      </c>
      <c r="G23" s="28">
        <v>210</v>
      </c>
      <c r="H23" s="29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customHeight="1" spans="1:25">
      <c r="A24" s="28">
        <v>19</v>
      </c>
      <c r="B24" s="15"/>
      <c r="C24" s="81"/>
      <c r="D24" s="81"/>
      <c r="E24" s="81"/>
      <c r="F24" s="80">
        <v>350</v>
      </c>
      <c r="G24" s="28">
        <v>210</v>
      </c>
      <c r="H24" s="29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customHeight="1" spans="1:25">
      <c r="A25" s="28">
        <v>20</v>
      </c>
      <c r="B25" s="13"/>
      <c r="C25" s="81"/>
      <c r="D25" s="81"/>
      <c r="E25" s="81"/>
      <c r="F25" s="80">
        <v>350</v>
      </c>
      <c r="G25" s="28">
        <v>210</v>
      </c>
      <c r="H25" s="29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customHeight="1" spans="1:25">
      <c r="A26" s="28">
        <v>21</v>
      </c>
      <c r="B26" s="13"/>
      <c r="C26" s="29"/>
      <c r="D26" s="29"/>
      <c r="E26" s="29"/>
      <c r="F26" s="28">
        <v>350</v>
      </c>
      <c r="G26" s="28">
        <v>210</v>
      </c>
      <c r="H26" s="29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customHeight="1" spans="1:25">
      <c r="A27" s="28">
        <v>22</v>
      </c>
      <c r="B27" s="13"/>
      <c r="C27" s="29"/>
      <c r="D27" s="29"/>
      <c r="E27" s="29"/>
      <c r="F27" s="28">
        <v>350</v>
      </c>
      <c r="G27" s="28">
        <v>210</v>
      </c>
      <c r="H27" s="29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customHeight="1" spans="1:25">
      <c r="A28" s="28">
        <v>23</v>
      </c>
      <c r="B28" s="29"/>
      <c r="C28" s="29"/>
      <c r="D28" s="29"/>
      <c r="E28" s="29"/>
      <c r="F28" s="28">
        <v>350</v>
      </c>
      <c r="G28" s="28">
        <v>210</v>
      </c>
      <c r="H28" s="29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customHeight="1" spans="1:25">
      <c r="A29" s="28">
        <v>24</v>
      </c>
      <c r="B29" s="29"/>
      <c r="C29" s="29"/>
      <c r="D29" s="29"/>
      <c r="E29" s="29"/>
      <c r="F29" s="28">
        <v>350</v>
      </c>
      <c r="G29" s="28">
        <v>210</v>
      </c>
      <c r="H29" s="29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customHeight="1" spans="1:25">
      <c r="A30" s="28">
        <v>31</v>
      </c>
      <c r="B30" s="29"/>
      <c r="C30" s="29"/>
      <c r="D30" s="29"/>
      <c r="E30" s="29"/>
      <c r="F30" s="28">
        <v>350</v>
      </c>
      <c r="G30" s="28">
        <v>210</v>
      </c>
      <c r="H30" s="29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customHeight="1" spans="1:25">
      <c r="A31" s="28">
        <v>32</v>
      </c>
      <c r="B31" s="29"/>
      <c r="C31" s="29"/>
      <c r="D31" s="29"/>
      <c r="E31" s="29"/>
      <c r="F31" s="28">
        <v>350</v>
      </c>
      <c r="G31" s="28">
        <v>210</v>
      </c>
      <c r="H31" s="29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customHeight="1" spans="1:25">
      <c r="A32" s="28">
        <v>33</v>
      </c>
      <c r="B32" s="29"/>
      <c r="C32" s="29"/>
      <c r="D32" s="29"/>
      <c r="E32" s="29"/>
      <c r="F32" s="28">
        <v>350</v>
      </c>
      <c r="G32" s="28">
        <v>210</v>
      </c>
      <c r="H32" s="29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</row>
    <row r="33" customHeight="1" spans="1:25">
      <c r="A33" s="28">
        <v>34</v>
      </c>
      <c r="B33" s="29"/>
      <c r="C33" s="29"/>
      <c r="D33" s="29"/>
      <c r="E33" s="29"/>
      <c r="F33" s="28">
        <v>350</v>
      </c>
      <c r="G33" s="28">
        <v>210</v>
      </c>
      <c r="H33" s="29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</row>
    <row r="34" customHeight="1" spans="1:25">
      <c r="A34" s="28">
        <v>35</v>
      </c>
      <c r="B34" s="29"/>
      <c r="C34" s="29"/>
      <c r="D34" s="29"/>
      <c r="E34" s="29"/>
      <c r="F34" s="28">
        <v>350</v>
      </c>
      <c r="G34" s="28">
        <v>210</v>
      </c>
      <c r="H34" s="29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</row>
    <row r="35" customHeight="1" spans="1:25">
      <c r="A35" s="28">
        <v>36</v>
      </c>
      <c r="B35" s="29"/>
      <c r="C35" s="29"/>
      <c r="D35" s="29"/>
      <c r="E35" s="29"/>
      <c r="F35" s="28">
        <v>350</v>
      </c>
      <c r="G35" s="28">
        <v>210</v>
      </c>
      <c r="H35" s="29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</row>
    <row r="36" customHeight="1" spans="1:25">
      <c r="A36" s="28">
        <v>37</v>
      </c>
      <c r="B36" s="29"/>
      <c r="C36" s="29"/>
      <c r="D36" s="29"/>
      <c r="E36" s="29"/>
      <c r="F36" s="28">
        <v>350</v>
      </c>
      <c r="G36" s="28">
        <v>210</v>
      </c>
      <c r="H36" s="29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</row>
    <row r="37" customHeight="1" spans="1:25">
      <c r="A37" s="28">
        <v>38</v>
      </c>
      <c r="B37" s="29"/>
      <c r="C37" s="29"/>
      <c r="D37" s="29"/>
      <c r="E37" s="29"/>
      <c r="F37" s="28">
        <v>350</v>
      </c>
      <c r="G37" s="28">
        <v>210</v>
      </c>
      <c r="H37" s="29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</row>
    <row r="38" customHeight="1" spans="1:25">
      <c r="A38" s="28">
        <v>39</v>
      </c>
      <c r="B38" s="29"/>
      <c r="C38" s="29"/>
      <c r="D38" s="29"/>
      <c r="E38" s="29"/>
      <c r="F38" s="28">
        <v>350</v>
      </c>
      <c r="G38" s="28">
        <v>210</v>
      </c>
      <c r="H38" s="29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 customHeight="1" spans="1:25">
      <c r="A39" s="28">
        <v>40</v>
      </c>
      <c r="B39" s="29"/>
      <c r="C39" s="29"/>
      <c r="D39" s="29"/>
      <c r="E39" s="29"/>
      <c r="F39" s="28">
        <v>350</v>
      </c>
      <c r="G39" s="28">
        <v>210</v>
      </c>
      <c r="H39" s="29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</row>
    <row r="40" customHeight="1" spans="1:25">
      <c r="A40" s="28">
        <v>41</v>
      </c>
      <c r="B40" s="29"/>
      <c r="C40" s="29"/>
      <c r="D40" s="29"/>
      <c r="E40" s="29"/>
      <c r="F40" s="28">
        <v>350</v>
      </c>
      <c r="G40" s="28">
        <v>210</v>
      </c>
      <c r="H40" s="29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 customHeight="1" spans="1:25">
      <c r="A41" s="28">
        <v>42</v>
      </c>
      <c r="B41" s="29"/>
      <c r="C41" s="29"/>
      <c r="D41" s="29"/>
      <c r="E41" s="29"/>
      <c r="F41" s="28">
        <v>350</v>
      </c>
      <c r="G41" s="28">
        <v>210</v>
      </c>
      <c r="H41" s="29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customHeight="1" spans="1:25">
      <c r="A42" s="28">
        <v>43</v>
      </c>
      <c r="B42" s="29"/>
      <c r="C42" s="29"/>
      <c r="D42" s="29"/>
      <c r="E42" s="29"/>
      <c r="F42" s="28">
        <v>350</v>
      </c>
      <c r="G42" s="28">
        <v>210</v>
      </c>
      <c r="H42" s="29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</row>
    <row r="43" customHeight="1" spans="1:25">
      <c r="A43" s="28">
        <v>44</v>
      </c>
      <c r="B43" s="29"/>
      <c r="C43" s="29"/>
      <c r="D43" s="29"/>
      <c r="E43" s="29"/>
      <c r="F43" s="28">
        <v>350</v>
      </c>
      <c r="G43" s="28">
        <v>210</v>
      </c>
      <c r="H43" s="29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 customHeight="1" spans="1:25">
      <c r="A44" s="28">
        <v>45</v>
      </c>
      <c r="B44" s="29"/>
      <c r="C44" s="29"/>
      <c r="D44" s="29"/>
      <c r="E44" s="29"/>
      <c r="F44" s="28">
        <v>350</v>
      </c>
      <c r="G44" s="28">
        <v>210</v>
      </c>
      <c r="H44" s="29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</row>
    <row r="45" customHeight="1" spans="1: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</row>
    <row r="46" customHeight="1" spans="1:25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</row>
    <row r="47" customHeight="1" spans="1:25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customHeight="1" spans="1:25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customHeight="1" spans="1:25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customHeight="1" spans="1:25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customHeight="1" spans="1:2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customHeight="1" spans="1:25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customHeight="1" spans="1: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customHeight="1" spans="1: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customHeight="1" spans="1: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customHeight="1" spans="1: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 customHeight="1" spans="1: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customHeight="1" spans="1: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customHeight="1" spans="1: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customHeight="1" spans="1:25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customHeight="1" spans="1: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customHeight="1" spans="1:2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customHeight="1" spans="1:2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customHeight="1" spans="1: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customHeight="1" spans="1: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customHeight="1" spans="1:2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customHeight="1" spans="1: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customHeight="1" spans="1: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customHeight="1" spans="1: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customHeight="1" spans="1: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customHeight="1" spans="1: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customHeight="1" spans="1: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customHeight="1" spans="1: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customHeight="1" spans="1: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customHeight="1" spans="1: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customHeight="1" spans="1: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customHeight="1" spans="1: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customHeight="1" spans="1:2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customHeight="1" spans="1:2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customHeight="1" spans="1:2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customHeight="1" spans="1: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customHeight="1" spans="1:2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customHeight="1" spans="1:25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customHeight="1" spans="1: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customHeight="1" spans="1: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customHeight="1" spans="1:2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customHeight="1" spans="1: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customHeight="1" spans="1:25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customHeight="1" spans="1: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customHeight="1" spans="1:25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 customHeight="1" spans="1:25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customHeight="1" spans="1:25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customHeight="1" spans="1:25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customHeight="1" spans="1:2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customHeight="1" spans="1: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customHeight="1" spans="1: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customHeight="1" spans="1: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customHeight="1" spans="1: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customHeight="1" spans="1: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customHeight="1" spans="1: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 customHeight="1" spans="1: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customHeight="1" spans="1: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customHeight="1" spans="1: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customHeight="1" spans="1: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customHeight="1" spans="1: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 customHeight="1" spans="1: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customHeight="1" spans="1: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customHeight="1" spans="1: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customHeight="1" spans="1: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customHeight="1" spans="1: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customHeight="1" spans="1: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customHeight="1" spans="1: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customHeight="1" spans="1: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customHeight="1" spans="1: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customHeight="1" spans="1: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customHeight="1" spans="1:25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customHeight="1" spans="1:25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 customHeight="1" spans="1:25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customHeight="1" spans="1:2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 customHeight="1" spans="1:25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customHeight="1" spans="1:2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customHeight="1" spans="1:25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customHeight="1" spans="1:2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customHeight="1" spans="1: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 customHeight="1" spans="1: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customHeight="1" spans="1:25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customHeight="1" spans="1:2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 customHeight="1" spans="1:25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customHeight="1" spans="1: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customHeight="1" spans="1:25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customHeight="1" spans="1:25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customHeight="1" spans="1:25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customHeight="1" spans="1:25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customHeight="1" spans="1:2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 customHeight="1" spans="1:2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customHeight="1" spans="1:2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customHeight="1" spans="1:25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customHeight="1" spans="1:25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customHeight="1" spans="1:25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 customHeight="1" spans="1:25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customHeight="1" spans="1:25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customHeight="1" spans="1:25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 customHeight="1" spans="1:25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customHeight="1" spans="1:25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customHeight="1" spans="1:2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customHeight="1" spans="1:25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customHeight="1" spans="1:25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customHeight="1" spans="1:25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customHeight="1" spans="1:2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customHeight="1" spans="1:25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customHeight="1" spans="1:2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customHeight="1" spans="1:25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customHeight="1" spans="1: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customHeight="1" spans="1:25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customHeight="1" spans="1: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customHeight="1" spans="1:25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customHeight="1" spans="1:2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customHeight="1" spans="1:25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customHeight="1" spans="1:2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customHeight="1" spans="1:25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customHeight="1" spans="1: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customHeight="1" spans="1: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customHeight="1" spans="1: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customHeight="1" spans="1: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customHeight="1" spans="1: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 customHeight="1" spans="1: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 customHeight="1" spans="1: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 customHeight="1" spans="1: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 customHeight="1" spans="1: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customHeight="1" spans="1:25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 customHeight="1" spans="1:2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 customHeight="1" spans="1:25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customHeight="1" spans="1:2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 customHeight="1" spans="1:25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 customHeight="1" spans="1:2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 customHeight="1" spans="1:25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 customHeight="1" spans="1:2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 customHeight="1" spans="1:25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customHeight="1" spans="1:2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customHeight="1" spans="1:25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customHeight="1" spans="1:2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 customHeight="1" spans="1:25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 customHeight="1" spans="1:2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customHeight="1" spans="1:25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 customHeight="1" spans="1:2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 customHeight="1" spans="1:25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 customHeight="1" spans="1:2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 customHeight="1" spans="1:25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 customHeight="1" spans="1:2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 customHeight="1" spans="1:25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65" customWidth="1"/>
    <col min="2" max="2" width="13.7142857142857" style="65" customWidth="1"/>
    <col min="3" max="3" width="4.42857142857143" style="63" customWidth="1"/>
    <col min="4" max="6" width="4" style="63" customWidth="1"/>
    <col min="7" max="7" width="3.87619047619048" style="63" customWidth="1"/>
    <col min="8" max="12" width="4.28571428571429" style="63" customWidth="1"/>
    <col min="13" max="13" width="4.00952380952381" style="63" customWidth="1"/>
    <col min="14" max="14" width="4.28571428571429" style="63" customWidth="1"/>
    <col min="15" max="15" width="4.00952380952381" style="63" customWidth="1"/>
    <col min="16" max="16" width="3.87619047619048" style="63" customWidth="1"/>
    <col min="17" max="17" width="4.28571428571429" style="63" customWidth="1"/>
    <col min="18" max="19" width="4.14285714285714" style="63" customWidth="1"/>
    <col min="20" max="20" width="4.57142857142857" style="63" customWidth="1"/>
    <col min="21" max="25" width="4.14285714285714" style="63" customWidth="1"/>
    <col min="26" max="27" width="4.57142857142857" style="63" customWidth="1"/>
    <col min="28" max="28" width="4.16190476190476" style="63" customWidth="1"/>
    <col min="29" max="30" width="4.28571428571429" style="63" customWidth="1"/>
    <col min="31" max="31" width="4.00952380952381" style="63" customWidth="1"/>
    <col min="32" max="32" width="3.85714285714286" style="63" customWidth="1"/>
    <col min="33" max="34" width="4.28571428571429" style="63" customWidth="1"/>
    <col min="35" max="36" width="4.57142857142857" style="63" customWidth="1"/>
    <col min="37" max="37" width="4.28571428571429" style="63" customWidth="1"/>
    <col min="38" max="38" width="3.85714285714286" style="63" customWidth="1"/>
    <col min="39" max="16384" width="10.2857142857143" style="63"/>
  </cols>
  <sheetData>
    <row r="1" s="63" customFormat="1" ht="26" customHeight="1" spans="1:38">
      <c r="A1" s="54" t="s">
        <v>32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</row>
    <row r="2" s="63" customFormat="1" ht="26" customHeight="1" spans="1:38">
      <c r="A2" s="66" t="s">
        <v>33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</row>
    <row r="3" s="64" customFormat="1" ht="40" customHeight="1" spans="1:38">
      <c r="A3" s="67" t="s">
        <v>2</v>
      </c>
      <c r="B3" s="67" t="s">
        <v>34</v>
      </c>
      <c r="C3" s="55">
        <v>1</v>
      </c>
      <c r="D3" s="55">
        <v>2</v>
      </c>
      <c r="E3" s="55">
        <v>3</v>
      </c>
      <c r="F3" s="55">
        <v>4</v>
      </c>
      <c r="G3" s="55">
        <v>5</v>
      </c>
      <c r="H3" s="55">
        <v>6</v>
      </c>
      <c r="I3" s="55">
        <v>7</v>
      </c>
      <c r="J3" s="55">
        <v>8</v>
      </c>
      <c r="K3" s="55">
        <v>9</v>
      </c>
      <c r="L3" s="55">
        <v>10</v>
      </c>
      <c r="M3" s="55">
        <v>11</v>
      </c>
      <c r="N3" s="55">
        <v>12</v>
      </c>
      <c r="O3" s="55">
        <v>13</v>
      </c>
      <c r="P3" s="55">
        <v>14</v>
      </c>
      <c r="Q3" s="55">
        <v>15</v>
      </c>
      <c r="R3" s="55">
        <v>16</v>
      </c>
      <c r="S3" s="55">
        <v>17</v>
      </c>
      <c r="T3" s="55">
        <v>18</v>
      </c>
      <c r="U3" s="55">
        <v>19</v>
      </c>
      <c r="V3" s="55">
        <v>20</v>
      </c>
      <c r="W3" s="55">
        <v>21</v>
      </c>
      <c r="X3" s="55">
        <v>22</v>
      </c>
      <c r="Y3" s="55">
        <v>23</v>
      </c>
      <c r="Z3" s="55">
        <v>24</v>
      </c>
      <c r="AA3" s="55">
        <v>25</v>
      </c>
      <c r="AB3" s="55">
        <v>26</v>
      </c>
      <c r="AC3" s="55">
        <v>27</v>
      </c>
      <c r="AD3" s="55">
        <v>28</v>
      </c>
      <c r="AE3" s="55">
        <v>29</v>
      </c>
      <c r="AF3" s="55">
        <v>30</v>
      </c>
      <c r="AG3" s="55"/>
      <c r="AH3" s="55"/>
      <c r="AI3" s="55"/>
      <c r="AJ3" s="55"/>
      <c r="AK3" s="55"/>
      <c r="AL3" s="55"/>
    </row>
    <row r="4" s="63" customFormat="1" ht="25" customHeight="1" spans="1:38">
      <c r="A4" s="68">
        <v>1</v>
      </c>
      <c r="B4" s="69"/>
      <c r="C4" s="68"/>
      <c r="D4" s="68"/>
      <c r="E4" s="68"/>
      <c r="F4" s="68"/>
      <c r="G4" s="68"/>
      <c r="H4" s="68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</row>
    <row r="5" s="63" customFormat="1" ht="25" customHeight="1" spans="1:38">
      <c r="A5" s="68">
        <v>2</v>
      </c>
      <c r="B5" s="69"/>
      <c r="C5" s="68"/>
      <c r="D5" s="68"/>
      <c r="E5" s="68"/>
      <c r="F5" s="68"/>
      <c r="G5" s="68"/>
      <c r="H5" s="68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</row>
    <row r="6" s="63" customFormat="1" ht="25" customHeight="1" spans="1:38">
      <c r="A6" s="68">
        <v>3</v>
      </c>
      <c r="B6" s="6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</row>
    <row r="7" s="63" customFormat="1" ht="25" customHeight="1" spans="1:38">
      <c r="A7" s="68">
        <v>13</v>
      </c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</row>
    <row r="8" s="63" customFormat="1" ht="25" customHeight="1" spans="1:38">
      <c r="A8" s="68">
        <v>14</v>
      </c>
      <c r="B8" s="69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</row>
    <row r="9" s="63" customFormat="1" ht="25" customHeight="1" spans="1:38">
      <c r="A9" s="68">
        <v>15</v>
      </c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</row>
    <row r="10" s="63" customFormat="1" ht="25" customHeight="1" spans="1:38">
      <c r="A10" s="68">
        <v>16</v>
      </c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</row>
    <row r="11" s="63" customFormat="1" ht="25" customHeight="1" spans="1:38">
      <c r="A11" s="68">
        <v>17</v>
      </c>
      <c r="B11" s="71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</row>
    <row r="12" s="63" customFormat="1" ht="25" customHeight="1" spans="1:38">
      <c r="A12" s="68">
        <v>18</v>
      </c>
      <c r="B12" s="71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</row>
    <row r="13" s="63" customFormat="1" ht="15" customHeight="1" spans="1:38">
      <c r="A13" s="72"/>
      <c r="B13" s="72"/>
    </row>
    <row r="14" s="63" customFormat="1" ht="15" customHeight="1" spans="1:38">
      <c r="A14" s="72"/>
      <c r="B14" s="72"/>
    </row>
    <row r="15" s="63" customFormat="1" ht="15" customHeight="1" spans="1:38">
      <c r="A15" s="72"/>
      <c r="B15" s="72"/>
    </row>
    <row r="16" s="63" customFormat="1" ht="15" customHeight="1" spans="1:38">
      <c r="A16" s="72"/>
      <c r="B16" s="72"/>
    </row>
    <row r="17" s="63" customFormat="1" ht="15" customHeight="1" spans="1:2">
      <c r="A17" s="72"/>
      <c r="B17" s="72"/>
    </row>
    <row r="18" s="63" customFormat="1" ht="15" customHeight="1" spans="1:2">
      <c r="A18" s="72"/>
      <c r="B18" s="72"/>
    </row>
    <row r="19" s="63" customFormat="1" ht="15" customHeight="1" spans="1:2">
      <c r="A19" s="72"/>
      <c r="B19" s="72"/>
    </row>
    <row r="20" s="63" customFormat="1" ht="15" customHeight="1" spans="1:2">
      <c r="A20" s="72"/>
      <c r="B20" s="72"/>
    </row>
    <row r="21" s="63" customFormat="1" ht="15" customHeight="1" spans="1:2">
      <c r="A21" s="72"/>
      <c r="B21" s="72"/>
    </row>
    <row r="22" s="63" customFormat="1" ht="15" customHeight="1" spans="1:2">
      <c r="A22" s="72"/>
      <c r="B22" s="72"/>
    </row>
    <row r="23" s="63" customFormat="1" ht="15" customHeight="1" spans="1:2">
      <c r="A23" s="72"/>
      <c r="B23" s="72"/>
    </row>
    <row r="24" s="63" customFormat="1" ht="15" customHeight="1" spans="1:2">
      <c r="A24" s="72"/>
      <c r="B24" s="72"/>
    </row>
    <row r="25" s="63" customFormat="1" ht="15" customHeight="1" spans="1:2">
      <c r="A25" s="72"/>
      <c r="B25" s="72"/>
    </row>
    <row r="26" s="63" customFormat="1" ht="15" customHeight="1" spans="1:2">
      <c r="A26" s="72"/>
      <c r="B26" s="72"/>
    </row>
    <row r="27" s="63" customFormat="1" ht="15" customHeight="1" spans="1:2">
      <c r="A27" s="72"/>
      <c r="B27" s="72"/>
    </row>
    <row r="28" s="63" customFormat="1" ht="15" customHeight="1" spans="1:2">
      <c r="A28" s="72"/>
      <c r="B28" s="72"/>
    </row>
    <row r="29" s="63" customFormat="1" ht="15" customHeight="1" spans="1:2">
      <c r="A29" s="72"/>
      <c r="B29" s="72"/>
    </row>
    <row r="30" s="63" customFormat="1" ht="15" customHeight="1" spans="1:2">
      <c r="A30" s="72"/>
      <c r="B30" s="72"/>
    </row>
    <row r="31" s="63" customFormat="1" ht="15" customHeight="1" spans="1:2">
      <c r="A31" s="72"/>
      <c r="B31" s="72"/>
    </row>
    <row r="32" s="63" customFormat="1" ht="15" customHeight="1" spans="1:2">
      <c r="A32" s="72"/>
      <c r="B32" s="72"/>
    </row>
    <row r="33" s="63" customFormat="1" ht="15" customHeight="1" spans="1:2">
      <c r="A33" s="72"/>
      <c r="B33" s="72"/>
    </row>
    <row r="34" s="63" customFormat="1" ht="15" customHeight="1" spans="1:2">
      <c r="A34" s="72"/>
      <c r="B34" s="72"/>
    </row>
    <row r="35" s="63" customFormat="1" ht="15" customHeight="1" spans="1:2">
      <c r="A35" s="72"/>
      <c r="B35" s="72"/>
    </row>
    <row r="36" s="63" customFormat="1" ht="15" customHeight="1" spans="1:2">
      <c r="A36" s="72"/>
      <c r="B36" s="72"/>
    </row>
    <row r="37" s="63" customFormat="1" ht="15" customHeight="1" spans="1:2">
      <c r="A37" s="72"/>
      <c r="B37" s="72"/>
    </row>
    <row r="38" s="63" customFormat="1" ht="15" customHeight="1" spans="1:2">
      <c r="A38" s="72"/>
      <c r="B38" s="72"/>
    </row>
    <row r="39" s="63" customFormat="1" ht="15" customHeight="1" spans="1:2">
      <c r="A39" s="72"/>
      <c r="B39" s="72"/>
    </row>
    <row r="40" s="63" customFormat="1" ht="15" customHeight="1" spans="1:2">
      <c r="A40" s="72"/>
      <c r="B40" s="72"/>
    </row>
    <row r="41" s="63" customFormat="1" ht="15" customHeight="1" spans="1:2">
      <c r="A41" s="72"/>
      <c r="B41" s="72"/>
    </row>
    <row r="42" s="63" customFormat="1" ht="15" customHeight="1" spans="1:2">
      <c r="A42" s="72"/>
      <c r="B42" s="72"/>
    </row>
    <row r="43" s="63" customFormat="1" ht="15" customHeight="1" spans="1:2">
      <c r="A43" s="72"/>
      <c r="B43" s="72"/>
    </row>
    <row r="44" s="63" customFormat="1" ht="15" customHeight="1" spans="1:2">
      <c r="A44" s="72"/>
      <c r="B44" s="72"/>
    </row>
    <row r="45" s="63" customFormat="1" ht="15" customHeight="1" spans="1:2">
      <c r="A45" s="72"/>
      <c r="B45" s="72"/>
    </row>
    <row r="46" s="63" customFormat="1" ht="15" customHeight="1" spans="1:2">
      <c r="A46" s="72"/>
      <c r="B46" s="72"/>
    </row>
    <row r="47" s="63" customFormat="1" ht="15" customHeight="1" spans="1:2">
      <c r="A47" s="72"/>
      <c r="B47" s="72"/>
    </row>
    <row r="48" s="63" customFormat="1" ht="15" customHeight="1" spans="1:2">
      <c r="A48" s="72"/>
      <c r="B48" s="72"/>
    </row>
    <row r="49" s="63" customFormat="1" ht="15" customHeight="1" spans="1:2">
      <c r="A49" s="72"/>
      <c r="B49" s="72"/>
    </row>
    <row r="50" s="63" customFormat="1" ht="15" customHeight="1" spans="1:2">
      <c r="A50" s="72"/>
      <c r="B50" s="72"/>
    </row>
    <row r="51" s="63" customFormat="1" ht="15" customHeight="1" spans="1:2">
      <c r="A51" s="72"/>
      <c r="B51" s="72"/>
    </row>
    <row r="52" s="63" customFormat="1" ht="15" customHeight="1" spans="1:2">
      <c r="A52" s="72"/>
      <c r="B52" s="72"/>
    </row>
    <row r="53" s="63" customFormat="1" ht="15" customHeight="1" spans="1:2">
      <c r="A53" s="72"/>
      <c r="B53" s="72"/>
    </row>
    <row r="54" s="63" customFormat="1" ht="15" customHeight="1" spans="1:2">
      <c r="A54" s="72"/>
      <c r="B54" s="72"/>
    </row>
    <row r="55" s="63" customFormat="1" ht="15" customHeight="1" spans="1:2">
      <c r="A55" s="72"/>
      <c r="B55" s="72"/>
    </row>
    <row r="56" s="63" customFormat="1" ht="15" customHeight="1" spans="1:2">
      <c r="A56" s="72"/>
      <c r="B56" s="72"/>
    </row>
    <row r="57" s="63" customFormat="1" ht="15" customHeight="1" spans="1:2">
      <c r="A57" s="72"/>
      <c r="B57" s="72"/>
    </row>
    <row r="58" s="63" customFormat="1" ht="15" customHeight="1" spans="1:2">
      <c r="A58" s="72"/>
      <c r="B58" s="72"/>
    </row>
    <row r="59" s="63" customFormat="1" ht="15" customHeight="1" spans="1:2">
      <c r="A59" s="72"/>
      <c r="B59" s="72"/>
    </row>
    <row r="60" s="63" customFormat="1" ht="15" customHeight="1" spans="1:2">
      <c r="A60" s="72"/>
      <c r="B60" s="72"/>
    </row>
    <row r="61" s="63" customFormat="1" ht="15" customHeight="1" spans="1:2">
      <c r="A61" s="72"/>
      <c r="B61" s="72"/>
    </row>
    <row r="62" s="63" customFormat="1" ht="15" customHeight="1" spans="1:2">
      <c r="A62" s="72"/>
      <c r="B62" s="72"/>
    </row>
    <row r="63" s="63" customFormat="1" ht="15" customHeight="1" spans="1:2">
      <c r="A63" s="72"/>
      <c r="B63" s="72"/>
    </row>
    <row r="64" s="63" customFormat="1" ht="15" customHeight="1" spans="1:2">
      <c r="A64" s="72"/>
      <c r="B64" s="72"/>
    </row>
    <row r="65" s="63" customFormat="1" ht="15" customHeight="1" spans="1:2">
      <c r="A65" s="72"/>
      <c r="B65" s="72"/>
    </row>
    <row r="66" s="63" customFormat="1" ht="15" customHeight="1" spans="1:2">
      <c r="A66" s="72"/>
      <c r="B66" s="72"/>
    </row>
    <row r="67" s="63" customFormat="1" ht="15" customHeight="1" spans="1:2">
      <c r="A67" s="72"/>
      <c r="B67" s="72"/>
    </row>
    <row r="68" s="63" customFormat="1" ht="15" customHeight="1" spans="1:2">
      <c r="A68" s="72"/>
      <c r="B68" s="72"/>
    </row>
    <row r="69" s="63" customFormat="1" ht="15" customHeight="1" spans="1:2">
      <c r="A69" s="72"/>
      <c r="B69" s="72"/>
    </row>
    <row r="70" s="63" customFormat="1" ht="15" customHeight="1" spans="1:2">
      <c r="A70" s="72"/>
      <c r="B70" s="72"/>
    </row>
    <row r="71" s="63" customFormat="1" spans="1:2">
      <c r="A71" s="65"/>
      <c r="B71" s="65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26" sqref="D26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54" t="s">
        <v>35</v>
      </c>
      <c r="B1" s="54"/>
      <c r="C1" s="54"/>
      <c r="D1" s="54"/>
      <c r="E1" s="54"/>
      <c r="F1" s="54"/>
    </row>
    <row r="2" s="1" customFormat="1" ht="39" customHeight="1" spans="1:6">
      <c r="A2" s="7" t="s">
        <v>2</v>
      </c>
      <c r="B2" s="7" t="s">
        <v>36</v>
      </c>
      <c r="C2" s="7" t="s">
        <v>3</v>
      </c>
      <c r="D2" s="55" t="s">
        <v>37</v>
      </c>
      <c r="E2" s="7" t="s">
        <v>38</v>
      </c>
      <c r="F2" s="7" t="s">
        <v>7</v>
      </c>
    </row>
    <row r="3" ht="26" customHeight="1" spans="1:6">
      <c r="A3" s="42">
        <v>1</v>
      </c>
      <c r="B3" s="9">
        <v>46093</v>
      </c>
      <c r="C3" s="10" t="s">
        <v>13</v>
      </c>
      <c r="D3" s="11">
        <v>1</v>
      </c>
      <c r="E3" s="10"/>
      <c r="F3" s="13"/>
    </row>
    <row r="4" ht="26" customHeight="1" spans="1:6">
      <c r="A4" s="42">
        <v>2</v>
      </c>
      <c r="B4" s="9">
        <v>46093</v>
      </c>
      <c r="C4" s="10" t="s">
        <v>16</v>
      </c>
      <c r="D4" s="11">
        <v>1</v>
      </c>
      <c r="E4" s="13"/>
      <c r="F4" s="10"/>
    </row>
    <row r="5" ht="26" customHeight="1" spans="1:6">
      <c r="A5" s="42">
        <v>3</v>
      </c>
      <c r="B5" s="9">
        <v>46093</v>
      </c>
      <c r="C5" s="10" t="s">
        <v>17</v>
      </c>
      <c r="D5" s="11">
        <v>1</v>
      </c>
      <c r="E5" s="10"/>
      <c r="F5" s="13"/>
    </row>
    <row r="6" ht="26" customHeight="1" spans="1:6">
      <c r="A6" s="42">
        <v>4</v>
      </c>
      <c r="B6" s="9">
        <v>46093</v>
      </c>
      <c r="C6" s="10" t="s">
        <v>18</v>
      </c>
      <c r="D6" s="11">
        <v>1</v>
      </c>
      <c r="E6" s="10"/>
      <c r="F6" s="12"/>
    </row>
    <row r="7" ht="26" customHeight="1" spans="1:6">
      <c r="A7" s="42">
        <v>5</v>
      </c>
      <c r="B7" s="9">
        <v>46093</v>
      </c>
      <c r="C7" s="10" t="s">
        <v>39</v>
      </c>
      <c r="D7" s="11">
        <v>1</v>
      </c>
      <c r="E7" s="13"/>
      <c r="F7" s="10"/>
    </row>
    <row r="8" ht="26" customHeight="1" spans="1:6">
      <c r="A8" s="42">
        <v>6</v>
      </c>
      <c r="B8" s="9">
        <v>46093</v>
      </c>
      <c r="C8" s="10" t="s">
        <v>40</v>
      </c>
      <c r="D8" s="11">
        <v>1</v>
      </c>
      <c r="E8" s="13"/>
      <c r="F8" s="10"/>
    </row>
    <row r="9" ht="26" customHeight="1" spans="1:6">
      <c r="A9" s="42">
        <v>7</v>
      </c>
      <c r="B9" s="9">
        <v>46093</v>
      </c>
      <c r="C9" s="10" t="s">
        <v>22</v>
      </c>
      <c r="D9" s="11">
        <v>1</v>
      </c>
      <c r="E9" s="13"/>
      <c r="F9" s="10"/>
    </row>
    <row r="10" ht="26" customHeight="1" spans="1:6">
      <c r="A10" s="42">
        <v>8</v>
      </c>
      <c r="B10" s="56">
        <v>46093</v>
      </c>
      <c r="C10" s="57" t="s">
        <v>24</v>
      </c>
      <c r="D10" s="58">
        <v>1</v>
      </c>
      <c r="E10" s="59"/>
      <c r="F10" s="60"/>
    </row>
    <row r="11" ht="23" customHeight="1" spans="1:6">
      <c r="A11" s="42">
        <v>9</v>
      </c>
      <c r="B11" s="61">
        <v>46100</v>
      </c>
      <c r="C11" s="21" t="s">
        <v>26</v>
      </c>
      <c r="D11" s="43">
        <v>1</v>
      </c>
      <c r="E11" s="62"/>
      <c r="F11" s="62" t="s">
        <v>41</v>
      </c>
    </row>
    <row r="12" ht="23" customHeight="1" spans="1:6">
      <c r="A12" s="42">
        <v>10</v>
      </c>
      <c r="B12" s="61">
        <v>46100</v>
      </c>
      <c r="C12" s="21" t="s">
        <v>28</v>
      </c>
      <c r="D12" s="43">
        <v>1</v>
      </c>
      <c r="E12" s="62"/>
      <c r="F12" s="62" t="s">
        <v>41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workbookViewId="0">
      <pane xSplit="3" ySplit="2" topLeftCell="H3" activePane="bottomRight" state="frozen"/>
      <selection/>
      <selection pane="topRight"/>
      <selection pane="bottomLeft"/>
      <selection pane="bottomRight" activeCell="X18" sqref="X18"/>
    </sheetView>
  </sheetViews>
  <sheetFormatPr defaultColWidth="9.14285714285714" defaultRowHeight="23" customHeight="1"/>
  <cols>
    <col min="1" max="1" width="9.14285714285714" style="34"/>
    <col min="2" max="2" width="10.7142857142857" style="34" customWidth="1"/>
    <col min="3" max="3" width="10" style="34" customWidth="1"/>
    <col min="4" max="14" width="7.42857142857143" style="34" customWidth="1"/>
    <col min="15" max="23" width="7" style="34" customWidth="1"/>
    <col min="24" max="16384" width="9.14285714285714" style="34"/>
  </cols>
  <sheetData>
    <row r="1" s="31" customFormat="1" customHeight="1" spans="1:26">
      <c r="A1" s="35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="32" customFormat="1" ht="20" customHeight="1" spans="1:26">
      <c r="A2" s="37" t="s">
        <v>2</v>
      </c>
      <c r="B2" s="37" t="s">
        <v>34</v>
      </c>
      <c r="C2" s="38" t="s">
        <v>43</v>
      </c>
      <c r="D2" s="39">
        <v>46090</v>
      </c>
      <c r="E2" s="39">
        <v>46093</v>
      </c>
      <c r="F2" s="39">
        <v>46097</v>
      </c>
      <c r="G2" s="40">
        <v>46100</v>
      </c>
      <c r="H2" s="40">
        <v>46104</v>
      </c>
      <c r="I2" s="40">
        <v>46107</v>
      </c>
      <c r="J2" s="40">
        <v>46111</v>
      </c>
      <c r="K2" s="40">
        <v>46114</v>
      </c>
      <c r="L2" s="40">
        <v>46119</v>
      </c>
      <c r="M2" s="40">
        <v>46121</v>
      </c>
      <c r="N2" s="40">
        <v>46125</v>
      </c>
      <c r="O2" s="40">
        <v>46128</v>
      </c>
      <c r="P2" s="40">
        <v>46132</v>
      </c>
      <c r="Q2" s="40">
        <v>46135</v>
      </c>
      <c r="R2" s="40">
        <v>46139</v>
      </c>
      <c r="S2" s="40">
        <v>46142</v>
      </c>
      <c r="T2" s="40"/>
      <c r="U2" s="40"/>
      <c r="V2" s="40"/>
      <c r="W2" s="40" t="s">
        <v>44</v>
      </c>
      <c r="X2" s="41" t="s">
        <v>45</v>
      </c>
    </row>
    <row r="3" s="33" customFormat="1" customHeight="1" spans="1:26">
      <c r="A3" s="42">
        <v>1</v>
      </c>
      <c r="B3" s="28" t="s">
        <v>13</v>
      </c>
      <c r="C3" s="43">
        <v>100</v>
      </c>
      <c r="D3" s="28">
        <v>3</v>
      </c>
      <c r="E3" s="43">
        <v>4</v>
      </c>
      <c r="F3" s="43">
        <v>3</v>
      </c>
      <c r="G3" s="43">
        <v>4</v>
      </c>
      <c r="H3" s="43">
        <v>3</v>
      </c>
      <c r="I3" s="43">
        <v>4</v>
      </c>
      <c r="J3" s="43">
        <v>3</v>
      </c>
      <c r="K3" s="43">
        <v>4</v>
      </c>
      <c r="L3" s="43">
        <v>3</v>
      </c>
      <c r="M3" s="43">
        <v>4</v>
      </c>
      <c r="N3" s="43">
        <v>3</v>
      </c>
      <c r="O3" s="43">
        <f>SUMIF('4.16'!$C$3:C14,B3,'4.16'!$I$3:I15)</f>
        <v>4</v>
      </c>
      <c r="P3" s="43">
        <f>SUMIF('4.20'!$C$3:D14,B3,'4.20'!$I$3:J15)</f>
        <v>3</v>
      </c>
      <c r="Q3" s="43">
        <f>SUMIF('4.23'!$C$3:E14,B3,'4.23'!$I$3:K15)</f>
        <v>4</v>
      </c>
      <c r="R3" s="43"/>
      <c r="S3" s="43">
        <f>SUMIF('4.16'!$C$3:G14,F3,'4.16'!$I$3:M15)</f>
        <v>0</v>
      </c>
      <c r="T3" s="43"/>
      <c r="U3" s="43"/>
      <c r="V3" s="43"/>
      <c r="W3" s="42">
        <f t="shared" ref="W3:W15" si="0">SUM(D3:V3)</f>
        <v>49</v>
      </c>
      <c r="X3" s="42">
        <f t="shared" ref="X3:X15" si="1">C3-W3</f>
        <v>51</v>
      </c>
    </row>
    <row r="4" s="33" customFormat="1" customHeight="1" spans="1:26">
      <c r="A4" s="42">
        <v>2</v>
      </c>
      <c r="B4" s="28" t="s">
        <v>16</v>
      </c>
      <c r="C4" s="43">
        <v>100</v>
      </c>
      <c r="D4" s="28">
        <v>3</v>
      </c>
      <c r="E4" s="44" t="s">
        <v>46</v>
      </c>
      <c r="F4" s="45"/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3</v>
      </c>
      <c r="O4" s="43">
        <f>SUMIF('4.16'!$C$3:C15,B4,'4.16'!$I$3:I16)</f>
        <v>4</v>
      </c>
      <c r="P4" s="43">
        <f>SUMIF('4.20'!$C$3:D15,B4,'4.20'!$I$3:J16)</f>
        <v>3</v>
      </c>
      <c r="Q4" s="43">
        <f>SUMIF('4.23'!$C$3:E15,B4,'4.16'!$I$3:K16)</f>
        <v>4</v>
      </c>
      <c r="R4" s="43"/>
      <c r="S4" s="43"/>
      <c r="T4" s="43"/>
      <c r="U4" s="43"/>
      <c r="V4" s="43"/>
      <c r="W4" s="42">
        <f t="shared" si="0"/>
        <v>17</v>
      </c>
      <c r="X4" s="42">
        <f t="shared" si="1"/>
        <v>83</v>
      </c>
      <c r="Z4" s="34"/>
    </row>
    <row r="5" s="33" customFormat="1" customHeight="1" spans="1:26">
      <c r="A5" s="42">
        <v>3</v>
      </c>
      <c r="B5" s="28" t="s">
        <v>17</v>
      </c>
      <c r="C5" s="43">
        <v>100</v>
      </c>
      <c r="D5" s="28">
        <v>3</v>
      </c>
      <c r="E5" s="43">
        <v>4</v>
      </c>
      <c r="F5" s="43">
        <v>3</v>
      </c>
      <c r="G5" s="43">
        <v>4</v>
      </c>
      <c r="H5" s="43">
        <v>3</v>
      </c>
      <c r="I5" s="43">
        <v>4</v>
      </c>
      <c r="J5" s="43">
        <v>3</v>
      </c>
      <c r="K5" s="43">
        <v>4</v>
      </c>
      <c r="L5" s="43">
        <v>3</v>
      </c>
      <c r="M5" s="43">
        <v>4</v>
      </c>
      <c r="N5" s="43">
        <v>3</v>
      </c>
      <c r="O5" s="43">
        <f>SUMIF('4.16'!$C$3:C16,B5,'4.16'!$I$3:I17)</f>
        <v>4</v>
      </c>
      <c r="P5" s="43">
        <f>SUMIF('4.20'!$C$3:D16,B5,'4.20'!$I$3:J17)</f>
        <v>3</v>
      </c>
      <c r="Q5" s="43">
        <f>SUMIF('4.23'!$C$3:E16,B5,'4.16'!$I$3:K17)</f>
        <v>4</v>
      </c>
      <c r="R5" s="43"/>
      <c r="S5" s="43"/>
      <c r="T5" s="43"/>
      <c r="U5" s="43"/>
      <c r="V5" s="43"/>
      <c r="W5" s="42">
        <f t="shared" si="0"/>
        <v>49</v>
      </c>
      <c r="X5" s="42">
        <f t="shared" si="1"/>
        <v>51</v>
      </c>
      <c r="Z5" s="34"/>
    </row>
    <row r="6" s="33" customFormat="1" customHeight="1" spans="1:26">
      <c r="A6" s="42">
        <v>4</v>
      </c>
      <c r="B6" s="28" t="s">
        <v>18</v>
      </c>
      <c r="C6" s="43">
        <v>100</v>
      </c>
      <c r="D6" s="28">
        <v>3</v>
      </c>
      <c r="E6" s="43">
        <v>4</v>
      </c>
      <c r="F6" s="43">
        <v>3</v>
      </c>
      <c r="G6" s="43">
        <v>4</v>
      </c>
      <c r="H6" s="43">
        <v>3</v>
      </c>
      <c r="I6" s="43">
        <v>4</v>
      </c>
      <c r="J6" s="43">
        <v>3</v>
      </c>
      <c r="K6" s="43">
        <v>4</v>
      </c>
      <c r="L6" s="43">
        <v>3</v>
      </c>
      <c r="M6" s="43">
        <v>4</v>
      </c>
      <c r="N6" s="43">
        <v>3</v>
      </c>
      <c r="O6" s="43">
        <f>SUMIF('4.16'!$C$3:C17,B6,'4.16'!$I$3:I18)</f>
        <v>4</v>
      </c>
      <c r="P6" s="43">
        <f>SUMIF('4.20'!$C$3:D17,B6,'4.20'!$I$3:J18)</f>
        <v>3</v>
      </c>
      <c r="Q6" s="43">
        <f>SUMIF('4.23'!$C$3:E17,B6,'4.16'!$I$3:K18)</f>
        <v>4</v>
      </c>
      <c r="R6" s="43"/>
      <c r="S6" s="43"/>
      <c r="T6" s="43"/>
      <c r="U6" s="43"/>
      <c r="V6" s="43"/>
      <c r="W6" s="42">
        <f t="shared" si="0"/>
        <v>49</v>
      </c>
      <c r="X6" s="42">
        <f t="shared" si="1"/>
        <v>51</v>
      </c>
    </row>
    <row r="7" s="33" customFormat="1" customHeight="1" spans="1:26">
      <c r="A7" s="42">
        <v>5</v>
      </c>
      <c r="B7" s="28" t="s">
        <v>39</v>
      </c>
      <c r="C7" s="43">
        <v>100</v>
      </c>
      <c r="D7" s="43">
        <v>0</v>
      </c>
      <c r="E7" s="43">
        <v>7</v>
      </c>
      <c r="F7" s="43">
        <v>3</v>
      </c>
      <c r="G7" s="43">
        <v>4</v>
      </c>
      <c r="H7" s="43">
        <v>3</v>
      </c>
      <c r="I7" s="43">
        <v>4</v>
      </c>
      <c r="J7" s="43">
        <v>3</v>
      </c>
      <c r="K7" s="43">
        <v>4</v>
      </c>
      <c r="L7" s="43">
        <v>3</v>
      </c>
      <c r="M7" s="43">
        <v>4</v>
      </c>
      <c r="N7" s="43">
        <v>3</v>
      </c>
      <c r="O7" s="43">
        <f>SUMIF('4.16'!$C$3:C18,B7,'4.16'!$I$3:I19)</f>
        <v>4</v>
      </c>
      <c r="P7" s="43">
        <f>SUMIF('4.20'!$C$3:D18,B7,'4.20'!$I$3:J19)</f>
        <v>3</v>
      </c>
      <c r="Q7" s="43">
        <f>SUMIF('4.23'!$C$3:E18,B7,'4.16'!$I$3:K19)</f>
        <v>4</v>
      </c>
      <c r="R7" s="43"/>
      <c r="S7" s="43"/>
      <c r="T7" s="43"/>
      <c r="U7" s="43"/>
      <c r="V7" s="43"/>
      <c r="W7" s="42">
        <f t="shared" si="0"/>
        <v>49</v>
      </c>
      <c r="X7" s="42">
        <f t="shared" si="1"/>
        <v>51</v>
      </c>
    </row>
    <row r="8" s="33" customFormat="1" customHeight="1" spans="1:26">
      <c r="A8" s="42">
        <v>6</v>
      </c>
      <c r="B8" s="28" t="s">
        <v>40</v>
      </c>
      <c r="C8" s="43">
        <v>100</v>
      </c>
      <c r="D8" s="43">
        <v>0</v>
      </c>
      <c r="E8" s="43">
        <v>7</v>
      </c>
      <c r="F8" s="43">
        <v>3</v>
      </c>
      <c r="G8" s="43">
        <v>4</v>
      </c>
      <c r="H8" s="43">
        <v>3</v>
      </c>
      <c r="I8" s="43">
        <v>4</v>
      </c>
      <c r="J8" s="43">
        <v>3</v>
      </c>
      <c r="K8" s="43">
        <v>4</v>
      </c>
      <c r="L8" s="43">
        <v>3</v>
      </c>
      <c r="M8" s="43">
        <v>4</v>
      </c>
      <c r="N8" s="43">
        <v>3</v>
      </c>
      <c r="O8" s="43">
        <f>SUMIF('4.16'!$C$3:C19,B8,'4.16'!$I$3:I20)</f>
        <v>4</v>
      </c>
      <c r="P8" s="43">
        <f>SUMIF('4.20'!$C$3:D19,B8,'4.20'!$I$3:J20)</f>
        <v>3</v>
      </c>
      <c r="Q8" s="43">
        <f>SUMIF('4.23'!$C$3:E19,B8,'4.16'!$I$3:K20)</f>
        <v>4</v>
      </c>
      <c r="R8" s="43"/>
      <c r="S8" s="43"/>
      <c r="T8" s="43"/>
      <c r="U8" s="43"/>
      <c r="V8" s="43"/>
      <c r="W8" s="42">
        <f t="shared" si="0"/>
        <v>49</v>
      </c>
      <c r="X8" s="42">
        <f t="shared" si="1"/>
        <v>51</v>
      </c>
    </row>
    <row r="9" s="33" customFormat="1" customHeight="1" spans="1:26">
      <c r="A9" s="42">
        <v>7</v>
      </c>
      <c r="B9" s="28" t="s">
        <v>22</v>
      </c>
      <c r="C9" s="43">
        <v>100</v>
      </c>
      <c r="D9" s="43">
        <v>0</v>
      </c>
      <c r="E9" s="43">
        <v>7</v>
      </c>
      <c r="F9" s="43">
        <v>3</v>
      </c>
      <c r="G9" s="43">
        <v>4</v>
      </c>
      <c r="H9" s="43">
        <v>3</v>
      </c>
      <c r="I9" s="43">
        <v>4</v>
      </c>
      <c r="J9" s="43">
        <v>3</v>
      </c>
      <c r="K9" s="43">
        <v>4</v>
      </c>
      <c r="L9" s="43">
        <v>3</v>
      </c>
      <c r="M9" s="43">
        <v>4</v>
      </c>
      <c r="N9" s="43">
        <v>3</v>
      </c>
      <c r="O9" s="43">
        <f>SUMIF('4.16'!$C$3:C20,B9,'4.16'!$I$3:I21)</f>
        <v>4</v>
      </c>
      <c r="P9" s="43">
        <f>SUMIF('4.20'!$C$3:D20,B9,'4.20'!$I$3:J21)</f>
        <v>3</v>
      </c>
      <c r="Q9" s="43">
        <f>SUMIF('4.23'!$C$3:E20,B9,'4.16'!$I$3:K21)</f>
        <v>4</v>
      </c>
      <c r="R9" s="43"/>
      <c r="S9" s="43"/>
      <c r="T9" s="43"/>
      <c r="U9" s="43"/>
      <c r="V9" s="43"/>
      <c r="W9" s="42">
        <f t="shared" si="0"/>
        <v>49</v>
      </c>
      <c r="X9" s="42">
        <f t="shared" si="1"/>
        <v>51</v>
      </c>
    </row>
    <row r="10" customHeight="1" spans="1:26">
      <c r="A10" s="42">
        <v>8</v>
      </c>
      <c r="B10" s="15" t="s">
        <v>24</v>
      </c>
      <c r="C10" s="43">
        <v>150</v>
      </c>
      <c r="D10" s="43">
        <v>0</v>
      </c>
      <c r="E10" s="43">
        <v>10</v>
      </c>
      <c r="F10" s="43">
        <v>0</v>
      </c>
      <c r="G10" s="43">
        <v>4</v>
      </c>
      <c r="H10" s="43">
        <v>6</v>
      </c>
      <c r="I10" s="43">
        <v>4</v>
      </c>
      <c r="J10" s="43">
        <v>6</v>
      </c>
      <c r="K10" s="43">
        <v>4</v>
      </c>
      <c r="L10" s="43">
        <v>6</v>
      </c>
      <c r="M10" s="43">
        <v>4</v>
      </c>
      <c r="N10" s="43">
        <v>6</v>
      </c>
      <c r="O10" s="43">
        <f>SUMIF('4.16'!$C$3:C21,B10,'4.16'!$I$3:I22)</f>
        <v>4</v>
      </c>
      <c r="P10" s="43">
        <f>SUMIF('4.20'!$C$3:D21,B10,'4.20'!$I$3:J22)</f>
        <v>6</v>
      </c>
      <c r="Q10" s="43">
        <f>SUMIF('4.23'!$C$3:E21,B10,'4.16'!$I$3:K22)</f>
        <v>4</v>
      </c>
      <c r="R10" s="43"/>
      <c r="S10" s="43"/>
      <c r="T10" s="43"/>
      <c r="U10" s="43"/>
      <c r="V10" s="43"/>
      <c r="W10" s="42">
        <f t="shared" si="0"/>
        <v>64</v>
      </c>
      <c r="X10" s="42">
        <f t="shared" si="1"/>
        <v>86</v>
      </c>
      <c r="Y10" s="33"/>
    </row>
    <row r="11" customHeight="1" spans="1:26">
      <c r="A11" s="42">
        <v>9</v>
      </c>
      <c r="B11" s="28" t="s">
        <v>47</v>
      </c>
      <c r="C11" s="43">
        <v>40</v>
      </c>
      <c r="D11" s="43">
        <v>0</v>
      </c>
      <c r="E11" s="43">
        <v>5</v>
      </c>
      <c r="F11" s="43">
        <v>3</v>
      </c>
      <c r="G11" s="43">
        <v>2</v>
      </c>
      <c r="H11" s="43">
        <v>3</v>
      </c>
      <c r="I11" s="43">
        <v>2</v>
      </c>
      <c r="J11" s="43">
        <v>3</v>
      </c>
      <c r="K11" s="43">
        <v>2</v>
      </c>
      <c r="L11" s="43">
        <v>3</v>
      </c>
      <c r="M11" s="43">
        <v>2</v>
      </c>
      <c r="N11" s="43">
        <v>3</v>
      </c>
      <c r="O11" s="43">
        <f>SUMIF('4.16'!$C$3:C22,B11,'4.16'!$I$3:I23)</f>
        <v>2</v>
      </c>
      <c r="P11" s="43">
        <f>SUMIF('4.20'!$C$3:D22,B11,'4.20'!$I$3:J23)</f>
        <v>3</v>
      </c>
      <c r="Q11" s="43">
        <f>SUMIF('4.23'!$C$3:E22,B11,'4.16'!$I$3:K23)</f>
        <v>2</v>
      </c>
      <c r="R11" s="43"/>
      <c r="S11" s="43"/>
      <c r="T11" s="43"/>
      <c r="U11" s="43"/>
      <c r="V11" s="43"/>
      <c r="W11" s="42">
        <f t="shared" si="0"/>
        <v>35</v>
      </c>
      <c r="X11" s="42">
        <f t="shared" si="1"/>
        <v>5</v>
      </c>
      <c r="Y11" s="33"/>
    </row>
    <row r="12" customHeight="1" spans="1:26">
      <c r="A12" s="42">
        <v>10</v>
      </c>
      <c r="B12" s="28" t="s">
        <v>26</v>
      </c>
      <c r="C12" s="43">
        <v>100</v>
      </c>
      <c r="D12" s="43">
        <v>0</v>
      </c>
      <c r="E12" s="43">
        <v>0</v>
      </c>
      <c r="F12" s="43">
        <v>6</v>
      </c>
      <c r="G12" s="43">
        <v>8</v>
      </c>
      <c r="H12" s="43">
        <v>3</v>
      </c>
      <c r="I12" s="43">
        <v>4</v>
      </c>
      <c r="J12" s="43">
        <v>3</v>
      </c>
      <c r="K12" s="43">
        <v>4</v>
      </c>
      <c r="L12" s="43">
        <v>3</v>
      </c>
      <c r="M12" s="43">
        <v>4</v>
      </c>
      <c r="N12" s="43">
        <v>3</v>
      </c>
      <c r="O12" s="43">
        <f>SUMIF('4.16'!$C$3:C23,B12,'4.16'!$I$3:I24)</f>
        <v>4</v>
      </c>
      <c r="P12" s="43">
        <f>SUMIF('4.20'!$C$3:D23,B12,'4.20'!$I$3:J24)</f>
        <v>3</v>
      </c>
      <c r="Q12" s="43">
        <f>SUMIF('4.23'!$C$3:E23,B12,'4.16'!$I$3:K24)</f>
        <v>4</v>
      </c>
      <c r="R12" s="43"/>
      <c r="S12" s="43"/>
      <c r="T12" s="43"/>
      <c r="U12" s="43"/>
      <c r="V12" s="43"/>
      <c r="W12" s="42">
        <f t="shared" si="0"/>
        <v>49</v>
      </c>
      <c r="X12" s="42">
        <f t="shared" si="1"/>
        <v>51</v>
      </c>
      <c r="Y12" s="33"/>
    </row>
    <row r="13" customHeight="1" spans="1:26">
      <c r="A13" s="42">
        <v>11</v>
      </c>
      <c r="B13" s="46" t="s">
        <v>28</v>
      </c>
      <c r="C13" s="43">
        <v>100</v>
      </c>
      <c r="D13" s="43">
        <v>0</v>
      </c>
      <c r="E13" s="43">
        <v>0</v>
      </c>
      <c r="F13" s="43">
        <v>0</v>
      </c>
      <c r="G13" s="43">
        <v>4</v>
      </c>
      <c r="H13" s="43">
        <v>0</v>
      </c>
      <c r="I13" s="43">
        <v>7</v>
      </c>
      <c r="J13" s="43">
        <v>3</v>
      </c>
      <c r="K13" s="43">
        <v>4</v>
      </c>
      <c r="L13" s="43">
        <v>3</v>
      </c>
      <c r="M13" s="43">
        <v>4</v>
      </c>
      <c r="N13" s="43">
        <v>3</v>
      </c>
      <c r="O13" s="43">
        <f>SUMIF('4.16'!$C$3:C24,B13,'4.16'!$I$3:I25)</f>
        <v>4</v>
      </c>
      <c r="P13" s="43">
        <f>SUMIF('4.20'!$C$3:D24,B13,'4.20'!$I$3:J25)</f>
        <v>3</v>
      </c>
      <c r="Q13" s="43">
        <f>SUMIF('4.23'!$C$3:E24,B13,'4.16'!$I$3:K25)</f>
        <v>4</v>
      </c>
      <c r="R13" s="43"/>
      <c r="S13" s="43"/>
      <c r="T13" s="43"/>
      <c r="U13" s="43"/>
      <c r="V13" s="43"/>
      <c r="W13" s="42">
        <f t="shared" si="0"/>
        <v>39</v>
      </c>
      <c r="X13" s="42">
        <f t="shared" si="1"/>
        <v>61</v>
      </c>
      <c r="Y13" s="33"/>
    </row>
    <row r="14" customHeight="1" spans="1:26">
      <c r="A14" s="42">
        <v>12</v>
      </c>
      <c r="B14" s="13" t="s">
        <v>30</v>
      </c>
      <c r="C14" s="43">
        <v>100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4</v>
      </c>
      <c r="J14" s="43">
        <v>3</v>
      </c>
      <c r="K14" s="43">
        <v>4</v>
      </c>
      <c r="L14" s="43">
        <v>3</v>
      </c>
      <c r="M14" s="43">
        <v>4</v>
      </c>
      <c r="N14" s="43">
        <v>3</v>
      </c>
      <c r="O14" s="43">
        <f>SUMIF('4.16'!$C$3:C25,B14,'4.16'!$I$3:I26)</f>
        <v>4</v>
      </c>
      <c r="P14" s="43">
        <f>SUMIF('4.20'!$C$3:D25,B14,'4.20'!$I$3:J26)</f>
        <v>3</v>
      </c>
      <c r="Q14" s="43">
        <f>SUMIF('4.23'!$C$3:E25,B14,'4.16'!$I$3:K26)</f>
        <v>4</v>
      </c>
      <c r="R14" s="43"/>
      <c r="S14" s="43"/>
      <c r="T14" s="43"/>
      <c r="U14" s="43"/>
      <c r="V14" s="43"/>
      <c r="W14" s="42">
        <f t="shared" si="0"/>
        <v>32</v>
      </c>
      <c r="X14" s="42">
        <f t="shared" si="1"/>
        <v>68</v>
      </c>
      <c r="Y14" s="33"/>
    </row>
    <row r="15" customHeight="1" spans="1:26">
      <c r="A15" s="42">
        <v>13</v>
      </c>
      <c r="B15" s="46" t="s">
        <v>48</v>
      </c>
      <c r="C15" s="43">
        <v>100</v>
      </c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2">
        <f t="shared" si="0"/>
        <v>0</v>
      </c>
      <c r="X15" s="42">
        <f t="shared" si="1"/>
        <v>100</v>
      </c>
      <c r="Y15" s="33" t="s">
        <v>49</v>
      </c>
    </row>
    <row r="16" customHeight="1" spans="1:26">
      <c r="A16" s="42"/>
      <c r="B16" s="46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2"/>
      <c r="X16" s="42"/>
      <c r="Y16" s="33"/>
    </row>
    <row r="17" customHeight="1" spans="1:25">
      <c r="A17" s="42">
        <v>14</v>
      </c>
      <c r="B17" s="46"/>
      <c r="C17" s="43"/>
      <c r="D17" s="43">
        <f t="shared" ref="D17:V17" si="2">SUM(D3:D15)</f>
        <v>12</v>
      </c>
      <c r="E17" s="43">
        <f t="shared" si="2"/>
        <v>48</v>
      </c>
      <c r="F17" s="43">
        <f t="shared" si="2"/>
        <v>27</v>
      </c>
      <c r="G17" s="43">
        <f t="shared" si="2"/>
        <v>42</v>
      </c>
      <c r="H17" s="43">
        <f t="shared" si="2"/>
        <v>30</v>
      </c>
      <c r="I17" s="43">
        <f t="shared" si="2"/>
        <v>45</v>
      </c>
      <c r="J17" s="43">
        <f t="shared" si="2"/>
        <v>36</v>
      </c>
      <c r="K17" s="43">
        <f t="shared" si="2"/>
        <v>42</v>
      </c>
      <c r="L17" s="43">
        <f t="shared" si="2"/>
        <v>36</v>
      </c>
      <c r="M17" s="43">
        <f t="shared" si="2"/>
        <v>42</v>
      </c>
      <c r="N17" s="43">
        <f t="shared" si="2"/>
        <v>39</v>
      </c>
      <c r="O17" s="43">
        <f t="shared" si="2"/>
        <v>46</v>
      </c>
      <c r="P17" s="43">
        <f t="shared" si="2"/>
        <v>39</v>
      </c>
      <c r="Q17" s="43">
        <f t="shared" si="2"/>
        <v>46</v>
      </c>
      <c r="R17" s="43">
        <f t="shared" si="2"/>
        <v>0</v>
      </c>
      <c r="S17" s="43">
        <f t="shared" si="2"/>
        <v>0</v>
      </c>
      <c r="T17" s="43">
        <f t="shared" si="2"/>
        <v>0</v>
      </c>
      <c r="U17" s="43">
        <f t="shared" si="2"/>
        <v>0</v>
      </c>
      <c r="V17" s="43">
        <f t="shared" si="2"/>
        <v>0</v>
      </c>
      <c r="W17" s="47"/>
      <c r="X17" s="42">
        <f t="shared" ref="X17:X33" si="3">SUM(D17:W17)</f>
        <v>530</v>
      </c>
      <c r="Y17" s="33"/>
    </row>
    <row r="18" customHeight="1" spans="1:25">
      <c r="A18" s="42">
        <v>15</v>
      </c>
      <c r="B18" s="46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7"/>
      <c r="X18" s="42">
        <f t="shared" si="3"/>
        <v>0</v>
      </c>
      <c r="Y18" s="33"/>
    </row>
    <row r="19" customHeight="1" spans="1:25">
      <c r="A19" s="42">
        <v>16</v>
      </c>
      <c r="B19" s="46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7"/>
      <c r="X19" s="42">
        <f t="shared" si="3"/>
        <v>0</v>
      </c>
      <c r="Y19" s="33"/>
    </row>
    <row r="20" customHeight="1" spans="1:25">
      <c r="A20" s="42">
        <v>17</v>
      </c>
      <c r="B20" s="4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7"/>
      <c r="X20" s="42">
        <f t="shared" si="3"/>
        <v>0</v>
      </c>
      <c r="Y20" s="33"/>
    </row>
    <row r="21" customHeight="1" spans="1:25">
      <c r="A21" s="42">
        <v>18</v>
      </c>
      <c r="B21" s="46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7"/>
      <c r="X21" s="42">
        <f t="shared" si="3"/>
        <v>0</v>
      </c>
      <c r="Y21" s="33"/>
    </row>
    <row r="22" customHeight="1" spans="1:25">
      <c r="A22" s="42">
        <v>19</v>
      </c>
      <c r="B22" s="46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7"/>
      <c r="X22" s="42">
        <f t="shared" si="3"/>
        <v>0</v>
      </c>
      <c r="Y22" s="33"/>
    </row>
    <row r="23" customHeight="1" spans="1:25">
      <c r="A23" s="42">
        <v>20</v>
      </c>
      <c r="B23" s="46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7"/>
      <c r="X23" s="42">
        <f t="shared" si="3"/>
        <v>0</v>
      </c>
      <c r="Y23" s="33"/>
    </row>
    <row r="24" customHeight="1" spans="1:25">
      <c r="A24" s="42">
        <v>21</v>
      </c>
      <c r="B24" s="46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7"/>
      <c r="X24" s="42">
        <f t="shared" si="3"/>
        <v>0</v>
      </c>
      <c r="Y24" s="33"/>
    </row>
    <row r="25" customHeight="1" spans="1:25">
      <c r="A25" s="42">
        <v>22</v>
      </c>
      <c r="B25" s="4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7"/>
      <c r="X25" s="42">
        <f t="shared" si="3"/>
        <v>0</v>
      </c>
      <c r="Y25" s="33"/>
    </row>
    <row r="26" customHeight="1" spans="1:25">
      <c r="A26" s="42">
        <v>23</v>
      </c>
      <c r="B26" s="48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7"/>
      <c r="X26" s="42">
        <f t="shared" si="3"/>
        <v>0</v>
      </c>
      <c r="Y26" s="33"/>
    </row>
    <row r="27" customHeight="1" spans="1:25">
      <c r="A27" s="42">
        <v>24</v>
      </c>
      <c r="B27" s="48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7"/>
      <c r="X27" s="42">
        <f t="shared" si="3"/>
        <v>0</v>
      </c>
      <c r="Y27" s="33"/>
    </row>
    <row r="28" customHeight="1" spans="1:25">
      <c r="A28" s="49">
        <v>25</v>
      </c>
      <c r="B28" s="50"/>
      <c r="C28" s="51"/>
      <c r="D28" s="52"/>
      <c r="E28" s="52"/>
      <c r="F28" s="52"/>
      <c r="G28" s="52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2"/>
      <c r="X28" s="49">
        <f t="shared" si="3"/>
        <v>0</v>
      </c>
      <c r="Y28" s="33"/>
    </row>
    <row r="29" customHeight="1" spans="1:25">
      <c r="A29" s="42">
        <v>26</v>
      </c>
      <c r="B29" s="48"/>
      <c r="C29" s="43"/>
      <c r="D29" s="47"/>
      <c r="E29" s="47"/>
      <c r="F29" s="47"/>
      <c r="G29" s="47"/>
      <c r="H29" s="43"/>
      <c r="I29" s="43"/>
      <c r="J29" s="43"/>
      <c r="K29" s="43"/>
      <c r="L29" s="43"/>
      <c r="M29" s="43"/>
      <c r="N29" s="43"/>
      <c r="O29" s="51"/>
      <c r="P29" s="51"/>
      <c r="Q29" s="51"/>
      <c r="R29" s="51"/>
      <c r="S29" s="51"/>
      <c r="T29" s="51"/>
      <c r="U29" s="51"/>
      <c r="V29" s="51"/>
      <c r="W29" s="47"/>
      <c r="X29" s="42">
        <f t="shared" si="3"/>
        <v>0</v>
      </c>
      <c r="Y29" s="33"/>
    </row>
    <row r="30" customHeight="1" spans="1:25">
      <c r="A30" s="42">
        <v>27</v>
      </c>
      <c r="B30" s="48"/>
      <c r="C30" s="43"/>
      <c r="D30" s="47"/>
      <c r="E30" s="47"/>
      <c r="F30" s="47"/>
      <c r="G30" s="47"/>
      <c r="H30" s="43"/>
      <c r="I30" s="43"/>
      <c r="J30" s="43"/>
      <c r="K30" s="43"/>
      <c r="L30" s="43"/>
      <c r="M30" s="43"/>
      <c r="N30" s="43"/>
      <c r="O30" s="51"/>
      <c r="P30" s="51"/>
      <c r="Q30" s="51"/>
      <c r="R30" s="51"/>
      <c r="S30" s="51"/>
      <c r="T30" s="51"/>
      <c r="U30" s="51"/>
      <c r="V30" s="51"/>
      <c r="W30" s="47"/>
      <c r="X30" s="42">
        <f t="shared" si="3"/>
        <v>0</v>
      </c>
      <c r="Y30" s="33"/>
    </row>
    <row r="31" customHeight="1" spans="1:25">
      <c r="A31" s="42">
        <v>28</v>
      </c>
      <c r="B31" s="48"/>
      <c r="C31" s="43"/>
      <c r="D31" s="47"/>
      <c r="E31" s="47"/>
      <c r="F31" s="47"/>
      <c r="G31" s="47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7"/>
      <c r="X31" s="42">
        <f t="shared" si="3"/>
        <v>0</v>
      </c>
      <c r="Y31" s="33"/>
    </row>
    <row r="32" customHeight="1" spans="1:25">
      <c r="A32" s="42">
        <v>29</v>
      </c>
      <c r="B32" s="48"/>
      <c r="C32" s="43"/>
      <c r="D32" s="47"/>
      <c r="E32" s="47"/>
      <c r="F32" s="47"/>
      <c r="G32" s="47"/>
      <c r="H32" s="47"/>
      <c r="I32" s="47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7"/>
      <c r="X32" s="42">
        <f t="shared" si="3"/>
        <v>0</v>
      </c>
      <c r="Y32" s="33"/>
    </row>
    <row r="33" customHeight="1" spans="1:25">
      <c r="A33" s="42">
        <v>30</v>
      </c>
      <c r="B33" s="48"/>
      <c r="C33" s="4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>
        <f t="shared" si="3"/>
        <v>0</v>
      </c>
      <c r="Y33" s="33"/>
    </row>
    <row r="34" customHeight="1" spans="1:25">
      <c r="A34" s="47"/>
      <c r="B34" s="53"/>
      <c r="C34" s="53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customHeight="1" spans="1:25">
      <c r="A35" s="47"/>
      <c r="B35" s="53"/>
      <c r="C35" s="53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customHeight="1" spans="1:25">
      <c r="A36" s="47"/>
      <c r="B36" s="53"/>
      <c r="C36" s="53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</sheetData>
  <mergeCells count="1">
    <mergeCell ref="A1:X1"/>
  </mergeCells>
  <conditionalFormatting sqref="B14">
    <cfRule type="duplicateValues" dxfId="0" priority="1"/>
  </conditionalFormatting>
  <pageMargins left="0.75" right="0.75" top="1" bottom="1" header="0.5" footer="0.5"/>
  <pageSetup paperSize="256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6" sqref="D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8">
      <c r="A3" s="8">
        <v>1</v>
      </c>
      <c r="B3" s="9">
        <v>46090</v>
      </c>
      <c r="C3" s="28" t="s">
        <v>13</v>
      </c>
      <c r="D3" s="11" t="s">
        <v>54</v>
      </c>
      <c r="E3" s="28">
        <v>3</v>
      </c>
      <c r="F3" s="29"/>
      <c r="G3" s="12"/>
    </row>
    <row r="4" ht="22" customHeight="1" spans="1:8">
      <c r="A4" s="8">
        <v>2</v>
      </c>
      <c r="B4" s="9">
        <v>46090</v>
      </c>
      <c r="C4" s="28" t="s">
        <v>16</v>
      </c>
      <c r="D4" s="11" t="s">
        <v>54</v>
      </c>
      <c r="E4" s="29"/>
      <c r="F4" s="28">
        <v>3</v>
      </c>
      <c r="G4" s="14"/>
      <c r="H4" s="30" t="s">
        <v>55</v>
      </c>
    </row>
    <row r="5" ht="22" customHeight="1" spans="1:8">
      <c r="A5" s="8">
        <v>3</v>
      </c>
      <c r="B5" s="9">
        <v>46090</v>
      </c>
      <c r="C5" s="28" t="s">
        <v>17</v>
      </c>
      <c r="D5" s="11" t="s">
        <v>54</v>
      </c>
      <c r="E5" s="28">
        <v>3</v>
      </c>
      <c r="F5" s="29"/>
      <c r="G5" s="14"/>
      <c r="H5" t="s">
        <v>56</v>
      </c>
    </row>
    <row r="6" ht="22" customHeight="1" spans="1:8">
      <c r="A6" s="8">
        <v>4</v>
      </c>
      <c r="B6" s="9">
        <v>46090</v>
      </c>
      <c r="C6" s="28" t="s">
        <v>18</v>
      </c>
      <c r="D6" s="11" t="s">
        <v>54</v>
      </c>
      <c r="E6" s="28">
        <v>3</v>
      </c>
      <c r="F6" s="12"/>
      <c r="G6" s="14"/>
    </row>
    <row r="7" customFormat="1" ht="22" customHeight="1" spans="1:8">
      <c r="A7" s="8"/>
      <c r="B7" s="9"/>
      <c r="C7" s="15" t="s">
        <v>24</v>
      </c>
      <c r="D7" s="11"/>
      <c r="E7" s="12"/>
      <c r="F7" s="16"/>
      <c r="G7" s="16"/>
      <c r="H7" t="s">
        <v>57</v>
      </c>
    </row>
    <row r="8" customFormat="1" ht="22" customHeight="1" spans="1:8">
      <c r="A8" s="8"/>
      <c r="B8" s="9"/>
      <c r="C8" s="15"/>
      <c r="D8" s="11"/>
      <c r="E8" s="12"/>
      <c r="F8" s="16"/>
      <c r="G8" s="16"/>
    </row>
    <row r="9" customFormat="1" ht="22" customHeight="1" spans="1:8">
      <c r="A9" s="8"/>
      <c r="B9" s="9"/>
      <c r="C9" s="15"/>
      <c r="D9" s="11"/>
      <c r="E9" s="12"/>
      <c r="F9" s="16"/>
      <c r="G9" s="16"/>
    </row>
    <row r="10" customFormat="1" ht="22" customHeight="1" spans="1:8">
      <c r="A10" s="8"/>
      <c r="B10" s="25"/>
      <c r="C10" s="15"/>
      <c r="D10" s="19"/>
      <c r="E10" s="20"/>
      <c r="F10" s="21"/>
      <c r="G10" s="21"/>
    </row>
    <row r="11" ht="13.5" spans="1:8">
      <c r="E11" s="26">
        <f>SUM(E3:E10)</f>
        <v>9</v>
      </c>
      <c r="F11" s="26">
        <f>SUM(F3:F10)</f>
        <v>3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20" sqref="E2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13</v>
      </c>
      <c r="D3" s="11" t="s">
        <v>58</v>
      </c>
      <c r="E3" s="10">
        <v>4</v>
      </c>
      <c r="F3" s="13"/>
      <c r="G3" s="12"/>
    </row>
    <row r="4" ht="22" customHeight="1" spans="1:7">
      <c r="A4" s="8">
        <v>2</v>
      </c>
      <c r="B4" s="9">
        <v>46093</v>
      </c>
      <c r="C4" s="10" t="s">
        <v>16</v>
      </c>
      <c r="D4" s="11" t="s">
        <v>58</v>
      </c>
      <c r="E4" s="13"/>
      <c r="F4" s="10"/>
      <c r="G4" s="14" t="s">
        <v>55</v>
      </c>
    </row>
    <row r="5" ht="22" customHeight="1" spans="1:7">
      <c r="A5" s="8">
        <v>3</v>
      </c>
      <c r="B5" s="9">
        <v>46093</v>
      </c>
      <c r="C5" s="10" t="s">
        <v>17</v>
      </c>
      <c r="D5" s="11" t="s">
        <v>58</v>
      </c>
      <c r="E5" s="10">
        <v>4</v>
      </c>
      <c r="F5" s="13"/>
      <c r="G5" s="14"/>
    </row>
    <row r="6" ht="22" customHeight="1" spans="1:7">
      <c r="A6" s="8">
        <v>4</v>
      </c>
      <c r="B6" s="9">
        <v>46093</v>
      </c>
      <c r="C6" s="10" t="s">
        <v>18</v>
      </c>
      <c r="D6" s="11" t="s">
        <v>58</v>
      </c>
      <c r="E6" s="10">
        <v>4</v>
      </c>
      <c r="F6" s="12"/>
      <c r="G6" s="14"/>
    </row>
    <row r="7" ht="22" customHeight="1" spans="1:7">
      <c r="A7" s="8">
        <v>5</v>
      </c>
      <c r="B7" s="9">
        <v>46093</v>
      </c>
      <c r="C7" s="10" t="s">
        <v>39</v>
      </c>
      <c r="D7" s="11" t="s">
        <v>58</v>
      </c>
      <c r="E7" s="13"/>
      <c r="F7" s="10">
        <v>4</v>
      </c>
      <c r="G7" s="10"/>
    </row>
    <row r="8" ht="22" customHeight="1" spans="1:7">
      <c r="A8" s="8">
        <v>5</v>
      </c>
      <c r="B8" s="9">
        <v>46093</v>
      </c>
      <c r="C8" s="10" t="s">
        <v>40</v>
      </c>
      <c r="D8" s="11" t="s">
        <v>58</v>
      </c>
      <c r="E8" s="13"/>
      <c r="F8" s="10">
        <v>4</v>
      </c>
      <c r="G8" s="10"/>
    </row>
    <row r="9" ht="22" customHeight="1" spans="1:7">
      <c r="A9" s="8">
        <v>6</v>
      </c>
      <c r="B9" s="9">
        <v>46093</v>
      </c>
      <c r="C9" s="10" t="s">
        <v>22</v>
      </c>
      <c r="D9" s="11" t="s">
        <v>58</v>
      </c>
      <c r="E9" s="13"/>
      <c r="F9" s="10">
        <v>4</v>
      </c>
      <c r="G9" s="10"/>
    </row>
    <row r="10" ht="22" customHeight="1" spans="1:7">
      <c r="A10" s="8">
        <v>7</v>
      </c>
      <c r="B10" s="9">
        <v>46093</v>
      </c>
      <c r="C10" s="10" t="s">
        <v>39</v>
      </c>
      <c r="D10" s="11" t="s">
        <v>54</v>
      </c>
      <c r="E10" s="12"/>
      <c r="F10" s="16">
        <v>3</v>
      </c>
      <c r="G10" s="16" t="s">
        <v>59</v>
      </c>
    </row>
    <row r="11" ht="22" customHeight="1" spans="1:7">
      <c r="A11" s="8">
        <v>8</v>
      </c>
      <c r="B11" s="9">
        <v>46093</v>
      </c>
      <c r="C11" s="10" t="s">
        <v>40</v>
      </c>
      <c r="D11" s="11" t="s">
        <v>54</v>
      </c>
      <c r="E11" s="12"/>
      <c r="F11" s="16">
        <v>3</v>
      </c>
      <c r="G11" s="16" t="s">
        <v>59</v>
      </c>
    </row>
    <row r="12" customFormat="1" ht="22" customHeight="1" spans="1:7">
      <c r="A12" s="8">
        <v>9</v>
      </c>
      <c r="B12" s="9">
        <v>46093</v>
      </c>
      <c r="C12" s="10" t="s">
        <v>22</v>
      </c>
      <c r="D12" s="11" t="s">
        <v>54</v>
      </c>
      <c r="E12" s="12"/>
      <c r="F12" s="16">
        <v>3</v>
      </c>
      <c r="G12" s="16" t="s">
        <v>59</v>
      </c>
    </row>
    <row r="13" customFormat="1" ht="22" customHeight="1" spans="1:7">
      <c r="A13" s="8">
        <v>10</v>
      </c>
      <c r="B13" s="9">
        <v>46093</v>
      </c>
      <c r="C13" s="15" t="s">
        <v>24</v>
      </c>
      <c r="D13" s="11" t="s">
        <v>58</v>
      </c>
      <c r="E13" s="12">
        <v>4</v>
      </c>
      <c r="F13" s="16"/>
      <c r="G13" s="16" t="s">
        <v>60</v>
      </c>
    </row>
    <row r="14" customFormat="1" ht="22" customHeight="1" spans="1:7">
      <c r="A14" s="8">
        <v>11</v>
      </c>
      <c r="B14" s="9">
        <v>46093</v>
      </c>
      <c r="C14" s="15" t="s">
        <v>24</v>
      </c>
      <c r="D14" s="11" t="s">
        <v>61</v>
      </c>
      <c r="E14" s="12">
        <v>6</v>
      </c>
      <c r="F14" s="16"/>
      <c r="G14" s="16" t="s">
        <v>59</v>
      </c>
    </row>
    <row r="15" customFormat="1" ht="22" customHeight="1" spans="1:7">
      <c r="A15" s="8">
        <v>12</v>
      </c>
      <c r="B15" s="9">
        <v>46093</v>
      </c>
      <c r="C15" s="15" t="s">
        <v>47</v>
      </c>
      <c r="D15" s="11" t="s">
        <v>62</v>
      </c>
      <c r="E15" s="12"/>
      <c r="F15" s="16">
        <v>2</v>
      </c>
      <c r="G15" s="16"/>
    </row>
    <row r="16" customFormat="1" ht="22" customHeight="1" spans="1:7">
      <c r="A16" s="8">
        <v>13</v>
      </c>
      <c r="B16" s="9">
        <v>46093</v>
      </c>
      <c r="C16" s="15" t="s">
        <v>47</v>
      </c>
      <c r="D16" s="11" t="s">
        <v>54</v>
      </c>
      <c r="E16" s="12"/>
      <c r="F16" s="16">
        <v>3</v>
      </c>
      <c r="G16" s="16" t="s">
        <v>59</v>
      </c>
    </row>
    <row r="17" customFormat="1" ht="22" customHeight="1" spans="1:7">
      <c r="A17" s="8"/>
      <c r="B17" s="25"/>
      <c r="C17" s="15"/>
      <c r="D17" s="19"/>
      <c r="E17" s="20"/>
      <c r="F17" s="21"/>
      <c r="G17" s="21"/>
    </row>
    <row r="18" ht="13.5" spans="1:7">
      <c r="E18" s="26">
        <f>SUM(E3:E17)</f>
        <v>22</v>
      </c>
      <c r="F18" s="26">
        <f>SUM(F3:F17)</f>
        <v>26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$A1:$XFD104857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46097</v>
      </c>
      <c r="C3" s="10" t="s">
        <v>13</v>
      </c>
      <c r="D3" s="11" t="s">
        <v>54</v>
      </c>
      <c r="E3" s="10">
        <v>3</v>
      </c>
      <c r="F3" s="13"/>
      <c r="G3" s="12"/>
    </row>
    <row r="4" ht="22" customHeight="1" spans="1:7">
      <c r="A4" s="8">
        <v>2</v>
      </c>
      <c r="B4" s="9">
        <v>46097</v>
      </c>
      <c r="C4" s="10" t="s">
        <v>16</v>
      </c>
      <c r="D4" s="11" t="s">
        <v>54</v>
      </c>
      <c r="E4" s="13"/>
      <c r="F4" s="10"/>
      <c r="G4" s="14" t="s">
        <v>55</v>
      </c>
    </row>
    <row r="5" ht="22" customHeight="1" spans="1:7">
      <c r="A5" s="8">
        <v>3</v>
      </c>
      <c r="B5" s="9">
        <v>46097</v>
      </c>
      <c r="C5" s="10" t="s">
        <v>17</v>
      </c>
      <c r="D5" s="11" t="s">
        <v>54</v>
      </c>
      <c r="E5" s="10">
        <v>3</v>
      </c>
      <c r="F5" s="13"/>
      <c r="G5" s="14"/>
    </row>
    <row r="6" ht="22" customHeight="1" spans="1:7">
      <c r="A6" s="8">
        <v>4</v>
      </c>
      <c r="B6" s="9">
        <v>46097</v>
      </c>
      <c r="C6" s="10" t="s">
        <v>18</v>
      </c>
      <c r="D6" s="11" t="s">
        <v>54</v>
      </c>
      <c r="E6" s="10">
        <v>3</v>
      </c>
      <c r="F6" s="12"/>
      <c r="G6" s="14"/>
    </row>
    <row r="7" ht="22" customHeight="1" spans="1:7">
      <c r="A7" s="8">
        <v>5</v>
      </c>
      <c r="B7" s="9">
        <v>46097</v>
      </c>
      <c r="C7" s="10" t="s">
        <v>39</v>
      </c>
      <c r="D7" s="11" t="s">
        <v>54</v>
      </c>
      <c r="E7" s="13"/>
      <c r="F7" s="10">
        <v>3</v>
      </c>
      <c r="G7" s="10"/>
    </row>
    <row r="8" ht="22" customHeight="1" spans="1:7">
      <c r="A8" s="8">
        <v>6</v>
      </c>
      <c r="B8" s="9">
        <v>46097</v>
      </c>
      <c r="C8" s="10" t="s">
        <v>40</v>
      </c>
      <c r="D8" s="11" t="s">
        <v>54</v>
      </c>
      <c r="E8" s="13"/>
      <c r="F8" s="10">
        <v>3</v>
      </c>
      <c r="G8" s="10"/>
    </row>
    <row r="9" ht="22" customHeight="1" spans="1:7">
      <c r="A9" s="8">
        <v>7</v>
      </c>
      <c r="B9" s="9">
        <v>46097</v>
      </c>
      <c r="C9" s="10" t="s">
        <v>22</v>
      </c>
      <c r="D9" s="11" t="s">
        <v>54</v>
      </c>
      <c r="E9" s="13"/>
      <c r="F9" s="10">
        <v>3</v>
      </c>
      <c r="G9" s="10"/>
    </row>
    <row r="10" customFormat="1" ht="30" customHeight="1" spans="1:7">
      <c r="A10" s="8">
        <v>8</v>
      </c>
      <c r="B10" s="9">
        <v>46097</v>
      </c>
      <c r="C10" s="15" t="s">
        <v>24</v>
      </c>
      <c r="D10" s="11" t="s">
        <v>54</v>
      </c>
      <c r="E10" s="12"/>
      <c r="F10" s="16"/>
      <c r="G10" s="27" t="s">
        <v>63</v>
      </c>
    </row>
    <row r="11" customFormat="1" ht="22" customHeight="1" spans="1:7">
      <c r="A11" s="8">
        <v>9</v>
      </c>
      <c r="B11" s="9">
        <v>46097</v>
      </c>
      <c r="C11" s="15" t="s">
        <v>47</v>
      </c>
      <c r="D11" s="11" t="s">
        <v>54</v>
      </c>
      <c r="E11" s="12"/>
      <c r="F11" s="10">
        <v>3</v>
      </c>
      <c r="G11" s="17" t="s">
        <v>64</v>
      </c>
    </row>
    <row r="12" customFormat="1" ht="22" customHeight="1" spans="1:7">
      <c r="A12" s="8">
        <v>10</v>
      </c>
      <c r="B12" s="9">
        <v>46097</v>
      </c>
      <c r="C12" s="13" t="s">
        <v>26</v>
      </c>
      <c r="D12" s="11" t="s">
        <v>54</v>
      </c>
      <c r="E12" s="10"/>
      <c r="F12" s="10">
        <v>3</v>
      </c>
      <c r="G12" s="16"/>
    </row>
    <row r="13" customFormat="1" ht="22" customHeight="1" spans="1:7">
      <c r="A13" s="8">
        <v>11</v>
      </c>
      <c r="B13" s="9">
        <v>46097</v>
      </c>
      <c r="C13" s="13" t="s">
        <v>26</v>
      </c>
      <c r="D13" s="11" t="s">
        <v>54</v>
      </c>
      <c r="E13" s="10"/>
      <c r="F13" s="10">
        <v>3</v>
      </c>
      <c r="G13" s="16" t="s">
        <v>59</v>
      </c>
    </row>
    <row r="14" customFormat="1" ht="22" customHeight="1" spans="1:7">
      <c r="A14" s="8"/>
      <c r="B14" s="25"/>
      <c r="C14" s="15"/>
      <c r="D14" s="19"/>
      <c r="E14" s="20"/>
      <c r="F14" s="21"/>
      <c r="G14" s="21"/>
    </row>
    <row r="15" ht="13.5" spans="1:7">
      <c r="E15" s="26">
        <f>SUM(E3:E14)</f>
        <v>9</v>
      </c>
      <c r="F15" s="26">
        <f>SUM(F3:F14)</f>
        <v>18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G5" sqref="G5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46100</v>
      </c>
      <c r="C3" s="10" t="s">
        <v>13</v>
      </c>
      <c r="D3" s="11" t="s">
        <v>58</v>
      </c>
      <c r="E3" s="10">
        <v>4</v>
      </c>
      <c r="F3" s="13"/>
      <c r="G3" s="12"/>
    </row>
    <row r="4" ht="22" customHeight="1" spans="1:7">
      <c r="A4" s="8">
        <v>2</v>
      </c>
      <c r="B4" s="9">
        <v>46100</v>
      </c>
      <c r="C4" s="10" t="s">
        <v>16</v>
      </c>
      <c r="D4" s="11" t="s">
        <v>58</v>
      </c>
      <c r="E4" s="13"/>
      <c r="F4" s="10"/>
      <c r="G4" s="14" t="s">
        <v>55</v>
      </c>
    </row>
    <row r="5" ht="22" customHeight="1" spans="1:7">
      <c r="A5" s="8">
        <v>3</v>
      </c>
      <c r="B5" s="9">
        <v>46100</v>
      </c>
      <c r="C5" s="10" t="s">
        <v>17</v>
      </c>
      <c r="D5" s="11" t="s">
        <v>58</v>
      </c>
      <c r="E5" s="10">
        <v>2</v>
      </c>
      <c r="F5" s="13">
        <v>2</v>
      </c>
      <c r="G5" s="14" t="s">
        <v>65</v>
      </c>
    </row>
    <row r="6" ht="22" customHeight="1" spans="1:7">
      <c r="A6" s="8">
        <v>4</v>
      </c>
      <c r="B6" s="9">
        <v>46100</v>
      </c>
      <c r="C6" s="10" t="s">
        <v>18</v>
      </c>
      <c r="D6" s="11" t="s">
        <v>58</v>
      </c>
      <c r="E6" s="10">
        <v>4</v>
      </c>
      <c r="F6" s="12"/>
      <c r="G6" s="14"/>
    </row>
    <row r="7" ht="22" customHeight="1" spans="1:7">
      <c r="A7" s="8">
        <v>5</v>
      </c>
      <c r="B7" s="9">
        <v>46100</v>
      </c>
      <c r="C7" s="10" t="s">
        <v>39</v>
      </c>
      <c r="D7" s="11" t="s">
        <v>58</v>
      </c>
      <c r="E7" s="13"/>
      <c r="F7" s="10">
        <v>4</v>
      </c>
      <c r="G7" s="10"/>
    </row>
    <row r="8" ht="22" customHeight="1" spans="1:7">
      <c r="A8" s="8">
        <v>6</v>
      </c>
      <c r="B8" s="9">
        <v>46100</v>
      </c>
      <c r="C8" s="10" t="s">
        <v>40</v>
      </c>
      <c r="D8" s="11" t="s">
        <v>58</v>
      </c>
      <c r="E8" s="13"/>
      <c r="F8" s="10">
        <v>4</v>
      </c>
      <c r="G8" s="10"/>
    </row>
    <row r="9" ht="22" customHeight="1" spans="1:7">
      <c r="A9" s="8">
        <v>7</v>
      </c>
      <c r="B9" s="9">
        <v>46100</v>
      </c>
      <c r="C9" s="10" t="s">
        <v>22</v>
      </c>
      <c r="D9" s="11" t="s">
        <v>58</v>
      </c>
      <c r="E9" s="13"/>
      <c r="F9" s="10">
        <v>4</v>
      </c>
      <c r="G9" s="10"/>
    </row>
    <row r="10" customFormat="1" ht="36" customHeight="1" spans="1:7">
      <c r="A10" s="8">
        <v>8</v>
      </c>
      <c r="B10" s="9">
        <v>46100</v>
      </c>
      <c r="C10" s="15" t="s">
        <v>24</v>
      </c>
      <c r="D10" s="11" t="s">
        <v>58</v>
      </c>
      <c r="E10" s="12"/>
      <c r="F10" s="16">
        <v>4</v>
      </c>
      <c r="G10" s="27" t="s">
        <v>63</v>
      </c>
    </row>
    <row r="11" customFormat="1" ht="22" customHeight="1" spans="1:7">
      <c r="A11" s="8">
        <v>9</v>
      </c>
      <c r="B11" s="9">
        <v>46100</v>
      </c>
      <c r="C11" s="15" t="s">
        <v>47</v>
      </c>
      <c r="D11" s="11" t="s">
        <v>62</v>
      </c>
      <c r="E11" s="12"/>
      <c r="F11" s="10">
        <v>2</v>
      </c>
      <c r="G11" s="17" t="s">
        <v>64</v>
      </c>
    </row>
    <row r="12" customFormat="1" ht="22" customHeight="1" spans="1:7">
      <c r="A12" s="8">
        <v>10</v>
      </c>
      <c r="B12" s="9">
        <v>46100</v>
      </c>
      <c r="C12" s="13" t="s">
        <v>26</v>
      </c>
      <c r="D12" s="11" t="s">
        <v>58</v>
      </c>
      <c r="E12" s="10"/>
      <c r="F12" s="10">
        <v>4</v>
      </c>
      <c r="G12" s="16"/>
    </row>
    <row r="13" customFormat="1" ht="22" customHeight="1" spans="1:7">
      <c r="A13" s="8">
        <v>11</v>
      </c>
      <c r="B13" s="9">
        <v>46100</v>
      </c>
      <c r="C13" s="13" t="s">
        <v>28</v>
      </c>
      <c r="D13" s="11" t="s">
        <v>58</v>
      </c>
      <c r="E13" s="10"/>
      <c r="F13" s="10">
        <v>4</v>
      </c>
      <c r="G13" s="16"/>
    </row>
    <row r="14" customFormat="1" ht="22" customHeight="1" spans="1:7">
      <c r="A14" s="8">
        <v>12</v>
      </c>
      <c r="B14" s="9">
        <v>46100</v>
      </c>
      <c r="C14" s="13" t="s">
        <v>26</v>
      </c>
      <c r="D14" s="11" t="s">
        <v>58</v>
      </c>
      <c r="E14" s="10"/>
      <c r="F14" s="10">
        <v>4</v>
      </c>
      <c r="G14" s="16" t="s">
        <v>59</v>
      </c>
    </row>
    <row r="15" customFormat="1" ht="22" customHeight="1" spans="1:7">
      <c r="A15" s="8"/>
      <c r="B15" s="25"/>
      <c r="C15" s="15"/>
      <c r="D15" s="19"/>
      <c r="E15" s="20"/>
      <c r="F15" s="21"/>
      <c r="G15" s="21"/>
    </row>
    <row r="16" customFormat="1" ht="13.5" spans="1:7">
      <c r="E16" s="26">
        <f>SUM(E3:E15)</f>
        <v>10</v>
      </c>
      <c r="F16" s="26">
        <f>SUM(F3:F15)</f>
        <v>32</v>
      </c>
    </row>
  </sheetData>
  <mergeCells count="1">
    <mergeCell ref="A1:G1"/>
  </mergeCells>
  <conditionalFormatting sqref="C2:C14">
    <cfRule type="duplicateValues" dxfId="0" priority="1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29" sqref="E29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46104</v>
      </c>
      <c r="C3" s="10" t="s">
        <v>13</v>
      </c>
      <c r="D3" s="11" t="s">
        <v>54</v>
      </c>
      <c r="E3" s="10">
        <v>3</v>
      </c>
      <c r="F3" s="13"/>
      <c r="G3" s="12"/>
    </row>
    <row r="4" ht="22" customHeight="1" spans="1:7">
      <c r="A4" s="8">
        <v>2</v>
      </c>
      <c r="B4" s="9">
        <v>46104</v>
      </c>
      <c r="C4" s="10" t="s">
        <v>16</v>
      </c>
      <c r="D4" s="11" t="s">
        <v>54</v>
      </c>
      <c r="E4" s="13"/>
      <c r="F4" s="10">
        <v>0</v>
      </c>
      <c r="G4" s="14" t="s">
        <v>55</v>
      </c>
    </row>
    <row r="5" ht="22" customHeight="1" spans="1:7">
      <c r="A5" s="8">
        <v>3</v>
      </c>
      <c r="B5" s="9">
        <v>46104</v>
      </c>
      <c r="C5" s="10" t="s">
        <v>17</v>
      </c>
      <c r="D5" s="11" t="s">
        <v>54</v>
      </c>
      <c r="E5" s="10">
        <v>3</v>
      </c>
      <c r="F5" s="13"/>
      <c r="G5" s="14"/>
    </row>
    <row r="6" ht="22" customHeight="1" spans="1:7">
      <c r="A6" s="8">
        <v>4</v>
      </c>
      <c r="B6" s="9">
        <v>46104</v>
      </c>
      <c r="C6" s="10" t="s">
        <v>18</v>
      </c>
      <c r="D6" s="11" t="s">
        <v>54</v>
      </c>
      <c r="E6" s="10">
        <v>3</v>
      </c>
      <c r="F6" s="12"/>
      <c r="G6" s="14"/>
    </row>
    <row r="7" ht="22" customHeight="1" spans="1:7">
      <c r="A7" s="8">
        <v>5</v>
      </c>
      <c r="B7" s="9">
        <v>46104</v>
      </c>
      <c r="C7" s="10" t="s">
        <v>39</v>
      </c>
      <c r="D7" s="11" t="s">
        <v>54</v>
      </c>
      <c r="E7" s="13"/>
      <c r="F7" s="10">
        <v>3</v>
      </c>
      <c r="G7" s="10"/>
    </row>
    <row r="8" ht="22" customHeight="1" spans="1:7">
      <c r="A8" s="8">
        <v>6</v>
      </c>
      <c r="B8" s="9">
        <v>46104</v>
      </c>
      <c r="C8" s="10" t="s">
        <v>40</v>
      </c>
      <c r="D8" s="11" t="s">
        <v>54</v>
      </c>
      <c r="E8" s="13"/>
      <c r="F8" s="10">
        <v>3</v>
      </c>
      <c r="G8" s="10"/>
    </row>
    <row r="9" ht="22" customHeight="1" spans="1:7">
      <c r="A9" s="8">
        <v>7</v>
      </c>
      <c r="B9" s="9">
        <v>46104</v>
      </c>
      <c r="C9" s="10" t="s">
        <v>22</v>
      </c>
      <c r="D9" s="11" t="s">
        <v>54</v>
      </c>
      <c r="E9" s="13"/>
      <c r="F9" s="10">
        <v>3</v>
      </c>
      <c r="G9" s="10"/>
    </row>
    <row r="10" customFormat="1" ht="48" customHeight="1" spans="1:7">
      <c r="A10" s="8">
        <v>8</v>
      </c>
      <c r="B10" s="9">
        <v>46104</v>
      </c>
      <c r="C10" s="15" t="s">
        <v>24</v>
      </c>
      <c r="D10" s="11" t="s">
        <v>61</v>
      </c>
      <c r="E10" s="12">
        <v>6</v>
      </c>
      <c r="F10" s="16"/>
      <c r="G10" s="14" t="s">
        <v>66</v>
      </c>
    </row>
    <row r="11" customFormat="1" ht="32" customHeight="1" spans="1:7">
      <c r="A11" s="8">
        <v>9</v>
      </c>
      <c r="B11" s="9">
        <v>46104</v>
      </c>
      <c r="C11" s="15" t="s">
        <v>47</v>
      </c>
      <c r="D11" s="11" t="s">
        <v>54</v>
      </c>
      <c r="E11" s="12"/>
      <c r="F11" s="10">
        <v>3</v>
      </c>
      <c r="G11" s="17" t="s">
        <v>64</v>
      </c>
    </row>
    <row r="12" customFormat="1" ht="22" customHeight="1" spans="1:7">
      <c r="A12" s="8">
        <v>10</v>
      </c>
      <c r="B12" s="9">
        <v>46104</v>
      </c>
      <c r="C12" s="13" t="s">
        <v>26</v>
      </c>
      <c r="D12" s="11" t="s">
        <v>54</v>
      </c>
      <c r="E12" s="10"/>
      <c r="F12" s="10">
        <v>3</v>
      </c>
      <c r="G12" s="16"/>
    </row>
    <row r="13" customFormat="1" ht="22" customHeight="1" spans="1:7">
      <c r="A13" s="8"/>
      <c r="B13" s="9"/>
      <c r="C13" s="13"/>
      <c r="D13" s="11"/>
      <c r="E13" s="10"/>
      <c r="F13" s="10"/>
      <c r="G13" s="16"/>
    </row>
    <row r="14" customFormat="1" ht="22" customHeight="1" spans="1:7">
      <c r="A14" s="8"/>
      <c r="B14" s="25"/>
      <c r="C14" s="15"/>
      <c r="D14" s="19"/>
      <c r="E14" s="20"/>
      <c r="F14" s="21"/>
      <c r="G14" s="21"/>
    </row>
    <row r="15" customFormat="1" ht="13.5" spans="1:7">
      <c r="E15" s="26">
        <f>SUM(E3:E14)</f>
        <v>15</v>
      </c>
      <c r="F15" s="26">
        <f>SUM(F3:F14)</f>
        <v>15</v>
      </c>
    </row>
    <row r="18" ht="13.5" spans="3:3">
      <c r="C18" s="23" t="s">
        <v>67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E17" sqref="E17:F17"/>
    </sheetView>
  </sheetViews>
  <sheetFormatPr defaultColWidth="9.14285714285714" defaultRowHeight="12" outlineLevelCol="6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46107</v>
      </c>
      <c r="C3" s="10" t="s">
        <v>13</v>
      </c>
      <c r="D3" s="11" t="s">
        <v>58</v>
      </c>
      <c r="E3" s="12">
        <v>4</v>
      </c>
      <c r="F3" s="13"/>
      <c r="G3" s="12"/>
    </row>
    <row r="4" ht="22" customHeight="1" spans="1:7">
      <c r="A4" s="8">
        <v>2</v>
      </c>
      <c r="B4" s="9">
        <v>46107</v>
      </c>
      <c r="C4" s="10" t="s">
        <v>16</v>
      </c>
      <c r="D4" s="11" t="s">
        <v>58</v>
      </c>
      <c r="E4" s="13"/>
      <c r="F4" s="10">
        <v>0</v>
      </c>
      <c r="G4" s="14" t="s">
        <v>55</v>
      </c>
    </row>
    <row r="5" ht="22" customHeight="1" spans="1:7">
      <c r="A5" s="8">
        <v>3</v>
      </c>
      <c r="B5" s="9">
        <v>46107</v>
      </c>
      <c r="C5" s="10" t="s">
        <v>17</v>
      </c>
      <c r="D5" s="11" t="s">
        <v>58</v>
      </c>
      <c r="E5" s="12">
        <v>2</v>
      </c>
      <c r="F5" s="13">
        <v>2</v>
      </c>
      <c r="G5" s="14" t="s">
        <v>65</v>
      </c>
    </row>
    <row r="6" ht="22" customHeight="1" spans="1:7">
      <c r="A6" s="8">
        <v>4</v>
      </c>
      <c r="B6" s="9">
        <v>46107</v>
      </c>
      <c r="C6" s="10" t="s">
        <v>18</v>
      </c>
      <c r="D6" s="11" t="s">
        <v>58</v>
      </c>
      <c r="E6" s="12">
        <v>4</v>
      </c>
      <c r="F6" s="12"/>
      <c r="G6" s="14"/>
    </row>
    <row r="7" ht="22" customHeight="1" spans="1:7">
      <c r="A7" s="8">
        <v>5</v>
      </c>
      <c r="B7" s="9">
        <v>46107</v>
      </c>
      <c r="C7" s="10" t="s">
        <v>39</v>
      </c>
      <c r="D7" s="11" t="s">
        <v>58</v>
      </c>
      <c r="E7" s="13"/>
      <c r="F7" s="12">
        <v>4</v>
      </c>
      <c r="G7" s="10"/>
    </row>
    <row r="8" ht="22" customHeight="1" spans="1:7">
      <c r="A8" s="8">
        <v>6</v>
      </c>
      <c r="B8" s="9">
        <v>46107</v>
      </c>
      <c r="C8" s="10" t="s">
        <v>40</v>
      </c>
      <c r="D8" s="11" t="s">
        <v>58</v>
      </c>
      <c r="E8" s="13"/>
      <c r="F8" s="12">
        <v>4</v>
      </c>
      <c r="G8" s="10"/>
    </row>
    <row r="9" ht="22" customHeight="1" spans="1:7">
      <c r="A9" s="8">
        <v>7</v>
      </c>
      <c r="B9" s="9">
        <v>46107</v>
      </c>
      <c r="C9" s="10" t="s">
        <v>22</v>
      </c>
      <c r="D9" s="11" t="s">
        <v>58</v>
      </c>
      <c r="E9" s="13"/>
      <c r="F9" s="12">
        <v>4</v>
      </c>
      <c r="G9" s="10"/>
    </row>
    <row r="10" customFormat="1" ht="48" customHeight="1" spans="1:7">
      <c r="A10" s="8">
        <v>8</v>
      </c>
      <c r="B10" s="9">
        <v>46107</v>
      </c>
      <c r="C10" s="15" t="s">
        <v>24</v>
      </c>
      <c r="D10" s="11" t="s">
        <v>58</v>
      </c>
      <c r="E10" s="12">
        <v>4</v>
      </c>
      <c r="F10" s="16"/>
      <c r="G10" s="14" t="s">
        <v>66</v>
      </c>
    </row>
    <row r="11" customFormat="1" ht="32" customHeight="1" spans="1:7">
      <c r="A11" s="8">
        <v>9</v>
      </c>
      <c r="B11" s="9">
        <v>46107</v>
      </c>
      <c r="C11" s="15" t="s">
        <v>47</v>
      </c>
      <c r="D11" s="11" t="s">
        <v>58</v>
      </c>
      <c r="E11" s="12"/>
      <c r="F11" s="12">
        <v>2</v>
      </c>
      <c r="G11" s="17" t="s">
        <v>68</v>
      </c>
    </row>
    <row r="12" customFormat="1" ht="22" customHeight="1" spans="1:7">
      <c r="A12" s="8">
        <v>10</v>
      </c>
      <c r="B12" s="9">
        <v>46107</v>
      </c>
      <c r="C12" s="13" t="s">
        <v>26</v>
      </c>
      <c r="D12" s="11" t="s">
        <v>58</v>
      </c>
      <c r="E12" s="10"/>
      <c r="F12" s="12">
        <v>4</v>
      </c>
      <c r="G12" s="16"/>
    </row>
    <row r="13" customFormat="1" ht="22" customHeight="1" spans="1:7">
      <c r="A13" s="8">
        <v>11</v>
      </c>
      <c r="B13" s="9">
        <v>46107</v>
      </c>
      <c r="C13" s="13" t="s">
        <v>28</v>
      </c>
      <c r="D13" s="11" t="s">
        <v>58</v>
      </c>
      <c r="E13" s="10"/>
      <c r="F13" s="10">
        <v>4</v>
      </c>
      <c r="G13" s="16"/>
    </row>
    <row r="14" customFormat="1" ht="22" customHeight="1" spans="1:7">
      <c r="A14" s="8">
        <v>12</v>
      </c>
      <c r="B14" s="9">
        <v>46107</v>
      </c>
      <c r="C14" s="13" t="s">
        <v>30</v>
      </c>
      <c r="D14" s="11" t="s">
        <v>58</v>
      </c>
      <c r="E14" s="18"/>
      <c r="F14" s="10">
        <v>4</v>
      </c>
      <c r="G14" s="16"/>
    </row>
    <row r="15" customFormat="1" ht="22" customHeight="1" spans="1:7">
      <c r="A15" s="8">
        <v>13</v>
      </c>
      <c r="B15" s="9">
        <v>46107</v>
      </c>
      <c r="C15" s="13" t="s">
        <v>28</v>
      </c>
      <c r="D15" s="11" t="s">
        <v>54</v>
      </c>
      <c r="E15" s="18"/>
      <c r="F15" s="18">
        <v>3</v>
      </c>
      <c r="G15" s="16" t="s">
        <v>59</v>
      </c>
    </row>
    <row r="16" customFormat="1" ht="22" customHeight="1" spans="1:7">
      <c r="A16" s="8"/>
      <c r="B16" s="25"/>
      <c r="C16" s="15"/>
      <c r="D16" s="19"/>
      <c r="E16" s="20"/>
      <c r="F16" s="21"/>
      <c r="G16" s="21"/>
    </row>
    <row r="17" customFormat="1" ht="13.5" spans="3:6">
      <c r="E17" s="22">
        <f>SUM(E3:E16)</f>
        <v>14</v>
      </c>
      <c r="F17" s="22">
        <f>SUM(F3:F16)</f>
        <v>31</v>
      </c>
    </row>
    <row r="20" ht="13.5" spans="3:6">
      <c r="C20" s="23"/>
    </row>
  </sheetData>
  <mergeCells count="1">
    <mergeCell ref="A1:G1"/>
  </mergeCells>
  <conditionalFormatting sqref="C15">
    <cfRule type="duplicateValues" dxfId="0" priority="1"/>
  </conditionalFormatting>
  <conditionalFormatting sqref="C13:C14">
    <cfRule type="duplicateValues" dxfId="0" priority="2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I14" sqref="I3:I14"/>
    </sheetView>
  </sheetViews>
  <sheetFormatPr defaultColWidth="9.14285714285714" defaultRowHeight="12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9">
      <c r="A3" s="8">
        <v>1</v>
      </c>
      <c r="B3" s="9">
        <v>46111</v>
      </c>
      <c r="C3" s="10" t="s">
        <v>13</v>
      </c>
      <c r="D3" s="11" t="s">
        <v>54</v>
      </c>
      <c r="E3" s="12">
        <v>3</v>
      </c>
      <c r="F3" s="13"/>
      <c r="G3" s="12"/>
      <c r="I3" s="1">
        <f t="shared" ref="I3:I14" si="0">SUM(E3:F3)</f>
        <v>3</v>
      </c>
    </row>
    <row r="4" ht="22" customHeight="1" spans="1:9">
      <c r="A4" s="8">
        <v>2</v>
      </c>
      <c r="B4" s="9">
        <v>46111</v>
      </c>
      <c r="C4" s="10" t="s">
        <v>16</v>
      </c>
      <c r="D4" s="11" t="s">
        <v>54</v>
      </c>
      <c r="E4" s="13"/>
      <c r="F4" s="10">
        <v>0</v>
      </c>
      <c r="G4" s="14" t="s">
        <v>55</v>
      </c>
      <c r="I4" s="1">
        <f t="shared" si="0"/>
        <v>0</v>
      </c>
    </row>
    <row r="5" ht="22" customHeight="1" spans="1:9">
      <c r="A5" s="8">
        <v>3</v>
      </c>
      <c r="B5" s="9">
        <v>46111</v>
      </c>
      <c r="C5" s="10" t="s">
        <v>17</v>
      </c>
      <c r="D5" s="11" t="s">
        <v>54</v>
      </c>
      <c r="E5" s="12">
        <v>2</v>
      </c>
      <c r="F5" s="13">
        <v>1</v>
      </c>
      <c r="G5" s="14" t="s">
        <v>65</v>
      </c>
      <c r="I5" s="1">
        <f t="shared" si="0"/>
        <v>3</v>
      </c>
    </row>
    <row r="6" ht="22" customHeight="1" spans="1:9">
      <c r="A6" s="8">
        <v>4</v>
      </c>
      <c r="B6" s="9">
        <v>46111</v>
      </c>
      <c r="C6" s="10" t="s">
        <v>18</v>
      </c>
      <c r="D6" s="11" t="s">
        <v>54</v>
      </c>
      <c r="E6" s="12">
        <v>3</v>
      </c>
      <c r="F6" s="12"/>
      <c r="G6" s="14"/>
      <c r="I6" s="1">
        <f t="shared" si="0"/>
        <v>3</v>
      </c>
    </row>
    <row r="7" ht="22" customHeight="1" spans="1:9">
      <c r="A7" s="8">
        <v>5</v>
      </c>
      <c r="B7" s="9">
        <v>46111</v>
      </c>
      <c r="C7" s="10" t="s">
        <v>39</v>
      </c>
      <c r="D7" s="11" t="s">
        <v>54</v>
      </c>
      <c r="E7" s="13"/>
      <c r="F7" s="12">
        <v>3</v>
      </c>
      <c r="G7" s="10"/>
      <c r="I7" s="1">
        <f t="shared" si="0"/>
        <v>3</v>
      </c>
    </row>
    <row r="8" ht="22" customHeight="1" spans="1:9">
      <c r="A8" s="8">
        <v>6</v>
      </c>
      <c r="B8" s="9">
        <v>46111</v>
      </c>
      <c r="C8" s="10" t="s">
        <v>40</v>
      </c>
      <c r="D8" s="11" t="s">
        <v>54</v>
      </c>
      <c r="E8" s="13"/>
      <c r="F8" s="12">
        <v>3</v>
      </c>
      <c r="G8" s="10"/>
      <c r="I8" s="1">
        <f t="shared" si="0"/>
        <v>3</v>
      </c>
    </row>
    <row r="9" ht="22" customHeight="1" spans="1:9">
      <c r="A9" s="8">
        <v>7</v>
      </c>
      <c r="B9" s="9">
        <v>46111</v>
      </c>
      <c r="C9" s="10" t="s">
        <v>22</v>
      </c>
      <c r="D9" s="11" t="s">
        <v>54</v>
      </c>
      <c r="E9" s="13"/>
      <c r="F9" s="12">
        <v>3</v>
      </c>
      <c r="G9" s="10"/>
      <c r="I9" s="1">
        <f t="shared" si="0"/>
        <v>3</v>
      </c>
    </row>
    <row r="10" customFormat="1" ht="48" customHeight="1" spans="1:9">
      <c r="A10" s="8">
        <v>8</v>
      </c>
      <c r="B10" s="9">
        <v>46111</v>
      </c>
      <c r="C10" s="15" t="s">
        <v>24</v>
      </c>
      <c r="D10" s="11" t="s">
        <v>54</v>
      </c>
      <c r="E10" s="12">
        <v>6</v>
      </c>
      <c r="F10" s="16"/>
      <c r="G10" s="14" t="s">
        <v>66</v>
      </c>
      <c r="I10" s="1">
        <f t="shared" si="0"/>
        <v>6</v>
      </c>
    </row>
    <row r="11" customFormat="1" ht="32" customHeight="1" spans="1:9">
      <c r="A11" s="8">
        <v>9</v>
      </c>
      <c r="B11" s="9">
        <v>46111</v>
      </c>
      <c r="C11" s="15" t="s">
        <v>47</v>
      </c>
      <c r="D11" s="11" t="s">
        <v>54</v>
      </c>
      <c r="E11" s="12"/>
      <c r="F11" s="12">
        <v>3</v>
      </c>
      <c r="G11" s="17" t="s">
        <v>68</v>
      </c>
      <c r="I11" s="1">
        <f t="shared" si="0"/>
        <v>3</v>
      </c>
    </row>
    <row r="12" customFormat="1" ht="22" customHeight="1" spans="1:9">
      <c r="A12" s="8">
        <v>10</v>
      </c>
      <c r="B12" s="9">
        <v>46111</v>
      </c>
      <c r="C12" s="13" t="s">
        <v>26</v>
      </c>
      <c r="D12" s="11" t="s">
        <v>54</v>
      </c>
      <c r="E12" s="10"/>
      <c r="F12" s="12">
        <v>3</v>
      </c>
      <c r="G12" s="16"/>
      <c r="I12" s="1">
        <f t="shared" si="0"/>
        <v>3</v>
      </c>
    </row>
    <row r="13" customFormat="1" ht="22" customHeight="1" spans="1:9">
      <c r="A13" s="8">
        <v>11</v>
      </c>
      <c r="B13" s="9">
        <v>46111</v>
      </c>
      <c r="C13" s="13" t="s">
        <v>28</v>
      </c>
      <c r="D13" s="11" t="s">
        <v>54</v>
      </c>
      <c r="E13" s="10"/>
      <c r="F13" s="12">
        <v>3</v>
      </c>
      <c r="G13" s="16"/>
      <c r="I13" s="1">
        <f t="shared" si="0"/>
        <v>3</v>
      </c>
    </row>
    <row r="14" customFormat="1" ht="22" customHeight="1" spans="1:9">
      <c r="A14" s="8">
        <v>12</v>
      </c>
      <c r="B14" s="9">
        <v>46111</v>
      </c>
      <c r="C14" s="13" t="s">
        <v>30</v>
      </c>
      <c r="D14" s="11" t="s">
        <v>54</v>
      </c>
      <c r="E14" s="18"/>
      <c r="F14" s="12">
        <v>3</v>
      </c>
      <c r="G14" s="16"/>
      <c r="I14" s="1">
        <f t="shared" si="0"/>
        <v>3</v>
      </c>
    </row>
    <row r="15" customFormat="1" ht="22" customHeight="1" spans="1:9">
      <c r="A15" s="8"/>
      <c r="B15" s="25"/>
      <c r="C15" s="15"/>
      <c r="D15" s="19"/>
      <c r="E15" s="20"/>
      <c r="F15" s="21"/>
      <c r="G15" s="21"/>
    </row>
    <row r="16" customFormat="1" ht="13.5" spans="1:9">
      <c r="E16" s="22">
        <f>SUM(E3:E15)</f>
        <v>14</v>
      </c>
      <c r="F16" s="22">
        <f>SUM(F3:F15)</f>
        <v>22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2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J3" sqref="J3:J14"/>
    </sheetView>
  </sheetViews>
  <sheetFormatPr defaultColWidth="9.14285714285714" defaultRowHeight="12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9">
      <c r="A3" s="8">
        <v>1</v>
      </c>
      <c r="B3" s="9">
        <v>46114</v>
      </c>
      <c r="C3" s="10" t="s">
        <v>13</v>
      </c>
      <c r="D3" s="11" t="s">
        <v>58</v>
      </c>
      <c r="E3" s="12">
        <v>4</v>
      </c>
      <c r="F3" s="13"/>
      <c r="G3" s="12"/>
      <c r="I3">
        <f t="shared" ref="I3:I14" si="0">SUM(E3:F3)</f>
        <v>4</v>
      </c>
    </row>
    <row r="4" ht="22" customHeight="1" spans="1:9">
      <c r="A4" s="8">
        <v>2</v>
      </c>
      <c r="B4" s="9">
        <v>46114</v>
      </c>
      <c r="C4" s="10" t="s">
        <v>16</v>
      </c>
      <c r="D4" s="11" t="s">
        <v>58</v>
      </c>
      <c r="E4" s="13"/>
      <c r="F4" s="10">
        <v>0</v>
      </c>
      <c r="G4" s="14" t="s">
        <v>55</v>
      </c>
      <c r="I4">
        <f t="shared" si="0"/>
        <v>0</v>
      </c>
    </row>
    <row r="5" ht="22" customHeight="1" spans="1:9">
      <c r="A5" s="8">
        <v>3</v>
      </c>
      <c r="B5" s="9">
        <v>46114</v>
      </c>
      <c r="C5" s="10" t="s">
        <v>17</v>
      </c>
      <c r="D5" s="11" t="s">
        <v>58</v>
      </c>
      <c r="E5" s="12">
        <v>2</v>
      </c>
      <c r="F5" s="13">
        <v>2</v>
      </c>
      <c r="G5" s="14" t="s">
        <v>65</v>
      </c>
      <c r="I5">
        <f t="shared" si="0"/>
        <v>4</v>
      </c>
    </row>
    <row r="6" ht="22" customHeight="1" spans="1:9">
      <c r="A6" s="8">
        <v>4</v>
      </c>
      <c r="B6" s="9">
        <v>46114</v>
      </c>
      <c r="C6" s="10" t="s">
        <v>18</v>
      </c>
      <c r="D6" s="11" t="s">
        <v>58</v>
      </c>
      <c r="E6" s="12">
        <v>4</v>
      </c>
      <c r="F6" s="12"/>
      <c r="G6" s="14"/>
      <c r="I6">
        <f t="shared" si="0"/>
        <v>4</v>
      </c>
    </row>
    <row r="7" ht="22" customHeight="1" spans="1:9">
      <c r="A7" s="8">
        <v>5</v>
      </c>
      <c r="B7" s="9">
        <v>46114</v>
      </c>
      <c r="C7" s="10" t="s">
        <v>39</v>
      </c>
      <c r="D7" s="11" t="s">
        <v>58</v>
      </c>
      <c r="E7" s="13"/>
      <c r="F7" s="12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46114</v>
      </c>
      <c r="C8" s="10" t="s">
        <v>40</v>
      </c>
      <c r="D8" s="11" t="s">
        <v>58</v>
      </c>
      <c r="E8" s="13"/>
      <c r="F8" s="12">
        <v>4</v>
      </c>
      <c r="G8" s="10"/>
      <c r="I8">
        <f t="shared" si="0"/>
        <v>4</v>
      </c>
    </row>
    <row r="9" ht="22" customHeight="1" spans="1:9">
      <c r="A9" s="8">
        <v>7</v>
      </c>
      <c r="B9" s="9">
        <v>46114</v>
      </c>
      <c r="C9" s="10" t="s">
        <v>22</v>
      </c>
      <c r="D9" s="11" t="s">
        <v>58</v>
      </c>
      <c r="E9" s="13"/>
      <c r="F9" s="12">
        <v>4</v>
      </c>
      <c r="G9" s="10"/>
      <c r="I9">
        <f t="shared" si="0"/>
        <v>4</v>
      </c>
    </row>
    <row r="10" customFormat="1" ht="48" customHeight="1" spans="1:9">
      <c r="A10" s="8">
        <v>8</v>
      </c>
      <c r="B10" s="9">
        <v>46114</v>
      </c>
      <c r="C10" s="15" t="s">
        <v>24</v>
      </c>
      <c r="D10" s="11" t="s">
        <v>58</v>
      </c>
      <c r="E10" s="12">
        <v>4</v>
      </c>
      <c r="F10" s="16"/>
      <c r="G10" s="14" t="s">
        <v>66</v>
      </c>
      <c r="I10">
        <f t="shared" si="0"/>
        <v>4</v>
      </c>
    </row>
    <row r="11" customFormat="1" ht="32" customHeight="1" spans="1:9">
      <c r="A11" s="8">
        <v>9</v>
      </c>
      <c r="B11" s="9">
        <v>46114</v>
      </c>
      <c r="C11" s="15" t="s">
        <v>47</v>
      </c>
      <c r="D11" s="11" t="s">
        <v>58</v>
      </c>
      <c r="E11" s="12"/>
      <c r="F11" s="12">
        <v>2</v>
      </c>
      <c r="G11" s="17" t="s">
        <v>68</v>
      </c>
      <c r="I11">
        <f t="shared" si="0"/>
        <v>2</v>
      </c>
    </row>
    <row r="12" customFormat="1" ht="22" customHeight="1" spans="1:9">
      <c r="A12" s="8">
        <v>10</v>
      </c>
      <c r="B12" s="9">
        <v>46114</v>
      </c>
      <c r="C12" s="13" t="s">
        <v>26</v>
      </c>
      <c r="D12" s="11" t="s">
        <v>58</v>
      </c>
      <c r="E12" s="10"/>
      <c r="F12" s="12">
        <v>4</v>
      </c>
      <c r="G12" s="16"/>
      <c r="I12">
        <f t="shared" si="0"/>
        <v>4</v>
      </c>
    </row>
    <row r="13" customFormat="1" ht="22" customHeight="1" spans="1:9">
      <c r="A13" s="8">
        <v>11</v>
      </c>
      <c r="B13" s="9">
        <v>46114</v>
      </c>
      <c r="C13" s="13" t="s">
        <v>28</v>
      </c>
      <c r="D13" s="11" t="s">
        <v>58</v>
      </c>
      <c r="E13" s="10"/>
      <c r="F13" s="10">
        <v>4</v>
      </c>
      <c r="G13" s="16"/>
      <c r="I13">
        <f t="shared" si="0"/>
        <v>4</v>
      </c>
    </row>
    <row r="14" customFormat="1" ht="22" customHeight="1" spans="1:9">
      <c r="A14" s="8">
        <v>12</v>
      </c>
      <c r="B14" s="9">
        <v>46114</v>
      </c>
      <c r="C14" s="13" t="s">
        <v>30</v>
      </c>
      <c r="D14" s="11" t="s">
        <v>58</v>
      </c>
      <c r="E14" s="18"/>
      <c r="F14" s="10">
        <v>4</v>
      </c>
      <c r="G14" s="16"/>
      <c r="I14">
        <f t="shared" si="0"/>
        <v>4</v>
      </c>
    </row>
    <row r="15" customFormat="1" ht="22" customHeight="1" spans="1:9">
      <c r="A15" s="8"/>
      <c r="B15" s="25"/>
      <c r="C15" s="15"/>
      <c r="D15" s="19"/>
      <c r="E15" s="20"/>
      <c r="F15" s="21"/>
      <c r="G15" s="21"/>
    </row>
    <row r="16" customFormat="1" ht="13.5" spans="1:9">
      <c r="E16" s="22">
        <f>SUM(E3:E15)</f>
        <v>14</v>
      </c>
      <c r="F16" s="22">
        <f>SUM(F3:F15)</f>
        <v>28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2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7" sqref="F17"/>
    </sheetView>
  </sheetViews>
  <sheetFormatPr defaultColWidth="9.14285714285714" defaultRowHeight="12" outlineLevelCol="7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8">
      <c r="A3" s="8">
        <v>1</v>
      </c>
      <c r="B3" s="9">
        <v>46119</v>
      </c>
      <c r="C3" s="10" t="s">
        <v>13</v>
      </c>
      <c r="D3" s="11" t="s">
        <v>54</v>
      </c>
      <c r="E3" s="12">
        <v>3</v>
      </c>
      <c r="F3" s="13"/>
      <c r="G3" s="12"/>
      <c r="H3">
        <f t="shared" ref="H3:H14" si="0">SUM(E3:F3)</f>
        <v>3</v>
      </c>
    </row>
    <row r="4" ht="22" customHeight="1" spans="1:8">
      <c r="A4" s="8">
        <v>2</v>
      </c>
      <c r="B4" s="9">
        <v>46119</v>
      </c>
      <c r="C4" s="10" t="s">
        <v>16</v>
      </c>
      <c r="D4" s="11" t="s">
        <v>54</v>
      </c>
      <c r="E4" s="13"/>
      <c r="F4" s="10">
        <v>0</v>
      </c>
      <c r="G4" s="14" t="s">
        <v>55</v>
      </c>
      <c r="H4">
        <f t="shared" si="0"/>
        <v>0</v>
      </c>
    </row>
    <row r="5" ht="22" customHeight="1" spans="1:8">
      <c r="A5" s="8">
        <v>3</v>
      </c>
      <c r="B5" s="9">
        <v>46119</v>
      </c>
      <c r="C5" s="10" t="s">
        <v>17</v>
      </c>
      <c r="D5" s="11" t="s">
        <v>54</v>
      </c>
      <c r="E5" s="12">
        <v>2</v>
      </c>
      <c r="F5" s="13">
        <v>1</v>
      </c>
      <c r="G5" s="14" t="s">
        <v>65</v>
      </c>
      <c r="H5">
        <f t="shared" si="0"/>
        <v>3</v>
      </c>
    </row>
    <row r="6" ht="22" customHeight="1" spans="1:8">
      <c r="A6" s="8">
        <v>4</v>
      </c>
      <c r="B6" s="9">
        <v>46119</v>
      </c>
      <c r="C6" s="10" t="s">
        <v>18</v>
      </c>
      <c r="D6" s="11" t="s">
        <v>54</v>
      </c>
      <c r="E6" s="12">
        <v>3</v>
      </c>
      <c r="F6" s="12"/>
      <c r="G6" s="14"/>
      <c r="H6">
        <f t="shared" si="0"/>
        <v>3</v>
      </c>
    </row>
    <row r="7" ht="22" customHeight="1" spans="1:8">
      <c r="A7" s="8">
        <v>5</v>
      </c>
      <c r="B7" s="9">
        <v>46119</v>
      </c>
      <c r="C7" s="10" t="s">
        <v>39</v>
      </c>
      <c r="D7" s="11" t="s">
        <v>54</v>
      </c>
      <c r="E7" s="13"/>
      <c r="F7" s="12">
        <v>3</v>
      </c>
      <c r="G7" s="10"/>
      <c r="H7">
        <f t="shared" si="0"/>
        <v>3</v>
      </c>
    </row>
    <row r="8" ht="22" customHeight="1" spans="1:8">
      <c r="A8" s="8">
        <v>6</v>
      </c>
      <c r="B8" s="9">
        <v>46119</v>
      </c>
      <c r="C8" s="10" t="s">
        <v>40</v>
      </c>
      <c r="D8" s="11" t="s">
        <v>54</v>
      </c>
      <c r="E8" s="13"/>
      <c r="F8" s="12">
        <v>3</v>
      </c>
      <c r="G8" s="10"/>
      <c r="H8">
        <f t="shared" si="0"/>
        <v>3</v>
      </c>
    </row>
    <row r="9" ht="22" customHeight="1" spans="1:8">
      <c r="A9" s="8">
        <v>7</v>
      </c>
      <c r="B9" s="9">
        <v>46119</v>
      </c>
      <c r="C9" s="10" t="s">
        <v>22</v>
      </c>
      <c r="D9" s="11" t="s">
        <v>54</v>
      </c>
      <c r="E9" s="13"/>
      <c r="F9" s="12">
        <v>3</v>
      </c>
      <c r="G9" s="10"/>
      <c r="H9">
        <f t="shared" si="0"/>
        <v>3</v>
      </c>
    </row>
    <row r="10" customFormat="1" ht="48" customHeight="1" spans="1:8">
      <c r="A10" s="8">
        <v>8</v>
      </c>
      <c r="B10" s="9">
        <v>46119</v>
      </c>
      <c r="C10" s="15" t="s">
        <v>24</v>
      </c>
      <c r="D10" s="11" t="s">
        <v>54</v>
      </c>
      <c r="E10" s="12">
        <v>6</v>
      </c>
      <c r="F10" s="16"/>
      <c r="G10" s="14" t="s">
        <v>69</v>
      </c>
      <c r="H10">
        <f t="shared" si="0"/>
        <v>6</v>
      </c>
    </row>
    <row r="11" customFormat="1" ht="32" customHeight="1" spans="1:8">
      <c r="A11" s="8">
        <v>9</v>
      </c>
      <c r="B11" s="9">
        <v>46119</v>
      </c>
      <c r="C11" s="15" t="s">
        <v>47</v>
      </c>
      <c r="D11" s="11" t="s">
        <v>54</v>
      </c>
      <c r="E11" s="12"/>
      <c r="F11" s="12">
        <v>3</v>
      </c>
      <c r="G11" s="17" t="s">
        <v>68</v>
      </c>
      <c r="H11">
        <f t="shared" si="0"/>
        <v>3</v>
      </c>
    </row>
    <row r="12" customFormat="1" ht="22" customHeight="1" spans="1:8">
      <c r="A12" s="8">
        <v>10</v>
      </c>
      <c r="B12" s="9">
        <v>46119</v>
      </c>
      <c r="C12" s="13" t="s">
        <v>26</v>
      </c>
      <c r="D12" s="11" t="s">
        <v>54</v>
      </c>
      <c r="E12" s="10"/>
      <c r="F12" s="12">
        <v>3</v>
      </c>
      <c r="G12" s="16"/>
      <c r="H12">
        <f t="shared" si="0"/>
        <v>3</v>
      </c>
    </row>
    <row r="13" customFormat="1" ht="22" customHeight="1" spans="1:8">
      <c r="A13" s="8">
        <v>11</v>
      </c>
      <c r="B13" s="9">
        <v>46119</v>
      </c>
      <c r="C13" s="13" t="s">
        <v>28</v>
      </c>
      <c r="D13" s="11" t="s">
        <v>54</v>
      </c>
      <c r="E13" s="10"/>
      <c r="F13" s="12">
        <v>3</v>
      </c>
      <c r="G13" s="16"/>
      <c r="H13">
        <f t="shared" si="0"/>
        <v>3</v>
      </c>
    </row>
    <row r="14" customFormat="1" ht="22" customHeight="1" spans="1:8">
      <c r="A14" s="8">
        <v>12</v>
      </c>
      <c r="B14" s="9">
        <v>46119</v>
      </c>
      <c r="C14" s="13" t="s">
        <v>30</v>
      </c>
      <c r="D14" s="11" t="s">
        <v>54</v>
      </c>
      <c r="E14" s="18"/>
      <c r="F14" s="12">
        <v>3</v>
      </c>
      <c r="G14" s="16"/>
      <c r="H14">
        <f t="shared" si="0"/>
        <v>3</v>
      </c>
    </row>
    <row r="15" customFormat="1" ht="22" customHeight="1" spans="1:8">
      <c r="A15" s="8"/>
      <c r="B15" s="25"/>
      <c r="C15" s="15"/>
      <c r="D15" s="19"/>
      <c r="E15" s="20"/>
      <c r="F15" s="21"/>
      <c r="G15" s="21"/>
    </row>
    <row r="16" customFormat="1" ht="13.5" spans="1:8">
      <c r="E16" s="22">
        <f>SUM(E3:E15)</f>
        <v>14</v>
      </c>
      <c r="F16" s="22">
        <f>SUM(F3:F15)</f>
        <v>22</v>
      </c>
      <c r="H16">
        <f>SUM(H3:H15)</f>
        <v>36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16" sqref="E16:F16"/>
    </sheetView>
  </sheetViews>
  <sheetFormatPr defaultColWidth="9.14285714285714" defaultRowHeight="12" outlineLevelCol="6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7">
      <c r="A3" s="8">
        <v>1</v>
      </c>
      <c r="B3" s="9">
        <v>46121</v>
      </c>
      <c r="C3" s="10" t="s">
        <v>13</v>
      </c>
      <c r="D3" s="11" t="s">
        <v>58</v>
      </c>
      <c r="E3" s="12">
        <v>4</v>
      </c>
      <c r="F3" s="13"/>
      <c r="G3" s="12"/>
    </row>
    <row r="4" ht="22" customHeight="1" spans="1:7">
      <c r="A4" s="8">
        <v>2</v>
      </c>
      <c r="B4" s="9">
        <v>46121</v>
      </c>
      <c r="C4" s="10" t="s">
        <v>16</v>
      </c>
      <c r="D4" s="11" t="s">
        <v>58</v>
      </c>
      <c r="E4" s="13"/>
      <c r="F4" s="10">
        <v>0</v>
      </c>
      <c r="G4" s="14" t="s">
        <v>55</v>
      </c>
    </row>
    <row r="5" ht="22" customHeight="1" spans="1:7">
      <c r="A5" s="8">
        <v>3</v>
      </c>
      <c r="B5" s="9">
        <v>46121</v>
      </c>
      <c r="C5" s="10" t="s">
        <v>17</v>
      </c>
      <c r="D5" s="11" t="s">
        <v>58</v>
      </c>
      <c r="E5" s="12">
        <v>2</v>
      </c>
      <c r="F5" s="13">
        <v>2</v>
      </c>
      <c r="G5" s="14" t="s">
        <v>65</v>
      </c>
    </row>
    <row r="6" ht="22" customHeight="1" spans="1:7">
      <c r="A6" s="8">
        <v>4</v>
      </c>
      <c r="B6" s="9">
        <v>46121</v>
      </c>
      <c r="C6" s="10" t="s">
        <v>18</v>
      </c>
      <c r="D6" s="11" t="s">
        <v>58</v>
      </c>
      <c r="E6" s="12">
        <v>4</v>
      </c>
      <c r="F6" s="12"/>
      <c r="G6" s="14"/>
    </row>
    <row r="7" ht="22" customHeight="1" spans="1:7">
      <c r="A7" s="8">
        <v>5</v>
      </c>
      <c r="B7" s="9">
        <v>46121</v>
      </c>
      <c r="C7" s="10" t="s">
        <v>39</v>
      </c>
      <c r="D7" s="11" t="s">
        <v>58</v>
      </c>
      <c r="E7" s="13"/>
      <c r="F7" s="12">
        <v>4</v>
      </c>
      <c r="G7" s="10"/>
    </row>
    <row r="8" ht="22" customHeight="1" spans="1:7">
      <c r="A8" s="8">
        <v>6</v>
      </c>
      <c r="B8" s="9">
        <v>46121</v>
      </c>
      <c r="C8" s="10" t="s">
        <v>40</v>
      </c>
      <c r="D8" s="11" t="s">
        <v>58</v>
      </c>
      <c r="E8" s="13"/>
      <c r="F8" s="12">
        <v>4</v>
      </c>
      <c r="G8" s="10"/>
    </row>
    <row r="9" ht="22" customHeight="1" spans="1:7">
      <c r="A9" s="8">
        <v>7</v>
      </c>
      <c r="B9" s="9">
        <v>46121</v>
      </c>
      <c r="C9" s="10" t="s">
        <v>22</v>
      </c>
      <c r="D9" s="11" t="s">
        <v>58</v>
      </c>
      <c r="E9" s="13"/>
      <c r="F9" s="12">
        <v>4</v>
      </c>
      <c r="G9" s="10"/>
    </row>
    <row r="10" customFormat="1" ht="48" customHeight="1" spans="1:7">
      <c r="A10" s="8">
        <v>8</v>
      </c>
      <c r="B10" s="9">
        <v>46121</v>
      </c>
      <c r="C10" s="15" t="s">
        <v>24</v>
      </c>
      <c r="D10" s="11" t="s">
        <v>58</v>
      </c>
      <c r="E10" s="12">
        <v>4</v>
      </c>
      <c r="F10" s="16"/>
      <c r="G10" s="14" t="s">
        <v>66</v>
      </c>
    </row>
    <row r="11" customFormat="1" ht="32" customHeight="1" spans="1:7">
      <c r="A11" s="8">
        <v>9</v>
      </c>
      <c r="B11" s="9">
        <v>46121</v>
      </c>
      <c r="C11" s="15" t="s">
        <v>47</v>
      </c>
      <c r="D11" s="11" t="s">
        <v>58</v>
      </c>
      <c r="E11" s="12"/>
      <c r="F11" s="12">
        <v>2</v>
      </c>
      <c r="G11" s="17" t="s">
        <v>68</v>
      </c>
    </row>
    <row r="12" customFormat="1" ht="22" customHeight="1" spans="1:7">
      <c r="A12" s="8">
        <v>10</v>
      </c>
      <c r="B12" s="9">
        <v>46121</v>
      </c>
      <c r="C12" s="13" t="s">
        <v>26</v>
      </c>
      <c r="D12" s="11" t="s">
        <v>58</v>
      </c>
      <c r="E12" s="10"/>
      <c r="F12" s="12">
        <v>4</v>
      </c>
      <c r="G12" s="16"/>
    </row>
    <row r="13" customFormat="1" ht="22" customHeight="1" spans="1:7">
      <c r="A13" s="8">
        <v>11</v>
      </c>
      <c r="B13" s="9">
        <v>46121</v>
      </c>
      <c r="C13" s="13" t="s">
        <v>28</v>
      </c>
      <c r="D13" s="11" t="s">
        <v>58</v>
      </c>
      <c r="E13" s="10"/>
      <c r="F13" s="10">
        <v>4</v>
      </c>
      <c r="G13" s="16"/>
    </row>
    <row r="14" customFormat="1" ht="22" customHeight="1" spans="1:7">
      <c r="A14" s="8">
        <v>12</v>
      </c>
      <c r="B14" s="9">
        <v>46121</v>
      </c>
      <c r="C14" s="13" t="s">
        <v>30</v>
      </c>
      <c r="D14" s="11" t="s">
        <v>58</v>
      </c>
      <c r="E14" s="18"/>
      <c r="F14" s="10">
        <v>4</v>
      </c>
      <c r="G14" s="16"/>
    </row>
    <row r="15" customFormat="1" ht="22" customHeight="1" spans="1:7">
      <c r="A15" s="8"/>
      <c r="B15" s="25"/>
      <c r="C15" s="15"/>
      <c r="D15" s="19"/>
      <c r="E15" s="20"/>
      <c r="F15" s="21"/>
      <c r="G15" s="21"/>
    </row>
    <row r="16" customFormat="1" ht="13.5" spans="1:7">
      <c r="E16" s="22">
        <f>SUM(E3:E15)</f>
        <v>14</v>
      </c>
      <c r="F16" s="22">
        <f>SUM(F3:F15)</f>
        <v>28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23" sqref="G23"/>
    </sheetView>
  </sheetViews>
  <sheetFormatPr defaultColWidth="9.14285714285714" defaultRowHeight="12" outlineLevelCol="7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8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8">
      <c r="A3" s="8">
        <v>1</v>
      </c>
      <c r="B3" s="9">
        <v>46125</v>
      </c>
      <c r="C3" s="10" t="s">
        <v>13</v>
      </c>
      <c r="D3" s="11" t="s">
        <v>54</v>
      </c>
      <c r="E3" s="12">
        <v>3</v>
      </c>
      <c r="F3" s="13"/>
      <c r="G3" s="12"/>
    </row>
    <row r="4" ht="22" customHeight="1" spans="1:8">
      <c r="A4" s="8">
        <v>2</v>
      </c>
      <c r="B4" s="9">
        <v>46125</v>
      </c>
      <c r="C4" s="10" t="s">
        <v>16</v>
      </c>
      <c r="D4" s="11" t="s">
        <v>54</v>
      </c>
      <c r="E4" s="13"/>
      <c r="F4" s="10">
        <v>3</v>
      </c>
      <c r="G4" s="14" t="s">
        <v>55</v>
      </c>
    </row>
    <row r="5" ht="22" customHeight="1" spans="1:8">
      <c r="A5" s="8">
        <v>3</v>
      </c>
      <c r="B5" s="9">
        <v>46125</v>
      </c>
      <c r="C5" s="10" t="s">
        <v>17</v>
      </c>
      <c r="D5" s="11" t="s">
        <v>54</v>
      </c>
      <c r="E5" s="12">
        <v>2</v>
      </c>
      <c r="F5" s="13">
        <v>1</v>
      </c>
      <c r="G5" s="14" t="s">
        <v>65</v>
      </c>
    </row>
    <row r="6" ht="22" customHeight="1" spans="1:8">
      <c r="A6" s="8">
        <v>4</v>
      </c>
      <c r="B6" s="9">
        <v>46125</v>
      </c>
      <c r="C6" s="10" t="s">
        <v>18</v>
      </c>
      <c r="D6" s="11" t="s">
        <v>54</v>
      </c>
      <c r="E6" s="12">
        <v>3</v>
      </c>
      <c r="F6" s="12"/>
      <c r="G6" s="14"/>
    </row>
    <row r="7" ht="22" customHeight="1" spans="1:8">
      <c r="A7" s="8">
        <v>5</v>
      </c>
      <c r="B7" s="9">
        <v>46125</v>
      </c>
      <c r="C7" s="10" t="s">
        <v>39</v>
      </c>
      <c r="D7" s="11" t="s">
        <v>54</v>
      </c>
      <c r="E7" s="13"/>
      <c r="F7" s="12">
        <v>3</v>
      </c>
      <c r="G7" s="10"/>
    </row>
    <row r="8" ht="22" customHeight="1" spans="1:8">
      <c r="A8" s="8">
        <v>6</v>
      </c>
      <c r="B8" s="9">
        <v>46125</v>
      </c>
      <c r="C8" s="10" t="s">
        <v>40</v>
      </c>
      <c r="D8" s="11" t="s">
        <v>54</v>
      </c>
      <c r="E8" s="13"/>
      <c r="F8" s="12">
        <v>3</v>
      </c>
      <c r="G8" s="10"/>
    </row>
    <row r="9" ht="22" customHeight="1" spans="1:8">
      <c r="A9" s="8">
        <v>7</v>
      </c>
      <c r="B9" s="9">
        <v>46125</v>
      </c>
      <c r="C9" s="10" t="s">
        <v>22</v>
      </c>
      <c r="D9" s="11" t="s">
        <v>54</v>
      </c>
      <c r="E9" s="13"/>
      <c r="F9" s="12">
        <v>3</v>
      </c>
      <c r="G9" s="10"/>
    </row>
    <row r="10" customFormat="1" ht="48" customHeight="1" spans="1:8">
      <c r="A10" s="8">
        <v>8</v>
      </c>
      <c r="B10" s="9">
        <v>46125</v>
      </c>
      <c r="C10" s="15" t="s">
        <v>24</v>
      </c>
      <c r="D10" s="11" t="s">
        <v>54</v>
      </c>
      <c r="E10" s="12">
        <v>6</v>
      </c>
      <c r="F10" s="16"/>
      <c r="G10" s="14" t="s">
        <v>69</v>
      </c>
    </row>
    <row r="11" customFormat="1" ht="32" customHeight="1" spans="1:8">
      <c r="A11" s="8">
        <v>9</v>
      </c>
      <c r="B11" s="9">
        <v>46125</v>
      </c>
      <c r="C11" s="15" t="s">
        <v>47</v>
      </c>
      <c r="D11" s="11" t="s">
        <v>54</v>
      </c>
      <c r="E11" s="12"/>
      <c r="F11" s="12">
        <v>3</v>
      </c>
      <c r="G11" s="17" t="s">
        <v>68</v>
      </c>
    </row>
    <row r="12" customFormat="1" ht="22" customHeight="1" spans="1:8">
      <c r="A12" s="8">
        <v>10</v>
      </c>
      <c r="B12" s="9">
        <v>46125</v>
      </c>
      <c r="C12" s="13" t="s">
        <v>26</v>
      </c>
      <c r="D12" s="11" t="s">
        <v>54</v>
      </c>
      <c r="E12" s="10"/>
      <c r="F12" s="12">
        <v>3</v>
      </c>
      <c r="G12" s="16"/>
    </row>
    <row r="13" customFormat="1" ht="22" customHeight="1" spans="1:8">
      <c r="A13" s="8">
        <v>11</v>
      </c>
      <c r="B13" s="9">
        <v>46125</v>
      </c>
      <c r="C13" s="13" t="s">
        <v>28</v>
      </c>
      <c r="D13" s="11" t="s">
        <v>54</v>
      </c>
      <c r="E13" s="10"/>
      <c r="F13" s="12">
        <v>3</v>
      </c>
      <c r="G13" s="16"/>
    </row>
    <row r="14" customFormat="1" ht="22" customHeight="1" spans="1:8">
      <c r="A14" s="8">
        <v>12</v>
      </c>
      <c r="B14" s="9">
        <v>46125</v>
      </c>
      <c r="C14" s="13" t="s">
        <v>30</v>
      </c>
      <c r="D14" s="11" t="s">
        <v>54</v>
      </c>
      <c r="E14" s="18"/>
      <c r="F14" s="12">
        <v>3</v>
      </c>
      <c r="G14" s="16"/>
      <c r="H14" s="24" t="s">
        <v>70</v>
      </c>
    </row>
    <row r="15" customFormat="1" ht="22" customHeight="1" spans="1:8">
      <c r="A15" s="8"/>
      <c r="B15" s="25"/>
      <c r="C15" s="15"/>
      <c r="D15" s="19"/>
      <c r="E15" s="20"/>
      <c r="F15" s="21"/>
      <c r="G15" s="21"/>
    </row>
    <row r="16" customFormat="1" ht="13.5" spans="1:8">
      <c r="E16" s="22">
        <f>SUM(E3:E15)</f>
        <v>14</v>
      </c>
      <c r="F16" s="22">
        <f>SUM(F3:F15)</f>
        <v>25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G16" sqref="G16"/>
    </sheetView>
  </sheetViews>
  <sheetFormatPr defaultColWidth="9.14285714285714" defaultRowHeight="12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9">
      <c r="A3" s="8">
        <v>1</v>
      </c>
      <c r="B3" s="9">
        <v>46128</v>
      </c>
      <c r="C3" s="10" t="s">
        <v>13</v>
      </c>
      <c r="D3" s="11" t="s">
        <v>58</v>
      </c>
      <c r="E3" s="12">
        <v>4</v>
      </c>
      <c r="F3" s="13"/>
      <c r="G3" s="12"/>
      <c r="I3">
        <f>E3+F3</f>
        <v>4</v>
      </c>
    </row>
    <row r="4" ht="22" customHeight="1" spans="1:9">
      <c r="A4" s="8">
        <v>2</v>
      </c>
      <c r="B4" s="9">
        <v>46128</v>
      </c>
      <c r="C4" s="10" t="s">
        <v>16</v>
      </c>
      <c r="D4" s="11" t="s">
        <v>58</v>
      </c>
      <c r="E4" s="13"/>
      <c r="F4" s="10">
        <v>4</v>
      </c>
      <c r="G4" s="14"/>
      <c r="I4">
        <f t="shared" ref="I4:I16" si="0">E4+F4</f>
        <v>4</v>
      </c>
    </row>
    <row r="5" ht="22" customHeight="1" spans="1:9">
      <c r="A5" s="8">
        <v>3</v>
      </c>
      <c r="B5" s="9">
        <v>46128</v>
      </c>
      <c r="C5" s="10" t="s">
        <v>17</v>
      </c>
      <c r="D5" s="11" t="s">
        <v>58</v>
      </c>
      <c r="E5" s="12">
        <v>2</v>
      </c>
      <c r="F5" s="13">
        <v>2</v>
      </c>
      <c r="G5" s="14" t="s">
        <v>65</v>
      </c>
      <c r="I5">
        <f t="shared" si="0"/>
        <v>4</v>
      </c>
    </row>
    <row r="6" ht="22" customHeight="1" spans="1:9">
      <c r="A6" s="8">
        <v>4</v>
      </c>
      <c r="B6" s="9">
        <v>46128</v>
      </c>
      <c r="C6" s="10" t="s">
        <v>18</v>
      </c>
      <c r="D6" s="11" t="s">
        <v>58</v>
      </c>
      <c r="E6" s="12">
        <v>4</v>
      </c>
      <c r="F6" s="12"/>
      <c r="G6" s="14"/>
      <c r="I6">
        <f t="shared" si="0"/>
        <v>4</v>
      </c>
    </row>
    <row r="7" ht="22" customHeight="1" spans="1:9">
      <c r="A7" s="8">
        <v>5</v>
      </c>
      <c r="B7" s="9">
        <v>46128</v>
      </c>
      <c r="C7" s="10" t="s">
        <v>39</v>
      </c>
      <c r="D7" s="11" t="s">
        <v>58</v>
      </c>
      <c r="E7" s="13"/>
      <c r="F7" s="12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46128</v>
      </c>
      <c r="C8" s="10" t="s">
        <v>40</v>
      </c>
      <c r="D8" s="11" t="s">
        <v>58</v>
      </c>
      <c r="E8" s="13"/>
      <c r="F8" s="12">
        <v>4</v>
      </c>
      <c r="G8" s="10"/>
      <c r="I8">
        <f t="shared" si="0"/>
        <v>4</v>
      </c>
    </row>
    <row r="9" ht="22" customHeight="1" spans="1:9">
      <c r="A9" s="8">
        <v>7</v>
      </c>
      <c r="B9" s="9">
        <v>46128</v>
      </c>
      <c r="C9" s="10" t="s">
        <v>22</v>
      </c>
      <c r="D9" s="11" t="s">
        <v>58</v>
      </c>
      <c r="E9" s="13"/>
      <c r="F9" s="12">
        <v>4</v>
      </c>
      <c r="G9" s="10"/>
      <c r="I9">
        <f t="shared" si="0"/>
        <v>4</v>
      </c>
    </row>
    <row r="10" customFormat="1" ht="48" customHeight="1" spans="1:9">
      <c r="A10" s="8">
        <v>8</v>
      </c>
      <c r="B10" s="9">
        <v>46128</v>
      </c>
      <c r="C10" s="15" t="s">
        <v>24</v>
      </c>
      <c r="D10" s="11" t="s">
        <v>58</v>
      </c>
      <c r="E10" s="12">
        <v>4</v>
      </c>
      <c r="F10" s="16"/>
      <c r="G10" s="14" t="s">
        <v>66</v>
      </c>
      <c r="I10">
        <f t="shared" si="0"/>
        <v>4</v>
      </c>
    </row>
    <row r="11" customFormat="1" ht="32" customHeight="1" spans="1:9">
      <c r="A11" s="8">
        <v>9</v>
      </c>
      <c r="B11" s="9">
        <v>46128</v>
      </c>
      <c r="C11" s="15" t="s">
        <v>47</v>
      </c>
      <c r="D11" s="11" t="s">
        <v>58</v>
      </c>
      <c r="E11" s="12"/>
      <c r="F11" s="12">
        <v>2</v>
      </c>
      <c r="G11" s="17" t="s">
        <v>68</v>
      </c>
      <c r="I11">
        <f t="shared" si="0"/>
        <v>2</v>
      </c>
    </row>
    <row r="12" customFormat="1" ht="22" customHeight="1" spans="1:9">
      <c r="A12" s="8">
        <v>10</v>
      </c>
      <c r="B12" s="9">
        <v>46128</v>
      </c>
      <c r="C12" s="13" t="s">
        <v>26</v>
      </c>
      <c r="D12" s="11" t="s">
        <v>58</v>
      </c>
      <c r="E12" s="10"/>
      <c r="F12" s="12">
        <v>4</v>
      </c>
      <c r="G12" s="16"/>
      <c r="I12">
        <f t="shared" si="0"/>
        <v>4</v>
      </c>
    </row>
    <row r="13" customFormat="1" ht="22" customHeight="1" spans="1:9">
      <c r="A13" s="8">
        <v>11</v>
      </c>
      <c r="B13" s="9">
        <v>46128</v>
      </c>
      <c r="C13" s="13" t="s">
        <v>28</v>
      </c>
      <c r="D13" s="11" t="s">
        <v>58</v>
      </c>
      <c r="E13" s="10"/>
      <c r="F13" s="10">
        <v>4</v>
      </c>
      <c r="G13" s="16"/>
      <c r="I13">
        <f t="shared" si="0"/>
        <v>4</v>
      </c>
    </row>
    <row r="14" customFormat="1" ht="22" customHeight="1" spans="1:9">
      <c r="A14" s="8">
        <v>12</v>
      </c>
      <c r="B14" s="9">
        <v>46128</v>
      </c>
      <c r="C14" s="13" t="s">
        <v>30</v>
      </c>
      <c r="D14" s="11" t="s">
        <v>58</v>
      </c>
      <c r="E14" s="18"/>
      <c r="F14" s="10">
        <v>4</v>
      </c>
      <c r="G14" s="16"/>
      <c r="I14">
        <f t="shared" si="0"/>
        <v>4</v>
      </c>
    </row>
    <row r="15" customFormat="1" ht="22" customHeight="1" spans="1:9">
      <c r="A15" s="8"/>
      <c r="B15" s="25"/>
      <c r="C15" s="15"/>
      <c r="D15" s="19"/>
      <c r="E15" s="20"/>
      <c r="F15" s="21"/>
      <c r="G15" s="21"/>
      <c r="I15">
        <f t="shared" si="0"/>
        <v>0</v>
      </c>
    </row>
    <row r="16" customFormat="1" ht="13.5" spans="1:9">
      <c r="E16" s="22">
        <f>SUM(E3:E15)</f>
        <v>14</v>
      </c>
      <c r="F16" s="22">
        <f>SUM(F3:F15)</f>
        <v>32</v>
      </c>
      <c r="I16">
        <f t="shared" si="0"/>
        <v>46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G17" sqref="G17"/>
    </sheetView>
  </sheetViews>
  <sheetFormatPr defaultColWidth="9.14285714285714" defaultRowHeight="12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9">
      <c r="A3" s="8">
        <v>1</v>
      </c>
      <c r="B3" s="9">
        <v>46132</v>
      </c>
      <c r="C3" s="10" t="s">
        <v>13</v>
      </c>
      <c r="D3" s="11" t="s">
        <v>54</v>
      </c>
      <c r="E3" s="12">
        <v>3</v>
      </c>
      <c r="F3" s="13"/>
      <c r="G3" s="12"/>
      <c r="I3">
        <f>E3+F3</f>
        <v>3</v>
      </c>
    </row>
    <row r="4" ht="22" customHeight="1" spans="1:9">
      <c r="A4" s="8">
        <v>2</v>
      </c>
      <c r="B4" s="9">
        <v>46132</v>
      </c>
      <c r="C4" s="10" t="s">
        <v>16</v>
      </c>
      <c r="D4" s="11" t="s">
        <v>54</v>
      </c>
      <c r="E4" s="13"/>
      <c r="F4" s="10">
        <v>3</v>
      </c>
      <c r="G4" s="14"/>
      <c r="I4">
        <f t="shared" ref="I4:I16" si="0">E4+F4</f>
        <v>3</v>
      </c>
    </row>
    <row r="5" ht="22" customHeight="1" spans="1:9">
      <c r="A5" s="8">
        <v>3</v>
      </c>
      <c r="B5" s="9">
        <v>46132</v>
      </c>
      <c r="C5" s="10" t="s">
        <v>17</v>
      </c>
      <c r="D5" s="11" t="s">
        <v>54</v>
      </c>
      <c r="E5" s="12">
        <v>2</v>
      </c>
      <c r="F5" s="13">
        <v>1</v>
      </c>
      <c r="G5" s="14" t="s">
        <v>65</v>
      </c>
      <c r="I5">
        <f t="shared" si="0"/>
        <v>3</v>
      </c>
    </row>
    <row r="6" ht="22" customHeight="1" spans="1:9">
      <c r="A6" s="8">
        <v>4</v>
      </c>
      <c r="B6" s="9">
        <v>46132</v>
      </c>
      <c r="C6" s="10" t="s">
        <v>18</v>
      </c>
      <c r="D6" s="11" t="s">
        <v>54</v>
      </c>
      <c r="E6" s="12">
        <v>3</v>
      </c>
      <c r="F6" s="12"/>
      <c r="G6" s="14"/>
      <c r="I6">
        <f t="shared" si="0"/>
        <v>3</v>
      </c>
    </row>
    <row r="7" ht="22" customHeight="1" spans="1:9">
      <c r="A7" s="8">
        <v>5</v>
      </c>
      <c r="B7" s="9">
        <v>46132</v>
      </c>
      <c r="C7" s="10" t="s">
        <v>39</v>
      </c>
      <c r="D7" s="11" t="s">
        <v>54</v>
      </c>
      <c r="E7" s="13"/>
      <c r="F7" s="12">
        <v>3</v>
      </c>
      <c r="G7" s="10"/>
      <c r="I7">
        <f t="shared" si="0"/>
        <v>3</v>
      </c>
    </row>
    <row r="8" ht="22" customHeight="1" spans="1:9">
      <c r="A8" s="8">
        <v>6</v>
      </c>
      <c r="B8" s="9">
        <v>46132</v>
      </c>
      <c r="C8" s="10" t="s">
        <v>40</v>
      </c>
      <c r="D8" s="11" t="s">
        <v>54</v>
      </c>
      <c r="E8" s="13"/>
      <c r="F8" s="12">
        <v>3</v>
      </c>
      <c r="G8" s="10"/>
      <c r="I8">
        <f t="shared" si="0"/>
        <v>3</v>
      </c>
    </row>
    <row r="9" ht="22" customHeight="1" spans="1:9">
      <c r="A9" s="8">
        <v>7</v>
      </c>
      <c r="B9" s="9">
        <v>46132</v>
      </c>
      <c r="C9" s="10" t="s">
        <v>22</v>
      </c>
      <c r="D9" s="11" t="s">
        <v>54</v>
      </c>
      <c r="E9" s="13"/>
      <c r="F9" s="12">
        <v>3</v>
      </c>
      <c r="G9" s="10"/>
      <c r="I9">
        <f t="shared" si="0"/>
        <v>3</v>
      </c>
    </row>
    <row r="10" customFormat="1" ht="48" customHeight="1" spans="1:9">
      <c r="A10" s="8">
        <v>8</v>
      </c>
      <c r="B10" s="9">
        <v>46132</v>
      </c>
      <c r="C10" s="15" t="s">
        <v>24</v>
      </c>
      <c r="D10" s="11" t="s">
        <v>54</v>
      </c>
      <c r="E10" s="12">
        <v>6</v>
      </c>
      <c r="F10" s="16"/>
      <c r="G10" s="14" t="s">
        <v>69</v>
      </c>
      <c r="I10">
        <f t="shared" si="0"/>
        <v>6</v>
      </c>
    </row>
    <row r="11" customFormat="1" ht="32" customHeight="1" spans="1:9">
      <c r="A11" s="8">
        <v>9</v>
      </c>
      <c r="B11" s="9">
        <v>46132</v>
      </c>
      <c r="C11" s="15" t="s">
        <v>47</v>
      </c>
      <c r="D11" s="11" t="s">
        <v>54</v>
      </c>
      <c r="E11" s="12"/>
      <c r="F11" s="12">
        <v>3</v>
      </c>
      <c r="G11" s="17" t="s">
        <v>68</v>
      </c>
      <c r="I11">
        <f t="shared" si="0"/>
        <v>3</v>
      </c>
    </row>
    <row r="12" customFormat="1" ht="22" customHeight="1" spans="1:9">
      <c r="A12" s="8">
        <v>10</v>
      </c>
      <c r="B12" s="9">
        <v>46132</v>
      </c>
      <c r="C12" s="13" t="s">
        <v>26</v>
      </c>
      <c r="D12" s="11" t="s">
        <v>54</v>
      </c>
      <c r="E12" s="10"/>
      <c r="F12" s="12">
        <v>3</v>
      </c>
      <c r="G12" s="16"/>
      <c r="I12">
        <f t="shared" si="0"/>
        <v>3</v>
      </c>
    </row>
    <row r="13" customFormat="1" ht="22" customHeight="1" spans="1:9">
      <c r="A13" s="8">
        <v>11</v>
      </c>
      <c r="B13" s="9">
        <v>46132</v>
      </c>
      <c r="C13" s="13" t="s">
        <v>28</v>
      </c>
      <c r="D13" s="11" t="s">
        <v>54</v>
      </c>
      <c r="E13" s="10"/>
      <c r="F13" s="12">
        <v>3</v>
      </c>
      <c r="G13" s="16"/>
      <c r="I13">
        <f t="shared" si="0"/>
        <v>3</v>
      </c>
    </row>
    <row r="14" customFormat="1" ht="22" customHeight="1" spans="1:9">
      <c r="A14" s="8">
        <v>12</v>
      </c>
      <c r="B14" s="9">
        <v>46132</v>
      </c>
      <c r="C14" s="13" t="s">
        <v>30</v>
      </c>
      <c r="D14" s="11" t="s">
        <v>54</v>
      </c>
      <c r="E14" s="18"/>
      <c r="F14" s="12">
        <v>3</v>
      </c>
      <c r="G14" s="16"/>
      <c r="H14" s="24"/>
      <c r="I14">
        <f t="shared" si="0"/>
        <v>3</v>
      </c>
    </row>
    <row r="15" customFormat="1" ht="22" customHeight="1" spans="1:9">
      <c r="A15" s="8"/>
      <c r="B15" s="25"/>
      <c r="C15" s="15"/>
      <c r="D15" s="19"/>
      <c r="E15" s="20"/>
      <c r="F15" s="21"/>
      <c r="G15" s="21"/>
      <c r="I15">
        <f t="shared" si="0"/>
        <v>0</v>
      </c>
    </row>
    <row r="16" customFormat="1" ht="13.5" spans="1:9">
      <c r="E16" s="22">
        <f>SUM(E3:E15)</f>
        <v>14</v>
      </c>
      <c r="F16" s="22">
        <f>SUM(F3:F15)</f>
        <v>25</v>
      </c>
      <c r="I16">
        <f t="shared" si="0"/>
        <v>39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F21" sqref="F21"/>
    </sheetView>
  </sheetViews>
  <sheetFormatPr defaultColWidth="9.14285714285714" defaultRowHeight="12"/>
  <cols>
    <col min="1" max="1" width="7.42857142857143" customWidth="1"/>
    <col min="2" max="2" width="14.4285714285714" customWidth="1"/>
    <col min="3" max="3" width="13.1428571428571" customWidth="1"/>
    <col min="4" max="6" width="12.1428571428571" customWidth="1"/>
    <col min="7" max="7" width="25.2857142857143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9">
      <c r="A2" s="5" t="s">
        <v>2</v>
      </c>
      <c r="B2" s="5" t="s">
        <v>36</v>
      </c>
      <c r="C2" s="5" t="s">
        <v>3</v>
      </c>
      <c r="D2" s="6" t="s">
        <v>51</v>
      </c>
      <c r="E2" s="7" t="s">
        <v>52</v>
      </c>
      <c r="F2" s="7" t="s">
        <v>53</v>
      </c>
      <c r="G2" s="7" t="s">
        <v>7</v>
      </c>
    </row>
    <row r="3" ht="22" customHeight="1" spans="1:9">
      <c r="A3" s="8">
        <v>1</v>
      </c>
      <c r="B3" s="9">
        <v>46135</v>
      </c>
      <c r="C3" s="10" t="s">
        <v>13</v>
      </c>
      <c r="D3" s="11" t="s">
        <v>58</v>
      </c>
      <c r="E3" s="12">
        <v>4</v>
      </c>
      <c r="F3" s="13"/>
      <c r="G3" s="12"/>
      <c r="I3">
        <f t="shared" ref="I3:I16" si="0">E3+F3</f>
        <v>4</v>
      </c>
    </row>
    <row r="4" ht="22" customHeight="1" spans="1:9">
      <c r="A4" s="8">
        <v>2</v>
      </c>
      <c r="B4" s="9">
        <v>46135</v>
      </c>
      <c r="C4" s="10" t="s">
        <v>16</v>
      </c>
      <c r="D4" s="11" t="s">
        <v>58</v>
      </c>
      <c r="E4" s="13"/>
      <c r="F4" s="10">
        <v>4</v>
      </c>
      <c r="G4" s="14"/>
      <c r="I4">
        <f t="shared" si="0"/>
        <v>4</v>
      </c>
    </row>
    <row r="5" ht="22" customHeight="1" spans="1:9">
      <c r="A5" s="8">
        <v>3</v>
      </c>
      <c r="B5" s="9">
        <v>46135</v>
      </c>
      <c r="C5" s="10" t="s">
        <v>17</v>
      </c>
      <c r="D5" s="11" t="s">
        <v>58</v>
      </c>
      <c r="E5" s="12">
        <v>2</v>
      </c>
      <c r="F5" s="13">
        <v>2</v>
      </c>
      <c r="G5" s="14" t="s">
        <v>65</v>
      </c>
      <c r="I5">
        <f t="shared" si="0"/>
        <v>4</v>
      </c>
    </row>
    <row r="6" ht="22" customHeight="1" spans="1:9">
      <c r="A6" s="8">
        <v>4</v>
      </c>
      <c r="B6" s="9">
        <v>46135</v>
      </c>
      <c r="C6" s="10" t="s">
        <v>18</v>
      </c>
      <c r="D6" s="11" t="s">
        <v>58</v>
      </c>
      <c r="E6" s="12">
        <v>4</v>
      </c>
      <c r="F6" s="12"/>
      <c r="G6" s="14"/>
      <c r="I6">
        <f t="shared" si="0"/>
        <v>4</v>
      </c>
    </row>
    <row r="7" ht="22" customHeight="1" spans="1:9">
      <c r="A7" s="8">
        <v>5</v>
      </c>
      <c r="B7" s="9">
        <v>46135</v>
      </c>
      <c r="C7" s="10" t="s">
        <v>39</v>
      </c>
      <c r="D7" s="11" t="s">
        <v>58</v>
      </c>
      <c r="E7" s="13"/>
      <c r="F7" s="12">
        <v>4</v>
      </c>
      <c r="G7" s="10"/>
      <c r="I7">
        <f t="shared" si="0"/>
        <v>4</v>
      </c>
    </row>
    <row r="8" ht="22" customHeight="1" spans="1:9">
      <c r="A8" s="8">
        <v>6</v>
      </c>
      <c r="B8" s="9">
        <v>46135</v>
      </c>
      <c r="C8" s="10" t="s">
        <v>40</v>
      </c>
      <c r="D8" s="11" t="s">
        <v>58</v>
      </c>
      <c r="E8" s="13"/>
      <c r="F8" s="12">
        <v>4</v>
      </c>
      <c r="G8" s="10"/>
      <c r="I8">
        <f t="shared" si="0"/>
        <v>4</v>
      </c>
    </row>
    <row r="9" ht="22" customHeight="1" spans="1:9">
      <c r="A9" s="8">
        <v>7</v>
      </c>
      <c r="B9" s="9">
        <v>46135</v>
      </c>
      <c r="C9" s="10" t="s">
        <v>22</v>
      </c>
      <c r="D9" s="11" t="s">
        <v>58</v>
      </c>
      <c r="E9" s="13"/>
      <c r="F9" s="12">
        <v>4</v>
      </c>
      <c r="G9" s="10"/>
      <c r="I9">
        <f t="shared" si="0"/>
        <v>4</v>
      </c>
    </row>
    <row r="10" customFormat="1" ht="48" customHeight="1" spans="1:9">
      <c r="A10" s="8">
        <v>8</v>
      </c>
      <c r="B10" s="9">
        <v>46135</v>
      </c>
      <c r="C10" s="15" t="s">
        <v>24</v>
      </c>
      <c r="D10" s="11" t="s">
        <v>58</v>
      </c>
      <c r="E10" s="12">
        <v>4</v>
      </c>
      <c r="F10" s="16"/>
      <c r="G10" s="14" t="s">
        <v>66</v>
      </c>
      <c r="I10">
        <f t="shared" si="0"/>
        <v>4</v>
      </c>
    </row>
    <row r="11" customFormat="1" ht="32" customHeight="1" spans="1:9">
      <c r="A11" s="8">
        <v>9</v>
      </c>
      <c r="B11" s="9">
        <v>46135</v>
      </c>
      <c r="C11" s="15" t="s">
        <v>47</v>
      </c>
      <c r="D11" s="11" t="s">
        <v>58</v>
      </c>
      <c r="E11" s="12"/>
      <c r="F11" s="12">
        <v>2</v>
      </c>
      <c r="G11" s="17" t="s">
        <v>68</v>
      </c>
      <c r="I11">
        <f t="shared" si="0"/>
        <v>2</v>
      </c>
    </row>
    <row r="12" customFormat="1" ht="22" customHeight="1" spans="1:9">
      <c r="A12" s="8">
        <v>10</v>
      </c>
      <c r="B12" s="9">
        <v>46135</v>
      </c>
      <c r="C12" s="13" t="s">
        <v>26</v>
      </c>
      <c r="D12" s="11" t="s">
        <v>58</v>
      </c>
      <c r="E12" s="10"/>
      <c r="F12" s="12">
        <v>4</v>
      </c>
      <c r="G12" s="16"/>
      <c r="I12">
        <f t="shared" si="0"/>
        <v>4</v>
      </c>
    </row>
    <row r="13" customFormat="1" ht="22" customHeight="1" spans="1:9">
      <c r="A13" s="8">
        <v>11</v>
      </c>
      <c r="B13" s="9">
        <v>46135</v>
      </c>
      <c r="C13" s="13" t="s">
        <v>28</v>
      </c>
      <c r="D13" s="11" t="s">
        <v>58</v>
      </c>
      <c r="E13" s="10"/>
      <c r="F13" s="10">
        <v>4</v>
      </c>
      <c r="G13" s="16"/>
      <c r="I13">
        <f t="shared" si="0"/>
        <v>4</v>
      </c>
    </row>
    <row r="14" customFormat="1" ht="22" customHeight="1" spans="1:9">
      <c r="A14" s="8">
        <v>12</v>
      </c>
      <c r="B14" s="9">
        <v>46135</v>
      </c>
      <c r="C14" s="13" t="s">
        <v>30</v>
      </c>
      <c r="D14" s="11" t="s">
        <v>58</v>
      </c>
      <c r="E14" s="18"/>
      <c r="F14" s="10">
        <v>4</v>
      </c>
      <c r="G14" s="16"/>
      <c r="I14">
        <f t="shared" si="0"/>
        <v>4</v>
      </c>
    </row>
    <row r="15" customFormat="1" ht="22" customHeight="1" spans="1:9">
      <c r="A15" s="8">
        <v>13</v>
      </c>
      <c r="B15" s="9">
        <v>46135</v>
      </c>
      <c r="C15" s="15" t="s">
        <v>48</v>
      </c>
      <c r="D15" s="19" t="s">
        <v>58</v>
      </c>
      <c r="E15" s="20">
        <v>8</v>
      </c>
      <c r="F15" s="21"/>
      <c r="G15" s="21" t="s">
        <v>71</v>
      </c>
      <c r="I15">
        <f t="shared" si="0"/>
        <v>8</v>
      </c>
    </row>
    <row r="16" customFormat="1" ht="13.5" spans="1:9">
      <c r="E16" s="22">
        <f>SUM(E3:E15)</f>
        <v>22</v>
      </c>
      <c r="F16" s="22">
        <f>SUM(F3:F15)</f>
        <v>32</v>
      </c>
      <c r="I16">
        <f t="shared" si="0"/>
        <v>54</v>
      </c>
    </row>
    <row r="19" ht="13.5" spans="3:3">
      <c r="C19" s="23"/>
    </row>
  </sheetData>
  <mergeCells count="1">
    <mergeCell ref="A1:G1"/>
  </mergeCells>
  <conditionalFormatting sqref="C13:C1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签收</vt:lpstr>
      <vt:lpstr>配送汇总</vt:lpstr>
      <vt:lpstr>3.9</vt:lpstr>
      <vt:lpstr>3.12</vt:lpstr>
      <vt:lpstr>3.16</vt:lpstr>
      <vt:lpstr>3.19</vt:lpstr>
      <vt:lpstr>3.23(星期一)</vt:lpstr>
      <vt:lpstr>3.26（四）</vt:lpstr>
      <vt:lpstr>3.30（一）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