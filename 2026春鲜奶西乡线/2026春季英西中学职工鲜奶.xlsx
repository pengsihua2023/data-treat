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963" activeTab="17"/>
  </bookViews>
  <sheets>
    <sheet name="老师" sheetId="1" r:id="rId1"/>
    <sheet name="领奶表" sheetId="5" r:id="rId2"/>
    <sheet name="签收" sheetId="8" r:id="rId3"/>
    <sheet name="配送汇总" sheetId="6" r:id="rId4"/>
    <sheet name="3.9" sheetId="2" r:id="rId5"/>
    <sheet name="3.12" sheetId="7" r:id="rId6"/>
    <sheet name="3.16" sheetId="9" r:id="rId7"/>
    <sheet name="3.19" sheetId="11" r:id="rId8"/>
    <sheet name="3.23" sheetId="12" r:id="rId9"/>
    <sheet name="3.26" sheetId="14" r:id="rId10"/>
    <sheet name="3.30" sheetId="16" r:id="rId11"/>
    <sheet name="4.2" sheetId="17" r:id="rId12"/>
    <sheet name="4.7" sheetId="18" r:id="rId13"/>
    <sheet name="4.9" sheetId="19" r:id="rId14"/>
    <sheet name="4.13" sheetId="20" r:id="rId15"/>
    <sheet name="4.16" sheetId="21" r:id="rId16"/>
    <sheet name="4.20" sheetId="22" r:id="rId17"/>
    <sheet name="4.23" sheetId="23" r:id="rId18"/>
  </sheets>
  <definedNames>
    <definedName name="_xlnm._FilterDatabase" localSheetId="3" hidden="1">配送汇总!$A$1:$Z$32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<sst xmlns="http://schemas.openxmlformats.org/spreadsheetml/2006/main" count="707" uniqueCount="59">
  <si>
    <t>2026春季浛洸镇英西中学教职工巴氏鲜奶补贴订购申请表（20份起送，特殊申请除外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</si>
  <si>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</si>
  <si>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</si>
  <si>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</si>
  <si>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</si>
  <si>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</si>
  <si>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</si>
  <si>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</si>
  <si>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</si>
  <si>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</si>
  <si>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</si>
  <si>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</si>
  <si>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</si>
  <si>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毛君华</t>
  </si>
  <si>
    <t>✓</t>
  </si>
  <si>
    <t>已付款</t>
  </si>
  <si>
    <t>张英爱</t>
  </si>
  <si>
    <t>钟建珊</t>
  </si>
  <si>
    <t>叶本娟1</t>
  </si>
  <si>
    <t>叶本娟2</t>
  </si>
  <si>
    <t>廖春媚</t>
  </si>
  <si>
    <t>苏卫芳</t>
  </si>
  <si>
    <t>梁七妹</t>
  </si>
  <si>
    <t>鲜酸各一半</t>
  </si>
  <si>
    <t>郭建平</t>
  </si>
  <si>
    <t>钟振锋1</t>
  </si>
  <si>
    <t>陈惠云</t>
  </si>
  <si>
    <t>郭秋华</t>
  </si>
  <si>
    <t>谢桂香</t>
  </si>
  <si>
    <t>√</t>
  </si>
  <si>
    <t>叶本娟3</t>
  </si>
  <si>
    <t>付嘉良</t>
  </si>
  <si>
    <t>钟振锋2</t>
  </si>
  <si>
    <t>3/12增订</t>
  </si>
  <si>
    <t>冯秀群</t>
  </si>
  <si>
    <t>3/19增订</t>
  </si>
  <si>
    <t>英西中学教师鲜奶领奶表</t>
  </si>
  <si>
    <t>（ ）月份（填写领取数量/盒）</t>
  </si>
  <si>
    <t>姓名</t>
  </si>
  <si>
    <t>英西中学教师鲜奶赠品领取表</t>
  </si>
  <si>
    <t>配送日期</t>
  </si>
  <si>
    <t>礼品份数
（笔记本+笔）</t>
  </si>
  <si>
    <t>签名</t>
  </si>
  <si>
    <t>钟振锋</t>
  </si>
  <si>
    <t>3.19送</t>
  </si>
  <si>
    <t>订购份数</t>
  </si>
  <si>
    <t>总计</t>
  </si>
  <si>
    <t>剩余</t>
  </si>
  <si>
    <t>配送天数</t>
  </si>
  <si>
    <t>鲜</t>
  </si>
  <si>
    <t>酸</t>
  </si>
  <si>
    <t>3天</t>
  </si>
  <si>
    <t>此份漏送不计入总数</t>
  </si>
  <si>
    <t>补送</t>
  </si>
  <si>
    <t>4天</t>
  </si>
  <si>
    <t>叶本娟3.16送少了3支酸奶，下周一补送</t>
  </si>
  <si>
    <t>叶本娟</t>
  </si>
  <si>
    <t>补发</t>
  </si>
  <si>
    <t>叶本娟3.16送少了3支酸奶，下周一补送，此3不计入总数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</si>
</sst>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3" borderId="1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" borderId="13" applyNumberFormat="0" applyAlignment="0" applyProtection="0">
      <alignment vertical="center"/>
    </xf>
    <xf numFmtId="0" fontId="36" fillId="5" borderId="14" applyNumberFormat="0" applyAlignment="0" applyProtection="0">
      <alignment vertical="center"/>
    </xf>
    <xf numFmtId="0" fontId="37" fillId="5" borderId="13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9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2" fillId="0" borderId="0" xfId="0" applyFont="1">
      <alignment vertical="center"/>
    </xf>
    <xf numFmtId="0" fontId="13" fillId="0" borderId="6" xfId="0" applyFont="1" applyBorder="1" applyAlignment="1">
      <alignment horizontal="center" vertical="center"/>
    </xf>
    <xf numFmtId="58" fontId="13" fillId="0" borderId="5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 wrapText="1"/>
    </xf>
    <xf numFmtId="0" fontId="18" fillId="0" borderId="5" xfId="0" applyNumberFormat="1" applyFont="1" applyFill="1" applyBorder="1" applyAlignment="1">
      <alignment horizontal="center" vertical="center"/>
    </xf>
    <xf numFmtId="0" fontId="18" fillId="0" borderId="5" xfId="0" applyNumberFormat="1" applyFont="1" applyFill="1" applyBorder="1" applyAlignment="1">
      <alignment horizontal="center" vertical="center" wrapText="1"/>
    </xf>
    <xf numFmtId="58" fontId="19" fillId="0" borderId="5" xfId="0" applyNumberFormat="1" applyFont="1" applyFill="1" applyBorder="1" applyAlignment="1">
      <alignment horizontal="center" vertical="center" wrapText="1"/>
    </xf>
    <xf numFmtId="58" fontId="19" fillId="0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58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1" fillId="0" borderId="0" xfId="0" applyNumberFormat="1" applyFont="1" applyFill="1" applyBorder="1" applyAlignment="1">
      <alignment vertical="center"/>
    </xf>
    <xf numFmtId="0" fontId="22" fillId="0" borderId="0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22" fillId="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1" fillId="0" borderId="5" xfId="0" applyNumberFormat="1" applyFont="1" applyFill="1" applyBorder="1" applyAlignment="1">
      <alignment vertical="center"/>
    </xf>
    <xf numFmtId="0" fontId="10" fillId="0" borderId="5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49" fontId="18" fillId="2" borderId="5" xfId="0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K10" sqref="K10"/>
    </sheetView>
  </sheetViews>
  <sheetFormatPr defaultColWidth="14" defaultRowHeight="18" customHeight="1"/>
  <sheetData>
    <row r="1" ht="20.25" customHeight="1" spans="1:25">
      <c r="A1" s="74" t="s">
        <v>0</v>
      </c>
      <c r="B1" s="74"/>
      <c r="C1" s="74"/>
      <c r="D1" s="74"/>
      <c r="E1" s="74"/>
      <c r="F1" s="74"/>
      <c r="G1" s="74"/>
      <c r="H1" s="74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ht="20.25" customHeight="1" spans="1:25">
      <c r="A2" s="76" t="s">
        <v>1</v>
      </c>
      <c r="B2" s="76"/>
      <c r="C2" s="76"/>
      <c r="D2" s="76"/>
      <c r="E2" s="76"/>
      <c r="F2" s="76"/>
      <c r="G2" s="76"/>
      <c r="H2" s="76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customHeight="1" spans="1:25">
      <c r="A3" s="77" t="s">
        <v>2</v>
      </c>
      <c r="B3" s="77" t="s">
        <v>3</v>
      </c>
      <c r="C3" s="77" t="s">
        <v>4</v>
      </c>
      <c r="D3" s="78" t="s">
        <v>5</v>
      </c>
      <c r="E3" s="78"/>
      <c r="F3" s="78" t="s">
        <v>6</v>
      </c>
      <c r="G3" s="78"/>
      <c r="H3" s="77" t="s">
        <v>7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</row>
    <row r="4" ht="54" spans="1:25">
      <c r="A4" s="77"/>
      <c r="B4" s="77"/>
      <c r="C4" s="77"/>
      <c r="D4" s="79" t="s">
        <v>8</v>
      </c>
      <c r="E4" s="79" t="s">
        <v>9</v>
      </c>
      <c r="F4" s="79" t="s">
        <v>10</v>
      </c>
      <c r="G4" s="79" t="s">
        <v>11</v>
      </c>
      <c r="H4" s="80" t="s">
        <v>12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</row>
    <row r="5" customHeight="1" spans="1:25">
      <c r="A5" s="81">
        <v>1</v>
      </c>
      <c r="B5" s="81" t="s">
        <v>13</v>
      </c>
      <c r="C5" s="81">
        <v>15915167667</v>
      </c>
      <c r="D5" s="28"/>
      <c r="E5" s="81" t="s">
        <v>14</v>
      </c>
      <c r="F5" s="81">
        <v>350</v>
      </c>
      <c r="G5" s="81">
        <v>210</v>
      </c>
      <c r="H5" s="28"/>
      <c r="I5" s="82" t="s">
        <v>15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 customHeight="1" spans="1:25">
      <c r="A6" s="81">
        <v>2</v>
      </c>
      <c r="B6" s="81" t="s">
        <v>16</v>
      </c>
      <c r="C6" s="81">
        <v>13425218701</v>
      </c>
      <c r="D6" s="28"/>
      <c r="E6" s="81" t="s">
        <v>14</v>
      </c>
      <c r="F6" s="81">
        <v>350</v>
      </c>
      <c r="G6" s="81">
        <v>210</v>
      </c>
      <c r="H6" s="28"/>
      <c r="I6" s="82" t="s">
        <v>15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</row>
    <row r="7" customHeight="1" spans="1:25">
      <c r="A7" s="81">
        <v>3</v>
      </c>
      <c r="B7" s="81" t="s">
        <v>17</v>
      </c>
      <c r="C7" s="81">
        <v>15218510313</v>
      </c>
      <c r="D7" s="81" t="s">
        <v>14</v>
      </c>
      <c r="E7" s="28"/>
      <c r="F7" s="81">
        <v>350</v>
      </c>
      <c r="G7" s="81">
        <v>210</v>
      </c>
      <c r="H7" s="28"/>
      <c r="I7" s="82" t="s">
        <v>15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</row>
    <row r="8" customHeight="1" spans="1:25">
      <c r="A8" s="81">
        <v>4</v>
      </c>
      <c r="B8" s="81" t="s">
        <v>18</v>
      </c>
      <c r="C8" s="81">
        <v>13653010127</v>
      </c>
      <c r="D8" s="28"/>
      <c r="E8" s="81" t="s">
        <v>14</v>
      </c>
      <c r="F8" s="81">
        <v>350</v>
      </c>
      <c r="G8" s="81">
        <v>210</v>
      </c>
      <c r="H8" s="28"/>
      <c r="I8" s="82" t="s">
        <v>15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</row>
    <row r="9" customHeight="1" spans="1:25">
      <c r="A9" s="81">
        <v>5</v>
      </c>
      <c r="B9" s="81" t="s">
        <v>19</v>
      </c>
      <c r="C9" s="81">
        <v>13653010127</v>
      </c>
      <c r="D9" s="28"/>
      <c r="E9" s="81" t="s">
        <v>14</v>
      </c>
      <c r="F9" s="81">
        <v>350</v>
      </c>
      <c r="G9" s="81">
        <v>210</v>
      </c>
      <c r="H9" s="28"/>
      <c r="I9" s="82" t="s">
        <v>15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</row>
    <row r="10" customHeight="1" spans="1:25">
      <c r="A10" s="81">
        <v>6</v>
      </c>
      <c r="B10" s="81" t="s">
        <v>20</v>
      </c>
      <c r="C10" s="81">
        <v>13680036131</v>
      </c>
      <c r="D10" s="81" t="s">
        <v>14</v>
      </c>
      <c r="E10" s="81" t="s">
        <v>14</v>
      </c>
      <c r="F10" s="81">
        <v>350</v>
      </c>
      <c r="G10" s="81">
        <v>210</v>
      </c>
      <c r="H10" s="28"/>
      <c r="I10" s="82" t="s">
        <v>15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</row>
    <row r="11" customHeight="1" spans="1:25">
      <c r="A11" s="81">
        <v>7</v>
      </c>
      <c r="B11" s="81" t="s">
        <v>21</v>
      </c>
      <c r="C11" s="81">
        <v>13416537777</v>
      </c>
      <c r="D11" s="81" t="s">
        <v>14</v>
      </c>
      <c r="E11" s="28"/>
      <c r="F11" s="81">
        <v>350</v>
      </c>
      <c r="G11" s="81">
        <v>210</v>
      </c>
      <c r="H11" s="28"/>
      <c r="I11" s="82" t="s">
        <v>15</v>
      </c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</row>
    <row r="12" customHeight="1" spans="1:25">
      <c r="A12" s="81">
        <v>8</v>
      </c>
      <c r="B12" s="81" t="s">
        <v>22</v>
      </c>
      <c r="C12" s="81">
        <v>13729662622</v>
      </c>
      <c r="D12" s="81" t="s">
        <v>14</v>
      </c>
      <c r="E12" s="81" t="s">
        <v>14</v>
      </c>
      <c r="F12" s="81">
        <v>350</v>
      </c>
      <c r="G12" s="81">
        <v>210</v>
      </c>
      <c r="H12" s="28" t="s">
        <v>23</v>
      </c>
      <c r="I12" s="82" t="s">
        <v>15</v>
      </c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</row>
    <row r="13" customHeight="1" spans="1:25">
      <c r="A13" s="81">
        <v>9</v>
      </c>
      <c r="B13" s="83" t="s">
        <v>24</v>
      </c>
      <c r="C13" s="83">
        <v>13542455367</v>
      </c>
      <c r="D13" s="84"/>
      <c r="E13" s="83" t="s">
        <v>14</v>
      </c>
      <c r="F13" s="83">
        <v>350</v>
      </c>
      <c r="G13" s="83">
        <v>210</v>
      </c>
      <c r="H13" s="84"/>
      <c r="I13" s="82" t="s">
        <v>15</v>
      </c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</row>
    <row r="14" customHeight="1" spans="1:25">
      <c r="A14" s="81">
        <v>10</v>
      </c>
      <c r="B14" s="81" t="s">
        <v>25</v>
      </c>
      <c r="C14" s="81">
        <v>15016695698</v>
      </c>
      <c r="D14" s="28"/>
      <c r="E14" s="81" t="s">
        <v>14</v>
      </c>
      <c r="F14" s="81">
        <v>350</v>
      </c>
      <c r="G14" s="81">
        <v>210</v>
      </c>
      <c r="H14" s="28"/>
      <c r="I14" s="82" t="s">
        <v>15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</row>
    <row r="15" customHeight="1" spans="1:25">
      <c r="A15" s="81">
        <v>11</v>
      </c>
      <c r="B15" s="81" t="s">
        <v>26</v>
      </c>
      <c r="C15" s="81">
        <v>13413505810</v>
      </c>
      <c r="D15" s="28"/>
      <c r="E15" s="81" t="s">
        <v>14</v>
      </c>
      <c r="F15" s="81">
        <v>350</v>
      </c>
      <c r="G15" s="81">
        <v>210</v>
      </c>
      <c r="H15" s="28"/>
      <c r="I15" s="82" t="s">
        <v>15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</row>
    <row r="16" customHeight="1" spans="1:25">
      <c r="A16" s="81">
        <v>12</v>
      </c>
      <c r="B16" s="81" t="s">
        <v>27</v>
      </c>
      <c r="C16" s="81">
        <v>15813251862</v>
      </c>
      <c r="D16" s="28"/>
      <c r="E16" s="81" t="s">
        <v>14</v>
      </c>
      <c r="F16" s="81">
        <v>350</v>
      </c>
      <c r="G16" s="81">
        <v>210</v>
      </c>
      <c r="H16" s="28"/>
      <c r="I16" s="82" t="s">
        <v>15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</row>
    <row r="17" customHeight="1" spans="1:25">
      <c r="A17" s="81">
        <v>13</v>
      </c>
      <c r="B17" s="81" t="s">
        <v>28</v>
      </c>
      <c r="C17" s="81">
        <v>13553987869</v>
      </c>
      <c r="D17" s="81" t="s">
        <v>29</v>
      </c>
      <c r="E17" s="81" t="s">
        <v>29</v>
      </c>
      <c r="F17" s="81">
        <v>350</v>
      </c>
      <c r="G17" s="81">
        <v>210</v>
      </c>
      <c r="H17" s="28"/>
      <c r="I17" s="82" t="s">
        <v>15</v>
      </c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</row>
    <row r="18" customHeight="1" spans="1:25">
      <c r="A18" s="81">
        <v>14</v>
      </c>
      <c r="B18" s="81" t="s">
        <v>30</v>
      </c>
      <c r="C18" s="81">
        <v>13653010127</v>
      </c>
      <c r="D18" s="28"/>
      <c r="E18" s="81" t="s">
        <v>14</v>
      </c>
      <c r="F18" s="81">
        <v>350</v>
      </c>
      <c r="G18" s="81">
        <v>210</v>
      </c>
      <c r="H18" s="28"/>
      <c r="I18" s="82" t="s">
        <v>15</v>
      </c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</row>
    <row r="19" customHeight="1" spans="1:25">
      <c r="A19" s="81">
        <v>15</v>
      </c>
      <c r="B19" s="85" t="s">
        <v>31</v>
      </c>
      <c r="C19" s="82"/>
      <c r="D19" s="86" t="s">
        <v>14</v>
      </c>
      <c r="E19" s="82"/>
      <c r="F19" s="86">
        <v>350</v>
      </c>
      <c r="G19" s="86">
        <v>210</v>
      </c>
      <c r="H19" s="82" t="s">
        <v>15</v>
      </c>
      <c r="I19" s="82" t="s">
        <v>15</v>
      </c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</row>
    <row r="20" customHeight="1" spans="1:25">
      <c r="A20" s="81">
        <v>16</v>
      </c>
      <c r="B20" s="81" t="s">
        <v>32</v>
      </c>
      <c r="C20" s="81">
        <v>15016695698</v>
      </c>
      <c r="D20" s="28"/>
      <c r="E20" s="81" t="s">
        <v>14</v>
      </c>
      <c r="F20" s="81">
        <v>350</v>
      </c>
      <c r="G20" s="81">
        <v>210</v>
      </c>
      <c r="H20" s="28" t="s">
        <v>33</v>
      </c>
      <c r="I20" s="82" t="s">
        <v>15</v>
      </c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</row>
    <row r="21" customHeight="1" spans="1:25">
      <c r="A21" s="81">
        <v>17</v>
      </c>
      <c r="B21" s="28" t="s">
        <v>34</v>
      </c>
      <c r="C21" s="28">
        <v>13603005584</v>
      </c>
      <c r="D21" s="81" t="s">
        <v>14</v>
      </c>
      <c r="E21" s="87"/>
      <c r="F21" s="81">
        <v>350</v>
      </c>
      <c r="G21" s="81">
        <v>210</v>
      </c>
      <c r="H21" s="28" t="s">
        <v>35</v>
      </c>
      <c r="I21" s="82" t="s">
        <v>15</v>
      </c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</row>
    <row r="22" customHeight="1" spans="1:25">
      <c r="A22" s="81">
        <v>18</v>
      </c>
      <c r="B22" s="28"/>
      <c r="C22" s="28"/>
      <c r="D22" s="28"/>
      <c r="E22" s="28"/>
      <c r="F22" s="81">
        <v>350</v>
      </c>
      <c r="G22" s="81">
        <v>210</v>
      </c>
      <c r="H22" s="28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</row>
    <row r="23" customHeight="1" spans="1:25">
      <c r="A23" s="81">
        <v>19</v>
      </c>
      <c r="B23" s="28"/>
      <c r="C23" s="28"/>
      <c r="D23" s="28"/>
      <c r="E23" s="28"/>
      <c r="F23" s="81">
        <v>350</v>
      </c>
      <c r="G23" s="81">
        <v>210</v>
      </c>
      <c r="H23" s="28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</row>
    <row r="24" customHeight="1" spans="1:25">
      <c r="A24" s="81">
        <v>20</v>
      </c>
      <c r="B24" s="28"/>
      <c r="C24" s="28"/>
      <c r="D24" s="28"/>
      <c r="E24" s="28"/>
      <c r="F24" s="81">
        <v>350</v>
      </c>
      <c r="G24" s="81">
        <v>210</v>
      </c>
      <c r="H24" s="28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</row>
    <row r="25" customHeight="1" spans="1:25">
      <c r="A25" s="81">
        <v>21</v>
      </c>
      <c r="B25" s="28"/>
      <c r="C25" s="28"/>
      <c r="D25" s="28"/>
      <c r="E25" s="28"/>
      <c r="F25" s="81">
        <v>350</v>
      </c>
      <c r="G25" s="81">
        <v>210</v>
      </c>
      <c r="H25" s="28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</row>
    <row r="26" customHeight="1" spans="1:25">
      <c r="A26" s="81">
        <v>22</v>
      </c>
      <c r="B26" s="28"/>
      <c r="C26" s="28"/>
      <c r="D26" s="28"/>
      <c r="E26" s="28"/>
      <c r="F26" s="81">
        <v>350</v>
      </c>
      <c r="G26" s="81">
        <v>210</v>
      </c>
      <c r="H26" s="28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</row>
    <row r="27" customHeight="1" spans="1:25">
      <c r="A27" s="81">
        <v>23</v>
      </c>
      <c r="B27" s="28"/>
      <c r="C27" s="28"/>
      <c r="D27" s="28"/>
      <c r="E27" s="28"/>
      <c r="F27" s="81">
        <v>350</v>
      </c>
      <c r="G27" s="81">
        <v>210</v>
      </c>
      <c r="H27" s="28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</row>
    <row r="28" customHeight="1" spans="1:25">
      <c r="A28" s="81">
        <v>24</v>
      </c>
      <c r="B28" s="28"/>
      <c r="C28" s="28"/>
      <c r="D28" s="28"/>
      <c r="E28" s="28"/>
      <c r="F28" s="81">
        <v>350</v>
      </c>
      <c r="G28" s="81">
        <v>210</v>
      </c>
      <c r="H28" s="28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</row>
    <row r="29" customHeight="1" spans="1:25">
      <c r="A29" s="81">
        <v>31</v>
      </c>
      <c r="B29" s="28"/>
      <c r="C29" s="28"/>
      <c r="D29" s="28"/>
      <c r="E29" s="28"/>
      <c r="F29" s="81">
        <v>350</v>
      </c>
      <c r="G29" s="81">
        <v>210</v>
      </c>
      <c r="H29" s="28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</row>
    <row r="30" customHeight="1" spans="1:25">
      <c r="A30" s="81">
        <v>32</v>
      </c>
      <c r="B30" s="28"/>
      <c r="C30" s="28"/>
      <c r="D30" s="28"/>
      <c r="E30" s="28"/>
      <c r="F30" s="81">
        <v>350</v>
      </c>
      <c r="G30" s="81">
        <v>210</v>
      </c>
      <c r="H30" s="28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</row>
    <row r="31" customHeight="1" spans="1:25">
      <c r="A31" s="81">
        <v>33</v>
      </c>
      <c r="B31" s="28"/>
      <c r="C31" s="28"/>
      <c r="D31" s="28"/>
      <c r="E31" s="28"/>
      <c r="F31" s="81">
        <v>350</v>
      </c>
      <c r="G31" s="81">
        <v>210</v>
      </c>
      <c r="H31" s="28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</row>
    <row r="32" customHeight="1" spans="1:25">
      <c r="A32" s="81">
        <v>34</v>
      </c>
      <c r="B32" s="28"/>
      <c r="C32" s="28"/>
      <c r="D32" s="28"/>
      <c r="E32" s="28"/>
      <c r="F32" s="81">
        <v>350</v>
      </c>
      <c r="G32" s="81">
        <v>210</v>
      </c>
      <c r="H32" s="28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</row>
    <row r="33" customHeight="1" spans="1:25">
      <c r="A33" s="81">
        <v>35</v>
      </c>
      <c r="B33" s="28"/>
      <c r="C33" s="28"/>
      <c r="D33" s="28"/>
      <c r="E33" s="28"/>
      <c r="F33" s="81">
        <v>350</v>
      </c>
      <c r="G33" s="81">
        <v>210</v>
      </c>
      <c r="H33" s="28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</row>
    <row r="34" customHeight="1" spans="1:25">
      <c r="A34" s="81">
        <v>36</v>
      </c>
      <c r="B34" s="28"/>
      <c r="C34" s="28"/>
      <c r="D34" s="28"/>
      <c r="E34" s="28"/>
      <c r="F34" s="81">
        <v>350</v>
      </c>
      <c r="G34" s="81">
        <v>210</v>
      </c>
      <c r="H34" s="28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</row>
    <row r="35" customHeight="1" spans="1:25">
      <c r="A35" s="81">
        <v>37</v>
      </c>
      <c r="B35" s="28"/>
      <c r="C35" s="28"/>
      <c r="D35" s="28"/>
      <c r="E35" s="28"/>
      <c r="F35" s="81">
        <v>350</v>
      </c>
      <c r="G35" s="81">
        <v>210</v>
      </c>
      <c r="H35" s="28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</row>
    <row r="36" customHeight="1" spans="1:25">
      <c r="A36" s="81">
        <v>38</v>
      </c>
      <c r="B36" s="28"/>
      <c r="C36" s="28"/>
      <c r="D36" s="28"/>
      <c r="E36" s="28"/>
      <c r="F36" s="81">
        <v>350</v>
      </c>
      <c r="G36" s="81">
        <v>210</v>
      </c>
      <c r="H36" s="28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</row>
    <row r="37" customHeight="1" spans="1:25">
      <c r="A37" s="81">
        <v>39</v>
      </c>
      <c r="B37" s="28"/>
      <c r="C37" s="28"/>
      <c r="D37" s="28"/>
      <c r="E37" s="28"/>
      <c r="F37" s="81">
        <v>350</v>
      </c>
      <c r="G37" s="81">
        <v>210</v>
      </c>
      <c r="H37" s="28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</row>
    <row r="38" customHeight="1" spans="1:25">
      <c r="A38" s="81">
        <v>40</v>
      </c>
      <c r="B38" s="28"/>
      <c r="C38" s="28"/>
      <c r="D38" s="28"/>
      <c r="E38" s="28"/>
      <c r="F38" s="81">
        <v>350</v>
      </c>
      <c r="G38" s="81">
        <v>210</v>
      </c>
      <c r="H38" s="28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</row>
    <row r="39" customHeight="1" spans="1:25">
      <c r="A39" s="81">
        <v>41</v>
      </c>
      <c r="B39" s="28"/>
      <c r="C39" s="28"/>
      <c r="D39" s="28"/>
      <c r="E39" s="28"/>
      <c r="F39" s="81">
        <v>350</v>
      </c>
      <c r="G39" s="81">
        <v>210</v>
      </c>
      <c r="H39" s="28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</row>
    <row r="40" customHeight="1" spans="1:25">
      <c r="A40" s="81">
        <v>42</v>
      </c>
      <c r="B40" s="28"/>
      <c r="C40" s="28"/>
      <c r="D40" s="28"/>
      <c r="E40" s="28"/>
      <c r="F40" s="81">
        <v>350</v>
      </c>
      <c r="G40" s="81">
        <v>210</v>
      </c>
      <c r="H40" s="28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</row>
    <row r="41" customHeight="1" spans="1:25">
      <c r="A41" s="81">
        <v>43</v>
      </c>
      <c r="B41" s="28"/>
      <c r="C41" s="28"/>
      <c r="D41" s="28"/>
      <c r="E41" s="28"/>
      <c r="F41" s="81">
        <v>350</v>
      </c>
      <c r="G41" s="81">
        <v>210</v>
      </c>
      <c r="H41" s="28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</row>
    <row r="42" customHeight="1" spans="1:25">
      <c r="A42" s="81">
        <v>44</v>
      </c>
      <c r="B42" s="28"/>
      <c r="C42" s="28"/>
      <c r="D42" s="28"/>
      <c r="E42" s="28"/>
      <c r="F42" s="81">
        <v>350</v>
      </c>
      <c r="G42" s="81">
        <v>210</v>
      </c>
      <c r="H42" s="28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 customHeight="1" spans="1:25">
      <c r="A43" s="81">
        <v>45</v>
      </c>
      <c r="B43" s="28"/>
      <c r="C43" s="28"/>
      <c r="D43" s="28"/>
      <c r="E43" s="28"/>
      <c r="F43" s="81">
        <v>350</v>
      </c>
      <c r="G43" s="81">
        <v>210</v>
      </c>
      <c r="H43" s="28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 customHeight="1" spans="1:25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 customHeight="1" spans="1:2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 customHeight="1" spans="1:25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 customHeight="1" spans="1:25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 customHeight="1" spans="1:25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 customHeight="1" spans="1:25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 customHeight="1" spans="1:25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 customHeight="1" spans="1:25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 customHeight="1" spans="1:25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 customHeight="1" spans="1:25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 customHeight="1" spans="1:25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 customHeight="1" spans="1:2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 customHeight="1" spans="1:25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 customHeight="1" spans="1:25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 customHeight="1" spans="1:25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 customHeight="1" spans="1:25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 customHeight="1" spans="1:25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 customHeight="1" spans="1:25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</row>
    <row r="62" customHeight="1" spans="1:25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 customHeight="1" spans="1:25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 customHeight="1" spans="1:25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</row>
    <row r="65" customHeight="1" spans="1:2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</row>
    <row r="66" customHeight="1" spans="1:25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</row>
    <row r="67" customHeight="1" spans="1:25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</row>
    <row r="68" customHeight="1" spans="1:25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</row>
    <row r="69" customHeight="1" spans="1:25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</row>
    <row r="70" customHeight="1" spans="1:25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</row>
    <row r="71" customHeight="1" spans="1:25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</row>
    <row r="72" customHeight="1" spans="1:25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</row>
    <row r="73" customHeight="1" spans="1:25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</row>
    <row r="74" customHeight="1" spans="1:25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</row>
    <row r="75" customHeight="1" spans="1:2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</row>
    <row r="76" customHeight="1" spans="1:25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</row>
    <row r="77" customHeight="1" spans="1:25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</row>
    <row r="78" customHeight="1" spans="1:25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</row>
    <row r="79" customHeight="1" spans="1:25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</row>
    <row r="80" customHeight="1" spans="1:25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</row>
    <row r="81" customHeight="1" spans="1:25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</row>
    <row r="82" customHeight="1" spans="1:25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</row>
    <row r="83" customHeight="1" spans="1:25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</row>
    <row r="84" customHeight="1" spans="1:25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</row>
    <row r="85" customHeight="1" spans="1:2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</row>
    <row r="86" customHeight="1" spans="1:25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</row>
    <row r="87" customHeight="1" spans="1:25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</row>
    <row r="88" customHeight="1" spans="1:25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</row>
    <row r="89" customHeight="1" spans="1:25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</row>
    <row r="90" customHeight="1" spans="1:25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</row>
    <row r="91" customHeight="1" spans="1:25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</row>
    <row r="92" customHeight="1" spans="1:25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</row>
    <row r="93" customHeight="1" spans="1:25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</row>
    <row r="94" customHeight="1" spans="1:25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</row>
    <row r="95" customHeight="1" spans="1:2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</row>
    <row r="96" customHeight="1" spans="1:25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</row>
    <row r="97" customHeight="1" spans="1:25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</row>
    <row r="98" customHeight="1" spans="1:25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</row>
    <row r="99" customHeight="1" spans="1:25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</row>
    <row r="100" customHeight="1" spans="1:25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</row>
    <row r="101" customHeight="1" spans="1:25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</row>
    <row r="102" customHeight="1" spans="1:25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</row>
    <row r="103" customHeight="1" spans="1:25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</row>
    <row r="104" customHeight="1" spans="1:25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</row>
    <row r="105" customHeight="1" spans="1:2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</row>
    <row r="106" customHeight="1" spans="1:25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</row>
    <row r="107" customHeight="1" spans="1:25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</row>
    <row r="108" customHeight="1" spans="1:25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</row>
    <row r="109" customHeight="1" spans="1:25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</row>
    <row r="110" customHeight="1" spans="1:25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</row>
    <row r="111" customHeight="1" spans="1:25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</row>
    <row r="112" customHeight="1" spans="1:25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</row>
    <row r="113" customHeight="1" spans="1:25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</row>
    <row r="114" customHeight="1" spans="1:25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</row>
    <row r="115" customHeight="1" spans="1:2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</row>
    <row r="116" customHeight="1" spans="1:25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</row>
    <row r="117" customHeight="1" spans="1:25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</row>
    <row r="118" customHeight="1" spans="1:25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</row>
    <row r="119" customHeight="1" spans="1:25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</row>
    <row r="120" customHeight="1" spans="1:25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</row>
    <row r="121" customHeight="1" spans="1:25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</row>
    <row r="122" customHeight="1" spans="1:25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</row>
    <row r="123" customHeight="1" spans="1:25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</row>
    <row r="124" customHeight="1" spans="1:25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</row>
    <row r="125" customHeight="1" spans="1: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</row>
    <row r="126" customHeight="1" spans="1:25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</row>
    <row r="127" customHeight="1" spans="1:25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</row>
    <row r="128" customHeight="1" spans="1:25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</row>
    <row r="129" customHeight="1" spans="1:25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</row>
    <row r="130" customHeight="1" spans="1:25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</row>
    <row r="131" customHeight="1" spans="1:25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</row>
    <row r="132" customHeight="1" spans="1:25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</row>
    <row r="133" customHeight="1" spans="1:25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</row>
    <row r="134" customHeight="1" spans="1:25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</row>
    <row r="135" customHeight="1" spans="1:2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</row>
    <row r="136" customHeight="1" spans="1:25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</row>
    <row r="137" customHeight="1" spans="1:25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</row>
    <row r="138" customHeight="1" spans="1:25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</row>
    <row r="139" customHeight="1" spans="1:25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</row>
    <row r="140" customHeight="1" spans="1:25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</row>
    <row r="141" customHeight="1" spans="1:25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</row>
    <row r="142" customHeight="1" spans="1:25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</row>
    <row r="143" customHeight="1" spans="1:25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</row>
    <row r="144" customHeight="1" spans="1:25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</row>
    <row r="145" customHeight="1" spans="1:2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</row>
    <row r="146" customHeight="1" spans="1:25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</row>
    <row r="147" customHeight="1" spans="1:25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</row>
    <row r="148" customHeight="1" spans="1:25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</row>
    <row r="149" customHeight="1" spans="1:25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</row>
    <row r="150" customHeight="1" spans="1:25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</row>
    <row r="151" customHeight="1" spans="1:25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</row>
    <row r="152" customHeight="1" spans="1:25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</row>
    <row r="153" customHeight="1" spans="1:25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</row>
    <row r="154" customHeight="1" spans="1:25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</row>
    <row r="155" customHeight="1" spans="1:2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</row>
    <row r="156" customHeight="1" spans="1:25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</row>
    <row r="157" customHeight="1" spans="1:25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</row>
    <row r="158" customHeight="1" spans="1:25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</row>
    <row r="159" customHeight="1" spans="1:25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</row>
    <row r="160" customHeight="1" spans="1:25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</row>
    <row r="161" customHeight="1" spans="1:25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</row>
    <row r="162" customHeight="1" spans="1:25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</row>
    <row r="163" customHeight="1" spans="1:25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</row>
    <row r="164" customHeight="1" spans="1:25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</row>
    <row r="165" customHeight="1" spans="1:2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</row>
    <row r="166" customHeight="1" spans="1:25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</row>
    <row r="167" customHeight="1" spans="1:25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</row>
    <row r="168" customHeight="1" spans="1:25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</row>
    <row r="169" customHeight="1" spans="1:25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</row>
    <row r="170" customHeight="1" spans="1:25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</row>
    <row r="171" customHeight="1" spans="1:25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</row>
    <row r="172" customHeight="1" spans="1:25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</row>
    <row r="173" customHeight="1" spans="1:25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</row>
    <row r="174" customHeight="1" spans="1:25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</row>
    <row r="175" customHeight="1" spans="1:2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</row>
    <row r="176" customHeight="1" spans="1:25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</row>
    <row r="177" customHeight="1" spans="1:25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</row>
    <row r="178" customHeight="1" spans="1:25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</row>
    <row r="179" customHeight="1" spans="1:25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</row>
    <row r="180" customHeight="1" spans="1:25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</row>
    <row r="181" customHeight="1" spans="1:25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</row>
    <row r="182" customHeight="1" spans="1:25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</row>
    <row r="183" customHeight="1" spans="1:25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</row>
    <row r="184" customHeight="1" spans="1:25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</row>
    <row r="185" customHeight="1" spans="1:2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</row>
    <row r="186" customHeight="1" spans="1:25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</row>
    <row r="187" customHeight="1" spans="1:25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</row>
    <row r="188" customHeight="1" spans="1:25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</row>
    <row r="189" customHeight="1" spans="1:25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66" customWidth="1"/>
    <col min="2" max="2" width="13.7142857142857" style="66" customWidth="1"/>
    <col min="3" max="3" width="4.42857142857143" style="64" customWidth="1"/>
    <col min="4" max="6" width="4" style="64" customWidth="1"/>
    <col min="7" max="7" width="3.87619047619048" style="64" customWidth="1"/>
    <col min="8" max="12" width="4.28571428571429" style="64" customWidth="1"/>
    <col min="13" max="13" width="4.00952380952381" style="64" customWidth="1"/>
    <col min="14" max="14" width="4.28571428571429" style="64" customWidth="1"/>
    <col min="15" max="15" width="4.00952380952381" style="64" customWidth="1"/>
    <col min="16" max="16" width="3.87619047619048" style="64" customWidth="1"/>
    <col min="17" max="17" width="4.28571428571429" style="64" customWidth="1"/>
    <col min="18" max="19" width="4.14285714285714" style="64" customWidth="1"/>
    <col min="20" max="20" width="4.57142857142857" style="64" customWidth="1"/>
    <col min="21" max="25" width="4.14285714285714" style="64" customWidth="1"/>
    <col min="26" max="27" width="4.57142857142857" style="64" customWidth="1"/>
    <col min="28" max="28" width="4.16190476190476" style="64" customWidth="1"/>
    <col min="29" max="30" width="4.28571428571429" style="64" customWidth="1"/>
    <col min="31" max="31" width="4.00952380952381" style="64" customWidth="1"/>
    <col min="32" max="32" width="3.85714285714286" style="64" customWidth="1"/>
    <col min="33" max="34" width="4.28571428571429" style="64" customWidth="1"/>
    <col min="35" max="36" width="4.57142857142857" style="64" customWidth="1"/>
    <col min="37" max="37" width="4.28571428571429" style="64" customWidth="1"/>
    <col min="38" max="38" width="3.85714285714286" style="64" customWidth="1"/>
    <col min="39" max="16384" width="10.2857142857143" style="64"/>
  </cols>
  <sheetData>
    <row r="1" s="64" customFormat="1" ht="26" customHeight="1" spans="1:38">
      <c r="A1" s="58" t="s">
        <v>36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</row>
    <row r="2" s="64" customFormat="1" ht="26" customHeight="1" spans="1:38">
      <c r="A2" s="67" t="s">
        <v>37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</row>
    <row r="3" s="65" customFormat="1" ht="40" customHeight="1" spans="1:38">
      <c r="A3" s="68" t="s">
        <v>2</v>
      </c>
      <c r="B3" s="68" t="s">
        <v>38</v>
      </c>
      <c r="C3" s="59">
        <v>1</v>
      </c>
      <c r="D3" s="59">
        <v>2</v>
      </c>
      <c r="E3" s="59">
        <v>3</v>
      </c>
      <c r="F3" s="59">
        <v>4</v>
      </c>
      <c r="G3" s="59">
        <v>5</v>
      </c>
      <c r="H3" s="59">
        <v>6</v>
      </c>
      <c r="I3" s="59">
        <v>7</v>
      </c>
      <c r="J3" s="59">
        <v>8</v>
      </c>
      <c r="K3" s="59">
        <v>9</v>
      </c>
      <c r="L3" s="59">
        <v>10</v>
      </c>
      <c r="M3" s="59">
        <v>11</v>
      </c>
      <c r="N3" s="59">
        <v>12</v>
      </c>
      <c r="O3" s="59">
        <v>13</v>
      </c>
      <c r="P3" s="59">
        <v>14</v>
      </c>
      <c r="Q3" s="59">
        <v>15</v>
      </c>
      <c r="R3" s="59">
        <v>16</v>
      </c>
      <c r="S3" s="59">
        <v>17</v>
      </c>
      <c r="T3" s="59">
        <v>18</v>
      </c>
      <c r="U3" s="59">
        <v>19</v>
      </c>
      <c r="V3" s="59">
        <v>20</v>
      </c>
      <c r="W3" s="59">
        <v>21</v>
      </c>
      <c r="X3" s="59">
        <v>22</v>
      </c>
      <c r="Y3" s="59">
        <v>23</v>
      </c>
      <c r="Z3" s="59">
        <v>24</v>
      </c>
      <c r="AA3" s="59">
        <v>25</v>
      </c>
      <c r="AB3" s="59">
        <v>26</v>
      </c>
      <c r="AC3" s="59">
        <v>27</v>
      </c>
      <c r="AD3" s="59">
        <v>28</v>
      </c>
      <c r="AE3" s="59">
        <v>29</v>
      </c>
      <c r="AF3" s="59">
        <v>30</v>
      </c>
      <c r="AG3" s="59"/>
      <c r="AH3" s="59"/>
      <c r="AI3" s="59"/>
      <c r="AJ3" s="59"/>
      <c r="AK3" s="59"/>
      <c r="AL3" s="59"/>
    </row>
    <row r="4" s="64" customFormat="1" ht="25" customHeight="1" spans="1:38">
      <c r="A4" s="69">
        <v>1</v>
      </c>
      <c r="B4" s="70"/>
      <c r="C4" s="69"/>
      <c r="D4" s="69"/>
      <c r="E4" s="69"/>
      <c r="F4" s="69"/>
      <c r="G4" s="69"/>
      <c r="H4" s="69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</row>
    <row r="5" s="64" customFormat="1" ht="25" customHeight="1" spans="1:38">
      <c r="A5" s="69">
        <v>2</v>
      </c>
      <c r="B5" s="70"/>
      <c r="C5" s="69"/>
      <c r="D5" s="69"/>
      <c r="E5" s="69"/>
      <c r="F5" s="69"/>
      <c r="G5" s="69"/>
      <c r="H5" s="69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</row>
    <row r="6" s="64" customFormat="1" ht="25" customHeight="1" spans="1:38">
      <c r="A6" s="69">
        <v>3</v>
      </c>
      <c r="B6" s="70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</row>
    <row r="7" s="64" customFormat="1" ht="25" customHeight="1" spans="1:38">
      <c r="A7" s="69">
        <v>13</v>
      </c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</row>
    <row r="8" s="64" customFormat="1" ht="25" customHeight="1" spans="1:38">
      <c r="A8" s="69">
        <v>14</v>
      </c>
      <c r="B8" s="70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</row>
    <row r="9" s="64" customFormat="1" ht="25" customHeight="1" spans="1:38">
      <c r="A9" s="69">
        <v>15</v>
      </c>
      <c r="B9" s="70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</row>
    <row r="10" s="64" customFormat="1" ht="25" customHeight="1" spans="1:38">
      <c r="A10" s="69">
        <v>16</v>
      </c>
      <c r="B10" s="70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</row>
    <row r="11" s="64" customFormat="1" ht="25" customHeight="1" spans="1:38">
      <c r="A11" s="69">
        <v>17</v>
      </c>
      <c r="B11" s="72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</row>
    <row r="12" s="64" customFormat="1" ht="25" customHeight="1" spans="1:38">
      <c r="A12" s="69">
        <v>18</v>
      </c>
      <c r="B12" s="72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</row>
    <row r="13" s="64" customFormat="1" ht="15" customHeight="1" spans="1:38">
      <c r="A13" s="73"/>
      <c r="B13" s="73"/>
    </row>
    <row r="14" s="64" customFormat="1" ht="15" customHeight="1" spans="1:38">
      <c r="A14" s="73"/>
      <c r="B14" s="73"/>
    </row>
    <row r="15" s="64" customFormat="1" ht="15" customHeight="1" spans="1:38">
      <c r="A15" s="73"/>
      <c r="B15" s="73"/>
    </row>
    <row r="16" s="64" customFormat="1" ht="15" customHeight="1" spans="1:38">
      <c r="A16" s="73"/>
      <c r="B16" s="73"/>
    </row>
    <row r="17" s="64" customFormat="1" ht="15" customHeight="1" spans="1:2">
      <c r="A17" s="73"/>
      <c r="B17" s="73"/>
    </row>
    <row r="18" s="64" customFormat="1" ht="15" customHeight="1" spans="1:2">
      <c r="A18" s="73"/>
      <c r="B18" s="73"/>
    </row>
    <row r="19" s="64" customFormat="1" ht="15" customHeight="1" spans="1:2">
      <c r="A19" s="73"/>
      <c r="B19" s="73"/>
    </row>
    <row r="20" s="64" customFormat="1" ht="15" customHeight="1" spans="1:2">
      <c r="A20" s="73"/>
      <c r="B20" s="73"/>
    </row>
    <row r="21" s="64" customFormat="1" ht="15" customHeight="1" spans="1:2">
      <c r="A21" s="73"/>
      <c r="B21" s="73"/>
    </row>
    <row r="22" s="64" customFormat="1" ht="15" customHeight="1" spans="1:2">
      <c r="A22" s="73"/>
      <c r="B22" s="73"/>
    </row>
    <row r="23" s="64" customFormat="1" ht="15" customHeight="1" spans="1:2">
      <c r="A23" s="73"/>
      <c r="B23" s="73"/>
    </row>
    <row r="24" s="64" customFormat="1" ht="15" customHeight="1" spans="1:2">
      <c r="A24" s="73"/>
      <c r="B24" s="73"/>
    </row>
    <row r="25" s="64" customFormat="1" ht="15" customHeight="1" spans="1:2">
      <c r="A25" s="73"/>
      <c r="B25" s="73"/>
    </row>
    <row r="26" s="64" customFormat="1" ht="15" customHeight="1" spans="1:2">
      <c r="A26" s="73"/>
      <c r="B26" s="73"/>
    </row>
    <row r="27" s="64" customFormat="1" ht="15" customHeight="1" spans="1:2">
      <c r="A27" s="73"/>
      <c r="B27" s="73"/>
    </row>
    <row r="28" s="64" customFormat="1" ht="15" customHeight="1" spans="1:2">
      <c r="A28" s="73"/>
      <c r="B28" s="73"/>
    </row>
    <row r="29" s="64" customFormat="1" ht="15" customHeight="1" spans="1:2">
      <c r="A29" s="73"/>
      <c r="B29" s="73"/>
    </row>
    <row r="30" s="64" customFormat="1" ht="15" customHeight="1" spans="1:2">
      <c r="A30" s="73"/>
      <c r="B30" s="73"/>
    </row>
    <row r="31" s="64" customFormat="1" ht="15" customHeight="1" spans="1:2">
      <c r="A31" s="73"/>
      <c r="B31" s="73"/>
    </row>
    <row r="32" s="64" customFormat="1" ht="15" customHeight="1" spans="1:2">
      <c r="A32" s="73"/>
      <c r="B32" s="73"/>
    </row>
    <row r="33" s="64" customFormat="1" ht="15" customHeight="1" spans="1:2">
      <c r="A33" s="73"/>
      <c r="B33" s="73"/>
    </row>
    <row r="34" s="64" customFormat="1" ht="15" customHeight="1" spans="1:2">
      <c r="A34" s="73"/>
      <c r="B34" s="73"/>
    </row>
    <row r="35" s="64" customFormat="1" ht="15" customHeight="1" spans="1:2">
      <c r="A35" s="73"/>
      <c r="B35" s="73"/>
    </row>
    <row r="36" s="64" customFormat="1" ht="15" customHeight="1" spans="1:2">
      <c r="A36" s="73"/>
      <c r="B36" s="73"/>
    </row>
    <row r="37" s="64" customFormat="1" ht="15" customHeight="1" spans="1:2">
      <c r="A37" s="73"/>
      <c r="B37" s="73"/>
    </row>
    <row r="38" s="64" customFormat="1" ht="15" customHeight="1" spans="1:2">
      <c r="A38" s="73"/>
      <c r="B38" s="73"/>
    </row>
    <row r="39" s="64" customFormat="1" ht="15" customHeight="1" spans="1:2">
      <c r="A39" s="73"/>
      <c r="B39" s="73"/>
    </row>
    <row r="40" s="64" customFormat="1" ht="15" customHeight="1" spans="1:2">
      <c r="A40" s="73"/>
      <c r="B40" s="73"/>
    </row>
    <row r="41" s="64" customFormat="1" ht="15" customHeight="1" spans="1:2">
      <c r="A41" s="73"/>
      <c r="B41" s="73"/>
    </row>
    <row r="42" s="64" customFormat="1" ht="15" customHeight="1" spans="1:2">
      <c r="A42" s="73"/>
      <c r="B42" s="73"/>
    </row>
    <row r="43" s="64" customFormat="1" ht="15" customHeight="1" spans="1:2">
      <c r="A43" s="73"/>
      <c r="B43" s="73"/>
    </row>
    <row r="44" s="64" customFormat="1" ht="15" customHeight="1" spans="1:2">
      <c r="A44" s="73"/>
      <c r="B44" s="73"/>
    </row>
    <row r="45" s="64" customFormat="1" ht="15" customHeight="1" spans="1:2">
      <c r="A45" s="73"/>
      <c r="B45" s="73"/>
    </row>
    <row r="46" s="64" customFormat="1" ht="15" customHeight="1" spans="1:2">
      <c r="A46" s="73"/>
      <c r="B46" s="73"/>
    </row>
    <row r="47" s="64" customFormat="1" ht="15" customHeight="1" spans="1:2">
      <c r="A47" s="73"/>
      <c r="B47" s="73"/>
    </row>
    <row r="48" s="64" customFormat="1" ht="15" customHeight="1" spans="1:2">
      <c r="A48" s="73"/>
      <c r="B48" s="73"/>
    </row>
    <row r="49" s="64" customFormat="1" ht="15" customHeight="1" spans="1:2">
      <c r="A49" s="73"/>
      <c r="B49" s="73"/>
    </row>
    <row r="50" s="64" customFormat="1" ht="15" customHeight="1" spans="1:2">
      <c r="A50" s="73"/>
      <c r="B50" s="73"/>
    </row>
    <row r="51" s="64" customFormat="1" ht="15" customHeight="1" spans="1:2">
      <c r="A51" s="73"/>
      <c r="B51" s="73"/>
    </row>
    <row r="52" s="64" customFormat="1" ht="15" customHeight="1" spans="1:2">
      <c r="A52" s="73"/>
      <c r="B52" s="73"/>
    </row>
    <row r="53" s="64" customFormat="1" ht="15" customHeight="1" spans="1:2">
      <c r="A53" s="73"/>
      <c r="B53" s="73"/>
    </row>
    <row r="54" s="64" customFormat="1" ht="15" customHeight="1" spans="1:2">
      <c r="A54" s="73"/>
      <c r="B54" s="73"/>
    </row>
    <row r="55" s="64" customFormat="1" ht="15" customHeight="1" spans="1:2">
      <c r="A55" s="73"/>
      <c r="B55" s="73"/>
    </row>
    <row r="56" s="64" customFormat="1" ht="15" customHeight="1" spans="1:2">
      <c r="A56" s="73"/>
      <c r="B56" s="73"/>
    </row>
    <row r="57" s="64" customFormat="1" ht="15" customHeight="1" spans="1:2">
      <c r="A57" s="73"/>
      <c r="B57" s="73"/>
    </row>
    <row r="58" s="64" customFormat="1" ht="15" customHeight="1" spans="1:2">
      <c r="A58" s="73"/>
      <c r="B58" s="73"/>
    </row>
    <row r="59" s="64" customFormat="1" ht="15" customHeight="1" spans="1:2">
      <c r="A59" s="73"/>
      <c r="B59" s="73"/>
    </row>
    <row r="60" s="64" customFormat="1" ht="15" customHeight="1" spans="1:2">
      <c r="A60" s="73"/>
      <c r="B60" s="73"/>
    </row>
    <row r="61" s="64" customFormat="1" ht="15" customHeight="1" spans="1:2">
      <c r="A61" s="73"/>
      <c r="B61" s="73"/>
    </row>
    <row r="62" s="64" customFormat="1" ht="15" customHeight="1" spans="1:2">
      <c r="A62" s="73"/>
      <c r="B62" s="73"/>
    </row>
    <row r="63" s="64" customFormat="1" ht="15" customHeight="1" spans="1:2">
      <c r="A63" s="73"/>
      <c r="B63" s="73"/>
    </row>
    <row r="64" s="64" customFormat="1" ht="15" customHeight="1" spans="1:2">
      <c r="A64" s="73"/>
      <c r="B64" s="73"/>
    </row>
    <row r="65" s="64" customFormat="1" ht="15" customHeight="1" spans="1:2">
      <c r="A65" s="73"/>
      <c r="B65" s="73"/>
    </row>
    <row r="66" s="64" customFormat="1" ht="15" customHeight="1" spans="1:2">
      <c r="A66" s="73"/>
      <c r="B66" s="73"/>
    </row>
    <row r="67" s="64" customFormat="1" ht="15" customHeight="1" spans="1:2">
      <c r="A67" s="73"/>
      <c r="B67" s="73"/>
    </row>
    <row r="68" s="64" customFormat="1" ht="15" customHeight="1" spans="1:2">
      <c r="A68" s="73"/>
      <c r="B68" s="73"/>
    </row>
    <row r="69" s="64" customFormat="1" ht="15" customHeight="1" spans="1:2">
      <c r="A69" s="73"/>
      <c r="B69" s="73"/>
    </row>
    <row r="70" s="64" customFormat="1" ht="15" customHeight="1" spans="1:2">
      <c r="A70" s="73"/>
      <c r="B70" s="73"/>
    </row>
    <row r="71" s="64" customFormat="1" spans="1:2">
      <c r="A71" s="66"/>
      <c r="B71" s="66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A2" workbookViewId="0">
      <selection activeCell="H14" sqref="H14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58" t="s">
        <v>39</v>
      </c>
      <c r="B1" s="58"/>
      <c r="C1" s="58"/>
      <c r="D1" s="58"/>
      <c r="E1" s="58"/>
      <c r="F1" s="58"/>
    </row>
    <row r="2" s="1" customFormat="1" ht="39" customHeight="1" spans="1:6">
      <c r="A2" s="7" t="s">
        <v>2</v>
      </c>
      <c r="B2" s="7" t="s">
        <v>40</v>
      </c>
      <c r="C2" s="7" t="s">
        <v>3</v>
      </c>
      <c r="D2" s="59" t="s">
        <v>41</v>
      </c>
      <c r="E2" s="7" t="s">
        <v>42</v>
      </c>
      <c r="F2" s="7" t="s">
        <v>7</v>
      </c>
    </row>
    <row r="3" ht="26" customHeight="1" spans="1:6">
      <c r="A3" s="49">
        <v>1</v>
      </c>
      <c r="B3" s="9">
        <v>46093</v>
      </c>
      <c r="C3" s="10" t="s">
        <v>13</v>
      </c>
      <c r="D3" s="60">
        <v>1</v>
      </c>
      <c r="E3" s="21"/>
      <c r="F3" s="12"/>
    </row>
    <row r="4" ht="26" customHeight="1" spans="1:6">
      <c r="A4" s="49">
        <v>2</v>
      </c>
      <c r="B4" s="9">
        <v>46093</v>
      </c>
      <c r="C4" s="10" t="s">
        <v>16</v>
      </c>
      <c r="D4" s="60">
        <v>1</v>
      </c>
      <c r="E4" s="21"/>
      <c r="F4" s="13"/>
    </row>
    <row r="5" ht="26" customHeight="1" spans="1:6">
      <c r="A5" s="49">
        <v>3</v>
      </c>
      <c r="B5" s="9">
        <v>46093</v>
      </c>
      <c r="C5" s="10" t="s">
        <v>17</v>
      </c>
      <c r="D5" s="60">
        <v>1</v>
      </c>
      <c r="E5" s="21"/>
      <c r="F5" s="13"/>
    </row>
    <row r="6" ht="26" customHeight="1" spans="1:6">
      <c r="A6" s="49">
        <v>4</v>
      </c>
      <c r="B6" s="9">
        <v>46093</v>
      </c>
      <c r="C6" s="10" t="s">
        <v>18</v>
      </c>
      <c r="D6" s="60">
        <v>1</v>
      </c>
      <c r="E6" s="21"/>
      <c r="F6" s="13"/>
    </row>
    <row r="7" ht="26" customHeight="1" spans="1:6">
      <c r="A7" s="49">
        <v>5</v>
      </c>
      <c r="B7" s="9">
        <v>46093</v>
      </c>
      <c r="C7" s="10" t="s">
        <v>19</v>
      </c>
      <c r="D7" s="60">
        <v>1</v>
      </c>
      <c r="E7" s="21"/>
      <c r="F7" s="13"/>
    </row>
    <row r="8" ht="26" customHeight="1" spans="1:6">
      <c r="A8" s="49">
        <v>6</v>
      </c>
      <c r="B8" s="9">
        <v>46093</v>
      </c>
      <c r="C8" s="10" t="s">
        <v>30</v>
      </c>
      <c r="D8" s="60">
        <v>1</v>
      </c>
      <c r="E8" s="21"/>
      <c r="F8" s="13"/>
    </row>
    <row r="9" ht="26" customHeight="1" spans="1:6">
      <c r="A9" s="49">
        <v>7</v>
      </c>
      <c r="B9" s="9">
        <v>46093</v>
      </c>
      <c r="C9" s="10" t="s">
        <v>20</v>
      </c>
      <c r="D9" s="60">
        <v>1</v>
      </c>
      <c r="E9" s="60"/>
      <c r="F9" s="14"/>
    </row>
    <row r="10" customFormat="1" ht="26" customHeight="1" spans="1:6">
      <c r="A10" s="49">
        <v>8</v>
      </c>
      <c r="B10" s="9">
        <v>46093</v>
      </c>
      <c r="C10" s="10" t="s">
        <v>21</v>
      </c>
      <c r="D10" s="60">
        <v>1</v>
      </c>
      <c r="E10" s="60"/>
      <c r="F10" s="14"/>
    </row>
    <row r="11" ht="26" customHeight="1" spans="1:6">
      <c r="A11" s="49">
        <v>9</v>
      </c>
      <c r="B11" s="9">
        <v>46093</v>
      </c>
      <c r="C11" s="10" t="s">
        <v>22</v>
      </c>
      <c r="D11" s="60">
        <v>1</v>
      </c>
      <c r="E11" s="60"/>
      <c r="F11" s="14"/>
    </row>
    <row r="12" ht="26" customHeight="1" spans="1:6">
      <c r="A12" s="49">
        <v>10</v>
      </c>
      <c r="B12" s="9">
        <v>46093</v>
      </c>
      <c r="C12" s="10" t="s">
        <v>24</v>
      </c>
      <c r="D12" s="60">
        <v>1</v>
      </c>
      <c r="E12" s="60"/>
      <c r="F12" s="14"/>
    </row>
    <row r="13" ht="26" customHeight="1" spans="1:6">
      <c r="A13" s="49">
        <v>11</v>
      </c>
      <c r="B13" s="9">
        <v>46093</v>
      </c>
      <c r="C13" s="10" t="s">
        <v>43</v>
      </c>
      <c r="D13" s="60">
        <v>1</v>
      </c>
      <c r="E13" s="60"/>
      <c r="F13" s="14"/>
    </row>
    <row r="14" ht="26" customHeight="1" spans="1:6">
      <c r="A14" s="49">
        <v>12</v>
      </c>
      <c r="B14" s="9">
        <v>46093</v>
      </c>
      <c r="C14" s="10" t="s">
        <v>26</v>
      </c>
      <c r="D14" s="60">
        <v>1</v>
      </c>
      <c r="E14" s="60"/>
      <c r="F14" s="14"/>
    </row>
    <row r="15" ht="26" customHeight="1" spans="1:6">
      <c r="A15" s="49">
        <v>13</v>
      </c>
      <c r="B15" s="9">
        <v>46093</v>
      </c>
      <c r="C15" s="10" t="s">
        <v>27</v>
      </c>
      <c r="D15" s="60">
        <v>1</v>
      </c>
      <c r="E15" s="60"/>
      <c r="F15" s="14"/>
    </row>
    <row r="16" ht="26" customHeight="1" spans="1:6">
      <c r="A16" s="49">
        <v>14</v>
      </c>
      <c r="B16" s="9">
        <v>46093</v>
      </c>
      <c r="C16" s="10" t="s">
        <v>28</v>
      </c>
      <c r="D16" s="60">
        <v>1</v>
      </c>
      <c r="E16" s="60"/>
      <c r="F16" s="14"/>
    </row>
    <row r="17" ht="26" customHeight="1" spans="1:6">
      <c r="A17" s="49">
        <v>15</v>
      </c>
      <c r="B17" s="9">
        <v>46093</v>
      </c>
      <c r="C17" s="10" t="s">
        <v>31</v>
      </c>
      <c r="D17" s="60">
        <v>1</v>
      </c>
      <c r="E17" s="60"/>
      <c r="F17" s="14"/>
    </row>
    <row r="18" ht="26" customHeight="1" spans="1:6">
      <c r="A18" s="38"/>
      <c r="B18" s="61"/>
      <c r="C18" s="15" t="s">
        <v>32</v>
      </c>
      <c r="D18" s="62">
        <v>1</v>
      </c>
      <c r="E18" s="62"/>
      <c r="F18" s="63" t="s">
        <v>44</v>
      </c>
    </row>
    <row r="19" ht="26" customHeight="1" spans="1:6">
      <c r="A19" s="38"/>
      <c r="B19" s="61"/>
      <c r="C19" s="62"/>
      <c r="D19" s="62"/>
      <c r="E19" s="62"/>
      <c r="F19" s="63"/>
    </row>
    <row r="20" ht="20" customHeight="1" spans="1:6">
      <c r="D20" s="39">
        <f>SUM(D3:D17)</f>
        <v>15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5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P21" sqref="P21"/>
    </sheetView>
  </sheetViews>
  <sheetFormatPr defaultColWidth="9.14285714285714" defaultRowHeight="23" customHeight="1"/>
  <cols>
    <col min="1" max="1" width="9.14285714285714" style="39"/>
    <col min="2" max="2" width="10.7142857142857" style="39" customWidth="1"/>
    <col min="3" max="3" width="10" style="39" customWidth="1"/>
    <col min="4" max="24" width="7.42857142857143" style="39" customWidth="1"/>
    <col min="25" max="16384" width="9.14285714285714" style="39"/>
  </cols>
  <sheetData>
    <row r="1" s="36" customFormat="1" customHeight="1" spans="1:26">
      <c r="A1" s="40" t="s">
        <v>36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="37" customFormat="1" ht="20" customHeight="1" spans="1:26">
      <c r="A2" s="42" t="s">
        <v>2</v>
      </c>
      <c r="B2" s="42" t="s">
        <v>38</v>
      </c>
      <c r="C2" s="43" t="s">
        <v>45</v>
      </c>
      <c r="D2" s="44">
        <v>46090</v>
      </c>
      <c r="E2" s="44">
        <v>46093</v>
      </c>
      <c r="F2" s="44">
        <v>46097</v>
      </c>
      <c r="G2" s="45">
        <v>46100</v>
      </c>
      <c r="H2" s="45">
        <v>46104</v>
      </c>
      <c r="I2" s="45">
        <v>46107</v>
      </c>
      <c r="J2" s="45">
        <v>46111</v>
      </c>
      <c r="K2" s="45">
        <v>46114</v>
      </c>
      <c r="L2" s="45">
        <v>46119</v>
      </c>
      <c r="M2" s="45">
        <v>46121</v>
      </c>
      <c r="N2" s="45">
        <v>46125</v>
      </c>
      <c r="O2" s="45">
        <v>46128</v>
      </c>
      <c r="P2" s="45">
        <v>46132</v>
      </c>
      <c r="Q2" s="45">
        <v>46135</v>
      </c>
      <c r="R2" s="45"/>
      <c r="S2" s="45"/>
      <c r="T2" s="45"/>
      <c r="U2" s="45"/>
      <c r="V2" s="45"/>
      <c r="W2" s="45"/>
      <c r="X2" s="45" t="s">
        <v>46</v>
      </c>
      <c r="Y2" s="37" t="s">
        <v>47</v>
      </c>
    </row>
    <row r="3" s="38" customFormat="1" customHeight="1" spans="1:26">
      <c r="A3" s="46">
        <v>1</v>
      </c>
      <c r="B3" s="15" t="s">
        <v>13</v>
      </c>
      <c r="C3" s="47">
        <v>100</v>
      </c>
      <c r="D3" s="48">
        <v>3</v>
      </c>
      <c r="E3" s="48">
        <v>4</v>
      </c>
      <c r="F3" s="48">
        <v>3</v>
      </c>
      <c r="G3" s="48">
        <v>4</v>
      </c>
      <c r="H3" s="48">
        <v>3</v>
      </c>
      <c r="I3" s="48">
        <v>4</v>
      </c>
      <c r="J3" s="48">
        <v>3</v>
      </c>
      <c r="K3" s="48">
        <v>4</v>
      </c>
      <c r="L3" s="48">
        <v>3</v>
      </c>
      <c r="M3" s="48">
        <v>4</v>
      </c>
      <c r="N3" s="48">
        <f>SUMIF('4.13'!$C$3:C19,B3,'4.13'!$I$3:I21)</f>
        <v>3</v>
      </c>
      <c r="O3" s="48">
        <f>SUMIF('4.16'!$C$3:D19,B3,'4.16'!$I$3:J21)</f>
        <v>4</v>
      </c>
      <c r="P3" s="48">
        <v>3</v>
      </c>
      <c r="Q3" s="48">
        <v>4</v>
      </c>
      <c r="R3" s="48"/>
      <c r="S3" s="48"/>
      <c r="T3" s="48"/>
      <c r="U3" s="48"/>
      <c r="V3" s="48"/>
      <c r="W3" s="48"/>
      <c r="X3" s="48">
        <f>SUM(D3:W3)</f>
        <v>49</v>
      </c>
      <c r="Y3" s="38">
        <f>C3-X3</f>
        <v>51</v>
      </c>
    </row>
    <row r="4" s="38" customFormat="1" customHeight="1" spans="1:26">
      <c r="A4" s="46">
        <v>2</v>
      </c>
      <c r="B4" s="15" t="s">
        <v>16</v>
      </c>
      <c r="C4" s="47">
        <v>100</v>
      </c>
      <c r="D4" s="48">
        <v>3</v>
      </c>
      <c r="E4" s="48">
        <v>4</v>
      </c>
      <c r="F4" s="48">
        <v>3</v>
      </c>
      <c r="G4" s="48">
        <v>4</v>
      </c>
      <c r="H4" s="48">
        <v>3</v>
      </c>
      <c r="I4" s="48">
        <v>4</v>
      </c>
      <c r="J4" s="48">
        <v>3</v>
      </c>
      <c r="K4" s="48">
        <v>4</v>
      </c>
      <c r="L4" s="48">
        <v>3</v>
      </c>
      <c r="M4" s="48">
        <v>4</v>
      </c>
      <c r="N4" s="48">
        <f>SUMIF('4.13'!$C$3:C20,B4,'4.13'!$I$3:I22)</f>
        <v>3</v>
      </c>
      <c r="O4" s="48">
        <f>SUMIF('4.16'!$C$3:D20,B4,'4.16'!$I$3:J22)</f>
        <v>4</v>
      </c>
      <c r="P4" s="48">
        <v>3</v>
      </c>
      <c r="Q4" s="48">
        <v>4</v>
      </c>
      <c r="R4" s="48"/>
      <c r="S4" s="48"/>
      <c r="T4" s="48"/>
      <c r="U4" s="48"/>
      <c r="V4" s="48"/>
      <c r="W4" s="48"/>
      <c r="X4" s="48">
        <f t="shared" ref="X4:X19" si="0">SUM(D4:W4)</f>
        <v>49</v>
      </c>
      <c r="Y4" s="38">
        <f t="shared" ref="Y4:Y33" si="1">C4-X4</f>
        <v>51</v>
      </c>
      <c r="Z4" s="39"/>
    </row>
    <row r="5" s="38" customFormat="1" customHeight="1" spans="1:26">
      <c r="A5" s="46">
        <v>3</v>
      </c>
      <c r="B5" s="15" t="s">
        <v>17</v>
      </c>
      <c r="C5" s="47">
        <v>100</v>
      </c>
      <c r="D5" s="48">
        <v>3</v>
      </c>
      <c r="E5" s="48">
        <v>4</v>
      </c>
      <c r="F5" s="48">
        <v>3</v>
      </c>
      <c r="G5" s="48">
        <v>4</v>
      </c>
      <c r="H5" s="48">
        <v>3</v>
      </c>
      <c r="I5" s="48">
        <v>4</v>
      </c>
      <c r="J5" s="48">
        <v>3</v>
      </c>
      <c r="K5" s="48">
        <v>4</v>
      </c>
      <c r="L5" s="48">
        <v>3</v>
      </c>
      <c r="M5" s="48">
        <v>4</v>
      </c>
      <c r="N5" s="48">
        <f>SUMIF('4.13'!$C$3:C21,B5,'4.13'!$I$3:I23)</f>
        <v>3</v>
      </c>
      <c r="O5" s="48">
        <f>SUMIF('4.16'!$C$3:D21,B5,'4.16'!$I$3:J23)</f>
        <v>4</v>
      </c>
      <c r="P5" s="48">
        <v>3</v>
      </c>
      <c r="Q5" s="48">
        <v>4</v>
      </c>
      <c r="R5" s="48"/>
      <c r="S5" s="48"/>
      <c r="T5" s="48"/>
      <c r="U5" s="48"/>
      <c r="V5" s="48"/>
      <c r="W5" s="48"/>
      <c r="X5" s="48">
        <f t="shared" si="0"/>
        <v>49</v>
      </c>
      <c r="Y5" s="38">
        <f t="shared" si="1"/>
        <v>51</v>
      </c>
      <c r="Z5" s="39"/>
    </row>
    <row r="6" s="38" customFormat="1" customHeight="1" spans="1:26">
      <c r="A6" s="46">
        <v>4</v>
      </c>
      <c r="B6" s="15" t="s">
        <v>18</v>
      </c>
      <c r="C6" s="47">
        <v>100</v>
      </c>
      <c r="D6" s="48">
        <v>3</v>
      </c>
      <c r="E6" s="48">
        <v>4</v>
      </c>
      <c r="F6" s="48">
        <v>3</v>
      </c>
      <c r="G6" s="48">
        <v>4</v>
      </c>
      <c r="H6" s="48">
        <v>3</v>
      </c>
      <c r="I6" s="48">
        <v>4</v>
      </c>
      <c r="J6" s="48">
        <v>3</v>
      </c>
      <c r="K6" s="48">
        <v>4</v>
      </c>
      <c r="L6" s="48">
        <v>3</v>
      </c>
      <c r="M6" s="48">
        <v>4</v>
      </c>
      <c r="N6" s="48">
        <f>SUMIF('4.13'!$C$3:C22,B6,'4.13'!$I$3:I24)</f>
        <v>3</v>
      </c>
      <c r="O6" s="48">
        <f>SUMIF('4.16'!$C$3:D22,B6,'4.16'!$I$3:J24)</f>
        <v>4</v>
      </c>
      <c r="P6" s="48">
        <v>3</v>
      </c>
      <c r="Q6" s="48">
        <v>4</v>
      </c>
      <c r="R6" s="48"/>
      <c r="S6" s="48"/>
      <c r="T6" s="48"/>
      <c r="U6" s="48"/>
      <c r="V6" s="48"/>
      <c r="W6" s="48"/>
      <c r="X6" s="48">
        <f t="shared" si="0"/>
        <v>49</v>
      </c>
      <c r="Y6" s="38">
        <f t="shared" si="1"/>
        <v>51</v>
      </c>
    </row>
    <row r="7" s="38" customFormat="1" customHeight="1" spans="1:26">
      <c r="A7" s="46">
        <v>5</v>
      </c>
      <c r="B7" s="15" t="s">
        <v>19</v>
      </c>
      <c r="C7" s="47">
        <v>100</v>
      </c>
      <c r="D7" s="48">
        <v>3</v>
      </c>
      <c r="E7" s="48">
        <v>4</v>
      </c>
      <c r="F7" s="48">
        <v>3</v>
      </c>
      <c r="G7" s="48">
        <v>4</v>
      </c>
      <c r="H7" s="48">
        <v>3</v>
      </c>
      <c r="I7" s="48">
        <v>4</v>
      </c>
      <c r="J7" s="48">
        <v>3</v>
      </c>
      <c r="K7" s="48">
        <v>4</v>
      </c>
      <c r="L7" s="48">
        <v>3</v>
      </c>
      <c r="M7" s="48">
        <v>4</v>
      </c>
      <c r="N7" s="48">
        <f>SUMIF('4.13'!$C$3:C23,B7,'4.13'!$I$3:I25)</f>
        <v>3</v>
      </c>
      <c r="O7" s="48">
        <f>SUMIF('4.16'!$C$3:D23,B7,'4.16'!$I$3:J25)</f>
        <v>4</v>
      </c>
      <c r="P7" s="48">
        <v>3</v>
      </c>
      <c r="Q7" s="48">
        <v>4</v>
      </c>
      <c r="R7" s="48"/>
      <c r="S7" s="48"/>
      <c r="T7" s="48"/>
      <c r="U7" s="48"/>
      <c r="V7" s="48"/>
      <c r="W7" s="48"/>
      <c r="X7" s="48">
        <f t="shared" si="0"/>
        <v>49</v>
      </c>
      <c r="Y7" s="38">
        <f t="shared" si="1"/>
        <v>51</v>
      </c>
    </row>
    <row r="8" s="38" customFormat="1" customHeight="1" spans="1:26">
      <c r="A8" s="46">
        <v>6</v>
      </c>
      <c r="B8" s="15" t="s">
        <v>30</v>
      </c>
      <c r="C8" s="47">
        <v>100</v>
      </c>
      <c r="D8" s="48">
        <v>3</v>
      </c>
      <c r="E8" s="48">
        <v>4</v>
      </c>
      <c r="F8" s="48">
        <v>3</v>
      </c>
      <c r="G8" s="48">
        <v>4</v>
      </c>
      <c r="H8" s="48">
        <v>3</v>
      </c>
      <c r="I8" s="48">
        <v>4</v>
      </c>
      <c r="J8" s="48">
        <v>3</v>
      </c>
      <c r="K8" s="48">
        <v>4</v>
      </c>
      <c r="L8" s="48">
        <v>3</v>
      </c>
      <c r="M8" s="48">
        <v>4</v>
      </c>
      <c r="N8" s="48">
        <f>SUMIF('4.13'!$C$3:C24,B8,'4.13'!$I$3:I26)</f>
        <v>3</v>
      </c>
      <c r="O8" s="48">
        <f>SUMIF('4.16'!$C$3:D24,B8,'4.16'!$I$3:J26)</f>
        <v>4</v>
      </c>
      <c r="P8" s="48">
        <v>3</v>
      </c>
      <c r="Q8" s="48">
        <v>4</v>
      </c>
      <c r="R8" s="48"/>
      <c r="S8" s="48"/>
      <c r="T8" s="48"/>
      <c r="U8" s="48"/>
      <c r="V8" s="48"/>
      <c r="W8" s="48"/>
      <c r="X8" s="48">
        <f t="shared" si="0"/>
        <v>49</v>
      </c>
      <c r="Y8" s="38">
        <f t="shared" si="1"/>
        <v>51</v>
      </c>
    </row>
    <row r="9" s="38" customFormat="1" customHeight="1" spans="1:26">
      <c r="A9" s="46">
        <v>7</v>
      </c>
      <c r="B9" s="15" t="s">
        <v>20</v>
      </c>
      <c r="C9" s="47">
        <v>100</v>
      </c>
      <c r="D9" s="48">
        <v>3</v>
      </c>
      <c r="E9" s="48">
        <v>4</v>
      </c>
      <c r="F9" s="48">
        <v>3</v>
      </c>
      <c r="G9" s="48">
        <v>4</v>
      </c>
      <c r="H9" s="48">
        <v>3</v>
      </c>
      <c r="I9" s="48">
        <v>4</v>
      </c>
      <c r="J9" s="48">
        <v>3</v>
      </c>
      <c r="K9" s="48">
        <v>4</v>
      </c>
      <c r="L9" s="48">
        <v>3</v>
      </c>
      <c r="M9" s="48">
        <v>4</v>
      </c>
      <c r="N9" s="48">
        <f>SUMIF('4.13'!$C$3:C25,B9,'4.13'!$I$3:I27)</f>
        <v>3</v>
      </c>
      <c r="O9" s="48">
        <f>SUMIF('4.16'!$C$3:D25,B9,'4.16'!$I$3:J27)</f>
        <v>4</v>
      </c>
      <c r="P9" s="48">
        <v>3</v>
      </c>
      <c r="Q9" s="48">
        <v>4</v>
      </c>
      <c r="R9" s="48"/>
      <c r="S9" s="48"/>
      <c r="T9" s="48"/>
      <c r="U9" s="48"/>
      <c r="V9" s="48"/>
      <c r="W9" s="48"/>
      <c r="X9" s="48">
        <f t="shared" si="0"/>
        <v>49</v>
      </c>
      <c r="Y9" s="38">
        <f t="shared" si="1"/>
        <v>51</v>
      </c>
    </row>
    <row r="10" customHeight="1" spans="1:26">
      <c r="A10" s="46">
        <v>8</v>
      </c>
      <c r="B10" s="15" t="s">
        <v>21</v>
      </c>
      <c r="C10" s="47">
        <v>100</v>
      </c>
      <c r="D10" s="48">
        <v>3</v>
      </c>
      <c r="E10" s="48">
        <v>4</v>
      </c>
      <c r="F10" s="48">
        <v>3</v>
      </c>
      <c r="G10" s="48">
        <v>4</v>
      </c>
      <c r="H10" s="48">
        <v>3</v>
      </c>
      <c r="I10" s="48">
        <v>4</v>
      </c>
      <c r="J10" s="48">
        <v>3</v>
      </c>
      <c r="K10" s="48">
        <v>4</v>
      </c>
      <c r="L10" s="48">
        <v>3</v>
      </c>
      <c r="M10" s="48">
        <v>4</v>
      </c>
      <c r="N10" s="48">
        <f>SUMIF('4.13'!$C$3:C26,B10,'4.13'!$I$3:I28)</f>
        <v>3</v>
      </c>
      <c r="O10" s="48">
        <f>SUMIF('4.16'!$C$3:D26,B10,'4.16'!$I$3:J28)</f>
        <v>4</v>
      </c>
      <c r="P10" s="48">
        <v>3</v>
      </c>
      <c r="Q10" s="48">
        <v>4</v>
      </c>
      <c r="R10" s="48"/>
      <c r="S10" s="48"/>
      <c r="T10" s="48"/>
      <c r="U10" s="48"/>
      <c r="V10" s="48"/>
      <c r="W10" s="48"/>
      <c r="X10" s="48">
        <f t="shared" si="0"/>
        <v>49</v>
      </c>
      <c r="Y10" s="38">
        <f t="shared" si="1"/>
        <v>51</v>
      </c>
    </row>
    <row r="11" customHeight="1" spans="1:26">
      <c r="A11" s="46">
        <v>9</v>
      </c>
      <c r="B11" s="15" t="s">
        <v>22</v>
      </c>
      <c r="C11" s="47">
        <v>100</v>
      </c>
      <c r="D11" s="48">
        <v>3</v>
      </c>
      <c r="E11" s="48">
        <v>4</v>
      </c>
      <c r="F11" s="48">
        <v>3</v>
      </c>
      <c r="G11" s="48">
        <v>4</v>
      </c>
      <c r="H11" s="48">
        <v>3</v>
      </c>
      <c r="I11" s="48">
        <v>4</v>
      </c>
      <c r="J11" s="48">
        <v>3</v>
      </c>
      <c r="K11" s="48">
        <v>4</v>
      </c>
      <c r="L11" s="48">
        <v>3</v>
      </c>
      <c r="M11" s="48">
        <v>4</v>
      </c>
      <c r="N11" s="48">
        <f>SUMIF('4.13'!$C$3:C27,B11,'4.13'!$I$3:I29)</f>
        <v>3</v>
      </c>
      <c r="O11" s="48">
        <f>SUMIF('4.16'!$C$3:D27,B11,'4.16'!$I$3:J29)</f>
        <v>4</v>
      </c>
      <c r="P11" s="48">
        <v>3</v>
      </c>
      <c r="Q11" s="48">
        <v>4</v>
      </c>
      <c r="R11" s="48"/>
      <c r="S11" s="48"/>
      <c r="T11" s="48"/>
      <c r="U11" s="48"/>
      <c r="V11" s="48"/>
      <c r="W11" s="48"/>
      <c r="X11" s="48">
        <f t="shared" si="0"/>
        <v>49</v>
      </c>
      <c r="Y11" s="38">
        <f t="shared" si="1"/>
        <v>51</v>
      </c>
    </row>
    <row r="12" customHeight="1" spans="1:26">
      <c r="A12" s="46">
        <v>10</v>
      </c>
      <c r="B12" s="15" t="s">
        <v>24</v>
      </c>
      <c r="C12" s="47">
        <v>100</v>
      </c>
      <c r="D12" s="48">
        <v>3</v>
      </c>
      <c r="E12" s="48">
        <v>4</v>
      </c>
      <c r="F12" s="48">
        <v>3</v>
      </c>
      <c r="G12" s="48">
        <v>4</v>
      </c>
      <c r="H12" s="48">
        <v>3</v>
      </c>
      <c r="I12" s="48">
        <v>4</v>
      </c>
      <c r="J12" s="48">
        <v>3</v>
      </c>
      <c r="K12" s="48">
        <v>4</v>
      </c>
      <c r="L12" s="48">
        <v>3</v>
      </c>
      <c r="M12" s="48">
        <v>4</v>
      </c>
      <c r="N12" s="48">
        <f>SUMIF('4.13'!$C$3:C28,B12,'4.13'!$I$3:I30)</f>
        <v>3</v>
      </c>
      <c r="O12" s="48">
        <f>SUMIF('4.16'!$C$3:D28,B12,'4.16'!$I$3:J30)</f>
        <v>4</v>
      </c>
      <c r="P12" s="48">
        <v>3</v>
      </c>
      <c r="Q12" s="48">
        <v>4</v>
      </c>
      <c r="R12" s="48"/>
      <c r="S12" s="48"/>
      <c r="T12" s="48"/>
      <c r="U12" s="48"/>
      <c r="V12" s="48"/>
      <c r="W12" s="48"/>
      <c r="X12" s="48">
        <f t="shared" si="0"/>
        <v>49</v>
      </c>
      <c r="Y12" s="38">
        <f t="shared" si="1"/>
        <v>51</v>
      </c>
    </row>
    <row r="13" customHeight="1" spans="1:26">
      <c r="A13" s="46">
        <v>11</v>
      </c>
      <c r="B13" s="15" t="s">
        <v>25</v>
      </c>
      <c r="C13" s="47">
        <v>100</v>
      </c>
      <c r="D13" s="48">
        <v>3</v>
      </c>
      <c r="E13" s="48">
        <v>4</v>
      </c>
      <c r="F13" s="48">
        <v>3</v>
      </c>
      <c r="G13" s="48">
        <v>4</v>
      </c>
      <c r="H13" s="48">
        <v>3</v>
      </c>
      <c r="I13" s="48">
        <v>4</v>
      </c>
      <c r="J13" s="48">
        <v>3</v>
      </c>
      <c r="K13" s="48">
        <v>4</v>
      </c>
      <c r="L13" s="48">
        <v>3</v>
      </c>
      <c r="M13" s="48">
        <v>4</v>
      </c>
      <c r="N13" s="48">
        <f>SUMIF('4.13'!$C$3:C29,B13,'4.13'!$I$3:I31)</f>
        <v>3</v>
      </c>
      <c r="O13" s="48">
        <f>SUMIF('4.16'!$C$3:D29,B13,'4.16'!$I$3:J31)</f>
        <v>4</v>
      </c>
      <c r="P13" s="48">
        <v>3</v>
      </c>
      <c r="Q13" s="48">
        <v>4</v>
      </c>
      <c r="R13" s="48"/>
      <c r="S13" s="48"/>
      <c r="T13" s="48"/>
      <c r="U13" s="48"/>
      <c r="V13" s="48"/>
      <c r="W13" s="48"/>
      <c r="X13" s="48">
        <f t="shared" si="0"/>
        <v>49</v>
      </c>
      <c r="Y13" s="38">
        <f t="shared" si="1"/>
        <v>51</v>
      </c>
    </row>
    <row r="14" customHeight="1" spans="1:26">
      <c r="A14" s="46">
        <v>12</v>
      </c>
      <c r="B14" s="15" t="s">
        <v>26</v>
      </c>
      <c r="C14" s="47">
        <v>100</v>
      </c>
      <c r="D14" s="48">
        <v>3</v>
      </c>
      <c r="E14" s="48">
        <v>4</v>
      </c>
      <c r="F14" s="48">
        <v>3</v>
      </c>
      <c r="G14" s="48">
        <v>4</v>
      </c>
      <c r="H14" s="48">
        <v>3</v>
      </c>
      <c r="I14" s="48">
        <v>4</v>
      </c>
      <c r="J14" s="48">
        <v>3</v>
      </c>
      <c r="K14" s="48">
        <v>4</v>
      </c>
      <c r="L14" s="48">
        <v>3</v>
      </c>
      <c r="M14" s="48">
        <v>4</v>
      </c>
      <c r="N14" s="48">
        <f>SUMIF('4.13'!$C$3:C30,B14,'4.13'!$I$3:I32)</f>
        <v>3</v>
      </c>
      <c r="O14" s="48">
        <f>SUMIF('4.16'!$C$3:D30,B14,'4.16'!$I$3:J32)</f>
        <v>4</v>
      </c>
      <c r="P14" s="48">
        <v>3</v>
      </c>
      <c r="Q14" s="48">
        <v>4</v>
      </c>
      <c r="R14" s="48"/>
      <c r="S14" s="48"/>
      <c r="T14" s="48"/>
      <c r="U14" s="48"/>
      <c r="V14" s="48"/>
      <c r="W14" s="48"/>
      <c r="X14" s="48">
        <f t="shared" si="0"/>
        <v>49</v>
      </c>
      <c r="Y14" s="38">
        <f t="shared" si="1"/>
        <v>51</v>
      </c>
    </row>
    <row r="15" customHeight="1" spans="1:26">
      <c r="A15" s="46">
        <v>13</v>
      </c>
      <c r="B15" s="15" t="s">
        <v>27</v>
      </c>
      <c r="C15" s="47">
        <v>100</v>
      </c>
      <c r="D15" s="48">
        <v>3</v>
      </c>
      <c r="E15" s="48">
        <v>4</v>
      </c>
      <c r="F15" s="48">
        <v>3</v>
      </c>
      <c r="G15" s="48">
        <v>4</v>
      </c>
      <c r="H15" s="48">
        <v>3</v>
      </c>
      <c r="I15" s="48">
        <v>4</v>
      </c>
      <c r="J15" s="48">
        <v>3</v>
      </c>
      <c r="K15" s="48">
        <v>4</v>
      </c>
      <c r="L15" s="48">
        <v>3</v>
      </c>
      <c r="M15" s="48">
        <v>4</v>
      </c>
      <c r="N15" s="48">
        <f>SUMIF('4.13'!$C$3:C31,B15,'4.13'!$I$3:I33)</f>
        <v>3</v>
      </c>
      <c r="O15" s="48">
        <f>SUMIF('4.16'!$C$3:D31,B15,'4.16'!$I$3:J33)</f>
        <v>4</v>
      </c>
      <c r="P15" s="48">
        <v>3</v>
      </c>
      <c r="Q15" s="48">
        <v>4</v>
      </c>
      <c r="R15" s="48"/>
      <c r="S15" s="48"/>
      <c r="T15" s="48"/>
      <c r="U15" s="48"/>
      <c r="V15" s="48"/>
      <c r="W15" s="48"/>
      <c r="X15" s="48">
        <f t="shared" si="0"/>
        <v>49</v>
      </c>
      <c r="Y15" s="38">
        <f t="shared" si="1"/>
        <v>51</v>
      </c>
    </row>
    <row r="16" customHeight="1" spans="1:26">
      <c r="A16" s="46">
        <v>14</v>
      </c>
      <c r="B16" s="15" t="s">
        <v>28</v>
      </c>
      <c r="C16" s="47">
        <v>100</v>
      </c>
      <c r="D16" s="48">
        <v>3</v>
      </c>
      <c r="E16" s="48">
        <v>4</v>
      </c>
      <c r="F16" s="48">
        <v>3</v>
      </c>
      <c r="G16" s="48">
        <v>4</v>
      </c>
      <c r="H16" s="48">
        <v>3</v>
      </c>
      <c r="I16" s="48">
        <v>4</v>
      </c>
      <c r="J16" s="48">
        <v>3</v>
      </c>
      <c r="K16" s="48">
        <v>4</v>
      </c>
      <c r="L16" s="48">
        <v>3</v>
      </c>
      <c r="M16" s="48">
        <v>4</v>
      </c>
      <c r="N16" s="48">
        <f>SUMIF('4.13'!$C$3:C32,B16,'4.13'!$I$3:I34)</f>
        <v>3</v>
      </c>
      <c r="O16" s="48">
        <f>SUMIF('4.16'!$C$3:D32,B16,'4.16'!$I$3:J34)</f>
        <v>4</v>
      </c>
      <c r="P16" s="48">
        <v>3</v>
      </c>
      <c r="Q16" s="48">
        <v>4</v>
      </c>
      <c r="R16" s="48"/>
      <c r="S16" s="48"/>
      <c r="T16" s="48"/>
      <c r="U16" s="48"/>
      <c r="V16" s="48"/>
      <c r="W16" s="48"/>
      <c r="X16" s="48">
        <f t="shared" si="0"/>
        <v>49</v>
      </c>
      <c r="Y16" s="38">
        <f t="shared" si="1"/>
        <v>51</v>
      </c>
    </row>
    <row r="17" customHeight="1" spans="1:25">
      <c r="A17" s="46">
        <v>15</v>
      </c>
      <c r="B17" s="15" t="s">
        <v>31</v>
      </c>
      <c r="C17" s="47">
        <v>100</v>
      </c>
      <c r="D17" s="48">
        <v>3</v>
      </c>
      <c r="E17" s="48">
        <v>4</v>
      </c>
      <c r="F17" s="48">
        <v>3</v>
      </c>
      <c r="G17" s="48">
        <v>4</v>
      </c>
      <c r="H17" s="48">
        <v>3</v>
      </c>
      <c r="I17" s="48">
        <v>4</v>
      </c>
      <c r="J17" s="48">
        <v>3</v>
      </c>
      <c r="K17" s="48">
        <v>4</v>
      </c>
      <c r="L17" s="48">
        <v>3</v>
      </c>
      <c r="M17" s="48">
        <v>4</v>
      </c>
      <c r="N17" s="48">
        <f>SUMIF('4.13'!$C$3:C33,B17,'4.13'!$I$3:I35)</f>
        <v>3</v>
      </c>
      <c r="O17" s="48">
        <f>SUMIF('4.16'!$C$3:D33,B17,'4.16'!$I$3:J35)</f>
        <v>4</v>
      </c>
      <c r="P17" s="48">
        <v>3</v>
      </c>
      <c r="Q17" s="48">
        <v>4</v>
      </c>
      <c r="R17" s="48"/>
      <c r="S17" s="48"/>
      <c r="T17" s="48"/>
      <c r="U17" s="48"/>
      <c r="V17" s="48"/>
      <c r="W17" s="48"/>
      <c r="X17" s="48">
        <f t="shared" si="0"/>
        <v>49</v>
      </c>
      <c r="Y17" s="38">
        <f t="shared" si="1"/>
        <v>51</v>
      </c>
    </row>
    <row r="18" customHeight="1" spans="1:25">
      <c r="A18" s="49">
        <v>16</v>
      </c>
      <c r="B18" s="50" t="s">
        <v>32</v>
      </c>
      <c r="C18" s="48">
        <v>100</v>
      </c>
      <c r="D18" s="48">
        <v>0</v>
      </c>
      <c r="E18" s="48">
        <v>0</v>
      </c>
      <c r="F18" s="48">
        <v>6</v>
      </c>
      <c r="G18" s="48">
        <v>8</v>
      </c>
      <c r="H18" s="48">
        <v>3</v>
      </c>
      <c r="I18" s="48">
        <v>4</v>
      </c>
      <c r="J18" s="48">
        <v>3</v>
      </c>
      <c r="K18" s="48">
        <v>4</v>
      </c>
      <c r="L18" s="48">
        <v>3</v>
      </c>
      <c r="M18" s="48">
        <v>4</v>
      </c>
      <c r="N18" s="48">
        <f>SUMIF('4.13'!$C$3:C34,B18,'4.13'!$I$3:I36)</f>
        <v>3</v>
      </c>
      <c r="O18" s="48">
        <f>SUMIF('4.16'!$C$3:D34,B18,'4.16'!$I$3:J36)</f>
        <v>4</v>
      </c>
      <c r="P18" s="48">
        <v>3</v>
      </c>
      <c r="Q18" s="48">
        <v>4</v>
      </c>
      <c r="R18" s="48"/>
      <c r="S18" s="48"/>
      <c r="T18" s="48"/>
      <c r="U18" s="48"/>
      <c r="V18" s="48"/>
      <c r="W18" s="48"/>
      <c r="X18" s="48">
        <f t="shared" si="0"/>
        <v>49</v>
      </c>
      <c r="Y18" s="38">
        <f t="shared" si="1"/>
        <v>51</v>
      </c>
    </row>
    <row r="19" customHeight="1" spans="1:25">
      <c r="A19" s="49">
        <v>17</v>
      </c>
      <c r="B19" s="15" t="s">
        <v>34</v>
      </c>
      <c r="C19" s="48">
        <v>100</v>
      </c>
      <c r="D19" s="48"/>
      <c r="E19" s="48"/>
      <c r="F19" s="48"/>
      <c r="G19" s="48"/>
      <c r="H19" s="48"/>
      <c r="I19" s="48"/>
      <c r="J19" s="48">
        <v>3</v>
      </c>
      <c r="K19" s="48">
        <v>4</v>
      </c>
      <c r="L19" s="48">
        <v>3</v>
      </c>
      <c r="M19" s="48">
        <v>4</v>
      </c>
      <c r="N19" s="48">
        <f>SUMIF('4.13'!$C$3:C35,B19,'4.13'!$I$3:I37)</f>
        <v>3</v>
      </c>
      <c r="O19" s="48">
        <f>SUMIF('4.16'!$C$3:D35,B19,'4.16'!$I$3:J37)</f>
        <v>4</v>
      </c>
      <c r="P19" s="48">
        <v>3</v>
      </c>
      <c r="Q19" s="48">
        <v>4</v>
      </c>
      <c r="R19" s="48"/>
      <c r="S19" s="48"/>
      <c r="T19" s="48"/>
      <c r="U19" s="48"/>
      <c r="V19" s="48"/>
      <c r="W19" s="48"/>
      <c r="X19" s="48">
        <f t="shared" si="0"/>
        <v>28</v>
      </c>
      <c r="Y19" s="38">
        <f t="shared" si="1"/>
        <v>72</v>
      </c>
    </row>
    <row r="20" customHeight="1" spans="1:25">
      <c r="A20" s="49">
        <v>18</v>
      </c>
      <c r="B20" s="50"/>
      <c r="C20" s="48"/>
      <c r="D20" s="48">
        <f t="shared" ref="D20:Q20" si="2">SUM(D3:D19)</f>
        <v>45</v>
      </c>
      <c r="E20" s="48">
        <f t="shared" si="2"/>
        <v>60</v>
      </c>
      <c r="F20" s="48">
        <f t="shared" si="2"/>
        <v>51</v>
      </c>
      <c r="G20" s="48">
        <f t="shared" si="2"/>
        <v>68</v>
      </c>
      <c r="H20" s="48">
        <f t="shared" si="2"/>
        <v>48</v>
      </c>
      <c r="I20" s="48">
        <f t="shared" si="2"/>
        <v>64</v>
      </c>
      <c r="J20" s="48">
        <f t="shared" si="2"/>
        <v>51</v>
      </c>
      <c r="K20" s="48">
        <f t="shared" si="2"/>
        <v>68</v>
      </c>
      <c r="L20" s="48">
        <f t="shared" si="2"/>
        <v>51</v>
      </c>
      <c r="M20" s="48">
        <f t="shared" si="2"/>
        <v>68</v>
      </c>
      <c r="N20" s="48">
        <f t="shared" si="2"/>
        <v>51</v>
      </c>
      <c r="O20" s="48">
        <f t="shared" si="2"/>
        <v>68</v>
      </c>
      <c r="P20" s="48">
        <f t="shared" si="2"/>
        <v>51</v>
      </c>
      <c r="Q20" s="48">
        <f t="shared" si="2"/>
        <v>68</v>
      </c>
      <c r="R20" s="48"/>
      <c r="S20" s="48"/>
      <c r="T20" s="48"/>
      <c r="U20" s="48"/>
      <c r="V20" s="48">
        <f>SUM(V3:V19)</f>
        <v>0</v>
      </c>
      <c r="W20" s="48"/>
      <c r="X20" s="48"/>
      <c r="Y20" s="38">
        <f t="shared" si="1"/>
        <v>0</v>
      </c>
    </row>
    <row r="21" customHeight="1" spans="1:25">
      <c r="A21" s="49">
        <v>19</v>
      </c>
      <c r="B21" s="50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38">
        <f t="shared" si="1"/>
        <v>0</v>
      </c>
    </row>
    <row r="22" customHeight="1" spans="1:25">
      <c r="A22" s="49">
        <v>20</v>
      </c>
      <c r="B22" s="50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38">
        <f t="shared" si="1"/>
        <v>0</v>
      </c>
    </row>
    <row r="23" customHeight="1" spans="1:25">
      <c r="A23" s="49">
        <v>21</v>
      </c>
      <c r="B23" s="50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38">
        <f t="shared" si="1"/>
        <v>0</v>
      </c>
    </row>
    <row r="24" customHeight="1" spans="1:25">
      <c r="A24" s="49">
        <v>22</v>
      </c>
      <c r="B24" s="50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38">
        <f t="shared" si="1"/>
        <v>0</v>
      </c>
    </row>
    <row r="25" customHeight="1" spans="1:25">
      <c r="A25" s="49">
        <v>23</v>
      </c>
      <c r="B25" s="51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38">
        <f t="shared" si="1"/>
        <v>0</v>
      </c>
    </row>
    <row r="26" customHeight="1" spans="1:25">
      <c r="A26" s="49">
        <v>24</v>
      </c>
      <c r="B26" s="51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38">
        <f t="shared" si="1"/>
        <v>0</v>
      </c>
    </row>
    <row r="27" customHeight="1" spans="1:25">
      <c r="A27" s="52">
        <v>25</v>
      </c>
      <c r="B27" s="53"/>
      <c r="C27" s="54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38">
        <f t="shared" si="1"/>
        <v>0</v>
      </c>
    </row>
    <row r="28" customHeight="1" spans="1:25">
      <c r="A28" s="49">
        <v>26</v>
      </c>
      <c r="B28" s="51"/>
      <c r="C28" s="48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38">
        <f t="shared" si="1"/>
        <v>0</v>
      </c>
    </row>
    <row r="29" customHeight="1" spans="1:25">
      <c r="A29" s="49">
        <v>27</v>
      </c>
      <c r="B29" s="51"/>
      <c r="C29" s="48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38">
        <f t="shared" si="1"/>
        <v>0</v>
      </c>
    </row>
    <row r="30" customHeight="1" spans="1:25">
      <c r="A30" s="49">
        <v>28</v>
      </c>
      <c r="B30" s="51"/>
      <c r="C30" s="48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38">
        <f t="shared" si="1"/>
        <v>0</v>
      </c>
    </row>
    <row r="31" customHeight="1" spans="1:25">
      <c r="A31" s="49">
        <v>29</v>
      </c>
      <c r="B31" s="51"/>
      <c r="C31" s="48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48"/>
      <c r="W31" s="48"/>
      <c r="X31" s="48"/>
      <c r="Y31" s="38">
        <f t="shared" si="1"/>
        <v>0</v>
      </c>
    </row>
    <row r="32" customHeight="1" spans="1:25">
      <c r="A32" s="49">
        <v>30</v>
      </c>
      <c r="B32" s="51"/>
      <c r="C32" s="48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38">
        <f t="shared" si="1"/>
        <v>0</v>
      </c>
    </row>
    <row r="33" customHeight="1" spans="1:25">
      <c r="A33" s="56"/>
      <c r="B33" s="57"/>
      <c r="C33" s="57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38">
        <f t="shared" si="1"/>
        <v>0</v>
      </c>
    </row>
    <row r="34" customHeight="1" spans="1:25">
      <c r="A34" s="56"/>
      <c r="B34" s="57"/>
      <c r="C34" s="57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customHeight="1" spans="1:25">
      <c r="A35" s="56"/>
      <c r="B35" s="57"/>
      <c r="C35" s="57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</sheetData>
  <mergeCells count="1">
    <mergeCell ref="A1:X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C3" sqref="C3:F17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7">
      <c r="A3" s="8">
        <v>1</v>
      </c>
      <c r="B3" s="9">
        <v>46090</v>
      </c>
      <c r="C3" s="15" t="s">
        <v>13</v>
      </c>
      <c r="D3" s="23" t="s">
        <v>51</v>
      </c>
      <c r="E3" s="23"/>
      <c r="F3" s="15">
        <v>3</v>
      </c>
      <c r="G3" s="12"/>
    </row>
    <row r="4" ht="22" customHeight="1" spans="1:7">
      <c r="A4" s="8">
        <v>2</v>
      </c>
      <c r="B4" s="9">
        <v>46090</v>
      </c>
      <c r="C4" s="15" t="s">
        <v>16</v>
      </c>
      <c r="D4" s="23" t="s">
        <v>51</v>
      </c>
      <c r="E4" s="23"/>
      <c r="F4" s="15">
        <v>3</v>
      </c>
      <c r="G4" s="13"/>
    </row>
    <row r="5" ht="22" customHeight="1" spans="1:7">
      <c r="A5" s="8">
        <v>3</v>
      </c>
      <c r="B5" s="9">
        <v>46090</v>
      </c>
      <c r="C5" s="15" t="s">
        <v>17</v>
      </c>
      <c r="D5" s="23" t="s">
        <v>51</v>
      </c>
      <c r="E5" s="15">
        <v>3</v>
      </c>
      <c r="F5" s="23"/>
      <c r="G5" s="13"/>
    </row>
    <row r="6" ht="22" customHeight="1" spans="1:7">
      <c r="A6" s="8">
        <v>4</v>
      </c>
      <c r="B6" s="9">
        <v>46090</v>
      </c>
      <c r="C6" s="15" t="s">
        <v>18</v>
      </c>
      <c r="D6" s="23" t="s">
        <v>51</v>
      </c>
      <c r="E6" s="23"/>
      <c r="F6" s="15">
        <v>3</v>
      </c>
      <c r="G6" s="13"/>
    </row>
    <row r="7" ht="22" customHeight="1" spans="1:7">
      <c r="A7" s="8">
        <v>5</v>
      </c>
      <c r="B7" s="9">
        <v>46090</v>
      </c>
      <c r="C7" s="15" t="s">
        <v>19</v>
      </c>
      <c r="D7" s="23" t="s">
        <v>51</v>
      </c>
      <c r="E7" s="23"/>
      <c r="F7" s="15">
        <v>3</v>
      </c>
      <c r="G7" s="13"/>
    </row>
    <row r="8" customFormat="1" ht="22" customHeight="1" spans="1:7">
      <c r="A8" s="8">
        <v>6</v>
      </c>
      <c r="B8" s="9">
        <v>46090</v>
      </c>
      <c r="C8" s="15" t="s">
        <v>30</v>
      </c>
      <c r="D8" s="23" t="s">
        <v>51</v>
      </c>
      <c r="E8" s="23"/>
      <c r="F8" s="15">
        <v>3</v>
      </c>
      <c r="G8" s="14"/>
    </row>
    <row r="9" ht="22" customHeight="1" spans="1:7">
      <c r="A9" s="8">
        <v>7</v>
      </c>
      <c r="B9" s="9">
        <v>46090</v>
      </c>
      <c r="C9" s="15" t="s">
        <v>20</v>
      </c>
      <c r="D9" s="23" t="s">
        <v>51</v>
      </c>
      <c r="E9" s="15">
        <v>2</v>
      </c>
      <c r="F9" s="15">
        <v>1</v>
      </c>
      <c r="G9" s="13"/>
    </row>
    <row r="10" ht="22" customHeight="1" spans="1:7">
      <c r="A10" s="8">
        <v>8</v>
      </c>
      <c r="B10" s="9">
        <v>46090</v>
      </c>
      <c r="C10" s="15" t="s">
        <v>21</v>
      </c>
      <c r="D10" s="23" t="s">
        <v>51</v>
      </c>
      <c r="E10" s="15">
        <v>3</v>
      </c>
      <c r="F10" s="23"/>
      <c r="G10" s="14"/>
    </row>
    <row r="11" ht="22" customHeight="1" spans="1:7">
      <c r="A11" s="8">
        <v>9</v>
      </c>
      <c r="B11" s="9">
        <v>46090</v>
      </c>
      <c r="C11" s="15" t="s">
        <v>22</v>
      </c>
      <c r="D11" s="23" t="s">
        <v>51</v>
      </c>
      <c r="E11" s="23"/>
      <c r="F11" s="15">
        <v>3</v>
      </c>
      <c r="G11" s="14"/>
    </row>
    <row r="12" customFormat="1" ht="22" customHeight="1" spans="1:7">
      <c r="A12" s="8">
        <v>10</v>
      </c>
      <c r="B12" s="9">
        <v>46090</v>
      </c>
      <c r="C12" s="15" t="s">
        <v>24</v>
      </c>
      <c r="D12" s="23" t="s">
        <v>51</v>
      </c>
      <c r="E12" s="23"/>
      <c r="F12" s="15">
        <v>3</v>
      </c>
      <c r="G12" s="14"/>
    </row>
    <row r="13" customFormat="1" ht="22" customHeight="1" spans="1:7">
      <c r="A13" s="8">
        <v>11</v>
      </c>
      <c r="B13" s="9">
        <v>46090</v>
      </c>
      <c r="C13" s="15" t="s">
        <v>43</v>
      </c>
      <c r="D13" s="23" t="s">
        <v>51</v>
      </c>
      <c r="E13" s="23"/>
      <c r="F13" s="15">
        <v>3</v>
      </c>
      <c r="G13" s="14"/>
    </row>
    <row r="14" customFormat="1" ht="22" customHeight="1" spans="1:7">
      <c r="A14" s="8">
        <v>12</v>
      </c>
      <c r="B14" s="9">
        <v>46090</v>
      </c>
      <c r="C14" s="15" t="s">
        <v>26</v>
      </c>
      <c r="D14" s="23" t="s">
        <v>51</v>
      </c>
      <c r="E14" s="23"/>
      <c r="F14" s="15">
        <v>3</v>
      </c>
      <c r="G14" s="14"/>
    </row>
    <row r="15" customFormat="1" ht="22" customHeight="1" spans="1:7">
      <c r="A15" s="8">
        <v>13</v>
      </c>
      <c r="B15" s="9">
        <v>46090</v>
      </c>
      <c r="C15" s="15" t="s">
        <v>27</v>
      </c>
      <c r="D15" s="23" t="s">
        <v>51</v>
      </c>
      <c r="E15" s="23"/>
      <c r="F15" s="15">
        <v>3</v>
      </c>
      <c r="G15" s="14"/>
    </row>
    <row r="16" customFormat="1" ht="22" customHeight="1" spans="1:7">
      <c r="A16" s="8">
        <v>14</v>
      </c>
      <c r="B16" s="9">
        <v>46090</v>
      </c>
      <c r="C16" s="15" t="s">
        <v>28</v>
      </c>
      <c r="D16" s="23" t="s">
        <v>51</v>
      </c>
      <c r="E16" s="15">
        <v>2</v>
      </c>
      <c r="F16" s="15">
        <v>1</v>
      </c>
      <c r="G16" s="14"/>
    </row>
    <row r="17" customFormat="1" ht="22" customHeight="1" spans="1:7">
      <c r="A17" s="8">
        <v>15</v>
      </c>
      <c r="B17" s="9">
        <v>46090</v>
      </c>
      <c r="C17" s="15" t="s">
        <v>31</v>
      </c>
      <c r="D17" s="23" t="s">
        <v>51</v>
      </c>
      <c r="E17" s="15">
        <v>3</v>
      </c>
      <c r="F17" s="24"/>
      <c r="G17" s="14"/>
    </row>
    <row r="18" customFormat="1" ht="22" customHeight="1" spans="1:7">
      <c r="A18" s="8"/>
      <c r="B18" s="9"/>
      <c r="C18" s="18"/>
      <c r="D18" s="27"/>
      <c r="E18" s="12"/>
      <c r="F18" s="14"/>
      <c r="G18" s="14"/>
    </row>
    <row r="19" customFormat="1" ht="22" customHeight="1" spans="1:7">
      <c r="A19" s="8"/>
      <c r="B19" s="17"/>
      <c r="C19" s="18"/>
      <c r="D19" s="19"/>
      <c r="E19" s="20"/>
      <c r="F19" s="21"/>
      <c r="G19" s="21"/>
    </row>
    <row r="20" ht="13.5" spans="1:7">
      <c r="E20" s="22">
        <f>SUM(E3:E19)</f>
        <v>13</v>
      </c>
      <c r="F20" s="22">
        <f>SUM(F3:F19)</f>
        <v>32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D11" sqref="D11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13</v>
      </c>
      <c r="D3" s="11" t="s">
        <v>51</v>
      </c>
      <c r="E3" s="11"/>
      <c r="F3" s="10">
        <v>3</v>
      </c>
      <c r="G3" s="12"/>
    </row>
    <row r="4" ht="22" customHeight="1" spans="1:7">
      <c r="A4" s="8">
        <v>2</v>
      </c>
      <c r="B4" s="9">
        <v>46093</v>
      </c>
      <c r="C4" s="10" t="s">
        <v>16</v>
      </c>
      <c r="D4" s="11" t="s">
        <v>51</v>
      </c>
      <c r="E4" s="11"/>
      <c r="F4" s="10">
        <v>3</v>
      </c>
      <c r="G4" s="13"/>
    </row>
    <row r="5" ht="22" customHeight="1" spans="1:7">
      <c r="A5" s="8">
        <v>3</v>
      </c>
      <c r="B5" s="9">
        <v>46093</v>
      </c>
      <c r="C5" s="10" t="s">
        <v>17</v>
      </c>
      <c r="D5" s="11" t="s">
        <v>51</v>
      </c>
      <c r="E5" s="10">
        <v>3</v>
      </c>
      <c r="F5" s="11"/>
      <c r="G5" s="13"/>
    </row>
    <row r="6" ht="22" customHeight="1" spans="1:7">
      <c r="A6" s="8">
        <v>4</v>
      </c>
      <c r="B6" s="9">
        <v>46093</v>
      </c>
      <c r="C6" s="10" t="s">
        <v>18</v>
      </c>
      <c r="D6" s="11" t="s">
        <v>51</v>
      </c>
      <c r="E6" s="11"/>
      <c r="F6" s="10">
        <v>3</v>
      </c>
      <c r="G6" s="13"/>
    </row>
    <row r="7" ht="22" customHeight="1" spans="1:7">
      <c r="A7" s="8">
        <v>5</v>
      </c>
      <c r="B7" s="9">
        <v>46093</v>
      </c>
      <c r="C7" s="10" t="s">
        <v>19</v>
      </c>
      <c r="D7" s="11" t="s">
        <v>51</v>
      </c>
      <c r="E7" s="11"/>
      <c r="F7" s="10">
        <v>3</v>
      </c>
      <c r="G7" s="13"/>
    </row>
    <row r="8" customFormat="1" ht="22" customHeight="1" spans="1:7">
      <c r="A8" s="8">
        <v>6</v>
      </c>
      <c r="B8" s="9">
        <v>46093</v>
      </c>
      <c r="C8" s="10" t="s">
        <v>30</v>
      </c>
      <c r="D8" s="11" t="s">
        <v>51</v>
      </c>
      <c r="E8" s="11"/>
      <c r="F8" s="10">
        <v>3</v>
      </c>
      <c r="G8" s="14"/>
    </row>
    <row r="9" ht="22" customHeight="1" spans="1:7">
      <c r="A9" s="8">
        <v>7</v>
      </c>
      <c r="B9" s="9">
        <v>46093</v>
      </c>
      <c r="C9" s="10" t="s">
        <v>20</v>
      </c>
      <c r="D9" s="11" t="s">
        <v>51</v>
      </c>
      <c r="E9" s="10">
        <v>2</v>
      </c>
      <c r="F9" s="10">
        <v>1</v>
      </c>
      <c r="G9" s="13"/>
    </row>
    <row r="10" ht="22" customHeight="1" spans="1:7">
      <c r="A10" s="8">
        <v>8</v>
      </c>
      <c r="B10" s="9">
        <v>46093</v>
      </c>
      <c r="C10" s="10" t="s">
        <v>21</v>
      </c>
      <c r="D10" s="11" t="s">
        <v>51</v>
      </c>
      <c r="E10" s="10">
        <v>3</v>
      </c>
      <c r="F10" s="11"/>
      <c r="G10" s="14"/>
    </row>
    <row r="11" ht="22" customHeight="1" spans="1:7">
      <c r="A11" s="8">
        <v>9</v>
      </c>
      <c r="B11" s="9">
        <v>46093</v>
      </c>
      <c r="C11" s="10" t="s">
        <v>22</v>
      </c>
      <c r="D11" s="11" t="s">
        <v>51</v>
      </c>
      <c r="E11" s="11"/>
      <c r="F11" s="10">
        <v>3</v>
      </c>
      <c r="G11" s="14"/>
    </row>
    <row r="12" customFormat="1" ht="22" customHeight="1" spans="1:7">
      <c r="A12" s="8">
        <v>10</v>
      </c>
      <c r="B12" s="9">
        <v>46093</v>
      </c>
      <c r="C12" s="10" t="s">
        <v>24</v>
      </c>
      <c r="D12" s="11" t="s">
        <v>51</v>
      </c>
      <c r="E12" s="11"/>
      <c r="F12" s="10">
        <v>3</v>
      </c>
      <c r="G12" s="14"/>
    </row>
    <row r="13" customFormat="1" ht="22" customHeight="1" spans="1:7">
      <c r="A13" s="8">
        <v>11</v>
      </c>
      <c r="B13" s="9">
        <v>46093</v>
      </c>
      <c r="C13" s="10" t="s">
        <v>43</v>
      </c>
      <c r="D13" s="11" t="s">
        <v>51</v>
      </c>
      <c r="E13" s="11"/>
      <c r="F13" s="10">
        <v>3</v>
      </c>
      <c r="G13" s="14"/>
    </row>
    <row r="14" customFormat="1" ht="22" customHeight="1" spans="1:7">
      <c r="A14" s="8">
        <v>12</v>
      </c>
      <c r="B14" s="9">
        <v>46093</v>
      </c>
      <c r="C14" s="10" t="s">
        <v>26</v>
      </c>
      <c r="D14" s="11" t="s">
        <v>51</v>
      </c>
      <c r="E14" s="11"/>
      <c r="F14" s="10">
        <v>3</v>
      </c>
      <c r="G14" s="14"/>
    </row>
    <row r="15" customFormat="1" ht="22" customHeight="1" spans="1:7">
      <c r="A15" s="8">
        <v>13</v>
      </c>
      <c r="B15" s="9">
        <v>46093</v>
      </c>
      <c r="C15" s="10" t="s">
        <v>27</v>
      </c>
      <c r="D15" s="11" t="s">
        <v>51</v>
      </c>
      <c r="E15" s="11"/>
      <c r="F15" s="10">
        <v>3</v>
      </c>
      <c r="G15" s="14"/>
    </row>
    <row r="16" customFormat="1" ht="22" customHeight="1" spans="1:7">
      <c r="A16" s="8">
        <v>14</v>
      </c>
      <c r="B16" s="9">
        <v>46093</v>
      </c>
      <c r="C16" s="10" t="s">
        <v>28</v>
      </c>
      <c r="D16" s="11" t="s">
        <v>51</v>
      </c>
      <c r="E16" s="10">
        <v>2</v>
      </c>
      <c r="F16" s="10">
        <v>1</v>
      </c>
      <c r="G16" s="14"/>
    </row>
    <row r="17" customFormat="1" ht="22" customHeight="1" spans="1:7">
      <c r="A17" s="8">
        <v>15</v>
      </c>
      <c r="B17" s="9">
        <v>46093</v>
      </c>
      <c r="C17" s="10" t="s">
        <v>31</v>
      </c>
      <c r="D17" s="11" t="s">
        <v>51</v>
      </c>
      <c r="E17" s="10">
        <v>3</v>
      </c>
      <c r="F17" s="14"/>
      <c r="G17" s="14"/>
    </row>
    <row r="18" customFormat="1" ht="22" customHeight="1" spans="1:7">
      <c r="A18" s="8"/>
      <c r="B18" s="9"/>
      <c r="C18" s="18"/>
      <c r="D18" s="27"/>
      <c r="E18" s="12"/>
      <c r="F18" s="14"/>
      <c r="G18" s="14"/>
    </row>
    <row r="19" customFormat="1" ht="22" customHeight="1" spans="1:7">
      <c r="A19" s="8"/>
      <c r="B19" s="17"/>
      <c r="C19" s="18"/>
      <c r="D19" s="19"/>
      <c r="E19" s="20"/>
      <c r="F19" s="21"/>
      <c r="G19" s="21"/>
    </row>
    <row r="20" ht="13.5" spans="1:7">
      <c r="E20" s="22">
        <f>SUM(E3:E19)</f>
        <v>13</v>
      </c>
      <c r="F20" s="22">
        <f>SUM(F3:F19)</f>
        <v>32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G10" sqref="G10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7">
      <c r="A3" s="8">
        <v>1</v>
      </c>
      <c r="B3" s="9">
        <v>46097</v>
      </c>
      <c r="C3" s="15" t="s">
        <v>13</v>
      </c>
      <c r="D3" s="23" t="s">
        <v>51</v>
      </c>
      <c r="E3" s="23"/>
      <c r="F3" s="15">
        <v>3</v>
      </c>
      <c r="G3" s="12"/>
    </row>
    <row r="4" ht="22" customHeight="1" spans="1:7">
      <c r="A4" s="8">
        <v>2</v>
      </c>
      <c r="B4" s="9">
        <v>46097</v>
      </c>
      <c r="C4" s="15" t="s">
        <v>16</v>
      </c>
      <c r="D4" s="23" t="s">
        <v>51</v>
      </c>
      <c r="E4" s="23"/>
      <c r="F4" s="15">
        <v>3</v>
      </c>
      <c r="G4" s="13"/>
    </row>
    <row r="5" ht="22" customHeight="1" spans="1:7">
      <c r="A5" s="8">
        <v>3</v>
      </c>
      <c r="B5" s="9">
        <v>46097</v>
      </c>
      <c r="C5" s="15" t="s">
        <v>17</v>
      </c>
      <c r="D5" s="23" t="s">
        <v>51</v>
      </c>
      <c r="E5" s="15">
        <v>3</v>
      </c>
      <c r="F5" s="23"/>
      <c r="G5" s="13"/>
    </row>
    <row r="6" ht="22" customHeight="1" spans="1:7">
      <c r="A6" s="8">
        <v>4</v>
      </c>
      <c r="B6" s="9">
        <v>46097</v>
      </c>
      <c r="C6" s="15" t="s">
        <v>18</v>
      </c>
      <c r="D6" s="23" t="s">
        <v>51</v>
      </c>
      <c r="E6" s="23"/>
      <c r="F6" s="15">
        <v>3</v>
      </c>
      <c r="G6" s="13"/>
    </row>
    <row r="7" ht="22" customHeight="1" spans="1:7">
      <c r="A7" s="8">
        <v>5</v>
      </c>
      <c r="B7" s="9">
        <v>46097</v>
      </c>
      <c r="C7" s="15" t="s">
        <v>19</v>
      </c>
      <c r="D7" s="23" t="s">
        <v>51</v>
      </c>
      <c r="E7" s="23"/>
      <c r="F7" s="15">
        <v>3</v>
      </c>
      <c r="G7" s="13"/>
    </row>
    <row r="8" s="31" customFormat="1" ht="22" customHeight="1" spans="1:7">
      <c r="A8" s="32">
        <v>6</v>
      </c>
      <c r="B8" s="33">
        <v>46097</v>
      </c>
      <c r="C8" s="29" t="s">
        <v>30</v>
      </c>
      <c r="D8" s="34" t="s">
        <v>51</v>
      </c>
      <c r="E8" s="34"/>
      <c r="F8" s="29">
        <v>3</v>
      </c>
      <c r="G8" s="35" t="s">
        <v>52</v>
      </c>
    </row>
    <row r="9" ht="22" customHeight="1" spans="1:7">
      <c r="A9" s="8">
        <v>7</v>
      </c>
      <c r="B9" s="9">
        <v>46097</v>
      </c>
      <c r="C9" s="15" t="s">
        <v>20</v>
      </c>
      <c r="D9" s="23" t="s">
        <v>51</v>
      </c>
      <c r="E9" s="15">
        <v>2</v>
      </c>
      <c r="F9" s="15">
        <v>1</v>
      </c>
      <c r="G9" s="13"/>
    </row>
    <row r="10" ht="22" customHeight="1" spans="1:7">
      <c r="A10" s="8">
        <v>8</v>
      </c>
      <c r="B10" s="9">
        <v>46097</v>
      </c>
      <c r="C10" s="15" t="s">
        <v>21</v>
      </c>
      <c r="D10" s="23" t="s">
        <v>51</v>
      </c>
      <c r="E10" s="15">
        <v>3</v>
      </c>
      <c r="F10" s="23"/>
      <c r="G10" s="14"/>
    </row>
    <row r="11" ht="22" customHeight="1" spans="1:7">
      <c r="A11" s="8">
        <v>9</v>
      </c>
      <c r="B11" s="9">
        <v>46097</v>
      </c>
      <c r="C11" s="15" t="s">
        <v>22</v>
      </c>
      <c r="D11" s="23" t="s">
        <v>51</v>
      </c>
      <c r="E11" s="23">
        <v>2</v>
      </c>
      <c r="F11" s="15">
        <v>1</v>
      </c>
      <c r="G11" s="14"/>
    </row>
    <row r="12" customFormat="1" ht="22" customHeight="1" spans="1:7">
      <c r="A12" s="8">
        <v>10</v>
      </c>
      <c r="B12" s="9">
        <v>46097</v>
      </c>
      <c r="C12" s="15" t="s">
        <v>24</v>
      </c>
      <c r="D12" s="23" t="s">
        <v>51</v>
      </c>
      <c r="E12" s="23"/>
      <c r="F12" s="15">
        <v>3</v>
      </c>
      <c r="G12" s="14"/>
    </row>
    <row r="13" customFormat="1" ht="22" customHeight="1" spans="1:7">
      <c r="A13" s="8">
        <v>11</v>
      </c>
      <c r="B13" s="9">
        <v>46097</v>
      </c>
      <c r="C13" s="15" t="s">
        <v>43</v>
      </c>
      <c r="D13" s="23" t="s">
        <v>51</v>
      </c>
      <c r="E13" s="23"/>
      <c r="F13" s="15">
        <v>3</v>
      </c>
      <c r="G13" s="14"/>
    </row>
    <row r="14" customFormat="1" ht="22" customHeight="1" spans="1:7">
      <c r="A14" s="8">
        <v>12</v>
      </c>
      <c r="B14" s="9">
        <v>46097</v>
      </c>
      <c r="C14" s="15" t="s">
        <v>26</v>
      </c>
      <c r="D14" s="23" t="s">
        <v>51</v>
      </c>
      <c r="E14" s="23"/>
      <c r="F14" s="15">
        <v>3</v>
      </c>
      <c r="G14" s="14"/>
    </row>
    <row r="15" customFormat="1" ht="22" customHeight="1" spans="1:7">
      <c r="A15" s="8">
        <v>13</v>
      </c>
      <c r="B15" s="9">
        <v>46097</v>
      </c>
      <c r="C15" s="15" t="s">
        <v>27</v>
      </c>
      <c r="D15" s="23" t="s">
        <v>51</v>
      </c>
      <c r="E15" s="23"/>
      <c r="F15" s="15">
        <v>3</v>
      </c>
      <c r="G15" s="14"/>
    </row>
    <row r="16" customFormat="1" ht="22" customHeight="1" spans="1:7">
      <c r="A16" s="8">
        <v>14</v>
      </c>
      <c r="B16" s="9">
        <v>46097</v>
      </c>
      <c r="C16" s="15" t="s">
        <v>28</v>
      </c>
      <c r="D16" s="23" t="s">
        <v>51</v>
      </c>
      <c r="E16" s="15">
        <v>2</v>
      </c>
      <c r="F16" s="15">
        <v>1</v>
      </c>
      <c r="G16" s="14"/>
    </row>
    <row r="17" customFormat="1" ht="22" customHeight="1" spans="1:7">
      <c r="A17" s="8">
        <v>15</v>
      </c>
      <c r="B17" s="9">
        <v>46097</v>
      </c>
      <c r="C17" s="15" t="s">
        <v>31</v>
      </c>
      <c r="D17" s="23" t="s">
        <v>51</v>
      </c>
      <c r="E17" s="15">
        <v>3</v>
      </c>
      <c r="F17" s="24"/>
      <c r="G17" s="14"/>
    </row>
    <row r="18" customFormat="1" ht="22" customHeight="1" spans="1:7">
      <c r="A18" s="8">
        <v>16</v>
      </c>
      <c r="B18" s="9">
        <v>46097</v>
      </c>
      <c r="C18" s="15" t="s">
        <v>32</v>
      </c>
      <c r="D18" s="23" t="s">
        <v>51</v>
      </c>
      <c r="E18" s="16"/>
      <c r="F18" s="15">
        <v>3</v>
      </c>
      <c r="G18" s="14"/>
    </row>
    <row r="19" customFormat="1" ht="22" customHeight="1" spans="1:7">
      <c r="A19" s="8">
        <v>17</v>
      </c>
      <c r="B19" s="9">
        <v>46097</v>
      </c>
      <c r="C19" s="15" t="s">
        <v>32</v>
      </c>
      <c r="D19" s="23" t="s">
        <v>51</v>
      </c>
      <c r="E19" s="16"/>
      <c r="F19" s="15">
        <v>3</v>
      </c>
      <c r="G19" s="14" t="s">
        <v>53</v>
      </c>
    </row>
    <row r="20" customFormat="1" ht="22" customHeight="1" spans="1:7">
      <c r="A20" s="8"/>
      <c r="B20" s="9"/>
      <c r="C20" s="18"/>
      <c r="D20" s="27"/>
      <c r="E20" s="12"/>
      <c r="F20" s="14"/>
      <c r="G20" s="14"/>
    </row>
    <row r="21" customFormat="1" ht="22" customHeight="1" spans="1:7">
      <c r="A21" s="8"/>
      <c r="B21" s="17"/>
      <c r="C21" s="18"/>
      <c r="D21" s="19"/>
      <c r="E21" s="20"/>
      <c r="F21" s="21"/>
      <c r="G21" s="21"/>
    </row>
    <row r="22" ht="13.5" spans="1:7">
      <c r="E22" s="22">
        <f>SUM(E3:E21)</f>
        <v>15</v>
      </c>
      <c r="F22" s="22">
        <f>SUM(F3:F21)</f>
        <v>36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opLeftCell="A2" workbookViewId="0">
      <selection activeCell="E22" sqref="E22:F22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7">
      <c r="A3" s="8">
        <v>1</v>
      </c>
      <c r="B3" s="9">
        <v>46100</v>
      </c>
      <c r="C3" s="10" t="s">
        <v>13</v>
      </c>
      <c r="D3" s="11" t="s">
        <v>54</v>
      </c>
      <c r="E3" s="11"/>
      <c r="F3" s="10">
        <v>4</v>
      </c>
      <c r="G3" s="12"/>
    </row>
    <row r="4" ht="22" customHeight="1" spans="1:7">
      <c r="A4" s="8">
        <v>2</v>
      </c>
      <c r="B4" s="9">
        <v>46100</v>
      </c>
      <c r="C4" s="10" t="s">
        <v>16</v>
      </c>
      <c r="D4" s="11" t="s">
        <v>54</v>
      </c>
      <c r="E4" s="11"/>
      <c r="F4" s="10">
        <v>4</v>
      </c>
      <c r="G4" s="13"/>
    </row>
    <row r="5" ht="22" customHeight="1" spans="1:7">
      <c r="A5" s="8">
        <v>3</v>
      </c>
      <c r="B5" s="9">
        <v>46100</v>
      </c>
      <c r="C5" s="10" t="s">
        <v>17</v>
      </c>
      <c r="D5" s="11" t="s">
        <v>54</v>
      </c>
      <c r="E5" s="10">
        <v>4</v>
      </c>
      <c r="F5" s="11"/>
      <c r="G5" s="13"/>
    </row>
    <row r="6" ht="22" customHeight="1" spans="1:7">
      <c r="A6" s="8">
        <v>4</v>
      </c>
      <c r="B6" s="9">
        <v>46100</v>
      </c>
      <c r="C6" s="10" t="s">
        <v>18</v>
      </c>
      <c r="D6" s="11" t="s">
        <v>54</v>
      </c>
      <c r="E6" s="11"/>
      <c r="F6" s="10">
        <v>4</v>
      </c>
      <c r="G6" s="13"/>
    </row>
    <row r="7" ht="22" customHeight="1" spans="1:7">
      <c r="A7" s="8">
        <v>5</v>
      </c>
      <c r="B7" s="9">
        <v>46100</v>
      </c>
      <c r="C7" s="10" t="s">
        <v>19</v>
      </c>
      <c r="D7" s="11" t="s">
        <v>54</v>
      </c>
      <c r="E7" s="11"/>
      <c r="F7" s="10">
        <v>4</v>
      </c>
      <c r="G7" s="13"/>
    </row>
    <row r="8" customFormat="1" ht="22" customHeight="1" spans="1:7">
      <c r="A8" s="8">
        <v>6</v>
      </c>
      <c r="B8" s="9">
        <v>46100</v>
      </c>
      <c r="C8" s="10" t="s">
        <v>30</v>
      </c>
      <c r="D8" s="11" t="s">
        <v>54</v>
      </c>
      <c r="E8" s="11"/>
      <c r="F8" s="10">
        <v>4</v>
      </c>
      <c r="G8" s="14"/>
    </row>
    <row r="9" ht="22" customHeight="1" spans="1:7">
      <c r="A9" s="8">
        <v>7</v>
      </c>
      <c r="B9" s="9">
        <v>46100</v>
      </c>
      <c r="C9" s="10" t="s">
        <v>20</v>
      </c>
      <c r="D9" s="11" t="s">
        <v>54</v>
      </c>
      <c r="E9" s="10">
        <v>2</v>
      </c>
      <c r="F9" s="10">
        <v>2</v>
      </c>
      <c r="G9" s="13"/>
    </row>
    <row r="10" ht="22" customHeight="1" spans="1:7">
      <c r="A10" s="8">
        <v>8</v>
      </c>
      <c r="B10" s="9">
        <v>46100</v>
      </c>
      <c r="C10" s="10" t="s">
        <v>21</v>
      </c>
      <c r="D10" s="11" t="s">
        <v>54</v>
      </c>
      <c r="E10" s="10">
        <v>4</v>
      </c>
      <c r="F10" s="11"/>
      <c r="G10" s="14"/>
    </row>
    <row r="11" ht="22" customHeight="1" spans="1:7">
      <c r="A11" s="8">
        <v>9</v>
      </c>
      <c r="B11" s="9">
        <v>46100</v>
      </c>
      <c r="C11" s="10" t="s">
        <v>22</v>
      </c>
      <c r="D11" s="11" t="s">
        <v>54</v>
      </c>
      <c r="E11" s="11">
        <v>2</v>
      </c>
      <c r="F11" s="10">
        <v>2</v>
      </c>
      <c r="G11" s="14"/>
    </row>
    <row r="12" customFormat="1" ht="22" customHeight="1" spans="1:7">
      <c r="A12" s="8">
        <v>10</v>
      </c>
      <c r="B12" s="9">
        <v>46100</v>
      </c>
      <c r="C12" s="10" t="s">
        <v>24</v>
      </c>
      <c r="D12" s="11" t="s">
        <v>54</v>
      </c>
      <c r="E12" s="11"/>
      <c r="F12" s="10">
        <v>4</v>
      </c>
      <c r="G12" s="14"/>
    </row>
    <row r="13" customFormat="1" ht="22" customHeight="1" spans="1:7">
      <c r="A13" s="8">
        <v>11</v>
      </c>
      <c r="B13" s="9">
        <v>46100</v>
      </c>
      <c r="C13" s="10" t="s">
        <v>43</v>
      </c>
      <c r="D13" s="11" t="s">
        <v>54</v>
      </c>
      <c r="E13" s="11"/>
      <c r="F13" s="10">
        <v>4</v>
      </c>
      <c r="G13" s="14"/>
    </row>
    <row r="14" customFormat="1" ht="22" customHeight="1" spans="1:7">
      <c r="A14" s="8">
        <v>12</v>
      </c>
      <c r="B14" s="9">
        <v>46100</v>
      </c>
      <c r="C14" s="10" t="s">
        <v>26</v>
      </c>
      <c r="D14" s="11" t="s">
        <v>54</v>
      </c>
      <c r="E14" s="11"/>
      <c r="F14" s="10">
        <v>4</v>
      </c>
      <c r="G14" s="14"/>
    </row>
    <row r="15" customFormat="1" ht="22" customHeight="1" spans="1:7">
      <c r="A15" s="8">
        <v>13</v>
      </c>
      <c r="B15" s="9">
        <v>46100</v>
      </c>
      <c r="C15" s="10" t="s">
        <v>27</v>
      </c>
      <c r="D15" s="11" t="s">
        <v>54</v>
      </c>
      <c r="E15" s="11"/>
      <c r="F15" s="10">
        <v>4</v>
      </c>
      <c r="G15" s="14"/>
    </row>
    <row r="16" customFormat="1" ht="22" customHeight="1" spans="1:7">
      <c r="A16" s="8">
        <v>14</v>
      </c>
      <c r="B16" s="9">
        <v>46100</v>
      </c>
      <c r="C16" s="10" t="s">
        <v>28</v>
      </c>
      <c r="D16" s="11" t="s">
        <v>54</v>
      </c>
      <c r="E16" s="10">
        <v>2</v>
      </c>
      <c r="F16" s="10">
        <v>2</v>
      </c>
      <c r="G16" s="14"/>
    </row>
    <row r="17" customFormat="1" ht="22" customHeight="1" spans="1:7">
      <c r="A17" s="8">
        <v>15</v>
      </c>
      <c r="B17" s="9">
        <v>46100</v>
      </c>
      <c r="C17" s="10" t="s">
        <v>31</v>
      </c>
      <c r="D17" s="11" t="s">
        <v>54</v>
      </c>
      <c r="E17" s="10">
        <v>4</v>
      </c>
      <c r="F17" s="14"/>
      <c r="G17" s="14"/>
    </row>
    <row r="18" customFormat="1" ht="22" customHeight="1" spans="1:7">
      <c r="A18" s="8">
        <v>16</v>
      </c>
      <c r="B18" s="9">
        <v>46100</v>
      </c>
      <c r="C18" s="15" t="s">
        <v>32</v>
      </c>
      <c r="D18" s="11" t="s">
        <v>54</v>
      </c>
      <c r="E18" s="16"/>
      <c r="F18" s="15">
        <v>4</v>
      </c>
      <c r="G18" s="14"/>
    </row>
    <row r="19" customFormat="1" ht="22" customHeight="1" spans="1:7">
      <c r="A19" s="8">
        <v>17</v>
      </c>
      <c r="B19" s="9">
        <v>46100</v>
      </c>
      <c r="C19" s="15" t="s">
        <v>32</v>
      </c>
      <c r="D19" s="11" t="s">
        <v>54</v>
      </c>
      <c r="E19" s="16"/>
      <c r="F19" s="15">
        <v>4</v>
      </c>
      <c r="G19" s="14" t="s">
        <v>53</v>
      </c>
    </row>
    <row r="20" customFormat="1" ht="22" customHeight="1" spans="1:7">
      <c r="A20" s="8"/>
      <c r="B20" s="9"/>
      <c r="C20" s="15"/>
      <c r="D20" s="27"/>
      <c r="E20" s="12"/>
      <c r="F20" s="14"/>
      <c r="G20" s="14"/>
    </row>
    <row r="21" customFormat="1" ht="22" customHeight="1" spans="1:7">
      <c r="A21" s="8"/>
      <c r="B21" s="17"/>
      <c r="C21" s="18"/>
      <c r="D21" s="19"/>
      <c r="E21" s="20"/>
      <c r="F21" s="21"/>
      <c r="G21" s="21"/>
    </row>
    <row r="22" ht="13.5" spans="1:7">
      <c r="E22" s="22">
        <f>SUM(E3:E21)</f>
        <v>18</v>
      </c>
      <c r="F22" s="22">
        <f>SUM(F3:F21)</f>
        <v>50</v>
      </c>
    </row>
    <row r="24" ht="14.25" spans="1:7">
      <c r="C24" s="30" t="s">
        <v>55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E23" sqref="E23:F23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44.4285714285714" customWidth="1"/>
  </cols>
  <sheetData>
    <row r="1" ht="38" customHeight="1" spans="1:7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7">
      <c r="A3" s="8">
        <v>1</v>
      </c>
      <c r="B3" s="9">
        <v>46104</v>
      </c>
      <c r="C3" s="15" t="s">
        <v>13</v>
      </c>
      <c r="D3" s="23" t="s">
        <v>51</v>
      </c>
      <c r="E3" s="23"/>
      <c r="F3" s="15">
        <v>3</v>
      </c>
      <c r="G3" s="12"/>
    </row>
    <row r="4" ht="22" customHeight="1" spans="1:7">
      <c r="A4" s="8">
        <v>2</v>
      </c>
      <c r="B4" s="9">
        <v>46104</v>
      </c>
      <c r="C4" s="15" t="s">
        <v>16</v>
      </c>
      <c r="D4" s="23" t="s">
        <v>51</v>
      </c>
      <c r="E4" s="23"/>
      <c r="F4" s="15">
        <v>3</v>
      </c>
      <c r="G4" s="13"/>
    </row>
    <row r="5" ht="22" customHeight="1" spans="1:7">
      <c r="A5" s="8">
        <v>3</v>
      </c>
      <c r="B5" s="9">
        <v>46104</v>
      </c>
      <c r="C5" s="15" t="s">
        <v>17</v>
      </c>
      <c r="D5" s="23" t="s">
        <v>51</v>
      </c>
      <c r="E5" s="15">
        <v>3</v>
      </c>
      <c r="F5" s="23"/>
      <c r="G5" s="13"/>
    </row>
    <row r="6" ht="22" customHeight="1" spans="1:7">
      <c r="A6" s="8">
        <v>4</v>
      </c>
      <c r="B6" s="9">
        <v>46104</v>
      </c>
      <c r="C6" s="15" t="s">
        <v>18</v>
      </c>
      <c r="D6" s="23" t="s">
        <v>51</v>
      </c>
      <c r="E6" s="23"/>
      <c r="F6" s="15">
        <v>3</v>
      </c>
      <c r="G6" s="13"/>
    </row>
    <row r="7" ht="22" customHeight="1" spans="1:7">
      <c r="A7" s="8">
        <v>5</v>
      </c>
      <c r="B7" s="9">
        <v>46104</v>
      </c>
      <c r="C7" s="15" t="s">
        <v>19</v>
      </c>
      <c r="D7" s="23" t="s">
        <v>51</v>
      </c>
      <c r="E7" s="23"/>
      <c r="F7" s="15">
        <v>3</v>
      </c>
      <c r="G7" s="13"/>
    </row>
    <row r="8" customFormat="1" ht="22" customHeight="1" spans="1:7">
      <c r="A8" s="8">
        <v>6</v>
      </c>
      <c r="B8" s="9">
        <v>46104</v>
      </c>
      <c r="C8" s="15" t="s">
        <v>30</v>
      </c>
      <c r="D8" s="23" t="s">
        <v>51</v>
      </c>
      <c r="E8" s="23"/>
      <c r="F8" s="15">
        <v>3</v>
      </c>
      <c r="G8" s="14"/>
    </row>
    <row r="9" ht="22" customHeight="1" spans="1:7">
      <c r="A9" s="8">
        <v>7</v>
      </c>
      <c r="B9" s="9">
        <v>46104</v>
      </c>
      <c r="C9" s="15" t="s">
        <v>20</v>
      </c>
      <c r="D9" s="23" t="s">
        <v>51</v>
      </c>
      <c r="E9" s="15">
        <v>2</v>
      </c>
      <c r="F9" s="15">
        <v>1</v>
      </c>
      <c r="G9" s="13"/>
    </row>
    <row r="10" ht="22" customHeight="1" spans="1:7">
      <c r="A10" s="8">
        <v>8</v>
      </c>
      <c r="B10" s="9">
        <v>46104</v>
      </c>
      <c r="C10" s="15" t="s">
        <v>21</v>
      </c>
      <c r="D10" s="23" t="s">
        <v>51</v>
      </c>
      <c r="E10" s="15">
        <v>3</v>
      </c>
      <c r="F10" s="23"/>
      <c r="G10" s="14"/>
    </row>
    <row r="11" ht="22" customHeight="1" spans="1:7">
      <c r="A11" s="8">
        <v>9</v>
      </c>
      <c r="B11" s="9">
        <v>46104</v>
      </c>
      <c r="C11" s="15" t="s">
        <v>22</v>
      </c>
      <c r="D11" s="23" t="s">
        <v>51</v>
      </c>
      <c r="E11" s="23">
        <v>2</v>
      </c>
      <c r="F11" s="15">
        <v>1</v>
      </c>
      <c r="G11" s="14"/>
    </row>
    <row r="12" customFormat="1" ht="22" customHeight="1" spans="1:7">
      <c r="A12" s="8">
        <v>10</v>
      </c>
      <c r="B12" s="9">
        <v>46104</v>
      </c>
      <c r="C12" s="15" t="s">
        <v>24</v>
      </c>
      <c r="D12" s="23" t="s">
        <v>51</v>
      </c>
      <c r="E12" s="23"/>
      <c r="F12" s="15">
        <v>3</v>
      </c>
      <c r="G12" s="14"/>
    </row>
    <row r="13" customFormat="1" ht="22" customHeight="1" spans="1:7">
      <c r="A13" s="8">
        <v>11</v>
      </c>
      <c r="B13" s="9">
        <v>46104</v>
      </c>
      <c r="C13" s="15" t="s">
        <v>43</v>
      </c>
      <c r="D13" s="23" t="s">
        <v>51</v>
      </c>
      <c r="E13" s="23"/>
      <c r="F13" s="15">
        <v>3</v>
      </c>
      <c r="G13" s="14"/>
    </row>
    <row r="14" customFormat="1" ht="22" customHeight="1" spans="1:7">
      <c r="A14" s="8">
        <v>12</v>
      </c>
      <c r="B14" s="9">
        <v>46104</v>
      </c>
      <c r="C14" s="15" t="s">
        <v>26</v>
      </c>
      <c r="D14" s="23" t="s">
        <v>51</v>
      </c>
      <c r="E14" s="23"/>
      <c r="F14" s="15">
        <v>3</v>
      </c>
      <c r="G14" s="14"/>
    </row>
    <row r="15" customFormat="1" ht="22" customHeight="1" spans="1:7">
      <c r="A15" s="8">
        <v>13</v>
      </c>
      <c r="B15" s="9">
        <v>46104</v>
      </c>
      <c r="C15" s="15" t="s">
        <v>27</v>
      </c>
      <c r="D15" s="23" t="s">
        <v>51</v>
      </c>
      <c r="E15" s="23"/>
      <c r="F15" s="15">
        <v>3</v>
      </c>
      <c r="G15" s="14"/>
    </row>
    <row r="16" customFormat="1" ht="22" customHeight="1" spans="1:7">
      <c r="A16" s="8">
        <v>14</v>
      </c>
      <c r="B16" s="9">
        <v>46104</v>
      </c>
      <c r="C16" s="15" t="s">
        <v>28</v>
      </c>
      <c r="D16" s="23" t="s">
        <v>51</v>
      </c>
      <c r="E16" s="15">
        <v>2</v>
      </c>
      <c r="F16" s="15">
        <v>1</v>
      </c>
      <c r="G16" s="14"/>
    </row>
    <row r="17" customFormat="1" ht="22" customHeight="1" spans="1:7">
      <c r="A17" s="8">
        <v>15</v>
      </c>
      <c r="B17" s="9">
        <v>46104</v>
      </c>
      <c r="C17" s="15" t="s">
        <v>31</v>
      </c>
      <c r="D17" s="23" t="s">
        <v>51</v>
      </c>
      <c r="E17" s="15">
        <v>3</v>
      </c>
      <c r="F17" s="24"/>
      <c r="G17" s="14"/>
    </row>
    <row r="18" customFormat="1" ht="22" customHeight="1" spans="1:7">
      <c r="A18" s="8">
        <v>16</v>
      </c>
      <c r="B18" s="9">
        <v>46104</v>
      </c>
      <c r="C18" s="15" t="s">
        <v>32</v>
      </c>
      <c r="D18" s="23" t="s">
        <v>51</v>
      </c>
      <c r="E18" s="16"/>
      <c r="F18" s="15">
        <v>3</v>
      </c>
      <c r="G18" s="14"/>
    </row>
    <row r="19" customFormat="1" ht="22" customHeight="1" spans="1:7">
      <c r="A19" s="8">
        <v>17</v>
      </c>
      <c r="B19" s="9">
        <v>46104</v>
      </c>
      <c r="C19" s="15" t="s">
        <v>56</v>
      </c>
      <c r="D19" s="23" t="s">
        <v>57</v>
      </c>
      <c r="E19" s="16"/>
      <c r="F19" s="29">
        <v>3</v>
      </c>
      <c r="G19" s="25" t="s">
        <v>58</v>
      </c>
    </row>
    <row r="20" customFormat="1" ht="22" customHeight="1" spans="1:7">
      <c r="A20" s="8"/>
      <c r="B20" s="9"/>
      <c r="C20" s="15"/>
      <c r="D20" s="26"/>
      <c r="E20" s="16"/>
      <c r="F20" s="16"/>
      <c r="G20" s="14"/>
    </row>
    <row r="21" customFormat="1" ht="22" customHeight="1" spans="1:7">
      <c r="A21" s="8"/>
      <c r="B21" s="9"/>
      <c r="C21" s="18"/>
      <c r="D21" s="27"/>
      <c r="E21" s="12"/>
      <c r="F21" s="14"/>
      <c r="G21" s="14"/>
    </row>
    <row r="22" customFormat="1" ht="22" customHeight="1" spans="1:7">
      <c r="A22" s="8"/>
      <c r="B22" s="17"/>
      <c r="C22" s="18"/>
      <c r="D22" s="19"/>
      <c r="E22" s="20"/>
      <c r="F22" s="21"/>
      <c r="G22" s="21"/>
    </row>
    <row r="23" customFormat="1" ht="13.5" spans="1:7">
      <c r="E23" s="22">
        <f>SUM(E3:E22)</f>
        <v>15</v>
      </c>
      <c r="F23" s="22">
        <f>SUM(F3:F22)</f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F21" sqref="E21:F21"/>
    </sheetView>
  </sheetViews>
  <sheetFormatPr defaultColWidth="9.14285714285714" defaultRowHeight="12" outlineLevelCol="6"/>
  <cols>
    <col min="1" max="1" width="6.85714285714286" customWidth="1"/>
    <col min="2" max="2" width="11.2857142857143" customWidth="1"/>
    <col min="3" max="3" width="15" customWidth="1"/>
    <col min="4" max="6" width="12.1428571428571" customWidth="1"/>
    <col min="7" max="7" width="25.2857142857143" customWidth="1"/>
  </cols>
  <sheetData>
    <row r="1" ht="38" customHeight="1" spans="1:7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7">
      <c r="A3" s="8">
        <v>1</v>
      </c>
      <c r="B3" s="9">
        <v>46107</v>
      </c>
      <c r="C3" s="10" t="s">
        <v>13</v>
      </c>
      <c r="D3" s="11" t="s">
        <v>54</v>
      </c>
      <c r="E3" s="11"/>
      <c r="F3" s="10">
        <v>4</v>
      </c>
      <c r="G3" s="12"/>
    </row>
    <row r="4" ht="22" customHeight="1" spans="1:7">
      <c r="A4" s="8">
        <v>2</v>
      </c>
      <c r="B4" s="9">
        <v>46107</v>
      </c>
      <c r="C4" s="10" t="s">
        <v>16</v>
      </c>
      <c r="D4" s="11" t="s">
        <v>54</v>
      </c>
      <c r="E4" s="11"/>
      <c r="F4" s="10">
        <v>4</v>
      </c>
      <c r="G4" s="13"/>
    </row>
    <row r="5" ht="22" customHeight="1" spans="1:7">
      <c r="A5" s="8">
        <v>3</v>
      </c>
      <c r="B5" s="9">
        <v>46107</v>
      </c>
      <c r="C5" s="10" t="s">
        <v>17</v>
      </c>
      <c r="D5" s="11" t="s">
        <v>54</v>
      </c>
      <c r="E5" s="10">
        <v>4</v>
      </c>
      <c r="F5" s="11"/>
      <c r="G5" s="13"/>
    </row>
    <row r="6" ht="22" customHeight="1" spans="1:7">
      <c r="A6" s="8">
        <v>4</v>
      </c>
      <c r="B6" s="9">
        <v>46107</v>
      </c>
      <c r="C6" s="10" t="s">
        <v>18</v>
      </c>
      <c r="D6" s="11" t="s">
        <v>54</v>
      </c>
      <c r="E6" s="11"/>
      <c r="F6" s="10">
        <v>4</v>
      </c>
      <c r="G6" s="13"/>
    </row>
    <row r="7" ht="22" customHeight="1" spans="1:7">
      <c r="A7" s="8">
        <v>5</v>
      </c>
      <c r="B7" s="9">
        <v>46107</v>
      </c>
      <c r="C7" s="10" t="s">
        <v>19</v>
      </c>
      <c r="D7" s="11" t="s">
        <v>54</v>
      </c>
      <c r="E7" s="11"/>
      <c r="F7" s="10">
        <v>4</v>
      </c>
      <c r="G7" s="13"/>
    </row>
    <row r="8" customFormat="1" ht="22" customHeight="1" spans="1:7">
      <c r="A8" s="8">
        <v>6</v>
      </c>
      <c r="B8" s="9">
        <v>46107</v>
      </c>
      <c r="C8" s="10" t="s">
        <v>30</v>
      </c>
      <c r="D8" s="11" t="s">
        <v>54</v>
      </c>
      <c r="E8" s="11"/>
      <c r="F8" s="10">
        <v>4</v>
      </c>
      <c r="G8" s="14"/>
    </row>
    <row r="9" ht="22" customHeight="1" spans="1:7">
      <c r="A9" s="8">
        <v>7</v>
      </c>
      <c r="B9" s="9">
        <v>46107</v>
      </c>
      <c r="C9" s="10" t="s">
        <v>20</v>
      </c>
      <c r="D9" s="11" t="s">
        <v>54</v>
      </c>
      <c r="E9" s="10">
        <v>2</v>
      </c>
      <c r="F9" s="10">
        <v>2</v>
      </c>
      <c r="G9" s="13"/>
    </row>
    <row r="10" ht="22" customHeight="1" spans="1:7">
      <c r="A10" s="8">
        <v>8</v>
      </c>
      <c r="B10" s="9">
        <v>46107</v>
      </c>
      <c r="C10" s="10" t="s">
        <v>21</v>
      </c>
      <c r="D10" s="11" t="s">
        <v>54</v>
      </c>
      <c r="E10" s="10">
        <v>4</v>
      </c>
      <c r="F10" s="11"/>
      <c r="G10" s="14"/>
    </row>
    <row r="11" ht="22" customHeight="1" spans="1:7">
      <c r="A11" s="8">
        <v>9</v>
      </c>
      <c r="B11" s="9">
        <v>46107</v>
      </c>
      <c r="C11" s="10" t="s">
        <v>22</v>
      </c>
      <c r="D11" s="11" t="s">
        <v>54</v>
      </c>
      <c r="E11" s="11">
        <v>2</v>
      </c>
      <c r="F11" s="10">
        <v>2</v>
      </c>
      <c r="G11" s="14"/>
    </row>
    <row r="12" customFormat="1" ht="22" customHeight="1" spans="1:7">
      <c r="A12" s="8">
        <v>10</v>
      </c>
      <c r="B12" s="9">
        <v>46107</v>
      </c>
      <c r="C12" s="10" t="s">
        <v>24</v>
      </c>
      <c r="D12" s="11" t="s">
        <v>54</v>
      </c>
      <c r="E12" s="11"/>
      <c r="F12" s="10">
        <v>4</v>
      </c>
      <c r="G12" s="14"/>
    </row>
    <row r="13" customFormat="1" ht="22" customHeight="1" spans="1:7">
      <c r="A13" s="8">
        <v>11</v>
      </c>
      <c r="B13" s="9">
        <v>46107</v>
      </c>
      <c r="C13" s="10" t="s">
        <v>43</v>
      </c>
      <c r="D13" s="11" t="s">
        <v>54</v>
      </c>
      <c r="E13" s="11"/>
      <c r="F13" s="10">
        <v>4</v>
      </c>
      <c r="G13" s="14"/>
    </row>
    <row r="14" customFormat="1" ht="22" customHeight="1" spans="1:7">
      <c r="A14" s="8">
        <v>12</v>
      </c>
      <c r="B14" s="9">
        <v>46107</v>
      </c>
      <c r="C14" s="10" t="s">
        <v>26</v>
      </c>
      <c r="D14" s="11" t="s">
        <v>54</v>
      </c>
      <c r="E14" s="11"/>
      <c r="F14" s="10">
        <v>4</v>
      </c>
      <c r="G14" s="14"/>
    </row>
    <row r="15" customFormat="1" ht="22" customHeight="1" spans="1:7">
      <c r="A15" s="8">
        <v>13</v>
      </c>
      <c r="B15" s="9">
        <v>46107</v>
      </c>
      <c r="C15" s="10" t="s">
        <v>27</v>
      </c>
      <c r="D15" s="11" t="s">
        <v>54</v>
      </c>
      <c r="E15" s="11"/>
      <c r="F15" s="10">
        <v>4</v>
      </c>
      <c r="G15" s="14"/>
    </row>
    <row r="16" customFormat="1" ht="22" customHeight="1" spans="1:7">
      <c r="A16" s="8">
        <v>14</v>
      </c>
      <c r="B16" s="9">
        <v>46107</v>
      </c>
      <c r="C16" s="10" t="s">
        <v>28</v>
      </c>
      <c r="D16" s="11" t="s">
        <v>54</v>
      </c>
      <c r="E16" s="10">
        <v>2</v>
      </c>
      <c r="F16" s="10">
        <v>2</v>
      </c>
      <c r="G16" s="14"/>
    </row>
    <row r="17" customFormat="1" ht="22" customHeight="1" spans="1:7">
      <c r="A17" s="8">
        <v>15</v>
      </c>
      <c r="B17" s="9">
        <v>46107</v>
      </c>
      <c r="C17" s="10" t="s">
        <v>31</v>
      </c>
      <c r="D17" s="11" t="s">
        <v>54</v>
      </c>
      <c r="E17" s="10">
        <v>4</v>
      </c>
      <c r="F17" s="14"/>
      <c r="G17" s="14"/>
    </row>
    <row r="18" customFormat="1" ht="22" customHeight="1" spans="1:7">
      <c r="A18" s="8">
        <v>16</v>
      </c>
      <c r="B18" s="9">
        <v>46107</v>
      </c>
      <c r="C18" s="15" t="s">
        <v>32</v>
      </c>
      <c r="D18" s="11" t="s">
        <v>54</v>
      </c>
      <c r="E18" s="16"/>
      <c r="F18" s="15">
        <v>4</v>
      </c>
      <c r="G18" s="14"/>
    </row>
    <row r="19" customFormat="1" ht="22" customHeight="1" spans="1:7">
      <c r="A19" s="8"/>
      <c r="B19" s="9"/>
      <c r="C19" s="15"/>
      <c r="D19" s="27"/>
      <c r="E19" s="12"/>
      <c r="F19" s="14"/>
      <c r="G19" s="14"/>
    </row>
    <row r="20" customFormat="1" ht="22" customHeight="1" spans="1:7">
      <c r="A20" s="8"/>
      <c r="B20" s="17"/>
      <c r="C20" s="18"/>
      <c r="D20" s="19"/>
      <c r="E20" s="20"/>
      <c r="F20" s="21"/>
      <c r="G20" s="21"/>
    </row>
    <row r="21" ht="13.5" spans="1:7">
      <c r="E21" s="22">
        <f>SUM(E3:E20)</f>
        <v>18</v>
      </c>
      <c r="F21" s="22">
        <f>SUM(F3:F20)</f>
        <v>46</v>
      </c>
    </row>
    <row r="23" ht="14.25" spans="1:7">
      <c r="C23" s="28" t="s">
        <v>34</v>
      </c>
      <c r="D23" s="11" t="s">
        <v>54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C19" sqref="C19"/>
    </sheetView>
  </sheetViews>
  <sheetFormatPr defaultColWidth="9.14285714285714" defaultRowHeight="12" outlineLevelCol="6"/>
  <cols>
    <col min="1" max="1" width="6.71428571428571" customWidth="1"/>
    <col min="2" max="2" width="11.4285714285714" customWidth="1"/>
    <col min="3" max="3" width="15" customWidth="1"/>
    <col min="4" max="6" width="12.1428571428571" customWidth="1"/>
    <col min="7" max="7" width="17.1428571428571" customWidth="1"/>
  </cols>
  <sheetData>
    <row r="1" ht="38" customHeight="1" spans="1:7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7">
      <c r="A3" s="8">
        <v>1</v>
      </c>
      <c r="B3" s="9">
        <v>46111</v>
      </c>
      <c r="C3" s="15" t="s">
        <v>13</v>
      </c>
      <c r="D3" s="23" t="s">
        <v>51</v>
      </c>
      <c r="E3" s="23"/>
      <c r="F3" s="15">
        <v>3</v>
      </c>
      <c r="G3" s="12"/>
    </row>
    <row r="4" ht="22" customHeight="1" spans="1:7">
      <c r="A4" s="8">
        <v>2</v>
      </c>
      <c r="B4" s="9">
        <v>46111</v>
      </c>
      <c r="C4" s="15" t="s">
        <v>16</v>
      </c>
      <c r="D4" s="23" t="s">
        <v>51</v>
      </c>
      <c r="E4" s="23"/>
      <c r="F4" s="15">
        <v>3</v>
      </c>
      <c r="G4" s="13"/>
    </row>
    <row r="5" ht="22" customHeight="1" spans="1:7">
      <c r="A5" s="8">
        <v>3</v>
      </c>
      <c r="B5" s="9">
        <v>46111</v>
      </c>
      <c r="C5" s="15" t="s">
        <v>17</v>
      </c>
      <c r="D5" s="23" t="s">
        <v>51</v>
      </c>
      <c r="E5" s="15">
        <v>3</v>
      </c>
      <c r="F5" s="23"/>
      <c r="G5" s="13"/>
    </row>
    <row r="6" ht="22" customHeight="1" spans="1:7">
      <c r="A6" s="8">
        <v>4</v>
      </c>
      <c r="B6" s="9">
        <v>46111</v>
      </c>
      <c r="C6" s="15" t="s">
        <v>18</v>
      </c>
      <c r="D6" s="23" t="s">
        <v>51</v>
      </c>
      <c r="E6" s="23"/>
      <c r="F6" s="15">
        <v>3</v>
      </c>
      <c r="G6" s="13"/>
    </row>
    <row r="7" ht="22" customHeight="1" spans="1:7">
      <c r="A7" s="8">
        <v>5</v>
      </c>
      <c r="B7" s="9">
        <v>46111</v>
      </c>
      <c r="C7" s="15" t="s">
        <v>19</v>
      </c>
      <c r="D7" s="23" t="s">
        <v>51</v>
      </c>
      <c r="E7" s="23"/>
      <c r="F7" s="15">
        <v>3</v>
      </c>
      <c r="G7" s="13"/>
    </row>
    <row r="8" customFormat="1" ht="22" customHeight="1" spans="1:7">
      <c r="A8" s="8">
        <v>6</v>
      </c>
      <c r="B8" s="9">
        <v>46111</v>
      </c>
      <c r="C8" s="15" t="s">
        <v>30</v>
      </c>
      <c r="D8" s="23" t="s">
        <v>51</v>
      </c>
      <c r="E8" s="23"/>
      <c r="F8" s="15">
        <v>3</v>
      </c>
      <c r="G8" s="14"/>
    </row>
    <row r="9" ht="22" customHeight="1" spans="1:7">
      <c r="A9" s="8">
        <v>7</v>
      </c>
      <c r="B9" s="9">
        <v>46111</v>
      </c>
      <c r="C9" s="15" t="s">
        <v>20</v>
      </c>
      <c r="D9" s="23" t="s">
        <v>51</v>
      </c>
      <c r="E9" s="15">
        <v>2</v>
      </c>
      <c r="F9" s="15">
        <v>1</v>
      </c>
      <c r="G9" s="13"/>
    </row>
    <row r="10" ht="22" customHeight="1" spans="1:7">
      <c r="A10" s="8">
        <v>8</v>
      </c>
      <c r="B10" s="9">
        <v>46111</v>
      </c>
      <c r="C10" s="15" t="s">
        <v>21</v>
      </c>
      <c r="D10" s="23" t="s">
        <v>51</v>
      </c>
      <c r="E10" s="15">
        <v>3</v>
      </c>
      <c r="F10" s="23"/>
      <c r="G10" s="14"/>
    </row>
    <row r="11" ht="22" customHeight="1" spans="1:7">
      <c r="A11" s="8">
        <v>9</v>
      </c>
      <c r="B11" s="9">
        <v>46111</v>
      </c>
      <c r="C11" s="15" t="s">
        <v>22</v>
      </c>
      <c r="D11" s="23" t="s">
        <v>51</v>
      </c>
      <c r="E11" s="23">
        <v>2</v>
      </c>
      <c r="F11" s="15">
        <v>1</v>
      </c>
      <c r="G11" s="14"/>
    </row>
    <row r="12" customFormat="1" ht="22" customHeight="1" spans="1:7">
      <c r="A12" s="8">
        <v>10</v>
      </c>
      <c r="B12" s="9">
        <v>46111</v>
      </c>
      <c r="C12" s="15" t="s">
        <v>24</v>
      </c>
      <c r="D12" s="23" t="s">
        <v>51</v>
      </c>
      <c r="E12" s="23"/>
      <c r="F12" s="15">
        <v>3</v>
      </c>
      <c r="G12" s="14"/>
    </row>
    <row r="13" customFormat="1" ht="22" customHeight="1" spans="1:7">
      <c r="A13" s="8">
        <v>11</v>
      </c>
      <c r="B13" s="9">
        <v>46111</v>
      </c>
      <c r="C13" s="15" t="s">
        <v>43</v>
      </c>
      <c r="D13" s="23" t="s">
        <v>51</v>
      </c>
      <c r="E13" s="23"/>
      <c r="F13" s="15">
        <v>3</v>
      </c>
      <c r="G13" s="14"/>
    </row>
    <row r="14" customFormat="1" ht="22" customHeight="1" spans="1:7">
      <c r="A14" s="8">
        <v>12</v>
      </c>
      <c r="B14" s="9">
        <v>46111</v>
      </c>
      <c r="C14" s="15" t="s">
        <v>26</v>
      </c>
      <c r="D14" s="23" t="s">
        <v>51</v>
      </c>
      <c r="E14" s="23"/>
      <c r="F14" s="15">
        <v>3</v>
      </c>
      <c r="G14" s="14"/>
    </row>
    <row r="15" customFormat="1" ht="22" customHeight="1" spans="1:7">
      <c r="A15" s="8">
        <v>13</v>
      </c>
      <c r="B15" s="9">
        <v>46111</v>
      </c>
      <c r="C15" s="15" t="s">
        <v>27</v>
      </c>
      <c r="D15" s="23" t="s">
        <v>51</v>
      </c>
      <c r="E15" s="23"/>
      <c r="F15" s="15">
        <v>3</v>
      </c>
      <c r="G15" s="14"/>
    </row>
    <row r="16" customFormat="1" ht="22" customHeight="1" spans="1:7">
      <c r="A16" s="8">
        <v>14</v>
      </c>
      <c r="B16" s="9">
        <v>46111</v>
      </c>
      <c r="C16" s="15" t="s">
        <v>28</v>
      </c>
      <c r="D16" s="23" t="s">
        <v>51</v>
      </c>
      <c r="E16" s="15">
        <v>2</v>
      </c>
      <c r="F16" s="15">
        <v>1</v>
      </c>
      <c r="G16" s="14"/>
    </row>
    <row r="17" customFormat="1" ht="22" customHeight="1" spans="1:7">
      <c r="A17" s="8">
        <v>15</v>
      </c>
      <c r="B17" s="9">
        <v>46111</v>
      </c>
      <c r="C17" s="15" t="s">
        <v>31</v>
      </c>
      <c r="D17" s="23" t="s">
        <v>51</v>
      </c>
      <c r="E17" s="15">
        <v>3</v>
      </c>
      <c r="F17" s="24"/>
      <c r="G17" s="14"/>
    </row>
    <row r="18" customFormat="1" ht="22" customHeight="1" spans="1:7">
      <c r="A18" s="8">
        <v>16</v>
      </c>
      <c r="B18" s="9">
        <v>46111</v>
      </c>
      <c r="C18" s="15" t="s">
        <v>32</v>
      </c>
      <c r="D18" s="23" t="s">
        <v>51</v>
      </c>
      <c r="E18" s="16"/>
      <c r="F18" s="15">
        <v>3</v>
      </c>
      <c r="G18" s="14"/>
    </row>
    <row r="19" customFormat="1" ht="22" customHeight="1" spans="1:7">
      <c r="A19" s="8">
        <v>17</v>
      </c>
      <c r="B19" s="9">
        <v>46111</v>
      </c>
      <c r="C19" s="15" t="s">
        <v>34</v>
      </c>
      <c r="D19" s="23" t="s">
        <v>51</v>
      </c>
      <c r="E19" s="15">
        <v>3</v>
      </c>
      <c r="F19" s="15"/>
      <c r="G19" s="25"/>
    </row>
    <row r="20" customFormat="1" ht="22" customHeight="1" spans="1:7">
      <c r="A20" s="8"/>
      <c r="B20" s="9"/>
      <c r="C20" s="15"/>
      <c r="D20" s="26"/>
      <c r="E20" s="16"/>
      <c r="F20" s="16"/>
      <c r="G20" s="14"/>
    </row>
    <row r="21" customFormat="1" ht="22" customHeight="1" spans="1:7">
      <c r="A21" s="8"/>
      <c r="B21" s="17"/>
      <c r="C21" s="18"/>
      <c r="D21" s="19"/>
      <c r="E21" s="20"/>
      <c r="F21" s="21"/>
      <c r="G21" s="21"/>
    </row>
    <row r="22" customFormat="1" ht="13.5" spans="1:7">
      <c r="E22" s="22">
        <f>SUM(E3:E21)</f>
        <v>18</v>
      </c>
      <c r="F22" s="22">
        <f>SUM(F3:F21)</f>
        <v>33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H21" sqref="H3:H21"/>
    </sheetView>
  </sheetViews>
  <sheetFormatPr defaultColWidth="9.14285714285714" defaultRowHeight="12" outlineLevelCol="7"/>
  <cols>
    <col min="1" max="1" width="6.85714285714286" customWidth="1"/>
    <col min="2" max="2" width="11.2857142857143" customWidth="1"/>
    <col min="3" max="3" width="15" customWidth="1"/>
    <col min="4" max="6" width="12.1428571428571" customWidth="1"/>
    <col min="7" max="7" width="25.2857142857143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8">
      <c r="A3" s="8">
        <v>1</v>
      </c>
      <c r="B3" s="9">
        <v>46114</v>
      </c>
      <c r="C3" s="10" t="s">
        <v>13</v>
      </c>
      <c r="D3" s="11" t="s">
        <v>54</v>
      </c>
      <c r="E3" s="11"/>
      <c r="F3" s="10">
        <v>4</v>
      </c>
      <c r="G3" s="12"/>
      <c r="H3">
        <f t="shared" ref="H3:H19" si="0">SUM(E3:F3)</f>
        <v>4</v>
      </c>
    </row>
    <row r="4" ht="22" customHeight="1" spans="1:8">
      <c r="A4" s="8">
        <v>2</v>
      </c>
      <c r="B4" s="9">
        <v>46114</v>
      </c>
      <c r="C4" s="10" t="s">
        <v>16</v>
      </c>
      <c r="D4" s="11" t="s">
        <v>54</v>
      </c>
      <c r="E4" s="11"/>
      <c r="F4" s="10">
        <v>4</v>
      </c>
      <c r="G4" s="13"/>
      <c r="H4">
        <f t="shared" si="0"/>
        <v>4</v>
      </c>
    </row>
    <row r="5" ht="22" customHeight="1" spans="1:8">
      <c r="A5" s="8">
        <v>3</v>
      </c>
      <c r="B5" s="9">
        <v>46114</v>
      </c>
      <c r="C5" s="10" t="s">
        <v>17</v>
      </c>
      <c r="D5" s="11" t="s">
        <v>54</v>
      </c>
      <c r="E5" s="10">
        <v>4</v>
      </c>
      <c r="F5" s="11"/>
      <c r="G5" s="13"/>
      <c r="H5">
        <f t="shared" si="0"/>
        <v>4</v>
      </c>
    </row>
    <row r="6" ht="22" customHeight="1" spans="1:8">
      <c r="A6" s="8">
        <v>4</v>
      </c>
      <c r="B6" s="9">
        <v>46114</v>
      </c>
      <c r="C6" s="10" t="s">
        <v>18</v>
      </c>
      <c r="D6" s="11" t="s">
        <v>54</v>
      </c>
      <c r="E6" s="11"/>
      <c r="F6" s="10">
        <v>4</v>
      </c>
      <c r="G6" s="13"/>
      <c r="H6">
        <f t="shared" si="0"/>
        <v>4</v>
      </c>
    </row>
    <row r="7" ht="22" customHeight="1" spans="1:8">
      <c r="A7" s="8">
        <v>5</v>
      </c>
      <c r="B7" s="9">
        <v>46114</v>
      </c>
      <c r="C7" s="10" t="s">
        <v>19</v>
      </c>
      <c r="D7" s="11" t="s">
        <v>54</v>
      </c>
      <c r="E7" s="11"/>
      <c r="F7" s="10">
        <v>4</v>
      </c>
      <c r="G7" s="13"/>
      <c r="H7">
        <f t="shared" si="0"/>
        <v>4</v>
      </c>
    </row>
    <row r="8" customFormat="1" ht="22" customHeight="1" spans="1:8">
      <c r="A8" s="8">
        <v>6</v>
      </c>
      <c r="B8" s="9">
        <v>46114</v>
      </c>
      <c r="C8" s="10" t="s">
        <v>30</v>
      </c>
      <c r="D8" s="11" t="s">
        <v>54</v>
      </c>
      <c r="E8" s="11"/>
      <c r="F8" s="10">
        <v>4</v>
      </c>
      <c r="G8" s="14"/>
      <c r="H8">
        <f t="shared" si="0"/>
        <v>4</v>
      </c>
    </row>
    <row r="9" ht="22" customHeight="1" spans="1:8">
      <c r="A9" s="8">
        <v>7</v>
      </c>
      <c r="B9" s="9">
        <v>46114</v>
      </c>
      <c r="C9" s="10" t="s">
        <v>20</v>
      </c>
      <c r="D9" s="11" t="s">
        <v>54</v>
      </c>
      <c r="E9" s="10">
        <v>2</v>
      </c>
      <c r="F9" s="10">
        <v>2</v>
      </c>
      <c r="G9" s="13"/>
      <c r="H9">
        <f t="shared" si="0"/>
        <v>4</v>
      </c>
    </row>
    <row r="10" ht="22" customHeight="1" spans="1:8">
      <c r="A10" s="8">
        <v>8</v>
      </c>
      <c r="B10" s="9">
        <v>46114</v>
      </c>
      <c r="C10" s="10" t="s">
        <v>21</v>
      </c>
      <c r="D10" s="11" t="s">
        <v>54</v>
      </c>
      <c r="E10" s="10">
        <v>4</v>
      </c>
      <c r="F10" s="11"/>
      <c r="G10" s="14"/>
      <c r="H10">
        <f t="shared" si="0"/>
        <v>4</v>
      </c>
    </row>
    <row r="11" ht="22" customHeight="1" spans="1:8">
      <c r="A11" s="8">
        <v>9</v>
      </c>
      <c r="B11" s="9">
        <v>46114</v>
      </c>
      <c r="C11" s="10" t="s">
        <v>22</v>
      </c>
      <c r="D11" s="11" t="s">
        <v>54</v>
      </c>
      <c r="E11" s="11">
        <v>2</v>
      </c>
      <c r="F11" s="10">
        <v>2</v>
      </c>
      <c r="G11" s="14"/>
      <c r="H11">
        <f t="shared" si="0"/>
        <v>4</v>
      </c>
    </row>
    <row r="12" customFormat="1" ht="22" customHeight="1" spans="1:8">
      <c r="A12" s="8">
        <v>10</v>
      </c>
      <c r="B12" s="9">
        <v>46114</v>
      </c>
      <c r="C12" s="10" t="s">
        <v>24</v>
      </c>
      <c r="D12" s="11" t="s">
        <v>54</v>
      </c>
      <c r="E12" s="11"/>
      <c r="F12" s="10">
        <v>4</v>
      </c>
      <c r="G12" s="14"/>
      <c r="H12">
        <f t="shared" si="0"/>
        <v>4</v>
      </c>
    </row>
    <row r="13" customFormat="1" ht="22" customHeight="1" spans="1:8">
      <c r="A13" s="8">
        <v>11</v>
      </c>
      <c r="B13" s="9">
        <v>46114</v>
      </c>
      <c r="C13" s="10" t="s">
        <v>25</v>
      </c>
      <c r="D13" s="11" t="s">
        <v>54</v>
      </c>
      <c r="E13" s="11"/>
      <c r="F13" s="10">
        <v>4</v>
      </c>
      <c r="G13" s="14"/>
      <c r="H13">
        <f t="shared" si="0"/>
        <v>4</v>
      </c>
    </row>
    <row r="14" customFormat="1" ht="22" customHeight="1" spans="1:8">
      <c r="A14" s="8">
        <v>12</v>
      </c>
      <c r="B14" s="9">
        <v>46114</v>
      </c>
      <c r="C14" s="10" t="s">
        <v>26</v>
      </c>
      <c r="D14" s="11" t="s">
        <v>54</v>
      </c>
      <c r="E14" s="11"/>
      <c r="F14" s="10">
        <v>4</v>
      </c>
      <c r="G14" s="14"/>
      <c r="H14">
        <f t="shared" si="0"/>
        <v>4</v>
      </c>
    </row>
    <row r="15" customFormat="1" ht="22" customHeight="1" spans="1:8">
      <c r="A15" s="8">
        <v>13</v>
      </c>
      <c r="B15" s="9">
        <v>46114</v>
      </c>
      <c r="C15" s="10" t="s">
        <v>27</v>
      </c>
      <c r="D15" s="11" t="s">
        <v>54</v>
      </c>
      <c r="E15" s="11"/>
      <c r="F15" s="10">
        <v>4</v>
      </c>
      <c r="G15" s="14"/>
      <c r="H15">
        <f t="shared" si="0"/>
        <v>4</v>
      </c>
    </row>
    <row r="16" customFormat="1" ht="22" customHeight="1" spans="1:8">
      <c r="A16" s="8">
        <v>14</v>
      </c>
      <c r="B16" s="9">
        <v>46114</v>
      </c>
      <c r="C16" s="10" t="s">
        <v>28</v>
      </c>
      <c r="D16" s="11" t="s">
        <v>54</v>
      </c>
      <c r="E16" s="10">
        <v>2</v>
      </c>
      <c r="F16" s="10">
        <v>2</v>
      </c>
      <c r="G16" s="14"/>
      <c r="H16">
        <f t="shared" si="0"/>
        <v>4</v>
      </c>
    </row>
    <row r="17" customFormat="1" ht="22" customHeight="1" spans="1:8">
      <c r="A17" s="8">
        <v>15</v>
      </c>
      <c r="B17" s="9">
        <v>46114</v>
      </c>
      <c r="C17" s="10" t="s">
        <v>31</v>
      </c>
      <c r="D17" s="11" t="s">
        <v>54</v>
      </c>
      <c r="E17" s="10">
        <v>4</v>
      </c>
      <c r="F17" s="14"/>
      <c r="G17" s="14"/>
      <c r="H17">
        <f t="shared" si="0"/>
        <v>4</v>
      </c>
    </row>
    <row r="18" customFormat="1" ht="22" customHeight="1" spans="1:8">
      <c r="A18" s="8">
        <v>16</v>
      </c>
      <c r="B18" s="9">
        <v>46114</v>
      </c>
      <c r="C18" s="15" t="s">
        <v>32</v>
      </c>
      <c r="D18" s="11" t="s">
        <v>54</v>
      </c>
      <c r="E18" s="16"/>
      <c r="F18" s="15">
        <v>4</v>
      </c>
      <c r="G18" s="14"/>
      <c r="H18">
        <f t="shared" si="0"/>
        <v>4</v>
      </c>
    </row>
    <row r="19" customFormat="1" ht="22" customHeight="1" spans="1:8">
      <c r="A19" s="8">
        <v>17</v>
      </c>
      <c r="B19" s="9">
        <v>46114</v>
      </c>
      <c r="C19" s="15" t="s">
        <v>34</v>
      </c>
      <c r="D19" s="11" t="s">
        <v>54</v>
      </c>
      <c r="E19" s="12">
        <v>4</v>
      </c>
      <c r="F19" s="14"/>
      <c r="G19" s="14"/>
      <c r="H19">
        <f t="shared" si="0"/>
        <v>4</v>
      </c>
    </row>
    <row r="20" customFormat="1" ht="22" customHeight="1" spans="1:8">
      <c r="A20" s="8"/>
      <c r="B20" s="17"/>
      <c r="C20" s="18"/>
      <c r="D20" s="19"/>
      <c r="E20" s="20"/>
      <c r="F20" s="21"/>
      <c r="G20" s="21"/>
    </row>
    <row r="21" ht="13.5" spans="1:8">
      <c r="E21" s="22">
        <f>SUM(E3:E20)</f>
        <v>22</v>
      </c>
      <c r="F21" s="22">
        <f>SUM(F3:F20)</f>
        <v>46</v>
      </c>
      <c r="H21">
        <f>SUM(H3:H20)</f>
        <v>68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22" sqref="H3:H22"/>
    </sheetView>
  </sheetViews>
  <sheetFormatPr defaultColWidth="9.14285714285714" defaultRowHeight="12" outlineLevelCol="7"/>
  <cols>
    <col min="1" max="1" width="6.71428571428571" customWidth="1"/>
    <col min="2" max="2" width="11.4285714285714" customWidth="1"/>
    <col min="3" max="3" width="15" customWidth="1"/>
    <col min="4" max="6" width="12.1428571428571" customWidth="1"/>
    <col min="7" max="7" width="17.1428571428571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8">
      <c r="A3" s="8">
        <v>1</v>
      </c>
      <c r="B3" s="9">
        <v>46119</v>
      </c>
      <c r="C3" s="15" t="s">
        <v>13</v>
      </c>
      <c r="D3" s="23" t="s">
        <v>51</v>
      </c>
      <c r="E3" s="23"/>
      <c r="F3" s="15">
        <v>3</v>
      </c>
      <c r="G3" s="12"/>
      <c r="H3">
        <f t="shared" ref="H3:H19" si="0">SUM(E3:F3)</f>
        <v>3</v>
      </c>
    </row>
    <row r="4" ht="22" customHeight="1" spans="1:8">
      <c r="A4" s="8">
        <v>2</v>
      </c>
      <c r="B4" s="9">
        <v>46119</v>
      </c>
      <c r="C4" s="15" t="s">
        <v>16</v>
      </c>
      <c r="D4" s="23" t="s">
        <v>51</v>
      </c>
      <c r="E4" s="23"/>
      <c r="F4" s="15">
        <v>3</v>
      </c>
      <c r="G4" s="13"/>
      <c r="H4">
        <f t="shared" si="0"/>
        <v>3</v>
      </c>
    </row>
    <row r="5" ht="22" customHeight="1" spans="1:8">
      <c r="A5" s="8">
        <v>3</v>
      </c>
      <c r="B5" s="9">
        <v>46119</v>
      </c>
      <c r="C5" s="15" t="s">
        <v>17</v>
      </c>
      <c r="D5" s="23" t="s">
        <v>51</v>
      </c>
      <c r="E5" s="15">
        <v>3</v>
      </c>
      <c r="F5" s="23"/>
      <c r="G5" s="13"/>
      <c r="H5">
        <f t="shared" si="0"/>
        <v>3</v>
      </c>
    </row>
    <row r="6" ht="22" customHeight="1" spans="1:8">
      <c r="A6" s="8">
        <v>4</v>
      </c>
      <c r="B6" s="9">
        <v>46119</v>
      </c>
      <c r="C6" s="15" t="s">
        <v>18</v>
      </c>
      <c r="D6" s="23" t="s">
        <v>51</v>
      </c>
      <c r="E6" s="23"/>
      <c r="F6" s="15">
        <v>3</v>
      </c>
      <c r="G6" s="13"/>
      <c r="H6">
        <f t="shared" si="0"/>
        <v>3</v>
      </c>
    </row>
    <row r="7" ht="22" customHeight="1" spans="1:8">
      <c r="A7" s="8">
        <v>5</v>
      </c>
      <c r="B7" s="9">
        <v>46119</v>
      </c>
      <c r="C7" s="15" t="s">
        <v>19</v>
      </c>
      <c r="D7" s="23" t="s">
        <v>51</v>
      </c>
      <c r="E7" s="23"/>
      <c r="F7" s="15">
        <v>3</v>
      </c>
      <c r="G7" s="13"/>
      <c r="H7">
        <f t="shared" si="0"/>
        <v>3</v>
      </c>
    </row>
    <row r="8" customFormat="1" ht="22" customHeight="1" spans="1:8">
      <c r="A8" s="8">
        <v>6</v>
      </c>
      <c r="B8" s="9">
        <v>46119</v>
      </c>
      <c r="C8" s="15" t="s">
        <v>30</v>
      </c>
      <c r="D8" s="23" t="s">
        <v>51</v>
      </c>
      <c r="E8" s="23"/>
      <c r="F8" s="15">
        <v>3</v>
      </c>
      <c r="G8" s="14"/>
      <c r="H8">
        <f t="shared" si="0"/>
        <v>3</v>
      </c>
    </row>
    <row r="9" ht="22" customHeight="1" spans="1:8">
      <c r="A9" s="8">
        <v>7</v>
      </c>
      <c r="B9" s="9">
        <v>46119</v>
      </c>
      <c r="C9" s="15" t="s">
        <v>20</v>
      </c>
      <c r="D9" s="23" t="s">
        <v>51</v>
      </c>
      <c r="E9" s="15">
        <v>2</v>
      </c>
      <c r="F9" s="15">
        <v>1</v>
      </c>
      <c r="G9" s="13"/>
      <c r="H9">
        <f t="shared" si="0"/>
        <v>3</v>
      </c>
    </row>
    <row r="10" ht="22" customHeight="1" spans="1:8">
      <c r="A10" s="8">
        <v>8</v>
      </c>
      <c r="B10" s="9">
        <v>46119</v>
      </c>
      <c r="C10" s="15" t="s">
        <v>21</v>
      </c>
      <c r="D10" s="23" t="s">
        <v>51</v>
      </c>
      <c r="E10" s="15">
        <v>3</v>
      </c>
      <c r="F10" s="23"/>
      <c r="G10" s="14"/>
      <c r="H10">
        <f t="shared" si="0"/>
        <v>3</v>
      </c>
    </row>
    <row r="11" ht="22" customHeight="1" spans="1:8">
      <c r="A11" s="8">
        <v>9</v>
      </c>
      <c r="B11" s="9">
        <v>46119</v>
      </c>
      <c r="C11" s="15" t="s">
        <v>22</v>
      </c>
      <c r="D11" s="23" t="s">
        <v>51</v>
      </c>
      <c r="E11" s="23">
        <v>2</v>
      </c>
      <c r="F11" s="15">
        <v>1</v>
      </c>
      <c r="G11" s="14"/>
      <c r="H11">
        <f t="shared" si="0"/>
        <v>3</v>
      </c>
    </row>
    <row r="12" customFormat="1" ht="22" customHeight="1" spans="1:8">
      <c r="A12" s="8">
        <v>10</v>
      </c>
      <c r="B12" s="9">
        <v>46119</v>
      </c>
      <c r="C12" s="15" t="s">
        <v>24</v>
      </c>
      <c r="D12" s="23" t="s">
        <v>51</v>
      </c>
      <c r="E12" s="23"/>
      <c r="F12" s="15">
        <v>3</v>
      </c>
      <c r="G12" s="14"/>
      <c r="H12">
        <f t="shared" si="0"/>
        <v>3</v>
      </c>
    </row>
    <row r="13" customFormat="1" ht="22" customHeight="1" spans="1:8">
      <c r="A13" s="8">
        <v>11</v>
      </c>
      <c r="B13" s="9">
        <v>46119</v>
      </c>
      <c r="C13" s="15" t="s">
        <v>25</v>
      </c>
      <c r="D13" s="23" t="s">
        <v>51</v>
      </c>
      <c r="E13" s="23"/>
      <c r="F13" s="15">
        <v>3</v>
      </c>
      <c r="G13" s="14"/>
      <c r="H13">
        <f t="shared" si="0"/>
        <v>3</v>
      </c>
    </row>
    <row r="14" customFormat="1" ht="22" customHeight="1" spans="1:8">
      <c r="A14" s="8">
        <v>12</v>
      </c>
      <c r="B14" s="9">
        <v>46119</v>
      </c>
      <c r="C14" s="15" t="s">
        <v>26</v>
      </c>
      <c r="D14" s="23" t="s">
        <v>51</v>
      </c>
      <c r="E14" s="23"/>
      <c r="F14" s="15">
        <v>3</v>
      </c>
      <c r="G14" s="14"/>
      <c r="H14">
        <f t="shared" si="0"/>
        <v>3</v>
      </c>
    </row>
    <row r="15" customFormat="1" ht="22" customHeight="1" spans="1:8">
      <c r="A15" s="8">
        <v>13</v>
      </c>
      <c r="B15" s="9">
        <v>46119</v>
      </c>
      <c r="C15" s="15" t="s">
        <v>27</v>
      </c>
      <c r="D15" s="23" t="s">
        <v>51</v>
      </c>
      <c r="E15" s="23"/>
      <c r="F15" s="15">
        <v>3</v>
      </c>
      <c r="G15" s="14"/>
      <c r="H15">
        <f t="shared" si="0"/>
        <v>3</v>
      </c>
    </row>
    <row r="16" customFormat="1" ht="22" customHeight="1" spans="1:8">
      <c r="A16" s="8">
        <v>14</v>
      </c>
      <c r="B16" s="9">
        <v>46119</v>
      </c>
      <c r="C16" s="15" t="s">
        <v>28</v>
      </c>
      <c r="D16" s="23" t="s">
        <v>51</v>
      </c>
      <c r="E16" s="15">
        <v>2</v>
      </c>
      <c r="F16" s="15">
        <v>1</v>
      </c>
      <c r="G16" s="14"/>
      <c r="H16">
        <f t="shared" si="0"/>
        <v>3</v>
      </c>
    </row>
    <row r="17" customFormat="1" ht="22" customHeight="1" spans="1:8">
      <c r="A17" s="8">
        <v>15</v>
      </c>
      <c r="B17" s="9">
        <v>46119</v>
      </c>
      <c r="C17" s="15" t="s">
        <v>31</v>
      </c>
      <c r="D17" s="23" t="s">
        <v>51</v>
      </c>
      <c r="E17" s="15">
        <v>3</v>
      </c>
      <c r="F17" s="24"/>
      <c r="G17" s="14"/>
      <c r="H17">
        <f t="shared" si="0"/>
        <v>3</v>
      </c>
    </row>
    <row r="18" customFormat="1" ht="22" customHeight="1" spans="1:8">
      <c r="A18" s="8">
        <v>16</v>
      </c>
      <c r="B18" s="9">
        <v>46119</v>
      </c>
      <c r="C18" s="15" t="s">
        <v>32</v>
      </c>
      <c r="D18" s="23" t="s">
        <v>51</v>
      </c>
      <c r="E18" s="16"/>
      <c r="F18" s="15">
        <v>3</v>
      </c>
      <c r="G18" s="14"/>
      <c r="H18">
        <f t="shared" si="0"/>
        <v>3</v>
      </c>
    </row>
    <row r="19" customFormat="1" ht="22" customHeight="1" spans="1:8">
      <c r="A19" s="8">
        <v>17</v>
      </c>
      <c r="B19" s="9">
        <v>46119</v>
      </c>
      <c r="C19" s="15" t="s">
        <v>34</v>
      </c>
      <c r="D19" s="23" t="s">
        <v>51</v>
      </c>
      <c r="E19" s="15">
        <v>3</v>
      </c>
      <c r="F19" s="15"/>
      <c r="G19" s="25"/>
      <c r="H19">
        <f t="shared" si="0"/>
        <v>3</v>
      </c>
    </row>
    <row r="20" customFormat="1" ht="22" customHeight="1" spans="1:8">
      <c r="A20" s="8"/>
      <c r="B20" s="9"/>
      <c r="C20" s="15"/>
      <c r="D20" s="26"/>
      <c r="E20" s="16"/>
      <c r="F20" s="16"/>
      <c r="G20" s="14"/>
    </row>
    <row r="21" customFormat="1" ht="22" customHeight="1" spans="1:8">
      <c r="A21" s="8"/>
      <c r="B21" s="17"/>
      <c r="C21" s="18"/>
      <c r="D21" s="19"/>
      <c r="E21" s="20"/>
      <c r="F21" s="21"/>
      <c r="G21" s="21"/>
    </row>
    <row r="22" customFormat="1" ht="13.5" spans="1:8">
      <c r="E22" s="22">
        <f>SUM(E3:E21)</f>
        <v>18</v>
      </c>
      <c r="F22" s="22">
        <f>SUM(F3:F21)</f>
        <v>33</v>
      </c>
      <c r="H22">
        <f>SUM(H3:H21)</f>
        <v>51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3" sqref="H3"/>
    </sheetView>
  </sheetViews>
  <sheetFormatPr defaultColWidth="9.14285714285714" defaultRowHeight="12" outlineLevelCol="7"/>
  <cols>
    <col min="1" max="1" width="6.85714285714286" customWidth="1"/>
    <col min="2" max="2" width="11.2857142857143" customWidth="1"/>
    <col min="3" max="3" width="15" customWidth="1"/>
    <col min="4" max="6" width="12.1428571428571" customWidth="1"/>
    <col min="7" max="7" width="25.2857142857143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8">
      <c r="A3" s="8">
        <v>1</v>
      </c>
      <c r="B3" s="9">
        <v>46121</v>
      </c>
      <c r="C3" s="10" t="s">
        <v>13</v>
      </c>
      <c r="D3" s="11" t="s">
        <v>54</v>
      </c>
      <c r="E3" s="11"/>
      <c r="F3" s="10">
        <v>4</v>
      </c>
      <c r="G3" s="12"/>
      <c r="H3">
        <f t="shared" ref="H3:H19" si="0">SUM(E3:F3)</f>
        <v>4</v>
      </c>
    </row>
    <row r="4" ht="22" customHeight="1" spans="1:8">
      <c r="A4" s="8">
        <v>2</v>
      </c>
      <c r="B4" s="9">
        <v>46121</v>
      </c>
      <c r="C4" s="10" t="s">
        <v>16</v>
      </c>
      <c r="D4" s="11" t="s">
        <v>54</v>
      </c>
      <c r="E4" s="11"/>
      <c r="F4" s="10">
        <v>4</v>
      </c>
      <c r="G4" s="13"/>
      <c r="H4">
        <f t="shared" si="0"/>
        <v>4</v>
      </c>
    </row>
    <row r="5" ht="22" customHeight="1" spans="1:8">
      <c r="A5" s="8">
        <v>3</v>
      </c>
      <c r="B5" s="9">
        <v>46121</v>
      </c>
      <c r="C5" s="10" t="s">
        <v>17</v>
      </c>
      <c r="D5" s="11" t="s">
        <v>54</v>
      </c>
      <c r="E5" s="10">
        <v>4</v>
      </c>
      <c r="F5" s="11"/>
      <c r="G5" s="13"/>
      <c r="H5">
        <f t="shared" si="0"/>
        <v>4</v>
      </c>
    </row>
    <row r="6" ht="22" customHeight="1" spans="1:8">
      <c r="A6" s="8">
        <v>4</v>
      </c>
      <c r="B6" s="9">
        <v>46121</v>
      </c>
      <c r="C6" s="10" t="s">
        <v>18</v>
      </c>
      <c r="D6" s="11" t="s">
        <v>54</v>
      </c>
      <c r="E6" s="11"/>
      <c r="F6" s="10">
        <v>4</v>
      </c>
      <c r="G6" s="13"/>
      <c r="H6">
        <f t="shared" si="0"/>
        <v>4</v>
      </c>
    </row>
    <row r="7" ht="22" customHeight="1" spans="1:8">
      <c r="A7" s="8">
        <v>5</v>
      </c>
      <c r="B7" s="9">
        <v>46121</v>
      </c>
      <c r="C7" s="10" t="s">
        <v>19</v>
      </c>
      <c r="D7" s="11" t="s">
        <v>54</v>
      </c>
      <c r="E7" s="11"/>
      <c r="F7" s="10">
        <v>4</v>
      </c>
      <c r="G7" s="13"/>
      <c r="H7">
        <f t="shared" si="0"/>
        <v>4</v>
      </c>
    </row>
    <row r="8" customFormat="1" ht="22" customHeight="1" spans="1:8">
      <c r="A8" s="8">
        <v>6</v>
      </c>
      <c r="B8" s="9">
        <v>46121</v>
      </c>
      <c r="C8" s="10" t="s">
        <v>30</v>
      </c>
      <c r="D8" s="11" t="s">
        <v>54</v>
      </c>
      <c r="E8" s="11"/>
      <c r="F8" s="10">
        <v>4</v>
      </c>
      <c r="G8" s="14"/>
      <c r="H8">
        <f t="shared" si="0"/>
        <v>4</v>
      </c>
    </row>
    <row r="9" ht="22" customHeight="1" spans="1:8">
      <c r="A9" s="8">
        <v>7</v>
      </c>
      <c r="B9" s="9">
        <v>46121</v>
      </c>
      <c r="C9" s="10" t="s">
        <v>20</v>
      </c>
      <c r="D9" s="11" t="s">
        <v>54</v>
      </c>
      <c r="E9" s="10">
        <v>2</v>
      </c>
      <c r="F9" s="10">
        <v>2</v>
      </c>
      <c r="G9" s="13"/>
      <c r="H9">
        <f t="shared" si="0"/>
        <v>4</v>
      </c>
    </row>
    <row r="10" ht="22" customHeight="1" spans="1:8">
      <c r="A10" s="8">
        <v>8</v>
      </c>
      <c r="B10" s="9">
        <v>46121</v>
      </c>
      <c r="C10" s="10" t="s">
        <v>21</v>
      </c>
      <c r="D10" s="11" t="s">
        <v>54</v>
      </c>
      <c r="E10" s="10">
        <v>4</v>
      </c>
      <c r="F10" s="11"/>
      <c r="G10" s="14"/>
      <c r="H10">
        <f t="shared" si="0"/>
        <v>4</v>
      </c>
    </row>
    <row r="11" ht="22" customHeight="1" spans="1:8">
      <c r="A11" s="8">
        <v>9</v>
      </c>
      <c r="B11" s="9">
        <v>46121</v>
      </c>
      <c r="C11" s="10" t="s">
        <v>22</v>
      </c>
      <c r="D11" s="11" t="s">
        <v>54</v>
      </c>
      <c r="E11" s="11">
        <v>2</v>
      </c>
      <c r="F11" s="10">
        <v>2</v>
      </c>
      <c r="G11" s="14"/>
      <c r="H11">
        <f t="shared" si="0"/>
        <v>4</v>
      </c>
    </row>
    <row r="12" customFormat="1" ht="22" customHeight="1" spans="1:8">
      <c r="A12" s="8">
        <v>10</v>
      </c>
      <c r="B12" s="9">
        <v>46121</v>
      </c>
      <c r="C12" s="10" t="s">
        <v>24</v>
      </c>
      <c r="D12" s="11" t="s">
        <v>54</v>
      </c>
      <c r="E12" s="11"/>
      <c r="F12" s="10">
        <v>4</v>
      </c>
      <c r="G12" s="14"/>
      <c r="H12">
        <f t="shared" si="0"/>
        <v>4</v>
      </c>
    </row>
    <row r="13" customFormat="1" ht="22" customHeight="1" spans="1:8">
      <c r="A13" s="8">
        <v>11</v>
      </c>
      <c r="B13" s="9">
        <v>46121</v>
      </c>
      <c r="C13" s="10" t="s">
        <v>25</v>
      </c>
      <c r="D13" s="11" t="s">
        <v>54</v>
      </c>
      <c r="E13" s="11"/>
      <c r="F13" s="10">
        <v>4</v>
      </c>
      <c r="G13" s="14"/>
      <c r="H13">
        <f t="shared" si="0"/>
        <v>4</v>
      </c>
    </row>
    <row r="14" customFormat="1" ht="22" customHeight="1" spans="1:8">
      <c r="A14" s="8">
        <v>12</v>
      </c>
      <c r="B14" s="9">
        <v>46121</v>
      </c>
      <c r="C14" s="10" t="s">
        <v>26</v>
      </c>
      <c r="D14" s="11" t="s">
        <v>54</v>
      </c>
      <c r="E14" s="11"/>
      <c r="F14" s="10">
        <v>4</v>
      </c>
      <c r="G14" s="14"/>
      <c r="H14">
        <f t="shared" si="0"/>
        <v>4</v>
      </c>
    </row>
    <row r="15" customFormat="1" ht="22" customHeight="1" spans="1:8">
      <c r="A15" s="8">
        <v>13</v>
      </c>
      <c r="B15" s="9">
        <v>46121</v>
      </c>
      <c r="C15" s="10" t="s">
        <v>27</v>
      </c>
      <c r="D15" s="11" t="s">
        <v>54</v>
      </c>
      <c r="E15" s="11"/>
      <c r="F15" s="10">
        <v>4</v>
      </c>
      <c r="G15" s="14"/>
      <c r="H15">
        <f t="shared" si="0"/>
        <v>4</v>
      </c>
    </row>
    <row r="16" customFormat="1" ht="22" customHeight="1" spans="1:8">
      <c r="A16" s="8">
        <v>14</v>
      </c>
      <c r="B16" s="9">
        <v>46121</v>
      </c>
      <c r="C16" s="10" t="s">
        <v>28</v>
      </c>
      <c r="D16" s="11" t="s">
        <v>54</v>
      </c>
      <c r="E16" s="10">
        <v>2</v>
      </c>
      <c r="F16" s="10">
        <v>2</v>
      </c>
      <c r="G16" s="14"/>
      <c r="H16">
        <f t="shared" si="0"/>
        <v>4</v>
      </c>
    </row>
    <row r="17" customFormat="1" ht="22" customHeight="1" spans="1:8">
      <c r="A17" s="8">
        <v>15</v>
      </c>
      <c r="B17" s="9">
        <v>46121</v>
      </c>
      <c r="C17" s="10" t="s">
        <v>31</v>
      </c>
      <c r="D17" s="11" t="s">
        <v>54</v>
      </c>
      <c r="E17" s="10">
        <v>4</v>
      </c>
      <c r="F17" s="14"/>
      <c r="G17" s="14"/>
      <c r="H17">
        <f t="shared" si="0"/>
        <v>4</v>
      </c>
    </row>
    <row r="18" customFormat="1" ht="22" customHeight="1" spans="1:8">
      <c r="A18" s="8">
        <v>16</v>
      </c>
      <c r="B18" s="9">
        <v>46121</v>
      </c>
      <c r="C18" s="15" t="s">
        <v>32</v>
      </c>
      <c r="D18" s="11" t="s">
        <v>54</v>
      </c>
      <c r="E18" s="16"/>
      <c r="F18" s="15">
        <v>4</v>
      </c>
      <c r="G18" s="14"/>
      <c r="H18">
        <f t="shared" si="0"/>
        <v>4</v>
      </c>
    </row>
    <row r="19" customFormat="1" ht="22" customHeight="1" spans="1:8">
      <c r="A19" s="8">
        <v>17</v>
      </c>
      <c r="B19" s="9">
        <v>46121</v>
      </c>
      <c r="C19" s="15" t="s">
        <v>34</v>
      </c>
      <c r="D19" s="11" t="s">
        <v>54</v>
      </c>
      <c r="E19" s="12">
        <v>4</v>
      </c>
      <c r="F19" s="14"/>
      <c r="G19" s="14"/>
      <c r="H19">
        <f t="shared" si="0"/>
        <v>4</v>
      </c>
    </row>
    <row r="20" customFormat="1" ht="22" customHeight="1" spans="1:8">
      <c r="A20" s="8"/>
      <c r="B20" s="17"/>
      <c r="C20" s="18"/>
      <c r="D20" s="19"/>
      <c r="E20" s="20"/>
      <c r="F20" s="21"/>
      <c r="G20" s="21"/>
    </row>
    <row r="21" ht="13.5" spans="1:8">
      <c r="E21" s="22">
        <f>SUM(E3:E20)</f>
        <v>22</v>
      </c>
      <c r="F21" s="22">
        <f>SUM(F3:F20)</f>
        <v>46</v>
      </c>
    </row>
    <row r="22" spans="1:8">
      <c r="H22">
        <f>SUM(H3:H21)</f>
        <v>68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K9" sqref="K9"/>
    </sheetView>
  </sheetViews>
  <sheetFormatPr defaultColWidth="9.14285714285714" defaultRowHeight="12"/>
  <cols>
    <col min="1" max="1" width="6.71428571428571" customWidth="1"/>
    <col min="2" max="2" width="11.4285714285714" customWidth="1"/>
    <col min="3" max="3" width="15" customWidth="1"/>
    <col min="4" max="6" width="12.1428571428571" customWidth="1"/>
    <col min="7" max="7" width="17.1428571428571" customWidth="1"/>
  </cols>
  <sheetData>
    <row r="1" ht="38" customHeight="1" spans="1:9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9">
      <c r="A3" s="8">
        <v>1</v>
      </c>
      <c r="B3" s="9">
        <v>46125</v>
      </c>
      <c r="C3" s="15" t="s">
        <v>13</v>
      </c>
      <c r="D3" s="23" t="s">
        <v>51</v>
      </c>
      <c r="E3" s="23"/>
      <c r="F3" s="15">
        <v>3</v>
      </c>
      <c r="G3" s="12"/>
      <c r="I3">
        <f>SUM(E3:F3)</f>
        <v>3</v>
      </c>
    </row>
    <row r="4" ht="22" customHeight="1" spans="1:9">
      <c r="A4" s="8">
        <v>2</v>
      </c>
      <c r="B4" s="9">
        <v>46125</v>
      </c>
      <c r="C4" s="15" t="s">
        <v>16</v>
      </c>
      <c r="D4" s="23" t="s">
        <v>51</v>
      </c>
      <c r="E4" s="23"/>
      <c r="F4" s="15">
        <v>3</v>
      </c>
      <c r="G4" s="13"/>
      <c r="I4">
        <f t="shared" ref="I4:I22" si="0">SUM(E4:F4)</f>
        <v>3</v>
      </c>
    </row>
    <row r="5" ht="22" customHeight="1" spans="1:9">
      <c r="A5" s="8">
        <v>3</v>
      </c>
      <c r="B5" s="9">
        <v>46125</v>
      </c>
      <c r="C5" s="15" t="s">
        <v>17</v>
      </c>
      <c r="D5" s="23" t="s">
        <v>51</v>
      </c>
      <c r="E5" s="15">
        <v>3</v>
      </c>
      <c r="F5" s="23"/>
      <c r="G5" s="13"/>
      <c r="I5">
        <f t="shared" si="0"/>
        <v>3</v>
      </c>
    </row>
    <row r="6" ht="22" customHeight="1" spans="1:9">
      <c r="A6" s="8">
        <v>4</v>
      </c>
      <c r="B6" s="9">
        <v>46125</v>
      </c>
      <c r="C6" s="15" t="s">
        <v>18</v>
      </c>
      <c r="D6" s="23" t="s">
        <v>51</v>
      </c>
      <c r="E6" s="23"/>
      <c r="F6" s="15">
        <v>3</v>
      </c>
      <c r="G6" s="13"/>
      <c r="I6">
        <f t="shared" si="0"/>
        <v>3</v>
      </c>
    </row>
    <row r="7" ht="22" customHeight="1" spans="1:9">
      <c r="A7" s="8">
        <v>5</v>
      </c>
      <c r="B7" s="9">
        <v>46125</v>
      </c>
      <c r="C7" s="15" t="s">
        <v>19</v>
      </c>
      <c r="D7" s="23" t="s">
        <v>51</v>
      </c>
      <c r="E7" s="23"/>
      <c r="F7" s="15">
        <v>3</v>
      </c>
      <c r="G7" s="13"/>
      <c r="I7">
        <f t="shared" si="0"/>
        <v>3</v>
      </c>
    </row>
    <row r="8" customFormat="1" ht="22" customHeight="1" spans="1:9">
      <c r="A8" s="8">
        <v>6</v>
      </c>
      <c r="B8" s="9">
        <v>46125</v>
      </c>
      <c r="C8" s="15" t="s">
        <v>30</v>
      </c>
      <c r="D8" s="23" t="s">
        <v>51</v>
      </c>
      <c r="E8" s="23"/>
      <c r="F8" s="15">
        <v>3</v>
      </c>
      <c r="G8" s="14"/>
      <c r="I8">
        <f t="shared" si="0"/>
        <v>3</v>
      </c>
    </row>
    <row r="9" ht="22" customHeight="1" spans="1:9">
      <c r="A9" s="8">
        <v>7</v>
      </c>
      <c r="B9" s="9">
        <v>46125</v>
      </c>
      <c r="C9" s="15" t="s">
        <v>20</v>
      </c>
      <c r="D9" s="23" t="s">
        <v>51</v>
      </c>
      <c r="E9" s="15">
        <v>2</v>
      </c>
      <c r="F9" s="15">
        <v>1</v>
      </c>
      <c r="G9" s="13"/>
      <c r="I9">
        <f t="shared" si="0"/>
        <v>3</v>
      </c>
    </row>
    <row r="10" ht="22" customHeight="1" spans="1:9">
      <c r="A10" s="8">
        <v>8</v>
      </c>
      <c r="B10" s="9">
        <v>46125</v>
      </c>
      <c r="C10" s="15" t="s">
        <v>21</v>
      </c>
      <c r="D10" s="23" t="s">
        <v>51</v>
      </c>
      <c r="E10" s="15">
        <v>3</v>
      </c>
      <c r="F10" s="23"/>
      <c r="G10" s="14"/>
      <c r="I10">
        <f t="shared" si="0"/>
        <v>3</v>
      </c>
    </row>
    <row r="11" ht="22" customHeight="1" spans="1:9">
      <c r="A11" s="8">
        <v>9</v>
      </c>
      <c r="B11" s="9">
        <v>46125</v>
      </c>
      <c r="C11" s="15" t="s">
        <v>22</v>
      </c>
      <c r="D11" s="23" t="s">
        <v>51</v>
      </c>
      <c r="E11" s="23">
        <v>2</v>
      </c>
      <c r="F11" s="15">
        <v>1</v>
      </c>
      <c r="G11" s="14"/>
      <c r="I11">
        <f t="shared" si="0"/>
        <v>3</v>
      </c>
    </row>
    <row r="12" customFormat="1" ht="22" customHeight="1" spans="1:9">
      <c r="A12" s="8">
        <v>10</v>
      </c>
      <c r="B12" s="9">
        <v>46125</v>
      </c>
      <c r="C12" s="15" t="s">
        <v>24</v>
      </c>
      <c r="D12" s="23" t="s">
        <v>51</v>
      </c>
      <c r="E12" s="23"/>
      <c r="F12" s="15">
        <v>3</v>
      </c>
      <c r="G12" s="14"/>
      <c r="I12">
        <f t="shared" si="0"/>
        <v>3</v>
      </c>
    </row>
    <row r="13" customFormat="1" ht="22" customHeight="1" spans="1:9">
      <c r="A13" s="8">
        <v>11</v>
      </c>
      <c r="B13" s="9">
        <v>46125</v>
      </c>
      <c r="C13" s="15" t="s">
        <v>25</v>
      </c>
      <c r="D13" s="23" t="s">
        <v>51</v>
      </c>
      <c r="E13" s="23"/>
      <c r="F13" s="15">
        <v>3</v>
      </c>
      <c r="G13" s="14"/>
      <c r="I13">
        <f t="shared" si="0"/>
        <v>3</v>
      </c>
    </row>
    <row r="14" customFormat="1" ht="22" customHeight="1" spans="1:9">
      <c r="A14" s="8">
        <v>12</v>
      </c>
      <c r="B14" s="9">
        <v>46125</v>
      </c>
      <c r="C14" s="15" t="s">
        <v>26</v>
      </c>
      <c r="D14" s="23" t="s">
        <v>51</v>
      </c>
      <c r="E14" s="23"/>
      <c r="F14" s="15">
        <v>3</v>
      </c>
      <c r="G14" s="14"/>
      <c r="I14">
        <f t="shared" si="0"/>
        <v>3</v>
      </c>
    </row>
    <row r="15" customFormat="1" ht="22" customHeight="1" spans="1:9">
      <c r="A15" s="8">
        <v>13</v>
      </c>
      <c r="B15" s="9">
        <v>46125</v>
      </c>
      <c r="C15" s="15" t="s">
        <v>27</v>
      </c>
      <c r="D15" s="23" t="s">
        <v>51</v>
      </c>
      <c r="E15" s="23"/>
      <c r="F15" s="15">
        <v>3</v>
      </c>
      <c r="G15" s="14"/>
      <c r="I15">
        <f t="shared" si="0"/>
        <v>3</v>
      </c>
    </row>
    <row r="16" customFormat="1" ht="22" customHeight="1" spans="1:9">
      <c r="A16" s="8">
        <v>14</v>
      </c>
      <c r="B16" s="9">
        <v>46125</v>
      </c>
      <c r="C16" s="15" t="s">
        <v>28</v>
      </c>
      <c r="D16" s="23" t="s">
        <v>51</v>
      </c>
      <c r="E16" s="15">
        <v>2</v>
      </c>
      <c r="F16" s="15">
        <v>1</v>
      </c>
      <c r="G16" s="14"/>
      <c r="I16">
        <f t="shared" si="0"/>
        <v>3</v>
      </c>
    </row>
    <row r="17" customFormat="1" ht="22" customHeight="1" spans="1:9">
      <c r="A17" s="8">
        <v>15</v>
      </c>
      <c r="B17" s="9">
        <v>46125</v>
      </c>
      <c r="C17" s="15" t="s">
        <v>31</v>
      </c>
      <c r="D17" s="23" t="s">
        <v>51</v>
      </c>
      <c r="E17" s="15">
        <v>3</v>
      </c>
      <c r="F17" s="24"/>
      <c r="G17" s="14"/>
      <c r="I17">
        <f t="shared" si="0"/>
        <v>3</v>
      </c>
    </row>
    <row r="18" customFormat="1" ht="22" customHeight="1" spans="1:9">
      <c r="A18" s="8">
        <v>16</v>
      </c>
      <c r="B18" s="9">
        <v>46125</v>
      </c>
      <c r="C18" s="15" t="s">
        <v>32</v>
      </c>
      <c r="D18" s="23" t="s">
        <v>51</v>
      </c>
      <c r="E18" s="16"/>
      <c r="F18" s="15">
        <v>3</v>
      </c>
      <c r="G18" s="14"/>
      <c r="I18">
        <f t="shared" si="0"/>
        <v>3</v>
      </c>
    </row>
    <row r="19" customFormat="1" ht="22" customHeight="1" spans="1:9">
      <c r="A19" s="8">
        <v>17</v>
      </c>
      <c r="B19" s="9">
        <v>46125</v>
      </c>
      <c r="C19" s="15" t="s">
        <v>34</v>
      </c>
      <c r="D19" s="23" t="s">
        <v>51</v>
      </c>
      <c r="E19" s="15">
        <v>3</v>
      </c>
      <c r="F19" s="15"/>
      <c r="G19" s="25"/>
      <c r="I19">
        <f t="shared" si="0"/>
        <v>3</v>
      </c>
    </row>
    <row r="20" customFormat="1" ht="22" customHeight="1" spans="1:9">
      <c r="A20" s="8"/>
      <c r="B20" s="9"/>
      <c r="C20" s="15"/>
      <c r="D20" s="26"/>
      <c r="E20" s="16"/>
      <c r="F20" s="16"/>
      <c r="G20" s="14"/>
      <c r="I20">
        <f t="shared" si="0"/>
        <v>0</v>
      </c>
    </row>
    <row r="21" customFormat="1" ht="22" customHeight="1" spans="1:9">
      <c r="A21" s="8"/>
      <c r="B21" s="17"/>
      <c r="C21" s="18"/>
      <c r="D21" s="19"/>
      <c r="E21" s="20"/>
      <c r="F21" s="21"/>
      <c r="G21" s="21"/>
      <c r="I21">
        <f t="shared" si="0"/>
        <v>0</v>
      </c>
    </row>
    <row r="22" customFormat="1" ht="13.5" spans="1:9">
      <c r="E22" s="22">
        <f>SUM(E3:E21)</f>
        <v>18</v>
      </c>
      <c r="F22" s="22">
        <f>SUM(F3:F21)</f>
        <v>33</v>
      </c>
      <c r="I22">
        <f t="shared" si="0"/>
        <v>51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G11" sqref="G11"/>
    </sheetView>
  </sheetViews>
  <sheetFormatPr defaultColWidth="9.14285714285714" defaultRowHeight="12"/>
  <cols>
    <col min="1" max="1" width="6.85714285714286" customWidth="1"/>
    <col min="2" max="2" width="11.2857142857143" customWidth="1"/>
    <col min="3" max="3" width="15" customWidth="1"/>
    <col min="4" max="6" width="12.1428571428571" customWidth="1"/>
    <col min="7" max="7" width="25.2857142857143" customWidth="1"/>
  </cols>
  <sheetData>
    <row r="1" ht="38" customHeight="1" spans="1:9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9">
      <c r="A3" s="8">
        <v>1</v>
      </c>
      <c r="B3" s="9">
        <v>46128</v>
      </c>
      <c r="C3" s="10" t="s">
        <v>13</v>
      </c>
      <c r="D3" s="11" t="s">
        <v>54</v>
      </c>
      <c r="E3" s="11"/>
      <c r="F3" s="10">
        <v>4</v>
      </c>
      <c r="G3" s="12"/>
      <c r="I3">
        <f>SUM(E3:F3)</f>
        <v>4</v>
      </c>
    </row>
    <row r="4" ht="22" customHeight="1" spans="1:9">
      <c r="A4" s="8">
        <v>2</v>
      </c>
      <c r="B4" s="9">
        <v>46128</v>
      </c>
      <c r="C4" s="10" t="s">
        <v>16</v>
      </c>
      <c r="D4" s="11" t="s">
        <v>54</v>
      </c>
      <c r="E4" s="11"/>
      <c r="F4" s="10">
        <v>4</v>
      </c>
      <c r="G4" s="13"/>
      <c r="I4">
        <f t="shared" ref="I3:I19" si="0">SUM(E4:F4)</f>
        <v>4</v>
      </c>
    </row>
    <row r="5" ht="22" customHeight="1" spans="1:9">
      <c r="A5" s="8">
        <v>3</v>
      </c>
      <c r="B5" s="9">
        <v>46128</v>
      </c>
      <c r="C5" s="10" t="s">
        <v>17</v>
      </c>
      <c r="D5" s="11" t="s">
        <v>54</v>
      </c>
      <c r="E5" s="10">
        <v>4</v>
      </c>
      <c r="F5" s="11"/>
      <c r="G5" s="13"/>
      <c r="I5">
        <f t="shared" si="0"/>
        <v>4</v>
      </c>
    </row>
    <row r="6" ht="22" customHeight="1" spans="1:9">
      <c r="A6" s="8">
        <v>4</v>
      </c>
      <c r="B6" s="9">
        <v>46128</v>
      </c>
      <c r="C6" s="10" t="s">
        <v>18</v>
      </c>
      <c r="D6" s="11" t="s">
        <v>54</v>
      </c>
      <c r="E6" s="11"/>
      <c r="F6" s="10">
        <v>4</v>
      </c>
      <c r="G6" s="13"/>
      <c r="I6">
        <f t="shared" si="0"/>
        <v>4</v>
      </c>
    </row>
    <row r="7" ht="22" customHeight="1" spans="1:9">
      <c r="A7" s="8">
        <v>5</v>
      </c>
      <c r="B7" s="9">
        <v>46128</v>
      </c>
      <c r="C7" s="10" t="s">
        <v>19</v>
      </c>
      <c r="D7" s="11" t="s">
        <v>54</v>
      </c>
      <c r="E7" s="11"/>
      <c r="F7" s="10">
        <v>4</v>
      </c>
      <c r="G7" s="13"/>
      <c r="I7">
        <f t="shared" si="0"/>
        <v>4</v>
      </c>
    </row>
    <row r="8" customFormat="1" ht="22" customHeight="1" spans="1:9">
      <c r="A8" s="8">
        <v>6</v>
      </c>
      <c r="B8" s="9">
        <v>46128</v>
      </c>
      <c r="C8" s="10" t="s">
        <v>30</v>
      </c>
      <c r="D8" s="11" t="s">
        <v>54</v>
      </c>
      <c r="E8" s="11"/>
      <c r="F8" s="10">
        <v>4</v>
      </c>
      <c r="G8" s="14"/>
      <c r="I8">
        <f t="shared" si="0"/>
        <v>4</v>
      </c>
    </row>
    <row r="9" ht="22" customHeight="1" spans="1:9">
      <c r="A9" s="8">
        <v>7</v>
      </c>
      <c r="B9" s="9">
        <v>46128</v>
      </c>
      <c r="C9" s="10" t="s">
        <v>20</v>
      </c>
      <c r="D9" s="11" t="s">
        <v>54</v>
      </c>
      <c r="E9" s="10">
        <v>2</v>
      </c>
      <c r="F9" s="10">
        <v>2</v>
      </c>
      <c r="G9" s="13"/>
      <c r="I9">
        <f t="shared" si="0"/>
        <v>4</v>
      </c>
    </row>
    <row r="10" ht="22" customHeight="1" spans="1:9">
      <c r="A10" s="8">
        <v>8</v>
      </c>
      <c r="B10" s="9">
        <v>46128</v>
      </c>
      <c r="C10" s="10" t="s">
        <v>21</v>
      </c>
      <c r="D10" s="11" t="s">
        <v>54</v>
      </c>
      <c r="E10" s="10">
        <v>4</v>
      </c>
      <c r="F10" s="11"/>
      <c r="G10" s="14"/>
      <c r="I10">
        <f t="shared" si="0"/>
        <v>4</v>
      </c>
    </row>
    <row r="11" ht="22" customHeight="1" spans="1:9">
      <c r="A11" s="8">
        <v>9</v>
      </c>
      <c r="B11" s="9">
        <v>46128</v>
      </c>
      <c r="C11" s="10" t="s">
        <v>22</v>
      </c>
      <c r="D11" s="11" t="s">
        <v>54</v>
      </c>
      <c r="E11" s="11">
        <v>2</v>
      </c>
      <c r="F11" s="10">
        <v>2</v>
      </c>
      <c r="G11" s="14"/>
      <c r="I11">
        <f t="shared" si="0"/>
        <v>4</v>
      </c>
    </row>
    <row r="12" customFormat="1" ht="22" customHeight="1" spans="1:9">
      <c r="A12" s="8">
        <v>10</v>
      </c>
      <c r="B12" s="9">
        <v>46128</v>
      </c>
      <c r="C12" s="10" t="s">
        <v>24</v>
      </c>
      <c r="D12" s="11" t="s">
        <v>54</v>
      </c>
      <c r="E12" s="11"/>
      <c r="F12" s="10">
        <v>4</v>
      </c>
      <c r="G12" s="14"/>
      <c r="I12">
        <f t="shared" si="0"/>
        <v>4</v>
      </c>
    </row>
    <row r="13" customFormat="1" ht="22" customHeight="1" spans="1:9">
      <c r="A13" s="8">
        <v>11</v>
      </c>
      <c r="B13" s="9">
        <v>46128</v>
      </c>
      <c r="C13" s="10" t="s">
        <v>25</v>
      </c>
      <c r="D13" s="11" t="s">
        <v>54</v>
      </c>
      <c r="E13" s="11"/>
      <c r="F13" s="10">
        <v>4</v>
      </c>
      <c r="G13" s="14"/>
      <c r="I13">
        <f t="shared" si="0"/>
        <v>4</v>
      </c>
    </row>
    <row r="14" customFormat="1" ht="22" customHeight="1" spans="1:9">
      <c r="A14" s="8">
        <v>12</v>
      </c>
      <c r="B14" s="9">
        <v>46128</v>
      </c>
      <c r="C14" s="10" t="s">
        <v>26</v>
      </c>
      <c r="D14" s="11" t="s">
        <v>54</v>
      </c>
      <c r="E14" s="11"/>
      <c r="F14" s="10">
        <v>4</v>
      </c>
      <c r="G14" s="14"/>
      <c r="I14">
        <f t="shared" si="0"/>
        <v>4</v>
      </c>
    </row>
    <row r="15" customFormat="1" ht="22" customHeight="1" spans="1:9">
      <c r="A15" s="8">
        <v>13</v>
      </c>
      <c r="B15" s="9">
        <v>46128</v>
      </c>
      <c r="C15" s="10" t="s">
        <v>27</v>
      </c>
      <c r="D15" s="11" t="s">
        <v>54</v>
      </c>
      <c r="E15" s="11"/>
      <c r="F15" s="10">
        <v>4</v>
      </c>
      <c r="G15" s="14"/>
      <c r="I15">
        <f t="shared" si="0"/>
        <v>4</v>
      </c>
    </row>
    <row r="16" customFormat="1" ht="22" customHeight="1" spans="1:9">
      <c r="A16" s="8">
        <v>14</v>
      </c>
      <c r="B16" s="9">
        <v>46128</v>
      </c>
      <c r="C16" s="10" t="s">
        <v>28</v>
      </c>
      <c r="D16" s="11" t="s">
        <v>54</v>
      </c>
      <c r="E16" s="10">
        <v>2</v>
      </c>
      <c r="F16" s="10">
        <v>2</v>
      </c>
      <c r="G16" s="14"/>
      <c r="I16">
        <f t="shared" si="0"/>
        <v>4</v>
      </c>
    </row>
    <row r="17" customFormat="1" ht="22" customHeight="1" spans="1:9">
      <c r="A17" s="8">
        <v>15</v>
      </c>
      <c r="B17" s="9">
        <v>46128</v>
      </c>
      <c r="C17" s="10" t="s">
        <v>31</v>
      </c>
      <c r="D17" s="11" t="s">
        <v>54</v>
      </c>
      <c r="E17" s="10">
        <v>4</v>
      </c>
      <c r="F17" s="14"/>
      <c r="G17" s="14"/>
      <c r="I17">
        <f t="shared" si="0"/>
        <v>4</v>
      </c>
    </row>
    <row r="18" customFormat="1" ht="22" customHeight="1" spans="1:9">
      <c r="A18" s="8">
        <v>16</v>
      </c>
      <c r="B18" s="9">
        <v>46128</v>
      </c>
      <c r="C18" s="15" t="s">
        <v>32</v>
      </c>
      <c r="D18" s="11" t="s">
        <v>54</v>
      </c>
      <c r="E18" s="16"/>
      <c r="F18" s="15">
        <v>4</v>
      </c>
      <c r="G18" s="14"/>
      <c r="I18">
        <f t="shared" si="0"/>
        <v>4</v>
      </c>
    </row>
    <row r="19" customFormat="1" ht="22" customHeight="1" spans="1:9">
      <c r="A19" s="8">
        <v>17</v>
      </c>
      <c r="B19" s="9">
        <v>46128</v>
      </c>
      <c r="C19" s="15" t="s">
        <v>34</v>
      </c>
      <c r="D19" s="11" t="s">
        <v>54</v>
      </c>
      <c r="E19" s="12">
        <v>4</v>
      </c>
      <c r="F19" s="14"/>
      <c r="G19" s="14"/>
      <c r="I19">
        <f t="shared" si="0"/>
        <v>4</v>
      </c>
    </row>
    <row r="20" customFormat="1" ht="22" customHeight="1" spans="1:9">
      <c r="A20" s="8"/>
      <c r="B20" s="17"/>
      <c r="C20" s="18"/>
      <c r="D20" s="19"/>
      <c r="E20" s="20"/>
      <c r="F20" s="21"/>
      <c r="G20" s="21"/>
    </row>
    <row r="21" ht="13.5" spans="1:9">
      <c r="E21" s="22">
        <f>SUM(E3:E20)</f>
        <v>22</v>
      </c>
      <c r="F21" s="22">
        <f>SUM(F3:F20)</f>
        <v>46</v>
      </c>
    </row>
    <row r="22" spans="1:9">
      <c r="I22">
        <f>SUM(I3:I21)</f>
        <v>68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pane ySplit="2" topLeftCell="A3" activePane="bottomLeft" state="frozen"/>
      <selection/>
      <selection pane="bottomLeft" activeCell="K5" sqref="K5"/>
    </sheetView>
  </sheetViews>
  <sheetFormatPr defaultColWidth="9.14285714285714" defaultRowHeight="12"/>
  <cols>
    <col min="1" max="1" width="6.71428571428571" customWidth="1"/>
    <col min="2" max="2" width="11.4285714285714" customWidth="1"/>
    <col min="3" max="3" width="15" customWidth="1"/>
    <col min="4" max="6" width="12.1428571428571" customWidth="1"/>
    <col min="7" max="7" width="17.1428571428571" customWidth="1"/>
  </cols>
  <sheetData>
    <row r="1" ht="38" customHeight="1" spans="1:9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9">
      <c r="A3" s="8">
        <v>1</v>
      </c>
      <c r="B3" s="9">
        <v>46132</v>
      </c>
      <c r="C3" s="15" t="s">
        <v>13</v>
      </c>
      <c r="D3" s="23" t="s">
        <v>51</v>
      </c>
      <c r="E3" s="23"/>
      <c r="F3" s="15">
        <v>3</v>
      </c>
      <c r="G3" s="12"/>
      <c r="I3">
        <f t="shared" ref="I3:I22" si="0">SUM(E3:F3)</f>
        <v>3</v>
      </c>
    </row>
    <row r="4" ht="22" customHeight="1" spans="1:9">
      <c r="A4" s="8">
        <v>2</v>
      </c>
      <c r="B4" s="9">
        <v>46132</v>
      </c>
      <c r="C4" s="15" t="s">
        <v>16</v>
      </c>
      <c r="D4" s="23" t="s">
        <v>51</v>
      </c>
      <c r="E4" s="23"/>
      <c r="F4" s="15">
        <v>3</v>
      </c>
      <c r="G4" s="13"/>
      <c r="I4">
        <f t="shared" si="0"/>
        <v>3</v>
      </c>
    </row>
    <row r="5" ht="22" customHeight="1" spans="1:9">
      <c r="A5" s="8">
        <v>3</v>
      </c>
      <c r="B5" s="9">
        <v>46132</v>
      </c>
      <c r="C5" s="15" t="s">
        <v>17</v>
      </c>
      <c r="D5" s="23" t="s">
        <v>51</v>
      </c>
      <c r="E5" s="15">
        <v>3</v>
      </c>
      <c r="F5" s="23"/>
      <c r="G5" s="13"/>
      <c r="I5">
        <f t="shared" si="0"/>
        <v>3</v>
      </c>
    </row>
    <row r="6" ht="22" customHeight="1" spans="1:9">
      <c r="A6" s="8">
        <v>4</v>
      </c>
      <c r="B6" s="9">
        <v>46132</v>
      </c>
      <c r="C6" s="15" t="s">
        <v>18</v>
      </c>
      <c r="D6" s="23" t="s">
        <v>51</v>
      </c>
      <c r="E6" s="23"/>
      <c r="F6" s="15">
        <v>3</v>
      </c>
      <c r="G6" s="13"/>
      <c r="I6">
        <f t="shared" si="0"/>
        <v>3</v>
      </c>
    </row>
    <row r="7" ht="22" customHeight="1" spans="1:9">
      <c r="A7" s="8">
        <v>5</v>
      </c>
      <c r="B7" s="9">
        <v>46132</v>
      </c>
      <c r="C7" s="15" t="s">
        <v>19</v>
      </c>
      <c r="D7" s="23" t="s">
        <v>51</v>
      </c>
      <c r="E7" s="23"/>
      <c r="F7" s="15">
        <v>3</v>
      </c>
      <c r="G7" s="13"/>
      <c r="I7">
        <f t="shared" si="0"/>
        <v>3</v>
      </c>
    </row>
    <row r="8" customFormat="1" ht="22" customHeight="1" spans="1:9">
      <c r="A8" s="8">
        <v>6</v>
      </c>
      <c r="B8" s="9">
        <v>46132</v>
      </c>
      <c r="C8" s="15" t="s">
        <v>30</v>
      </c>
      <c r="D8" s="23" t="s">
        <v>51</v>
      </c>
      <c r="E8" s="23"/>
      <c r="F8" s="15">
        <v>3</v>
      </c>
      <c r="G8" s="14"/>
      <c r="I8">
        <f t="shared" si="0"/>
        <v>3</v>
      </c>
    </row>
    <row r="9" ht="22" customHeight="1" spans="1:9">
      <c r="A9" s="8">
        <v>7</v>
      </c>
      <c r="B9" s="9">
        <v>46132</v>
      </c>
      <c r="C9" s="15" t="s">
        <v>20</v>
      </c>
      <c r="D9" s="23" t="s">
        <v>51</v>
      </c>
      <c r="E9" s="15">
        <v>2</v>
      </c>
      <c r="F9" s="15">
        <v>1</v>
      </c>
      <c r="G9" s="13"/>
      <c r="I9">
        <f t="shared" si="0"/>
        <v>3</v>
      </c>
    </row>
    <row r="10" ht="22" customHeight="1" spans="1:9">
      <c r="A10" s="8">
        <v>8</v>
      </c>
      <c r="B10" s="9">
        <v>46132</v>
      </c>
      <c r="C10" s="15" t="s">
        <v>21</v>
      </c>
      <c r="D10" s="23" t="s">
        <v>51</v>
      </c>
      <c r="E10" s="15">
        <v>3</v>
      </c>
      <c r="F10" s="23"/>
      <c r="G10" s="14"/>
      <c r="I10">
        <f t="shared" si="0"/>
        <v>3</v>
      </c>
    </row>
    <row r="11" ht="22" customHeight="1" spans="1:9">
      <c r="A11" s="8">
        <v>9</v>
      </c>
      <c r="B11" s="9">
        <v>46132</v>
      </c>
      <c r="C11" s="15" t="s">
        <v>22</v>
      </c>
      <c r="D11" s="23" t="s">
        <v>51</v>
      </c>
      <c r="E11" s="23">
        <v>2</v>
      </c>
      <c r="F11" s="15">
        <v>1</v>
      </c>
      <c r="G11" s="14"/>
      <c r="I11">
        <f t="shared" si="0"/>
        <v>3</v>
      </c>
    </row>
    <row r="12" customFormat="1" ht="22" customHeight="1" spans="1:9">
      <c r="A12" s="8">
        <v>10</v>
      </c>
      <c r="B12" s="9">
        <v>46132</v>
      </c>
      <c r="C12" s="15" t="s">
        <v>24</v>
      </c>
      <c r="D12" s="23" t="s">
        <v>51</v>
      </c>
      <c r="E12" s="23"/>
      <c r="F12" s="15">
        <v>3</v>
      </c>
      <c r="G12" s="14"/>
      <c r="I12">
        <f t="shared" si="0"/>
        <v>3</v>
      </c>
    </row>
    <row r="13" customFormat="1" ht="22" customHeight="1" spans="1:9">
      <c r="A13" s="8">
        <v>11</v>
      </c>
      <c r="B13" s="9">
        <v>46132</v>
      </c>
      <c r="C13" s="15" t="s">
        <v>25</v>
      </c>
      <c r="D13" s="23" t="s">
        <v>51</v>
      </c>
      <c r="E13" s="23"/>
      <c r="F13" s="15">
        <v>3</v>
      </c>
      <c r="G13" s="14"/>
      <c r="I13">
        <f t="shared" si="0"/>
        <v>3</v>
      </c>
    </row>
    <row r="14" customFormat="1" ht="22" customHeight="1" spans="1:9">
      <c r="A14" s="8">
        <v>12</v>
      </c>
      <c r="B14" s="9">
        <v>46132</v>
      </c>
      <c r="C14" s="15" t="s">
        <v>26</v>
      </c>
      <c r="D14" s="23" t="s">
        <v>51</v>
      </c>
      <c r="E14" s="23"/>
      <c r="F14" s="15">
        <v>3</v>
      </c>
      <c r="G14" s="14"/>
      <c r="I14">
        <f t="shared" si="0"/>
        <v>3</v>
      </c>
    </row>
    <row r="15" customFormat="1" ht="22" customHeight="1" spans="1:9">
      <c r="A15" s="8">
        <v>13</v>
      </c>
      <c r="B15" s="9">
        <v>46132</v>
      </c>
      <c r="C15" s="15" t="s">
        <v>27</v>
      </c>
      <c r="D15" s="23" t="s">
        <v>51</v>
      </c>
      <c r="E15" s="23"/>
      <c r="F15" s="15">
        <v>3</v>
      </c>
      <c r="G15" s="14"/>
      <c r="I15">
        <f t="shared" si="0"/>
        <v>3</v>
      </c>
    </row>
    <row r="16" customFormat="1" ht="22" customHeight="1" spans="1:9">
      <c r="A16" s="8">
        <v>14</v>
      </c>
      <c r="B16" s="9">
        <v>46132</v>
      </c>
      <c r="C16" s="15" t="s">
        <v>28</v>
      </c>
      <c r="D16" s="23" t="s">
        <v>51</v>
      </c>
      <c r="E16" s="15">
        <v>2</v>
      </c>
      <c r="F16" s="15">
        <v>1</v>
      </c>
      <c r="G16" s="14"/>
      <c r="I16">
        <f t="shared" si="0"/>
        <v>3</v>
      </c>
    </row>
    <row r="17" customFormat="1" ht="22" customHeight="1" spans="1:9">
      <c r="A17" s="8">
        <v>15</v>
      </c>
      <c r="B17" s="9">
        <v>46132</v>
      </c>
      <c r="C17" s="15" t="s">
        <v>31</v>
      </c>
      <c r="D17" s="23" t="s">
        <v>51</v>
      </c>
      <c r="E17" s="15">
        <v>3</v>
      </c>
      <c r="F17" s="24"/>
      <c r="G17" s="14"/>
      <c r="I17">
        <f t="shared" si="0"/>
        <v>3</v>
      </c>
    </row>
    <row r="18" customFormat="1" ht="22" customHeight="1" spans="1:9">
      <c r="A18" s="8">
        <v>16</v>
      </c>
      <c r="B18" s="9">
        <v>46132</v>
      </c>
      <c r="C18" s="15" t="s">
        <v>32</v>
      </c>
      <c r="D18" s="23" t="s">
        <v>51</v>
      </c>
      <c r="E18" s="16"/>
      <c r="F18" s="15">
        <v>3</v>
      </c>
      <c r="G18" s="14"/>
      <c r="I18">
        <f t="shared" si="0"/>
        <v>3</v>
      </c>
    </row>
    <row r="19" customFormat="1" ht="22" customHeight="1" spans="1:9">
      <c r="A19" s="8">
        <v>17</v>
      </c>
      <c r="B19" s="9">
        <v>46132</v>
      </c>
      <c r="C19" s="15" t="s">
        <v>34</v>
      </c>
      <c r="D19" s="23" t="s">
        <v>51</v>
      </c>
      <c r="E19" s="15">
        <v>3</v>
      </c>
      <c r="F19" s="15"/>
      <c r="G19" s="25"/>
      <c r="I19">
        <f t="shared" si="0"/>
        <v>3</v>
      </c>
    </row>
    <row r="20" customFormat="1" ht="22" customHeight="1" spans="1:9">
      <c r="A20" s="8"/>
      <c r="B20" s="9"/>
      <c r="C20" s="15"/>
      <c r="D20" s="26"/>
      <c r="E20" s="16"/>
      <c r="F20" s="16"/>
      <c r="G20" s="14"/>
      <c r="I20">
        <f t="shared" si="0"/>
        <v>0</v>
      </c>
    </row>
    <row r="21" customFormat="1" ht="22" customHeight="1" spans="1:9">
      <c r="A21" s="8"/>
      <c r="B21" s="17"/>
      <c r="C21" s="18"/>
      <c r="D21" s="19"/>
      <c r="E21" s="20"/>
      <c r="F21" s="21"/>
      <c r="G21" s="21"/>
      <c r="I21">
        <f t="shared" si="0"/>
        <v>0</v>
      </c>
    </row>
    <row r="22" customFormat="1" ht="13.5" spans="1:9">
      <c r="E22" s="22">
        <f>SUM(E3:E21)</f>
        <v>18</v>
      </c>
      <c r="F22" s="22">
        <f>SUM(F3:F21)</f>
        <v>33</v>
      </c>
      <c r="I22">
        <f t="shared" si="0"/>
        <v>51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pane ySplit="2" topLeftCell="A3" activePane="bottomLeft" state="frozen"/>
      <selection/>
      <selection pane="bottomLeft" activeCell="K7" sqref="K7"/>
    </sheetView>
  </sheetViews>
  <sheetFormatPr defaultColWidth="9.14285714285714" defaultRowHeight="12"/>
  <cols>
    <col min="1" max="1" width="6.85714285714286" customWidth="1"/>
    <col min="2" max="2" width="11.2857142857143" customWidth="1"/>
    <col min="3" max="3" width="15" customWidth="1"/>
    <col min="4" max="6" width="12.1428571428571" customWidth="1"/>
    <col min="7" max="7" width="25.2857142857143" customWidth="1"/>
  </cols>
  <sheetData>
    <row r="1" ht="38" customHeight="1" spans="1:9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40</v>
      </c>
      <c r="C2" s="5" t="s">
        <v>3</v>
      </c>
      <c r="D2" s="6" t="s">
        <v>48</v>
      </c>
      <c r="E2" s="7" t="s">
        <v>49</v>
      </c>
      <c r="F2" s="7" t="s">
        <v>50</v>
      </c>
      <c r="G2" s="7" t="s">
        <v>7</v>
      </c>
    </row>
    <row r="3" ht="22" customHeight="1" spans="1:9">
      <c r="A3" s="8">
        <v>1</v>
      </c>
      <c r="B3" s="9">
        <v>46135</v>
      </c>
      <c r="C3" s="10" t="s">
        <v>13</v>
      </c>
      <c r="D3" s="11" t="s">
        <v>54</v>
      </c>
      <c r="E3" s="11"/>
      <c r="F3" s="10">
        <v>4</v>
      </c>
      <c r="G3" s="12"/>
      <c r="I3">
        <f t="shared" ref="I3:I19" si="0">SUM(E3:F3)</f>
        <v>4</v>
      </c>
    </row>
    <row r="4" ht="22" customHeight="1" spans="1:9">
      <c r="A4" s="8">
        <v>2</v>
      </c>
      <c r="B4" s="9">
        <v>46135</v>
      </c>
      <c r="C4" s="10" t="s">
        <v>16</v>
      </c>
      <c r="D4" s="11" t="s">
        <v>54</v>
      </c>
      <c r="E4" s="11"/>
      <c r="F4" s="10">
        <v>4</v>
      </c>
      <c r="G4" s="13"/>
      <c r="I4">
        <f t="shared" si="0"/>
        <v>4</v>
      </c>
    </row>
    <row r="5" ht="22" customHeight="1" spans="1:9">
      <c r="A5" s="8">
        <v>3</v>
      </c>
      <c r="B5" s="9">
        <v>46135</v>
      </c>
      <c r="C5" s="10" t="s">
        <v>17</v>
      </c>
      <c r="D5" s="11" t="s">
        <v>54</v>
      </c>
      <c r="E5" s="10">
        <v>4</v>
      </c>
      <c r="F5" s="11"/>
      <c r="G5" s="13"/>
      <c r="I5">
        <f t="shared" si="0"/>
        <v>4</v>
      </c>
    </row>
    <row r="6" ht="22" customHeight="1" spans="1:9">
      <c r="A6" s="8">
        <v>4</v>
      </c>
      <c r="B6" s="9">
        <v>46135</v>
      </c>
      <c r="C6" s="10" t="s">
        <v>18</v>
      </c>
      <c r="D6" s="11" t="s">
        <v>54</v>
      </c>
      <c r="E6" s="11"/>
      <c r="F6" s="10">
        <v>4</v>
      </c>
      <c r="G6" s="13"/>
      <c r="I6">
        <f t="shared" si="0"/>
        <v>4</v>
      </c>
    </row>
    <row r="7" ht="22" customHeight="1" spans="1:9">
      <c r="A7" s="8">
        <v>5</v>
      </c>
      <c r="B7" s="9">
        <v>46135</v>
      </c>
      <c r="C7" s="10" t="s">
        <v>19</v>
      </c>
      <c r="D7" s="11" t="s">
        <v>54</v>
      </c>
      <c r="E7" s="11"/>
      <c r="F7" s="10">
        <v>4</v>
      </c>
      <c r="G7" s="13"/>
      <c r="I7">
        <f t="shared" si="0"/>
        <v>4</v>
      </c>
    </row>
    <row r="8" customFormat="1" ht="22" customHeight="1" spans="1:9">
      <c r="A8" s="8">
        <v>6</v>
      </c>
      <c r="B8" s="9">
        <v>46135</v>
      </c>
      <c r="C8" s="10" t="s">
        <v>30</v>
      </c>
      <c r="D8" s="11" t="s">
        <v>54</v>
      </c>
      <c r="E8" s="11"/>
      <c r="F8" s="10">
        <v>4</v>
      </c>
      <c r="G8" s="14"/>
      <c r="I8">
        <f t="shared" si="0"/>
        <v>4</v>
      </c>
    </row>
    <row r="9" ht="22" customHeight="1" spans="1:9">
      <c r="A9" s="8">
        <v>7</v>
      </c>
      <c r="B9" s="9">
        <v>46135</v>
      </c>
      <c r="C9" s="10" t="s">
        <v>20</v>
      </c>
      <c r="D9" s="11" t="s">
        <v>54</v>
      </c>
      <c r="E9" s="10">
        <v>2</v>
      </c>
      <c r="F9" s="10">
        <v>2</v>
      </c>
      <c r="G9" s="13"/>
      <c r="I9">
        <f t="shared" si="0"/>
        <v>4</v>
      </c>
    </row>
    <row r="10" ht="22" customHeight="1" spans="1:9">
      <c r="A10" s="8">
        <v>8</v>
      </c>
      <c r="B10" s="9">
        <v>46135</v>
      </c>
      <c r="C10" s="10" t="s">
        <v>21</v>
      </c>
      <c r="D10" s="11" t="s">
        <v>54</v>
      </c>
      <c r="E10" s="10">
        <v>4</v>
      </c>
      <c r="F10" s="11"/>
      <c r="G10" s="14"/>
      <c r="I10">
        <f t="shared" si="0"/>
        <v>4</v>
      </c>
    </row>
    <row r="11" ht="22" customHeight="1" spans="1:9">
      <c r="A11" s="8">
        <v>9</v>
      </c>
      <c r="B11" s="9">
        <v>46135</v>
      </c>
      <c r="C11" s="10" t="s">
        <v>22</v>
      </c>
      <c r="D11" s="11" t="s">
        <v>54</v>
      </c>
      <c r="E11" s="11">
        <v>2</v>
      </c>
      <c r="F11" s="10">
        <v>2</v>
      </c>
      <c r="G11" s="14"/>
      <c r="I11">
        <f t="shared" si="0"/>
        <v>4</v>
      </c>
    </row>
    <row r="12" customFormat="1" ht="22" customHeight="1" spans="1:9">
      <c r="A12" s="8">
        <v>10</v>
      </c>
      <c r="B12" s="9">
        <v>46135</v>
      </c>
      <c r="C12" s="10" t="s">
        <v>24</v>
      </c>
      <c r="D12" s="11" t="s">
        <v>54</v>
      </c>
      <c r="E12" s="11"/>
      <c r="F12" s="10">
        <v>4</v>
      </c>
      <c r="G12" s="14"/>
      <c r="I12">
        <f t="shared" si="0"/>
        <v>4</v>
      </c>
    </row>
    <row r="13" customFormat="1" ht="22" customHeight="1" spans="1:9">
      <c r="A13" s="8">
        <v>11</v>
      </c>
      <c r="B13" s="9">
        <v>46135</v>
      </c>
      <c r="C13" s="10" t="s">
        <v>25</v>
      </c>
      <c r="D13" s="11" t="s">
        <v>54</v>
      </c>
      <c r="E13" s="11"/>
      <c r="F13" s="10">
        <v>4</v>
      </c>
      <c r="G13" s="14"/>
      <c r="I13">
        <f t="shared" si="0"/>
        <v>4</v>
      </c>
    </row>
    <row r="14" customFormat="1" ht="22" customHeight="1" spans="1:9">
      <c r="A14" s="8">
        <v>12</v>
      </c>
      <c r="B14" s="9">
        <v>46135</v>
      </c>
      <c r="C14" s="10" t="s">
        <v>26</v>
      </c>
      <c r="D14" s="11" t="s">
        <v>54</v>
      </c>
      <c r="E14" s="11"/>
      <c r="F14" s="10">
        <v>4</v>
      </c>
      <c r="G14" s="14"/>
      <c r="I14">
        <f t="shared" si="0"/>
        <v>4</v>
      </c>
    </row>
    <row r="15" customFormat="1" ht="22" customHeight="1" spans="1:9">
      <c r="A15" s="8">
        <v>13</v>
      </c>
      <c r="B15" s="9">
        <v>46135</v>
      </c>
      <c r="C15" s="10" t="s">
        <v>27</v>
      </c>
      <c r="D15" s="11" t="s">
        <v>54</v>
      </c>
      <c r="E15" s="11"/>
      <c r="F15" s="10">
        <v>4</v>
      </c>
      <c r="G15" s="14"/>
      <c r="I15">
        <f t="shared" si="0"/>
        <v>4</v>
      </c>
    </row>
    <row r="16" customFormat="1" ht="22" customHeight="1" spans="1:9">
      <c r="A16" s="8">
        <v>14</v>
      </c>
      <c r="B16" s="9">
        <v>46135</v>
      </c>
      <c r="C16" s="10" t="s">
        <v>28</v>
      </c>
      <c r="D16" s="11" t="s">
        <v>54</v>
      </c>
      <c r="E16" s="10">
        <v>2</v>
      </c>
      <c r="F16" s="10">
        <v>2</v>
      </c>
      <c r="G16" s="14"/>
      <c r="I16">
        <f t="shared" si="0"/>
        <v>4</v>
      </c>
    </row>
    <row r="17" customFormat="1" ht="22" customHeight="1" spans="1:9">
      <c r="A17" s="8">
        <v>15</v>
      </c>
      <c r="B17" s="9">
        <v>46135</v>
      </c>
      <c r="C17" s="10" t="s">
        <v>31</v>
      </c>
      <c r="D17" s="11" t="s">
        <v>54</v>
      </c>
      <c r="E17" s="10">
        <v>4</v>
      </c>
      <c r="F17" s="14"/>
      <c r="G17" s="14"/>
      <c r="I17">
        <f t="shared" si="0"/>
        <v>4</v>
      </c>
    </row>
    <row r="18" customFormat="1" ht="22" customHeight="1" spans="1:9">
      <c r="A18" s="8">
        <v>16</v>
      </c>
      <c r="B18" s="9">
        <v>46135</v>
      </c>
      <c r="C18" s="15" t="s">
        <v>32</v>
      </c>
      <c r="D18" s="11" t="s">
        <v>54</v>
      </c>
      <c r="E18" s="16"/>
      <c r="F18" s="15">
        <v>4</v>
      </c>
      <c r="G18" s="14"/>
      <c r="I18">
        <f t="shared" si="0"/>
        <v>4</v>
      </c>
    </row>
    <row r="19" customFormat="1" ht="22" customHeight="1" spans="1:9">
      <c r="A19" s="8">
        <v>17</v>
      </c>
      <c r="B19" s="9">
        <v>46135</v>
      </c>
      <c r="C19" s="15" t="s">
        <v>34</v>
      </c>
      <c r="D19" s="11" t="s">
        <v>54</v>
      </c>
      <c r="E19" s="12">
        <v>4</v>
      </c>
      <c r="F19" s="14"/>
      <c r="G19" s="14"/>
      <c r="I19">
        <f t="shared" si="0"/>
        <v>4</v>
      </c>
    </row>
    <row r="20" customFormat="1" ht="22" customHeight="1" spans="1:9">
      <c r="A20" s="8"/>
      <c r="B20" s="17"/>
      <c r="C20" s="18"/>
      <c r="D20" s="19"/>
      <c r="E20" s="20"/>
      <c r="F20" s="21"/>
      <c r="G20" s="21"/>
    </row>
    <row r="21" ht="13.5" spans="1:9">
      <c r="E21" s="22">
        <f>SUM(E3:E20)</f>
        <v>22</v>
      </c>
      <c r="F21" s="22">
        <f>SUM(F3:F20)</f>
        <v>46</v>
      </c>
    </row>
    <row r="22" spans="1:9">
      <c r="I22">
        <f>SUM(I3:I21)</f>
        <v>68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2026-04-17T01:12:38Z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