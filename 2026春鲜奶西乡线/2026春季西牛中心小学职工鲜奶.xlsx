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857" firstSheet="1" activeTab="3"/>
  </bookViews>
  <sheets>
    <sheet name="老师" sheetId="1" r:id="rId1"/>
    <sheet name="领奶表" sheetId="5" r:id="rId2"/>
    <sheet name="签收" sheetId="8" r:id="rId3"/>
    <sheet name="配送汇总" sheetId="6" r:id="rId4"/>
    <sheet name="3.9" sheetId="2" r:id="rId5"/>
    <sheet name="3.12" sheetId="7" r:id="rId6"/>
    <sheet name="3.16" sheetId="9" r:id="rId7"/>
    <sheet name="3.19" sheetId="10" r:id="rId8"/>
    <sheet name="3.23" sheetId="11" r:id="rId9"/>
    <sheet name="3.26" sheetId="12" r:id="rId10"/>
    <sheet name="3.30" sheetId="15" r:id="rId11"/>
    <sheet name="4.2" sheetId="16" r:id="rId12"/>
    <sheet name="4.7" sheetId="17" r:id="rId13"/>
    <sheet name="4.9" sheetId="18" r:id="rId14"/>
    <sheet name="4.13" sheetId="19" r:id="rId15"/>
    <sheet name="4.16" sheetId="20" r:id="rId16"/>
    <sheet name="4.20" sheetId="21" r:id="rId17"/>
    <sheet name="4.23" sheetId="22" r:id="rId18"/>
  </sheets>
  <definedNames>
    <definedName name="_xlnm._FilterDatabase" localSheetId="0" hidden="1">老师!$A$4:$X$63</definedName>
    <definedName name="_xlnm._FilterDatabase" localSheetId="3" hidden="1">配送汇总!$A$1:$X$30</definedName>
    <definedName name="_xlnm.Print_Titles" localSheetId="2">签收!$1:$2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<sst xmlns="http://schemas.openxmlformats.org/spreadsheetml/2006/main" count="1760" uniqueCount="108">
  <si>
    <t>2026春季西牛镇中心小学教职工巴氏鲜奶补贴订购申请表（20份起送，特殊申请除外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</si>
  <si>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</si>
  <si>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</si>
  <si>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</si>
  <si>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</si>
  <si>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</si>
  <si>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</si>
  <si>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</si>
  <si>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</si>
  <si>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</si>
  <si>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</si>
  <si>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</si>
  <si>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</si>
  <si>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份数</t>
  </si>
  <si>
    <t>金额</t>
  </si>
  <si>
    <t>收款情况</t>
  </si>
  <si>
    <t>陈永胜</t>
  </si>
  <si>
    <t>√</t>
  </si>
  <si>
    <t>已收款</t>
  </si>
  <si>
    <t>涂桂英1</t>
  </si>
  <si>
    <t>已付款</t>
  </si>
  <si>
    <t>涂桂英2</t>
  </si>
  <si>
    <t>钱秋容</t>
  </si>
  <si>
    <t>✓</t>
  </si>
  <si>
    <t>陈勤</t>
  </si>
  <si>
    <t>邓秀凤</t>
  </si>
  <si>
    <t>✔</t>
  </si>
  <si>
    <t>王玲</t>
  </si>
  <si>
    <t>冯建平</t>
  </si>
  <si>
    <t>陈桂娣1</t>
  </si>
  <si>
    <t>陈桂娣2</t>
  </si>
  <si>
    <t>谭金兰</t>
  </si>
  <si>
    <t>涂桂英3</t>
  </si>
  <si>
    <t>陆纬纬</t>
  </si>
  <si>
    <t>杨思敏</t>
  </si>
  <si>
    <t>刘青霞</t>
  </si>
  <si>
    <t>陈国兴</t>
  </si>
  <si>
    <t>王春霞</t>
  </si>
  <si>
    <t>陈永娇</t>
  </si>
  <si>
    <t>张小敏</t>
  </si>
  <si>
    <t>陈彩霞</t>
  </si>
  <si>
    <t>陈翠萍</t>
  </si>
  <si>
    <t>江寿娣1</t>
  </si>
  <si>
    <t>江寿娣2</t>
  </si>
  <si>
    <t>刘小青</t>
  </si>
  <si>
    <t>刘彩霞1</t>
  </si>
  <si>
    <t>刘彩霞2</t>
  </si>
  <si>
    <t>陈桂娣3</t>
  </si>
  <si>
    <t>丘小花</t>
  </si>
  <si>
    <t>刘柱妹</t>
  </si>
  <si>
    <t>李晓娟</t>
  </si>
  <si>
    <t>覃淑仪</t>
  </si>
  <si>
    <t>刘淑容1</t>
  </si>
  <si>
    <t>郭月英</t>
  </si>
  <si>
    <t>石群英</t>
  </si>
  <si>
    <t>刘广应</t>
  </si>
  <si>
    <t>朱桂芳</t>
  </si>
  <si>
    <t>黎桂腾</t>
  </si>
  <si>
    <t>朱桂灵</t>
  </si>
  <si>
    <t>吕舜琼1</t>
  </si>
  <si>
    <t>订2份，鲜奶、酸奶各1份</t>
  </si>
  <si>
    <t>吕舜琼2</t>
  </si>
  <si>
    <t>刘金花</t>
  </si>
  <si>
    <t>3/12新增，送到西牛中心幼儿园</t>
  </si>
  <si>
    <t>涂桂英4</t>
  </si>
  <si>
    <t>3/12新增</t>
  </si>
  <si>
    <t>涂桂英5</t>
  </si>
  <si>
    <t>刘淑容2</t>
  </si>
  <si>
    <t>3.21新增</t>
  </si>
  <si>
    <t>刘淑容3</t>
  </si>
  <si>
    <t>刘淑容4</t>
  </si>
  <si>
    <t>英德市西牛镇中心小学教师鲜奶领奶表</t>
  </si>
  <si>
    <t>（ ）月份（填写领取数量/盒）</t>
  </si>
  <si>
    <t>姓名</t>
  </si>
  <si>
    <t>西牛镇中心小学教师鲜奶赠品领取表</t>
  </si>
  <si>
    <t>配送日期</t>
  </si>
  <si>
    <t>礼品份数
（笔记本+笔）</t>
  </si>
  <si>
    <t>签名</t>
  </si>
  <si>
    <t>刘淑容</t>
  </si>
  <si>
    <t>3.30送</t>
  </si>
  <si>
    <t>3.30送（西牛中心幼儿园）</t>
  </si>
  <si>
    <t xml:space="preserve">                                                   英德市西牛镇中心小学教师鲜奶领奶表</t>
  </si>
  <si>
    <t>订购份数</t>
  </si>
  <si>
    <t>总计</t>
  </si>
  <si>
    <t>西牛镇中心小学教师鲜奶领奶表</t>
  </si>
  <si>
    <t>配送天数</t>
  </si>
  <si>
    <t>鲜</t>
  </si>
  <si>
    <t>酸</t>
  </si>
  <si>
    <t>3天</t>
  </si>
  <si>
    <t>3.16改送到中心幼儿园，在幼儿园表格汇总</t>
  </si>
  <si>
    <t>3.16起改为酸奶</t>
  </si>
  <si>
    <t>4天</t>
  </si>
  <si>
    <t>第二、三周暂不领取</t>
  </si>
  <si>
    <t>发群+分发老师</t>
  </si>
  <si>
    <t>补发</t>
  </si>
  <si>
    <t>全酸奶</t>
  </si>
  <si>
    <t>老师说喝不完，改到下周一补</t>
  </si>
  <si>
    <t>3.26配送</t>
  </si>
  <si>
    <t>3.21刘淑容另加三份二酸一鲜</t>
  </si>
  <si>
    <t>周四配送</t>
  </si>
  <si>
    <t>全部要酸奶</t>
  </si>
  <si>
    <t>补到与其他老师数据一致</t>
  </si>
  <si>
    <t>还差10支，3.30、4.2、4.7分三次补送完就不用补送了</t>
  </si>
  <si>
    <t>改2鲜2酸</t>
  </si>
  <si>
    <t>丘小花1</t>
  </si>
  <si>
    <t>丘小花2</t>
  </si>
  <si>
    <t>补发，已补完</t>
  </si>
  <si>
    <t>4.20开始换成鲜奶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</si>
</sst>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FF0000"/>
      <name val="宋体"/>
      <charset val="134"/>
    </font>
    <font>
      <sz val="11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6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4" borderId="11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5" borderId="14" applyNumberFormat="0" applyAlignment="0" applyProtection="0">
      <alignment vertical="center"/>
    </xf>
    <xf numFmtId="0" fontId="36" fillId="6" borderId="15" applyNumberFormat="0" applyAlignment="0" applyProtection="0">
      <alignment vertical="center"/>
    </xf>
    <xf numFmtId="0" fontId="37" fillId="6" borderId="14" applyNumberFormat="0" applyAlignment="0" applyProtection="0">
      <alignment vertical="center"/>
    </xf>
    <xf numFmtId="0" fontId="38" fillId="7" borderId="16" applyNumberFormat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58" fontId="5" fillId="0" borderId="5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>
      <alignment vertical="center"/>
    </xf>
    <xf numFmtId="0" fontId="9" fillId="0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58" fontId="11" fillId="0" borderId="5" xfId="0" applyNumberFormat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14" fillId="0" borderId="2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>
      <alignment horizontal="center" vertical="center"/>
    </xf>
    <xf numFmtId="0" fontId="15" fillId="0" borderId="5" xfId="0" applyNumberFormat="1" applyFont="1" applyFill="1" applyBorder="1" applyAlignment="1">
      <alignment horizontal="center" vertical="center" wrapText="1"/>
    </xf>
    <xf numFmtId="58" fontId="15" fillId="0" borderId="5" xfId="0" applyNumberFormat="1" applyFont="1" applyFill="1" applyBorder="1" applyAlignment="1">
      <alignment horizontal="center" vertical="center" wrapText="1"/>
    </xf>
    <xf numFmtId="58" fontId="15" fillId="0" borderId="5" xfId="0" applyNumberFormat="1" applyFont="1" applyFill="1" applyBorder="1" applyAlignment="1">
      <alignment horizontal="center" vertical="center"/>
    </xf>
    <xf numFmtId="0" fontId="13" fillId="0" borderId="5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 wrapText="1"/>
    </xf>
    <xf numFmtId="0" fontId="16" fillId="0" borderId="0" xfId="0" applyFont="1">
      <alignment vertical="center"/>
    </xf>
    <xf numFmtId="0" fontId="17" fillId="0" borderId="7" xfId="0" applyFont="1" applyBorder="1" applyAlignment="1">
      <alignment horizontal="center" vertical="center"/>
    </xf>
    <xf numFmtId="0" fontId="18" fillId="0" borderId="0" xfId="0" applyNumberFormat="1" applyFont="1" applyFill="1" applyBorder="1" applyAlignment="1">
      <alignment vertical="center"/>
    </xf>
    <xf numFmtId="0" fontId="19" fillId="0" borderId="0" xfId="0" applyNumberFormat="1" applyFont="1" applyFill="1" applyBorder="1" applyAlignment="1">
      <alignment horizontal="center" vertical="center" wrapText="1"/>
    </xf>
    <xf numFmtId="0" fontId="18" fillId="0" borderId="0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19" fillId="0" borderId="5" xfId="0" applyNumberFormat="1" applyFont="1" applyFill="1" applyBorder="1" applyAlignment="1">
      <alignment horizontal="center" vertical="center" wrapText="1"/>
    </xf>
    <xf numFmtId="0" fontId="20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8" fillId="0" borderId="5" xfId="0" applyNumberFormat="1" applyFont="1" applyFill="1" applyBorder="1" applyAlignment="1">
      <alignment vertical="center"/>
    </xf>
    <xf numFmtId="0" fontId="17" fillId="0" borderId="5" xfId="0" applyNumberFormat="1" applyFont="1" applyFill="1" applyBorder="1" applyAlignment="1">
      <alignment horizontal="left" vertical="center"/>
    </xf>
    <xf numFmtId="0" fontId="20" fillId="0" borderId="0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/>
    </xf>
    <xf numFmtId="0" fontId="25" fillId="3" borderId="7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89"/>
  <sheetViews>
    <sheetView workbookViewId="0">
      <pane ySplit="4" topLeftCell="A5" activePane="bottomLeft" state="frozen"/>
      <selection/>
      <selection pane="bottomLeft" activeCell="K8" sqref="K8"/>
    </sheetView>
  </sheetViews>
  <sheetFormatPr defaultColWidth="14" defaultRowHeight="18" customHeight="1"/>
  <cols>
    <col min="1" max="1" width="5.28571428571429" customWidth="1"/>
    <col min="4" max="7" width="7" customWidth="1"/>
    <col min="8" max="8" width="13.2857142857143" customWidth="1"/>
    <col min="9" max="10" width="6.14285714285714" customWidth="1"/>
  </cols>
  <sheetData>
    <row r="1" ht="20.25" customHeight="1" spans="1:24">
      <c r="A1" s="64" t="s">
        <v>0</v>
      </c>
      <c r="B1" s="64"/>
      <c r="C1" s="64"/>
      <c r="D1" s="64"/>
      <c r="E1" s="64"/>
      <c r="F1" s="64"/>
      <c r="G1" s="64"/>
      <c r="H1" s="64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</row>
    <row r="2" ht="20.25" customHeight="1" spans="1:24">
      <c r="A2" s="66" t="s">
        <v>1</v>
      </c>
      <c r="B2" s="66"/>
      <c r="C2" s="66"/>
      <c r="D2" s="66"/>
      <c r="E2" s="66"/>
      <c r="F2" s="66"/>
      <c r="G2" s="66"/>
      <c r="H2" s="66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</row>
    <row r="3" customHeight="1" spans="1:24">
      <c r="A3" s="67" t="s">
        <v>2</v>
      </c>
      <c r="B3" s="67" t="s">
        <v>3</v>
      </c>
      <c r="C3" s="67" t="s">
        <v>4</v>
      </c>
      <c r="D3" s="68" t="s">
        <v>5</v>
      </c>
      <c r="E3" s="68"/>
      <c r="F3" s="68" t="s">
        <v>6</v>
      </c>
      <c r="G3" s="68"/>
      <c r="H3" s="67" t="s">
        <v>7</v>
      </c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</row>
    <row r="4" customHeight="1" spans="1:24">
      <c r="A4" s="67"/>
      <c r="B4" s="67"/>
      <c r="C4" s="67"/>
      <c r="D4" s="69" t="s">
        <v>8</v>
      </c>
      <c r="E4" s="69" t="s">
        <v>9</v>
      </c>
      <c r="F4" s="69" t="s">
        <v>10</v>
      </c>
      <c r="G4" s="69" t="s">
        <v>11</v>
      </c>
      <c r="H4" s="70" t="s">
        <v>12</v>
      </c>
      <c r="I4" s="65" t="s">
        <v>13</v>
      </c>
      <c r="J4" s="65" t="s">
        <v>14</v>
      </c>
      <c r="K4" s="65" t="s">
        <v>15</v>
      </c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</row>
    <row r="5" customHeight="1" spans="1:24">
      <c r="A5" s="71">
        <v>1</v>
      </c>
      <c r="B5" s="72" t="s">
        <v>16</v>
      </c>
      <c r="C5" s="71">
        <v>13542455350</v>
      </c>
      <c r="D5" s="71" t="s">
        <v>17</v>
      </c>
      <c r="E5" s="53"/>
      <c r="F5" s="71">
        <v>350</v>
      </c>
      <c r="G5" s="71">
        <v>210</v>
      </c>
      <c r="H5" s="53"/>
      <c r="I5" s="65">
        <v>1</v>
      </c>
      <c r="J5" s="65">
        <f t="shared" ref="J5:J51" si="0">G5*I5</f>
        <v>210</v>
      </c>
      <c r="K5" s="73" t="s">
        <v>18</v>
      </c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</row>
    <row r="6" customHeight="1" spans="1:24">
      <c r="A6" s="71">
        <v>2</v>
      </c>
      <c r="B6" s="72" t="s">
        <v>19</v>
      </c>
      <c r="C6" s="71">
        <v>13727171205</v>
      </c>
      <c r="D6" s="71" t="s">
        <v>17</v>
      </c>
      <c r="E6" s="53"/>
      <c r="F6" s="71">
        <v>350</v>
      </c>
      <c r="G6" s="71">
        <v>210</v>
      </c>
      <c r="H6" s="53"/>
      <c r="I6" s="65">
        <v>1</v>
      </c>
      <c r="J6" s="65">
        <f t="shared" si="0"/>
        <v>210</v>
      </c>
      <c r="K6" s="65" t="s">
        <v>20</v>
      </c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</row>
    <row r="7" customHeight="1" spans="1:24">
      <c r="A7" s="71">
        <v>3</v>
      </c>
      <c r="B7" s="72" t="s">
        <v>21</v>
      </c>
      <c r="C7" s="71">
        <v>13727171205</v>
      </c>
      <c r="D7" s="53"/>
      <c r="E7" s="53"/>
      <c r="F7" s="71">
        <v>350</v>
      </c>
      <c r="G7" s="71">
        <v>210</v>
      </c>
      <c r="H7" s="53"/>
      <c r="I7" s="65">
        <v>1</v>
      </c>
      <c r="J7" s="65">
        <f t="shared" si="0"/>
        <v>210</v>
      </c>
      <c r="K7" s="65" t="s">
        <v>20</v>
      </c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</row>
    <row r="8" customHeight="1" spans="1:24">
      <c r="A8" s="71">
        <v>4</v>
      </c>
      <c r="B8" s="72" t="s">
        <v>22</v>
      </c>
      <c r="C8" s="71">
        <v>18165670520</v>
      </c>
      <c r="D8" s="53"/>
      <c r="E8" s="71" t="s">
        <v>23</v>
      </c>
      <c r="F8" s="71">
        <v>350</v>
      </c>
      <c r="G8" s="71">
        <v>210</v>
      </c>
      <c r="H8" s="53"/>
      <c r="I8" s="65">
        <v>1</v>
      </c>
      <c r="J8" s="65">
        <f t="shared" si="0"/>
        <v>210</v>
      </c>
      <c r="K8" s="65" t="s">
        <v>20</v>
      </c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</row>
    <row r="9" customHeight="1" spans="1:24">
      <c r="A9" s="71">
        <v>5</v>
      </c>
      <c r="B9" s="72" t="s">
        <v>24</v>
      </c>
      <c r="C9" s="71">
        <v>13509258861</v>
      </c>
      <c r="D9" s="53"/>
      <c r="E9" s="71" t="s">
        <v>23</v>
      </c>
      <c r="F9" s="71">
        <v>350</v>
      </c>
      <c r="G9" s="71">
        <v>210</v>
      </c>
      <c r="H9" s="53"/>
      <c r="I9" s="65">
        <v>1</v>
      </c>
      <c r="J9" s="65">
        <f t="shared" si="0"/>
        <v>210</v>
      </c>
      <c r="K9" s="65" t="s">
        <v>20</v>
      </c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</row>
    <row r="10" customHeight="1" spans="1:24">
      <c r="A10" s="71">
        <v>6</v>
      </c>
      <c r="B10" s="72" t="s">
        <v>25</v>
      </c>
      <c r="C10" s="71">
        <v>13413456462</v>
      </c>
      <c r="D10" s="71" t="s">
        <v>26</v>
      </c>
      <c r="E10" s="71" t="s">
        <v>26</v>
      </c>
      <c r="F10" s="71">
        <v>350</v>
      </c>
      <c r="G10" s="71">
        <v>210</v>
      </c>
      <c r="H10" s="53"/>
      <c r="I10" s="65">
        <v>1</v>
      </c>
      <c r="J10" s="65">
        <f t="shared" si="0"/>
        <v>210</v>
      </c>
      <c r="K10" s="65" t="s">
        <v>20</v>
      </c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</row>
    <row r="11" customHeight="1" spans="1:24">
      <c r="A11" s="71">
        <v>7</v>
      </c>
      <c r="B11" s="72" t="s">
        <v>27</v>
      </c>
      <c r="C11" s="71">
        <v>13431952555</v>
      </c>
      <c r="D11" s="71" t="s">
        <v>17</v>
      </c>
      <c r="E11" s="53"/>
      <c r="F11" s="71">
        <v>350</v>
      </c>
      <c r="G11" s="71">
        <v>210</v>
      </c>
      <c r="H11" s="53"/>
      <c r="I11" s="65">
        <v>1</v>
      </c>
      <c r="J11" s="65">
        <f t="shared" si="0"/>
        <v>210</v>
      </c>
      <c r="K11" s="65" t="s">
        <v>20</v>
      </c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</row>
    <row r="12" customHeight="1" spans="1:24">
      <c r="A12" s="71">
        <v>8</v>
      </c>
      <c r="B12" s="72" t="s">
        <v>28</v>
      </c>
      <c r="C12" s="71">
        <v>15016697850</v>
      </c>
      <c r="D12" s="71" t="s">
        <v>26</v>
      </c>
      <c r="E12" s="53"/>
      <c r="F12" s="71">
        <v>350</v>
      </c>
      <c r="G12" s="71">
        <v>210</v>
      </c>
      <c r="H12" s="53"/>
      <c r="I12" s="65">
        <v>1</v>
      </c>
      <c r="J12" s="65">
        <f t="shared" si="0"/>
        <v>210</v>
      </c>
      <c r="K12" s="73" t="s">
        <v>18</v>
      </c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</row>
    <row r="13" customHeight="1" spans="1:24">
      <c r="A13" s="71">
        <v>9</v>
      </c>
      <c r="B13" s="72" t="s">
        <v>29</v>
      </c>
      <c r="C13" s="71">
        <v>13542466170</v>
      </c>
      <c r="D13" s="71" t="s">
        <v>17</v>
      </c>
      <c r="E13" s="53"/>
      <c r="F13" s="71">
        <v>350</v>
      </c>
      <c r="G13" s="71">
        <v>210</v>
      </c>
      <c r="H13" s="53"/>
      <c r="I13" s="65">
        <v>1</v>
      </c>
      <c r="J13" s="65">
        <f t="shared" si="0"/>
        <v>210</v>
      </c>
      <c r="K13" s="65" t="s">
        <v>20</v>
      </c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</row>
    <row r="14" customHeight="1" spans="1:24">
      <c r="A14" s="71">
        <v>10</v>
      </c>
      <c r="B14" s="72" t="s">
        <v>30</v>
      </c>
      <c r="C14" s="71">
        <v>13542466170</v>
      </c>
      <c r="D14" s="71" t="s">
        <v>17</v>
      </c>
      <c r="E14" s="53"/>
      <c r="F14" s="71">
        <v>350</v>
      </c>
      <c r="G14" s="71">
        <v>210</v>
      </c>
      <c r="H14" s="53"/>
      <c r="I14" s="65">
        <v>1</v>
      </c>
      <c r="J14" s="65">
        <f t="shared" si="0"/>
        <v>210</v>
      </c>
      <c r="K14" s="65" t="s">
        <v>20</v>
      </c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</row>
    <row r="15" customHeight="1" spans="1:24">
      <c r="A15" s="71">
        <v>11</v>
      </c>
      <c r="B15" s="72" t="s">
        <v>31</v>
      </c>
      <c r="C15" s="71">
        <v>13926635002</v>
      </c>
      <c r="D15" s="71" t="s">
        <v>17</v>
      </c>
      <c r="E15" s="53"/>
      <c r="F15" s="71">
        <v>350</v>
      </c>
      <c r="G15" s="71">
        <v>210</v>
      </c>
      <c r="H15" s="53"/>
      <c r="I15" s="65">
        <v>1</v>
      </c>
      <c r="J15" s="65">
        <f t="shared" si="0"/>
        <v>210</v>
      </c>
      <c r="K15" s="65" t="s">
        <v>20</v>
      </c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</row>
    <row r="16" customHeight="1" spans="1:24">
      <c r="A16" s="71">
        <v>12</v>
      </c>
      <c r="B16" s="72" t="s">
        <v>32</v>
      </c>
      <c r="C16" s="71">
        <v>13727171205</v>
      </c>
      <c r="D16" s="71" t="s">
        <v>17</v>
      </c>
      <c r="E16" s="53"/>
      <c r="F16" s="71">
        <v>350</v>
      </c>
      <c r="G16" s="71">
        <v>210</v>
      </c>
      <c r="H16" s="53"/>
      <c r="I16" s="65">
        <v>1</v>
      </c>
      <c r="J16" s="65">
        <f t="shared" si="0"/>
        <v>210</v>
      </c>
      <c r="K16" s="65" t="s">
        <v>20</v>
      </c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</row>
    <row r="17" customHeight="1" spans="1:24">
      <c r="A17" s="71">
        <v>13</v>
      </c>
      <c r="B17" s="72" t="s">
        <v>33</v>
      </c>
      <c r="C17" s="71">
        <v>13553937143</v>
      </c>
      <c r="D17" s="71" t="s">
        <v>23</v>
      </c>
      <c r="E17" s="53"/>
      <c r="F17" s="71">
        <v>350</v>
      </c>
      <c r="G17" s="71">
        <v>210</v>
      </c>
      <c r="H17" s="53"/>
      <c r="I17" s="65">
        <v>1</v>
      </c>
      <c r="J17" s="65">
        <f t="shared" si="0"/>
        <v>210</v>
      </c>
      <c r="K17" s="65" t="s">
        <v>20</v>
      </c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</row>
    <row r="18" customHeight="1" spans="1:24">
      <c r="A18" s="71">
        <v>14</v>
      </c>
      <c r="B18" s="72" t="s">
        <v>34</v>
      </c>
      <c r="C18" s="71">
        <v>15813277993</v>
      </c>
      <c r="D18" s="53"/>
      <c r="E18" s="71" t="s">
        <v>23</v>
      </c>
      <c r="F18" s="71">
        <v>350</v>
      </c>
      <c r="G18" s="71">
        <v>210</v>
      </c>
      <c r="H18" s="53"/>
      <c r="I18" s="65">
        <v>1</v>
      </c>
      <c r="J18" s="65">
        <f t="shared" si="0"/>
        <v>210</v>
      </c>
      <c r="K18" s="73" t="s">
        <v>18</v>
      </c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</row>
    <row r="19" customHeight="1" spans="1:24">
      <c r="A19" s="71">
        <v>15</v>
      </c>
      <c r="B19" s="72" t="s">
        <v>35</v>
      </c>
      <c r="C19" s="71">
        <v>18820052077</v>
      </c>
      <c r="D19" s="71" t="s">
        <v>23</v>
      </c>
      <c r="E19" s="71" t="s">
        <v>23</v>
      </c>
      <c r="F19" s="71">
        <v>350</v>
      </c>
      <c r="G19" s="71">
        <v>210</v>
      </c>
      <c r="H19" s="53"/>
      <c r="I19" s="65">
        <v>1</v>
      </c>
      <c r="J19" s="65">
        <f t="shared" si="0"/>
        <v>210</v>
      </c>
      <c r="K19" s="65" t="s">
        <v>20</v>
      </c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</row>
    <row r="20" customHeight="1" spans="1:24">
      <c r="A20" s="71">
        <v>16</v>
      </c>
      <c r="B20" s="72" t="s">
        <v>36</v>
      </c>
      <c r="C20" s="71">
        <v>13926624823</v>
      </c>
      <c r="D20" s="71" t="s">
        <v>26</v>
      </c>
      <c r="E20" s="74"/>
      <c r="F20" s="71">
        <v>350</v>
      </c>
      <c r="G20" s="71">
        <v>210</v>
      </c>
      <c r="H20" s="53"/>
      <c r="I20" s="65">
        <v>1</v>
      </c>
      <c r="J20" s="65">
        <f t="shared" si="0"/>
        <v>210</v>
      </c>
      <c r="K20" s="73" t="s">
        <v>18</v>
      </c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</row>
    <row r="21" customHeight="1" spans="1:24">
      <c r="A21" s="71">
        <v>17</v>
      </c>
      <c r="B21" s="72" t="s">
        <v>37</v>
      </c>
      <c r="C21" s="71">
        <v>13727159598</v>
      </c>
      <c r="D21" s="71" t="s">
        <v>26</v>
      </c>
      <c r="E21" s="53"/>
      <c r="F21" s="71">
        <v>350</v>
      </c>
      <c r="G21" s="71">
        <v>210</v>
      </c>
      <c r="H21" s="53"/>
      <c r="I21" s="65">
        <v>1</v>
      </c>
      <c r="J21" s="65">
        <f t="shared" si="0"/>
        <v>210</v>
      </c>
      <c r="K21" s="73" t="s">
        <v>18</v>
      </c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</row>
    <row r="22" customHeight="1" spans="1:24">
      <c r="A22" s="71">
        <v>18</v>
      </c>
      <c r="B22" s="72" t="s">
        <v>37</v>
      </c>
      <c r="C22" s="71">
        <v>13727159598</v>
      </c>
      <c r="D22" s="53"/>
      <c r="E22" s="71" t="s">
        <v>17</v>
      </c>
      <c r="F22" s="71">
        <v>350</v>
      </c>
      <c r="G22" s="71">
        <v>210</v>
      </c>
      <c r="H22" s="53"/>
      <c r="I22" s="65">
        <v>1</v>
      </c>
      <c r="J22" s="65">
        <f t="shared" si="0"/>
        <v>210</v>
      </c>
      <c r="K22" s="73" t="s">
        <v>18</v>
      </c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</row>
    <row r="23" customHeight="1" spans="1:24">
      <c r="A23" s="71">
        <v>19</v>
      </c>
      <c r="B23" s="72" t="s">
        <v>38</v>
      </c>
      <c r="C23" s="71">
        <v>15975837261</v>
      </c>
      <c r="D23" s="71" t="s">
        <v>17</v>
      </c>
      <c r="E23" s="53"/>
      <c r="F23" s="71">
        <v>350</v>
      </c>
      <c r="G23" s="71">
        <v>210</v>
      </c>
      <c r="H23" s="53"/>
      <c r="I23" s="65">
        <v>1</v>
      </c>
      <c r="J23" s="65">
        <f t="shared" si="0"/>
        <v>210</v>
      </c>
      <c r="K23" s="73" t="s">
        <v>18</v>
      </c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</row>
    <row r="24" customHeight="1" spans="1:24">
      <c r="A24" s="71">
        <v>20</v>
      </c>
      <c r="B24" s="72" t="s">
        <v>39</v>
      </c>
      <c r="C24" s="71">
        <v>13415284156</v>
      </c>
      <c r="D24" s="71" t="s">
        <v>17</v>
      </c>
      <c r="E24" s="71" t="s">
        <v>17</v>
      </c>
      <c r="F24" s="71">
        <v>350</v>
      </c>
      <c r="G24" s="71">
        <v>210</v>
      </c>
      <c r="H24" s="53"/>
      <c r="I24" s="65">
        <v>1</v>
      </c>
      <c r="J24" s="65">
        <f t="shared" si="0"/>
        <v>210</v>
      </c>
      <c r="K24" s="65" t="s">
        <v>18</v>
      </c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</row>
    <row r="25" customHeight="1" spans="1:24">
      <c r="A25" s="71">
        <v>21</v>
      </c>
      <c r="B25" s="72" t="s">
        <v>40</v>
      </c>
      <c r="C25" s="71">
        <v>13417201288</v>
      </c>
      <c r="D25" s="71" t="s">
        <v>17</v>
      </c>
      <c r="E25" s="53"/>
      <c r="F25" s="71">
        <v>350</v>
      </c>
      <c r="G25" s="71">
        <v>210</v>
      </c>
      <c r="H25" s="53"/>
      <c r="I25" s="65">
        <v>1</v>
      </c>
      <c r="J25" s="65">
        <f t="shared" si="0"/>
        <v>210</v>
      </c>
      <c r="K25" s="73" t="s">
        <v>18</v>
      </c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</row>
    <row r="26" customHeight="1" spans="1:24">
      <c r="A26" s="71">
        <v>22</v>
      </c>
      <c r="B26" s="72" t="s">
        <v>41</v>
      </c>
      <c r="C26" s="71">
        <v>13553935432</v>
      </c>
      <c r="D26" s="71" t="s">
        <v>26</v>
      </c>
      <c r="E26" s="53"/>
      <c r="F26" s="71">
        <v>350</v>
      </c>
      <c r="G26" s="71">
        <v>210</v>
      </c>
      <c r="H26" s="53"/>
      <c r="I26" s="65">
        <v>1</v>
      </c>
      <c r="J26" s="65">
        <f t="shared" si="0"/>
        <v>210</v>
      </c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</row>
    <row r="27" customHeight="1" spans="1:24">
      <c r="A27" s="71">
        <v>23</v>
      </c>
      <c r="B27" s="72" t="s">
        <v>42</v>
      </c>
      <c r="C27" s="71">
        <v>15876306138</v>
      </c>
      <c r="D27" s="71" t="s">
        <v>23</v>
      </c>
      <c r="E27" s="53"/>
      <c r="F27" s="71">
        <v>350</v>
      </c>
      <c r="G27" s="71">
        <v>210</v>
      </c>
      <c r="H27" s="53"/>
      <c r="I27" s="65">
        <v>1</v>
      </c>
      <c r="J27" s="65">
        <f t="shared" si="0"/>
        <v>210</v>
      </c>
      <c r="K27" s="73" t="s">
        <v>18</v>
      </c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</row>
    <row r="28" customHeight="1" spans="1:24">
      <c r="A28" s="71">
        <v>24</v>
      </c>
      <c r="B28" s="72" t="s">
        <v>43</v>
      </c>
      <c r="C28" s="71">
        <v>15886306138</v>
      </c>
      <c r="D28" s="53"/>
      <c r="E28" s="71" t="s">
        <v>23</v>
      </c>
      <c r="F28" s="71">
        <v>350</v>
      </c>
      <c r="G28" s="71">
        <v>210</v>
      </c>
      <c r="H28" s="53"/>
      <c r="I28" s="65">
        <v>1</v>
      </c>
      <c r="J28" s="65">
        <f t="shared" si="0"/>
        <v>210</v>
      </c>
      <c r="K28" s="73" t="s">
        <v>18</v>
      </c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</row>
    <row r="29" customHeight="1" spans="1:24">
      <c r="A29" s="71">
        <v>25</v>
      </c>
      <c r="B29" s="72" t="s">
        <v>44</v>
      </c>
      <c r="C29" s="71">
        <v>13542456301</v>
      </c>
      <c r="D29" s="71" t="s">
        <v>23</v>
      </c>
      <c r="E29" s="53"/>
      <c r="F29" s="71">
        <v>350</v>
      </c>
      <c r="G29" s="71">
        <v>210</v>
      </c>
      <c r="H29" s="53"/>
      <c r="I29" s="65">
        <v>1</v>
      </c>
      <c r="J29" s="65">
        <f t="shared" si="0"/>
        <v>210</v>
      </c>
      <c r="K29" s="73" t="s">
        <v>18</v>
      </c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</row>
    <row r="30" customHeight="1" spans="1:24">
      <c r="A30" s="71">
        <v>26</v>
      </c>
      <c r="B30" s="72" t="s">
        <v>45</v>
      </c>
      <c r="C30" s="71">
        <v>13416522075</v>
      </c>
      <c r="D30" s="53"/>
      <c r="E30" s="71" t="s">
        <v>17</v>
      </c>
      <c r="F30" s="71">
        <v>350</v>
      </c>
      <c r="G30" s="71">
        <v>210</v>
      </c>
      <c r="H30" s="53"/>
      <c r="I30" s="65">
        <v>1</v>
      </c>
      <c r="J30" s="65">
        <f t="shared" si="0"/>
        <v>210</v>
      </c>
      <c r="K30" s="73" t="s">
        <v>18</v>
      </c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</row>
    <row r="31" customHeight="1" spans="1:24">
      <c r="A31" s="71">
        <v>27</v>
      </c>
      <c r="B31" s="72" t="s">
        <v>46</v>
      </c>
      <c r="C31" s="71">
        <v>13416522075</v>
      </c>
      <c r="D31" s="71" t="s">
        <v>17</v>
      </c>
      <c r="E31" s="53"/>
      <c r="F31" s="71">
        <v>350</v>
      </c>
      <c r="G31" s="71">
        <v>210</v>
      </c>
      <c r="H31" s="53"/>
      <c r="I31" s="65">
        <v>1</v>
      </c>
      <c r="J31" s="65">
        <f t="shared" si="0"/>
        <v>210</v>
      </c>
      <c r="K31" s="73" t="s">
        <v>18</v>
      </c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</row>
    <row r="32" customHeight="1" spans="1:24">
      <c r="A32" s="71">
        <v>28</v>
      </c>
      <c r="B32" s="72" t="s">
        <v>47</v>
      </c>
      <c r="C32" s="71">
        <v>13542466170</v>
      </c>
      <c r="D32" s="71" t="s">
        <v>17</v>
      </c>
      <c r="E32" s="53"/>
      <c r="F32" s="71">
        <v>350</v>
      </c>
      <c r="G32" s="71">
        <v>210</v>
      </c>
      <c r="H32" s="53"/>
      <c r="I32" s="65">
        <v>1</v>
      </c>
      <c r="J32" s="65">
        <f t="shared" si="0"/>
        <v>210</v>
      </c>
      <c r="K32" s="65" t="s">
        <v>20</v>
      </c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</row>
    <row r="33" customHeight="1" spans="1:24">
      <c r="A33" s="71">
        <v>29</v>
      </c>
      <c r="B33" s="72" t="s">
        <v>48</v>
      </c>
      <c r="C33" s="71">
        <v>18718226266</v>
      </c>
      <c r="D33" s="71" t="s">
        <v>17</v>
      </c>
      <c r="E33" s="71" t="s">
        <v>17</v>
      </c>
      <c r="F33" s="71">
        <v>350</v>
      </c>
      <c r="G33" s="71">
        <v>210</v>
      </c>
      <c r="H33" s="53"/>
      <c r="I33" s="65">
        <v>2</v>
      </c>
      <c r="J33" s="65">
        <f t="shared" si="0"/>
        <v>420</v>
      </c>
      <c r="K33" s="65" t="s">
        <v>20</v>
      </c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 customHeight="1" spans="1:24">
      <c r="A34" s="71">
        <v>30</v>
      </c>
      <c r="B34" s="72" t="s">
        <v>49</v>
      </c>
      <c r="C34" s="71">
        <v>15915157506</v>
      </c>
      <c r="D34" s="71" t="s">
        <v>17</v>
      </c>
      <c r="E34" s="71" t="s">
        <v>17</v>
      </c>
      <c r="F34" s="71">
        <v>350</v>
      </c>
      <c r="G34" s="71">
        <v>210</v>
      </c>
      <c r="H34" s="53"/>
      <c r="I34" s="65">
        <v>1</v>
      </c>
      <c r="J34" s="65">
        <f t="shared" si="0"/>
        <v>210</v>
      </c>
      <c r="K34" s="73" t="s">
        <v>18</v>
      </c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</row>
    <row r="35" customHeight="1" spans="1:24">
      <c r="A35" s="71">
        <v>31</v>
      </c>
      <c r="B35" s="72" t="s">
        <v>50</v>
      </c>
      <c r="C35" s="71">
        <v>13360475998</v>
      </c>
      <c r="D35" s="71" t="s">
        <v>17</v>
      </c>
      <c r="E35" s="71" t="s">
        <v>17</v>
      </c>
      <c r="F35" s="71">
        <v>350</v>
      </c>
      <c r="G35" s="71">
        <v>210</v>
      </c>
      <c r="H35" s="53"/>
      <c r="I35" s="65">
        <v>1</v>
      </c>
      <c r="J35" s="65">
        <f t="shared" si="0"/>
        <v>210</v>
      </c>
      <c r="K35" s="65" t="s">
        <v>20</v>
      </c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</row>
    <row r="36" customHeight="1" spans="1:24">
      <c r="A36" s="71">
        <v>32</v>
      </c>
      <c r="B36" s="72" t="s">
        <v>51</v>
      </c>
      <c r="C36" s="71">
        <v>13104801055</v>
      </c>
      <c r="D36" s="71" t="s">
        <v>26</v>
      </c>
      <c r="E36" s="71" t="s">
        <v>26</v>
      </c>
      <c r="F36" s="71">
        <v>350</v>
      </c>
      <c r="G36" s="71">
        <v>210</v>
      </c>
      <c r="H36" s="53"/>
      <c r="I36" s="65">
        <v>1</v>
      </c>
      <c r="J36" s="65">
        <f t="shared" si="0"/>
        <v>210</v>
      </c>
      <c r="K36" s="65" t="s">
        <v>20</v>
      </c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 customHeight="1" spans="1:24">
      <c r="A37" s="71">
        <v>33</v>
      </c>
      <c r="B37" s="72" t="s">
        <v>52</v>
      </c>
      <c r="C37" s="71">
        <v>18718064733</v>
      </c>
      <c r="D37" s="71" t="s">
        <v>17</v>
      </c>
      <c r="E37" s="53"/>
      <c r="F37" s="71">
        <v>350</v>
      </c>
      <c r="G37" s="71">
        <v>210</v>
      </c>
      <c r="H37" s="53"/>
      <c r="I37" s="65">
        <v>1</v>
      </c>
      <c r="J37" s="65">
        <f t="shared" si="0"/>
        <v>210</v>
      </c>
      <c r="K37" s="73" t="s">
        <v>18</v>
      </c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 customHeight="1" spans="1:24">
      <c r="A38" s="71">
        <v>34</v>
      </c>
      <c r="B38" s="72" t="s">
        <v>53</v>
      </c>
      <c r="C38" s="71">
        <v>13539507319</v>
      </c>
      <c r="D38" s="71" t="s">
        <v>17</v>
      </c>
      <c r="E38" s="53"/>
      <c r="F38" s="71">
        <v>350</v>
      </c>
      <c r="G38" s="71">
        <v>210</v>
      </c>
      <c r="H38" s="53"/>
      <c r="I38" s="65">
        <v>1</v>
      </c>
      <c r="J38" s="65">
        <f t="shared" si="0"/>
        <v>210</v>
      </c>
      <c r="K38" s="65" t="s">
        <v>20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</row>
    <row r="39" customHeight="1" spans="1:24">
      <c r="A39" s="71">
        <v>35</v>
      </c>
      <c r="B39" s="72" t="s">
        <v>54</v>
      </c>
      <c r="C39" s="71">
        <v>15992087379</v>
      </c>
      <c r="D39" s="71" t="s">
        <v>17</v>
      </c>
      <c r="E39" s="53"/>
      <c r="F39" s="71">
        <v>350</v>
      </c>
      <c r="G39" s="71">
        <v>210</v>
      </c>
      <c r="H39" s="53"/>
      <c r="I39" s="65">
        <v>1</v>
      </c>
      <c r="J39" s="65">
        <f t="shared" si="0"/>
        <v>210</v>
      </c>
      <c r="K39" s="65" t="s">
        <v>20</v>
      </c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 customHeight="1" spans="1:24">
      <c r="A40" s="71">
        <v>36</v>
      </c>
      <c r="B40" s="72" t="s">
        <v>55</v>
      </c>
      <c r="C40" s="71">
        <v>13679518608</v>
      </c>
      <c r="D40" s="53"/>
      <c r="E40" s="71" t="s">
        <v>17</v>
      </c>
      <c r="F40" s="71">
        <v>350</v>
      </c>
      <c r="G40" s="71">
        <v>210</v>
      </c>
      <c r="H40" s="53"/>
      <c r="I40" s="65">
        <v>1</v>
      </c>
      <c r="J40" s="65">
        <f t="shared" si="0"/>
        <v>210</v>
      </c>
      <c r="K40" s="65" t="s">
        <v>20</v>
      </c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</row>
    <row r="41" customHeight="1" spans="1:24">
      <c r="A41" s="71">
        <v>37</v>
      </c>
      <c r="B41" s="72" t="s">
        <v>56</v>
      </c>
      <c r="C41" s="71">
        <v>13417272786</v>
      </c>
      <c r="D41" s="71" t="s">
        <v>23</v>
      </c>
      <c r="E41" s="53"/>
      <c r="F41" s="71">
        <v>350</v>
      </c>
      <c r="G41" s="71">
        <v>210</v>
      </c>
      <c r="H41" s="53"/>
      <c r="I41" s="65">
        <v>1</v>
      </c>
      <c r="J41" s="65">
        <f t="shared" si="0"/>
        <v>210</v>
      </c>
      <c r="K41" s="65" t="s">
        <v>20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</row>
    <row r="42" customHeight="1" spans="1:24">
      <c r="A42" s="71">
        <v>38</v>
      </c>
      <c r="B42" s="72" t="s">
        <v>57</v>
      </c>
      <c r="C42" s="71">
        <v>13620586270</v>
      </c>
      <c r="D42" s="53"/>
      <c r="E42" s="71" t="s">
        <v>23</v>
      </c>
      <c r="F42" s="71">
        <v>350</v>
      </c>
      <c r="G42" s="71">
        <v>210</v>
      </c>
      <c r="H42" s="53"/>
      <c r="I42" s="65">
        <v>1</v>
      </c>
      <c r="J42" s="65">
        <f t="shared" si="0"/>
        <v>210</v>
      </c>
      <c r="K42" s="73" t="s">
        <v>18</v>
      </c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customHeight="1" spans="1:24">
      <c r="A43" s="71">
        <v>39</v>
      </c>
      <c r="B43" s="73" t="s">
        <v>58</v>
      </c>
      <c r="C43" s="73">
        <v>13500291081</v>
      </c>
      <c r="D43" s="72" t="s">
        <v>23</v>
      </c>
      <c r="E43" s="73"/>
      <c r="F43" s="72">
        <v>350</v>
      </c>
      <c r="G43" s="72">
        <v>210</v>
      </c>
      <c r="H43" s="73" t="s">
        <v>18</v>
      </c>
      <c r="I43" s="65">
        <v>1</v>
      </c>
      <c r="J43" s="65">
        <f t="shared" si="0"/>
        <v>210</v>
      </c>
      <c r="K43" s="73" t="s">
        <v>18</v>
      </c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customHeight="1" spans="1:24">
      <c r="A44" s="71">
        <v>40</v>
      </c>
      <c r="B44" s="11" t="s">
        <v>59</v>
      </c>
      <c r="C44" s="53">
        <v>15816573760</v>
      </c>
      <c r="D44" s="71" t="s">
        <v>23</v>
      </c>
      <c r="E44" s="71" t="s">
        <v>23</v>
      </c>
      <c r="F44" s="71">
        <v>350</v>
      </c>
      <c r="G44" s="71">
        <v>210</v>
      </c>
      <c r="H44" s="53" t="s">
        <v>60</v>
      </c>
      <c r="I44" s="65">
        <v>2</v>
      </c>
      <c r="J44" s="65">
        <f t="shared" si="0"/>
        <v>420</v>
      </c>
      <c r="K44" s="65" t="s">
        <v>20</v>
      </c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</row>
    <row r="45" customHeight="1" spans="1:24">
      <c r="A45" s="71"/>
      <c r="B45" s="11" t="s">
        <v>61</v>
      </c>
      <c r="C45" s="53"/>
      <c r="D45" s="71"/>
      <c r="E45" s="71"/>
      <c r="F45" s="71">
        <v>350</v>
      </c>
      <c r="G45" s="71">
        <v>210</v>
      </c>
      <c r="H45" s="75"/>
      <c r="I45" s="65">
        <v>1</v>
      </c>
      <c r="J45" s="65">
        <f t="shared" si="0"/>
        <v>210</v>
      </c>
      <c r="K45" s="65" t="s">
        <v>20</v>
      </c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</row>
    <row r="46" customHeight="1" spans="1:24">
      <c r="A46" s="71">
        <v>41</v>
      </c>
      <c r="B46" s="53" t="s">
        <v>62</v>
      </c>
      <c r="C46" s="53">
        <v>15813273192</v>
      </c>
      <c r="D46" s="71" t="s">
        <v>23</v>
      </c>
      <c r="E46" s="71" t="s">
        <v>23</v>
      </c>
      <c r="F46" s="71">
        <v>350</v>
      </c>
      <c r="G46" s="71">
        <v>210</v>
      </c>
      <c r="H46" s="75" t="s">
        <v>63</v>
      </c>
      <c r="I46" s="65">
        <v>1</v>
      </c>
      <c r="J46" s="65">
        <f t="shared" si="0"/>
        <v>210</v>
      </c>
      <c r="K46" s="65" t="s">
        <v>20</v>
      </c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</row>
    <row r="47" customHeight="1" spans="1:24">
      <c r="A47" s="71">
        <v>42</v>
      </c>
      <c r="B47" s="53" t="s">
        <v>64</v>
      </c>
      <c r="C47" s="53"/>
      <c r="D47" s="71" t="s">
        <v>23</v>
      </c>
      <c r="E47" s="53"/>
      <c r="F47" s="71">
        <v>350</v>
      </c>
      <c r="G47" s="71">
        <v>210</v>
      </c>
      <c r="H47" s="53" t="s">
        <v>65</v>
      </c>
      <c r="I47" s="65">
        <v>1</v>
      </c>
      <c r="J47" s="65">
        <f t="shared" si="0"/>
        <v>210</v>
      </c>
      <c r="K47" s="65" t="s">
        <v>20</v>
      </c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</row>
    <row r="48" customHeight="1" spans="1:24">
      <c r="A48" s="71">
        <v>43</v>
      </c>
      <c r="B48" s="53" t="s">
        <v>66</v>
      </c>
      <c r="C48" s="53"/>
      <c r="D48" s="71" t="s">
        <v>23</v>
      </c>
      <c r="E48" s="53"/>
      <c r="F48" s="71">
        <v>350</v>
      </c>
      <c r="G48" s="71">
        <v>210</v>
      </c>
      <c r="H48" s="53" t="s">
        <v>65</v>
      </c>
      <c r="I48" s="65">
        <v>1</v>
      </c>
      <c r="J48" s="65">
        <f t="shared" si="0"/>
        <v>210</v>
      </c>
      <c r="K48" s="65" t="s">
        <v>20</v>
      </c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</row>
    <row r="49" customHeight="1" spans="1:24">
      <c r="A49" s="71">
        <v>44</v>
      </c>
      <c r="B49" s="53" t="s">
        <v>67</v>
      </c>
      <c r="C49" s="53"/>
      <c r="D49" s="53"/>
      <c r="E49" s="71" t="s">
        <v>23</v>
      </c>
      <c r="F49" s="71">
        <v>350</v>
      </c>
      <c r="G49" s="71">
        <v>210</v>
      </c>
      <c r="H49" s="53" t="s">
        <v>68</v>
      </c>
      <c r="I49" s="65">
        <v>1</v>
      </c>
      <c r="J49" s="65">
        <f t="shared" si="0"/>
        <v>210</v>
      </c>
      <c r="K49" s="73" t="s">
        <v>18</v>
      </c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</row>
    <row r="50" customHeight="1" spans="1:24">
      <c r="A50" s="71">
        <v>45</v>
      </c>
      <c r="B50" s="53" t="s">
        <v>69</v>
      </c>
      <c r="C50" s="53"/>
      <c r="D50" s="53"/>
      <c r="E50" s="71" t="s">
        <v>23</v>
      </c>
      <c r="F50" s="71">
        <v>350</v>
      </c>
      <c r="G50" s="71">
        <v>210</v>
      </c>
      <c r="H50" s="53" t="s">
        <v>68</v>
      </c>
      <c r="I50" s="65">
        <v>1</v>
      </c>
      <c r="J50" s="65">
        <f t="shared" si="0"/>
        <v>210</v>
      </c>
      <c r="K50" s="73" t="s">
        <v>18</v>
      </c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</row>
    <row r="51" customHeight="1" spans="1:24">
      <c r="A51" s="71">
        <v>46</v>
      </c>
      <c r="B51" s="53" t="s">
        <v>70</v>
      </c>
      <c r="C51" s="53"/>
      <c r="D51" s="71" t="s">
        <v>23</v>
      </c>
      <c r="E51" s="53"/>
      <c r="F51" s="71">
        <v>350</v>
      </c>
      <c r="G51" s="71">
        <v>210</v>
      </c>
      <c r="H51" s="53" t="s">
        <v>68</v>
      </c>
      <c r="I51" s="65">
        <v>1</v>
      </c>
      <c r="J51" s="65">
        <f t="shared" si="0"/>
        <v>210</v>
      </c>
      <c r="K51" s="73" t="s">
        <v>18</v>
      </c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</row>
    <row r="52" customHeight="1" spans="1:24">
      <c r="A52" s="71">
        <v>47</v>
      </c>
      <c r="B52" s="53"/>
      <c r="C52" s="53"/>
      <c r="D52" s="53"/>
      <c r="E52" s="53"/>
      <c r="F52" s="71">
        <v>350</v>
      </c>
      <c r="G52" s="71">
        <v>210</v>
      </c>
      <c r="H52" s="53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</row>
    <row r="53" customHeight="1" spans="1:24">
      <c r="A53" s="71">
        <v>48</v>
      </c>
      <c r="B53" s="53"/>
      <c r="C53" s="53"/>
      <c r="D53" s="53"/>
      <c r="E53" s="53"/>
      <c r="F53" s="71">
        <v>350</v>
      </c>
      <c r="G53" s="71">
        <v>210</v>
      </c>
      <c r="H53" s="53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</row>
    <row r="54" customHeight="1" spans="1:24">
      <c r="A54" s="71">
        <v>49</v>
      </c>
      <c r="B54" s="53"/>
      <c r="C54" s="53"/>
      <c r="D54" s="53"/>
      <c r="E54" s="53"/>
      <c r="F54" s="71">
        <v>350</v>
      </c>
      <c r="G54" s="71">
        <v>210</v>
      </c>
      <c r="H54" s="53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</row>
    <row r="55" customHeight="1" spans="1:24">
      <c r="A55" s="71">
        <v>50</v>
      </c>
      <c r="B55" s="53"/>
      <c r="C55" s="53"/>
      <c r="D55" s="53"/>
      <c r="E55" s="53"/>
      <c r="F55" s="71">
        <v>350</v>
      </c>
      <c r="G55" s="71">
        <v>210</v>
      </c>
      <c r="H55" s="53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</row>
    <row r="56" customHeight="1" spans="1:24">
      <c r="A56" s="71">
        <v>51</v>
      </c>
      <c r="B56" s="53"/>
      <c r="C56" s="53"/>
      <c r="D56" s="53"/>
      <c r="E56" s="53"/>
      <c r="F56" s="71">
        <v>350</v>
      </c>
      <c r="G56" s="71">
        <v>210</v>
      </c>
      <c r="H56" s="53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</row>
    <row r="57" customHeight="1" spans="1:24">
      <c r="A57" s="71">
        <v>52</v>
      </c>
      <c r="B57" s="53"/>
      <c r="C57" s="53"/>
      <c r="D57" s="53"/>
      <c r="E57" s="53"/>
      <c r="F57" s="71">
        <v>350</v>
      </c>
      <c r="G57" s="71">
        <v>210</v>
      </c>
      <c r="H57" s="53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</row>
    <row r="58" customHeight="1" spans="1:24">
      <c r="A58" s="71">
        <v>53</v>
      </c>
      <c r="B58" s="53"/>
      <c r="C58" s="53"/>
      <c r="D58" s="53"/>
      <c r="E58" s="53"/>
      <c r="F58" s="71">
        <v>350</v>
      </c>
      <c r="G58" s="71">
        <v>210</v>
      </c>
      <c r="H58" s="53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</row>
    <row r="59" customHeight="1" spans="1:24">
      <c r="A59" s="71">
        <v>54</v>
      </c>
      <c r="B59" s="53"/>
      <c r="C59" s="53"/>
      <c r="D59" s="53"/>
      <c r="E59" s="53"/>
      <c r="F59" s="71">
        <v>350</v>
      </c>
      <c r="G59" s="71">
        <v>210</v>
      </c>
      <c r="H59" s="53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</row>
    <row r="60" customHeight="1" spans="1:24">
      <c r="A60" s="71">
        <v>55</v>
      </c>
      <c r="B60" s="53"/>
      <c r="C60" s="53"/>
      <c r="D60" s="53"/>
      <c r="E60" s="53"/>
      <c r="F60" s="71">
        <v>350</v>
      </c>
      <c r="G60" s="71">
        <v>210</v>
      </c>
      <c r="H60" s="53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</row>
    <row r="61" customHeight="1" spans="1:24">
      <c r="A61" s="71">
        <v>56</v>
      </c>
      <c r="B61" s="53"/>
      <c r="C61" s="53"/>
      <c r="D61" s="53"/>
      <c r="E61" s="53"/>
      <c r="F61" s="71">
        <v>350</v>
      </c>
      <c r="G61" s="71">
        <v>210</v>
      </c>
      <c r="H61" s="53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</row>
    <row r="62" customHeight="1" spans="1:24">
      <c r="A62" s="71">
        <v>57</v>
      </c>
      <c r="B62" s="53"/>
      <c r="C62" s="53"/>
      <c r="D62" s="53"/>
      <c r="E62" s="53"/>
      <c r="F62" s="71">
        <v>350</v>
      </c>
      <c r="G62" s="71">
        <v>210</v>
      </c>
      <c r="H62" s="53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</row>
    <row r="63" customHeight="1" spans="1:24">
      <c r="A63" s="71">
        <v>58</v>
      </c>
      <c r="B63" s="53"/>
      <c r="C63" s="53"/>
      <c r="D63" s="53"/>
      <c r="E63" s="53"/>
      <c r="F63" s="71">
        <v>350</v>
      </c>
      <c r="G63" s="71">
        <v>210</v>
      </c>
      <c r="H63" s="53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</row>
    <row r="64" customHeight="1" spans="1:24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</row>
    <row r="65" customHeight="1" spans="1:24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</row>
    <row r="66" customHeight="1" spans="1:24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</row>
    <row r="67" customHeight="1" spans="1:24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</row>
    <row r="68" customHeight="1" spans="1:24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</row>
    <row r="69" customHeight="1" spans="1:24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</row>
    <row r="70" customHeight="1" spans="1:24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</row>
    <row r="71" customHeight="1" spans="1:24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</row>
    <row r="72" customHeight="1" spans="1:24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</row>
    <row r="73" customHeight="1" spans="1:24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</row>
    <row r="74" customHeight="1" spans="1:2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</row>
    <row r="75" customHeight="1" spans="1:24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</row>
    <row r="76" customHeight="1" spans="1:24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</row>
    <row r="77" customHeight="1" spans="1:24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</row>
    <row r="78" customHeight="1" spans="1:24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</row>
    <row r="79" customHeight="1" spans="1:24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</row>
    <row r="80" customHeight="1" spans="1:24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</row>
    <row r="81" customHeight="1" spans="1:24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</row>
    <row r="82" customHeight="1" spans="1:24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</row>
    <row r="83" customHeight="1" spans="1:24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</row>
    <row r="84" customHeight="1" spans="1:2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</row>
    <row r="85" customHeight="1" spans="1:24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</row>
    <row r="86" customHeight="1" spans="1:24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</row>
    <row r="87" customHeight="1" spans="1:24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</row>
    <row r="88" customHeight="1" spans="1:24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</row>
    <row r="89" customHeight="1" spans="1:24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</row>
    <row r="90" customHeight="1" spans="1:24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</row>
    <row r="91" customHeight="1" spans="1:24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</row>
    <row r="92" customHeight="1" spans="1:24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</row>
    <row r="93" customHeight="1" spans="1:24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</row>
    <row r="94" customHeight="1" spans="1:2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</row>
    <row r="95" customHeight="1" spans="1:24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</row>
    <row r="96" customHeight="1" spans="1:24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</row>
    <row r="97" customHeight="1" spans="1:24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</row>
    <row r="98" customHeight="1" spans="1:24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</row>
    <row r="99" customHeight="1" spans="1:24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</row>
    <row r="100" customHeight="1" spans="1:24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</row>
    <row r="101" customHeight="1" spans="1:24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</row>
    <row r="102" customHeight="1" spans="1:24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</row>
    <row r="103" customHeight="1" spans="1:24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</row>
    <row r="104" customHeight="1" spans="1:2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</row>
    <row r="105" customHeight="1" spans="1:24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</row>
    <row r="106" customHeight="1" spans="1:24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</row>
    <row r="107" customHeight="1" spans="1:24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</row>
    <row r="108" customHeight="1" spans="1:24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</row>
    <row r="109" customHeight="1" spans="1:24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</row>
    <row r="110" customHeight="1" spans="1:24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</row>
    <row r="111" customHeight="1" spans="1:24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</row>
    <row r="112" customHeight="1" spans="1:24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</row>
    <row r="113" customHeight="1" spans="1:24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</row>
    <row r="114" customHeight="1" spans="1:2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</row>
    <row r="115" customHeight="1" spans="1:24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</row>
    <row r="116" customHeight="1" spans="1:24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</row>
    <row r="117" customHeight="1" spans="1:24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</row>
    <row r="118" customHeight="1" spans="1:24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</row>
    <row r="119" customHeight="1" spans="1:24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</row>
    <row r="120" customHeight="1" spans="1:24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</row>
    <row r="121" customHeight="1" spans="1:24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</row>
    <row r="122" customHeight="1" spans="1:24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</row>
    <row r="123" customHeight="1" spans="1:24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</row>
    <row r="124" customHeight="1" spans="1: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</row>
    <row r="125" customHeight="1" spans="1:24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</row>
    <row r="126" customHeight="1" spans="1:24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</row>
    <row r="127" customHeight="1" spans="1:24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</row>
    <row r="128" customHeight="1" spans="1:24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</row>
    <row r="129" customHeight="1" spans="1:24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</row>
    <row r="130" customHeight="1" spans="1:24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</row>
    <row r="131" customHeight="1" spans="1:24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</row>
    <row r="132" customHeight="1" spans="1:24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</row>
    <row r="133" customHeight="1" spans="1:24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</row>
    <row r="134" customHeight="1" spans="1:2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</row>
    <row r="135" customHeight="1" spans="1:24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</row>
    <row r="136" customHeight="1" spans="1:24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</row>
    <row r="137" customHeight="1" spans="1:24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</row>
    <row r="138" customHeight="1" spans="1:24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</row>
    <row r="139" customHeight="1" spans="1:24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</row>
    <row r="140" customHeight="1" spans="1:24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</row>
    <row r="141" customHeight="1" spans="1:24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</row>
    <row r="142" customHeight="1" spans="1:24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</row>
    <row r="143" customHeight="1" spans="1:24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</row>
    <row r="144" customHeight="1" spans="1:2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</row>
    <row r="145" customHeight="1" spans="1:24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</row>
    <row r="146" customHeight="1" spans="1:24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</row>
    <row r="147" customHeight="1" spans="1:24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</row>
    <row r="148" customHeight="1" spans="1:24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</row>
    <row r="149" customHeight="1" spans="1:24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</row>
    <row r="150" customHeight="1" spans="1:24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</row>
    <row r="151" customHeight="1" spans="1:24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</row>
    <row r="152" customHeight="1" spans="1:24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</row>
    <row r="153" customHeight="1" spans="1:24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</row>
    <row r="154" customHeight="1" spans="1:2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</row>
    <row r="155" customHeight="1" spans="1:24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</row>
    <row r="156" customHeight="1" spans="1:24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</row>
    <row r="157" customHeight="1" spans="1:24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</row>
    <row r="158" customHeight="1" spans="1:24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</row>
    <row r="159" customHeight="1" spans="1:24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</row>
    <row r="160" customHeight="1" spans="1:24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</row>
    <row r="161" customHeight="1" spans="1:24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</row>
    <row r="162" customHeight="1" spans="1:24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</row>
    <row r="163" customHeight="1" spans="1:24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</row>
    <row r="164" customHeight="1" spans="1:2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</row>
    <row r="165" customHeight="1" spans="1:24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</row>
    <row r="166" customHeight="1" spans="1:24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</row>
    <row r="167" customHeight="1" spans="1:24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</row>
    <row r="168" customHeight="1" spans="1:24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</row>
    <row r="169" customHeight="1" spans="1:24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</row>
    <row r="170" customHeight="1" spans="1:24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</row>
    <row r="171" customHeight="1" spans="1:24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</row>
    <row r="172" customHeight="1" spans="1:24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</row>
    <row r="173" customHeight="1" spans="1:24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</row>
    <row r="174" customHeight="1" spans="1:2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</row>
    <row r="175" customHeight="1" spans="1:24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</row>
    <row r="176" customHeight="1" spans="1:24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</row>
    <row r="177" customHeight="1" spans="1:24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</row>
    <row r="178" customHeight="1" spans="1:24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</row>
    <row r="179" customHeight="1" spans="1:24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</row>
    <row r="180" customHeight="1" spans="1:24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</row>
    <row r="181" customHeight="1" spans="1:24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</row>
    <row r="182" customHeight="1" spans="1:24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</row>
    <row r="183" customHeight="1" spans="1:24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</row>
    <row r="184" customHeight="1" spans="1:2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</row>
    <row r="185" customHeight="1" spans="1:24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</row>
    <row r="186" customHeight="1" spans="1:24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</row>
    <row r="187" customHeight="1" spans="1:24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</row>
    <row r="188" customHeight="1" spans="1:24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</row>
    <row r="189" customHeight="1" spans="1:24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</row>
  </sheetData>
  <autoFilter xmlns:etc="http://www.wps.cn/officeDocument/2017/etCustomData" ref="A4:X63" etc:filterBottomFollowUsedRange="0">
    <extLst/>
  </autoFilter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56" customWidth="1"/>
    <col min="2" max="2" width="13.7142857142857" style="56" customWidth="1"/>
    <col min="3" max="3" width="4.42857142857143" style="54" customWidth="1"/>
    <col min="4" max="6" width="4" style="54" customWidth="1"/>
    <col min="7" max="7" width="3.87619047619048" style="54" customWidth="1"/>
    <col min="8" max="12" width="4.28571428571429" style="54" customWidth="1"/>
    <col min="13" max="13" width="4.00952380952381" style="54" customWidth="1"/>
    <col min="14" max="14" width="4.28571428571429" style="54" customWidth="1"/>
    <col min="15" max="15" width="4.00952380952381" style="54" customWidth="1"/>
    <col min="16" max="16" width="3.87619047619048" style="54" customWidth="1"/>
    <col min="17" max="17" width="4.28571428571429" style="54" customWidth="1"/>
    <col min="18" max="19" width="4.14285714285714" style="54" customWidth="1"/>
    <col min="20" max="20" width="4.57142857142857" style="54" customWidth="1"/>
    <col min="21" max="25" width="4.14285714285714" style="54" customWidth="1"/>
    <col min="26" max="27" width="4.57142857142857" style="54" customWidth="1"/>
    <col min="28" max="28" width="4.16190476190476" style="54" customWidth="1"/>
    <col min="29" max="30" width="4.28571428571429" style="54" customWidth="1"/>
    <col min="31" max="31" width="4.00952380952381" style="54" customWidth="1"/>
    <col min="32" max="32" width="3.85714285714286" style="54" customWidth="1"/>
    <col min="33" max="34" width="4.28571428571429" style="54" customWidth="1"/>
    <col min="35" max="36" width="4.57142857142857" style="54" customWidth="1"/>
    <col min="37" max="37" width="4.28571428571429" style="54" customWidth="1"/>
    <col min="38" max="38" width="3.85714285714286" style="54" customWidth="1"/>
    <col min="39" max="16384" width="10.2857142857143" style="54"/>
  </cols>
  <sheetData>
    <row r="1" s="54" customFormat="1" ht="26" customHeight="1" spans="1:38">
      <c r="A1" s="50" t="s">
        <v>71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="54" customFormat="1" ht="26" customHeight="1" spans="1:38">
      <c r="A2" s="57" t="s">
        <v>72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</row>
    <row r="3" s="55" customFormat="1" ht="40" customHeight="1" spans="1:38">
      <c r="A3" s="58" t="s">
        <v>2</v>
      </c>
      <c r="B3" s="58" t="s">
        <v>73</v>
      </c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/>
      <c r="AH3" s="51"/>
      <c r="AI3" s="51"/>
      <c r="AJ3" s="51"/>
      <c r="AK3" s="51"/>
      <c r="AL3" s="51"/>
    </row>
    <row r="4" s="54" customFormat="1" ht="25" customHeight="1" spans="1:38">
      <c r="A4" s="59">
        <v>1</v>
      </c>
      <c r="B4" s="60"/>
      <c r="C4" s="59"/>
      <c r="D4" s="59"/>
      <c r="E4" s="59"/>
      <c r="F4" s="59"/>
      <c r="G4" s="59"/>
      <c r="H4" s="59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</row>
    <row r="5" s="54" customFormat="1" ht="25" customHeight="1" spans="1:38">
      <c r="A5" s="59">
        <v>2</v>
      </c>
      <c r="B5" s="60"/>
      <c r="C5" s="59"/>
      <c r="D5" s="59"/>
      <c r="E5" s="59"/>
      <c r="F5" s="59"/>
      <c r="G5" s="59"/>
      <c r="H5" s="59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</row>
    <row r="6" s="54" customFormat="1" ht="25" customHeight="1" spans="1:38">
      <c r="A6" s="59">
        <v>3</v>
      </c>
      <c r="B6" s="60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</row>
    <row r="7" s="54" customFormat="1" ht="25" customHeight="1" spans="1:38">
      <c r="A7" s="59">
        <v>13</v>
      </c>
      <c r="B7" s="60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</row>
    <row r="8" s="54" customFormat="1" ht="25" customHeight="1" spans="1:38">
      <c r="A8" s="59">
        <v>14</v>
      </c>
      <c r="B8" s="60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</row>
    <row r="9" s="54" customFormat="1" ht="25" customHeight="1" spans="1:38">
      <c r="A9" s="59">
        <v>15</v>
      </c>
      <c r="B9" s="60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</row>
    <row r="10" s="54" customFormat="1" ht="25" customHeight="1" spans="1:38">
      <c r="A10" s="59">
        <v>16</v>
      </c>
      <c r="B10" s="60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</row>
    <row r="11" s="54" customFormat="1" ht="25" customHeight="1" spans="1:38">
      <c r="A11" s="59">
        <v>17</v>
      </c>
      <c r="B11" s="62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</row>
    <row r="12" s="54" customFormat="1" ht="25" customHeight="1" spans="1:38">
      <c r="A12" s="59">
        <v>18</v>
      </c>
      <c r="B12" s="62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</row>
    <row r="13" s="54" customFormat="1" ht="15" customHeight="1" spans="1:38">
      <c r="A13" s="63"/>
      <c r="B13" s="63"/>
    </row>
    <row r="14" s="54" customFormat="1" ht="15" customHeight="1" spans="1:38">
      <c r="A14" s="63"/>
      <c r="B14" s="63"/>
    </row>
    <row r="15" s="54" customFormat="1" ht="15" customHeight="1" spans="1:38">
      <c r="A15" s="63"/>
      <c r="B15" s="63"/>
    </row>
    <row r="16" s="54" customFormat="1" ht="15" customHeight="1" spans="1:38">
      <c r="A16" s="63"/>
      <c r="B16" s="63"/>
    </row>
    <row r="17" s="54" customFormat="1" ht="15" customHeight="1" spans="1:2">
      <c r="A17" s="63"/>
      <c r="B17" s="63"/>
    </row>
    <row r="18" s="54" customFormat="1" ht="15" customHeight="1" spans="1:2">
      <c r="A18" s="63"/>
      <c r="B18" s="63"/>
    </row>
    <row r="19" s="54" customFormat="1" ht="15" customHeight="1" spans="1:2">
      <c r="A19" s="63"/>
      <c r="B19" s="63"/>
    </row>
    <row r="20" s="54" customFormat="1" ht="15" customHeight="1" spans="1:2">
      <c r="A20" s="63"/>
      <c r="B20" s="63"/>
    </row>
    <row r="21" s="54" customFormat="1" ht="15" customHeight="1" spans="1:2">
      <c r="A21" s="63"/>
      <c r="B21" s="63"/>
    </row>
    <row r="22" s="54" customFormat="1" ht="15" customHeight="1" spans="1:2">
      <c r="A22" s="63"/>
      <c r="B22" s="63"/>
    </row>
    <row r="23" s="54" customFormat="1" ht="15" customHeight="1" spans="1:2">
      <c r="A23" s="63"/>
      <c r="B23" s="63"/>
    </row>
    <row r="24" s="54" customFormat="1" ht="15" customHeight="1" spans="1:2">
      <c r="A24" s="63"/>
      <c r="B24" s="63"/>
    </row>
    <row r="25" s="54" customFormat="1" ht="15" customHeight="1" spans="1:2">
      <c r="A25" s="63"/>
      <c r="B25" s="63"/>
    </row>
    <row r="26" s="54" customFormat="1" ht="15" customHeight="1" spans="1:2">
      <c r="A26" s="63"/>
      <c r="B26" s="63"/>
    </row>
    <row r="27" s="54" customFormat="1" ht="15" customHeight="1" spans="1:2">
      <c r="A27" s="63"/>
      <c r="B27" s="63"/>
    </row>
    <row r="28" s="54" customFormat="1" ht="15" customHeight="1" spans="1:2">
      <c r="A28" s="63"/>
      <c r="B28" s="63"/>
    </row>
    <row r="29" s="54" customFormat="1" ht="15" customHeight="1" spans="1:2">
      <c r="A29" s="63"/>
      <c r="B29" s="63"/>
    </row>
    <row r="30" s="54" customFormat="1" ht="15" customHeight="1" spans="1:2">
      <c r="A30" s="63"/>
      <c r="B30" s="63"/>
    </row>
    <row r="31" s="54" customFormat="1" ht="15" customHeight="1" spans="1:2">
      <c r="A31" s="63"/>
      <c r="B31" s="63"/>
    </row>
    <row r="32" s="54" customFormat="1" ht="15" customHeight="1" spans="1:2">
      <c r="A32" s="63"/>
      <c r="B32" s="63"/>
    </row>
    <row r="33" s="54" customFormat="1" ht="15" customHeight="1" spans="1:2">
      <c r="A33" s="63"/>
      <c r="B33" s="63"/>
    </row>
    <row r="34" s="54" customFormat="1" ht="15" customHeight="1" spans="1:2">
      <c r="A34" s="63"/>
      <c r="B34" s="63"/>
    </row>
    <row r="35" s="54" customFormat="1" ht="15" customHeight="1" spans="1:2">
      <c r="A35" s="63"/>
      <c r="B35" s="63"/>
    </row>
    <row r="36" s="54" customFormat="1" ht="15" customHeight="1" spans="1:2">
      <c r="A36" s="63"/>
      <c r="B36" s="63"/>
    </row>
    <row r="37" s="54" customFormat="1" ht="15" customHeight="1" spans="1:2">
      <c r="A37" s="63"/>
      <c r="B37" s="63"/>
    </row>
    <row r="38" s="54" customFormat="1" ht="15" customHeight="1" spans="1:2">
      <c r="A38" s="63"/>
      <c r="B38" s="63"/>
    </row>
    <row r="39" s="54" customFormat="1" ht="15" customHeight="1" spans="1:2">
      <c r="A39" s="63"/>
      <c r="B39" s="63"/>
    </row>
    <row r="40" s="54" customFormat="1" ht="15" customHeight="1" spans="1:2">
      <c r="A40" s="63"/>
      <c r="B40" s="63"/>
    </row>
    <row r="41" s="54" customFormat="1" ht="15" customHeight="1" spans="1:2">
      <c r="A41" s="63"/>
      <c r="B41" s="63"/>
    </row>
    <row r="42" s="54" customFormat="1" ht="15" customHeight="1" spans="1:2">
      <c r="A42" s="63"/>
      <c r="B42" s="63"/>
    </row>
    <row r="43" s="54" customFormat="1" ht="15" customHeight="1" spans="1:2">
      <c r="A43" s="63"/>
      <c r="B43" s="63"/>
    </row>
    <row r="44" s="54" customFormat="1" ht="15" customHeight="1" spans="1:2">
      <c r="A44" s="63"/>
      <c r="B44" s="63"/>
    </row>
    <row r="45" s="54" customFormat="1" ht="15" customHeight="1" spans="1:2">
      <c r="A45" s="63"/>
      <c r="B45" s="63"/>
    </row>
    <row r="46" s="54" customFormat="1" ht="15" customHeight="1" spans="1:2">
      <c r="A46" s="63"/>
      <c r="B46" s="63"/>
    </row>
    <row r="47" s="54" customFormat="1" ht="15" customHeight="1" spans="1:2">
      <c r="A47" s="63"/>
      <c r="B47" s="63"/>
    </row>
    <row r="48" s="54" customFormat="1" ht="15" customHeight="1" spans="1:2">
      <c r="A48" s="63"/>
      <c r="B48" s="63"/>
    </row>
    <row r="49" s="54" customFormat="1" ht="15" customHeight="1" spans="1:2">
      <c r="A49" s="63"/>
      <c r="B49" s="63"/>
    </row>
    <row r="50" s="54" customFormat="1" ht="15" customHeight="1" spans="1:2">
      <c r="A50" s="63"/>
      <c r="B50" s="63"/>
    </row>
    <row r="51" s="54" customFormat="1" ht="15" customHeight="1" spans="1:2">
      <c r="A51" s="63"/>
      <c r="B51" s="63"/>
    </row>
    <row r="52" s="54" customFormat="1" ht="15" customHeight="1" spans="1:2">
      <c r="A52" s="63"/>
      <c r="B52" s="63"/>
    </row>
    <row r="53" s="54" customFormat="1" ht="15" customHeight="1" spans="1:2">
      <c r="A53" s="63"/>
      <c r="B53" s="63"/>
    </row>
    <row r="54" s="54" customFormat="1" ht="15" customHeight="1" spans="1:2">
      <c r="A54" s="63"/>
      <c r="B54" s="63"/>
    </row>
    <row r="55" s="54" customFormat="1" ht="15" customHeight="1" spans="1:2">
      <c r="A55" s="63"/>
      <c r="B55" s="63"/>
    </row>
    <row r="56" s="54" customFormat="1" ht="15" customHeight="1" spans="1:2">
      <c r="A56" s="63"/>
      <c r="B56" s="63"/>
    </row>
    <row r="57" s="54" customFormat="1" ht="15" customHeight="1" spans="1:2">
      <c r="A57" s="63"/>
      <c r="B57" s="63"/>
    </row>
    <row r="58" s="54" customFormat="1" ht="15" customHeight="1" spans="1:2">
      <c r="A58" s="63"/>
      <c r="B58" s="63"/>
    </row>
    <row r="59" s="54" customFormat="1" ht="15" customHeight="1" spans="1:2">
      <c r="A59" s="63"/>
      <c r="B59" s="63"/>
    </row>
    <row r="60" s="54" customFormat="1" ht="15" customHeight="1" spans="1:2">
      <c r="A60" s="63"/>
      <c r="B60" s="63"/>
    </row>
    <row r="61" s="54" customFormat="1" ht="15" customHeight="1" spans="1:2">
      <c r="A61" s="63"/>
      <c r="B61" s="63"/>
    </row>
    <row r="62" s="54" customFormat="1" ht="15" customHeight="1" spans="1:2">
      <c r="A62" s="63"/>
      <c r="B62" s="63"/>
    </row>
    <row r="63" s="54" customFormat="1" ht="15" customHeight="1" spans="1:2">
      <c r="A63" s="63"/>
      <c r="B63" s="63"/>
    </row>
    <row r="64" s="54" customFormat="1" ht="15" customHeight="1" spans="1:2">
      <c r="A64" s="63"/>
      <c r="B64" s="63"/>
    </row>
    <row r="65" s="54" customFormat="1" ht="15" customHeight="1" spans="1:2">
      <c r="A65" s="63"/>
      <c r="B65" s="63"/>
    </row>
    <row r="66" s="54" customFormat="1" ht="15" customHeight="1" spans="1:2">
      <c r="A66" s="63"/>
      <c r="B66" s="63"/>
    </row>
    <row r="67" s="54" customFormat="1" ht="15" customHeight="1" spans="1:2">
      <c r="A67" s="63"/>
      <c r="B67" s="63"/>
    </row>
    <row r="68" s="54" customFormat="1" ht="15" customHeight="1" spans="1:2">
      <c r="A68" s="63"/>
      <c r="B68" s="63"/>
    </row>
    <row r="69" s="54" customFormat="1" ht="15" customHeight="1" spans="1:2">
      <c r="A69" s="63"/>
      <c r="B69" s="63"/>
    </row>
    <row r="70" s="54" customFormat="1" ht="15" customHeight="1" spans="1:2">
      <c r="A70" s="63"/>
      <c r="B70" s="63"/>
    </row>
    <row r="71" s="54" customFormat="1" spans="1:2">
      <c r="A71" s="56"/>
      <c r="B71" s="56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opLeftCell="A32" workbookViewId="0">
      <selection activeCell="I47" sqref="I47"/>
    </sheetView>
  </sheetViews>
  <sheetFormatPr defaultColWidth="9.14285714285714" defaultRowHeight="12" outlineLevelCol="6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29" customHeight="1" spans="1:7">
      <c r="A1" s="50" t="s">
        <v>74</v>
      </c>
      <c r="B1" s="50"/>
      <c r="C1" s="50"/>
      <c r="D1" s="50"/>
      <c r="E1" s="50"/>
      <c r="F1" s="50"/>
    </row>
    <row r="2" s="1" customFormat="1" ht="39" customHeight="1" spans="1:7">
      <c r="A2" s="8" t="s">
        <v>2</v>
      </c>
      <c r="B2" s="8" t="s">
        <v>75</v>
      </c>
      <c r="C2" s="8" t="s">
        <v>3</v>
      </c>
      <c r="D2" s="51" t="s">
        <v>76</v>
      </c>
      <c r="E2" s="8" t="s">
        <v>77</v>
      </c>
      <c r="F2" s="8" t="s">
        <v>7</v>
      </c>
    </row>
    <row r="3" ht="26" customHeight="1" spans="1:7">
      <c r="A3" s="45">
        <v>1</v>
      </c>
      <c r="B3" s="10">
        <v>46093</v>
      </c>
      <c r="C3" s="11" t="s">
        <v>16</v>
      </c>
      <c r="D3" s="17">
        <v>1</v>
      </c>
      <c r="E3" s="20"/>
      <c r="F3" s="13"/>
    </row>
    <row r="4" ht="26" customHeight="1" spans="1:7">
      <c r="A4" s="45">
        <v>2</v>
      </c>
      <c r="B4" s="10">
        <v>46093</v>
      </c>
      <c r="C4" s="11" t="s">
        <v>19</v>
      </c>
      <c r="D4" s="17">
        <v>1</v>
      </c>
      <c r="E4" s="20"/>
      <c r="F4" s="14"/>
    </row>
    <row r="5" ht="26" customHeight="1" spans="1:7">
      <c r="A5" s="45">
        <v>3</v>
      </c>
      <c r="B5" s="10">
        <v>46093</v>
      </c>
      <c r="C5" s="11" t="s">
        <v>21</v>
      </c>
      <c r="D5" s="17">
        <v>1</v>
      </c>
      <c r="E5" s="20"/>
      <c r="F5" s="14"/>
    </row>
    <row r="6" ht="26" customHeight="1" spans="1:7">
      <c r="A6" s="45">
        <v>4</v>
      </c>
      <c r="B6" s="10">
        <v>46093</v>
      </c>
      <c r="C6" s="11" t="s">
        <v>32</v>
      </c>
      <c r="D6" s="17">
        <v>1</v>
      </c>
      <c r="E6" s="20"/>
      <c r="F6" s="14"/>
    </row>
    <row r="7" ht="26" customHeight="1" spans="1:7">
      <c r="A7" s="45">
        <v>5</v>
      </c>
      <c r="B7" s="10">
        <v>46093</v>
      </c>
      <c r="C7" s="11" t="s">
        <v>22</v>
      </c>
      <c r="D7" s="17">
        <v>1</v>
      </c>
      <c r="E7" s="20"/>
      <c r="F7" s="14"/>
    </row>
    <row r="8" ht="26" customHeight="1" spans="1:7">
      <c r="A8" s="45">
        <v>6</v>
      </c>
      <c r="B8" s="10">
        <v>46093</v>
      </c>
      <c r="C8" s="11" t="s">
        <v>24</v>
      </c>
      <c r="D8" s="17">
        <v>1</v>
      </c>
      <c r="E8" s="20"/>
      <c r="F8" s="14"/>
    </row>
    <row r="9" ht="26" customHeight="1" spans="1:7">
      <c r="A9" s="45">
        <v>7</v>
      </c>
      <c r="B9" s="10">
        <v>46093</v>
      </c>
      <c r="C9" s="11" t="s">
        <v>25</v>
      </c>
      <c r="D9" s="17">
        <v>1</v>
      </c>
      <c r="E9" s="17"/>
      <c r="F9" s="15"/>
    </row>
    <row r="10" customFormat="1" ht="26" customHeight="1" spans="1:7">
      <c r="A10" s="45">
        <v>8</v>
      </c>
      <c r="B10" s="10">
        <v>46093</v>
      </c>
      <c r="C10" s="11" t="s">
        <v>27</v>
      </c>
      <c r="D10" s="17">
        <v>1</v>
      </c>
      <c r="E10" s="17"/>
      <c r="F10" s="15"/>
    </row>
    <row r="11" ht="26" customHeight="1" spans="1:7">
      <c r="A11" s="45">
        <v>9</v>
      </c>
      <c r="B11" s="10">
        <v>46093</v>
      </c>
      <c r="C11" s="11" t="s">
        <v>28</v>
      </c>
      <c r="D11" s="17">
        <v>1</v>
      </c>
      <c r="E11" s="17"/>
      <c r="F11" s="15"/>
    </row>
    <row r="12" ht="26" customHeight="1" spans="1:7">
      <c r="A12" s="45">
        <v>10</v>
      </c>
      <c r="B12" s="10">
        <v>46093</v>
      </c>
      <c r="C12" s="11" t="s">
        <v>29</v>
      </c>
      <c r="D12" s="17">
        <v>1</v>
      </c>
      <c r="E12" s="17"/>
      <c r="F12" s="15"/>
      <c r="G12" s="52"/>
    </row>
    <row r="13" ht="26" customHeight="1" spans="1:7">
      <c r="A13" s="45">
        <v>11</v>
      </c>
      <c r="B13" s="10">
        <v>46093</v>
      </c>
      <c r="C13" s="11" t="s">
        <v>30</v>
      </c>
      <c r="D13" s="17">
        <v>1</v>
      </c>
      <c r="E13" s="17"/>
      <c r="F13" s="15"/>
    </row>
    <row r="14" ht="26" customHeight="1" spans="1:7">
      <c r="A14" s="45">
        <v>12</v>
      </c>
      <c r="B14" s="10">
        <v>46093</v>
      </c>
      <c r="C14" s="11" t="s">
        <v>47</v>
      </c>
      <c r="D14" s="17">
        <v>1</v>
      </c>
      <c r="E14" s="17"/>
      <c r="F14" s="15"/>
    </row>
    <row r="15" ht="26" customHeight="1" spans="1:7">
      <c r="A15" s="45">
        <v>13</v>
      </c>
      <c r="B15" s="10">
        <v>46093</v>
      </c>
      <c r="C15" s="11" t="s">
        <v>31</v>
      </c>
      <c r="D15" s="17">
        <v>1</v>
      </c>
      <c r="E15" s="17"/>
      <c r="F15" s="15"/>
    </row>
    <row r="16" ht="26" customHeight="1" spans="1:7">
      <c r="A16" s="45">
        <v>14</v>
      </c>
      <c r="B16" s="10">
        <v>46093</v>
      </c>
      <c r="C16" s="11" t="s">
        <v>33</v>
      </c>
      <c r="D16" s="17">
        <v>1</v>
      </c>
      <c r="E16" s="17"/>
      <c r="F16" s="15"/>
    </row>
    <row r="17" ht="26" customHeight="1" spans="1:6">
      <c r="A17" s="45">
        <v>15</v>
      </c>
      <c r="B17" s="10">
        <v>46093</v>
      </c>
      <c r="C17" s="11" t="s">
        <v>34</v>
      </c>
      <c r="D17" s="17">
        <v>1</v>
      </c>
      <c r="E17" s="17"/>
      <c r="F17" s="15"/>
    </row>
    <row r="18" ht="26" customHeight="1" spans="1:6">
      <c r="A18" s="45">
        <v>16</v>
      </c>
      <c r="B18" s="10">
        <v>46093</v>
      </c>
      <c r="C18" s="11" t="s">
        <v>35</v>
      </c>
      <c r="D18" s="17">
        <v>1</v>
      </c>
      <c r="E18" s="17"/>
      <c r="F18" s="15"/>
    </row>
    <row r="19" ht="26" customHeight="1" spans="1:6">
      <c r="A19" s="45">
        <v>17</v>
      </c>
      <c r="B19" s="10">
        <v>46093</v>
      </c>
      <c r="C19" s="11" t="s">
        <v>36</v>
      </c>
      <c r="D19" s="17">
        <v>1</v>
      </c>
      <c r="E19" s="17"/>
      <c r="F19" s="15"/>
    </row>
    <row r="20" ht="26" customHeight="1" spans="1:6">
      <c r="A20" s="45">
        <v>18</v>
      </c>
      <c r="B20" s="10">
        <v>46093</v>
      </c>
      <c r="C20" s="11" t="s">
        <v>37</v>
      </c>
      <c r="D20" s="17">
        <v>1</v>
      </c>
      <c r="E20" s="17"/>
      <c r="F20" s="15"/>
    </row>
    <row r="21" ht="26" customHeight="1" spans="1:6">
      <c r="A21" s="45">
        <v>19</v>
      </c>
      <c r="B21" s="10">
        <v>46093</v>
      </c>
      <c r="C21" s="11" t="s">
        <v>37</v>
      </c>
      <c r="D21" s="17">
        <v>1</v>
      </c>
      <c r="E21" s="17"/>
      <c r="F21" s="15"/>
    </row>
    <row r="22" ht="26" customHeight="1" spans="1:6">
      <c r="A22" s="45">
        <v>20</v>
      </c>
      <c r="B22" s="10">
        <v>46093</v>
      </c>
      <c r="C22" s="11" t="s">
        <v>38</v>
      </c>
      <c r="D22" s="17">
        <v>1</v>
      </c>
      <c r="E22" s="17"/>
      <c r="F22" s="15"/>
    </row>
    <row r="23" ht="26" customHeight="1" spans="1:6">
      <c r="A23" s="45">
        <v>21</v>
      </c>
      <c r="B23" s="10">
        <v>46093</v>
      </c>
      <c r="C23" s="11" t="s">
        <v>39</v>
      </c>
      <c r="D23" s="17">
        <v>1</v>
      </c>
      <c r="E23" s="17"/>
      <c r="F23" s="15"/>
    </row>
    <row r="24" ht="26" customHeight="1" spans="1:6">
      <c r="A24" s="45">
        <v>22</v>
      </c>
      <c r="B24" s="10">
        <v>46093</v>
      </c>
      <c r="C24" s="11" t="s">
        <v>40</v>
      </c>
      <c r="D24" s="17">
        <v>1</v>
      </c>
      <c r="E24" s="17"/>
      <c r="F24" s="15"/>
    </row>
    <row r="25" ht="26" customHeight="1" spans="1:6">
      <c r="A25" s="45">
        <v>23</v>
      </c>
      <c r="B25" s="10">
        <v>46093</v>
      </c>
      <c r="C25" s="11" t="s">
        <v>41</v>
      </c>
      <c r="D25" s="17">
        <v>1</v>
      </c>
      <c r="E25" s="17"/>
      <c r="F25" s="15"/>
    </row>
    <row r="26" ht="26" customHeight="1" spans="1:6">
      <c r="A26" s="45">
        <v>24</v>
      </c>
      <c r="B26" s="10">
        <v>46093</v>
      </c>
      <c r="C26" s="11" t="s">
        <v>42</v>
      </c>
      <c r="D26" s="17">
        <v>1</v>
      </c>
      <c r="E26" s="17"/>
      <c r="F26" s="15"/>
    </row>
    <row r="27" ht="26" customHeight="1" spans="1:6">
      <c r="A27" s="45">
        <v>25</v>
      </c>
      <c r="B27" s="10">
        <v>46093</v>
      </c>
      <c r="C27" s="11" t="s">
        <v>43</v>
      </c>
      <c r="D27" s="17">
        <v>1</v>
      </c>
      <c r="E27" s="17"/>
      <c r="F27" s="15"/>
    </row>
    <row r="28" ht="26" customHeight="1" spans="1:6">
      <c r="A28" s="45">
        <v>26</v>
      </c>
      <c r="B28" s="10">
        <v>46093</v>
      </c>
      <c r="C28" s="11" t="s">
        <v>44</v>
      </c>
      <c r="D28" s="17">
        <v>1</v>
      </c>
      <c r="E28" s="17"/>
      <c r="F28" s="15"/>
    </row>
    <row r="29" ht="26" customHeight="1" spans="1:6">
      <c r="A29" s="45">
        <v>27</v>
      </c>
      <c r="B29" s="10">
        <v>46093</v>
      </c>
      <c r="C29" s="11" t="s">
        <v>45</v>
      </c>
      <c r="D29" s="17">
        <v>1</v>
      </c>
      <c r="E29" s="17"/>
      <c r="F29" s="15"/>
    </row>
    <row r="30" ht="26" customHeight="1" spans="1:6">
      <c r="A30" s="45">
        <v>28</v>
      </c>
      <c r="B30" s="10">
        <v>46093</v>
      </c>
      <c r="C30" s="11" t="s">
        <v>46</v>
      </c>
      <c r="D30" s="17">
        <v>1</v>
      </c>
      <c r="E30" s="17"/>
      <c r="F30" s="15"/>
    </row>
    <row r="31" ht="26" customHeight="1" spans="1:6">
      <c r="A31" s="45">
        <v>29</v>
      </c>
      <c r="B31" s="10">
        <v>46093</v>
      </c>
      <c r="C31" s="11" t="s">
        <v>48</v>
      </c>
      <c r="D31" s="17">
        <v>1</v>
      </c>
      <c r="E31" s="17"/>
      <c r="F31" s="15"/>
    </row>
    <row r="32" ht="26" customHeight="1" spans="1:6">
      <c r="A32" s="45">
        <v>30</v>
      </c>
      <c r="B32" s="10">
        <v>46093</v>
      </c>
      <c r="C32" s="11" t="s">
        <v>49</v>
      </c>
      <c r="D32" s="17">
        <v>1</v>
      </c>
      <c r="E32" s="17"/>
      <c r="F32" s="15"/>
    </row>
    <row r="33" ht="26" customHeight="1" spans="1:6">
      <c r="A33" s="45">
        <v>31</v>
      </c>
      <c r="B33" s="10">
        <v>46093</v>
      </c>
      <c r="C33" s="11" t="s">
        <v>50</v>
      </c>
      <c r="D33" s="17">
        <v>1</v>
      </c>
      <c r="E33" s="17"/>
      <c r="F33" s="15"/>
    </row>
    <row r="34" ht="26" customHeight="1" spans="1:6">
      <c r="A34" s="45">
        <v>32</v>
      </c>
      <c r="B34" s="10">
        <v>46093</v>
      </c>
      <c r="C34" s="11" t="s">
        <v>51</v>
      </c>
      <c r="D34" s="17">
        <v>1</v>
      </c>
      <c r="E34" s="17"/>
      <c r="F34" s="15"/>
    </row>
    <row r="35" ht="26" customHeight="1" spans="1:6">
      <c r="A35" s="45">
        <v>33</v>
      </c>
      <c r="B35" s="10">
        <v>46093</v>
      </c>
      <c r="C35" s="11" t="s">
        <v>78</v>
      </c>
      <c r="D35" s="17">
        <v>1</v>
      </c>
      <c r="E35" s="17"/>
      <c r="F35" s="15"/>
    </row>
    <row r="36" ht="26" customHeight="1" spans="1:6">
      <c r="A36" s="45">
        <v>34</v>
      </c>
      <c r="B36" s="10">
        <v>46093</v>
      </c>
      <c r="C36" s="11" t="s">
        <v>53</v>
      </c>
      <c r="D36" s="17">
        <v>1</v>
      </c>
      <c r="E36" s="17"/>
      <c r="F36" s="15"/>
    </row>
    <row r="37" ht="26" customHeight="1" spans="1:6">
      <c r="A37" s="45">
        <v>35</v>
      </c>
      <c r="B37" s="10">
        <v>46093</v>
      </c>
      <c r="C37" s="11" t="s">
        <v>54</v>
      </c>
      <c r="D37" s="17">
        <v>1</v>
      </c>
      <c r="E37" s="17"/>
      <c r="F37" s="15"/>
    </row>
    <row r="38" ht="26" customHeight="1" spans="1:6">
      <c r="A38" s="45">
        <v>36</v>
      </c>
      <c r="B38" s="10">
        <v>46093</v>
      </c>
      <c r="C38" s="11" t="s">
        <v>55</v>
      </c>
      <c r="D38" s="17">
        <v>1</v>
      </c>
      <c r="E38" s="17"/>
      <c r="F38" s="15"/>
    </row>
    <row r="39" ht="26" customHeight="1" spans="1:6">
      <c r="A39" s="45">
        <v>37</v>
      </c>
      <c r="B39" s="10">
        <v>46093</v>
      </c>
      <c r="C39" s="11" t="s">
        <v>56</v>
      </c>
      <c r="D39" s="17">
        <v>1</v>
      </c>
      <c r="E39" s="17"/>
      <c r="F39" s="15"/>
    </row>
    <row r="40" ht="26" customHeight="1" spans="1:6">
      <c r="A40" s="45">
        <v>38</v>
      </c>
      <c r="B40" s="10">
        <v>46093</v>
      </c>
      <c r="C40" s="11" t="s">
        <v>57</v>
      </c>
      <c r="D40" s="17">
        <v>1</v>
      </c>
      <c r="E40" s="17"/>
      <c r="F40" s="15"/>
    </row>
    <row r="41" ht="26" customHeight="1" spans="1:6">
      <c r="A41" s="45">
        <v>39</v>
      </c>
      <c r="B41" s="10">
        <v>46093</v>
      </c>
      <c r="C41" s="11" t="s">
        <v>58</v>
      </c>
      <c r="D41" s="17">
        <v>1</v>
      </c>
      <c r="E41" s="17"/>
      <c r="F41" s="15"/>
    </row>
    <row r="42" ht="26" customHeight="1" spans="1:6">
      <c r="A42" s="45">
        <v>40</v>
      </c>
      <c r="B42" s="10">
        <v>46093</v>
      </c>
      <c r="C42" s="11" t="s">
        <v>59</v>
      </c>
      <c r="D42" s="17">
        <v>1</v>
      </c>
      <c r="E42" s="17"/>
      <c r="F42" s="15"/>
    </row>
    <row r="43" ht="26" customHeight="1" spans="1:6">
      <c r="A43" s="45">
        <v>41</v>
      </c>
      <c r="B43" s="10">
        <v>46093</v>
      </c>
      <c r="C43" s="11" t="s">
        <v>61</v>
      </c>
      <c r="D43" s="17">
        <v>1</v>
      </c>
      <c r="E43" s="17"/>
      <c r="F43" s="15"/>
    </row>
    <row r="44" spans="1:6">
      <c r="D44" s="23">
        <f>SUM(D3:D43)</f>
        <v>41</v>
      </c>
    </row>
    <row r="46" ht="14.25" spans="1:6">
      <c r="C46" s="12" t="s">
        <v>64</v>
      </c>
      <c r="D46" s="17">
        <v>1</v>
      </c>
      <c r="F46" t="s">
        <v>79</v>
      </c>
    </row>
    <row r="47" ht="14.25" spans="1:6">
      <c r="C47" s="12" t="s">
        <v>66</v>
      </c>
      <c r="D47" s="17">
        <v>1</v>
      </c>
      <c r="F47" t="s">
        <v>79</v>
      </c>
    </row>
    <row r="48" ht="14.25" spans="1:6">
      <c r="C48" s="12" t="s">
        <v>48</v>
      </c>
      <c r="D48" s="17">
        <v>1</v>
      </c>
      <c r="F48" t="s">
        <v>79</v>
      </c>
    </row>
    <row r="49" spans="3:6">
      <c r="C49" s="53" t="s">
        <v>62</v>
      </c>
      <c r="D49">
        <v>1</v>
      </c>
      <c r="F49" t="s">
        <v>80</v>
      </c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9"/>
  <sheetViews>
    <sheetView tabSelected="1" workbookViewId="0">
      <pane xSplit="3" ySplit="2" topLeftCell="G37" activePane="bottomRight" state="frozen"/>
      <selection/>
      <selection pane="topRight"/>
      <selection pane="bottomLeft"/>
      <selection pane="bottomRight" activeCell="Q52" sqref="Q52"/>
    </sheetView>
  </sheetViews>
  <sheetFormatPr defaultColWidth="9.14285714285714" defaultRowHeight="23" customHeight="1"/>
  <cols>
    <col min="1" max="1" width="9.14285714285714" style="35"/>
    <col min="2" max="2" width="10.7142857142857" style="35" customWidth="1"/>
    <col min="3" max="3" width="10" style="35" customWidth="1"/>
    <col min="4" max="4" width="7.42857142857143" style="35" customWidth="1"/>
    <col min="5" max="7" width="10.5714285714286" style="35" customWidth="1"/>
    <col min="8" max="12" width="9" style="35" customWidth="1"/>
    <col min="13" max="13" width="7.42857142857143" style="35" customWidth="1"/>
    <col min="14" max="19" width="9.85714285714286" style="35" customWidth="1"/>
    <col min="20" max="21" width="7" style="35" customWidth="1"/>
    <col min="22" max="16384" width="9.14285714285714" style="35"/>
  </cols>
  <sheetData>
    <row r="1" s="36" customFormat="1" customHeight="1" spans="1:23">
      <c r="A1" s="38" t="s">
        <v>81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="37" customFormat="1" ht="20" customHeight="1" spans="1:23">
      <c r="A2" s="40" t="s">
        <v>2</v>
      </c>
      <c r="B2" s="40" t="s">
        <v>73</v>
      </c>
      <c r="C2" s="41" t="s">
        <v>82</v>
      </c>
      <c r="D2" s="42">
        <v>46090</v>
      </c>
      <c r="E2" s="42">
        <v>46093</v>
      </c>
      <c r="F2" s="42">
        <v>46097</v>
      </c>
      <c r="G2" s="43">
        <v>46100</v>
      </c>
      <c r="H2" s="43">
        <v>46104</v>
      </c>
      <c r="I2" s="43">
        <v>46107</v>
      </c>
      <c r="J2" s="43">
        <v>46111</v>
      </c>
      <c r="K2" s="43">
        <v>46114</v>
      </c>
      <c r="L2" s="43">
        <v>46119</v>
      </c>
      <c r="M2" s="43">
        <v>46121</v>
      </c>
      <c r="N2" s="43">
        <v>46125</v>
      </c>
      <c r="O2" s="43">
        <v>46128</v>
      </c>
      <c r="P2" s="43">
        <v>46132</v>
      </c>
      <c r="Q2" s="43">
        <v>46135</v>
      </c>
      <c r="R2" s="43"/>
      <c r="S2" s="43"/>
      <c r="T2" s="43"/>
      <c r="U2" s="43"/>
      <c r="V2" s="44" t="s">
        <v>83</v>
      </c>
    </row>
    <row r="3" s="35" customFormat="1" customHeight="1" spans="1:23">
      <c r="A3" s="45">
        <v>1</v>
      </c>
      <c r="B3" s="11" t="s">
        <v>16</v>
      </c>
      <c r="C3" s="46">
        <v>100</v>
      </c>
      <c r="D3" s="46">
        <v>3</v>
      </c>
      <c r="E3" s="46">
        <v>4</v>
      </c>
      <c r="F3" s="46">
        <v>3</v>
      </c>
      <c r="G3" s="46">
        <v>4</v>
      </c>
      <c r="H3" s="46">
        <v>3</v>
      </c>
      <c r="I3" s="46">
        <v>4</v>
      </c>
      <c r="J3" s="46">
        <v>3</v>
      </c>
      <c r="K3" s="46">
        <v>4</v>
      </c>
      <c r="L3" s="46">
        <v>3</v>
      </c>
      <c r="M3" s="46">
        <v>4</v>
      </c>
      <c r="N3" s="46">
        <v>3</v>
      </c>
      <c r="O3" s="46">
        <v>4</v>
      </c>
      <c r="P3" s="46">
        <v>3</v>
      </c>
      <c r="Q3" s="46">
        <v>4</v>
      </c>
      <c r="R3" s="46"/>
      <c r="S3" s="46"/>
      <c r="T3" s="46"/>
      <c r="U3" s="45"/>
      <c r="V3" s="45">
        <f t="shared" ref="V3:V17" si="0">SUM(D3:U3)</f>
        <v>49</v>
      </c>
      <c r="W3" s="35">
        <f>C3-V3</f>
        <v>51</v>
      </c>
    </row>
    <row r="4" s="35" customFormat="1" customHeight="1" spans="1:23">
      <c r="A4" s="45">
        <v>2</v>
      </c>
      <c r="B4" s="11" t="s">
        <v>19</v>
      </c>
      <c r="C4" s="46">
        <v>100</v>
      </c>
      <c r="D4" s="46">
        <v>3</v>
      </c>
      <c r="E4" s="46">
        <v>4</v>
      </c>
      <c r="F4" s="46">
        <v>3</v>
      </c>
      <c r="G4" s="46">
        <v>4</v>
      </c>
      <c r="H4" s="46">
        <v>3</v>
      </c>
      <c r="I4" s="46">
        <v>4</v>
      </c>
      <c r="J4" s="46">
        <v>3</v>
      </c>
      <c r="K4" s="46">
        <v>4</v>
      </c>
      <c r="L4" s="46">
        <v>3</v>
      </c>
      <c r="M4" s="46">
        <v>4</v>
      </c>
      <c r="N4" s="46">
        <v>3</v>
      </c>
      <c r="O4" s="46">
        <v>4</v>
      </c>
      <c r="P4" s="46">
        <v>3</v>
      </c>
      <c r="Q4" s="46">
        <v>4</v>
      </c>
      <c r="R4" s="46"/>
      <c r="S4" s="46"/>
      <c r="T4" s="46"/>
      <c r="U4" s="45"/>
      <c r="V4" s="45">
        <f t="shared" si="0"/>
        <v>49</v>
      </c>
      <c r="W4" s="35">
        <f t="shared" ref="W4:W47" si="1">C4-V4</f>
        <v>51</v>
      </c>
    </row>
    <row r="5" s="35" customFormat="1" customHeight="1" spans="1:23">
      <c r="A5" s="45">
        <v>3</v>
      </c>
      <c r="B5" s="11" t="s">
        <v>21</v>
      </c>
      <c r="C5" s="46">
        <v>100</v>
      </c>
      <c r="D5" s="46">
        <v>3</v>
      </c>
      <c r="E5" s="46">
        <v>4</v>
      </c>
      <c r="F5" s="46">
        <v>3</v>
      </c>
      <c r="G5" s="46">
        <v>4</v>
      </c>
      <c r="H5" s="46">
        <v>3</v>
      </c>
      <c r="I5" s="46">
        <v>4</v>
      </c>
      <c r="J5" s="46">
        <v>3</v>
      </c>
      <c r="K5" s="46">
        <v>4</v>
      </c>
      <c r="L5" s="46">
        <v>3</v>
      </c>
      <c r="M5" s="46">
        <v>4</v>
      </c>
      <c r="N5" s="46">
        <v>3</v>
      </c>
      <c r="O5" s="46">
        <v>4</v>
      </c>
      <c r="P5" s="46">
        <v>3</v>
      </c>
      <c r="Q5" s="46">
        <v>4</v>
      </c>
      <c r="R5" s="46"/>
      <c r="S5" s="46"/>
      <c r="T5" s="46"/>
      <c r="U5" s="45"/>
      <c r="V5" s="45">
        <f t="shared" si="0"/>
        <v>49</v>
      </c>
      <c r="W5" s="35">
        <f t="shared" si="1"/>
        <v>51</v>
      </c>
    </row>
    <row r="6" s="35" customFormat="1" customHeight="1" spans="1:23">
      <c r="A6" s="45">
        <v>4</v>
      </c>
      <c r="B6" s="11" t="s">
        <v>32</v>
      </c>
      <c r="C6" s="46">
        <v>100</v>
      </c>
      <c r="D6" s="46">
        <v>3</v>
      </c>
      <c r="E6" s="46">
        <v>4</v>
      </c>
      <c r="F6" s="46">
        <v>3</v>
      </c>
      <c r="G6" s="46">
        <v>4</v>
      </c>
      <c r="H6" s="46">
        <v>3</v>
      </c>
      <c r="I6" s="46">
        <v>4</v>
      </c>
      <c r="J6" s="46">
        <v>3</v>
      </c>
      <c r="K6" s="46">
        <v>4</v>
      </c>
      <c r="L6" s="46">
        <v>3</v>
      </c>
      <c r="M6" s="46">
        <v>4</v>
      </c>
      <c r="N6" s="46">
        <v>3</v>
      </c>
      <c r="O6" s="46">
        <v>4</v>
      </c>
      <c r="P6" s="46">
        <v>3</v>
      </c>
      <c r="Q6" s="46">
        <v>4</v>
      </c>
      <c r="R6" s="46"/>
      <c r="S6" s="46"/>
      <c r="T6" s="46"/>
      <c r="U6" s="45"/>
      <c r="V6" s="45">
        <f t="shared" si="0"/>
        <v>49</v>
      </c>
      <c r="W6" s="35">
        <f t="shared" si="1"/>
        <v>51</v>
      </c>
    </row>
    <row r="7" s="35" customFormat="1" customHeight="1" spans="1:23">
      <c r="A7" s="45">
        <v>5</v>
      </c>
      <c r="B7" s="11" t="s">
        <v>22</v>
      </c>
      <c r="C7" s="46">
        <v>100</v>
      </c>
      <c r="D7" s="46">
        <v>3</v>
      </c>
      <c r="E7" s="46">
        <v>4</v>
      </c>
      <c r="F7" s="46">
        <v>3</v>
      </c>
      <c r="G7" s="46">
        <v>4</v>
      </c>
      <c r="H7" s="46">
        <v>3</v>
      </c>
      <c r="I7" s="46">
        <v>4</v>
      </c>
      <c r="J7" s="46">
        <v>3</v>
      </c>
      <c r="K7" s="46">
        <v>4</v>
      </c>
      <c r="L7" s="46">
        <v>3</v>
      </c>
      <c r="M7" s="46">
        <v>4</v>
      </c>
      <c r="N7" s="46">
        <v>3</v>
      </c>
      <c r="O7" s="46">
        <v>4</v>
      </c>
      <c r="P7" s="46">
        <v>3</v>
      </c>
      <c r="Q7" s="46">
        <v>4</v>
      </c>
      <c r="R7" s="46"/>
      <c r="S7" s="46"/>
      <c r="T7" s="46"/>
      <c r="U7" s="45"/>
      <c r="V7" s="45">
        <f t="shared" si="0"/>
        <v>49</v>
      </c>
      <c r="W7" s="35">
        <f t="shared" si="1"/>
        <v>51</v>
      </c>
    </row>
    <row r="8" s="35" customFormat="1" customHeight="1" spans="1:23">
      <c r="A8" s="45">
        <v>6</v>
      </c>
      <c r="B8" s="11" t="s">
        <v>24</v>
      </c>
      <c r="C8" s="46">
        <v>100</v>
      </c>
      <c r="D8" s="46">
        <v>3</v>
      </c>
      <c r="E8" s="46">
        <v>4</v>
      </c>
      <c r="F8" s="46">
        <v>3</v>
      </c>
      <c r="G8" s="46">
        <v>4</v>
      </c>
      <c r="H8" s="46">
        <v>3</v>
      </c>
      <c r="I8" s="46">
        <v>4</v>
      </c>
      <c r="J8" s="46">
        <v>3</v>
      </c>
      <c r="K8" s="46">
        <v>4</v>
      </c>
      <c r="L8" s="46">
        <v>3</v>
      </c>
      <c r="M8" s="46">
        <v>4</v>
      </c>
      <c r="N8" s="46">
        <v>3</v>
      </c>
      <c r="O8" s="46">
        <v>4</v>
      </c>
      <c r="P8" s="46">
        <v>3</v>
      </c>
      <c r="Q8" s="46">
        <v>4</v>
      </c>
      <c r="R8" s="46"/>
      <c r="S8" s="46"/>
      <c r="T8" s="46"/>
      <c r="U8" s="45"/>
      <c r="V8" s="45">
        <f t="shared" si="0"/>
        <v>49</v>
      </c>
      <c r="W8" s="35">
        <f t="shared" si="1"/>
        <v>51</v>
      </c>
    </row>
    <row r="9" s="35" customFormat="1" customHeight="1" spans="1:23">
      <c r="A9" s="45">
        <v>7</v>
      </c>
      <c r="B9" s="11" t="s">
        <v>25</v>
      </c>
      <c r="C9" s="46">
        <v>100</v>
      </c>
      <c r="D9" s="46">
        <v>3</v>
      </c>
      <c r="E9" s="46">
        <v>4</v>
      </c>
      <c r="F9" s="46">
        <v>3</v>
      </c>
      <c r="G9" s="46">
        <v>4</v>
      </c>
      <c r="H9" s="46">
        <v>3</v>
      </c>
      <c r="I9" s="46">
        <v>4</v>
      </c>
      <c r="J9" s="46">
        <v>3</v>
      </c>
      <c r="K9" s="46">
        <v>4</v>
      </c>
      <c r="L9" s="46">
        <v>3</v>
      </c>
      <c r="M9" s="46">
        <v>4</v>
      </c>
      <c r="N9" s="46">
        <v>3</v>
      </c>
      <c r="O9" s="46">
        <v>4</v>
      </c>
      <c r="P9" s="46">
        <v>3</v>
      </c>
      <c r="Q9" s="46">
        <v>4</v>
      </c>
      <c r="R9" s="46"/>
      <c r="S9" s="46"/>
      <c r="T9" s="46"/>
      <c r="U9" s="45"/>
      <c r="V9" s="45">
        <f t="shared" si="0"/>
        <v>49</v>
      </c>
      <c r="W9" s="35">
        <f t="shared" si="1"/>
        <v>51</v>
      </c>
    </row>
    <row r="10" customHeight="1" spans="1:23">
      <c r="A10" s="45">
        <v>8</v>
      </c>
      <c r="B10" s="11" t="s">
        <v>28</v>
      </c>
      <c r="C10" s="46">
        <v>100</v>
      </c>
      <c r="D10" s="46">
        <v>3</v>
      </c>
      <c r="E10" s="46">
        <v>4</v>
      </c>
      <c r="F10" s="46">
        <v>3</v>
      </c>
      <c r="G10" s="46">
        <v>4</v>
      </c>
      <c r="H10" s="46">
        <v>3</v>
      </c>
      <c r="I10" s="46">
        <v>4</v>
      </c>
      <c r="J10" s="46">
        <v>3</v>
      </c>
      <c r="K10" s="46">
        <v>4</v>
      </c>
      <c r="L10" s="46">
        <v>3</v>
      </c>
      <c r="M10" s="46">
        <v>4</v>
      </c>
      <c r="N10" s="46">
        <v>3</v>
      </c>
      <c r="O10" s="46">
        <v>4</v>
      </c>
      <c r="P10" s="46">
        <v>3</v>
      </c>
      <c r="Q10" s="46">
        <v>4</v>
      </c>
      <c r="R10" s="46"/>
      <c r="S10" s="46"/>
      <c r="T10" s="46"/>
      <c r="U10" s="45"/>
      <c r="V10" s="45">
        <f t="shared" si="0"/>
        <v>49</v>
      </c>
      <c r="W10" s="35">
        <f t="shared" si="1"/>
        <v>51</v>
      </c>
    </row>
    <row r="11" customHeight="1" spans="1:23">
      <c r="A11" s="45">
        <v>9</v>
      </c>
      <c r="B11" s="11" t="s">
        <v>29</v>
      </c>
      <c r="C11" s="46">
        <v>100</v>
      </c>
      <c r="D11" s="46">
        <v>3</v>
      </c>
      <c r="E11" s="46">
        <v>4</v>
      </c>
      <c r="F11" s="46">
        <v>3</v>
      </c>
      <c r="G11" s="46">
        <v>4</v>
      </c>
      <c r="H11" s="46">
        <v>3</v>
      </c>
      <c r="I11" s="46">
        <v>4</v>
      </c>
      <c r="J11" s="46">
        <v>3</v>
      </c>
      <c r="K11" s="46">
        <v>4</v>
      </c>
      <c r="L11" s="46">
        <v>3</v>
      </c>
      <c r="M11" s="46">
        <v>4</v>
      </c>
      <c r="N11" s="46">
        <v>3</v>
      </c>
      <c r="O11" s="46">
        <v>4</v>
      </c>
      <c r="P11" s="46">
        <v>3</v>
      </c>
      <c r="Q11" s="46">
        <v>4</v>
      </c>
      <c r="R11" s="46"/>
      <c r="S11" s="46"/>
      <c r="T11" s="46"/>
      <c r="U11" s="45"/>
      <c r="V11" s="45">
        <f t="shared" si="0"/>
        <v>49</v>
      </c>
      <c r="W11" s="35">
        <f t="shared" si="1"/>
        <v>51</v>
      </c>
    </row>
    <row r="12" customHeight="1" spans="1:23">
      <c r="A12" s="45">
        <v>10</v>
      </c>
      <c r="B12" s="11" t="s">
        <v>30</v>
      </c>
      <c r="C12" s="46">
        <v>100</v>
      </c>
      <c r="D12" s="46">
        <v>3</v>
      </c>
      <c r="E12" s="46">
        <v>4</v>
      </c>
      <c r="F12" s="46">
        <v>3</v>
      </c>
      <c r="G12" s="46">
        <v>4</v>
      </c>
      <c r="H12" s="46">
        <v>3</v>
      </c>
      <c r="I12" s="46">
        <v>4</v>
      </c>
      <c r="J12" s="46">
        <v>3</v>
      </c>
      <c r="K12" s="46">
        <v>4</v>
      </c>
      <c r="L12" s="46">
        <v>3</v>
      </c>
      <c r="M12" s="46">
        <v>4</v>
      </c>
      <c r="N12" s="46">
        <v>3</v>
      </c>
      <c r="O12" s="46">
        <v>4</v>
      </c>
      <c r="P12" s="46">
        <v>3</v>
      </c>
      <c r="Q12" s="46">
        <v>4</v>
      </c>
      <c r="R12" s="46"/>
      <c r="S12" s="46"/>
      <c r="T12" s="46"/>
      <c r="U12" s="45"/>
      <c r="V12" s="45">
        <f t="shared" si="0"/>
        <v>49</v>
      </c>
      <c r="W12" s="35">
        <f t="shared" si="1"/>
        <v>51</v>
      </c>
    </row>
    <row r="13" customHeight="1" spans="1:23">
      <c r="A13" s="45">
        <v>11</v>
      </c>
      <c r="B13" s="11" t="s">
        <v>47</v>
      </c>
      <c r="C13" s="46">
        <v>100</v>
      </c>
      <c r="D13" s="46">
        <v>3</v>
      </c>
      <c r="E13" s="46">
        <v>4</v>
      </c>
      <c r="F13" s="46">
        <v>3</v>
      </c>
      <c r="G13" s="46">
        <v>4</v>
      </c>
      <c r="H13" s="46">
        <v>3</v>
      </c>
      <c r="I13" s="46">
        <v>4</v>
      </c>
      <c r="J13" s="46">
        <v>3</v>
      </c>
      <c r="K13" s="46">
        <v>4</v>
      </c>
      <c r="L13" s="46">
        <v>3</v>
      </c>
      <c r="M13" s="46">
        <v>4</v>
      </c>
      <c r="N13" s="46">
        <v>3</v>
      </c>
      <c r="O13" s="46">
        <v>4</v>
      </c>
      <c r="P13" s="46">
        <v>3</v>
      </c>
      <c r="Q13" s="46">
        <v>4</v>
      </c>
      <c r="R13" s="46"/>
      <c r="S13" s="46"/>
      <c r="T13" s="46"/>
      <c r="U13" s="45"/>
      <c r="V13" s="45">
        <f t="shared" si="0"/>
        <v>49</v>
      </c>
      <c r="W13" s="35">
        <f t="shared" si="1"/>
        <v>51</v>
      </c>
    </row>
    <row r="14" customHeight="1" spans="1:23">
      <c r="A14" s="45">
        <v>12</v>
      </c>
      <c r="B14" s="11" t="s">
        <v>31</v>
      </c>
      <c r="C14" s="46">
        <v>100</v>
      </c>
      <c r="D14" s="46">
        <v>3</v>
      </c>
      <c r="E14" s="46">
        <v>4</v>
      </c>
      <c r="F14" s="46">
        <v>3</v>
      </c>
      <c r="G14" s="46">
        <v>4</v>
      </c>
      <c r="H14" s="46">
        <v>3</v>
      </c>
      <c r="I14" s="46">
        <v>4</v>
      </c>
      <c r="J14" s="46">
        <v>3</v>
      </c>
      <c r="K14" s="46">
        <v>4</v>
      </c>
      <c r="L14" s="46">
        <v>3</v>
      </c>
      <c r="M14" s="46">
        <v>4</v>
      </c>
      <c r="N14" s="46">
        <v>3</v>
      </c>
      <c r="O14" s="46">
        <v>4</v>
      </c>
      <c r="P14" s="46">
        <v>3</v>
      </c>
      <c r="Q14" s="46">
        <v>4</v>
      </c>
      <c r="R14" s="46"/>
      <c r="S14" s="46"/>
      <c r="T14" s="46"/>
      <c r="U14" s="45"/>
      <c r="V14" s="45">
        <f t="shared" si="0"/>
        <v>49</v>
      </c>
      <c r="W14" s="35">
        <f t="shared" si="1"/>
        <v>51</v>
      </c>
    </row>
    <row r="15" customHeight="1" spans="1:23">
      <c r="A15" s="45">
        <v>13</v>
      </c>
      <c r="B15" s="11" t="s">
        <v>33</v>
      </c>
      <c r="C15" s="46">
        <v>100</v>
      </c>
      <c r="D15" s="46">
        <v>3</v>
      </c>
      <c r="E15" s="46">
        <v>4</v>
      </c>
      <c r="F15" s="46">
        <v>3</v>
      </c>
      <c r="G15" s="46">
        <v>4</v>
      </c>
      <c r="H15" s="46">
        <v>3</v>
      </c>
      <c r="I15" s="46">
        <v>4</v>
      </c>
      <c r="J15" s="46">
        <v>3</v>
      </c>
      <c r="K15" s="46">
        <v>4</v>
      </c>
      <c r="L15" s="46">
        <v>3</v>
      </c>
      <c r="M15" s="46">
        <v>4</v>
      </c>
      <c r="N15" s="46">
        <v>3</v>
      </c>
      <c r="O15" s="46">
        <v>4</v>
      </c>
      <c r="P15" s="46">
        <v>3</v>
      </c>
      <c r="Q15" s="46">
        <v>4</v>
      </c>
      <c r="R15" s="46"/>
      <c r="S15" s="46"/>
      <c r="T15" s="46"/>
      <c r="U15" s="45"/>
      <c r="V15" s="45">
        <f t="shared" si="0"/>
        <v>49</v>
      </c>
      <c r="W15" s="35">
        <f t="shared" si="1"/>
        <v>51</v>
      </c>
    </row>
    <row r="16" customHeight="1" spans="1:23">
      <c r="A16" s="45">
        <v>14</v>
      </c>
      <c r="B16" s="11" t="s">
        <v>34</v>
      </c>
      <c r="C16" s="46">
        <v>100</v>
      </c>
      <c r="D16" s="46">
        <v>3</v>
      </c>
      <c r="E16" s="46">
        <v>4</v>
      </c>
      <c r="F16" s="46">
        <v>3</v>
      </c>
      <c r="G16" s="46">
        <v>4</v>
      </c>
      <c r="H16" s="46">
        <v>3</v>
      </c>
      <c r="I16" s="46">
        <v>4</v>
      </c>
      <c r="J16" s="46">
        <v>3</v>
      </c>
      <c r="K16" s="46">
        <v>4</v>
      </c>
      <c r="L16" s="46">
        <v>3</v>
      </c>
      <c r="M16" s="46">
        <v>4</v>
      </c>
      <c r="N16" s="46">
        <v>3</v>
      </c>
      <c r="O16" s="46">
        <v>4</v>
      </c>
      <c r="P16" s="46">
        <v>3</v>
      </c>
      <c r="Q16" s="46">
        <v>4</v>
      </c>
      <c r="R16" s="46"/>
      <c r="S16" s="46"/>
      <c r="T16" s="46"/>
      <c r="U16" s="45"/>
      <c r="V16" s="45">
        <f t="shared" si="0"/>
        <v>49</v>
      </c>
      <c r="W16" s="35">
        <f t="shared" si="1"/>
        <v>51</v>
      </c>
    </row>
    <row r="17" customHeight="1" spans="1:23">
      <c r="A17" s="45">
        <v>15</v>
      </c>
      <c r="B17" s="11" t="s">
        <v>35</v>
      </c>
      <c r="C17" s="46">
        <v>100</v>
      </c>
      <c r="D17" s="46">
        <v>3</v>
      </c>
      <c r="E17" s="46">
        <v>4</v>
      </c>
      <c r="F17" s="46">
        <v>3</v>
      </c>
      <c r="G17" s="46">
        <v>4</v>
      </c>
      <c r="H17" s="46">
        <v>3</v>
      </c>
      <c r="I17" s="46">
        <v>4</v>
      </c>
      <c r="J17" s="46">
        <v>3</v>
      </c>
      <c r="K17" s="46">
        <v>4</v>
      </c>
      <c r="L17" s="46">
        <v>3</v>
      </c>
      <c r="M17" s="46">
        <v>4</v>
      </c>
      <c r="N17" s="46">
        <v>3</v>
      </c>
      <c r="O17" s="46">
        <v>4</v>
      </c>
      <c r="P17" s="46">
        <v>3</v>
      </c>
      <c r="Q17" s="46">
        <v>4</v>
      </c>
      <c r="R17" s="46"/>
      <c r="S17" s="46"/>
      <c r="T17" s="46"/>
      <c r="U17" s="45"/>
      <c r="V17" s="45">
        <f t="shared" si="0"/>
        <v>49</v>
      </c>
      <c r="W17" s="35">
        <f t="shared" si="1"/>
        <v>51</v>
      </c>
    </row>
    <row r="18" customHeight="1" spans="1:23">
      <c r="A18" s="45">
        <v>16</v>
      </c>
      <c r="B18" s="11" t="s">
        <v>37</v>
      </c>
      <c r="C18" s="46">
        <v>100</v>
      </c>
      <c r="D18" s="46">
        <v>3</v>
      </c>
      <c r="E18" s="46">
        <v>4</v>
      </c>
      <c r="F18" s="46">
        <v>3</v>
      </c>
      <c r="G18" s="46">
        <v>4</v>
      </c>
      <c r="H18" s="46">
        <v>3</v>
      </c>
      <c r="I18" s="46">
        <v>4</v>
      </c>
      <c r="J18" s="46">
        <v>3</v>
      </c>
      <c r="K18" s="46">
        <v>4</v>
      </c>
      <c r="L18" s="46">
        <v>3</v>
      </c>
      <c r="M18" s="46">
        <v>4</v>
      </c>
      <c r="N18" s="46">
        <v>3</v>
      </c>
      <c r="O18" s="46">
        <v>4</v>
      </c>
      <c r="P18" s="46">
        <v>3</v>
      </c>
      <c r="Q18" s="46">
        <v>4</v>
      </c>
      <c r="R18" s="46"/>
      <c r="S18" s="46"/>
      <c r="T18" s="46"/>
      <c r="U18" s="45"/>
      <c r="V18" s="45">
        <f t="shared" ref="V18:V47" si="2">SUM(D18:U18)</f>
        <v>49</v>
      </c>
      <c r="W18" s="35">
        <f t="shared" si="1"/>
        <v>51</v>
      </c>
    </row>
    <row r="19" customHeight="1" spans="1:23">
      <c r="A19" s="45">
        <v>17</v>
      </c>
      <c r="B19" s="11" t="s">
        <v>37</v>
      </c>
      <c r="C19" s="46">
        <v>100</v>
      </c>
      <c r="D19" s="46">
        <v>3</v>
      </c>
      <c r="E19" s="46">
        <v>4</v>
      </c>
      <c r="F19" s="46">
        <v>3</v>
      </c>
      <c r="G19" s="46">
        <v>4</v>
      </c>
      <c r="H19" s="46">
        <v>3</v>
      </c>
      <c r="I19" s="46">
        <v>4</v>
      </c>
      <c r="J19" s="46">
        <v>3</v>
      </c>
      <c r="K19" s="46">
        <v>4</v>
      </c>
      <c r="L19" s="46">
        <v>3</v>
      </c>
      <c r="M19" s="46">
        <v>4</v>
      </c>
      <c r="N19" s="46">
        <v>3</v>
      </c>
      <c r="O19" s="46">
        <v>4</v>
      </c>
      <c r="P19" s="46">
        <v>3</v>
      </c>
      <c r="Q19" s="46">
        <v>4</v>
      </c>
      <c r="R19" s="46"/>
      <c r="S19" s="46"/>
      <c r="T19" s="46"/>
      <c r="U19" s="45"/>
      <c r="V19" s="45">
        <f t="shared" si="2"/>
        <v>49</v>
      </c>
      <c r="W19" s="35">
        <f t="shared" si="1"/>
        <v>51</v>
      </c>
    </row>
    <row r="20" customHeight="1" spans="1:23">
      <c r="A20" s="45">
        <v>18</v>
      </c>
      <c r="B20" s="11" t="s">
        <v>38</v>
      </c>
      <c r="C20" s="46">
        <v>100</v>
      </c>
      <c r="D20" s="46">
        <v>3</v>
      </c>
      <c r="E20" s="46">
        <v>4</v>
      </c>
      <c r="F20" s="46">
        <v>3</v>
      </c>
      <c r="G20" s="46">
        <v>4</v>
      </c>
      <c r="H20" s="46">
        <v>3</v>
      </c>
      <c r="I20" s="46">
        <v>4</v>
      </c>
      <c r="J20" s="46">
        <v>3</v>
      </c>
      <c r="K20" s="46">
        <v>4</v>
      </c>
      <c r="L20" s="46">
        <v>3</v>
      </c>
      <c r="M20" s="46">
        <v>4</v>
      </c>
      <c r="N20" s="46">
        <v>3</v>
      </c>
      <c r="O20" s="46">
        <v>4</v>
      </c>
      <c r="P20" s="46">
        <v>3</v>
      </c>
      <c r="Q20" s="46">
        <v>4</v>
      </c>
      <c r="R20" s="46"/>
      <c r="S20" s="46"/>
      <c r="T20" s="46"/>
      <c r="U20" s="45"/>
      <c r="V20" s="45">
        <f t="shared" si="2"/>
        <v>49</v>
      </c>
      <c r="W20" s="35">
        <f t="shared" si="1"/>
        <v>51</v>
      </c>
    </row>
    <row r="21" customHeight="1" spans="1:23">
      <c r="A21" s="45">
        <v>19</v>
      </c>
      <c r="B21" s="11" t="s">
        <v>39</v>
      </c>
      <c r="C21" s="46">
        <v>100</v>
      </c>
      <c r="D21" s="46">
        <v>3</v>
      </c>
      <c r="E21" s="46">
        <v>0</v>
      </c>
      <c r="F21" s="46">
        <v>0</v>
      </c>
      <c r="G21" s="46">
        <v>0</v>
      </c>
      <c r="H21" s="46">
        <v>0</v>
      </c>
      <c r="I21" s="46">
        <v>8</v>
      </c>
      <c r="J21" s="46">
        <v>6</v>
      </c>
      <c r="K21" s="11">
        <v>8</v>
      </c>
      <c r="L21" s="46">
        <v>6</v>
      </c>
      <c r="M21" s="46">
        <v>4</v>
      </c>
      <c r="N21" s="46">
        <v>3</v>
      </c>
      <c r="O21" s="46">
        <v>4</v>
      </c>
      <c r="P21" s="46">
        <v>3</v>
      </c>
      <c r="Q21" s="46">
        <v>4</v>
      </c>
      <c r="R21" s="46"/>
      <c r="S21" s="46"/>
      <c r="T21" s="46"/>
      <c r="U21" s="45"/>
      <c r="V21" s="45">
        <f t="shared" si="2"/>
        <v>49</v>
      </c>
      <c r="W21" s="35">
        <f t="shared" si="1"/>
        <v>51</v>
      </c>
    </row>
    <row r="22" customHeight="1" spans="1:23">
      <c r="A22" s="45">
        <v>20</v>
      </c>
      <c r="B22" s="11" t="s">
        <v>40</v>
      </c>
      <c r="C22" s="46">
        <v>100</v>
      </c>
      <c r="D22" s="46">
        <v>3</v>
      </c>
      <c r="E22" s="46">
        <v>4</v>
      </c>
      <c r="F22" s="46">
        <v>3</v>
      </c>
      <c r="G22" s="46">
        <v>4</v>
      </c>
      <c r="H22" s="46">
        <v>3</v>
      </c>
      <c r="I22" s="46">
        <v>4</v>
      </c>
      <c r="J22" s="46">
        <v>3</v>
      </c>
      <c r="K22" s="46">
        <v>4</v>
      </c>
      <c r="L22" s="46">
        <v>3</v>
      </c>
      <c r="M22" s="46">
        <v>4</v>
      </c>
      <c r="N22" s="46">
        <v>3</v>
      </c>
      <c r="O22" s="46">
        <v>4</v>
      </c>
      <c r="P22" s="46">
        <v>3</v>
      </c>
      <c r="Q22" s="46">
        <v>4</v>
      </c>
      <c r="R22" s="46"/>
      <c r="S22" s="46"/>
      <c r="T22" s="46"/>
      <c r="U22" s="45"/>
      <c r="V22" s="45">
        <f t="shared" si="2"/>
        <v>49</v>
      </c>
      <c r="W22" s="35">
        <f t="shared" si="1"/>
        <v>51</v>
      </c>
    </row>
    <row r="23" customHeight="1" spans="1:23">
      <c r="A23" s="45">
        <v>21</v>
      </c>
      <c r="B23" s="11" t="s">
        <v>41</v>
      </c>
      <c r="C23" s="46">
        <v>100</v>
      </c>
      <c r="D23" s="46">
        <v>3</v>
      </c>
      <c r="E23" s="46">
        <v>4</v>
      </c>
      <c r="F23" s="46">
        <v>3</v>
      </c>
      <c r="G23" s="46">
        <v>4</v>
      </c>
      <c r="H23" s="46">
        <v>3</v>
      </c>
      <c r="I23" s="46">
        <v>4</v>
      </c>
      <c r="J23" s="46">
        <v>3</v>
      </c>
      <c r="K23" s="46">
        <v>4</v>
      </c>
      <c r="L23" s="46">
        <v>3</v>
      </c>
      <c r="M23" s="46">
        <v>4</v>
      </c>
      <c r="N23" s="46">
        <v>3</v>
      </c>
      <c r="O23" s="46">
        <v>4</v>
      </c>
      <c r="P23" s="46">
        <v>3</v>
      </c>
      <c r="Q23" s="46">
        <v>4</v>
      </c>
      <c r="R23" s="46"/>
      <c r="S23" s="46"/>
      <c r="T23" s="46"/>
      <c r="U23" s="45"/>
      <c r="V23" s="45">
        <f t="shared" si="2"/>
        <v>49</v>
      </c>
      <c r="W23" s="35">
        <f t="shared" si="1"/>
        <v>51</v>
      </c>
    </row>
    <row r="24" customHeight="1" spans="1:23">
      <c r="A24" s="45">
        <v>22</v>
      </c>
      <c r="B24" s="11" t="s">
        <v>42</v>
      </c>
      <c r="C24" s="46">
        <v>100</v>
      </c>
      <c r="D24" s="46">
        <v>3</v>
      </c>
      <c r="E24" s="46">
        <v>4</v>
      </c>
      <c r="F24" s="46">
        <v>3</v>
      </c>
      <c r="G24" s="46">
        <v>4</v>
      </c>
      <c r="H24" s="46">
        <v>3</v>
      </c>
      <c r="I24" s="46">
        <v>4</v>
      </c>
      <c r="J24" s="46">
        <v>3</v>
      </c>
      <c r="K24" s="46">
        <v>4</v>
      </c>
      <c r="L24" s="46">
        <v>3</v>
      </c>
      <c r="M24" s="46">
        <v>4</v>
      </c>
      <c r="N24" s="46">
        <v>3</v>
      </c>
      <c r="O24" s="46">
        <v>4</v>
      </c>
      <c r="P24" s="46">
        <v>3</v>
      </c>
      <c r="Q24" s="46">
        <v>4</v>
      </c>
      <c r="R24" s="46"/>
      <c r="S24" s="46"/>
      <c r="T24" s="46"/>
      <c r="U24" s="45"/>
      <c r="V24" s="45">
        <f t="shared" si="2"/>
        <v>49</v>
      </c>
      <c r="W24" s="35">
        <f t="shared" si="1"/>
        <v>51</v>
      </c>
    </row>
    <row r="25" customHeight="1" spans="1:23">
      <c r="A25" s="45">
        <v>23</v>
      </c>
      <c r="B25" s="11" t="s">
        <v>43</v>
      </c>
      <c r="C25" s="46">
        <v>100</v>
      </c>
      <c r="D25" s="46">
        <v>3</v>
      </c>
      <c r="E25" s="46">
        <v>4</v>
      </c>
      <c r="F25" s="46">
        <v>3</v>
      </c>
      <c r="G25" s="46">
        <v>4</v>
      </c>
      <c r="H25" s="46">
        <v>3</v>
      </c>
      <c r="I25" s="46">
        <v>4</v>
      </c>
      <c r="J25" s="46">
        <v>3</v>
      </c>
      <c r="K25" s="46">
        <v>4</v>
      </c>
      <c r="L25" s="46">
        <v>3</v>
      </c>
      <c r="M25" s="46">
        <v>4</v>
      </c>
      <c r="N25" s="46">
        <v>3</v>
      </c>
      <c r="O25" s="46">
        <v>4</v>
      </c>
      <c r="P25" s="46">
        <v>3</v>
      </c>
      <c r="Q25" s="46">
        <v>4</v>
      </c>
      <c r="R25" s="47"/>
      <c r="S25" s="47"/>
      <c r="T25" s="47"/>
      <c r="U25" s="48"/>
      <c r="V25" s="48">
        <f t="shared" si="2"/>
        <v>49</v>
      </c>
      <c r="W25" s="35">
        <f t="shared" si="1"/>
        <v>51</v>
      </c>
    </row>
    <row r="26" customHeight="1" spans="1:23">
      <c r="A26" s="45">
        <v>24</v>
      </c>
      <c r="B26" s="11" t="s">
        <v>44</v>
      </c>
      <c r="C26" s="46">
        <v>100</v>
      </c>
      <c r="D26" s="46">
        <v>3</v>
      </c>
      <c r="E26" s="46">
        <v>4</v>
      </c>
      <c r="F26" s="46">
        <v>3</v>
      </c>
      <c r="G26" s="46">
        <v>4</v>
      </c>
      <c r="H26" s="46">
        <v>3</v>
      </c>
      <c r="I26" s="46">
        <v>4</v>
      </c>
      <c r="J26" s="46">
        <v>3</v>
      </c>
      <c r="K26" s="46">
        <v>4</v>
      </c>
      <c r="L26" s="46">
        <v>3</v>
      </c>
      <c r="M26" s="46">
        <v>4</v>
      </c>
      <c r="N26" s="46">
        <v>3</v>
      </c>
      <c r="O26" s="46">
        <v>4</v>
      </c>
      <c r="P26" s="46">
        <v>3</v>
      </c>
      <c r="Q26" s="46">
        <v>4</v>
      </c>
      <c r="R26" s="47"/>
      <c r="S26" s="47"/>
      <c r="T26" s="47"/>
      <c r="U26" s="45"/>
      <c r="V26" s="45">
        <f t="shared" si="2"/>
        <v>49</v>
      </c>
      <c r="W26" s="35">
        <f t="shared" si="1"/>
        <v>51</v>
      </c>
    </row>
    <row r="27" customHeight="1" spans="1:23">
      <c r="A27" s="45">
        <v>25</v>
      </c>
      <c r="B27" s="11" t="s">
        <v>45</v>
      </c>
      <c r="C27" s="46">
        <v>100</v>
      </c>
      <c r="D27" s="46">
        <v>3</v>
      </c>
      <c r="E27" s="46">
        <v>4</v>
      </c>
      <c r="F27" s="46">
        <v>3</v>
      </c>
      <c r="G27" s="46">
        <v>4</v>
      </c>
      <c r="H27" s="46">
        <v>3</v>
      </c>
      <c r="I27" s="46">
        <v>4</v>
      </c>
      <c r="J27" s="46">
        <v>3</v>
      </c>
      <c r="K27" s="46">
        <v>4</v>
      </c>
      <c r="L27" s="46">
        <v>3</v>
      </c>
      <c r="M27" s="46">
        <v>4</v>
      </c>
      <c r="N27" s="46">
        <v>3</v>
      </c>
      <c r="O27" s="46">
        <v>4</v>
      </c>
      <c r="P27" s="46">
        <v>3</v>
      </c>
      <c r="Q27" s="46">
        <v>4</v>
      </c>
      <c r="R27" s="47"/>
      <c r="S27" s="47"/>
      <c r="T27" s="47"/>
      <c r="U27" s="45"/>
      <c r="V27" s="45">
        <f t="shared" si="2"/>
        <v>49</v>
      </c>
      <c r="W27" s="35">
        <f t="shared" si="1"/>
        <v>51</v>
      </c>
    </row>
    <row r="28" customHeight="1" spans="1:23">
      <c r="A28" s="45">
        <v>26</v>
      </c>
      <c r="B28" s="11" t="s">
        <v>46</v>
      </c>
      <c r="C28" s="46">
        <v>100</v>
      </c>
      <c r="D28" s="46">
        <v>3</v>
      </c>
      <c r="E28" s="46">
        <v>4</v>
      </c>
      <c r="F28" s="46">
        <v>3</v>
      </c>
      <c r="G28" s="46">
        <v>4</v>
      </c>
      <c r="H28" s="46">
        <v>3</v>
      </c>
      <c r="I28" s="46">
        <v>4</v>
      </c>
      <c r="J28" s="46">
        <v>3</v>
      </c>
      <c r="K28" s="46">
        <v>4</v>
      </c>
      <c r="L28" s="46">
        <v>3</v>
      </c>
      <c r="M28" s="46">
        <v>4</v>
      </c>
      <c r="N28" s="46">
        <v>3</v>
      </c>
      <c r="O28" s="46">
        <v>4</v>
      </c>
      <c r="P28" s="46">
        <v>3</v>
      </c>
      <c r="Q28" s="46">
        <v>4</v>
      </c>
      <c r="R28" s="46"/>
      <c r="S28" s="46"/>
      <c r="T28" s="46"/>
      <c r="U28" s="45"/>
      <c r="V28" s="45">
        <f t="shared" si="2"/>
        <v>49</v>
      </c>
      <c r="W28" s="35">
        <f t="shared" si="1"/>
        <v>51</v>
      </c>
    </row>
    <row r="29" customHeight="1" spans="1:23">
      <c r="A29" s="45">
        <v>27</v>
      </c>
      <c r="B29" s="11" t="s">
        <v>48</v>
      </c>
      <c r="C29" s="46">
        <v>100</v>
      </c>
      <c r="D29" s="46">
        <v>3</v>
      </c>
      <c r="E29" s="46">
        <v>4</v>
      </c>
      <c r="F29" s="46">
        <v>3</v>
      </c>
      <c r="G29" s="46">
        <v>4</v>
      </c>
      <c r="H29" s="46">
        <v>3</v>
      </c>
      <c r="I29" s="46">
        <v>4</v>
      </c>
      <c r="J29" s="46">
        <v>3</v>
      </c>
      <c r="K29" s="46">
        <v>4</v>
      </c>
      <c r="L29" s="46">
        <v>3</v>
      </c>
      <c r="M29" s="46">
        <v>4</v>
      </c>
      <c r="N29" s="46">
        <v>3</v>
      </c>
      <c r="O29" s="46">
        <v>4</v>
      </c>
      <c r="P29" s="46">
        <v>3</v>
      </c>
      <c r="Q29" s="46">
        <v>4</v>
      </c>
      <c r="R29" s="46"/>
      <c r="S29" s="46"/>
      <c r="T29" s="46"/>
      <c r="U29" s="45"/>
      <c r="V29" s="45">
        <f t="shared" si="2"/>
        <v>49</v>
      </c>
      <c r="W29" s="35">
        <f t="shared" si="1"/>
        <v>51</v>
      </c>
    </row>
    <row r="30" customHeight="1" spans="1:23">
      <c r="A30" s="45">
        <v>28</v>
      </c>
      <c r="B30" s="11" t="s">
        <v>49</v>
      </c>
      <c r="C30" s="46">
        <v>100</v>
      </c>
      <c r="D30" s="46">
        <v>3</v>
      </c>
      <c r="E30" s="46">
        <v>4</v>
      </c>
      <c r="F30" s="46">
        <v>3</v>
      </c>
      <c r="G30" s="46">
        <v>4</v>
      </c>
      <c r="H30" s="46">
        <v>3</v>
      </c>
      <c r="I30" s="46">
        <v>4</v>
      </c>
      <c r="J30" s="46">
        <v>3</v>
      </c>
      <c r="K30" s="46">
        <v>4</v>
      </c>
      <c r="L30" s="46">
        <v>3</v>
      </c>
      <c r="M30" s="46">
        <v>4</v>
      </c>
      <c r="N30" s="46">
        <v>3</v>
      </c>
      <c r="O30" s="46">
        <v>4</v>
      </c>
      <c r="P30" s="46">
        <v>3</v>
      </c>
      <c r="Q30" s="46">
        <v>4</v>
      </c>
      <c r="R30" s="45"/>
      <c r="S30" s="45"/>
      <c r="T30" s="45"/>
      <c r="U30" s="45"/>
      <c r="V30" s="45">
        <f t="shared" si="2"/>
        <v>49</v>
      </c>
      <c r="W30" s="35">
        <f t="shared" si="1"/>
        <v>51</v>
      </c>
    </row>
    <row r="31" customHeight="1" spans="1:23">
      <c r="A31" s="45">
        <v>29</v>
      </c>
      <c r="B31" s="11" t="s">
        <v>50</v>
      </c>
      <c r="C31" s="46">
        <v>100</v>
      </c>
      <c r="D31" s="46">
        <v>3</v>
      </c>
      <c r="E31" s="46">
        <v>4</v>
      </c>
      <c r="F31" s="46">
        <v>3</v>
      </c>
      <c r="G31" s="46">
        <v>4</v>
      </c>
      <c r="H31" s="46">
        <v>3</v>
      </c>
      <c r="I31" s="46">
        <v>4</v>
      </c>
      <c r="J31" s="46">
        <v>3</v>
      </c>
      <c r="K31" s="46">
        <v>4</v>
      </c>
      <c r="L31" s="46">
        <v>3</v>
      </c>
      <c r="M31" s="46">
        <v>4</v>
      </c>
      <c r="N31" s="46">
        <v>3</v>
      </c>
      <c r="O31" s="46">
        <v>4</v>
      </c>
      <c r="P31" s="46">
        <v>3</v>
      </c>
      <c r="Q31" s="46">
        <v>4</v>
      </c>
      <c r="R31" s="45"/>
      <c r="S31" s="45"/>
      <c r="T31" s="45"/>
      <c r="U31" s="45"/>
      <c r="V31" s="45">
        <f t="shared" si="2"/>
        <v>49</v>
      </c>
      <c r="W31" s="35">
        <f t="shared" si="1"/>
        <v>51</v>
      </c>
    </row>
    <row r="32" customHeight="1" spans="1:23">
      <c r="A32" s="45">
        <v>30</v>
      </c>
      <c r="B32" s="11" t="s">
        <v>51</v>
      </c>
      <c r="C32" s="46">
        <v>100</v>
      </c>
      <c r="D32" s="46">
        <v>3</v>
      </c>
      <c r="E32" s="46">
        <v>4</v>
      </c>
      <c r="F32" s="46">
        <v>3</v>
      </c>
      <c r="G32" s="46">
        <v>4</v>
      </c>
      <c r="H32" s="46">
        <v>3</v>
      </c>
      <c r="I32" s="46">
        <v>4</v>
      </c>
      <c r="J32" s="46">
        <v>3</v>
      </c>
      <c r="K32" s="46">
        <v>4</v>
      </c>
      <c r="L32" s="46">
        <v>3</v>
      </c>
      <c r="M32" s="46">
        <v>4</v>
      </c>
      <c r="N32" s="46">
        <v>3</v>
      </c>
      <c r="O32" s="46">
        <v>4</v>
      </c>
      <c r="P32" s="46">
        <v>3</v>
      </c>
      <c r="Q32" s="46">
        <v>4</v>
      </c>
      <c r="R32" s="45"/>
      <c r="S32" s="45"/>
      <c r="T32" s="45"/>
      <c r="U32" s="45"/>
      <c r="V32" s="45">
        <f t="shared" si="2"/>
        <v>49</v>
      </c>
      <c r="W32" s="35">
        <f t="shared" si="1"/>
        <v>51</v>
      </c>
    </row>
    <row r="33" customHeight="1" spans="1:23">
      <c r="A33" s="45">
        <v>31</v>
      </c>
      <c r="B33" s="11" t="s">
        <v>52</v>
      </c>
      <c r="C33" s="46">
        <v>100</v>
      </c>
      <c r="D33" s="46">
        <v>3</v>
      </c>
      <c r="E33" s="46">
        <v>4</v>
      </c>
      <c r="F33" s="46">
        <v>3</v>
      </c>
      <c r="G33" s="46">
        <v>4</v>
      </c>
      <c r="H33" s="46">
        <v>3</v>
      </c>
      <c r="I33" s="46">
        <v>4</v>
      </c>
      <c r="J33" s="46">
        <v>3</v>
      </c>
      <c r="K33" s="46">
        <v>4</v>
      </c>
      <c r="L33" s="46">
        <v>3</v>
      </c>
      <c r="M33" s="46">
        <v>4</v>
      </c>
      <c r="N33" s="46">
        <v>3</v>
      </c>
      <c r="O33" s="46">
        <v>4</v>
      </c>
      <c r="P33" s="46">
        <v>3</v>
      </c>
      <c r="Q33" s="46">
        <v>4</v>
      </c>
      <c r="R33" s="45"/>
      <c r="S33" s="45"/>
      <c r="T33" s="45"/>
      <c r="U33" s="45"/>
      <c r="V33" s="45">
        <f t="shared" si="2"/>
        <v>49</v>
      </c>
      <c r="W33" s="35">
        <f t="shared" si="1"/>
        <v>51</v>
      </c>
    </row>
    <row r="34" customHeight="1" spans="1:23">
      <c r="A34" s="45">
        <v>32</v>
      </c>
      <c r="B34" s="11" t="s">
        <v>53</v>
      </c>
      <c r="C34" s="46">
        <v>100</v>
      </c>
      <c r="D34" s="46">
        <v>3</v>
      </c>
      <c r="E34" s="46">
        <v>4</v>
      </c>
      <c r="F34" s="46">
        <v>3</v>
      </c>
      <c r="G34" s="46">
        <v>4</v>
      </c>
      <c r="H34" s="46">
        <v>3</v>
      </c>
      <c r="I34" s="46">
        <v>4</v>
      </c>
      <c r="J34" s="46">
        <v>3</v>
      </c>
      <c r="K34" s="46">
        <v>4</v>
      </c>
      <c r="L34" s="46">
        <v>3</v>
      </c>
      <c r="M34" s="46">
        <v>4</v>
      </c>
      <c r="N34" s="46">
        <v>3</v>
      </c>
      <c r="O34" s="46">
        <v>4</v>
      </c>
      <c r="P34" s="46">
        <v>3</v>
      </c>
      <c r="Q34" s="46">
        <v>4</v>
      </c>
      <c r="R34" s="45"/>
      <c r="S34" s="45"/>
      <c r="T34" s="45"/>
      <c r="U34" s="45"/>
      <c r="V34" s="45">
        <f t="shared" si="2"/>
        <v>49</v>
      </c>
      <c r="W34" s="35">
        <f t="shared" si="1"/>
        <v>51</v>
      </c>
    </row>
    <row r="35" customHeight="1" spans="1:23">
      <c r="A35" s="45">
        <v>33</v>
      </c>
      <c r="B35" s="11" t="s">
        <v>54</v>
      </c>
      <c r="C35" s="46">
        <v>100</v>
      </c>
      <c r="D35" s="46">
        <v>3</v>
      </c>
      <c r="E35" s="46">
        <v>4</v>
      </c>
      <c r="F35" s="46">
        <v>3</v>
      </c>
      <c r="G35" s="46">
        <v>4</v>
      </c>
      <c r="H35" s="46">
        <v>3</v>
      </c>
      <c r="I35" s="46">
        <v>4</v>
      </c>
      <c r="J35" s="46">
        <v>3</v>
      </c>
      <c r="K35" s="46">
        <v>4</v>
      </c>
      <c r="L35" s="46">
        <v>3</v>
      </c>
      <c r="M35" s="46">
        <v>4</v>
      </c>
      <c r="N35" s="46">
        <v>3</v>
      </c>
      <c r="O35" s="46">
        <v>4</v>
      </c>
      <c r="P35" s="46">
        <v>3</v>
      </c>
      <c r="Q35" s="46">
        <v>4</v>
      </c>
      <c r="R35" s="45"/>
      <c r="S35" s="45"/>
      <c r="T35" s="45"/>
      <c r="U35" s="45"/>
      <c r="V35" s="45">
        <f t="shared" si="2"/>
        <v>49</v>
      </c>
      <c r="W35" s="35">
        <f t="shared" si="1"/>
        <v>51</v>
      </c>
    </row>
    <row r="36" customHeight="1" spans="1:23">
      <c r="A36" s="45">
        <v>34</v>
      </c>
      <c r="B36" s="11" t="s">
        <v>55</v>
      </c>
      <c r="C36" s="46">
        <v>100</v>
      </c>
      <c r="D36" s="46">
        <v>3</v>
      </c>
      <c r="E36" s="46">
        <v>4</v>
      </c>
      <c r="F36" s="46">
        <v>3</v>
      </c>
      <c r="G36" s="46">
        <v>4</v>
      </c>
      <c r="H36" s="46">
        <v>3</v>
      </c>
      <c r="I36" s="46">
        <v>4</v>
      </c>
      <c r="J36" s="46">
        <v>3</v>
      </c>
      <c r="K36" s="46">
        <v>4</v>
      </c>
      <c r="L36" s="46">
        <v>3</v>
      </c>
      <c r="M36" s="46">
        <v>4</v>
      </c>
      <c r="N36" s="46">
        <v>3</v>
      </c>
      <c r="O36" s="46">
        <v>4</v>
      </c>
      <c r="P36" s="46">
        <v>3</v>
      </c>
      <c r="Q36" s="46">
        <v>4</v>
      </c>
      <c r="R36" s="45"/>
      <c r="S36" s="45"/>
      <c r="T36" s="45"/>
      <c r="U36" s="45"/>
      <c r="V36" s="45">
        <f t="shared" si="2"/>
        <v>49</v>
      </c>
      <c r="W36" s="35">
        <f t="shared" si="1"/>
        <v>51</v>
      </c>
    </row>
    <row r="37" customHeight="1" spans="1:23">
      <c r="A37" s="45">
        <v>35</v>
      </c>
      <c r="B37" s="49" t="s">
        <v>56</v>
      </c>
      <c r="C37" s="47">
        <v>100</v>
      </c>
      <c r="D37" s="47">
        <v>3</v>
      </c>
      <c r="E37" s="47">
        <v>4</v>
      </c>
      <c r="F37" s="47">
        <v>3</v>
      </c>
      <c r="G37" s="46">
        <v>4</v>
      </c>
      <c r="H37" s="46">
        <v>3</v>
      </c>
      <c r="I37" s="46">
        <v>4</v>
      </c>
      <c r="J37" s="46">
        <v>3</v>
      </c>
      <c r="K37" s="46">
        <v>4</v>
      </c>
      <c r="L37" s="46">
        <v>3</v>
      </c>
      <c r="M37" s="46">
        <v>4</v>
      </c>
      <c r="N37" s="46">
        <v>3</v>
      </c>
      <c r="O37" s="46">
        <v>4</v>
      </c>
      <c r="P37" s="46">
        <v>3</v>
      </c>
      <c r="Q37" s="46">
        <v>4</v>
      </c>
      <c r="R37" s="48"/>
      <c r="S37" s="48"/>
      <c r="T37" s="48"/>
      <c r="U37" s="48"/>
      <c r="V37" s="45">
        <f t="shared" si="2"/>
        <v>49</v>
      </c>
      <c r="W37" s="35">
        <f t="shared" si="1"/>
        <v>51</v>
      </c>
    </row>
    <row r="38" customHeight="1" spans="1:23">
      <c r="A38" s="45">
        <v>36</v>
      </c>
      <c r="B38" s="17" t="s">
        <v>57</v>
      </c>
      <c r="C38" s="46">
        <v>100</v>
      </c>
      <c r="D38" s="46">
        <v>3</v>
      </c>
      <c r="E38" s="46">
        <v>4</v>
      </c>
      <c r="F38" s="46">
        <v>3</v>
      </c>
      <c r="G38" s="46">
        <v>4</v>
      </c>
      <c r="H38" s="46">
        <v>3</v>
      </c>
      <c r="I38" s="46">
        <v>4</v>
      </c>
      <c r="J38" s="46">
        <v>3</v>
      </c>
      <c r="K38" s="46">
        <v>4</v>
      </c>
      <c r="L38" s="46">
        <v>3</v>
      </c>
      <c r="M38" s="46">
        <v>4</v>
      </c>
      <c r="N38" s="46">
        <v>3</v>
      </c>
      <c r="O38" s="46">
        <v>4</v>
      </c>
      <c r="P38" s="46">
        <v>3</v>
      </c>
      <c r="Q38" s="46">
        <v>4</v>
      </c>
      <c r="R38" s="45"/>
      <c r="S38" s="45"/>
      <c r="T38" s="45"/>
      <c r="U38" s="45"/>
      <c r="V38" s="45">
        <f t="shared" si="2"/>
        <v>49</v>
      </c>
      <c r="W38" s="35">
        <f t="shared" si="1"/>
        <v>51</v>
      </c>
    </row>
    <row r="39" customHeight="1" spans="1:23">
      <c r="A39" s="45">
        <v>37</v>
      </c>
      <c r="B39" s="17" t="s">
        <v>58</v>
      </c>
      <c r="C39" s="46">
        <v>100</v>
      </c>
      <c r="D39" s="46">
        <v>3</v>
      </c>
      <c r="E39" s="46">
        <v>4</v>
      </c>
      <c r="F39" s="46">
        <v>3</v>
      </c>
      <c r="G39" s="46">
        <v>4</v>
      </c>
      <c r="H39" s="46">
        <v>3</v>
      </c>
      <c r="I39" s="46">
        <v>4</v>
      </c>
      <c r="J39" s="46">
        <v>3</v>
      </c>
      <c r="K39" s="46">
        <v>4</v>
      </c>
      <c r="L39" s="46">
        <v>3</v>
      </c>
      <c r="M39" s="46">
        <v>4</v>
      </c>
      <c r="N39" s="46">
        <v>3</v>
      </c>
      <c r="O39" s="46">
        <v>4</v>
      </c>
      <c r="P39" s="46">
        <v>3</v>
      </c>
      <c r="Q39" s="46">
        <v>4</v>
      </c>
      <c r="R39" s="45"/>
      <c r="S39" s="45"/>
      <c r="T39" s="45"/>
      <c r="U39" s="45"/>
      <c r="V39" s="45">
        <f t="shared" si="2"/>
        <v>49</v>
      </c>
      <c r="W39" s="35">
        <f t="shared" si="1"/>
        <v>51</v>
      </c>
    </row>
    <row r="40" customHeight="1" spans="1:23">
      <c r="A40" s="45">
        <v>38</v>
      </c>
      <c r="B40" s="17" t="s">
        <v>59</v>
      </c>
      <c r="C40" s="46">
        <v>100</v>
      </c>
      <c r="D40" s="46">
        <v>0</v>
      </c>
      <c r="E40" s="46">
        <v>4</v>
      </c>
      <c r="F40" s="46">
        <v>3</v>
      </c>
      <c r="G40" s="46">
        <v>7</v>
      </c>
      <c r="H40" s="46">
        <v>3</v>
      </c>
      <c r="I40" s="46">
        <v>4</v>
      </c>
      <c r="J40" s="46">
        <v>3</v>
      </c>
      <c r="K40" s="46">
        <v>4</v>
      </c>
      <c r="L40" s="46">
        <v>3</v>
      </c>
      <c r="M40" s="46">
        <v>4</v>
      </c>
      <c r="N40" s="46">
        <v>3</v>
      </c>
      <c r="O40" s="46">
        <v>4</v>
      </c>
      <c r="P40" s="46">
        <v>3</v>
      </c>
      <c r="Q40" s="46">
        <v>4</v>
      </c>
      <c r="R40" s="45"/>
      <c r="S40" s="45"/>
      <c r="T40" s="45"/>
      <c r="U40" s="45"/>
      <c r="V40" s="45">
        <f t="shared" si="2"/>
        <v>49</v>
      </c>
      <c r="W40" s="35">
        <f t="shared" si="1"/>
        <v>51</v>
      </c>
    </row>
    <row r="41" customHeight="1" spans="1:23">
      <c r="A41" s="45">
        <v>39</v>
      </c>
      <c r="B41" s="17" t="s">
        <v>61</v>
      </c>
      <c r="C41" s="46">
        <v>100</v>
      </c>
      <c r="D41" s="46">
        <v>0</v>
      </c>
      <c r="E41" s="46">
        <v>4</v>
      </c>
      <c r="F41" s="46">
        <v>3</v>
      </c>
      <c r="G41" s="46">
        <v>7</v>
      </c>
      <c r="H41" s="46">
        <v>3</v>
      </c>
      <c r="I41" s="46">
        <v>4</v>
      </c>
      <c r="J41" s="46">
        <v>3</v>
      </c>
      <c r="K41" s="46">
        <v>4</v>
      </c>
      <c r="L41" s="46">
        <v>3</v>
      </c>
      <c r="M41" s="46">
        <v>4</v>
      </c>
      <c r="N41" s="46">
        <v>3</v>
      </c>
      <c r="O41" s="46">
        <v>4</v>
      </c>
      <c r="P41" s="46">
        <v>3</v>
      </c>
      <c r="Q41" s="46">
        <v>4</v>
      </c>
      <c r="R41" s="45"/>
      <c r="S41" s="45"/>
      <c r="T41" s="45"/>
      <c r="U41" s="45"/>
      <c r="V41" s="45">
        <f t="shared" si="2"/>
        <v>49</v>
      </c>
      <c r="W41" s="35">
        <f t="shared" si="1"/>
        <v>51</v>
      </c>
    </row>
    <row r="42" customHeight="1" spans="1:23">
      <c r="A42" s="45">
        <v>40</v>
      </c>
      <c r="B42" s="17" t="s">
        <v>64</v>
      </c>
      <c r="C42" s="45">
        <v>100</v>
      </c>
      <c r="D42" s="45">
        <v>0</v>
      </c>
      <c r="E42" s="45">
        <v>0</v>
      </c>
      <c r="F42" s="45">
        <v>6</v>
      </c>
      <c r="G42" s="45">
        <v>8</v>
      </c>
      <c r="H42" s="46">
        <v>3</v>
      </c>
      <c r="I42" s="46">
        <v>4</v>
      </c>
      <c r="J42" s="46">
        <v>3</v>
      </c>
      <c r="K42" s="46">
        <v>4</v>
      </c>
      <c r="L42" s="46">
        <v>3</v>
      </c>
      <c r="M42" s="46">
        <v>4</v>
      </c>
      <c r="N42" s="46">
        <v>3</v>
      </c>
      <c r="O42" s="46">
        <v>4</v>
      </c>
      <c r="P42" s="46">
        <v>3</v>
      </c>
      <c r="Q42" s="46">
        <v>4</v>
      </c>
      <c r="R42" s="45"/>
      <c r="S42" s="45"/>
      <c r="T42" s="45"/>
      <c r="U42" s="45"/>
      <c r="V42" s="45">
        <f t="shared" si="2"/>
        <v>49</v>
      </c>
      <c r="W42" s="35">
        <f t="shared" si="1"/>
        <v>51</v>
      </c>
    </row>
    <row r="43" customHeight="1" spans="1:23">
      <c r="A43" s="45">
        <v>41</v>
      </c>
      <c r="B43" s="17" t="s">
        <v>66</v>
      </c>
      <c r="C43" s="45">
        <v>100</v>
      </c>
      <c r="D43" s="45">
        <v>0</v>
      </c>
      <c r="E43" s="45">
        <v>0</v>
      </c>
      <c r="F43" s="45">
        <v>6</v>
      </c>
      <c r="G43" s="45">
        <v>8</v>
      </c>
      <c r="H43" s="46">
        <v>3</v>
      </c>
      <c r="I43" s="46">
        <v>4</v>
      </c>
      <c r="J43" s="46">
        <v>3</v>
      </c>
      <c r="K43" s="46">
        <v>4</v>
      </c>
      <c r="L43" s="46">
        <v>3</v>
      </c>
      <c r="M43" s="46">
        <v>4</v>
      </c>
      <c r="N43" s="46">
        <v>3</v>
      </c>
      <c r="O43" s="46">
        <v>4</v>
      </c>
      <c r="P43" s="46">
        <v>3</v>
      </c>
      <c r="Q43" s="46">
        <v>4</v>
      </c>
      <c r="R43" s="45"/>
      <c r="S43" s="45"/>
      <c r="T43" s="45"/>
      <c r="U43" s="45"/>
      <c r="V43" s="45">
        <f t="shared" si="2"/>
        <v>49</v>
      </c>
      <c r="W43" s="35">
        <f t="shared" si="1"/>
        <v>51</v>
      </c>
    </row>
    <row r="44" customHeight="1" spans="1:23">
      <c r="A44" s="45">
        <v>42</v>
      </c>
      <c r="B44" s="20" t="s">
        <v>48</v>
      </c>
      <c r="C44" s="45">
        <v>100</v>
      </c>
      <c r="D44" s="45">
        <v>0</v>
      </c>
      <c r="E44" s="45">
        <v>0</v>
      </c>
      <c r="F44" s="46">
        <v>6</v>
      </c>
      <c r="G44" s="45">
        <v>4</v>
      </c>
      <c r="H44" s="45">
        <v>7</v>
      </c>
      <c r="I44" s="46">
        <v>4</v>
      </c>
      <c r="J44" s="46">
        <v>3</v>
      </c>
      <c r="K44" s="46">
        <v>4</v>
      </c>
      <c r="L44" s="46">
        <v>3</v>
      </c>
      <c r="M44" s="46">
        <v>4</v>
      </c>
      <c r="N44" s="46">
        <v>3</v>
      </c>
      <c r="O44" s="46">
        <v>4</v>
      </c>
      <c r="P44" s="46">
        <v>3</v>
      </c>
      <c r="Q44" s="46">
        <v>4</v>
      </c>
      <c r="R44" s="45"/>
      <c r="S44" s="45"/>
      <c r="T44" s="45"/>
      <c r="U44" s="45"/>
      <c r="V44" s="45">
        <f t="shared" si="2"/>
        <v>49</v>
      </c>
      <c r="W44" s="35">
        <f t="shared" si="1"/>
        <v>51</v>
      </c>
    </row>
    <row r="45" customHeight="1" spans="1:23">
      <c r="A45" s="45">
        <v>43</v>
      </c>
      <c r="B45" s="20" t="s">
        <v>67</v>
      </c>
      <c r="C45" s="45">
        <v>100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6">
        <v>4</v>
      </c>
      <c r="J45" s="45">
        <v>6</v>
      </c>
      <c r="K45" s="45">
        <v>8</v>
      </c>
      <c r="L45" s="45">
        <v>6</v>
      </c>
      <c r="M45" s="45">
        <v>8</v>
      </c>
      <c r="N45" s="45">
        <v>6</v>
      </c>
      <c r="O45" s="46">
        <v>4</v>
      </c>
      <c r="P45" s="46">
        <v>3</v>
      </c>
      <c r="Q45" s="46">
        <v>4</v>
      </c>
      <c r="R45" s="45"/>
      <c r="S45" s="45"/>
      <c r="T45" s="45"/>
      <c r="U45" s="45"/>
      <c r="V45" s="45">
        <f t="shared" si="2"/>
        <v>49</v>
      </c>
      <c r="W45" s="35">
        <f t="shared" si="1"/>
        <v>51</v>
      </c>
    </row>
    <row r="46" customHeight="1" spans="1:23">
      <c r="A46" s="45">
        <v>44</v>
      </c>
      <c r="B46" s="20" t="s">
        <v>69</v>
      </c>
      <c r="C46" s="45">
        <v>100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6">
        <v>4</v>
      </c>
      <c r="J46" s="45">
        <v>6</v>
      </c>
      <c r="K46" s="45">
        <v>8</v>
      </c>
      <c r="L46" s="45">
        <v>6</v>
      </c>
      <c r="M46" s="45">
        <v>8</v>
      </c>
      <c r="N46" s="45">
        <v>6</v>
      </c>
      <c r="O46" s="46">
        <v>4</v>
      </c>
      <c r="P46" s="46">
        <v>3</v>
      </c>
      <c r="Q46" s="46">
        <v>4</v>
      </c>
      <c r="R46" s="45"/>
      <c r="S46" s="45"/>
      <c r="T46" s="45"/>
      <c r="U46" s="45"/>
      <c r="V46" s="45">
        <f t="shared" si="2"/>
        <v>49</v>
      </c>
      <c r="W46" s="35">
        <f t="shared" si="1"/>
        <v>51</v>
      </c>
    </row>
    <row r="47" customHeight="1" spans="1:23">
      <c r="A47" s="45">
        <v>45</v>
      </c>
      <c r="B47" s="20" t="s">
        <v>70</v>
      </c>
      <c r="C47" s="45">
        <v>100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6">
        <v>4</v>
      </c>
      <c r="J47" s="45">
        <v>6</v>
      </c>
      <c r="K47" s="45">
        <v>8</v>
      </c>
      <c r="L47" s="45">
        <v>6</v>
      </c>
      <c r="M47" s="45">
        <v>8</v>
      </c>
      <c r="N47" s="45">
        <v>6</v>
      </c>
      <c r="O47" s="46">
        <v>4</v>
      </c>
      <c r="P47" s="46">
        <v>3</v>
      </c>
      <c r="Q47" s="46">
        <v>4</v>
      </c>
      <c r="R47" s="45"/>
      <c r="S47" s="45"/>
      <c r="T47" s="45"/>
      <c r="U47" s="45"/>
      <c r="V47" s="45">
        <f t="shared" si="2"/>
        <v>49</v>
      </c>
      <c r="W47" s="35">
        <f t="shared" si="1"/>
        <v>51</v>
      </c>
    </row>
    <row r="48" customHeight="1" spans="1:23">
      <c r="A48" s="45"/>
      <c r="B48" s="16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</row>
    <row r="49" customHeight="1" spans="4:17">
      <c r="D49" s="35">
        <f t="shared" ref="D49:N49" si="3">SUM(D3:D48)</f>
        <v>111</v>
      </c>
      <c r="E49" s="35">
        <f t="shared" si="3"/>
        <v>152</v>
      </c>
      <c r="F49" s="35">
        <f t="shared" si="3"/>
        <v>132</v>
      </c>
      <c r="G49" s="35">
        <f t="shared" si="3"/>
        <v>178</v>
      </c>
      <c r="H49" s="35">
        <f t="shared" si="3"/>
        <v>127</v>
      </c>
      <c r="I49" s="35">
        <f t="shared" si="3"/>
        <v>184</v>
      </c>
      <c r="J49" s="35">
        <f t="shared" si="3"/>
        <v>147</v>
      </c>
      <c r="K49" s="35">
        <f t="shared" si="3"/>
        <v>196</v>
      </c>
      <c r="L49" s="35">
        <f t="shared" si="3"/>
        <v>147</v>
      </c>
      <c r="M49" s="35">
        <f t="shared" si="3"/>
        <v>192</v>
      </c>
      <c r="N49" s="35">
        <f t="shared" si="3"/>
        <v>144</v>
      </c>
      <c r="O49" s="35">
        <f>SUM(O3:O48)</f>
        <v>180</v>
      </c>
      <c r="P49" s="35">
        <f>SUM(P3:P48)</f>
        <v>135</v>
      </c>
      <c r="Q49" s="35">
        <f>SUM(Q3:Q48)</f>
        <v>180</v>
      </c>
    </row>
  </sheetData>
  <mergeCells count="1">
    <mergeCell ref="A1:V1"/>
  </mergeCells>
  <pageMargins left="0.75" right="0.75" top="1" bottom="1" header="0.5" footer="0.5"/>
  <pageSetup paperSize="2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opLeftCell="A2" workbookViewId="0">
      <selection activeCell="H10" sqref="H10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3" t="s">
        <v>84</v>
      </c>
      <c r="B1" s="3"/>
      <c r="C1" s="3"/>
      <c r="D1" s="3"/>
      <c r="E1" s="3"/>
      <c r="F1" s="4"/>
      <c r="G1" s="5"/>
    </row>
    <row r="2" s="1" customFormat="1" ht="32" customHeight="1" spans="1:8">
      <c r="A2" s="6" t="s">
        <v>2</v>
      </c>
      <c r="B2" s="6" t="s">
        <v>75</v>
      </c>
      <c r="C2" s="6" t="s">
        <v>3</v>
      </c>
      <c r="D2" s="7" t="s">
        <v>85</v>
      </c>
      <c r="E2" s="8" t="s">
        <v>86</v>
      </c>
      <c r="F2" s="8" t="s">
        <v>87</v>
      </c>
      <c r="G2" s="8" t="s">
        <v>7</v>
      </c>
    </row>
    <row r="3" ht="22" customHeight="1" spans="1:8">
      <c r="A3" s="9">
        <v>1</v>
      </c>
      <c r="B3" s="10">
        <v>46090</v>
      </c>
      <c r="C3" s="11" t="s">
        <v>16</v>
      </c>
      <c r="D3" s="11" t="s">
        <v>88</v>
      </c>
      <c r="E3" s="11">
        <v>3</v>
      </c>
      <c r="F3" s="12"/>
      <c r="G3" s="13"/>
    </row>
    <row r="4" ht="22" customHeight="1" spans="1:8">
      <c r="A4" s="9">
        <v>2</v>
      </c>
      <c r="B4" s="10">
        <v>46090</v>
      </c>
      <c r="C4" s="11" t="s">
        <v>19</v>
      </c>
      <c r="D4" s="11" t="s">
        <v>88</v>
      </c>
      <c r="E4" s="11">
        <v>3</v>
      </c>
      <c r="F4" s="12"/>
      <c r="G4" s="14"/>
    </row>
    <row r="5" ht="22" customHeight="1" spans="1:8">
      <c r="A5" s="9">
        <v>3</v>
      </c>
      <c r="B5" s="10">
        <v>46090</v>
      </c>
      <c r="C5" s="11" t="s">
        <v>21</v>
      </c>
      <c r="D5" s="11" t="s">
        <v>88</v>
      </c>
      <c r="E5" s="11">
        <v>3</v>
      </c>
      <c r="F5" s="12"/>
      <c r="G5" s="14"/>
    </row>
    <row r="6" customFormat="1" ht="22" customHeight="1" spans="1:8">
      <c r="A6" s="9">
        <v>4</v>
      </c>
      <c r="B6" s="10">
        <v>46090</v>
      </c>
      <c r="C6" s="11" t="s">
        <v>32</v>
      </c>
      <c r="D6" s="11" t="s">
        <v>88</v>
      </c>
      <c r="E6" s="11">
        <v>3</v>
      </c>
      <c r="F6" s="12"/>
      <c r="G6" s="15"/>
    </row>
    <row r="7" ht="22" customHeight="1" spans="1:8">
      <c r="A7" s="9">
        <v>5</v>
      </c>
      <c r="B7" s="10">
        <v>46090</v>
      </c>
      <c r="C7" s="11" t="s">
        <v>22</v>
      </c>
      <c r="D7" s="11" t="s">
        <v>88</v>
      </c>
      <c r="E7" s="12"/>
      <c r="F7" s="11">
        <v>3</v>
      </c>
      <c r="G7" s="14"/>
    </row>
    <row r="8" ht="22" customHeight="1" spans="1:8">
      <c r="A8" s="9">
        <v>6</v>
      </c>
      <c r="B8" s="10">
        <v>46090</v>
      </c>
      <c r="C8" s="11" t="s">
        <v>24</v>
      </c>
      <c r="D8" s="11" t="s">
        <v>88</v>
      </c>
      <c r="E8" s="12"/>
      <c r="F8" s="11">
        <v>3</v>
      </c>
      <c r="G8" s="14"/>
    </row>
    <row r="9" ht="22" customHeight="1" spans="1:8">
      <c r="A9" s="9">
        <v>7</v>
      </c>
      <c r="B9" s="10">
        <v>46090</v>
      </c>
      <c r="C9" s="11" t="s">
        <v>25</v>
      </c>
      <c r="D9" s="11" t="s">
        <v>88</v>
      </c>
      <c r="E9" s="11">
        <v>2</v>
      </c>
      <c r="F9" s="11">
        <v>1</v>
      </c>
      <c r="G9" s="14"/>
    </row>
    <row r="10" s="2" customFormat="1" ht="22" customHeight="1" spans="1:8">
      <c r="A10" s="28">
        <v>8</v>
      </c>
      <c r="B10" s="29">
        <v>46090</v>
      </c>
      <c r="C10" s="30" t="s">
        <v>27</v>
      </c>
      <c r="D10" s="30" t="s">
        <v>88</v>
      </c>
      <c r="E10" s="30">
        <v>3</v>
      </c>
      <c r="F10" s="32"/>
      <c r="G10" s="31"/>
      <c r="H10" s="2" t="s">
        <v>89</v>
      </c>
    </row>
    <row r="11" ht="22" customHeight="1" spans="1:8">
      <c r="A11" s="9">
        <v>9</v>
      </c>
      <c r="B11" s="10">
        <v>46090</v>
      </c>
      <c r="C11" s="11" t="s">
        <v>28</v>
      </c>
      <c r="D11" s="11" t="s">
        <v>88</v>
      </c>
      <c r="E11" s="11">
        <v>3</v>
      </c>
      <c r="F11" s="12"/>
      <c r="G11" s="15"/>
    </row>
    <row r="12" customFormat="1" ht="22" customHeight="1" spans="1:8">
      <c r="A12" s="9">
        <v>10</v>
      </c>
      <c r="B12" s="10">
        <v>46090</v>
      </c>
      <c r="C12" s="11" t="s">
        <v>29</v>
      </c>
      <c r="D12" s="11" t="s">
        <v>88</v>
      </c>
      <c r="E12" s="11">
        <v>3</v>
      </c>
      <c r="F12" s="12"/>
      <c r="G12" s="15"/>
    </row>
    <row r="13" customFormat="1" ht="22" customHeight="1" spans="1:8">
      <c r="A13" s="9">
        <v>11</v>
      </c>
      <c r="B13" s="10">
        <v>46090</v>
      </c>
      <c r="C13" s="11" t="s">
        <v>30</v>
      </c>
      <c r="D13" s="11" t="s">
        <v>88</v>
      </c>
      <c r="E13" s="11">
        <v>3</v>
      </c>
      <c r="F13" s="12"/>
      <c r="G13" s="15"/>
    </row>
    <row r="14" customFormat="1" ht="22" customHeight="1" spans="1:8">
      <c r="A14" s="9">
        <v>12</v>
      </c>
      <c r="B14" s="10">
        <v>46090</v>
      </c>
      <c r="C14" s="11" t="s">
        <v>47</v>
      </c>
      <c r="D14" s="11" t="s">
        <v>88</v>
      </c>
      <c r="E14" s="11">
        <v>3</v>
      </c>
      <c r="F14" s="11"/>
      <c r="G14" s="15"/>
    </row>
    <row r="15" customFormat="1" ht="22" customHeight="1" spans="1:8">
      <c r="A15" s="9">
        <v>13</v>
      </c>
      <c r="B15" s="10">
        <v>46090</v>
      </c>
      <c r="C15" s="11" t="s">
        <v>31</v>
      </c>
      <c r="D15" s="11" t="s">
        <v>88</v>
      </c>
      <c r="E15" s="11">
        <v>3</v>
      </c>
      <c r="F15" s="12"/>
      <c r="G15" s="15"/>
    </row>
    <row r="16" customFormat="1" ht="22" customHeight="1" spans="1:8">
      <c r="A16" s="9">
        <v>14</v>
      </c>
      <c r="B16" s="10">
        <v>46090</v>
      </c>
      <c r="C16" s="11" t="s">
        <v>33</v>
      </c>
      <c r="D16" s="11" t="s">
        <v>88</v>
      </c>
      <c r="E16" s="11">
        <v>3</v>
      </c>
      <c r="F16" s="12"/>
      <c r="G16" s="15"/>
    </row>
    <row r="17" customFormat="1" ht="22" customHeight="1" spans="1:8">
      <c r="A17" s="9">
        <v>15</v>
      </c>
      <c r="B17" s="10">
        <v>46090</v>
      </c>
      <c r="C17" s="11" t="s">
        <v>34</v>
      </c>
      <c r="D17" s="11" t="s">
        <v>88</v>
      </c>
      <c r="E17" s="12"/>
      <c r="F17" s="11">
        <v>3</v>
      </c>
      <c r="G17" s="15"/>
    </row>
    <row r="18" customFormat="1" ht="22" customHeight="1" spans="1:8">
      <c r="A18" s="9">
        <v>16</v>
      </c>
      <c r="B18" s="10">
        <v>46090</v>
      </c>
      <c r="C18" s="11" t="s">
        <v>35</v>
      </c>
      <c r="D18" s="11" t="s">
        <v>88</v>
      </c>
      <c r="E18" s="11">
        <v>2</v>
      </c>
      <c r="F18" s="11">
        <v>1</v>
      </c>
      <c r="G18" s="15"/>
    </row>
    <row r="19" s="2" customFormat="1" ht="22" customHeight="1" spans="1:8">
      <c r="A19" s="28">
        <v>17</v>
      </c>
      <c r="B19" s="29">
        <v>46090</v>
      </c>
      <c r="C19" s="30" t="s">
        <v>36</v>
      </c>
      <c r="D19" s="30" t="s">
        <v>88</v>
      </c>
      <c r="E19" s="30">
        <v>3</v>
      </c>
      <c r="F19" s="33"/>
      <c r="G19" s="31"/>
      <c r="H19" s="2" t="s">
        <v>89</v>
      </c>
    </row>
    <row r="20" customFormat="1" ht="22" customHeight="1" spans="1:8">
      <c r="A20" s="9">
        <v>18</v>
      </c>
      <c r="B20" s="10">
        <v>46090</v>
      </c>
      <c r="C20" s="11" t="s">
        <v>37</v>
      </c>
      <c r="D20" s="11" t="s">
        <v>88</v>
      </c>
      <c r="E20" s="11">
        <v>3</v>
      </c>
      <c r="F20" s="12"/>
      <c r="G20" s="15"/>
    </row>
    <row r="21" customFormat="1" ht="22" customHeight="1" spans="1:8">
      <c r="A21" s="9">
        <v>19</v>
      </c>
      <c r="B21" s="10">
        <v>46090</v>
      </c>
      <c r="C21" s="11" t="s">
        <v>37</v>
      </c>
      <c r="D21" s="11" t="s">
        <v>88</v>
      </c>
      <c r="E21" s="12"/>
      <c r="F21" s="11">
        <v>3</v>
      </c>
      <c r="G21" s="15"/>
    </row>
    <row r="22" customFormat="1" ht="22" customHeight="1" spans="1:8">
      <c r="A22" s="9">
        <v>20</v>
      </c>
      <c r="B22" s="10">
        <v>46090</v>
      </c>
      <c r="C22" s="11" t="s">
        <v>38</v>
      </c>
      <c r="D22" s="11" t="s">
        <v>88</v>
      </c>
      <c r="E22" s="11">
        <v>3</v>
      </c>
      <c r="F22" s="12"/>
      <c r="G22" s="15"/>
    </row>
    <row r="23" customFormat="1" ht="22" customHeight="1" spans="1:8">
      <c r="A23" s="9">
        <v>21</v>
      </c>
      <c r="B23" s="10">
        <v>46090</v>
      </c>
      <c r="C23" s="11" t="s">
        <v>39</v>
      </c>
      <c r="D23" s="11" t="s">
        <v>88</v>
      </c>
      <c r="E23" s="11">
        <v>2</v>
      </c>
      <c r="F23" s="11">
        <v>1</v>
      </c>
      <c r="G23" s="15"/>
    </row>
    <row r="24" customFormat="1" ht="22" customHeight="1" spans="1:8">
      <c r="A24" s="9">
        <v>22</v>
      </c>
      <c r="B24" s="10">
        <v>46090</v>
      </c>
      <c r="C24" s="11" t="s">
        <v>40</v>
      </c>
      <c r="D24" s="11" t="s">
        <v>88</v>
      </c>
      <c r="E24" s="11">
        <v>3</v>
      </c>
      <c r="F24" s="11"/>
      <c r="G24" s="15"/>
    </row>
    <row r="25" customFormat="1" ht="22" customHeight="1" spans="1:8">
      <c r="A25" s="9">
        <v>23</v>
      </c>
      <c r="B25" s="10">
        <v>46090</v>
      </c>
      <c r="C25" s="11" t="s">
        <v>41</v>
      </c>
      <c r="D25" s="11" t="s">
        <v>88</v>
      </c>
      <c r="E25" s="11">
        <v>3</v>
      </c>
      <c r="F25" s="11"/>
      <c r="G25" s="15"/>
    </row>
    <row r="26" customFormat="1" ht="22" customHeight="1" spans="1:8">
      <c r="A26" s="9">
        <v>24</v>
      </c>
      <c r="B26" s="10">
        <v>46090</v>
      </c>
      <c r="C26" s="11" t="s">
        <v>42</v>
      </c>
      <c r="D26" s="11" t="s">
        <v>88</v>
      </c>
      <c r="E26" s="11">
        <v>3</v>
      </c>
      <c r="F26" s="11"/>
      <c r="G26" s="15"/>
    </row>
    <row r="27" customFormat="1" ht="22" customHeight="1" spans="1:8">
      <c r="A27" s="9">
        <v>25</v>
      </c>
      <c r="B27" s="10">
        <v>46090</v>
      </c>
      <c r="C27" s="11" t="s">
        <v>43</v>
      </c>
      <c r="D27" s="11" t="s">
        <v>88</v>
      </c>
      <c r="E27" s="11"/>
      <c r="F27" s="11">
        <v>3</v>
      </c>
      <c r="G27" s="15"/>
    </row>
    <row r="28" customFormat="1" ht="22" customHeight="1" spans="1:8">
      <c r="A28" s="9">
        <v>26</v>
      </c>
      <c r="B28" s="10">
        <v>46090</v>
      </c>
      <c r="C28" s="11" t="s">
        <v>44</v>
      </c>
      <c r="D28" s="11" t="s">
        <v>88</v>
      </c>
      <c r="E28" s="11">
        <v>3</v>
      </c>
      <c r="F28" s="11"/>
      <c r="G28" s="15"/>
    </row>
    <row r="29" customFormat="1" ht="22" customHeight="1" spans="1:8">
      <c r="A29" s="9">
        <v>27</v>
      </c>
      <c r="B29" s="10">
        <v>46090</v>
      </c>
      <c r="C29" s="11" t="s">
        <v>45</v>
      </c>
      <c r="D29" s="11" t="s">
        <v>88</v>
      </c>
      <c r="E29" s="11"/>
      <c r="F29" s="11">
        <v>3</v>
      </c>
      <c r="G29" s="15"/>
    </row>
    <row r="30" customFormat="1" ht="22" customHeight="1" spans="1:8">
      <c r="A30" s="9">
        <v>28</v>
      </c>
      <c r="B30" s="10">
        <v>46090</v>
      </c>
      <c r="C30" s="11" t="s">
        <v>46</v>
      </c>
      <c r="D30" s="11" t="s">
        <v>88</v>
      </c>
      <c r="E30" s="11">
        <v>3</v>
      </c>
      <c r="F30" s="11"/>
      <c r="G30" s="15"/>
    </row>
    <row r="31" customFormat="1" ht="22" customHeight="1" spans="1:8">
      <c r="A31" s="9">
        <v>29</v>
      </c>
      <c r="B31" s="10">
        <v>46090</v>
      </c>
      <c r="C31" s="11" t="s">
        <v>48</v>
      </c>
      <c r="D31" s="11" t="s">
        <v>88</v>
      </c>
      <c r="E31" s="11">
        <v>2</v>
      </c>
      <c r="F31" s="11">
        <v>1</v>
      </c>
      <c r="G31" s="15"/>
    </row>
    <row r="32" customFormat="1" ht="22" customHeight="1" spans="1:8">
      <c r="A32" s="9">
        <v>30</v>
      </c>
      <c r="B32" s="10">
        <v>46090</v>
      </c>
      <c r="C32" s="11" t="s">
        <v>49</v>
      </c>
      <c r="D32" s="11" t="s">
        <v>88</v>
      </c>
      <c r="E32" s="11">
        <v>2</v>
      </c>
      <c r="F32" s="11">
        <v>1</v>
      </c>
      <c r="G32" s="15"/>
    </row>
    <row r="33" customFormat="1" ht="22" customHeight="1" spans="1:8">
      <c r="A33" s="9">
        <v>31</v>
      </c>
      <c r="B33" s="10">
        <v>46090</v>
      </c>
      <c r="C33" s="11" t="s">
        <v>50</v>
      </c>
      <c r="D33" s="11" t="s">
        <v>88</v>
      </c>
      <c r="E33" s="11">
        <v>2</v>
      </c>
      <c r="F33" s="11">
        <v>1</v>
      </c>
      <c r="G33" s="15"/>
    </row>
    <row r="34" customFormat="1" ht="22" customHeight="1" spans="1:8">
      <c r="A34" s="9">
        <v>32</v>
      </c>
      <c r="B34" s="10">
        <v>46090</v>
      </c>
      <c r="C34" s="11" t="s">
        <v>51</v>
      </c>
      <c r="D34" s="11" t="s">
        <v>88</v>
      </c>
      <c r="E34" s="11">
        <v>2</v>
      </c>
      <c r="F34" s="11">
        <v>1</v>
      </c>
      <c r="G34" s="15"/>
    </row>
    <row r="35" customFormat="1" ht="22" customHeight="1" spans="1:8">
      <c r="A35" s="9">
        <v>33</v>
      </c>
      <c r="B35" s="10">
        <v>46090</v>
      </c>
      <c r="C35" s="11" t="s">
        <v>78</v>
      </c>
      <c r="D35" s="11" t="s">
        <v>88</v>
      </c>
      <c r="E35" s="11">
        <v>3</v>
      </c>
      <c r="F35" s="11"/>
      <c r="G35" s="15"/>
      <c r="H35" t="s">
        <v>90</v>
      </c>
    </row>
    <row r="36" customFormat="1" ht="22" customHeight="1" spans="1:8">
      <c r="A36" s="9">
        <v>34</v>
      </c>
      <c r="B36" s="10">
        <v>46090</v>
      </c>
      <c r="C36" s="11" t="s">
        <v>53</v>
      </c>
      <c r="D36" s="11" t="s">
        <v>88</v>
      </c>
      <c r="E36" s="11">
        <v>3</v>
      </c>
      <c r="F36" s="11"/>
      <c r="G36" s="15"/>
    </row>
    <row r="37" customFormat="1" ht="22" customHeight="1" spans="1:8">
      <c r="A37" s="9">
        <v>35</v>
      </c>
      <c r="B37" s="10">
        <v>46090</v>
      </c>
      <c r="C37" s="11" t="s">
        <v>54</v>
      </c>
      <c r="D37" s="11" t="s">
        <v>88</v>
      </c>
      <c r="E37" s="11">
        <v>3</v>
      </c>
      <c r="F37" s="11"/>
      <c r="G37" s="15"/>
    </row>
    <row r="38" customFormat="1" ht="22" customHeight="1" spans="1:8">
      <c r="A38" s="9">
        <v>36</v>
      </c>
      <c r="B38" s="10">
        <v>46090</v>
      </c>
      <c r="C38" s="11" t="s">
        <v>55</v>
      </c>
      <c r="D38" s="11" t="s">
        <v>88</v>
      </c>
      <c r="E38" s="11"/>
      <c r="F38" s="11">
        <v>3</v>
      </c>
      <c r="G38" s="15"/>
    </row>
    <row r="39" customFormat="1" ht="22" customHeight="1" spans="1:8">
      <c r="A39" s="9">
        <v>37</v>
      </c>
      <c r="B39" s="10">
        <v>46090</v>
      </c>
      <c r="C39" s="11" t="s">
        <v>56</v>
      </c>
      <c r="D39" s="11" t="s">
        <v>88</v>
      </c>
      <c r="E39" s="11">
        <v>3</v>
      </c>
      <c r="F39" s="11"/>
      <c r="G39" s="15"/>
    </row>
    <row r="40" customFormat="1" ht="22" customHeight="1" spans="1:8">
      <c r="A40" s="9">
        <v>38</v>
      </c>
      <c r="B40" s="10">
        <v>46090</v>
      </c>
      <c r="C40" s="11" t="s">
        <v>57</v>
      </c>
      <c r="D40" s="11" t="s">
        <v>88</v>
      </c>
      <c r="E40" s="11"/>
      <c r="F40" s="11">
        <v>3</v>
      </c>
      <c r="G40" s="15"/>
    </row>
    <row r="41" customFormat="1" ht="22" customHeight="1" spans="1:8">
      <c r="A41" s="9">
        <v>39</v>
      </c>
      <c r="B41" s="10">
        <v>46090</v>
      </c>
      <c r="C41" s="11" t="s">
        <v>58</v>
      </c>
      <c r="D41" s="11" t="s">
        <v>88</v>
      </c>
      <c r="E41" s="11">
        <v>3</v>
      </c>
      <c r="F41" s="11"/>
      <c r="G41" s="15"/>
      <c r="H41" t="s">
        <v>90</v>
      </c>
    </row>
    <row r="42" ht="25" customHeight="1" spans="1:8">
      <c r="B42" s="34"/>
      <c r="C42" s="34"/>
      <c r="D42" s="34"/>
      <c r="E42" s="35">
        <f>SUM(E3:E41)</f>
        <v>86</v>
      </c>
      <c r="F42" s="35">
        <f>SUM(F3:F41)</f>
        <v>31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opLeftCell="A9" workbookViewId="0">
      <selection activeCell="I15" sqref="I15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3" t="s">
        <v>84</v>
      </c>
      <c r="B1" s="3"/>
      <c r="C1" s="3"/>
      <c r="D1" s="3"/>
      <c r="E1" s="3"/>
      <c r="F1" s="4"/>
      <c r="G1" s="5"/>
    </row>
    <row r="2" s="1" customFormat="1" ht="32" customHeight="1" spans="1:8">
      <c r="A2" s="6" t="s">
        <v>2</v>
      </c>
      <c r="B2" s="6" t="s">
        <v>75</v>
      </c>
      <c r="C2" s="6" t="s">
        <v>3</v>
      </c>
      <c r="D2" s="7" t="s">
        <v>85</v>
      </c>
      <c r="E2" s="8" t="s">
        <v>86</v>
      </c>
      <c r="F2" s="8" t="s">
        <v>87</v>
      </c>
      <c r="G2" s="8" t="s">
        <v>7</v>
      </c>
    </row>
    <row r="3" ht="22" customHeight="1" spans="1:8">
      <c r="A3" s="9">
        <v>1</v>
      </c>
      <c r="B3" s="10">
        <v>46093</v>
      </c>
      <c r="C3" s="11" t="s">
        <v>16</v>
      </c>
      <c r="D3" s="11" t="s">
        <v>91</v>
      </c>
      <c r="E3" s="11">
        <v>4</v>
      </c>
      <c r="F3" s="12"/>
      <c r="G3" s="13"/>
    </row>
    <row r="4" ht="22" customHeight="1" spans="1:8">
      <c r="A4" s="9">
        <v>2</v>
      </c>
      <c r="B4" s="10">
        <v>46093</v>
      </c>
      <c r="C4" s="11" t="s">
        <v>19</v>
      </c>
      <c r="D4" s="11" t="s">
        <v>91</v>
      </c>
      <c r="E4" s="11">
        <v>4</v>
      </c>
      <c r="F4" s="12"/>
      <c r="G4" s="14"/>
    </row>
    <row r="5" ht="22" customHeight="1" spans="1:8">
      <c r="A5" s="9">
        <v>3</v>
      </c>
      <c r="B5" s="10">
        <v>46093</v>
      </c>
      <c r="C5" s="11" t="s">
        <v>21</v>
      </c>
      <c r="D5" s="11" t="s">
        <v>91</v>
      </c>
      <c r="E5" s="12">
        <v>4</v>
      </c>
      <c r="F5" s="12"/>
      <c r="G5" s="14"/>
    </row>
    <row r="6" customFormat="1" ht="22" customHeight="1" spans="1:8">
      <c r="A6" s="9">
        <v>4</v>
      </c>
      <c r="B6" s="10">
        <v>46093</v>
      </c>
      <c r="C6" s="11" t="s">
        <v>32</v>
      </c>
      <c r="D6" s="11" t="s">
        <v>91</v>
      </c>
      <c r="E6" s="11">
        <v>4</v>
      </c>
      <c r="F6" s="12"/>
      <c r="G6" s="15"/>
    </row>
    <row r="7" ht="22" customHeight="1" spans="1:8">
      <c r="A7" s="9">
        <v>5</v>
      </c>
      <c r="B7" s="10">
        <v>46093</v>
      </c>
      <c r="C7" s="11" t="s">
        <v>22</v>
      </c>
      <c r="D7" s="11" t="s">
        <v>91</v>
      </c>
      <c r="E7" s="12"/>
      <c r="F7" s="11">
        <v>4</v>
      </c>
      <c r="G7" s="14"/>
    </row>
    <row r="8" ht="22" customHeight="1" spans="1:8">
      <c r="A8" s="9">
        <v>6</v>
      </c>
      <c r="B8" s="10">
        <v>46093</v>
      </c>
      <c r="C8" s="11" t="s">
        <v>24</v>
      </c>
      <c r="D8" s="11" t="s">
        <v>91</v>
      </c>
      <c r="E8" s="12"/>
      <c r="F8" s="11">
        <v>4</v>
      </c>
      <c r="G8" s="14"/>
    </row>
    <row r="9" ht="22" customHeight="1" spans="1:8">
      <c r="A9" s="9">
        <v>7</v>
      </c>
      <c r="B9" s="10">
        <v>46093</v>
      </c>
      <c r="C9" s="11" t="s">
        <v>25</v>
      </c>
      <c r="D9" s="11" t="s">
        <v>91</v>
      </c>
      <c r="E9" s="11">
        <v>2</v>
      </c>
      <c r="F9" s="11">
        <v>2</v>
      </c>
      <c r="G9" s="14"/>
    </row>
    <row r="10" s="2" customFormat="1" ht="22" customHeight="1" spans="1:8">
      <c r="A10" s="28">
        <v>8</v>
      </c>
      <c r="B10" s="29">
        <v>46093</v>
      </c>
      <c r="C10" s="30" t="s">
        <v>27</v>
      </c>
      <c r="D10" s="30" t="s">
        <v>91</v>
      </c>
      <c r="E10" s="30">
        <v>4</v>
      </c>
      <c r="F10" s="32"/>
      <c r="G10" s="31"/>
      <c r="H10" s="2" t="s">
        <v>89</v>
      </c>
    </row>
    <row r="11" ht="22" customHeight="1" spans="1:8">
      <c r="A11" s="9">
        <v>9</v>
      </c>
      <c r="B11" s="10">
        <v>46093</v>
      </c>
      <c r="C11" s="11" t="s">
        <v>28</v>
      </c>
      <c r="D11" s="11" t="s">
        <v>91</v>
      </c>
      <c r="E11" s="11">
        <v>4</v>
      </c>
      <c r="F11" s="12"/>
      <c r="G11" s="15"/>
    </row>
    <row r="12" customFormat="1" ht="22" customHeight="1" spans="1:8">
      <c r="A12" s="9">
        <v>10</v>
      </c>
      <c r="B12" s="10">
        <v>46093</v>
      </c>
      <c r="C12" s="11" t="s">
        <v>29</v>
      </c>
      <c r="D12" s="11" t="s">
        <v>91</v>
      </c>
      <c r="E12" s="11">
        <v>4</v>
      </c>
      <c r="F12" s="12"/>
      <c r="G12" s="15"/>
    </row>
    <row r="13" customFormat="1" ht="22" customHeight="1" spans="1:8">
      <c r="A13" s="9">
        <v>11</v>
      </c>
      <c r="B13" s="10">
        <v>46093</v>
      </c>
      <c r="C13" s="11" t="s">
        <v>30</v>
      </c>
      <c r="D13" s="11" t="s">
        <v>91</v>
      </c>
      <c r="E13" s="11">
        <v>4</v>
      </c>
      <c r="F13" s="12"/>
      <c r="G13" s="15"/>
    </row>
    <row r="14" customFormat="1" ht="22" customHeight="1" spans="1:8">
      <c r="A14" s="9">
        <v>12</v>
      </c>
      <c r="B14" s="10">
        <v>46093</v>
      </c>
      <c r="C14" s="11" t="s">
        <v>47</v>
      </c>
      <c r="D14" s="11" t="s">
        <v>91</v>
      </c>
      <c r="E14" s="11">
        <v>4</v>
      </c>
      <c r="F14" s="11"/>
      <c r="G14" s="15"/>
    </row>
    <row r="15" customFormat="1" ht="22" customHeight="1" spans="1:8">
      <c r="A15" s="9">
        <v>13</v>
      </c>
      <c r="B15" s="10">
        <v>46093</v>
      </c>
      <c r="C15" s="11" t="s">
        <v>31</v>
      </c>
      <c r="D15" s="11" t="s">
        <v>91</v>
      </c>
      <c r="E15" s="11">
        <v>4</v>
      </c>
      <c r="F15" s="12"/>
      <c r="G15" s="15"/>
    </row>
    <row r="16" customFormat="1" ht="22" customHeight="1" spans="1:8">
      <c r="A16" s="9">
        <v>14</v>
      </c>
      <c r="B16" s="10">
        <v>46093</v>
      </c>
      <c r="C16" s="11" t="s">
        <v>33</v>
      </c>
      <c r="D16" s="11" t="s">
        <v>91</v>
      </c>
      <c r="E16" s="11">
        <v>4</v>
      </c>
      <c r="F16" s="12"/>
      <c r="G16" s="15"/>
    </row>
    <row r="17" customFormat="1" ht="22" customHeight="1" spans="1:8">
      <c r="A17" s="9">
        <v>15</v>
      </c>
      <c r="B17" s="10">
        <v>46093</v>
      </c>
      <c r="C17" s="11" t="s">
        <v>34</v>
      </c>
      <c r="D17" s="11" t="s">
        <v>91</v>
      </c>
      <c r="E17" s="12"/>
      <c r="F17" s="11">
        <v>4</v>
      </c>
      <c r="G17" s="15"/>
    </row>
    <row r="18" customFormat="1" ht="22" customHeight="1" spans="1:8">
      <c r="A18" s="9">
        <v>16</v>
      </c>
      <c r="B18" s="10">
        <v>46093</v>
      </c>
      <c r="C18" s="11" t="s">
        <v>35</v>
      </c>
      <c r="D18" s="11" t="s">
        <v>91</v>
      </c>
      <c r="E18" s="11">
        <v>2</v>
      </c>
      <c r="F18" s="11">
        <v>2</v>
      </c>
      <c r="G18" s="15"/>
    </row>
    <row r="19" s="2" customFormat="1" ht="22" customHeight="1" spans="1:8">
      <c r="A19" s="28">
        <v>17</v>
      </c>
      <c r="B19" s="29">
        <v>46093</v>
      </c>
      <c r="C19" s="30" t="s">
        <v>36</v>
      </c>
      <c r="D19" s="30" t="s">
        <v>91</v>
      </c>
      <c r="E19" s="30">
        <v>4</v>
      </c>
      <c r="F19" s="33"/>
      <c r="G19" s="31"/>
      <c r="H19" s="2" t="s">
        <v>89</v>
      </c>
    </row>
    <row r="20" customFormat="1" ht="22" customHeight="1" spans="1:8">
      <c r="A20" s="9">
        <v>18</v>
      </c>
      <c r="B20" s="10">
        <v>46093</v>
      </c>
      <c r="C20" s="11" t="s">
        <v>37</v>
      </c>
      <c r="D20" s="11" t="s">
        <v>91</v>
      </c>
      <c r="E20" s="11">
        <v>4</v>
      </c>
      <c r="F20" s="12"/>
      <c r="G20" s="15"/>
    </row>
    <row r="21" customFormat="1" ht="22" customHeight="1" spans="1:8">
      <c r="A21" s="9">
        <v>19</v>
      </c>
      <c r="B21" s="10">
        <v>46093</v>
      </c>
      <c r="C21" s="11" t="s">
        <v>37</v>
      </c>
      <c r="D21" s="11" t="s">
        <v>91</v>
      </c>
      <c r="E21" s="12"/>
      <c r="F21" s="11">
        <v>4</v>
      </c>
      <c r="G21" s="15"/>
    </row>
    <row r="22" customFormat="1" ht="22" customHeight="1" spans="1:8">
      <c r="A22" s="9">
        <v>20</v>
      </c>
      <c r="B22" s="10">
        <v>46093</v>
      </c>
      <c r="C22" s="11" t="s">
        <v>38</v>
      </c>
      <c r="D22" s="11" t="s">
        <v>91</v>
      </c>
      <c r="E22" s="11">
        <v>4</v>
      </c>
      <c r="F22" s="12"/>
      <c r="G22" s="15"/>
    </row>
    <row r="23" customFormat="1" ht="22" customHeight="1" spans="1:8">
      <c r="A23" s="9">
        <v>21</v>
      </c>
      <c r="B23" s="10">
        <v>46093</v>
      </c>
      <c r="C23" s="11" t="s">
        <v>39</v>
      </c>
      <c r="D23" s="11" t="s">
        <v>91</v>
      </c>
      <c r="E23" s="11"/>
      <c r="F23" s="11"/>
      <c r="G23" s="15" t="s">
        <v>92</v>
      </c>
    </row>
    <row r="24" customFormat="1" ht="22" customHeight="1" spans="1:8">
      <c r="A24" s="9">
        <v>22</v>
      </c>
      <c r="B24" s="10">
        <v>46093</v>
      </c>
      <c r="C24" s="11" t="s">
        <v>40</v>
      </c>
      <c r="D24" s="11" t="s">
        <v>91</v>
      </c>
      <c r="E24" s="11">
        <v>4</v>
      </c>
      <c r="F24" s="11"/>
      <c r="G24" s="15"/>
    </row>
    <row r="25" customFormat="1" ht="22" customHeight="1" spans="1:8">
      <c r="A25" s="9">
        <v>23</v>
      </c>
      <c r="B25" s="10">
        <v>46093</v>
      </c>
      <c r="C25" s="11" t="s">
        <v>41</v>
      </c>
      <c r="D25" s="11" t="s">
        <v>91</v>
      </c>
      <c r="E25" s="11">
        <v>4</v>
      </c>
      <c r="F25" s="11"/>
      <c r="G25" s="15"/>
    </row>
    <row r="26" customFormat="1" ht="22" customHeight="1" spans="1:8">
      <c r="A26" s="9">
        <v>24</v>
      </c>
      <c r="B26" s="10">
        <v>46093</v>
      </c>
      <c r="C26" s="11" t="s">
        <v>42</v>
      </c>
      <c r="D26" s="11" t="s">
        <v>91</v>
      </c>
      <c r="E26" s="11">
        <v>4</v>
      </c>
      <c r="F26" s="11"/>
      <c r="G26" s="15"/>
    </row>
    <row r="27" customFormat="1" ht="22" customHeight="1" spans="1:8">
      <c r="A27" s="9">
        <v>25</v>
      </c>
      <c r="B27" s="10">
        <v>46093</v>
      </c>
      <c r="C27" s="11" t="s">
        <v>43</v>
      </c>
      <c r="D27" s="11" t="s">
        <v>91</v>
      </c>
      <c r="E27" s="11"/>
      <c r="F27" s="11">
        <v>4</v>
      </c>
      <c r="G27" s="15"/>
    </row>
    <row r="28" customFormat="1" ht="22" customHeight="1" spans="1:8">
      <c r="A28" s="9">
        <v>26</v>
      </c>
      <c r="B28" s="10">
        <v>46093</v>
      </c>
      <c r="C28" s="11" t="s">
        <v>44</v>
      </c>
      <c r="D28" s="11" t="s">
        <v>91</v>
      </c>
      <c r="E28" s="11">
        <v>4</v>
      </c>
      <c r="F28" s="11"/>
      <c r="G28" s="15"/>
    </row>
    <row r="29" customFormat="1" ht="22" customHeight="1" spans="1:8">
      <c r="A29" s="9">
        <v>27</v>
      </c>
      <c r="B29" s="10">
        <v>46093</v>
      </c>
      <c r="C29" s="11" t="s">
        <v>45</v>
      </c>
      <c r="D29" s="11" t="s">
        <v>91</v>
      </c>
      <c r="E29" s="11"/>
      <c r="F29" s="11">
        <v>4</v>
      </c>
      <c r="G29" s="15"/>
    </row>
    <row r="30" customFormat="1" ht="22" customHeight="1" spans="1:8">
      <c r="A30" s="9">
        <v>28</v>
      </c>
      <c r="B30" s="10">
        <v>46093</v>
      </c>
      <c r="C30" s="11" t="s">
        <v>46</v>
      </c>
      <c r="D30" s="11" t="s">
        <v>91</v>
      </c>
      <c r="E30" s="11">
        <v>4</v>
      </c>
      <c r="F30" s="11"/>
      <c r="G30" s="15"/>
    </row>
    <row r="31" customFormat="1" ht="22" customHeight="1" spans="1:8">
      <c r="A31" s="9">
        <v>29</v>
      </c>
      <c r="B31" s="10">
        <v>46093</v>
      </c>
      <c r="C31" s="11" t="s">
        <v>48</v>
      </c>
      <c r="D31" s="11" t="s">
        <v>91</v>
      </c>
      <c r="E31" s="11">
        <v>2</v>
      </c>
      <c r="F31" s="11">
        <v>2</v>
      </c>
      <c r="G31" s="15"/>
    </row>
    <row r="32" customFormat="1" ht="22" customHeight="1" spans="1:8">
      <c r="A32" s="9">
        <v>30</v>
      </c>
      <c r="B32" s="10">
        <v>46093</v>
      </c>
      <c r="C32" s="11" t="s">
        <v>49</v>
      </c>
      <c r="D32" s="11" t="s">
        <v>91</v>
      </c>
      <c r="E32" s="11">
        <v>2</v>
      </c>
      <c r="F32" s="11">
        <v>2</v>
      </c>
      <c r="G32" s="15"/>
    </row>
    <row r="33" customFormat="1" ht="22" customHeight="1" spans="1:8">
      <c r="A33" s="9">
        <v>31</v>
      </c>
      <c r="B33" s="10">
        <v>46093</v>
      </c>
      <c r="C33" s="11" t="s">
        <v>50</v>
      </c>
      <c r="D33" s="11" t="s">
        <v>91</v>
      </c>
      <c r="E33" s="11">
        <v>2</v>
      </c>
      <c r="F33" s="11">
        <v>2</v>
      </c>
      <c r="G33" s="15"/>
    </row>
    <row r="34" customFormat="1" ht="22" customHeight="1" spans="1:8">
      <c r="A34" s="9">
        <v>32</v>
      </c>
      <c r="B34" s="10">
        <v>46093</v>
      </c>
      <c r="C34" s="11" t="s">
        <v>51</v>
      </c>
      <c r="D34" s="11" t="s">
        <v>91</v>
      </c>
      <c r="E34" s="11">
        <v>2</v>
      </c>
      <c r="F34" s="11">
        <v>2</v>
      </c>
      <c r="G34" s="15"/>
    </row>
    <row r="35" customFormat="1" ht="22" customHeight="1" spans="1:8">
      <c r="A35" s="9">
        <v>33</v>
      </c>
      <c r="B35" s="10">
        <v>46093</v>
      </c>
      <c r="C35" s="11" t="s">
        <v>78</v>
      </c>
      <c r="D35" s="11" t="s">
        <v>91</v>
      </c>
      <c r="E35" s="11">
        <v>4</v>
      </c>
      <c r="F35" s="11"/>
      <c r="G35" s="15"/>
      <c r="H35" t="s">
        <v>90</v>
      </c>
    </row>
    <row r="36" customFormat="1" ht="22" customHeight="1" spans="1:8">
      <c r="A36" s="9">
        <v>34</v>
      </c>
      <c r="B36" s="10">
        <v>46093</v>
      </c>
      <c r="C36" s="11" t="s">
        <v>53</v>
      </c>
      <c r="D36" s="11" t="s">
        <v>91</v>
      </c>
      <c r="E36" s="11">
        <v>4</v>
      </c>
      <c r="F36" s="11"/>
      <c r="G36" s="15"/>
    </row>
    <row r="37" customFormat="1" ht="22" customHeight="1" spans="1:8">
      <c r="A37" s="9">
        <v>35</v>
      </c>
      <c r="B37" s="10">
        <v>46093</v>
      </c>
      <c r="C37" s="11" t="s">
        <v>54</v>
      </c>
      <c r="D37" s="11" t="s">
        <v>91</v>
      </c>
      <c r="E37" s="11">
        <v>4</v>
      </c>
      <c r="F37" s="11"/>
      <c r="G37" s="15"/>
    </row>
    <row r="38" customFormat="1" ht="22" customHeight="1" spans="1:8">
      <c r="A38" s="9">
        <v>36</v>
      </c>
      <c r="B38" s="10">
        <v>46093</v>
      </c>
      <c r="C38" s="11" t="s">
        <v>55</v>
      </c>
      <c r="D38" s="11" t="s">
        <v>91</v>
      </c>
      <c r="E38" s="11"/>
      <c r="F38" s="11">
        <v>4</v>
      </c>
      <c r="G38" s="15"/>
    </row>
    <row r="39" customFormat="1" ht="22" customHeight="1" spans="1:8">
      <c r="A39" s="9">
        <v>37</v>
      </c>
      <c r="B39" s="10">
        <v>46093</v>
      </c>
      <c r="C39" s="11" t="s">
        <v>56</v>
      </c>
      <c r="D39" s="11" t="s">
        <v>91</v>
      </c>
      <c r="E39" s="11">
        <v>4</v>
      </c>
      <c r="F39" s="11"/>
      <c r="G39" s="15"/>
    </row>
    <row r="40" customFormat="1" ht="22" customHeight="1" spans="1:8">
      <c r="A40" s="9">
        <v>38</v>
      </c>
      <c r="B40" s="10">
        <v>46093</v>
      </c>
      <c r="C40" s="11" t="s">
        <v>57</v>
      </c>
      <c r="D40" s="11" t="s">
        <v>91</v>
      </c>
      <c r="E40" s="11"/>
      <c r="F40" s="11">
        <v>4</v>
      </c>
      <c r="G40" s="15"/>
    </row>
    <row r="41" customFormat="1" ht="22" customHeight="1" spans="1:8">
      <c r="A41" s="9">
        <v>39</v>
      </c>
      <c r="B41" s="10">
        <v>46093</v>
      </c>
      <c r="C41" s="11" t="s">
        <v>58</v>
      </c>
      <c r="D41" s="11" t="s">
        <v>91</v>
      </c>
      <c r="E41" s="11">
        <v>4</v>
      </c>
      <c r="F41" s="11"/>
      <c r="G41" s="15"/>
      <c r="H41" t="s">
        <v>90</v>
      </c>
    </row>
    <row r="42" customFormat="1" ht="22" customHeight="1" spans="1:8">
      <c r="A42" s="9">
        <v>40</v>
      </c>
      <c r="B42" s="10">
        <v>46093</v>
      </c>
      <c r="C42" s="11" t="s">
        <v>59</v>
      </c>
      <c r="D42" s="11" t="s">
        <v>91</v>
      </c>
      <c r="E42" s="11">
        <v>4</v>
      </c>
      <c r="F42" s="11"/>
      <c r="G42" s="15"/>
    </row>
    <row r="43" customFormat="1" ht="22" customHeight="1" spans="1:8">
      <c r="A43" s="9">
        <v>41</v>
      </c>
      <c r="B43" s="10">
        <v>46093</v>
      </c>
      <c r="C43" s="11" t="s">
        <v>61</v>
      </c>
      <c r="D43" s="11" t="s">
        <v>91</v>
      </c>
      <c r="E43" s="11"/>
      <c r="F43" s="11">
        <v>4</v>
      </c>
      <c r="G43" s="15"/>
    </row>
    <row r="44" ht="25" customHeight="1" spans="1:8">
      <c r="E44" s="23">
        <f>SUM(E3:E43)</f>
        <v>112</v>
      </c>
      <c r="F44" s="23">
        <f>SUM(F3:F43)</f>
        <v>48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topLeftCell="A33" workbookViewId="0">
      <selection activeCell="E49" sqref="E49:F49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14">
      <c r="A1" s="3" t="s">
        <v>84</v>
      </c>
      <c r="B1" s="3"/>
      <c r="C1" s="3"/>
      <c r="D1" s="3"/>
      <c r="E1" s="3"/>
      <c r="F1" s="4"/>
      <c r="G1" s="5"/>
    </row>
    <row r="2" s="1" customFormat="1" ht="32" customHeight="1" spans="1:14">
      <c r="A2" s="6" t="s">
        <v>2</v>
      </c>
      <c r="B2" s="6" t="s">
        <v>75</v>
      </c>
      <c r="C2" s="6" t="s">
        <v>3</v>
      </c>
      <c r="D2" s="7" t="s">
        <v>85</v>
      </c>
      <c r="E2" s="8" t="s">
        <v>86</v>
      </c>
      <c r="F2" s="8" t="s">
        <v>87</v>
      </c>
      <c r="G2" s="8" t="s">
        <v>7</v>
      </c>
      <c r="I2"/>
      <c r="J2"/>
      <c r="K2"/>
      <c r="L2"/>
      <c r="M2"/>
      <c r="N2"/>
    </row>
    <row r="3" ht="22" customHeight="1" spans="1:14">
      <c r="A3" s="9">
        <v>1</v>
      </c>
      <c r="B3" s="10">
        <v>46097</v>
      </c>
      <c r="C3" s="11" t="s">
        <v>16</v>
      </c>
      <c r="D3" s="11" t="s">
        <v>88</v>
      </c>
      <c r="E3" s="11">
        <v>3</v>
      </c>
      <c r="F3" s="12"/>
      <c r="G3" s="13"/>
    </row>
    <row r="4" ht="22" customHeight="1" spans="1:14">
      <c r="A4" s="9">
        <v>2</v>
      </c>
      <c r="B4" s="10">
        <v>46097</v>
      </c>
      <c r="C4" s="11" t="s">
        <v>19</v>
      </c>
      <c r="D4" s="11" t="s">
        <v>88</v>
      </c>
      <c r="E4" s="11">
        <v>3</v>
      </c>
      <c r="F4" s="12"/>
      <c r="G4" s="14"/>
    </row>
    <row r="5" ht="22" customHeight="1" spans="1:14">
      <c r="A5" s="9">
        <v>3</v>
      </c>
      <c r="B5" s="10">
        <v>46097</v>
      </c>
      <c r="C5" s="11" t="s">
        <v>21</v>
      </c>
      <c r="D5" s="11" t="s">
        <v>88</v>
      </c>
      <c r="E5" s="12">
        <v>3</v>
      </c>
      <c r="F5" s="12"/>
      <c r="G5" s="14"/>
    </row>
    <row r="6" customFormat="1" ht="22" customHeight="1" spans="1:14">
      <c r="A6" s="9">
        <v>4</v>
      </c>
      <c r="B6" s="10">
        <v>46097</v>
      </c>
      <c r="C6" s="11" t="s">
        <v>32</v>
      </c>
      <c r="D6" s="11" t="s">
        <v>88</v>
      </c>
      <c r="E6" s="11">
        <v>3</v>
      </c>
      <c r="F6" s="12"/>
      <c r="G6" s="15"/>
    </row>
    <row r="7" ht="22" customHeight="1" spans="1:14">
      <c r="A7" s="9">
        <v>5</v>
      </c>
      <c r="B7" s="10">
        <v>46097</v>
      </c>
      <c r="C7" s="11" t="s">
        <v>22</v>
      </c>
      <c r="D7" s="11" t="s">
        <v>88</v>
      </c>
      <c r="E7" s="12"/>
      <c r="F7" s="11">
        <v>3</v>
      </c>
      <c r="G7" s="14"/>
    </row>
    <row r="8" ht="22" customHeight="1" spans="1:14">
      <c r="A8" s="9">
        <v>6</v>
      </c>
      <c r="B8" s="10">
        <v>46097</v>
      </c>
      <c r="C8" s="11" t="s">
        <v>24</v>
      </c>
      <c r="D8" s="11" t="s">
        <v>88</v>
      </c>
      <c r="E8" s="12"/>
      <c r="F8" s="11">
        <v>3</v>
      </c>
      <c r="G8" s="14"/>
    </row>
    <row r="9" ht="22" customHeight="1" spans="1:14">
      <c r="A9" s="9">
        <v>7</v>
      </c>
      <c r="B9" s="10">
        <v>46097</v>
      </c>
      <c r="C9" s="11" t="s">
        <v>25</v>
      </c>
      <c r="D9" s="11" t="s">
        <v>88</v>
      </c>
      <c r="E9" s="11">
        <v>2</v>
      </c>
      <c r="F9" s="11">
        <v>1</v>
      </c>
      <c r="G9" s="14"/>
    </row>
    <row r="10" ht="22" customHeight="1" spans="1:14">
      <c r="A10" s="9">
        <v>8</v>
      </c>
      <c r="B10" s="10">
        <v>46097</v>
      </c>
      <c r="C10" s="11" t="s">
        <v>28</v>
      </c>
      <c r="D10" s="11" t="s">
        <v>88</v>
      </c>
      <c r="E10" s="11">
        <v>3</v>
      </c>
      <c r="F10" s="12"/>
      <c r="G10" s="15"/>
    </row>
    <row r="11" customFormat="1" ht="22" customHeight="1" spans="1:14">
      <c r="A11" s="9">
        <v>9</v>
      </c>
      <c r="B11" s="10">
        <v>46097</v>
      </c>
      <c r="C11" s="11" t="s">
        <v>29</v>
      </c>
      <c r="D11" s="11" t="s">
        <v>88</v>
      </c>
      <c r="E11" s="11">
        <v>3</v>
      </c>
      <c r="F11" s="12"/>
      <c r="G11" s="15"/>
    </row>
    <row r="12" customFormat="1" ht="22" customHeight="1" spans="1:14">
      <c r="A12" s="9">
        <v>10</v>
      </c>
      <c r="B12" s="10">
        <v>46097</v>
      </c>
      <c r="C12" s="11" t="s">
        <v>30</v>
      </c>
      <c r="D12" s="11" t="s">
        <v>88</v>
      </c>
      <c r="E12" s="11">
        <v>3</v>
      </c>
      <c r="F12" s="12"/>
      <c r="G12" s="15"/>
    </row>
    <row r="13" customFormat="1" ht="22" customHeight="1" spans="1:14">
      <c r="A13" s="9">
        <v>11</v>
      </c>
      <c r="B13" s="10">
        <v>46097</v>
      </c>
      <c r="C13" s="11" t="s">
        <v>47</v>
      </c>
      <c r="D13" s="11" t="s">
        <v>88</v>
      </c>
      <c r="E13" s="11">
        <v>3</v>
      </c>
      <c r="F13" s="11"/>
      <c r="G13" s="15"/>
    </row>
    <row r="14" customFormat="1" ht="22" customHeight="1" spans="1:14">
      <c r="A14" s="9">
        <v>12</v>
      </c>
      <c r="B14" s="10">
        <v>46097</v>
      </c>
      <c r="C14" s="11" t="s">
        <v>31</v>
      </c>
      <c r="D14" s="11" t="s">
        <v>88</v>
      </c>
      <c r="E14" s="11">
        <v>3</v>
      </c>
      <c r="F14" s="12"/>
      <c r="G14" s="15"/>
    </row>
    <row r="15" customFormat="1" ht="22" customHeight="1" spans="1:14">
      <c r="A15" s="9">
        <v>13</v>
      </c>
      <c r="B15" s="10">
        <v>46097</v>
      </c>
      <c r="C15" s="11" t="s">
        <v>33</v>
      </c>
      <c r="D15" s="11" t="s">
        <v>88</v>
      </c>
      <c r="E15" s="11">
        <v>3</v>
      </c>
      <c r="F15" s="12"/>
      <c r="G15" s="15"/>
    </row>
    <row r="16" customFormat="1" ht="22" customHeight="1" spans="1:14">
      <c r="A16" s="9">
        <v>14</v>
      </c>
      <c r="B16" s="10">
        <v>46097</v>
      </c>
      <c r="C16" s="11" t="s">
        <v>34</v>
      </c>
      <c r="D16" s="11" t="s">
        <v>88</v>
      </c>
      <c r="E16" s="12"/>
      <c r="F16" s="11">
        <v>3</v>
      </c>
      <c r="G16" s="15"/>
    </row>
    <row r="17" customFormat="1" ht="22" customHeight="1" spans="1:7">
      <c r="A17" s="9">
        <v>15</v>
      </c>
      <c r="B17" s="10">
        <v>46097</v>
      </c>
      <c r="C17" s="11" t="s">
        <v>35</v>
      </c>
      <c r="D17" s="11" t="s">
        <v>88</v>
      </c>
      <c r="E17" s="11">
        <v>2</v>
      </c>
      <c r="F17" s="11">
        <v>1</v>
      </c>
      <c r="G17" s="15"/>
    </row>
    <row r="18" customFormat="1" ht="22" customHeight="1" spans="1:7">
      <c r="A18" s="9">
        <v>16</v>
      </c>
      <c r="B18" s="10">
        <v>46097</v>
      </c>
      <c r="C18" s="11" t="s">
        <v>37</v>
      </c>
      <c r="D18" s="11" t="s">
        <v>88</v>
      </c>
      <c r="E18" s="11">
        <v>3</v>
      </c>
      <c r="F18" s="12"/>
      <c r="G18" s="15"/>
    </row>
    <row r="19" customFormat="1" ht="22" customHeight="1" spans="1:7">
      <c r="A19" s="9">
        <v>17</v>
      </c>
      <c r="B19" s="10">
        <v>46097</v>
      </c>
      <c r="C19" s="11" t="s">
        <v>37</v>
      </c>
      <c r="D19" s="11" t="s">
        <v>88</v>
      </c>
      <c r="E19" s="12"/>
      <c r="F19" s="11">
        <v>3</v>
      </c>
      <c r="G19" s="15"/>
    </row>
    <row r="20" customFormat="1" ht="22" customHeight="1" spans="1:7">
      <c r="A20" s="9">
        <v>18</v>
      </c>
      <c r="B20" s="10">
        <v>46097</v>
      </c>
      <c r="C20" s="11" t="s">
        <v>38</v>
      </c>
      <c r="D20" s="11" t="s">
        <v>88</v>
      </c>
      <c r="E20" s="11">
        <v>3</v>
      </c>
      <c r="F20" s="12"/>
      <c r="G20" s="15"/>
    </row>
    <row r="21" customFormat="1" ht="22" customHeight="1" spans="1:7">
      <c r="A21" s="9">
        <v>19</v>
      </c>
      <c r="B21" s="10">
        <v>46097</v>
      </c>
      <c r="C21" s="11" t="s">
        <v>39</v>
      </c>
      <c r="D21" s="11" t="s">
        <v>88</v>
      </c>
      <c r="E21" s="11"/>
      <c r="F21" s="11"/>
      <c r="G21" s="15" t="s">
        <v>92</v>
      </c>
    </row>
    <row r="22" customFormat="1" ht="22" customHeight="1" spans="1:7">
      <c r="A22" s="9">
        <v>20</v>
      </c>
      <c r="B22" s="10">
        <v>46097</v>
      </c>
      <c r="C22" s="11" t="s">
        <v>40</v>
      </c>
      <c r="D22" s="11" t="s">
        <v>88</v>
      </c>
      <c r="E22" s="11">
        <v>3</v>
      </c>
      <c r="F22" s="11"/>
      <c r="G22" s="15"/>
    </row>
    <row r="23" customFormat="1" ht="22" customHeight="1" spans="1:7">
      <c r="A23" s="9">
        <v>21</v>
      </c>
      <c r="B23" s="10">
        <v>46097</v>
      </c>
      <c r="C23" s="11" t="s">
        <v>41</v>
      </c>
      <c r="D23" s="11" t="s">
        <v>88</v>
      </c>
      <c r="E23" s="11">
        <v>3</v>
      </c>
      <c r="F23" s="11"/>
      <c r="G23" s="15"/>
    </row>
    <row r="24" customFormat="1" ht="22" customHeight="1" spans="1:7">
      <c r="A24" s="9">
        <v>22</v>
      </c>
      <c r="B24" s="10">
        <v>46097</v>
      </c>
      <c r="C24" s="11" t="s">
        <v>42</v>
      </c>
      <c r="D24" s="11" t="s">
        <v>88</v>
      </c>
      <c r="E24" s="11">
        <v>3</v>
      </c>
      <c r="F24" s="11"/>
      <c r="G24" s="15"/>
    </row>
    <row r="25" customFormat="1" ht="22" customHeight="1" spans="1:7">
      <c r="A25" s="9">
        <v>23</v>
      </c>
      <c r="B25" s="10">
        <v>46097</v>
      </c>
      <c r="C25" s="11" t="s">
        <v>43</v>
      </c>
      <c r="D25" s="11" t="s">
        <v>88</v>
      </c>
      <c r="E25" s="11"/>
      <c r="F25" s="11">
        <v>3</v>
      </c>
      <c r="G25" s="15"/>
    </row>
    <row r="26" customFormat="1" ht="22" customHeight="1" spans="1:7">
      <c r="A26" s="9">
        <v>24</v>
      </c>
      <c r="B26" s="10">
        <v>46097</v>
      </c>
      <c r="C26" s="11" t="s">
        <v>44</v>
      </c>
      <c r="D26" s="11" t="s">
        <v>88</v>
      </c>
      <c r="E26" s="11">
        <v>3</v>
      </c>
      <c r="F26" s="11"/>
      <c r="G26" s="15"/>
    </row>
    <row r="27" customFormat="1" ht="22" customHeight="1" spans="1:7">
      <c r="A27" s="9">
        <v>25</v>
      </c>
      <c r="B27" s="10">
        <v>46097</v>
      </c>
      <c r="C27" s="11" t="s">
        <v>45</v>
      </c>
      <c r="D27" s="11" t="s">
        <v>88</v>
      </c>
      <c r="E27" s="11"/>
      <c r="F27" s="11">
        <v>3</v>
      </c>
      <c r="G27" s="15"/>
    </row>
    <row r="28" customFormat="1" ht="22" customHeight="1" spans="1:7">
      <c r="A28" s="9">
        <v>26</v>
      </c>
      <c r="B28" s="10">
        <v>46097</v>
      </c>
      <c r="C28" s="11" t="s">
        <v>46</v>
      </c>
      <c r="D28" s="11" t="s">
        <v>88</v>
      </c>
      <c r="E28" s="11">
        <v>3</v>
      </c>
      <c r="F28" s="11"/>
      <c r="G28" s="15"/>
    </row>
    <row r="29" customFormat="1" ht="22" customHeight="1" spans="1:7">
      <c r="A29" s="9">
        <v>27</v>
      </c>
      <c r="B29" s="10">
        <v>46097</v>
      </c>
      <c r="C29" s="11" t="s">
        <v>48</v>
      </c>
      <c r="D29" s="11" t="s">
        <v>88</v>
      </c>
      <c r="E29" s="11">
        <v>2</v>
      </c>
      <c r="F29" s="11">
        <v>1</v>
      </c>
      <c r="G29" s="15"/>
    </row>
    <row r="30" customFormat="1" ht="22" customHeight="1" spans="1:7">
      <c r="A30" s="9">
        <v>28</v>
      </c>
      <c r="B30" s="10">
        <v>46097</v>
      </c>
      <c r="C30" s="11" t="s">
        <v>49</v>
      </c>
      <c r="D30" s="11" t="s">
        <v>88</v>
      </c>
      <c r="E30" s="11">
        <v>2</v>
      </c>
      <c r="F30" s="11">
        <v>1</v>
      </c>
      <c r="G30" s="15"/>
    </row>
    <row r="31" customFormat="1" ht="22" customHeight="1" spans="1:7">
      <c r="A31" s="9">
        <v>29</v>
      </c>
      <c r="B31" s="10">
        <v>46097</v>
      </c>
      <c r="C31" s="11" t="s">
        <v>50</v>
      </c>
      <c r="D31" s="11" t="s">
        <v>88</v>
      </c>
      <c r="E31" s="11">
        <v>2</v>
      </c>
      <c r="F31" s="11">
        <v>1</v>
      </c>
      <c r="G31" s="15"/>
    </row>
    <row r="32" customFormat="1" ht="22" customHeight="1" spans="1:7">
      <c r="A32" s="9">
        <v>30</v>
      </c>
      <c r="B32" s="10">
        <v>46097</v>
      </c>
      <c r="C32" s="11" t="s">
        <v>51</v>
      </c>
      <c r="D32" s="11" t="s">
        <v>88</v>
      </c>
      <c r="E32" s="11">
        <v>2</v>
      </c>
      <c r="F32" s="11">
        <v>1</v>
      </c>
      <c r="G32" s="15"/>
    </row>
    <row r="33" customFormat="1" ht="22" customHeight="1" spans="1:8">
      <c r="A33" s="9">
        <v>31</v>
      </c>
      <c r="B33" s="10">
        <v>46097</v>
      </c>
      <c r="C33" s="11" t="s">
        <v>78</v>
      </c>
      <c r="D33" s="11" t="s">
        <v>88</v>
      </c>
      <c r="E33" s="11"/>
      <c r="F33" s="11">
        <v>3</v>
      </c>
      <c r="G33" s="15"/>
      <c r="H33" t="s">
        <v>93</v>
      </c>
    </row>
    <row r="34" customFormat="1" ht="22" customHeight="1" spans="1:8">
      <c r="A34" s="9">
        <v>32</v>
      </c>
      <c r="B34" s="10">
        <v>46097</v>
      </c>
      <c r="C34" s="11" t="s">
        <v>53</v>
      </c>
      <c r="D34" s="11" t="s">
        <v>88</v>
      </c>
      <c r="E34" s="11">
        <v>3</v>
      </c>
      <c r="F34" s="11"/>
      <c r="G34" s="15"/>
    </row>
    <row r="35" customFormat="1" ht="22" customHeight="1" spans="1:8">
      <c r="A35" s="9">
        <v>33</v>
      </c>
      <c r="B35" s="10">
        <v>46097</v>
      </c>
      <c r="C35" s="11" t="s">
        <v>54</v>
      </c>
      <c r="D35" s="11" t="s">
        <v>88</v>
      </c>
      <c r="E35" s="11">
        <v>3</v>
      </c>
      <c r="F35" s="11"/>
      <c r="G35" s="15"/>
    </row>
    <row r="36" customFormat="1" ht="22" customHeight="1" spans="1:8">
      <c r="A36" s="9">
        <v>34</v>
      </c>
      <c r="B36" s="10">
        <v>46097</v>
      </c>
      <c r="C36" s="11" t="s">
        <v>55</v>
      </c>
      <c r="D36" s="11" t="s">
        <v>88</v>
      </c>
      <c r="E36" s="11"/>
      <c r="F36" s="11">
        <v>3</v>
      </c>
      <c r="G36" s="15"/>
    </row>
    <row r="37" customFormat="1" ht="22" customHeight="1" spans="1:8">
      <c r="A37" s="9">
        <v>35</v>
      </c>
      <c r="B37" s="10">
        <v>46097</v>
      </c>
      <c r="C37" s="11" t="s">
        <v>56</v>
      </c>
      <c r="D37" s="11" t="s">
        <v>88</v>
      </c>
      <c r="E37" s="11">
        <v>3</v>
      </c>
      <c r="F37" s="11"/>
      <c r="G37" s="15"/>
    </row>
    <row r="38" customFormat="1" ht="22" customHeight="1" spans="1:8">
      <c r="A38" s="9">
        <v>36</v>
      </c>
      <c r="B38" s="10">
        <v>46097</v>
      </c>
      <c r="C38" s="11" t="s">
        <v>57</v>
      </c>
      <c r="D38" s="11" t="s">
        <v>88</v>
      </c>
      <c r="E38" s="11"/>
      <c r="F38" s="11">
        <v>3</v>
      </c>
      <c r="G38" s="15"/>
    </row>
    <row r="39" customFormat="1" ht="22" customHeight="1" spans="1:8">
      <c r="A39" s="9">
        <v>37</v>
      </c>
      <c r="B39" s="10">
        <v>46097</v>
      </c>
      <c r="C39" s="11" t="s">
        <v>58</v>
      </c>
      <c r="D39" s="11" t="s">
        <v>88</v>
      </c>
      <c r="E39" s="11"/>
      <c r="F39" s="11">
        <v>3</v>
      </c>
      <c r="G39" s="15"/>
    </row>
    <row r="40" customFormat="1" ht="22" customHeight="1" spans="1:8">
      <c r="A40" s="9">
        <v>38</v>
      </c>
      <c r="B40" s="10">
        <v>46097</v>
      </c>
      <c r="C40" s="11" t="s">
        <v>59</v>
      </c>
      <c r="D40" s="11" t="s">
        <v>88</v>
      </c>
      <c r="E40" s="11">
        <v>3</v>
      </c>
      <c r="F40" s="11"/>
      <c r="G40" s="15"/>
    </row>
    <row r="41" customFormat="1" ht="22" customHeight="1" spans="1:8">
      <c r="A41" s="9">
        <v>39</v>
      </c>
      <c r="B41" s="10">
        <v>46097</v>
      </c>
      <c r="C41" s="11" t="s">
        <v>61</v>
      </c>
      <c r="D41" s="11" t="s">
        <v>88</v>
      </c>
      <c r="E41" s="11"/>
      <c r="F41" s="11">
        <v>3</v>
      </c>
      <c r="G41" s="15"/>
    </row>
    <row r="42" customFormat="1" ht="22" customHeight="1" spans="1:8">
      <c r="A42" s="9">
        <v>40</v>
      </c>
      <c r="B42" s="10">
        <v>46097</v>
      </c>
      <c r="C42" s="12" t="s">
        <v>64</v>
      </c>
      <c r="D42" s="11" t="s">
        <v>88</v>
      </c>
      <c r="E42" s="11">
        <v>3</v>
      </c>
      <c r="F42" s="11"/>
      <c r="G42" s="15"/>
      <c r="H42">
        <v>6</v>
      </c>
    </row>
    <row r="43" customFormat="1" ht="22" customHeight="1" spans="1:8">
      <c r="A43" s="9">
        <v>41</v>
      </c>
      <c r="B43" s="10">
        <v>46097</v>
      </c>
      <c r="C43" s="12" t="s">
        <v>66</v>
      </c>
      <c r="D43" s="11" t="s">
        <v>88</v>
      </c>
      <c r="E43" s="11"/>
      <c r="F43" s="11">
        <v>3</v>
      </c>
      <c r="G43" s="15"/>
      <c r="H43">
        <v>6</v>
      </c>
    </row>
    <row r="44" customFormat="1" ht="22" customHeight="1" spans="1:8">
      <c r="A44" s="9">
        <v>42</v>
      </c>
      <c r="B44" s="10">
        <v>46097</v>
      </c>
      <c r="C44" s="12" t="s">
        <v>48</v>
      </c>
      <c r="D44" s="11" t="s">
        <v>88</v>
      </c>
      <c r="E44" s="11">
        <v>3</v>
      </c>
      <c r="F44" s="11"/>
      <c r="G44" s="15"/>
      <c r="H44">
        <v>6</v>
      </c>
    </row>
    <row r="45" customFormat="1" ht="22" customHeight="1" spans="1:8">
      <c r="A45" s="9">
        <v>43</v>
      </c>
      <c r="B45" s="10">
        <v>46097</v>
      </c>
      <c r="C45" s="12" t="s">
        <v>48</v>
      </c>
      <c r="D45" s="15" t="s">
        <v>94</v>
      </c>
      <c r="E45" s="11">
        <v>3</v>
      </c>
      <c r="F45" s="11"/>
      <c r="G45" s="15"/>
    </row>
    <row r="46" customFormat="1" ht="22" customHeight="1" spans="1:8">
      <c r="A46" s="9">
        <v>44</v>
      </c>
      <c r="B46" s="10">
        <v>46097</v>
      </c>
      <c r="C46" s="12" t="s">
        <v>64</v>
      </c>
      <c r="D46" s="15" t="s">
        <v>94</v>
      </c>
      <c r="E46" s="11">
        <v>3</v>
      </c>
      <c r="F46" s="11"/>
      <c r="G46" s="15" t="s">
        <v>94</v>
      </c>
    </row>
    <row r="47" customFormat="1" ht="22" customHeight="1" spans="1:8">
      <c r="A47" s="9">
        <v>45</v>
      </c>
      <c r="B47" s="10">
        <v>46097</v>
      </c>
      <c r="C47" s="12" t="s">
        <v>66</v>
      </c>
      <c r="D47" s="15" t="s">
        <v>94</v>
      </c>
      <c r="E47" s="11"/>
      <c r="F47" s="11">
        <v>3</v>
      </c>
      <c r="G47" s="15" t="s">
        <v>94</v>
      </c>
    </row>
    <row r="48" customFormat="1" ht="22" customHeight="1" spans="1:8">
      <c r="A48" s="9"/>
      <c r="B48" s="10"/>
      <c r="C48" s="11"/>
      <c r="D48" s="11"/>
      <c r="E48" s="11"/>
      <c r="F48" s="11"/>
      <c r="G48" s="15"/>
    </row>
    <row r="49" ht="25" customHeight="1" spans="5:6">
      <c r="E49" s="23">
        <f>SUM(E3:E48)</f>
        <v>87</v>
      </c>
      <c r="F49" s="23">
        <f>SUM(F3:F48)</f>
        <v>45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"/>
  <sheetViews>
    <sheetView topLeftCell="A31" workbookViewId="0">
      <selection activeCell="E50" sqref="E50:F50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10">
      <c r="A1" s="3" t="s">
        <v>84</v>
      </c>
      <c r="B1" s="3"/>
      <c r="C1" s="3"/>
      <c r="D1" s="3"/>
      <c r="E1" s="3"/>
      <c r="F1" s="4"/>
      <c r="G1" s="5"/>
    </row>
    <row r="2" s="1" customFormat="1" ht="32" customHeight="1" spans="1:10">
      <c r="A2" s="6" t="s">
        <v>2</v>
      </c>
      <c r="B2" s="6" t="s">
        <v>75</v>
      </c>
      <c r="C2" s="6" t="s">
        <v>3</v>
      </c>
      <c r="D2" s="7" t="s">
        <v>85</v>
      </c>
      <c r="E2" s="8" t="s">
        <v>86</v>
      </c>
      <c r="F2" s="8" t="s">
        <v>87</v>
      </c>
      <c r="G2" s="8" t="s">
        <v>7</v>
      </c>
      <c r="I2"/>
      <c r="J2"/>
    </row>
    <row r="3" ht="22" customHeight="1" spans="1:10">
      <c r="A3" s="9">
        <v>1</v>
      </c>
      <c r="B3" s="10">
        <v>46100</v>
      </c>
      <c r="C3" s="11" t="s">
        <v>16</v>
      </c>
      <c r="D3" s="11" t="s">
        <v>91</v>
      </c>
      <c r="E3" s="11">
        <v>4</v>
      </c>
      <c r="F3" s="12"/>
      <c r="G3" s="13"/>
      <c r="I3">
        <f t="shared" ref="I3:I48" si="0">SUM(E3:F3)</f>
        <v>4</v>
      </c>
    </row>
    <row r="4" ht="22" customHeight="1" spans="1:10">
      <c r="A4" s="9">
        <v>2</v>
      </c>
      <c r="B4" s="10">
        <v>46100</v>
      </c>
      <c r="C4" s="11" t="s">
        <v>19</v>
      </c>
      <c r="D4" s="11" t="s">
        <v>91</v>
      </c>
      <c r="E4" s="11">
        <v>4</v>
      </c>
      <c r="F4" s="12"/>
      <c r="G4" s="14"/>
      <c r="I4">
        <f t="shared" si="0"/>
        <v>4</v>
      </c>
    </row>
    <row r="5" ht="22" customHeight="1" spans="1:10">
      <c r="A5" s="9">
        <v>3</v>
      </c>
      <c r="B5" s="10">
        <v>46100</v>
      </c>
      <c r="C5" s="11" t="s">
        <v>21</v>
      </c>
      <c r="D5" s="11" t="s">
        <v>91</v>
      </c>
      <c r="E5" s="12">
        <v>4</v>
      </c>
      <c r="F5" s="12"/>
      <c r="G5" s="14"/>
      <c r="I5">
        <f t="shared" si="0"/>
        <v>4</v>
      </c>
    </row>
    <row r="6" customFormat="1" ht="22" customHeight="1" spans="1:10">
      <c r="A6" s="9">
        <v>4</v>
      </c>
      <c r="B6" s="10">
        <v>46100</v>
      </c>
      <c r="C6" s="11" t="s">
        <v>32</v>
      </c>
      <c r="D6" s="11" t="s">
        <v>91</v>
      </c>
      <c r="E6" s="11">
        <v>4</v>
      </c>
      <c r="F6" s="12"/>
      <c r="G6" s="15"/>
      <c r="I6">
        <f t="shared" si="0"/>
        <v>4</v>
      </c>
    </row>
    <row r="7" ht="22" customHeight="1" spans="1:10">
      <c r="A7" s="9">
        <v>5</v>
      </c>
      <c r="B7" s="10">
        <v>46100</v>
      </c>
      <c r="C7" s="11" t="s">
        <v>22</v>
      </c>
      <c r="D7" s="11" t="s">
        <v>91</v>
      </c>
      <c r="E7" s="12"/>
      <c r="F7" s="11">
        <v>4</v>
      </c>
      <c r="G7" s="14"/>
      <c r="I7">
        <f t="shared" si="0"/>
        <v>4</v>
      </c>
    </row>
    <row r="8" ht="22" customHeight="1" spans="1:10">
      <c r="A8" s="9">
        <v>6</v>
      </c>
      <c r="B8" s="10">
        <v>46100</v>
      </c>
      <c r="C8" s="11" t="s">
        <v>24</v>
      </c>
      <c r="D8" s="11" t="s">
        <v>91</v>
      </c>
      <c r="E8" s="12"/>
      <c r="F8" s="11">
        <v>4</v>
      </c>
      <c r="G8" s="14"/>
      <c r="I8">
        <f t="shared" si="0"/>
        <v>4</v>
      </c>
    </row>
    <row r="9" ht="22" customHeight="1" spans="1:10">
      <c r="A9" s="9">
        <v>7</v>
      </c>
      <c r="B9" s="10">
        <v>46100</v>
      </c>
      <c r="C9" s="11" t="s">
        <v>25</v>
      </c>
      <c r="D9" s="11" t="s">
        <v>91</v>
      </c>
      <c r="E9" s="11"/>
      <c r="F9" s="11">
        <v>4</v>
      </c>
      <c r="G9" s="14" t="s">
        <v>95</v>
      </c>
      <c r="I9">
        <f t="shared" si="0"/>
        <v>4</v>
      </c>
    </row>
    <row r="10" ht="22" customHeight="1" spans="1:10">
      <c r="A10" s="9">
        <v>8</v>
      </c>
      <c r="B10" s="10">
        <v>46100</v>
      </c>
      <c r="C10" s="11" t="s">
        <v>28</v>
      </c>
      <c r="D10" s="11" t="s">
        <v>91</v>
      </c>
      <c r="E10" s="11">
        <v>4</v>
      </c>
      <c r="F10" s="12"/>
      <c r="G10" s="15"/>
      <c r="I10">
        <f t="shared" si="0"/>
        <v>4</v>
      </c>
    </row>
    <row r="11" customFormat="1" ht="22" customHeight="1" spans="1:10">
      <c r="A11" s="9">
        <v>9</v>
      </c>
      <c r="B11" s="10">
        <v>46100</v>
      </c>
      <c r="C11" s="11" t="s">
        <v>29</v>
      </c>
      <c r="D11" s="11" t="s">
        <v>91</v>
      </c>
      <c r="E11" s="11">
        <v>4</v>
      </c>
      <c r="F11" s="12"/>
      <c r="G11" s="15"/>
      <c r="I11">
        <f t="shared" si="0"/>
        <v>4</v>
      </c>
    </row>
    <row r="12" customFormat="1" ht="22" customHeight="1" spans="1:10">
      <c r="A12" s="9">
        <v>10</v>
      </c>
      <c r="B12" s="10">
        <v>46100</v>
      </c>
      <c r="C12" s="11" t="s">
        <v>30</v>
      </c>
      <c r="D12" s="11" t="s">
        <v>91</v>
      </c>
      <c r="E12" s="11">
        <v>4</v>
      </c>
      <c r="F12" s="12"/>
      <c r="G12" s="15"/>
      <c r="I12">
        <f t="shared" si="0"/>
        <v>4</v>
      </c>
    </row>
    <row r="13" customFormat="1" ht="22" customHeight="1" spans="1:10">
      <c r="A13" s="9">
        <v>11</v>
      </c>
      <c r="B13" s="10">
        <v>46100</v>
      </c>
      <c r="C13" s="11" t="s">
        <v>47</v>
      </c>
      <c r="D13" s="11" t="s">
        <v>91</v>
      </c>
      <c r="E13" s="11">
        <v>4</v>
      </c>
      <c r="F13" s="11"/>
      <c r="G13" s="15"/>
      <c r="I13">
        <f t="shared" si="0"/>
        <v>4</v>
      </c>
    </row>
    <row r="14" customFormat="1" ht="22" customHeight="1" spans="1:10">
      <c r="A14" s="9">
        <v>12</v>
      </c>
      <c r="B14" s="10">
        <v>46100</v>
      </c>
      <c r="C14" s="11" t="s">
        <v>31</v>
      </c>
      <c r="D14" s="11" t="s">
        <v>91</v>
      </c>
      <c r="E14" s="11">
        <v>4</v>
      </c>
      <c r="F14" s="12"/>
      <c r="G14" s="15"/>
      <c r="I14">
        <f t="shared" si="0"/>
        <v>4</v>
      </c>
    </row>
    <row r="15" customFormat="1" ht="22" customHeight="1" spans="1:10">
      <c r="A15" s="9">
        <v>13</v>
      </c>
      <c r="B15" s="10">
        <v>46100</v>
      </c>
      <c r="C15" s="11" t="s">
        <v>33</v>
      </c>
      <c r="D15" s="11" t="s">
        <v>91</v>
      </c>
      <c r="E15" s="11">
        <v>4</v>
      </c>
      <c r="F15" s="12"/>
      <c r="G15" s="15"/>
      <c r="I15">
        <f t="shared" si="0"/>
        <v>4</v>
      </c>
    </row>
    <row r="16" customFormat="1" ht="22" customHeight="1" spans="1:10">
      <c r="A16" s="9">
        <v>14</v>
      </c>
      <c r="B16" s="10">
        <v>46100</v>
      </c>
      <c r="C16" s="11" t="s">
        <v>34</v>
      </c>
      <c r="D16" s="11" t="s">
        <v>91</v>
      </c>
      <c r="E16" s="12"/>
      <c r="F16" s="11">
        <v>4</v>
      </c>
      <c r="G16" s="15"/>
      <c r="I16">
        <f t="shared" si="0"/>
        <v>4</v>
      </c>
    </row>
    <row r="17" customFormat="1" ht="22" customHeight="1" spans="1:9">
      <c r="A17" s="9">
        <v>15</v>
      </c>
      <c r="B17" s="10">
        <v>46100</v>
      </c>
      <c r="C17" s="11" t="s">
        <v>35</v>
      </c>
      <c r="D17" s="11" t="s">
        <v>91</v>
      </c>
      <c r="E17" s="11">
        <v>2</v>
      </c>
      <c r="F17" s="11">
        <v>2</v>
      </c>
      <c r="G17" s="15"/>
      <c r="I17">
        <f t="shared" si="0"/>
        <v>4</v>
      </c>
    </row>
    <row r="18" customFormat="1" ht="22" customHeight="1" spans="1:9">
      <c r="A18" s="9">
        <v>16</v>
      </c>
      <c r="B18" s="10">
        <v>46100</v>
      </c>
      <c r="C18" s="11" t="s">
        <v>37</v>
      </c>
      <c r="D18" s="11" t="s">
        <v>91</v>
      </c>
      <c r="E18" s="11">
        <v>4</v>
      </c>
      <c r="F18" s="12"/>
      <c r="G18" s="15"/>
      <c r="I18">
        <f t="shared" si="0"/>
        <v>4</v>
      </c>
    </row>
    <row r="19" customFormat="1" ht="22" customHeight="1" spans="1:9">
      <c r="A19" s="9">
        <v>17</v>
      </c>
      <c r="B19" s="10">
        <v>46100</v>
      </c>
      <c r="C19" s="11" t="s">
        <v>37</v>
      </c>
      <c r="D19" s="11" t="s">
        <v>91</v>
      </c>
      <c r="E19" s="12"/>
      <c r="F19" s="11">
        <v>4</v>
      </c>
      <c r="G19" s="15"/>
      <c r="I19">
        <f t="shared" si="0"/>
        <v>4</v>
      </c>
    </row>
    <row r="20" customFormat="1" ht="22" customHeight="1" spans="1:9">
      <c r="A20" s="9">
        <v>18</v>
      </c>
      <c r="B20" s="10">
        <v>46100</v>
      </c>
      <c r="C20" s="11" t="s">
        <v>38</v>
      </c>
      <c r="D20" s="11" t="s">
        <v>91</v>
      </c>
      <c r="E20" s="11">
        <v>4</v>
      </c>
      <c r="F20" s="12"/>
      <c r="G20" s="15"/>
      <c r="I20">
        <f t="shared" si="0"/>
        <v>4</v>
      </c>
    </row>
    <row r="21" customFormat="1" ht="22" customHeight="1" spans="1:9">
      <c r="A21" s="9">
        <v>19</v>
      </c>
      <c r="B21" s="10">
        <v>46100</v>
      </c>
      <c r="C21" s="11" t="s">
        <v>39</v>
      </c>
      <c r="D21" s="11" t="s">
        <v>91</v>
      </c>
      <c r="E21" s="11"/>
      <c r="F21" s="11"/>
      <c r="G21" s="15" t="s">
        <v>92</v>
      </c>
      <c r="I21">
        <f t="shared" si="0"/>
        <v>0</v>
      </c>
    </row>
    <row r="22" customFormat="1" ht="22" customHeight="1" spans="1:9">
      <c r="A22" s="9">
        <v>20</v>
      </c>
      <c r="B22" s="10">
        <v>46100</v>
      </c>
      <c r="C22" s="11" t="s">
        <v>40</v>
      </c>
      <c r="D22" s="11" t="s">
        <v>91</v>
      </c>
      <c r="E22" s="11">
        <v>4</v>
      </c>
      <c r="F22" s="11"/>
      <c r="G22" s="15"/>
      <c r="I22">
        <f t="shared" si="0"/>
        <v>4</v>
      </c>
    </row>
    <row r="23" customFormat="1" ht="22" customHeight="1" spans="1:9">
      <c r="A23" s="9">
        <v>21</v>
      </c>
      <c r="B23" s="10">
        <v>46100</v>
      </c>
      <c r="C23" s="11" t="s">
        <v>41</v>
      </c>
      <c r="D23" s="11" t="s">
        <v>91</v>
      </c>
      <c r="E23" s="11">
        <v>4</v>
      </c>
      <c r="F23" s="11"/>
      <c r="G23" s="15"/>
      <c r="I23">
        <f t="shared" si="0"/>
        <v>4</v>
      </c>
    </row>
    <row r="24" customFormat="1" ht="22" customHeight="1" spans="1:9">
      <c r="A24" s="9">
        <v>22</v>
      </c>
      <c r="B24" s="10">
        <v>46100</v>
      </c>
      <c r="C24" s="11" t="s">
        <v>42</v>
      </c>
      <c r="D24" s="11" t="s">
        <v>91</v>
      </c>
      <c r="E24" s="11">
        <v>4</v>
      </c>
      <c r="F24" s="11"/>
      <c r="G24" s="15"/>
      <c r="I24">
        <f t="shared" si="0"/>
        <v>4</v>
      </c>
    </row>
    <row r="25" customFormat="1" ht="22" customHeight="1" spans="1:9">
      <c r="A25" s="9">
        <v>23</v>
      </c>
      <c r="B25" s="10">
        <v>46100</v>
      </c>
      <c r="C25" s="11" t="s">
        <v>43</v>
      </c>
      <c r="D25" s="11" t="s">
        <v>91</v>
      </c>
      <c r="E25" s="11"/>
      <c r="F25" s="11">
        <v>4</v>
      </c>
      <c r="G25" s="15"/>
      <c r="I25">
        <f t="shared" si="0"/>
        <v>4</v>
      </c>
    </row>
    <row r="26" customFormat="1" ht="22" customHeight="1" spans="1:9">
      <c r="A26" s="9">
        <v>24</v>
      </c>
      <c r="B26" s="10">
        <v>46100</v>
      </c>
      <c r="C26" s="11" t="s">
        <v>44</v>
      </c>
      <c r="D26" s="11" t="s">
        <v>91</v>
      </c>
      <c r="E26" s="11">
        <v>4</v>
      </c>
      <c r="F26" s="11"/>
      <c r="G26" s="15"/>
      <c r="I26">
        <f t="shared" si="0"/>
        <v>4</v>
      </c>
    </row>
    <row r="27" customFormat="1" ht="22" customHeight="1" spans="1:9">
      <c r="A27" s="9">
        <v>25</v>
      </c>
      <c r="B27" s="10">
        <v>46100</v>
      </c>
      <c r="C27" s="11" t="s">
        <v>45</v>
      </c>
      <c r="D27" s="11" t="s">
        <v>91</v>
      </c>
      <c r="E27" s="11"/>
      <c r="F27" s="11">
        <v>4</v>
      </c>
      <c r="G27" s="15"/>
      <c r="I27">
        <f t="shared" si="0"/>
        <v>4</v>
      </c>
    </row>
    <row r="28" customFormat="1" ht="22" customHeight="1" spans="1:9">
      <c r="A28" s="9">
        <v>26</v>
      </c>
      <c r="B28" s="10">
        <v>46100</v>
      </c>
      <c r="C28" s="11" t="s">
        <v>46</v>
      </c>
      <c r="D28" s="11" t="s">
        <v>91</v>
      </c>
      <c r="E28" s="11">
        <v>4</v>
      </c>
      <c r="F28" s="11"/>
      <c r="G28" s="15"/>
      <c r="I28">
        <f t="shared" si="0"/>
        <v>4</v>
      </c>
    </row>
    <row r="29" customFormat="1" ht="22" customHeight="1" spans="1:9">
      <c r="A29" s="9">
        <v>27</v>
      </c>
      <c r="B29" s="10">
        <v>46100</v>
      </c>
      <c r="C29" s="11" t="s">
        <v>48</v>
      </c>
      <c r="D29" s="11" t="s">
        <v>91</v>
      </c>
      <c r="E29" s="11">
        <v>2</v>
      </c>
      <c r="F29" s="11">
        <v>2</v>
      </c>
      <c r="G29" s="15"/>
      <c r="I29">
        <f t="shared" si="0"/>
        <v>4</v>
      </c>
    </row>
    <row r="30" customFormat="1" ht="22" customHeight="1" spans="1:9">
      <c r="A30" s="9">
        <v>28</v>
      </c>
      <c r="B30" s="10">
        <v>46100</v>
      </c>
      <c r="C30" s="11" t="s">
        <v>49</v>
      </c>
      <c r="D30" s="11" t="s">
        <v>91</v>
      </c>
      <c r="E30" s="11">
        <v>2</v>
      </c>
      <c r="F30" s="11">
        <v>2</v>
      </c>
      <c r="G30" s="15"/>
      <c r="I30">
        <f t="shared" si="0"/>
        <v>4</v>
      </c>
    </row>
    <row r="31" customFormat="1" ht="22" customHeight="1" spans="1:9">
      <c r="A31" s="9">
        <v>29</v>
      </c>
      <c r="B31" s="10">
        <v>46100</v>
      </c>
      <c r="C31" s="11" t="s">
        <v>50</v>
      </c>
      <c r="D31" s="11" t="s">
        <v>91</v>
      </c>
      <c r="E31" s="11">
        <v>2</v>
      </c>
      <c r="F31" s="11">
        <v>2</v>
      </c>
      <c r="G31" s="15"/>
      <c r="I31">
        <f t="shared" si="0"/>
        <v>4</v>
      </c>
    </row>
    <row r="32" customFormat="1" ht="22" customHeight="1" spans="1:9">
      <c r="A32" s="9">
        <v>30</v>
      </c>
      <c r="B32" s="10">
        <v>46100</v>
      </c>
      <c r="C32" s="11" t="s">
        <v>51</v>
      </c>
      <c r="D32" s="11" t="s">
        <v>91</v>
      </c>
      <c r="E32" s="11">
        <v>2</v>
      </c>
      <c r="F32" s="11">
        <v>2</v>
      </c>
      <c r="G32" s="15"/>
      <c r="I32">
        <f t="shared" si="0"/>
        <v>4</v>
      </c>
    </row>
    <row r="33" customFormat="1" ht="22" customHeight="1" spans="1:9">
      <c r="A33" s="9">
        <v>31</v>
      </c>
      <c r="B33" s="10">
        <v>46100</v>
      </c>
      <c r="C33" s="11" t="s">
        <v>78</v>
      </c>
      <c r="D33" s="11" t="s">
        <v>91</v>
      </c>
      <c r="E33" s="11"/>
      <c r="F33" s="11">
        <v>4</v>
      </c>
      <c r="G33" s="15"/>
      <c r="H33" t="s">
        <v>93</v>
      </c>
      <c r="I33">
        <f t="shared" si="0"/>
        <v>4</v>
      </c>
    </row>
    <row r="34" customFormat="1" ht="22" customHeight="1" spans="1:9">
      <c r="A34" s="9">
        <v>32</v>
      </c>
      <c r="B34" s="10">
        <v>46100</v>
      </c>
      <c r="C34" s="11" t="s">
        <v>53</v>
      </c>
      <c r="D34" s="11" t="s">
        <v>91</v>
      </c>
      <c r="E34" s="11">
        <v>4</v>
      </c>
      <c r="F34" s="11"/>
      <c r="G34" s="15"/>
      <c r="I34">
        <f t="shared" si="0"/>
        <v>4</v>
      </c>
    </row>
    <row r="35" customFormat="1" ht="22" customHeight="1" spans="1:9">
      <c r="A35" s="9">
        <v>33</v>
      </c>
      <c r="B35" s="10">
        <v>46100</v>
      </c>
      <c r="C35" s="11" t="s">
        <v>54</v>
      </c>
      <c r="D35" s="11" t="s">
        <v>91</v>
      </c>
      <c r="E35" s="11">
        <v>4</v>
      </c>
      <c r="F35" s="11"/>
      <c r="G35" s="15"/>
      <c r="I35">
        <f t="shared" si="0"/>
        <v>4</v>
      </c>
    </row>
    <row r="36" customFormat="1" ht="22" customHeight="1" spans="1:9">
      <c r="A36" s="9">
        <v>34</v>
      </c>
      <c r="B36" s="10">
        <v>46100</v>
      </c>
      <c r="C36" s="11" t="s">
        <v>55</v>
      </c>
      <c r="D36" s="11" t="s">
        <v>91</v>
      </c>
      <c r="E36" s="11"/>
      <c r="F36" s="11">
        <v>4</v>
      </c>
      <c r="G36" s="15"/>
      <c r="I36">
        <f t="shared" si="0"/>
        <v>4</v>
      </c>
    </row>
    <row r="37" customFormat="1" ht="22" customHeight="1" spans="1:9">
      <c r="A37" s="9">
        <v>35</v>
      </c>
      <c r="B37" s="10">
        <v>46100</v>
      </c>
      <c r="C37" s="11" t="s">
        <v>56</v>
      </c>
      <c r="D37" s="11" t="s">
        <v>91</v>
      </c>
      <c r="E37" s="11">
        <v>4</v>
      </c>
      <c r="F37" s="11"/>
      <c r="G37" s="15"/>
      <c r="I37">
        <f t="shared" si="0"/>
        <v>4</v>
      </c>
    </row>
    <row r="38" customFormat="1" ht="22" customHeight="1" spans="1:9">
      <c r="A38" s="9">
        <v>36</v>
      </c>
      <c r="B38" s="10">
        <v>46100</v>
      </c>
      <c r="C38" s="11" t="s">
        <v>57</v>
      </c>
      <c r="D38" s="11" t="s">
        <v>91</v>
      </c>
      <c r="E38" s="11"/>
      <c r="F38" s="11">
        <v>4</v>
      </c>
      <c r="G38" s="15"/>
      <c r="I38">
        <f t="shared" si="0"/>
        <v>4</v>
      </c>
    </row>
    <row r="39" customFormat="1" ht="22" customHeight="1" spans="1:9">
      <c r="A39" s="9">
        <v>37</v>
      </c>
      <c r="B39" s="10">
        <v>46100</v>
      </c>
      <c r="C39" s="11" t="s">
        <v>58</v>
      </c>
      <c r="D39" s="11" t="s">
        <v>91</v>
      </c>
      <c r="E39" s="11"/>
      <c r="F39" s="11">
        <v>4</v>
      </c>
      <c r="G39" s="15"/>
      <c r="I39">
        <f t="shared" si="0"/>
        <v>4</v>
      </c>
    </row>
    <row r="40" customFormat="1" ht="22" customHeight="1" spans="1:9">
      <c r="A40" s="9">
        <v>38</v>
      </c>
      <c r="B40" s="10">
        <v>46100</v>
      </c>
      <c r="C40" s="11" t="s">
        <v>59</v>
      </c>
      <c r="D40" s="11" t="s">
        <v>91</v>
      </c>
      <c r="E40" s="11">
        <v>4</v>
      </c>
      <c r="F40" s="11"/>
      <c r="G40" s="15"/>
      <c r="I40">
        <f t="shared" si="0"/>
        <v>4</v>
      </c>
    </row>
    <row r="41" customFormat="1" ht="22" customHeight="1" spans="1:9">
      <c r="A41" s="9">
        <v>39</v>
      </c>
      <c r="B41" s="10">
        <v>46100</v>
      </c>
      <c r="C41" s="11" t="s">
        <v>61</v>
      </c>
      <c r="D41" s="11" t="s">
        <v>91</v>
      </c>
      <c r="E41" s="11"/>
      <c r="F41" s="11">
        <v>4</v>
      </c>
      <c r="G41" s="15"/>
      <c r="I41">
        <f t="shared" si="0"/>
        <v>4</v>
      </c>
    </row>
    <row r="42" customFormat="1" ht="22" customHeight="1" spans="1:9">
      <c r="A42" s="9">
        <v>40</v>
      </c>
      <c r="B42" s="10">
        <v>46100</v>
      </c>
      <c r="C42" s="12" t="s">
        <v>64</v>
      </c>
      <c r="D42" s="11" t="s">
        <v>91</v>
      </c>
      <c r="E42" s="11">
        <v>4</v>
      </c>
      <c r="F42" s="11"/>
      <c r="G42" s="15"/>
      <c r="I42">
        <f t="shared" si="0"/>
        <v>4</v>
      </c>
    </row>
    <row r="43" customFormat="1" ht="22" customHeight="1" spans="1:9">
      <c r="A43" s="9">
        <v>41</v>
      </c>
      <c r="B43" s="10">
        <v>46100</v>
      </c>
      <c r="C43" s="12" t="s">
        <v>66</v>
      </c>
      <c r="D43" s="11" t="s">
        <v>91</v>
      </c>
      <c r="E43" s="11"/>
      <c r="F43" s="11">
        <v>4</v>
      </c>
      <c r="G43" s="15"/>
      <c r="I43">
        <f t="shared" si="0"/>
        <v>4</v>
      </c>
    </row>
    <row r="44" customFormat="1" ht="22" customHeight="1" spans="1:9">
      <c r="A44" s="9">
        <v>42</v>
      </c>
      <c r="B44" s="10">
        <v>46100</v>
      </c>
      <c r="C44" s="12" t="s">
        <v>48</v>
      </c>
      <c r="D44" s="11" t="s">
        <v>91</v>
      </c>
      <c r="E44" s="11">
        <v>4</v>
      </c>
      <c r="F44" s="11"/>
      <c r="G44" s="15"/>
      <c r="I44">
        <f t="shared" si="0"/>
        <v>4</v>
      </c>
    </row>
    <row r="45" customFormat="1" ht="22" customHeight="1" spans="1:9">
      <c r="A45" s="9">
        <v>43</v>
      </c>
      <c r="B45" s="10">
        <v>46100</v>
      </c>
      <c r="C45" s="12" t="s">
        <v>64</v>
      </c>
      <c r="D45" s="15" t="s">
        <v>94</v>
      </c>
      <c r="E45" s="11">
        <v>4</v>
      </c>
      <c r="F45" s="11"/>
      <c r="G45" s="15" t="s">
        <v>94</v>
      </c>
      <c r="I45">
        <f t="shared" si="0"/>
        <v>4</v>
      </c>
    </row>
    <row r="46" customFormat="1" ht="22" customHeight="1" spans="1:9">
      <c r="A46" s="9">
        <v>44</v>
      </c>
      <c r="B46" s="10">
        <v>46100</v>
      </c>
      <c r="C46" s="12" t="s">
        <v>66</v>
      </c>
      <c r="D46" s="15" t="s">
        <v>94</v>
      </c>
      <c r="E46" s="11"/>
      <c r="F46" s="11">
        <v>4</v>
      </c>
      <c r="G46" s="15" t="s">
        <v>94</v>
      </c>
      <c r="I46">
        <f t="shared" si="0"/>
        <v>4</v>
      </c>
    </row>
    <row r="47" customFormat="1" ht="22" customHeight="1" spans="1:9">
      <c r="A47" s="9">
        <v>45</v>
      </c>
      <c r="B47" s="10">
        <v>46100</v>
      </c>
      <c r="C47" s="11" t="s">
        <v>59</v>
      </c>
      <c r="D47" s="15" t="s">
        <v>94</v>
      </c>
      <c r="E47" s="11">
        <v>3</v>
      </c>
      <c r="F47" s="11"/>
      <c r="G47" s="15" t="s">
        <v>94</v>
      </c>
      <c r="I47">
        <f t="shared" si="0"/>
        <v>3</v>
      </c>
    </row>
    <row r="48" customFormat="1" ht="22" customHeight="1" spans="1:9">
      <c r="A48" s="9">
        <v>46</v>
      </c>
      <c r="B48" s="10">
        <v>46100</v>
      </c>
      <c r="C48" s="11" t="s">
        <v>61</v>
      </c>
      <c r="D48" s="15" t="s">
        <v>94</v>
      </c>
      <c r="E48" s="11"/>
      <c r="F48" s="11">
        <v>3</v>
      </c>
      <c r="G48" s="15" t="s">
        <v>94</v>
      </c>
      <c r="I48">
        <f t="shared" si="0"/>
        <v>3</v>
      </c>
    </row>
    <row r="49" customFormat="1" ht="22" customHeight="1" spans="1:8">
      <c r="A49" s="9"/>
      <c r="B49" s="10"/>
      <c r="C49" s="11"/>
      <c r="D49" s="11"/>
      <c r="E49" s="11"/>
      <c r="F49" s="11"/>
      <c r="G49" s="15"/>
    </row>
    <row r="50" customFormat="1" ht="25" customHeight="1" spans="1:8">
      <c r="E50" s="23">
        <f>SUM(E3:E49)</f>
        <v>109</v>
      </c>
      <c r="F50" s="23">
        <f>SUM(F3:F49)</f>
        <v>69</v>
      </c>
    </row>
    <row r="52" customFormat="1" ht="22" customHeight="1" spans="1:8">
      <c r="A52" s="9"/>
      <c r="B52" s="10">
        <v>46100</v>
      </c>
      <c r="C52" s="12" t="s">
        <v>48</v>
      </c>
      <c r="D52" s="15" t="s">
        <v>94</v>
      </c>
      <c r="E52" s="11">
        <v>4</v>
      </c>
      <c r="F52" s="11"/>
      <c r="G52" s="15" t="s">
        <v>94</v>
      </c>
      <c r="H52" t="s">
        <v>96</v>
      </c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topLeftCell="A29" workbookViewId="0">
      <selection activeCell="E47" sqref="E47:F47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14">
      <c r="A1" s="3" t="s">
        <v>84</v>
      </c>
      <c r="B1" s="3"/>
      <c r="C1" s="3"/>
      <c r="D1" s="3"/>
      <c r="E1" s="3"/>
      <c r="F1" s="4"/>
      <c r="G1" s="5"/>
    </row>
    <row r="2" s="1" customFormat="1" ht="32" customHeight="1" spans="1:14">
      <c r="A2" s="6" t="s">
        <v>2</v>
      </c>
      <c r="B2" s="6" t="s">
        <v>75</v>
      </c>
      <c r="C2" s="6" t="s">
        <v>3</v>
      </c>
      <c r="D2" s="7" t="s">
        <v>85</v>
      </c>
      <c r="E2" s="8" t="s">
        <v>86</v>
      </c>
      <c r="F2" s="8" t="s">
        <v>87</v>
      </c>
      <c r="G2" s="8" t="s">
        <v>7</v>
      </c>
      <c r="I2"/>
      <c r="J2"/>
      <c r="K2"/>
      <c r="L2"/>
      <c r="M2"/>
      <c r="N2"/>
    </row>
    <row r="3" ht="22" customHeight="1" spans="1:14">
      <c r="A3" s="9">
        <v>1</v>
      </c>
      <c r="B3" s="10">
        <v>46104</v>
      </c>
      <c r="C3" s="11" t="s">
        <v>16</v>
      </c>
      <c r="D3" s="11" t="s">
        <v>88</v>
      </c>
      <c r="E3" s="11">
        <v>3</v>
      </c>
      <c r="F3" s="12"/>
      <c r="G3" s="13"/>
      <c r="H3">
        <f>SUM(E3:F3)</f>
        <v>3</v>
      </c>
    </row>
    <row r="4" ht="22" customHeight="1" spans="1:14">
      <c r="A4" s="9">
        <v>2</v>
      </c>
      <c r="B4" s="10">
        <v>46104</v>
      </c>
      <c r="C4" s="11" t="s">
        <v>19</v>
      </c>
      <c r="D4" s="11" t="s">
        <v>88</v>
      </c>
      <c r="E4" s="11">
        <v>3</v>
      </c>
      <c r="F4" s="12"/>
      <c r="G4" s="14"/>
      <c r="H4">
        <f t="shared" ref="H4:H32" si="0">SUM(E4:F4)</f>
        <v>3</v>
      </c>
    </row>
    <row r="5" ht="22" customHeight="1" spans="1:14">
      <c r="A5" s="9">
        <v>3</v>
      </c>
      <c r="B5" s="10">
        <v>46104</v>
      </c>
      <c r="C5" s="11" t="s">
        <v>21</v>
      </c>
      <c r="D5" s="11" t="s">
        <v>88</v>
      </c>
      <c r="E5" s="12">
        <v>3</v>
      </c>
      <c r="F5" s="12"/>
      <c r="G5" s="14"/>
      <c r="H5">
        <f t="shared" si="0"/>
        <v>3</v>
      </c>
    </row>
    <row r="6" customFormat="1" ht="22" customHeight="1" spans="1:14">
      <c r="A6" s="9">
        <v>4</v>
      </c>
      <c r="B6" s="10">
        <v>46104</v>
      </c>
      <c r="C6" s="11" t="s">
        <v>32</v>
      </c>
      <c r="D6" s="11" t="s">
        <v>88</v>
      </c>
      <c r="E6" s="11">
        <v>3</v>
      </c>
      <c r="F6" s="12"/>
      <c r="G6" s="15"/>
      <c r="H6">
        <f t="shared" si="0"/>
        <v>3</v>
      </c>
    </row>
    <row r="7" ht="22" customHeight="1" spans="1:14">
      <c r="A7" s="9">
        <v>5</v>
      </c>
      <c r="B7" s="10">
        <v>46104</v>
      </c>
      <c r="C7" s="11" t="s">
        <v>22</v>
      </c>
      <c r="D7" s="11" t="s">
        <v>88</v>
      </c>
      <c r="E7" s="12"/>
      <c r="F7" s="11">
        <v>3</v>
      </c>
      <c r="G7" s="14"/>
      <c r="H7">
        <f t="shared" si="0"/>
        <v>3</v>
      </c>
    </row>
    <row r="8" ht="22" customHeight="1" spans="1:14">
      <c r="A8" s="9">
        <v>6</v>
      </c>
      <c r="B8" s="10">
        <v>46104</v>
      </c>
      <c r="C8" s="11" t="s">
        <v>24</v>
      </c>
      <c r="D8" s="11" t="s">
        <v>88</v>
      </c>
      <c r="E8" s="12"/>
      <c r="F8" s="11">
        <v>3</v>
      </c>
      <c r="G8" s="14"/>
      <c r="H8">
        <f t="shared" si="0"/>
        <v>3</v>
      </c>
    </row>
    <row r="9" ht="22" customHeight="1" spans="1:14">
      <c r="A9" s="9">
        <v>7</v>
      </c>
      <c r="B9" s="10">
        <v>46104</v>
      </c>
      <c r="C9" s="11" t="s">
        <v>25</v>
      </c>
      <c r="D9" s="11" t="s">
        <v>88</v>
      </c>
      <c r="E9" s="11">
        <v>2</v>
      </c>
      <c r="F9" s="11">
        <v>1</v>
      </c>
      <c r="G9" s="14"/>
      <c r="H9">
        <f t="shared" si="0"/>
        <v>3</v>
      </c>
    </row>
    <row r="10" ht="22" customHeight="1" spans="1:14">
      <c r="A10" s="9">
        <v>8</v>
      </c>
      <c r="B10" s="10">
        <v>46104</v>
      </c>
      <c r="C10" s="11" t="s">
        <v>28</v>
      </c>
      <c r="D10" s="11" t="s">
        <v>88</v>
      </c>
      <c r="E10" s="11">
        <v>3</v>
      </c>
      <c r="F10" s="12"/>
      <c r="G10" s="15"/>
      <c r="H10">
        <f t="shared" si="0"/>
        <v>3</v>
      </c>
    </row>
    <row r="11" customFormat="1" ht="22" customHeight="1" spans="1:14">
      <c r="A11" s="9">
        <v>9</v>
      </c>
      <c r="B11" s="10">
        <v>46104</v>
      </c>
      <c r="C11" s="11" t="s">
        <v>29</v>
      </c>
      <c r="D11" s="11" t="s">
        <v>88</v>
      </c>
      <c r="E11" s="11">
        <v>3</v>
      </c>
      <c r="F11" s="12"/>
      <c r="G11" s="15"/>
      <c r="H11">
        <f t="shared" si="0"/>
        <v>3</v>
      </c>
    </row>
    <row r="12" customFormat="1" ht="22" customHeight="1" spans="1:14">
      <c r="A12" s="9">
        <v>10</v>
      </c>
      <c r="B12" s="10">
        <v>46104</v>
      </c>
      <c r="C12" s="11" t="s">
        <v>30</v>
      </c>
      <c r="D12" s="11" t="s">
        <v>88</v>
      </c>
      <c r="E12" s="11">
        <v>3</v>
      </c>
      <c r="F12" s="12"/>
      <c r="G12" s="15"/>
      <c r="H12">
        <f t="shared" si="0"/>
        <v>3</v>
      </c>
    </row>
    <row r="13" customFormat="1" ht="22" customHeight="1" spans="1:14">
      <c r="A13" s="9">
        <v>11</v>
      </c>
      <c r="B13" s="10">
        <v>46104</v>
      </c>
      <c r="C13" s="11" t="s">
        <v>47</v>
      </c>
      <c r="D13" s="11" t="s">
        <v>88</v>
      </c>
      <c r="E13" s="11">
        <v>3</v>
      </c>
      <c r="F13" s="11"/>
      <c r="G13" s="15"/>
      <c r="H13">
        <f t="shared" si="0"/>
        <v>3</v>
      </c>
    </row>
    <row r="14" customFormat="1" ht="22" customHeight="1" spans="1:14">
      <c r="A14" s="9">
        <v>12</v>
      </c>
      <c r="B14" s="10">
        <v>46104</v>
      </c>
      <c r="C14" s="11" t="s">
        <v>31</v>
      </c>
      <c r="D14" s="11" t="s">
        <v>88</v>
      </c>
      <c r="E14" s="11">
        <v>3</v>
      </c>
      <c r="F14" s="12"/>
      <c r="G14" s="15"/>
      <c r="H14">
        <f t="shared" si="0"/>
        <v>3</v>
      </c>
    </row>
    <row r="15" customFormat="1" ht="22" customHeight="1" spans="1:14">
      <c r="A15" s="9">
        <v>13</v>
      </c>
      <c r="B15" s="10">
        <v>46104</v>
      </c>
      <c r="C15" s="11" t="s">
        <v>33</v>
      </c>
      <c r="D15" s="11" t="s">
        <v>88</v>
      </c>
      <c r="E15" s="11">
        <v>3</v>
      </c>
      <c r="F15" s="12"/>
      <c r="G15" s="15"/>
      <c r="H15">
        <f t="shared" si="0"/>
        <v>3</v>
      </c>
    </row>
    <row r="16" customFormat="1" ht="22" customHeight="1" spans="1:14">
      <c r="A16" s="9">
        <v>14</v>
      </c>
      <c r="B16" s="10">
        <v>46104</v>
      </c>
      <c r="C16" s="11" t="s">
        <v>34</v>
      </c>
      <c r="D16" s="11" t="s">
        <v>88</v>
      </c>
      <c r="E16" s="12"/>
      <c r="F16" s="11">
        <v>3</v>
      </c>
      <c r="G16" s="15"/>
      <c r="H16">
        <f t="shared" si="0"/>
        <v>3</v>
      </c>
    </row>
    <row r="17" customFormat="1" ht="22" customHeight="1" spans="1:8">
      <c r="A17" s="9">
        <v>15</v>
      </c>
      <c r="B17" s="10">
        <v>46104</v>
      </c>
      <c r="C17" s="11" t="s">
        <v>35</v>
      </c>
      <c r="D17" s="11" t="s">
        <v>88</v>
      </c>
      <c r="E17" s="11">
        <v>2</v>
      </c>
      <c r="F17" s="11">
        <v>1</v>
      </c>
      <c r="G17" s="15"/>
      <c r="H17">
        <f t="shared" si="0"/>
        <v>3</v>
      </c>
    </row>
    <row r="18" customFormat="1" ht="22" customHeight="1" spans="1:8">
      <c r="A18" s="9">
        <v>16</v>
      </c>
      <c r="B18" s="10">
        <v>46104</v>
      </c>
      <c r="C18" s="11" t="s">
        <v>37</v>
      </c>
      <c r="D18" s="11" t="s">
        <v>88</v>
      </c>
      <c r="E18" s="11">
        <v>3</v>
      </c>
      <c r="F18" s="12"/>
      <c r="G18" s="15"/>
      <c r="H18">
        <f t="shared" si="0"/>
        <v>3</v>
      </c>
    </row>
    <row r="19" customFormat="1" ht="22" customHeight="1" spans="1:8">
      <c r="A19" s="9">
        <v>17</v>
      </c>
      <c r="B19" s="10">
        <v>46104</v>
      </c>
      <c r="C19" s="11" t="s">
        <v>37</v>
      </c>
      <c r="D19" s="11" t="s">
        <v>88</v>
      </c>
      <c r="E19" s="12"/>
      <c r="F19" s="11">
        <v>3</v>
      </c>
      <c r="G19" s="15"/>
      <c r="H19">
        <f t="shared" si="0"/>
        <v>3</v>
      </c>
    </row>
    <row r="20" customFormat="1" ht="22" customHeight="1" spans="1:8">
      <c r="A20" s="9">
        <v>18</v>
      </c>
      <c r="B20" s="10">
        <v>46104</v>
      </c>
      <c r="C20" s="11" t="s">
        <v>38</v>
      </c>
      <c r="D20" s="11" t="s">
        <v>88</v>
      </c>
      <c r="E20" s="11">
        <v>3</v>
      </c>
      <c r="F20" s="12"/>
      <c r="G20" s="15"/>
      <c r="H20">
        <f t="shared" si="0"/>
        <v>3</v>
      </c>
    </row>
    <row r="21" customFormat="1" ht="22" customHeight="1" spans="1:8">
      <c r="A21" s="9">
        <v>19</v>
      </c>
      <c r="B21" s="10">
        <v>46104</v>
      </c>
      <c r="C21" s="11" t="s">
        <v>39</v>
      </c>
      <c r="D21" s="11" t="s">
        <v>88</v>
      </c>
      <c r="E21" s="11"/>
      <c r="F21" s="11"/>
      <c r="G21" s="15" t="s">
        <v>92</v>
      </c>
      <c r="H21">
        <f t="shared" si="0"/>
        <v>0</v>
      </c>
    </row>
    <row r="22" customFormat="1" ht="22" customHeight="1" spans="1:8">
      <c r="A22" s="9">
        <v>20</v>
      </c>
      <c r="B22" s="10">
        <v>46104</v>
      </c>
      <c r="C22" s="11" t="s">
        <v>40</v>
      </c>
      <c r="D22" s="11" t="s">
        <v>88</v>
      </c>
      <c r="E22" s="11">
        <v>3</v>
      </c>
      <c r="F22" s="11"/>
      <c r="G22" s="15"/>
      <c r="H22">
        <f t="shared" si="0"/>
        <v>3</v>
      </c>
    </row>
    <row r="23" customFormat="1" ht="22" customHeight="1" spans="1:8">
      <c r="A23" s="9">
        <v>21</v>
      </c>
      <c r="B23" s="10">
        <v>46104</v>
      </c>
      <c r="C23" s="11" t="s">
        <v>41</v>
      </c>
      <c r="D23" s="11" t="s">
        <v>88</v>
      </c>
      <c r="E23" s="11">
        <v>3</v>
      </c>
      <c r="F23" s="11"/>
      <c r="G23" s="15"/>
      <c r="H23">
        <f t="shared" si="0"/>
        <v>3</v>
      </c>
    </row>
    <row r="24" customFormat="1" ht="22" customHeight="1" spans="1:8">
      <c r="A24" s="9">
        <v>22</v>
      </c>
      <c r="B24" s="10">
        <v>46104</v>
      </c>
      <c r="C24" s="11" t="s">
        <v>42</v>
      </c>
      <c r="D24" s="11" t="s">
        <v>88</v>
      </c>
      <c r="E24" s="11">
        <v>3</v>
      </c>
      <c r="F24" s="11"/>
      <c r="G24" s="15"/>
      <c r="H24">
        <f t="shared" si="0"/>
        <v>3</v>
      </c>
    </row>
    <row r="25" customFormat="1" ht="22" customHeight="1" spans="1:8">
      <c r="A25" s="9">
        <v>23</v>
      </c>
      <c r="B25" s="10">
        <v>46104</v>
      </c>
      <c r="C25" s="11" t="s">
        <v>43</v>
      </c>
      <c r="D25" s="11" t="s">
        <v>88</v>
      </c>
      <c r="E25" s="11"/>
      <c r="F25" s="11">
        <v>3</v>
      </c>
      <c r="G25" s="15"/>
      <c r="H25">
        <f t="shared" si="0"/>
        <v>3</v>
      </c>
    </row>
    <row r="26" customFormat="1" ht="22" customHeight="1" spans="1:8">
      <c r="A26" s="9">
        <v>24</v>
      </c>
      <c r="B26" s="10">
        <v>46104</v>
      </c>
      <c r="C26" s="11" t="s">
        <v>44</v>
      </c>
      <c r="D26" s="11" t="s">
        <v>88</v>
      </c>
      <c r="E26" s="11">
        <v>3</v>
      </c>
      <c r="F26" s="11"/>
      <c r="G26" s="15"/>
      <c r="H26">
        <f t="shared" si="0"/>
        <v>3</v>
      </c>
    </row>
    <row r="27" customFormat="1" ht="22" customHeight="1" spans="1:8">
      <c r="A27" s="9">
        <v>25</v>
      </c>
      <c r="B27" s="10">
        <v>46104</v>
      </c>
      <c r="C27" s="11" t="s">
        <v>45</v>
      </c>
      <c r="D27" s="11" t="s">
        <v>88</v>
      </c>
      <c r="E27" s="11"/>
      <c r="F27" s="11">
        <v>3</v>
      </c>
      <c r="G27" s="15"/>
      <c r="H27">
        <f t="shared" si="0"/>
        <v>3</v>
      </c>
    </row>
    <row r="28" customFormat="1" ht="22" customHeight="1" spans="1:8">
      <c r="A28" s="9">
        <v>26</v>
      </c>
      <c r="B28" s="10">
        <v>46104</v>
      </c>
      <c r="C28" s="11" t="s">
        <v>46</v>
      </c>
      <c r="D28" s="11" t="s">
        <v>88</v>
      </c>
      <c r="E28" s="11">
        <v>3</v>
      </c>
      <c r="F28" s="11"/>
      <c r="G28" s="15"/>
      <c r="H28">
        <f t="shared" si="0"/>
        <v>3</v>
      </c>
    </row>
    <row r="29" customFormat="1" ht="22" customHeight="1" spans="1:8">
      <c r="A29" s="9">
        <v>27</v>
      </c>
      <c r="B29" s="10">
        <v>46104</v>
      </c>
      <c r="C29" s="11" t="s">
        <v>48</v>
      </c>
      <c r="D29" s="11" t="s">
        <v>88</v>
      </c>
      <c r="E29" s="11">
        <v>2</v>
      </c>
      <c r="F29" s="11">
        <v>1</v>
      </c>
      <c r="G29" s="15"/>
      <c r="H29">
        <f t="shared" si="0"/>
        <v>3</v>
      </c>
    </row>
    <row r="30" customFormat="1" ht="22" customHeight="1" spans="1:8">
      <c r="A30" s="9">
        <v>28</v>
      </c>
      <c r="B30" s="10">
        <v>46104</v>
      </c>
      <c r="C30" s="11" t="s">
        <v>49</v>
      </c>
      <c r="D30" s="11" t="s">
        <v>88</v>
      </c>
      <c r="E30" s="11">
        <v>2</v>
      </c>
      <c r="F30" s="11">
        <v>1</v>
      </c>
      <c r="G30" s="15"/>
      <c r="H30">
        <f t="shared" si="0"/>
        <v>3</v>
      </c>
    </row>
    <row r="31" customFormat="1" ht="22" customHeight="1" spans="1:8">
      <c r="A31" s="9">
        <v>29</v>
      </c>
      <c r="B31" s="10">
        <v>46104</v>
      </c>
      <c r="C31" s="11" t="s">
        <v>50</v>
      </c>
      <c r="D31" s="11" t="s">
        <v>88</v>
      </c>
      <c r="E31" s="11">
        <v>2</v>
      </c>
      <c r="F31" s="11">
        <v>1</v>
      </c>
      <c r="G31" s="15"/>
      <c r="H31">
        <f t="shared" si="0"/>
        <v>3</v>
      </c>
    </row>
    <row r="32" customFormat="1" ht="22" customHeight="1" spans="1:8">
      <c r="A32" s="9">
        <v>30</v>
      </c>
      <c r="B32" s="10">
        <v>46104</v>
      </c>
      <c r="C32" s="11" t="s">
        <v>51</v>
      </c>
      <c r="D32" s="11" t="s">
        <v>88</v>
      </c>
      <c r="E32" s="11">
        <v>2</v>
      </c>
      <c r="F32" s="11">
        <v>1</v>
      </c>
      <c r="G32" s="15"/>
      <c r="H32">
        <f t="shared" si="0"/>
        <v>3</v>
      </c>
    </row>
    <row r="33" customFormat="1" ht="22" customHeight="1" spans="1:9">
      <c r="A33" s="9">
        <v>31</v>
      </c>
      <c r="B33" s="10">
        <v>46104</v>
      </c>
      <c r="C33" s="11" t="s">
        <v>78</v>
      </c>
      <c r="D33" s="11" t="s">
        <v>88</v>
      </c>
      <c r="E33" s="11"/>
      <c r="F33" s="11">
        <v>3</v>
      </c>
      <c r="G33" s="15"/>
      <c r="H33">
        <f t="shared" ref="H33:H45" si="1">SUM(E33:F33)</f>
        <v>3</v>
      </c>
      <c r="I33" t="s">
        <v>93</v>
      </c>
    </row>
    <row r="34" customFormat="1" ht="22" customHeight="1" spans="1:9">
      <c r="A34" s="9">
        <v>32</v>
      </c>
      <c r="B34" s="10">
        <v>46104</v>
      </c>
      <c r="C34" s="11" t="s">
        <v>53</v>
      </c>
      <c r="D34" s="11" t="s">
        <v>88</v>
      </c>
      <c r="E34" s="11">
        <v>3</v>
      </c>
      <c r="F34" s="11"/>
      <c r="G34" s="15"/>
      <c r="H34">
        <f t="shared" si="1"/>
        <v>3</v>
      </c>
    </row>
    <row r="35" customFormat="1" ht="22" customHeight="1" spans="1:9">
      <c r="A35" s="9">
        <v>33</v>
      </c>
      <c r="B35" s="10">
        <v>46104</v>
      </c>
      <c r="C35" s="11" t="s">
        <v>54</v>
      </c>
      <c r="D35" s="11" t="s">
        <v>88</v>
      </c>
      <c r="E35" s="11">
        <v>3</v>
      </c>
      <c r="F35" s="11"/>
      <c r="G35" s="15"/>
      <c r="H35">
        <f t="shared" si="1"/>
        <v>3</v>
      </c>
    </row>
    <row r="36" customFormat="1" ht="22" customHeight="1" spans="1:9">
      <c r="A36" s="9">
        <v>34</v>
      </c>
      <c r="B36" s="10">
        <v>46104</v>
      </c>
      <c r="C36" s="11" t="s">
        <v>55</v>
      </c>
      <c r="D36" s="11" t="s">
        <v>88</v>
      </c>
      <c r="E36" s="11"/>
      <c r="F36" s="11">
        <v>3</v>
      </c>
      <c r="G36" s="15"/>
      <c r="H36">
        <f t="shared" si="1"/>
        <v>3</v>
      </c>
    </row>
    <row r="37" customFormat="1" ht="22" customHeight="1" spans="1:9">
      <c r="A37" s="9">
        <v>35</v>
      </c>
      <c r="B37" s="10">
        <v>46104</v>
      </c>
      <c r="C37" s="11" t="s">
        <v>56</v>
      </c>
      <c r="D37" s="11" t="s">
        <v>88</v>
      </c>
      <c r="E37" s="11">
        <v>3</v>
      </c>
      <c r="F37" s="11"/>
      <c r="G37" s="15"/>
      <c r="H37">
        <f t="shared" si="1"/>
        <v>3</v>
      </c>
    </row>
    <row r="38" customFormat="1" ht="22" customHeight="1" spans="1:9">
      <c r="A38" s="9">
        <v>36</v>
      </c>
      <c r="B38" s="10">
        <v>46104</v>
      </c>
      <c r="C38" s="11" t="s">
        <v>57</v>
      </c>
      <c r="D38" s="11" t="s">
        <v>88</v>
      </c>
      <c r="E38" s="11"/>
      <c r="F38" s="11">
        <v>3</v>
      </c>
      <c r="G38" s="15"/>
      <c r="H38">
        <f t="shared" si="1"/>
        <v>3</v>
      </c>
    </row>
    <row r="39" customFormat="1" ht="22" customHeight="1" spans="1:9">
      <c r="A39" s="9">
        <v>37</v>
      </c>
      <c r="B39" s="10">
        <v>46104</v>
      </c>
      <c r="C39" s="11" t="s">
        <v>58</v>
      </c>
      <c r="D39" s="11" t="s">
        <v>88</v>
      </c>
      <c r="E39" s="11"/>
      <c r="F39" s="11">
        <v>3</v>
      </c>
      <c r="G39" s="15"/>
      <c r="H39">
        <f t="shared" si="1"/>
        <v>3</v>
      </c>
    </row>
    <row r="40" customFormat="1" ht="22" customHeight="1" spans="1:9">
      <c r="A40" s="9">
        <v>38</v>
      </c>
      <c r="B40" s="10">
        <v>46104</v>
      </c>
      <c r="C40" s="11" t="s">
        <v>59</v>
      </c>
      <c r="D40" s="11" t="s">
        <v>88</v>
      </c>
      <c r="E40" s="11">
        <v>3</v>
      </c>
      <c r="F40" s="11"/>
      <c r="G40" s="15"/>
      <c r="H40">
        <f t="shared" si="1"/>
        <v>3</v>
      </c>
    </row>
    <row r="41" customFormat="1" ht="22" customHeight="1" spans="1:9">
      <c r="A41" s="9">
        <v>39</v>
      </c>
      <c r="B41" s="10">
        <v>46104</v>
      </c>
      <c r="C41" s="11" t="s">
        <v>61</v>
      </c>
      <c r="D41" s="11" t="s">
        <v>88</v>
      </c>
      <c r="E41" s="11"/>
      <c r="F41" s="11">
        <v>3</v>
      </c>
      <c r="G41" s="15"/>
      <c r="H41">
        <f t="shared" si="1"/>
        <v>3</v>
      </c>
    </row>
    <row r="42" customFormat="1" ht="22" customHeight="1" spans="1:9">
      <c r="A42" s="9">
        <v>40</v>
      </c>
      <c r="B42" s="10">
        <v>46104</v>
      </c>
      <c r="C42" s="12" t="s">
        <v>64</v>
      </c>
      <c r="D42" s="11" t="s">
        <v>88</v>
      </c>
      <c r="E42" s="11">
        <v>3</v>
      </c>
      <c r="F42" s="11"/>
      <c r="G42" s="15"/>
      <c r="H42">
        <f t="shared" si="1"/>
        <v>3</v>
      </c>
    </row>
    <row r="43" customFormat="1" ht="22" customHeight="1" spans="1:9">
      <c r="A43" s="9">
        <v>41</v>
      </c>
      <c r="B43" s="10">
        <v>46104</v>
      </c>
      <c r="C43" s="12" t="s">
        <v>66</v>
      </c>
      <c r="D43" s="11" t="s">
        <v>88</v>
      </c>
      <c r="E43" s="11"/>
      <c r="F43" s="11">
        <v>3</v>
      </c>
      <c r="G43" s="15"/>
      <c r="H43">
        <f t="shared" si="1"/>
        <v>3</v>
      </c>
    </row>
    <row r="44" customFormat="1" ht="22" customHeight="1" spans="1:9">
      <c r="A44" s="9">
        <v>42</v>
      </c>
      <c r="B44" s="10">
        <v>46104</v>
      </c>
      <c r="C44" s="12" t="s">
        <v>48</v>
      </c>
      <c r="D44" s="11" t="s">
        <v>88</v>
      </c>
      <c r="E44" s="11">
        <v>3</v>
      </c>
      <c r="F44" s="11"/>
      <c r="G44" s="15"/>
      <c r="H44">
        <f t="shared" si="1"/>
        <v>3</v>
      </c>
    </row>
    <row r="45" customFormat="1" ht="22" customHeight="1" spans="1:9">
      <c r="A45" s="9">
        <v>43</v>
      </c>
      <c r="B45" s="10">
        <v>46104</v>
      </c>
      <c r="C45" s="12" t="s">
        <v>48</v>
      </c>
      <c r="D45" s="15" t="s">
        <v>94</v>
      </c>
      <c r="E45" s="11">
        <v>4</v>
      </c>
      <c r="F45" s="11"/>
      <c r="G45" s="15"/>
      <c r="H45">
        <f t="shared" si="1"/>
        <v>4</v>
      </c>
    </row>
    <row r="46" customFormat="1" ht="22" customHeight="1" spans="1:9">
      <c r="A46" s="9"/>
      <c r="B46" s="10"/>
      <c r="C46" s="11"/>
      <c r="D46" s="11"/>
      <c r="E46" s="11"/>
      <c r="F46" s="11"/>
      <c r="G46" s="15"/>
    </row>
    <row r="47" customFormat="1" ht="25" customHeight="1" spans="1:9">
      <c r="E47" s="23">
        <f>SUM(E3:E46)</f>
        <v>85</v>
      </c>
      <c r="F47" s="23">
        <f>SUM(F3:F46)</f>
        <v>42</v>
      </c>
    </row>
    <row r="49" s="2" customFormat="1" ht="22" customHeight="1" spans="1:8">
      <c r="A49" s="28">
        <v>19</v>
      </c>
      <c r="B49" s="29">
        <v>46097</v>
      </c>
      <c r="C49" s="30" t="s">
        <v>39</v>
      </c>
      <c r="D49" s="30"/>
      <c r="E49" s="30">
        <v>2</v>
      </c>
      <c r="F49" s="30">
        <v>2</v>
      </c>
      <c r="G49" s="31" t="s">
        <v>97</v>
      </c>
      <c r="H49">
        <f>SUM(E49:F49)</f>
        <v>4</v>
      </c>
    </row>
    <row r="50" customFormat="1" ht="22" customHeight="1" spans="1:8">
      <c r="A50" s="9"/>
      <c r="B50" s="10"/>
      <c r="C50" s="24" t="s">
        <v>98</v>
      </c>
      <c r="D50" s="24" t="s">
        <v>99</v>
      </c>
      <c r="E50" s="11"/>
      <c r="F50" s="11"/>
      <c r="G50" s="15"/>
      <c r="H50">
        <f>SUM(E50:F50)</f>
        <v>0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topLeftCell="A27" workbookViewId="0">
      <selection activeCell="E50" sqref="E50:F50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9.2857142857143" customWidth="1"/>
    <col min="4" max="6" width="12.1428571428571" customWidth="1"/>
    <col min="7" max="7" width="25.2857142857143" customWidth="1"/>
  </cols>
  <sheetData>
    <row r="1" ht="38" customHeight="1" spans="1:14">
      <c r="A1" s="3" t="s">
        <v>84</v>
      </c>
      <c r="B1" s="3"/>
      <c r="C1" s="3"/>
      <c r="D1" s="3"/>
      <c r="E1" s="3"/>
      <c r="F1" s="4"/>
      <c r="G1" s="5"/>
    </row>
    <row r="2" s="1" customFormat="1" ht="32" customHeight="1" spans="1:14">
      <c r="A2" s="6" t="s">
        <v>2</v>
      </c>
      <c r="B2" s="6" t="s">
        <v>75</v>
      </c>
      <c r="C2" s="6" t="s">
        <v>3</v>
      </c>
      <c r="D2" s="7" t="s">
        <v>85</v>
      </c>
      <c r="E2" s="8" t="s">
        <v>86</v>
      </c>
      <c r="F2" s="8" t="s">
        <v>87</v>
      </c>
      <c r="G2" s="8" t="s">
        <v>7</v>
      </c>
      <c r="I2"/>
      <c r="J2"/>
      <c r="K2"/>
      <c r="L2"/>
      <c r="M2"/>
      <c r="N2"/>
    </row>
    <row r="3" ht="22" customHeight="1" spans="1:14">
      <c r="A3" s="9">
        <v>1</v>
      </c>
      <c r="B3" s="10">
        <v>46107</v>
      </c>
      <c r="C3" s="11" t="s">
        <v>16</v>
      </c>
      <c r="D3" s="11" t="s">
        <v>91</v>
      </c>
      <c r="E3" s="11">
        <v>4</v>
      </c>
      <c r="F3" s="12"/>
      <c r="G3" s="13"/>
      <c r="H3">
        <f t="shared" ref="H3:H21" si="0">SUM(E3:F3)</f>
        <v>4</v>
      </c>
    </row>
    <row r="4" ht="22" customHeight="1" spans="1:14">
      <c r="A4" s="9">
        <v>2</v>
      </c>
      <c r="B4" s="10">
        <v>46107</v>
      </c>
      <c r="C4" s="11" t="s">
        <v>19</v>
      </c>
      <c r="D4" s="11" t="s">
        <v>91</v>
      </c>
      <c r="E4" s="11">
        <v>4</v>
      </c>
      <c r="F4" s="12"/>
      <c r="G4" s="14"/>
      <c r="H4">
        <f t="shared" si="0"/>
        <v>4</v>
      </c>
    </row>
    <row r="5" ht="22" customHeight="1" spans="1:14">
      <c r="A5" s="9">
        <v>3</v>
      </c>
      <c r="B5" s="10">
        <v>46107</v>
      </c>
      <c r="C5" s="11" t="s">
        <v>21</v>
      </c>
      <c r="D5" s="11" t="s">
        <v>91</v>
      </c>
      <c r="E5" s="11">
        <v>4</v>
      </c>
      <c r="F5" s="12"/>
      <c r="G5" s="14"/>
      <c r="H5">
        <f t="shared" si="0"/>
        <v>4</v>
      </c>
    </row>
    <row r="6" customFormat="1" ht="22" customHeight="1" spans="1:14">
      <c r="A6" s="9">
        <v>4</v>
      </c>
      <c r="B6" s="10">
        <v>46107</v>
      </c>
      <c r="C6" s="11" t="s">
        <v>32</v>
      </c>
      <c r="D6" s="11" t="s">
        <v>91</v>
      </c>
      <c r="E6" s="11">
        <v>4</v>
      </c>
      <c r="F6" s="12"/>
      <c r="G6" s="15"/>
      <c r="H6">
        <f t="shared" si="0"/>
        <v>4</v>
      </c>
    </row>
    <row r="7" ht="22" customHeight="1" spans="1:14">
      <c r="A7" s="9">
        <v>5</v>
      </c>
      <c r="B7" s="10">
        <v>46107</v>
      </c>
      <c r="C7" s="11" t="s">
        <v>22</v>
      </c>
      <c r="D7" s="11" t="s">
        <v>91</v>
      </c>
      <c r="E7" s="12"/>
      <c r="F7" s="11">
        <v>4</v>
      </c>
      <c r="G7" s="14"/>
      <c r="H7">
        <f t="shared" si="0"/>
        <v>4</v>
      </c>
    </row>
    <row r="8" ht="22" customHeight="1" spans="1:14">
      <c r="A8" s="9">
        <v>6</v>
      </c>
      <c r="B8" s="10">
        <v>46107</v>
      </c>
      <c r="C8" s="11" t="s">
        <v>24</v>
      </c>
      <c r="D8" s="11" t="s">
        <v>91</v>
      </c>
      <c r="E8" s="12"/>
      <c r="F8" s="11">
        <v>4</v>
      </c>
      <c r="G8" s="14"/>
      <c r="H8">
        <f t="shared" si="0"/>
        <v>4</v>
      </c>
    </row>
    <row r="9" ht="22" customHeight="1" spans="1:14">
      <c r="A9" s="9">
        <v>7</v>
      </c>
      <c r="B9" s="10">
        <v>46107</v>
      </c>
      <c r="C9" s="11" t="s">
        <v>25</v>
      </c>
      <c r="D9" s="11" t="s">
        <v>91</v>
      </c>
      <c r="E9" s="11"/>
      <c r="F9" s="11">
        <v>4</v>
      </c>
      <c r="G9" s="14" t="s">
        <v>100</v>
      </c>
      <c r="H9">
        <f t="shared" si="0"/>
        <v>4</v>
      </c>
    </row>
    <row r="10" ht="22" customHeight="1" spans="1:14">
      <c r="A10" s="9">
        <v>8</v>
      </c>
      <c r="B10" s="10">
        <v>46107</v>
      </c>
      <c r="C10" s="11" t="s">
        <v>28</v>
      </c>
      <c r="D10" s="11" t="s">
        <v>91</v>
      </c>
      <c r="E10" s="11">
        <v>4</v>
      </c>
      <c r="F10" s="12"/>
      <c r="G10" s="15"/>
      <c r="H10">
        <f t="shared" si="0"/>
        <v>4</v>
      </c>
    </row>
    <row r="11" customFormat="1" ht="22" customHeight="1" spans="1:14">
      <c r="A11" s="9">
        <v>9</v>
      </c>
      <c r="B11" s="10">
        <v>46107</v>
      </c>
      <c r="C11" s="11" t="s">
        <v>29</v>
      </c>
      <c r="D11" s="11" t="s">
        <v>91</v>
      </c>
      <c r="E11" s="11">
        <v>4</v>
      </c>
      <c r="F11" s="12"/>
      <c r="G11" s="15"/>
      <c r="H11">
        <f t="shared" si="0"/>
        <v>4</v>
      </c>
    </row>
    <row r="12" customFormat="1" ht="22" customHeight="1" spans="1:14">
      <c r="A12" s="9">
        <v>10</v>
      </c>
      <c r="B12" s="10">
        <v>46107</v>
      </c>
      <c r="C12" s="11" t="s">
        <v>30</v>
      </c>
      <c r="D12" s="11" t="s">
        <v>91</v>
      </c>
      <c r="E12" s="11">
        <v>4</v>
      </c>
      <c r="F12" s="12"/>
      <c r="G12" s="15"/>
      <c r="H12">
        <f t="shared" si="0"/>
        <v>4</v>
      </c>
    </row>
    <row r="13" customFormat="1" ht="22" customHeight="1" spans="1:14">
      <c r="A13" s="9">
        <v>11</v>
      </c>
      <c r="B13" s="10">
        <v>46107</v>
      </c>
      <c r="C13" s="11" t="s">
        <v>47</v>
      </c>
      <c r="D13" s="11" t="s">
        <v>91</v>
      </c>
      <c r="E13" s="11">
        <v>4</v>
      </c>
      <c r="F13" s="11"/>
      <c r="G13" s="15"/>
      <c r="H13">
        <f t="shared" si="0"/>
        <v>4</v>
      </c>
    </row>
    <row r="14" customFormat="1" ht="22" customHeight="1" spans="1:14">
      <c r="A14" s="9">
        <v>12</v>
      </c>
      <c r="B14" s="10">
        <v>46107</v>
      </c>
      <c r="C14" s="11" t="s">
        <v>31</v>
      </c>
      <c r="D14" s="11" t="s">
        <v>91</v>
      </c>
      <c r="E14" s="11">
        <v>4</v>
      </c>
      <c r="F14" s="12"/>
      <c r="G14" s="15"/>
      <c r="H14">
        <f t="shared" si="0"/>
        <v>4</v>
      </c>
    </row>
    <row r="15" customFormat="1" ht="22" customHeight="1" spans="1:14">
      <c r="A15" s="9">
        <v>13</v>
      </c>
      <c r="B15" s="10">
        <v>46107</v>
      </c>
      <c r="C15" s="11" t="s">
        <v>33</v>
      </c>
      <c r="D15" s="11" t="s">
        <v>91</v>
      </c>
      <c r="E15" s="11">
        <v>4</v>
      </c>
      <c r="F15" s="12"/>
      <c r="G15" s="15"/>
      <c r="H15">
        <f t="shared" si="0"/>
        <v>4</v>
      </c>
    </row>
    <row r="16" customFormat="1" ht="22" customHeight="1" spans="1:14">
      <c r="A16" s="9">
        <v>14</v>
      </c>
      <c r="B16" s="10">
        <v>46107</v>
      </c>
      <c r="C16" s="11" t="s">
        <v>34</v>
      </c>
      <c r="D16" s="11" t="s">
        <v>91</v>
      </c>
      <c r="E16" s="12"/>
      <c r="F16" s="11">
        <v>4</v>
      </c>
      <c r="G16" s="15"/>
      <c r="H16">
        <f t="shared" si="0"/>
        <v>4</v>
      </c>
    </row>
    <row r="17" customFormat="1" ht="22" customHeight="1" spans="1:8">
      <c r="A17" s="9">
        <v>15</v>
      </c>
      <c r="B17" s="10">
        <v>46107</v>
      </c>
      <c r="C17" s="11" t="s">
        <v>35</v>
      </c>
      <c r="D17" s="11" t="s">
        <v>91</v>
      </c>
      <c r="E17" s="11">
        <v>2</v>
      </c>
      <c r="F17" s="11">
        <v>2</v>
      </c>
      <c r="G17" s="15"/>
      <c r="H17">
        <f t="shared" si="0"/>
        <v>4</v>
      </c>
    </row>
    <row r="18" customFormat="1" ht="22" customHeight="1" spans="1:8">
      <c r="A18" s="9">
        <v>16</v>
      </c>
      <c r="B18" s="10">
        <v>46107</v>
      </c>
      <c r="C18" s="11" t="s">
        <v>37</v>
      </c>
      <c r="D18" s="11" t="s">
        <v>91</v>
      </c>
      <c r="E18" s="11">
        <v>4</v>
      </c>
      <c r="F18" s="12"/>
      <c r="G18" s="15"/>
      <c r="H18">
        <f t="shared" si="0"/>
        <v>4</v>
      </c>
    </row>
    <row r="19" customFormat="1" ht="22" customHeight="1" spans="1:8">
      <c r="A19" s="9">
        <v>17</v>
      </c>
      <c r="B19" s="10">
        <v>46107</v>
      </c>
      <c r="C19" s="11" t="s">
        <v>37</v>
      </c>
      <c r="D19" s="11" t="s">
        <v>91</v>
      </c>
      <c r="E19" s="12"/>
      <c r="F19" s="11">
        <v>4</v>
      </c>
      <c r="G19" s="15"/>
      <c r="H19">
        <f t="shared" si="0"/>
        <v>4</v>
      </c>
    </row>
    <row r="20" customFormat="1" ht="22" customHeight="1" spans="1:8">
      <c r="A20" s="9">
        <v>18</v>
      </c>
      <c r="B20" s="10">
        <v>46107</v>
      </c>
      <c r="C20" s="11" t="s">
        <v>38</v>
      </c>
      <c r="D20" s="11" t="s">
        <v>91</v>
      </c>
      <c r="E20" s="11">
        <v>4</v>
      </c>
      <c r="F20" s="12"/>
      <c r="G20" s="15"/>
      <c r="H20">
        <f t="shared" si="0"/>
        <v>4</v>
      </c>
    </row>
    <row r="21" s="2" customFormat="1" ht="22" customHeight="1" spans="1:8">
      <c r="A21" s="9">
        <v>19</v>
      </c>
      <c r="B21" s="10">
        <v>46107</v>
      </c>
      <c r="C21" s="16" t="s">
        <v>39</v>
      </c>
      <c r="D21" s="17" t="s">
        <v>91</v>
      </c>
      <c r="E21" s="16">
        <v>2</v>
      </c>
      <c r="F21" s="16">
        <v>2</v>
      </c>
      <c r="G21" s="18"/>
      <c r="H21">
        <f t="shared" si="0"/>
        <v>4</v>
      </c>
    </row>
    <row r="22" customFormat="1" ht="22" customHeight="1" spans="1:8">
      <c r="A22" s="9">
        <v>20</v>
      </c>
      <c r="B22" s="10">
        <v>46107</v>
      </c>
      <c r="C22" s="11" t="s">
        <v>40</v>
      </c>
      <c r="D22" s="11" t="s">
        <v>91</v>
      </c>
      <c r="E22" s="11">
        <v>4</v>
      </c>
      <c r="F22" s="11"/>
      <c r="G22" s="15"/>
      <c r="H22">
        <f t="shared" ref="H22:H48" si="1">SUM(E22:F22)</f>
        <v>4</v>
      </c>
    </row>
    <row r="23" customFormat="1" ht="22" customHeight="1" spans="1:8">
      <c r="A23" s="9">
        <v>21</v>
      </c>
      <c r="B23" s="10">
        <v>46107</v>
      </c>
      <c r="C23" s="11" t="s">
        <v>41</v>
      </c>
      <c r="D23" s="11" t="s">
        <v>91</v>
      </c>
      <c r="E23" s="11">
        <v>4</v>
      </c>
      <c r="F23" s="11"/>
      <c r="G23" s="15"/>
      <c r="H23">
        <f t="shared" si="1"/>
        <v>4</v>
      </c>
    </row>
    <row r="24" customFormat="1" ht="22" customHeight="1" spans="1:8">
      <c r="A24" s="9">
        <v>22</v>
      </c>
      <c r="B24" s="10">
        <v>46107</v>
      </c>
      <c r="C24" s="11" t="s">
        <v>42</v>
      </c>
      <c r="D24" s="11" t="s">
        <v>91</v>
      </c>
      <c r="E24" s="11">
        <v>4</v>
      </c>
      <c r="F24" s="11"/>
      <c r="G24" s="15"/>
      <c r="H24">
        <f t="shared" si="1"/>
        <v>4</v>
      </c>
    </row>
    <row r="25" customFormat="1" ht="22" customHeight="1" spans="1:8">
      <c r="A25" s="9">
        <v>23</v>
      </c>
      <c r="B25" s="10">
        <v>46107</v>
      </c>
      <c r="C25" s="11" t="s">
        <v>43</v>
      </c>
      <c r="D25" s="11" t="s">
        <v>91</v>
      </c>
      <c r="E25" s="11"/>
      <c r="F25" s="11">
        <v>4</v>
      </c>
      <c r="G25" s="15"/>
      <c r="H25">
        <f t="shared" si="1"/>
        <v>4</v>
      </c>
    </row>
    <row r="26" customFormat="1" ht="22" customHeight="1" spans="1:8">
      <c r="A26" s="9">
        <v>24</v>
      </c>
      <c r="B26" s="10">
        <v>46107</v>
      </c>
      <c r="C26" s="11" t="s">
        <v>44</v>
      </c>
      <c r="D26" s="11" t="s">
        <v>91</v>
      </c>
      <c r="E26" s="11">
        <v>4</v>
      </c>
      <c r="F26" s="11"/>
      <c r="G26" s="15"/>
      <c r="H26">
        <f t="shared" si="1"/>
        <v>4</v>
      </c>
    </row>
    <row r="27" customFormat="1" ht="22" customHeight="1" spans="1:8">
      <c r="A27" s="9">
        <v>25</v>
      </c>
      <c r="B27" s="10">
        <v>46107</v>
      </c>
      <c r="C27" s="11" t="s">
        <v>45</v>
      </c>
      <c r="D27" s="11" t="s">
        <v>91</v>
      </c>
      <c r="E27" s="11"/>
      <c r="F27" s="11">
        <v>4</v>
      </c>
      <c r="G27" s="15"/>
      <c r="H27">
        <f t="shared" si="1"/>
        <v>4</v>
      </c>
    </row>
    <row r="28" customFormat="1" ht="22" customHeight="1" spans="1:8">
      <c r="A28" s="9">
        <v>26</v>
      </c>
      <c r="B28" s="10">
        <v>46107</v>
      </c>
      <c r="C28" s="11" t="s">
        <v>46</v>
      </c>
      <c r="D28" s="11" t="s">
        <v>91</v>
      </c>
      <c r="E28" s="11">
        <v>4</v>
      </c>
      <c r="F28" s="11"/>
      <c r="G28" s="15"/>
      <c r="H28">
        <f t="shared" si="1"/>
        <v>4</v>
      </c>
    </row>
    <row r="29" customFormat="1" ht="22" customHeight="1" spans="1:8">
      <c r="A29" s="9">
        <v>27</v>
      </c>
      <c r="B29" s="10">
        <v>46107</v>
      </c>
      <c r="C29" s="11" t="s">
        <v>48</v>
      </c>
      <c r="D29" s="11" t="s">
        <v>91</v>
      </c>
      <c r="E29" s="11">
        <v>3</v>
      </c>
      <c r="F29" s="11">
        <v>1</v>
      </c>
      <c r="G29" s="15"/>
      <c r="H29">
        <f t="shared" si="1"/>
        <v>4</v>
      </c>
    </row>
    <row r="30" customFormat="1" ht="22" customHeight="1" spans="1:8">
      <c r="A30" s="9">
        <v>28</v>
      </c>
      <c r="B30" s="10">
        <v>46107</v>
      </c>
      <c r="C30" s="11" t="s">
        <v>49</v>
      </c>
      <c r="D30" s="11" t="s">
        <v>91</v>
      </c>
      <c r="E30" s="11">
        <v>3</v>
      </c>
      <c r="F30" s="11">
        <v>1</v>
      </c>
      <c r="G30" s="15"/>
      <c r="H30">
        <f t="shared" si="1"/>
        <v>4</v>
      </c>
    </row>
    <row r="31" customFormat="1" ht="22" customHeight="1" spans="1:8">
      <c r="A31" s="9">
        <v>29</v>
      </c>
      <c r="B31" s="10">
        <v>46107</v>
      </c>
      <c r="C31" s="11" t="s">
        <v>50</v>
      </c>
      <c r="D31" s="11" t="s">
        <v>91</v>
      </c>
      <c r="E31" s="11">
        <v>3</v>
      </c>
      <c r="F31" s="11">
        <v>1</v>
      </c>
      <c r="G31" s="15"/>
      <c r="H31">
        <f t="shared" si="1"/>
        <v>4</v>
      </c>
    </row>
    <row r="32" customFormat="1" ht="22" customHeight="1" spans="1:8">
      <c r="A32" s="9">
        <v>30</v>
      </c>
      <c r="B32" s="10">
        <v>46107</v>
      </c>
      <c r="C32" s="11" t="s">
        <v>51</v>
      </c>
      <c r="D32" s="11" t="s">
        <v>91</v>
      </c>
      <c r="E32" s="11">
        <v>3</v>
      </c>
      <c r="F32" s="11">
        <v>1</v>
      </c>
      <c r="G32" s="15"/>
      <c r="H32">
        <f t="shared" si="1"/>
        <v>4</v>
      </c>
    </row>
    <row r="33" customFormat="1" ht="22" customHeight="1" spans="1:10">
      <c r="A33" s="9">
        <v>31</v>
      </c>
      <c r="B33" s="10">
        <v>46107</v>
      </c>
      <c r="C33" s="11" t="s">
        <v>52</v>
      </c>
      <c r="D33" s="11" t="s">
        <v>91</v>
      </c>
      <c r="E33" s="11"/>
      <c r="F33" s="11">
        <v>4</v>
      </c>
      <c r="G33" s="15"/>
      <c r="H33">
        <f t="shared" si="1"/>
        <v>4</v>
      </c>
      <c r="J33" t="s">
        <v>93</v>
      </c>
    </row>
    <row r="34" customFormat="1" ht="22" customHeight="1" spans="1:10">
      <c r="A34" s="9">
        <v>32</v>
      </c>
      <c r="B34" s="10">
        <v>46107</v>
      </c>
      <c r="C34" s="11" t="s">
        <v>53</v>
      </c>
      <c r="D34" s="11" t="s">
        <v>91</v>
      </c>
      <c r="E34" s="11">
        <v>4</v>
      </c>
      <c r="F34" s="11"/>
      <c r="G34" s="15"/>
      <c r="H34">
        <f t="shared" si="1"/>
        <v>4</v>
      </c>
    </row>
    <row r="35" customFormat="1" ht="22" customHeight="1" spans="1:10">
      <c r="A35" s="9">
        <v>33</v>
      </c>
      <c r="B35" s="10">
        <v>46107</v>
      </c>
      <c r="C35" s="11" t="s">
        <v>54</v>
      </c>
      <c r="D35" s="11" t="s">
        <v>91</v>
      </c>
      <c r="E35" s="11">
        <v>4</v>
      </c>
      <c r="F35" s="11"/>
      <c r="G35" s="15"/>
      <c r="H35">
        <f t="shared" si="1"/>
        <v>4</v>
      </c>
    </row>
    <row r="36" customFormat="1" ht="22" customHeight="1" spans="1:10">
      <c r="A36" s="9">
        <v>34</v>
      </c>
      <c r="B36" s="10">
        <v>46107</v>
      </c>
      <c r="C36" s="11" t="s">
        <v>55</v>
      </c>
      <c r="D36" s="11" t="s">
        <v>91</v>
      </c>
      <c r="E36" s="11"/>
      <c r="F36" s="11">
        <v>4</v>
      </c>
      <c r="G36" s="15"/>
      <c r="H36">
        <f t="shared" si="1"/>
        <v>4</v>
      </c>
    </row>
    <row r="37" customFormat="1" ht="22" customHeight="1" spans="1:10">
      <c r="A37" s="9">
        <v>35</v>
      </c>
      <c r="B37" s="10">
        <v>46107</v>
      </c>
      <c r="C37" s="11" t="s">
        <v>56</v>
      </c>
      <c r="D37" s="11" t="s">
        <v>91</v>
      </c>
      <c r="E37" s="11">
        <v>4</v>
      </c>
      <c r="F37" s="11"/>
      <c r="G37" s="15"/>
      <c r="H37">
        <f t="shared" si="1"/>
        <v>4</v>
      </c>
    </row>
    <row r="38" customFormat="1" ht="22" customHeight="1" spans="1:10">
      <c r="A38" s="9">
        <v>36</v>
      </c>
      <c r="B38" s="10">
        <v>46107</v>
      </c>
      <c r="C38" s="11" t="s">
        <v>57</v>
      </c>
      <c r="D38" s="11" t="s">
        <v>91</v>
      </c>
      <c r="E38" s="11"/>
      <c r="F38" s="11">
        <v>4</v>
      </c>
      <c r="G38" s="15"/>
      <c r="H38">
        <f t="shared" si="1"/>
        <v>4</v>
      </c>
    </row>
    <row r="39" customFormat="1" ht="22" customHeight="1" spans="1:10">
      <c r="A39" s="9">
        <v>37</v>
      </c>
      <c r="B39" s="10">
        <v>46107</v>
      </c>
      <c r="C39" s="11" t="s">
        <v>58</v>
      </c>
      <c r="D39" s="11" t="s">
        <v>91</v>
      </c>
      <c r="E39" s="11"/>
      <c r="F39" s="11">
        <v>4</v>
      </c>
      <c r="G39" s="15"/>
      <c r="H39">
        <f t="shared" si="1"/>
        <v>4</v>
      </c>
    </row>
    <row r="40" customFormat="1" ht="22" customHeight="1" spans="1:10">
      <c r="A40" s="9">
        <v>38</v>
      </c>
      <c r="B40" s="10">
        <v>46107</v>
      </c>
      <c r="C40" s="11" t="s">
        <v>59</v>
      </c>
      <c r="D40" s="11" t="s">
        <v>91</v>
      </c>
      <c r="E40" s="11">
        <v>4</v>
      </c>
      <c r="F40" s="11"/>
      <c r="G40" s="15"/>
      <c r="H40">
        <f t="shared" si="1"/>
        <v>4</v>
      </c>
    </row>
    <row r="41" customFormat="1" ht="22" customHeight="1" spans="1:10">
      <c r="A41" s="9">
        <v>39</v>
      </c>
      <c r="B41" s="10">
        <v>46107</v>
      </c>
      <c r="C41" s="11" t="s">
        <v>61</v>
      </c>
      <c r="D41" s="11" t="s">
        <v>91</v>
      </c>
      <c r="E41" s="11"/>
      <c r="F41" s="11">
        <v>4</v>
      </c>
      <c r="G41" s="15"/>
      <c r="H41">
        <f t="shared" si="1"/>
        <v>4</v>
      </c>
    </row>
    <row r="42" customFormat="1" ht="22" customHeight="1" spans="1:10">
      <c r="A42" s="9">
        <v>40</v>
      </c>
      <c r="B42" s="10">
        <v>46107</v>
      </c>
      <c r="C42" s="12" t="s">
        <v>64</v>
      </c>
      <c r="D42" s="11" t="s">
        <v>91</v>
      </c>
      <c r="E42" s="11">
        <v>4</v>
      </c>
      <c r="F42" s="11"/>
      <c r="G42" s="15"/>
      <c r="H42">
        <f t="shared" si="1"/>
        <v>4</v>
      </c>
    </row>
    <row r="43" customFormat="1" ht="22" customHeight="1" spans="1:10">
      <c r="A43" s="9">
        <v>41</v>
      </c>
      <c r="B43" s="10">
        <v>46107</v>
      </c>
      <c r="C43" s="12" t="s">
        <v>66</v>
      </c>
      <c r="D43" s="11" t="s">
        <v>91</v>
      </c>
      <c r="E43" s="11"/>
      <c r="F43" s="11">
        <v>4</v>
      </c>
      <c r="G43" s="15"/>
      <c r="H43">
        <f t="shared" si="1"/>
        <v>4</v>
      </c>
    </row>
    <row r="44" customFormat="1" ht="22" customHeight="1" spans="1:10">
      <c r="A44" s="9">
        <v>42</v>
      </c>
      <c r="B44" s="10">
        <v>46107</v>
      </c>
      <c r="C44" s="12" t="s">
        <v>48</v>
      </c>
      <c r="D44" s="11" t="s">
        <v>91</v>
      </c>
      <c r="E44" s="11">
        <v>4</v>
      </c>
      <c r="F44" s="11"/>
      <c r="G44" s="15"/>
      <c r="H44">
        <f t="shared" si="1"/>
        <v>4</v>
      </c>
    </row>
    <row r="45" customFormat="1" ht="22" customHeight="1" spans="1:10">
      <c r="A45" s="9">
        <v>43</v>
      </c>
      <c r="B45" s="10">
        <v>46107</v>
      </c>
      <c r="C45" s="20" t="s">
        <v>67</v>
      </c>
      <c r="D45" s="17" t="s">
        <v>91</v>
      </c>
      <c r="E45" s="17">
        <v>4</v>
      </c>
      <c r="F45" s="17"/>
      <c r="G45" s="15"/>
      <c r="H45">
        <f t="shared" si="1"/>
        <v>4</v>
      </c>
    </row>
    <row r="46" customFormat="1" ht="22" customHeight="1" spans="1:10">
      <c r="A46" s="9">
        <v>44</v>
      </c>
      <c r="B46" s="10">
        <v>46107</v>
      </c>
      <c r="C46" s="20" t="s">
        <v>69</v>
      </c>
      <c r="D46" s="17" t="s">
        <v>91</v>
      </c>
      <c r="E46" s="17"/>
      <c r="F46" s="17">
        <v>4</v>
      </c>
      <c r="G46" s="15"/>
      <c r="H46">
        <f t="shared" si="1"/>
        <v>4</v>
      </c>
    </row>
    <row r="47" customFormat="1" ht="22" customHeight="1" spans="1:10">
      <c r="A47" s="9">
        <v>45</v>
      </c>
      <c r="B47" s="10">
        <v>46107</v>
      </c>
      <c r="C47" s="20" t="s">
        <v>70</v>
      </c>
      <c r="D47" s="17" t="s">
        <v>91</v>
      </c>
      <c r="E47" s="17"/>
      <c r="F47" s="17">
        <v>4</v>
      </c>
      <c r="G47" s="15"/>
      <c r="H47">
        <f t="shared" si="1"/>
        <v>4</v>
      </c>
    </row>
    <row r="48" s="2" customFormat="1" ht="22" customHeight="1" spans="1:10">
      <c r="A48" s="9">
        <v>46</v>
      </c>
      <c r="B48" s="10">
        <v>46107</v>
      </c>
      <c r="C48" s="16" t="s">
        <v>39</v>
      </c>
      <c r="D48" s="26"/>
      <c r="E48" s="26"/>
      <c r="F48" s="26">
        <v>4</v>
      </c>
      <c r="G48" s="25" t="s">
        <v>94</v>
      </c>
      <c r="H48">
        <f t="shared" si="1"/>
        <v>4</v>
      </c>
    </row>
    <row r="49" customFormat="1" ht="22" customHeight="1" spans="1:7">
      <c r="A49" s="9"/>
      <c r="B49" s="10"/>
      <c r="C49" s="21"/>
      <c r="D49" s="21"/>
      <c r="E49" s="21"/>
      <c r="F49" s="21"/>
      <c r="G49" s="22"/>
    </row>
    <row r="50" customFormat="1" ht="25" customHeight="1" spans="1:7">
      <c r="E50" s="23">
        <f>SUM(E3:E49)</f>
        <v>112</v>
      </c>
      <c r="F50" s="23">
        <f>SUM(F3:F49)</f>
        <v>72</v>
      </c>
    </row>
    <row r="53" customFormat="1" ht="19" customHeight="1" spans="1:7">
      <c r="C53" s="24"/>
      <c r="D53" s="24"/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"/>
  <sheetViews>
    <sheetView workbookViewId="0">
      <pane ySplit="2" topLeftCell="A43" activePane="bottomLeft" state="frozen"/>
      <selection/>
      <selection pane="bottomLeft" activeCell="E53" sqref="E53:F53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9.2857142857143" customWidth="1"/>
    <col min="4" max="6" width="12.1428571428571" customWidth="1"/>
    <col min="7" max="7" width="25.2857142857143" customWidth="1"/>
  </cols>
  <sheetData>
    <row r="1" ht="27" customHeight="1" spans="1:14">
      <c r="A1" s="3" t="s">
        <v>84</v>
      </c>
      <c r="B1" s="3"/>
      <c r="C1" s="3"/>
      <c r="D1" s="3"/>
      <c r="E1" s="3"/>
      <c r="F1" s="4"/>
      <c r="G1" s="5"/>
      <c r="I1" t="s">
        <v>93</v>
      </c>
    </row>
    <row r="2" s="1" customFormat="1" ht="27" customHeight="1" spans="1:14">
      <c r="A2" s="6" t="s">
        <v>2</v>
      </c>
      <c r="B2" s="6" t="s">
        <v>75</v>
      </c>
      <c r="C2" s="6" t="s">
        <v>3</v>
      </c>
      <c r="D2" s="7" t="s">
        <v>85</v>
      </c>
      <c r="E2" s="8" t="s">
        <v>86</v>
      </c>
      <c r="F2" s="8" t="s">
        <v>87</v>
      </c>
      <c r="G2" s="8" t="s">
        <v>7</v>
      </c>
      <c r="I2"/>
      <c r="J2"/>
      <c r="K2"/>
      <c r="L2"/>
      <c r="M2"/>
      <c r="N2"/>
    </row>
    <row r="3" ht="22" customHeight="1" spans="1:14">
      <c r="A3" s="9">
        <v>1</v>
      </c>
      <c r="B3" s="10">
        <v>46111</v>
      </c>
      <c r="C3" s="11" t="s">
        <v>16</v>
      </c>
      <c r="D3" s="11" t="s">
        <v>88</v>
      </c>
      <c r="E3" s="11">
        <v>3</v>
      </c>
      <c r="F3" s="12"/>
      <c r="G3" s="13"/>
      <c r="H3">
        <f t="shared" ref="H3:H21" si="0">SUM(E3:F3)</f>
        <v>3</v>
      </c>
    </row>
    <row r="4" ht="22" customHeight="1" spans="1:14">
      <c r="A4" s="9">
        <v>2</v>
      </c>
      <c r="B4" s="10">
        <v>46111</v>
      </c>
      <c r="C4" s="11" t="s">
        <v>19</v>
      </c>
      <c r="D4" s="11" t="s">
        <v>88</v>
      </c>
      <c r="E4" s="11">
        <v>3</v>
      </c>
      <c r="F4" s="12"/>
      <c r="G4" s="14"/>
      <c r="H4">
        <f t="shared" si="0"/>
        <v>3</v>
      </c>
    </row>
    <row r="5" ht="22" customHeight="1" spans="1:14">
      <c r="A5" s="9">
        <v>3</v>
      </c>
      <c r="B5" s="10">
        <v>46111</v>
      </c>
      <c r="C5" s="11" t="s">
        <v>21</v>
      </c>
      <c r="D5" s="11" t="s">
        <v>88</v>
      </c>
      <c r="E5" s="11">
        <v>3</v>
      </c>
      <c r="F5" s="12"/>
      <c r="G5" s="14"/>
      <c r="H5">
        <f t="shared" si="0"/>
        <v>3</v>
      </c>
    </row>
    <row r="6" customFormat="1" ht="22" customHeight="1" spans="1:14">
      <c r="A6" s="9">
        <v>4</v>
      </c>
      <c r="B6" s="10">
        <v>46111</v>
      </c>
      <c r="C6" s="11" t="s">
        <v>32</v>
      </c>
      <c r="D6" s="11" t="s">
        <v>88</v>
      </c>
      <c r="E6" s="11">
        <v>3</v>
      </c>
      <c r="F6" s="12"/>
      <c r="G6" s="15"/>
      <c r="H6">
        <f t="shared" si="0"/>
        <v>3</v>
      </c>
    </row>
    <row r="7" ht="22" customHeight="1" spans="1:14">
      <c r="A7" s="9">
        <v>5</v>
      </c>
      <c r="B7" s="10">
        <v>46111</v>
      </c>
      <c r="C7" s="11" t="s">
        <v>22</v>
      </c>
      <c r="D7" s="11" t="s">
        <v>88</v>
      </c>
      <c r="E7" s="12"/>
      <c r="F7" s="11">
        <v>3</v>
      </c>
      <c r="G7" s="14"/>
      <c r="H7">
        <f t="shared" si="0"/>
        <v>3</v>
      </c>
    </row>
    <row r="8" ht="22" customHeight="1" spans="1:14">
      <c r="A8" s="9">
        <v>6</v>
      </c>
      <c r="B8" s="10">
        <v>46111</v>
      </c>
      <c r="C8" s="11" t="s">
        <v>24</v>
      </c>
      <c r="D8" s="11" t="s">
        <v>88</v>
      </c>
      <c r="E8" s="12"/>
      <c r="F8" s="11">
        <v>3</v>
      </c>
      <c r="G8" s="14"/>
      <c r="H8">
        <f t="shared" si="0"/>
        <v>3</v>
      </c>
    </row>
    <row r="9" ht="22" customHeight="1" spans="1:14">
      <c r="A9" s="9">
        <v>7</v>
      </c>
      <c r="B9" s="10">
        <v>46111</v>
      </c>
      <c r="C9" s="11" t="s">
        <v>25</v>
      </c>
      <c r="D9" s="11" t="s">
        <v>88</v>
      </c>
      <c r="E9" s="11"/>
      <c r="F9" s="11">
        <v>3</v>
      </c>
      <c r="G9" s="14" t="s">
        <v>100</v>
      </c>
      <c r="H9">
        <f t="shared" si="0"/>
        <v>3</v>
      </c>
    </row>
    <row r="10" ht="22" customHeight="1" spans="1:14">
      <c r="A10" s="9">
        <v>8</v>
      </c>
      <c r="B10" s="10">
        <v>46111</v>
      </c>
      <c r="C10" s="11" t="s">
        <v>28</v>
      </c>
      <c r="D10" s="11" t="s">
        <v>88</v>
      </c>
      <c r="E10" s="11">
        <v>3</v>
      </c>
      <c r="F10" s="12"/>
      <c r="G10" s="15"/>
      <c r="H10">
        <f t="shared" si="0"/>
        <v>3</v>
      </c>
    </row>
    <row r="11" customFormat="1" ht="22" customHeight="1" spans="1:14">
      <c r="A11" s="9">
        <v>9</v>
      </c>
      <c r="B11" s="10">
        <v>46111</v>
      </c>
      <c r="C11" s="11" t="s">
        <v>29</v>
      </c>
      <c r="D11" s="11" t="s">
        <v>88</v>
      </c>
      <c r="E11" s="11">
        <v>3</v>
      </c>
      <c r="F11" s="12"/>
      <c r="G11" s="15"/>
      <c r="H11">
        <f t="shared" si="0"/>
        <v>3</v>
      </c>
    </row>
    <row r="12" customFormat="1" ht="22" customHeight="1" spans="1:14">
      <c r="A12" s="9">
        <v>10</v>
      </c>
      <c r="B12" s="10">
        <v>46111</v>
      </c>
      <c r="C12" s="11" t="s">
        <v>30</v>
      </c>
      <c r="D12" s="11" t="s">
        <v>88</v>
      </c>
      <c r="E12" s="11">
        <v>3</v>
      </c>
      <c r="F12" s="12"/>
      <c r="G12" s="15"/>
      <c r="H12">
        <f t="shared" si="0"/>
        <v>3</v>
      </c>
    </row>
    <row r="13" customFormat="1" ht="22" customHeight="1" spans="1:14">
      <c r="A13" s="9">
        <v>11</v>
      </c>
      <c r="B13" s="10">
        <v>46111</v>
      </c>
      <c r="C13" s="11" t="s">
        <v>47</v>
      </c>
      <c r="D13" s="11" t="s">
        <v>88</v>
      </c>
      <c r="E13" s="11">
        <v>3</v>
      </c>
      <c r="F13" s="11"/>
      <c r="G13" s="15"/>
      <c r="H13">
        <f t="shared" si="0"/>
        <v>3</v>
      </c>
    </row>
    <row r="14" customFormat="1" ht="22" customHeight="1" spans="1:14">
      <c r="A14" s="9">
        <v>12</v>
      </c>
      <c r="B14" s="10">
        <v>46111</v>
      </c>
      <c r="C14" s="11" t="s">
        <v>31</v>
      </c>
      <c r="D14" s="11" t="s">
        <v>88</v>
      </c>
      <c r="E14" s="11">
        <v>3</v>
      </c>
      <c r="F14" s="12"/>
      <c r="G14" s="15"/>
      <c r="H14">
        <f t="shared" si="0"/>
        <v>3</v>
      </c>
    </row>
    <row r="15" customFormat="1" ht="22" customHeight="1" spans="1:14">
      <c r="A15" s="9">
        <v>13</v>
      </c>
      <c r="B15" s="10">
        <v>46111</v>
      </c>
      <c r="C15" s="11" t="s">
        <v>33</v>
      </c>
      <c r="D15" s="11" t="s">
        <v>88</v>
      </c>
      <c r="E15" s="11">
        <v>3</v>
      </c>
      <c r="F15" s="12"/>
      <c r="G15" s="15"/>
      <c r="H15">
        <f t="shared" si="0"/>
        <v>3</v>
      </c>
    </row>
    <row r="16" customFormat="1" ht="22" customHeight="1" spans="1:14">
      <c r="A16" s="9">
        <v>14</v>
      </c>
      <c r="B16" s="10">
        <v>46111</v>
      </c>
      <c r="C16" s="11" t="s">
        <v>34</v>
      </c>
      <c r="D16" s="11" t="s">
        <v>88</v>
      </c>
      <c r="E16" s="12"/>
      <c r="F16" s="11">
        <v>3</v>
      </c>
      <c r="G16" s="15"/>
      <c r="H16">
        <f t="shared" si="0"/>
        <v>3</v>
      </c>
    </row>
    <row r="17" customFormat="1" ht="22" customHeight="1" spans="1:8">
      <c r="A17" s="9">
        <v>15</v>
      </c>
      <c r="B17" s="10">
        <v>46111</v>
      </c>
      <c r="C17" s="11" t="s">
        <v>35</v>
      </c>
      <c r="D17" s="11" t="s">
        <v>88</v>
      </c>
      <c r="E17" s="11">
        <v>2</v>
      </c>
      <c r="F17" s="11">
        <v>1</v>
      </c>
      <c r="G17" s="15"/>
      <c r="H17">
        <f t="shared" si="0"/>
        <v>3</v>
      </c>
    </row>
    <row r="18" customFormat="1" ht="22" customHeight="1" spans="1:8">
      <c r="A18" s="9">
        <v>16</v>
      </c>
      <c r="B18" s="10">
        <v>46111</v>
      </c>
      <c r="C18" s="11" t="s">
        <v>37</v>
      </c>
      <c r="D18" s="11" t="s">
        <v>88</v>
      </c>
      <c r="E18" s="11">
        <v>3</v>
      </c>
      <c r="F18" s="12"/>
      <c r="G18" s="15"/>
      <c r="H18">
        <f t="shared" si="0"/>
        <v>3</v>
      </c>
    </row>
    <row r="19" customFormat="1" ht="22" customHeight="1" spans="1:8">
      <c r="A19" s="9">
        <v>17</v>
      </c>
      <c r="B19" s="10">
        <v>46111</v>
      </c>
      <c r="C19" s="11" t="s">
        <v>37</v>
      </c>
      <c r="D19" s="11" t="s">
        <v>88</v>
      </c>
      <c r="E19" s="12"/>
      <c r="F19" s="11">
        <v>3</v>
      </c>
      <c r="G19" s="15"/>
      <c r="H19">
        <f t="shared" si="0"/>
        <v>3</v>
      </c>
    </row>
    <row r="20" customFormat="1" ht="22" customHeight="1" spans="1:8">
      <c r="A20" s="9">
        <v>18</v>
      </c>
      <c r="B20" s="10">
        <v>46111</v>
      </c>
      <c r="C20" s="11" t="s">
        <v>38</v>
      </c>
      <c r="D20" s="11" t="s">
        <v>88</v>
      </c>
      <c r="E20" s="11">
        <v>3</v>
      </c>
      <c r="F20" s="12"/>
      <c r="G20" s="15"/>
      <c r="H20">
        <f t="shared" si="0"/>
        <v>3</v>
      </c>
    </row>
    <row r="21" s="2" customFormat="1" ht="22" customHeight="1" spans="1:8">
      <c r="A21" s="9">
        <v>19</v>
      </c>
      <c r="B21" s="10">
        <v>46111</v>
      </c>
      <c r="C21" s="16" t="s">
        <v>39</v>
      </c>
      <c r="D21" s="11" t="s">
        <v>88</v>
      </c>
      <c r="E21" s="16">
        <v>2</v>
      </c>
      <c r="F21" s="16">
        <v>1</v>
      </c>
      <c r="G21" s="18"/>
      <c r="H21">
        <f t="shared" si="0"/>
        <v>3</v>
      </c>
    </row>
    <row r="22" customFormat="1" ht="22" customHeight="1" spans="1:8">
      <c r="A22" s="9">
        <v>20</v>
      </c>
      <c r="B22" s="10">
        <v>46111</v>
      </c>
      <c r="C22" s="11" t="s">
        <v>40</v>
      </c>
      <c r="D22" s="11" t="s">
        <v>88</v>
      </c>
      <c r="E22" s="11">
        <v>3</v>
      </c>
      <c r="F22" s="11"/>
      <c r="G22" s="15"/>
      <c r="H22">
        <f t="shared" ref="H22:H51" si="1">SUM(E22:F22)</f>
        <v>3</v>
      </c>
    </row>
    <row r="23" customFormat="1" ht="22" customHeight="1" spans="1:8">
      <c r="A23" s="9">
        <v>21</v>
      </c>
      <c r="B23" s="10">
        <v>46111</v>
      </c>
      <c r="C23" s="11" t="s">
        <v>41</v>
      </c>
      <c r="D23" s="11" t="s">
        <v>88</v>
      </c>
      <c r="E23" s="11">
        <v>3</v>
      </c>
      <c r="F23" s="11"/>
      <c r="G23" s="15"/>
      <c r="H23">
        <f t="shared" si="1"/>
        <v>3</v>
      </c>
    </row>
    <row r="24" customFormat="1" ht="22" customHeight="1" spans="1:8">
      <c r="A24" s="9">
        <v>22</v>
      </c>
      <c r="B24" s="10">
        <v>46111</v>
      </c>
      <c r="C24" s="11" t="s">
        <v>42</v>
      </c>
      <c r="D24" s="11" t="s">
        <v>88</v>
      </c>
      <c r="E24" s="11">
        <v>3</v>
      </c>
      <c r="F24" s="11"/>
      <c r="G24" s="15"/>
      <c r="H24">
        <f t="shared" si="1"/>
        <v>3</v>
      </c>
    </row>
    <row r="25" customFormat="1" ht="22" customHeight="1" spans="1:8">
      <c r="A25" s="9">
        <v>23</v>
      </c>
      <c r="B25" s="10">
        <v>46111</v>
      </c>
      <c r="C25" s="11" t="s">
        <v>43</v>
      </c>
      <c r="D25" s="11" t="s">
        <v>88</v>
      </c>
      <c r="E25" s="11"/>
      <c r="F25" s="11">
        <v>3</v>
      </c>
      <c r="G25" s="15"/>
      <c r="H25">
        <f t="shared" si="1"/>
        <v>3</v>
      </c>
    </row>
    <row r="26" customFormat="1" ht="22" customHeight="1" spans="1:8">
      <c r="A26" s="9">
        <v>24</v>
      </c>
      <c r="B26" s="10">
        <v>46111</v>
      </c>
      <c r="C26" s="11" t="s">
        <v>44</v>
      </c>
      <c r="D26" s="11" t="s">
        <v>88</v>
      </c>
      <c r="E26" s="11">
        <v>3</v>
      </c>
      <c r="F26" s="11"/>
      <c r="G26" s="15"/>
      <c r="H26">
        <f t="shared" si="1"/>
        <v>3</v>
      </c>
    </row>
    <row r="27" customFormat="1" ht="22" customHeight="1" spans="1:8">
      <c r="A27" s="9">
        <v>25</v>
      </c>
      <c r="B27" s="10">
        <v>46111</v>
      </c>
      <c r="C27" s="11" t="s">
        <v>45</v>
      </c>
      <c r="D27" s="11" t="s">
        <v>88</v>
      </c>
      <c r="E27" s="11"/>
      <c r="F27" s="11">
        <v>3</v>
      </c>
      <c r="G27" s="15"/>
      <c r="H27">
        <f t="shared" si="1"/>
        <v>3</v>
      </c>
    </row>
    <row r="28" customFormat="1" ht="22" customHeight="1" spans="1:8">
      <c r="A28" s="9">
        <v>26</v>
      </c>
      <c r="B28" s="10">
        <v>46111</v>
      </c>
      <c r="C28" s="11" t="s">
        <v>46</v>
      </c>
      <c r="D28" s="11" t="s">
        <v>88</v>
      </c>
      <c r="E28" s="11">
        <v>3</v>
      </c>
      <c r="F28" s="11"/>
      <c r="G28" s="15"/>
      <c r="H28">
        <f t="shared" si="1"/>
        <v>3</v>
      </c>
    </row>
    <row r="29" customFormat="1" ht="22" customHeight="1" spans="1:8">
      <c r="A29" s="9">
        <v>27</v>
      </c>
      <c r="B29" s="10">
        <v>46111</v>
      </c>
      <c r="C29" s="11" t="s">
        <v>48</v>
      </c>
      <c r="D29" s="11" t="s">
        <v>88</v>
      </c>
      <c r="E29" s="11">
        <v>2</v>
      </c>
      <c r="F29" s="11">
        <v>1</v>
      </c>
      <c r="G29" s="15"/>
      <c r="H29">
        <f t="shared" si="1"/>
        <v>3</v>
      </c>
    </row>
    <row r="30" customFormat="1" ht="22" customHeight="1" spans="1:8">
      <c r="A30" s="9">
        <v>28</v>
      </c>
      <c r="B30" s="10">
        <v>46111</v>
      </c>
      <c r="C30" s="11" t="s">
        <v>49</v>
      </c>
      <c r="D30" s="11" t="s">
        <v>88</v>
      </c>
      <c r="E30" s="11">
        <v>2</v>
      </c>
      <c r="F30" s="11">
        <v>1</v>
      </c>
      <c r="G30" s="15"/>
      <c r="H30">
        <f t="shared" si="1"/>
        <v>3</v>
      </c>
    </row>
    <row r="31" customFormat="1" ht="22" customHeight="1" spans="1:8">
      <c r="A31" s="9">
        <v>29</v>
      </c>
      <c r="B31" s="10">
        <v>46111</v>
      </c>
      <c r="C31" s="11" t="s">
        <v>50</v>
      </c>
      <c r="D31" s="11" t="s">
        <v>88</v>
      </c>
      <c r="E31" s="11">
        <v>2</v>
      </c>
      <c r="F31" s="11">
        <v>1</v>
      </c>
      <c r="G31" s="15"/>
      <c r="H31">
        <f t="shared" si="1"/>
        <v>3</v>
      </c>
    </row>
    <row r="32" customFormat="1" ht="22" customHeight="1" spans="1:8">
      <c r="A32" s="9">
        <v>30</v>
      </c>
      <c r="B32" s="10">
        <v>46111</v>
      </c>
      <c r="C32" s="11" t="s">
        <v>51</v>
      </c>
      <c r="D32" s="11" t="s">
        <v>88</v>
      </c>
      <c r="E32" s="11">
        <v>2</v>
      </c>
      <c r="F32" s="11">
        <v>1</v>
      </c>
      <c r="G32" s="15"/>
      <c r="H32">
        <f t="shared" si="1"/>
        <v>3</v>
      </c>
    </row>
    <row r="33" customFormat="1" ht="22" customHeight="1" spans="1:9">
      <c r="A33" s="9">
        <v>31</v>
      </c>
      <c r="B33" s="10">
        <v>46111</v>
      </c>
      <c r="C33" s="11" t="s">
        <v>52</v>
      </c>
      <c r="D33" s="11" t="s">
        <v>88</v>
      </c>
      <c r="E33" s="11"/>
      <c r="F33" s="11">
        <v>3</v>
      </c>
      <c r="G33" s="15"/>
      <c r="H33">
        <f t="shared" si="1"/>
        <v>3</v>
      </c>
    </row>
    <row r="34" customFormat="1" ht="22" customHeight="1" spans="1:9">
      <c r="A34" s="9">
        <v>32</v>
      </c>
      <c r="B34" s="10">
        <v>46111</v>
      </c>
      <c r="C34" s="11" t="s">
        <v>53</v>
      </c>
      <c r="D34" s="11" t="s">
        <v>88</v>
      </c>
      <c r="E34" s="11">
        <v>3</v>
      </c>
      <c r="F34" s="11"/>
      <c r="G34" s="15"/>
      <c r="H34">
        <f t="shared" si="1"/>
        <v>3</v>
      </c>
    </row>
    <row r="35" customFormat="1" ht="22" customHeight="1" spans="1:9">
      <c r="A35" s="9">
        <v>33</v>
      </c>
      <c r="B35" s="10">
        <v>46111</v>
      </c>
      <c r="C35" s="11" t="s">
        <v>54</v>
      </c>
      <c r="D35" s="11" t="s">
        <v>88</v>
      </c>
      <c r="E35" s="11">
        <v>3</v>
      </c>
      <c r="F35" s="11"/>
      <c r="G35" s="15"/>
      <c r="H35">
        <f t="shared" si="1"/>
        <v>3</v>
      </c>
    </row>
    <row r="36" customFormat="1" ht="22" customHeight="1" spans="1:9">
      <c r="A36" s="9">
        <v>34</v>
      </c>
      <c r="B36" s="10">
        <v>46111</v>
      </c>
      <c r="C36" s="11" t="s">
        <v>55</v>
      </c>
      <c r="D36" s="11" t="s">
        <v>88</v>
      </c>
      <c r="E36" s="11"/>
      <c r="F36" s="11">
        <v>3</v>
      </c>
      <c r="G36" s="15"/>
      <c r="H36">
        <f t="shared" si="1"/>
        <v>3</v>
      </c>
    </row>
    <row r="37" customFormat="1" ht="22" customHeight="1" spans="1:9">
      <c r="A37" s="9">
        <v>35</v>
      </c>
      <c r="B37" s="10">
        <v>46111</v>
      </c>
      <c r="C37" s="11" t="s">
        <v>56</v>
      </c>
      <c r="D37" s="11" t="s">
        <v>88</v>
      </c>
      <c r="E37" s="11">
        <v>3</v>
      </c>
      <c r="F37" s="11"/>
      <c r="G37" s="15"/>
      <c r="H37">
        <f t="shared" si="1"/>
        <v>3</v>
      </c>
    </row>
    <row r="38" customFormat="1" ht="22" customHeight="1" spans="1:9">
      <c r="A38" s="9">
        <v>36</v>
      </c>
      <c r="B38" s="10">
        <v>46111</v>
      </c>
      <c r="C38" s="11" t="s">
        <v>57</v>
      </c>
      <c r="D38" s="11" t="s">
        <v>88</v>
      </c>
      <c r="E38" s="11"/>
      <c r="F38" s="11">
        <v>3</v>
      </c>
      <c r="G38" s="15"/>
      <c r="H38">
        <f t="shared" si="1"/>
        <v>3</v>
      </c>
    </row>
    <row r="39" customFormat="1" ht="22" customHeight="1" spans="1:9">
      <c r="A39" s="9">
        <v>37</v>
      </c>
      <c r="B39" s="10">
        <v>46111</v>
      </c>
      <c r="C39" s="11" t="s">
        <v>58</v>
      </c>
      <c r="D39" s="11" t="s">
        <v>88</v>
      </c>
      <c r="E39" s="11"/>
      <c r="F39" s="11">
        <v>3</v>
      </c>
      <c r="G39" s="15"/>
      <c r="H39">
        <f t="shared" si="1"/>
        <v>3</v>
      </c>
    </row>
    <row r="40" customFormat="1" ht="22" customHeight="1" spans="1:9">
      <c r="A40" s="9">
        <v>38</v>
      </c>
      <c r="B40" s="10">
        <v>46111</v>
      </c>
      <c r="C40" s="11" t="s">
        <v>59</v>
      </c>
      <c r="D40" s="11" t="s">
        <v>88</v>
      </c>
      <c r="E40" s="11">
        <v>3</v>
      </c>
      <c r="F40" s="11"/>
      <c r="G40" s="15"/>
      <c r="H40">
        <f t="shared" si="1"/>
        <v>3</v>
      </c>
    </row>
    <row r="41" customFormat="1" ht="22" customHeight="1" spans="1:9">
      <c r="A41" s="9">
        <v>39</v>
      </c>
      <c r="B41" s="10">
        <v>46111</v>
      </c>
      <c r="C41" s="11" t="s">
        <v>61</v>
      </c>
      <c r="D41" s="11" t="s">
        <v>88</v>
      </c>
      <c r="E41" s="11"/>
      <c r="F41" s="11">
        <v>3</v>
      </c>
      <c r="G41" s="15"/>
      <c r="H41">
        <f t="shared" si="1"/>
        <v>3</v>
      </c>
    </row>
    <row r="42" customFormat="1" ht="22" customHeight="1" spans="1:9">
      <c r="A42" s="9">
        <v>40</v>
      </c>
      <c r="B42" s="10">
        <v>46111</v>
      </c>
      <c r="C42" s="12" t="s">
        <v>64</v>
      </c>
      <c r="D42" s="11" t="s">
        <v>88</v>
      </c>
      <c r="E42" s="11">
        <v>3</v>
      </c>
      <c r="F42" s="11"/>
      <c r="G42" s="15"/>
      <c r="H42">
        <f t="shared" si="1"/>
        <v>3</v>
      </c>
    </row>
    <row r="43" customFormat="1" ht="22" customHeight="1" spans="1:9">
      <c r="A43" s="9">
        <v>41</v>
      </c>
      <c r="B43" s="10">
        <v>46111</v>
      </c>
      <c r="C43" s="12" t="s">
        <v>66</v>
      </c>
      <c r="D43" s="11" t="s">
        <v>88</v>
      </c>
      <c r="E43" s="11"/>
      <c r="F43" s="11">
        <v>3</v>
      </c>
      <c r="G43" s="15"/>
      <c r="H43">
        <f t="shared" si="1"/>
        <v>3</v>
      </c>
    </row>
    <row r="44" customFormat="1" ht="22" customHeight="1" spans="1:9">
      <c r="A44" s="9">
        <v>42</v>
      </c>
      <c r="B44" s="10">
        <v>46111</v>
      </c>
      <c r="C44" s="12" t="s">
        <v>48</v>
      </c>
      <c r="D44" s="11" t="s">
        <v>88</v>
      </c>
      <c r="E44" s="11">
        <v>3</v>
      </c>
      <c r="F44" s="11"/>
      <c r="G44" s="15"/>
      <c r="H44">
        <f t="shared" si="1"/>
        <v>3</v>
      </c>
    </row>
    <row r="45" customFormat="1" ht="22" customHeight="1" spans="1:9">
      <c r="A45" s="9">
        <v>43</v>
      </c>
      <c r="B45" s="10">
        <v>46111</v>
      </c>
      <c r="C45" s="20" t="s">
        <v>67</v>
      </c>
      <c r="D45" s="11" t="s">
        <v>88</v>
      </c>
      <c r="E45" s="11">
        <v>3</v>
      </c>
      <c r="F45" s="17"/>
      <c r="G45" s="15"/>
      <c r="H45">
        <f t="shared" si="1"/>
        <v>3</v>
      </c>
    </row>
    <row r="46" customFormat="1" ht="22" customHeight="1" spans="1:9">
      <c r="A46" s="9">
        <v>44</v>
      </c>
      <c r="B46" s="10">
        <v>46111</v>
      </c>
      <c r="C46" s="20" t="s">
        <v>69</v>
      </c>
      <c r="D46" s="11" t="s">
        <v>88</v>
      </c>
      <c r="E46" s="17"/>
      <c r="F46" s="11">
        <v>3</v>
      </c>
      <c r="G46" s="15"/>
      <c r="H46">
        <f t="shared" si="1"/>
        <v>3</v>
      </c>
    </row>
    <row r="47" customFormat="1" ht="22" customHeight="1" spans="1:9">
      <c r="A47" s="9">
        <v>45</v>
      </c>
      <c r="B47" s="10">
        <v>46111</v>
      </c>
      <c r="C47" s="20" t="s">
        <v>70</v>
      </c>
      <c r="D47" s="11" t="s">
        <v>88</v>
      </c>
      <c r="E47" s="17"/>
      <c r="F47" s="11">
        <v>3</v>
      </c>
      <c r="G47" s="15"/>
      <c r="H47">
        <f t="shared" si="1"/>
        <v>3</v>
      </c>
    </row>
    <row r="48" customFormat="1" ht="22" customHeight="1" spans="1:9">
      <c r="A48" s="9">
        <v>46</v>
      </c>
      <c r="B48" s="10">
        <v>46111</v>
      </c>
      <c r="C48" s="20" t="s">
        <v>67</v>
      </c>
      <c r="D48" s="11" t="s">
        <v>88</v>
      </c>
      <c r="E48" s="11">
        <v>3</v>
      </c>
      <c r="F48" s="17"/>
      <c r="G48" s="25" t="s">
        <v>94</v>
      </c>
      <c r="H48">
        <f t="shared" si="1"/>
        <v>3</v>
      </c>
      <c r="I48" s="2" t="s">
        <v>101</v>
      </c>
    </row>
    <row r="49" customFormat="1" ht="22" customHeight="1" spans="1:9">
      <c r="A49" s="9">
        <v>47</v>
      </c>
      <c r="B49" s="10">
        <v>46111</v>
      </c>
      <c r="C49" s="20" t="s">
        <v>69</v>
      </c>
      <c r="D49" s="11" t="s">
        <v>88</v>
      </c>
      <c r="E49" s="17"/>
      <c r="F49" s="11">
        <v>3</v>
      </c>
      <c r="G49" s="25" t="s">
        <v>94</v>
      </c>
      <c r="H49">
        <f t="shared" si="1"/>
        <v>3</v>
      </c>
      <c r="I49" s="2" t="s">
        <v>101</v>
      </c>
    </row>
    <row r="50" customFormat="1" ht="22" customHeight="1" spans="1:9">
      <c r="A50" s="9">
        <v>48</v>
      </c>
      <c r="B50" s="10">
        <v>46111</v>
      </c>
      <c r="C50" s="20" t="s">
        <v>70</v>
      </c>
      <c r="D50" s="11" t="s">
        <v>88</v>
      </c>
      <c r="E50" s="17"/>
      <c r="F50" s="11">
        <v>3</v>
      </c>
      <c r="G50" s="25" t="s">
        <v>94</v>
      </c>
      <c r="H50">
        <f t="shared" si="1"/>
        <v>3</v>
      </c>
      <c r="I50" s="2" t="s">
        <v>101</v>
      </c>
    </row>
    <row r="51" s="2" customFormat="1" ht="22" customHeight="1" spans="1:9">
      <c r="A51" s="9">
        <v>49</v>
      </c>
      <c r="B51" s="10">
        <v>46111</v>
      </c>
      <c r="C51" s="16" t="s">
        <v>39</v>
      </c>
      <c r="D51" s="26"/>
      <c r="E51" s="16"/>
      <c r="F51" s="16">
        <v>3</v>
      </c>
      <c r="G51" s="25" t="s">
        <v>94</v>
      </c>
      <c r="H51">
        <f t="shared" si="1"/>
        <v>3</v>
      </c>
      <c r="I51" s="2" t="s">
        <v>102</v>
      </c>
    </row>
    <row r="52" customFormat="1" ht="22" customHeight="1" spans="1:9">
      <c r="A52" s="9"/>
      <c r="B52" s="10"/>
      <c r="C52" s="21"/>
      <c r="D52" s="21"/>
      <c r="E52" s="21"/>
      <c r="F52" s="21"/>
      <c r="G52" s="22"/>
    </row>
    <row r="53" customFormat="1" ht="25" customHeight="1" spans="1:9">
      <c r="E53" s="23">
        <f>SUM(E3:E52)</f>
        <v>87</v>
      </c>
      <c r="F53" s="23">
        <f>SUM(F3:F52)</f>
        <v>60</v>
      </c>
    </row>
    <row r="56" customFormat="1" ht="19" customHeight="1" spans="1:9">
      <c r="C56" s="24"/>
      <c r="D56" s="24"/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"/>
  <sheetViews>
    <sheetView workbookViewId="0">
      <pane ySplit="2" topLeftCell="A37" activePane="bottomLeft" state="frozen"/>
      <selection/>
      <selection pane="bottomLeft" activeCell="G56" sqref="G56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9.2857142857143" customWidth="1"/>
    <col min="4" max="6" width="12.1428571428571" customWidth="1"/>
    <col min="7" max="7" width="25.2857142857143" customWidth="1"/>
  </cols>
  <sheetData>
    <row r="1" ht="38" customHeight="1" spans="1:14">
      <c r="A1" s="3" t="s">
        <v>84</v>
      </c>
      <c r="B1" s="3"/>
      <c r="C1" s="3"/>
      <c r="D1" s="3"/>
      <c r="E1" s="3"/>
      <c r="F1" s="4"/>
      <c r="G1" s="5"/>
    </row>
    <row r="2" s="1" customFormat="1" ht="32" customHeight="1" spans="1:14">
      <c r="A2" s="6" t="s">
        <v>2</v>
      </c>
      <c r="B2" s="6" t="s">
        <v>75</v>
      </c>
      <c r="C2" s="6" t="s">
        <v>3</v>
      </c>
      <c r="D2" s="7" t="s">
        <v>85</v>
      </c>
      <c r="E2" s="8" t="s">
        <v>86</v>
      </c>
      <c r="F2" s="8" t="s">
        <v>87</v>
      </c>
      <c r="G2" s="8" t="s">
        <v>7</v>
      </c>
      <c r="I2"/>
      <c r="J2"/>
      <c r="K2"/>
      <c r="L2"/>
      <c r="M2"/>
      <c r="N2"/>
    </row>
    <row r="3" ht="22" customHeight="1" spans="1:14">
      <c r="A3" s="9">
        <v>1</v>
      </c>
      <c r="B3" s="10">
        <v>46114</v>
      </c>
      <c r="C3" s="11" t="s">
        <v>16</v>
      </c>
      <c r="D3" s="11" t="s">
        <v>91</v>
      </c>
      <c r="E3" s="11">
        <v>4</v>
      </c>
      <c r="F3" s="12"/>
      <c r="G3" s="13"/>
      <c r="H3">
        <f t="shared" ref="H3:H21" si="0">SUM(E3:F3)</f>
        <v>4</v>
      </c>
    </row>
    <row r="4" ht="22" customHeight="1" spans="1:14">
      <c r="A4" s="9">
        <v>2</v>
      </c>
      <c r="B4" s="10">
        <v>46114</v>
      </c>
      <c r="C4" s="11" t="s">
        <v>19</v>
      </c>
      <c r="D4" s="11" t="s">
        <v>91</v>
      </c>
      <c r="E4" s="11">
        <v>4</v>
      </c>
      <c r="F4" s="12"/>
      <c r="G4" s="14"/>
      <c r="H4">
        <f t="shared" si="0"/>
        <v>4</v>
      </c>
    </row>
    <row r="5" ht="22" customHeight="1" spans="1:14">
      <c r="A5" s="9">
        <v>3</v>
      </c>
      <c r="B5" s="10">
        <v>46114</v>
      </c>
      <c r="C5" s="11" t="s">
        <v>21</v>
      </c>
      <c r="D5" s="11" t="s">
        <v>91</v>
      </c>
      <c r="E5" s="11">
        <v>4</v>
      </c>
      <c r="F5" s="12"/>
      <c r="G5" s="14"/>
      <c r="H5">
        <f t="shared" si="0"/>
        <v>4</v>
      </c>
    </row>
    <row r="6" customFormat="1" ht="22" customHeight="1" spans="1:14">
      <c r="A6" s="9">
        <v>4</v>
      </c>
      <c r="B6" s="10">
        <v>46114</v>
      </c>
      <c r="C6" s="11" t="s">
        <v>32</v>
      </c>
      <c r="D6" s="11" t="s">
        <v>91</v>
      </c>
      <c r="E6" s="11">
        <v>4</v>
      </c>
      <c r="F6" s="12"/>
      <c r="G6" s="15"/>
      <c r="H6">
        <f t="shared" si="0"/>
        <v>4</v>
      </c>
    </row>
    <row r="7" ht="22" customHeight="1" spans="1:14">
      <c r="A7" s="9">
        <v>5</v>
      </c>
      <c r="B7" s="10">
        <v>46114</v>
      </c>
      <c r="C7" s="11" t="s">
        <v>22</v>
      </c>
      <c r="D7" s="11" t="s">
        <v>91</v>
      </c>
      <c r="E7" s="12"/>
      <c r="F7" s="11">
        <v>4</v>
      </c>
      <c r="G7" s="14"/>
      <c r="H7">
        <f t="shared" si="0"/>
        <v>4</v>
      </c>
    </row>
    <row r="8" ht="22" customHeight="1" spans="1:14">
      <c r="A8" s="9">
        <v>6</v>
      </c>
      <c r="B8" s="10">
        <v>46114</v>
      </c>
      <c r="C8" s="11" t="s">
        <v>24</v>
      </c>
      <c r="D8" s="11" t="s">
        <v>91</v>
      </c>
      <c r="E8" s="12"/>
      <c r="F8" s="11">
        <v>4</v>
      </c>
      <c r="G8" s="14"/>
      <c r="H8">
        <f t="shared" si="0"/>
        <v>4</v>
      </c>
    </row>
    <row r="9" ht="22" customHeight="1" spans="1:14">
      <c r="A9" s="9">
        <v>7</v>
      </c>
      <c r="B9" s="10">
        <v>46114</v>
      </c>
      <c r="C9" s="11" t="s">
        <v>25</v>
      </c>
      <c r="D9" s="11" t="s">
        <v>91</v>
      </c>
      <c r="E9" s="11"/>
      <c r="F9" s="11">
        <v>4</v>
      </c>
      <c r="G9" s="14" t="s">
        <v>100</v>
      </c>
      <c r="H9">
        <f t="shared" si="0"/>
        <v>4</v>
      </c>
    </row>
    <row r="10" ht="22" customHeight="1" spans="1:14">
      <c r="A10" s="9">
        <v>8</v>
      </c>
      <c r="B10" s="10">
        <v>46114</v>
      </c>
      <c r="C10" s="11" t="s">
        <v>28</v>
      </c>
      <c r="D10" s="11" t="s">
        <v>91</v>
      </c>
      <c r="E10" s="11">
        <v>4</v>
      </c>
      <c r="F10" s="12"/>
      <c r="G10" s="15"/>
      <c r="H10">
        <f t="shared" si="0"/>
        <v>4</v>
      </c>
    </row>
    <row r="11" customFormat="1" ht="22" customHeight="1" spans="1:14">
      <c r="A11" s="9">
        <v>9</v>
      </c>
      <c r="B11" s="10">
        <v>46114</v>
      </c>
      <c r="C11" s="11" t="s">
        <v>29</v>
      </c>
      <c r="D11" s="11" t="s">
        <v>91</v>
      </c>
      <c r="E11" s="11">
        <v>4</v>
      </c>
      <c r="F11" s="12"/>
      <c r="G11" s="15"/>
      <c r="H11">
        <f t="shared" si="0"/>
        <v>4</v>
      </c>
    </row>
    <row r="12" customFormat="1" ht="22" customHeight="1" spans="1:14">
      <c r="A12" s="9">
        <v>10</v>
      </c>
      <c r="B12" s="10">
        <v>46114</v>
      </c>
      <c r="C12" s="11" t="s">
        <v>30</v>
      </c>
      <c r="D12" s="11" t="s">
        <v>91</v>
      </c>
      <c r="E12" s="11">
        <v>4</v>
      </c>
      <c r="F12" s="12"/>
      <c r="G12" s="15"/>
      <c r="H12">
        <f t="shared" si="0"/>
        <v>4</v>
      </c>
    </row>
    <row r="13" customFormat="1" ht="22" customHeight="1" spans="1:14">
      <c r="A13" s="9">
        <v>11</v>
      </c>
      <c r="B13" s="10">
        <v>46114</v>
      </c>
      <c r="C13" s="11" t="s">
        <v>47</v>
      </c>
      <c r="D13" s="11" t="s">
        <v>91</v>
      </c>
      <c r="E13" s="11">
        <v>4</v>
      </c>
      <c r="F13" s="11"/>
      <c r="G13" s="15"/>
      <c r="H13">
        <f t="shared" si="0"/>
        <v>4</v>
      </c>
    </row>
    <row r="14" customFormat="1" ht="22" customHeight="1" spans="1:14">
      <c r="A14" s="9">
        <v>12</v>
      </c>
      <c r="B14" s="10">
        <v>46114</v>
      </c>
      <c r="C14" s="11" t="s">
        <v>31</v>
      </c>
      <c r="D14" s="11" t="s">
        <v>91</v>
      </c>
      <c r="E14" s="11">
        <v>4</v>
      </c>
      <c r="F14" s="12"/>
      <c r="G14" s="15"/>
      <c r="H14">
        <f t="shared" si="0"/>
        <v>4</v>
      </c>
    </row>
    <row r="15" customFormat="1" ht="22" customHeight="1" spans="1:14">
      <c r="A15" s="9">
        <v>13</v>
      </c>
      <c r="B15" s="10">
        <v>46114</v>
      </c>
      <c r="C15" s="11" t="s">
        <v>33</v>
      </c>
      <c r="D15" s="11" t="s">
        <v>91</v>
      </c>
      <c r="E15" s="11">
        <v>4</v>
      </c>
      <c r="F15" s="12"/>
      <c r="G15" s="15"/>
      <c r="H15">
        <f t="shared" si="0"/>
        <v>4</v>
      </c>
    </row>
    <row r="16" customFormat="1" ht="22" customHeight="1" spans="1:14">
      <c r="A16" s="9">
        <v>14</v>
      </c>
      <c r="B16" s="10">
        <v>46114</v>
      </c>
      <c r="C16" s="11" t="s">
        <v>34</v>
      </c>
      <c r="D16" s="11" t="s">
        <v>91</v>
      </c>
      <c r="E16" s="12"/>
      <c r="F16" s="11">
        <v>4</v>
      </c>
      <c r="G16" s="15"/>
      <c r="H16">
        <f t="shared" si="0"/>
        <v>4</v>
      </c>
    </row>
    <row r="17" customFormat="1" ht="22" customHeight="1" spans="1:9">
      <c r="A17" s="9">
        <v>15</v>
      </c>
      <c r="B17" s="10">
        <v>46114</v>
      </c>
      <c r="C17" s="11" t="s">
        <v>35</v>
      </c>
      <c r="D17" s="11" t="s">
        <v>91</v>
      </c>
      <c r="E17" s="11">
        <v>2</v>
      </c>
      <c r="F17" s="11">
        <v>2</v>
      </c>
      <c r="G17" s="15"/>
      <c r="H17">
        <f t="shared" si="0"/>
        <v>4</v>
      </c>
    </row>
    <row r="18" customFormat="1" ht="22" customHeight="1" spans="1:9">
      <c r="A18" s="9">
        <v>16</v>
      </c>
      <c r="B18" s="10">
        <v>46114</v>
      </c>
      <c r="C18" s="11" t="s">
        <v>37</v>
      </c>
      <c r="D18" s="11" t="s">
        <v>91</v>
      </c>
      <c r="E18" s="11">
        <v>4</v>
      </c>
      <c r="F18" s="12"/>
      <c r="G18" s="15"/>
      <c r="H18">
        <f t="shared" si="0"/>
        <v>4</v>
      </c>
    </row>
    <row r="19" customFormat="1" ht="22" customHeight="1" spans="1:9">
      <c r="A19" s="9">
        <v>17</v>
      </c>
      <c r="B19" s="10">
        <v>46114</v>
      </c>
      <c r="C19" s="11" t="s">
        <v>37</v>
      </c>
      <c r="D19" s="11" t="s">
        <v>91</v>
      </c>
      <c r="E19" s="12"/>
      <c r="F19" s="11">
        <v>4</v>
      </c>
      <c r="G19" s="15"/>
      <c r="H19">
        <f t="shared" si="0"/>
        <v>4</v>
      </c>
    </row>
    <row r="20" customFormat="1" ht="22" customHeight="1" spans="1:9">
      <c r="A20" s="9">
        <v>18</v>
      </c>
      <c r="B20" s="10">
        <v>46114</v>
      </c>
      <c r="C20" s="11" t="s">
        <v>38</v>
      </c>
      <c r="D20" s="11" t="s">
        <v>91</v>
      </c>
      <c r="E20" s="11">
        <v>4</v>
      </c>
      <c r="F20" s="12"/>
      <c r="G20" s="15"/>
      <c r="H20">
        <f t="shared" si="0"/>
        <v>4</v>
      </c>
    </row>
    <row r="21" s="2" customFormat="1" ht="22" customHeight="1" spans="1:9">
      <c r="A21" s="9">
        <v>19</v>
      </c>
      <c r="B21" s="10">
        <v>46114</v>
      </c>
      <c r="C21" s="16" t="s">
        <v>39</v>
      </c>
      <c r="D21" s="17" t="s">
        <v>91</v>
      </c>
      <c r="E21" s="16">
        <v>2</v>
      </c>
      <c r="F21" s="16">
        <v>2</v>
      </c>
      <c r="G21" s="18"/>
      <c r="H21">
        <f t="shared" si="0"/>
        <v>4</v>
      </c>
    </row>
    <row r="22" customFormat="1" ht="22" customHeight="1" spans="1:9">
      <c r="A22" s="9">
        <v>20</v>
      </c>
      <c r="B22" s="10">
        <v>46114</v>
      </c>
      <c r="C22" s="11" t="s">
        <v>40</v>
      </c>
      <c r="D22" s="11" t="s">
        <v>91</v>
      </c>
      <c r="E22" s="11">
        <v>4</v>
      </c>
      <c r="F22" s="11"/>
      <c r="G22" s="15"/>
      <c r="H22">
        <f t="shared" ref="H22:H51" si="1">SUM(E22:F22)</f>
        <v>4</v>
      </c>
    </row>
    <row r="23" customFormat="1" ht="22" customHeight="1" spans="1:9">
      <c r="A23" s="9">
        <v>21</v>
      </c>
      <c r="B23" s="10">
        <v>46114</v>
      </c>
      <c r="C23" s="11" t="s">
        <v>41</v>
      </c>
      <c r="D23" s="11" t="s">
        <v>91</v>
      </c>
      <c r="E23" s="11">
        <v>4</v>
      </c>
      <c r="F23" s="11"/>
      <c r="G23" s="15"/>
      <c r="H23">
        <f t="shared" si="1"/>
        <v>4</v>
      </c>
    </row>
    <row r="24" customFormat="1" ht="22" customHeight="1" spans="1:9">
      <c r="A24" s="9">
        <v>22</v>
      </c>
      <c r="B24" s="10">
        <v>46114</v>
      </c>
      <c r="C24" s="11" t="s">
        <v>42</v>
      </c>
      <c r="D24" s="11" t="s">
        <v>91</v>
      </c>
      <c r="E24" s="11">
        <v>4</v>
      </c>
      <c r="F24" s="11"/>
      <c r="G24" s="15"/>
      <c r="H24">
        <f t="shared" si="1"/>
        <v>4</v>
      </c>
    </row>
    <row r="25" customFormat="1" ht="22" customHeight="1" spans="1:9">
      <c r="A25" s="9">
        <v>23</v>
      </c>
      <c r="B25" s="10">
        <v>46114</v>
      </c>
      <c r="C25" s="11" t="s">
        <v>43</v>
      </c>
      <c r="D25" s="11" t="s">
        <v>91</v>
      </c>
      <c r="E25" s="11"/>
      <c r="F25" s="11">
        <v>4</v>
      </c>
      <c r="G25" s="15"/>
      <c r="H25">
        <f t="shared" si="1"/>
        <v>4</v>
      </c>
    </row>
    <row r="26" customFormat="1" ht="22" customHeight="1" spans="1:9">
      <c r="A26" s="9">
        <v>24</v>
      </c>
      <c r="B26" s="10">
        <v>46114</v>
      </c>
      <c r="C26" s="11" t="s">
        <v>44</v>
      </c>
      <c r="D26" s="11" t="s">
        <v>91</v>
      </c>
      <c r="E26" s="11">
        <v>4</v>
      </c>
      <c r="F26" s="11"/>
      <c r="G26" s="15"/>
      <c r="H26">
        <f t="shared" si="1"/>
        <v>4</v>
      </c>
    </row>
    <row r="27" customFormat="1" ht="22" customHeight="1" spans="1:9">
      <c r="A27" s="9">
        <v>25</v>
      </c>
      <c r="B27" s="10">
        <v>46114</v>
      </c>
      <c r="C27" s="11" t="s">
        <v>45</v>
      </c>
      <c r="D27" s="11" t="s">
        <v>91</v>
      </c>
      <c r="E27" s="11"/>
      <c r="F27" s="11">
        <v>4</v>
      </c>
      <c r="G27" s="15"/>
      <c r="H27">
        <f t="shared" si="1"/>
        <v>4</v>
      </c>
    </row>
    <row r="28" customFormat="1" ht="22" customHeight="1" spans="1:9">
      <c r="A28" s="9">
        <v>26</v>
      </c>
      <c r="B28" s="10">
        <v>46114</v>
      </c>
      <c r="C28" s="11" t="s">
        <v>46</v>
      </c>
      <c r="D28" s="11" t="s">
        <v>91</v>
      </c>
      <c r="E28" s="11">
        <v>4</v>
      </c>
      <c r="F28" s="11"/>
      <c r="G28" s="15"/>
      <c r="H28">
        <f t="shared" si="1"/>
        <v>4</v>
      </c>
    </row>
    <row r="29" customFormat="1" ht="22" customHeight="1" spans="1:9">
      <c r="A29" s="9">
        <v>27</v>
      </c>
      <c r="B29" s="10">
        <v>46114</v>
      </c>
      <c r="C29" s="11" t="s">
        <v>48</v>
      </c>
      <c r="D29" s="11" t="s">
        <v>91</v>
      </c>
      <c r="E29" s="27">
        <v>3</v>
      </c>
      <c r="F29" s="27">
        <v>1</v>
      </c>
      <c r="G29" s="15"/>
      <c r="H29">
        <f t="shared" si="1"/>
        <v>4</v>
      </c>
      <c r="I29" s="2" t="s">
        <v>103</v>
      </c>
    </row>
    <row r="30" customFormat="1" ht="22" customHeight="1" spans="1:9">
      <c r="A30" s="9">
        <v>28</v>
      </c>
      <c r="B30" s="10">
        <v>46114</v>
      </c>
      <c r="C30" s="11" t="s">
        <v>49</v>
      </c>
      <c r="D30" s="11" t="s">
        <v>91</v>
      </c>
      <c r="E30" s="27">
        <v>3</v>
      </c>
      <c r="F30" s="27">
        <v>1</v>
      </c>
      <c r="G30" s="15"/>
      <c r="H30">
        <f t="shared" si="1"/>
        <v>4</v>
      </c>
      <c r="I30" s="2" t="s">
        <v>103</v>
      </c>
    </row>
    <row r="31" customFormat="1" ht="22" customHeight="1" spans="1:9">
      <c r="A31" s="9">
        <v>29</v>
      </c>
      <c r="B31" s="10">
        <v>46114</v>
      </c>
      <c r="C31" s="11" t="s">
        <v>50</v>
      </c>
      <c r="D31" s="11" t="s">
        <v>91</v>
      </c>
      <c r="E31" s="27">
        <v>3</v>
      </c>
      <c r="F31" s="27">
        <v>1</v>
      </c>
      <c r="G31" s="15"/>
      <c r="H31">
        <f t="shared" si="1"/>
        <v>4</v>
      </c>
      <c r="I31" s="2" t="s">
        <v>103</v>
      </c>
    </row>
    <row r="32" customFormat="1" ht="22" customHeight="1" spans="1:9">
      <c r="A32" s="9">
        <v>30</v>
      </c>
      <c r="B32" s="10">
        <v>46114</v>
      </c>
      <c r="C32" s="11" t="s">
        <v>51</v>
      </c>
      <c r="D32" s="11" t="s">
        <v>91</v>
      </c>
      <c r="E32" s="27">
        <v>3</v>
      </c>
      <c r="F32" s="27">
        <v>1</v>
      </c>
      <c r="G32" s="15"/>
      <c r="H32">
        <f t="shared" si="1"/>
        <v>4</v>
      </c>
      <c r="I32" s="2" t="s">
        <v>103</v>
      </c>
    </row>
    <row r="33" customFormat="1" ht="22" customHeight="1" spans="1:10">
      <c r="A33" s="9">
        <v>31</v>
      </c>
      <c r="B33" s="10">
        <v>46114</v>
      </c>
      <c r="C33" s="11" t="s">
        <v>52</v>
      </c>
      <c r="D33" s="11" t="s">
        <v>91</v>
      </c>
      <c r="E33" s="11"/>
      <c r="F33" s="11">
        <v>4</v>
      </c>
      <c r="G33" s="15"/>
      <c r="H33">
        <f t="shared" si="1"/>
        <v>4</v>
      </c>
      <c r="J33" t="s">
        <v>93</v>
      </c>
    </row>
    <row r="34" customFormat="1" ht="22" customHeight="1" spans="1:10">
      <c r="A34" s="9">
        <v>32</v>
      </c>
      <c r="B34" s="10">
        <v>46114</v>
      </c>
      <c r="C34" s="11" t="s">
        <v>53</v>
      </c>
      <c r="D34" s="11" t="s">
        <v>91</v>
      </c>
      <c r="E34" s="11">
        <v>4</v>
      </c>
      <c r="F34" s="11"/>
      <c r="G34" s="15"/>
      <c r="H34">
        <f t="shared" si="1"/>
        <v>4</v>
      </c>
    </row>
    <row r="35" customFormat="1" ht="22" customHeight="1" spans="1:10">
      <c r="A35" s="9">
        <v>33</v>
      </c>
      <c r="B35" s="10">
        <v>46114</v>
      </c>
      <c r="C35" s="11" t="s">
        <v>54</v>
      </c>
      <c r="D35" s="11" t="s">
        <v>91</v>
      </c>
      <c r="E35" s="11">
        <v>4</v>
      </c>
      <c r="F35" s="11"/>
      <c r="G35" s="15"/>
      <c r="H35">
        <f t="shared" si="1"/>
        <v>4</v>
      </c>
    </row>
    <row r="36" customFormat="1" ht="22" customHeight="1" spans="1:10">
      <c r="A36" s="9">
        <v>34</v>
      </c>
      <c r="B36" s="10">
        <v>46114</v>
      </c>
      <c r="C36" s="11" t="s">
        <v>55</v>
      </c>
      <c r="D36" s="11" t="s">
        <v>91</v>
      </c>
      <c r="E36" s="11"/>
      <c r="F36" s="11">
        <v>4</v>
      </c>
      <c r="G36" s="15"/>
      <c r="H36">
        <f t="shared" si="1"/>
        <v>4</v>
      </c>
    </row>
    <row r="37" customFormat="1" ht="22" customHeight="1" spans="1:10">
      <c r="A37" s="9">
        <v>35</v>
      </c>
      <c r="B37" s="10">
        <v>46114</v>
      </c>
      <c r="C37" s="11" t="s">
        <v>56</v>
      </c>
      <c r="D37" s="11" t="s">
        <v>91</v>
      </c>
      <c r="E37" s="11">
        <v>4</v>
      </c>
      <c r="F37" s="11"/>
      <c r="G37" s="15"/>
      <c r="H37">
        <f t="shared" si="1"/>
        <v>4</v>
      </c>
    </row>
    <row r="38" customFormat="1" ht="22" customHeight="1" spans="1:10">
      <c r="A38" s="9">
        <v>36</v>
      </c>
      <c r="B38" s="10">
        <v>46114</v>
      </c>
      <c r="C38" s="11" t="s">
        <v>57</v>
      </c>
      <c r="D38" s="11" t="s">
        <v>91</v>
      </c>
      <c r="E38" s="11"/>
      <c r="F38" s="11">
        <v>4</v>
      </c>
      <c r="G38" s="15"/>
      <c r="H38">
        <f t="shared" si="1"/>
        <v>4</v>
      </c>
    </row>
    <row r="39" customFormat="1" ht="22" customHeight="1" spans="1:10">
      <c r="A39" s="9">
        <v>37</v>
      </c>
      <c r="B39" s="10">
        <v>46114</v>
      </c>
      <c r="C39" s="11" t="s">
        <v>58</v>
      </c>
      <c r="D39" s="11" t="s">
        <v>91</v>
      </c>
      <c r="E39" s="11"/>
      <c r="F39" s="11">
        <v>4</v>
      </c>
      <c r="G39" s="15"/>
      <c r="H39">
        <f t="shared" si="1"/>
        <v>4</v>
      </c>
    </row>
    <row r="40" customFormat="1" ht="22" customHeight="1" spans="1:10">
      <c r="A40" s="9">
        <v>38</v>
      </c>
      <c r="B40" s="10">
        <v>46114</v>
      </c>
      <c r="C40" s="11" t="s">
        <v>59</v>
      </c>
      <c r="D40" s="11" t="s">
        <v>91</v>
      </c>
      <c r="E40" s="11">
        <v>4</v>
      </c>
      <c r="F40" s="11"/>
      <c r="G40" s="15"/>
      <c r="H40">
        <f t="shared" si="1"/>
        <v>4</v>
      </c>
    </row>
    <row r="41" customFormat="1" ht="22" customHeight="1" spans="1:10">
      <c r="A41" s="9">
        <v>39</v>
      </c>
      <c r="B41" s="10">
        <v>46114</v>
      </c>
      <c r="C41" s="11" t="s">
        <v>61</v>
      </c>
      <c r="D41" s="11" t="s">
        <v>91</v>
      </c>
      <c r="E41" s="11"/>
      <c r="F41" s="11">
        <v>4</v>
      </c>
      <c r="G41" s="15"/>
      <c r="H41">
        <f t="shared" si="1"/>
        <v>4</v>
      </c>
    </row>
    <row r="42" customFormat="1" ht="22" customHeight="1" spans="1:10">
      <c r="A42" s="9">
        <v>40</v>
      </c>
      <c r="B42" s="10">
        <v>46114</v>
      </c>
      <c r="C42" s="12" t="s">
        <v>64</v>
      </c>
      <c r="D42" s="11" t="s">
        <v>91</v>
      </c>
      <c r="E42" s="11">
        <v>4</v>
      </c>
      <c r="F42" s="11"/>
      <c r="G42" s="15"/>
      <c r="H42">
        <f t="shared" si="1"/>
        <v>4</v>
      </c>
    </row>
    <row r="43" customFormat="1" ht="22" customHeight="1" spans="1:10">
      <c r="A43" s="9">
        <v>41</v>
      </c>
      <c r="B43" s="10">
        <v>46114</v>
      </c>
      <c r="C43" s="12" t="s">
        <v>66</v>
      </c>
      <c r="D43" s="11" t="s">
        <v>91</v>
      </c>
      <c r="E43" s="11"/>
      <c r="F43" s="11">
        <v>4</v>
      </c>
      <c r="G43" s="15"/>
      <c r="H43">
        <f t="shared" si="1"/>
        <v>4</v>
      </c>
    </row>
    <row r="44" customFormat="1" ht="22" customHeight="1" spans="1:10">
      <c r="A44" s="9">
        <v>42</v>
      </c>
      <c r="B44" s="10">
        <v>46114</v>
      </c>
      <c r="C44" s="12" t="s">
        <v>48</v>
      </c>
      <c r="D44" s="11" t="s">
        <v>91</v>
      </c>
      <c r="E44" s="11">
        <v>4</v>
      </c>
      <c r="F44" s="11"/>
      <c r="G44" s="15"/>
      <c r="H44">
        <f t="shared" si="1"/>
        <v>4</v>
      </c>
    </row>
    <row r="45" customFormat="1" ht="22" customHeight="1" spans="1:10">
      <c r="A45" s="9">
        <v>43</v>
      </c>
      <c r="B45" s="10">
        <v>46114</v>
      </c>
      <c r="C45" s="20" t="s">
        <v>67</v>
      </c>
      <c r="D45" s="17" t="s">
        <v>91</v>
      </c>
      <c r="E45" s="17">
        <v>4</v>
      </c>
      <c r="F45" s="17"/>
      <c r="G45" s="15"/>
      <c r="H45">
        <f t="shared" si="1"/>
        <v>4</v>
      </c>
    </row>
    <row r="46" customFormat="1" ht="22" customHeight="1" spans="1:10">
      <c r="A46" s="9">
        <v>44</v>
      </c>
      <c r="B46" s="10">
        <v>46114</v>
      </c>
      <c r="C46" s="20" t="s">
        <v>69</v>
      </c>
      <c r="D46" s="17" t="s">
        <v>91</v>
      </c>
      <c r="E46" s="17"/>
      <c r="F46" s="17">
        <v>4</v>
      </c>
      <c r="G46" s="15"/>
      <c r="H46">
        <f t="shared" si="1"/>
        <v>4</v>
      </c>
    </row>
    <row r="47" customFormat="1" ht="22" customHeight="1" spans="1:10">
      <c r="A47" s="9">
        <v>45</v>
      </c>
      <c r="B47" s="10">
        <v>46114</v>
      </c>
      <c r="C47" s="20" t="s">
        <v>70</v>
      </c>
      <c r="D47" s="17" t="s">
        <v>91</v>
      </c>
      <c r="E47" s="17"/>
      <c r="F47" s="17">
        <v>4</v>
      </c>
      <c r="G47" s="15"/>
      <c r="H47">
        <f t="shared" si="1"/>
        <v>4</v>
      </c>
    </row>
    <row r="48" customFormat="1" ht="22" customHeight="1" spans="1:10">
      <c r="A48" s="9">
        <v>46</v>
      </c>
      <c r="B48" s="10">
        <v>46114</v>
      </c>
      <c r="C48" s="20" t="s">
        <v>67</v>
      </c>
      <c r="D48" s="11" t="s">
        <v>88</v>
      </c>
      <c r="E48" s="17">
        <v>4</v>
      </c>
      <c r="F48" s="17"/>
      <c r="G48" s="25" t="s">
        <v>94</v>
      </c>
      <c r="H48">
        <f t="shared" si="1"/>
        <v>4</v>
      </c>
      <c r="I48" s="2" t="s">
        <v>101</v>
      </c>
    </row>
    <row r="49" customFormat="1" ht="22" customHeight="1" spans="1:9">
      <c r="A49" s="9">
        <v>47</v>
      </c>
      <c r="B49" s="10">
        <v>46114</v>
      </c>
      <c r="C49" s="20" t="s">
        <v>69</v>
      </c>
      <c r="D49" s="11" t="s">
        <v>88</v>
      </c>
      <c r="E49" s="17"/>
      <c r="F49" s="17">
        <v>4</v>
      </c>
      <c r="G49" s="25" t="s">
        <v>94</v>
      </c>
      <c r="H49">
        <f t="shared" si="1"/>
        <v>4</v>
      </c>
      <c r="I49" s="2" t="s">
        <v>101</v>
      </c>
    </row>
    <row r="50" customFormat="1" ht="22" customHeight="1" spans="1:9">
      <c r="A50" s="9">
        <v>48</v>
      </c>
      <c r="B50" s="10">
        <v>46114</v>
      </c>
      <c r="C50" s="20" t="s">
        <v>70</v>
      </c>
      <c r="D50" s="11" t="s">
        <v>88</v>
      </c>
      <c r="E50" s="17"/>
      <c r="F50" s="17">
        <v>4</v>
      </c>
      <c r="G50" s="25" t="s">
        <v>94</v>
      </c>
      <c r="H50">
        <f t="shared" si="1"/>
        <v>4</v>
      </c>
      <c r="I50" s="2" t="s">
        <v>101</v>
      </c>
    </row>
    <row r="51" s="2" customFormat="1" ht="22" customHeight="1" spans="1:9">
      <c r="A51" s="9">
        <v>49</v>
      </c>
      <c r="B51" s="10">
        <v>46114</v>
      </c>
      <c r="C51" s="16" t="s">
        <v>39</v>
      </c>
      <c r="D51" s="26"/>
      <c r="E51" s="26">
        <v>2</v>
      </c>
      <c r="F51" s="26">
        <v>2</v>
      </c>
      <c r="G51" s="25" t="s">
        <v>94</v>
      </c>
      <c r="H51">
        <f t="shared" si="1"/>
        <v>4</v>
      </c>
      <c r="I51" s="2" t="s">
        <v>102</v>
      </c>
    </row>
    <row r="52" customFormat="1" ht="22" customHeight="1" spans="1:9">
      <c r="A52" s="9"/>
      <c r="B52" s="10"/>
      <c r="C52" s="21"/>
      <c r="D52" s="21"/>
      <c r="E52" s="21"/>
      <c r="F52" s="21"/>
      <c r="G52" s="22"/>
    </row>
    <row r="53" customFormat="1" ht="25" customHeight="1" spans="1:9">
      <c r="E53" s="23">
        <f>SUM(E3:E52)</f>
        <v>118</v>
      </c>
      <c r="F53" s="23">
        <f>SUM(F3:F52)</f>
        <v>78</v>
      </c>
    </row>
    <row r="56" customFormat="1" ht="19" customHeight="1" spans="1:9">
      <c r="C56" s="24"/>
      <c r="D56" s="24"/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"/>
  <sheetViews>
    <sheetView workbookViewId="0">
      <pane ySplit="2" topLeftCell="A41" activePane="bottomLeft" state="frozen"/>
      <selection/>
      <selection pane="bottomLeft" activeCell="J9" sqref="J9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9.2857142857143" customWidth="1"/>
    <col min="4" max="6" width="12.1428571428571" customWidth="1"/>
    <col min="7" max="7" width="25.2857142857143" customWidth="1"/>
  </cols>
  <sheetData>
    <row r="1" ht="27" customHeight="1" spans="1:14">
      <c r="A1" s="3" t="s">
        <v>84</v>
      </c>
      <c r="B1" s="3"/>
      <c r="C1" s="3"/>
      <c r="D1" s="3"/>
      <c r="E1" s="3"/>
      <c r="F1" s="4"/>
      <c r="G1" s="5"/>
      <c r="I1" t="s">
        <v>93</v>
      </c>
    </row>
    <row r="2" s="1" customFormat="1" ht="27" customHeight="1" spans="1:14">
      <c r="A2" s="6" t="s">
        <v>2</v>
      </c>
      <c r="B2" s="6" t="s">
        <v>75</v>
      </c>
      <c r="C2" s="6" t="s">
        <v>3</v>
      </c>
      <c r="D2" s="7" t="s">
        <v>85</v>
      </c>
      <c r="E2" s="8" t="s">
        <v>86</v>
      </c>
      <c r="F2" s="8" t="s">
        <v>87</v>
      </c>
      <c r="G2" s="8" t="s">
        <v>7</v>
      </c>
      <c r="I2"/>
      <c r="J2"/>
      <c r="K2"/>
      <c r="L2"/>
      <c r="M2"/>
      <c r="N2"/>
    </row>
    <row r="3" ht="22" customHeight="1" spans="1:14">
      <c r="A3" s="9">
        <v>1</v>
      </c>
      <c r="B3" s="10">
        <v>46119</v>
      </c>
      <c r="C3" s="11" t="s">
        <v>16</v>
      </c>
      <c r="D3" s="11" t="s">
        <v>88</v>
      </c>
      <c r="E3" s="11">
        <v>3</v>
      </c>
      <c r="F3" s="12"/>
      <c r="G3" s="13"/>
      <c r="H3">
        <f t="shared" ref="H3:H21" si="0">SUM(E3:F3)</f>
        <v>3</v>
      </c>
    </row>
    <row r="4" ht="22" customHeight="1" spans="1:14">
      <c r="A4" s="9">
        <v>2</v>
      </c>
      <c r="B4" s="10">
        <v>46119</v>
      </c>
      <c r="C4" s="11" t="s">
        <v>19</v>
      </c>
      <c r="D4" s="11" t="s">
        <v>88</v>
      </c>
      <c r="E4" s="11">
        <v>3</v>
      </c>
      <c r="F4" s="12"/>
      <c r="G4" s="14"/>
      <c r="H4">
        <f t="shared" si="0"/>
        <v>3</v>
      </c>
    </row>
    <row r="5" ht="22" customHeight="1" spans="1:14">
      <c r="A5" s="9">
        <v>3</v>
      </c>
      <c r="B5" s="10">
        <v>46119</v>
      </c>
      <c r="C5" s="11" t="s">
        <v>21</v>
      </c>
      <c r="D5" s="11" t="s">
        <v>88</v>
      </c>
      <c r="E5" s="11">
        <v>3</v>
      </c>
      <c r="F5" s="12"/>
      <c r="G5" s="14"/>
      <c r="H5">
        <f t="shared" si="0"/>
        <v>3</v>
      </c>
    </row>
    <row r="6" customFormat="1" ht="22" customHeight="1" spans="1:14">
      <c r="A6" s="9">
        <v>4</v>
      </c>
      <c r="B6" s="10">
        <v>46119</v>
      </c>
      <c r="C6" s="11" t="s">
        <v>32</v>
      </c>
      <c r="D6" s="11" t="s">
        <v>88</v>
      </c>
      <c r="E6" s="11">
        <v>3</v>
      </c>
      <c r="F6" s="12"/>
      <c r="G6" s="15"/>
      <c r="H6">
        <f t="shared" si="0"/>
        <v>3</v>
      </c>
    </row>
    <row r="7" ht="22" customHeight="1" spans="1:14">
      <c r="A7" s="9">
        <v>5</v>
      </c>
      <c r="B7" s="10">
        <v>46119</v>
      </c>
      <c r="C7" s="11" t="s">
        <v>22</v>
      </c>
      <c r="D7" s="11" t="s">
        <v>88</v>
      </c>
      <c r="E7" s="12"/>
      <c r="F7" s="11">
        <v>3</v>
      </c>
      <c r="G7" s="14"/>
      <c r="H7">
        <f t="shared" si="0"/>
        <v>3</v>
      </c>
    </row>
    <row r="8" ht="22" customHeight="1" spans="1:14">
      <c r="A8" s="9">
        <v>6</v>
      </c>
      <c r="B8" s="10">
        <v>46119</v>
      </c>
      <c r="C8" s="11" t="s">
        <v>24</v>
      </c>
      <c r="D8" s="11" t="s">
        <v>88</v>
      </c>
      <c r="E8" s="12"/>
      <c r="F8" s="11">
        <v>3</v>
      </c>
      <c r="G8" s="14"/>
      <c r="H8">
        <f t="shared" si="0"/>
        <v>3</v>
      </c>
    </row>
    <row r="9" ht="22" customHeight="1" spans="1:14">
      <c r="A9" s="9">
        <v>7</v>
      </c>
      <c r="B9" s="10">
        <v>46119</v>
      </c>
      <c r="C9" s="11" t="s">
        <v>25</v>
      </c>
      <c r="D9" s="11" t="s">
        <v>88</v>
      </c>
      <c r="E9" s="11"/>
      <c r="F9" s="11">
        <v>3</v>
      </c>
      <c r="G9" s="14" t="s">
        <v>100</v>
      </c>
      <c r="H9">
        <f t="shared" si="0"/>
        <v>3</v>
      </c>
    </row>
    <row r="10" ht="22" customHeight="1" spans="1:14">
      <c r="A10" s="9">
        <v>8</v>
      </c>
      <c r="B10" s="10">
        <v>46119</v>
      </c>
      <c r="C10" s="11" t="s">
        <v>28</v>
      </c>
      <c r="D10" s="11" t="s">
        <v>88</v>
      </c>
      <c r="E10" s="11">
        <v>3</v>
      </c>
      <c r="F10" s="12"/>
      <c r="G10" s="15"/>
      <c r="H10">
        <f t="shared" si="0"/>
        <v>3</v>
      </c>
    </row>
    <row r="11" customFormat="1" ht="22" customHeight="1" spans="1:14">
      <c r="A11" s="9">
        <v>9</v>
      </c>
      <c r="B11" s="10">
        <v>46119</v>
      </c>
      <c r="C11" s="11" t="s">
        <v>29</v>
      </c>
      <c r="D11" s="11" t="s">
        <v>88</v>
      </c>
      <c r="E11" s="11">
        <v>3</v>
      </c>
      <c r="F11" s="12"/>
      <c r="G11" s="15"/>
      <c r="H11">
        <f t="shared" si="0"/>
        <v>3</v>
      </c>
    </row>
    <row r="12" customFormat="1" ht="22" customHeight="1" spans="1:14">
      <c r="A12" s="9">
        <v>10</v>
      </c>
      <c r="B12" s="10">
        <v>46119</v>
      </c>
      <c r="C12" s="11" t="s">
        <v>30</v>
      </c>
      <c r="D12" s="11" t="s">
        <v>88</v>
      </c>
      <c r="E12" s="11">
        <v>3</v>
      </c>
      <c r="F12" s="12"/>
      <c r="G12" s="15"/>
      <c r="H12">
        <f t="shared" si="0"/>
        <v>3</v>
      </c>
    </row>
    <row r="13" customFormat="1" ht="22" customHeight="1" spans="1:14">
      <c r="A13" s="9">
        <v>11</v>
      </c>
      <c r="B13" s="10">
        <v>46119</v>
      </c>
      <c r="C13" s="11" t="s">
        <v>47</v>
      </c>
      <c r="D13" s="11" t="s">
        <v>88</v>
      </c>
      <c r="E13" s="11">
        <v>3</v>
      </c>
      <c r="F13" s="11"/>
      <c r="G13" s="15"/>
      <c r="H13">
        <f t="shared" si="0"/>
        <v>3</v>
      </c>
    </row>
    <row r="14" customFormat="1" ht="22" customHeight="1" spans="1:14">
      <c r="A14" s="9">
        <v>12</v>
      </c>
      <c r="B14" s="10">
        <v>46119</v>
      </c>
      <c r="C14" s="11" t="s">
        <v>31</v>
      </c>
      <c r="D14" s="11" t="s">
        <v>88</v>
      </c>
      <c r="E14" s="11">
        <v>3</v>
      </c>
      <c r="F14" s="12"/>
      <c r="G14" s="15"/>
      <c r="H14">
        <f t="shared" si="0"/>
        <v>3</v>
      </c>
    </row>
    <row r="15" customFormat="1" ht="22" customHeight="1" spans="1:14">
      <c r="A15" s="9">
        <v>13</v>
      </c>
      <c r="B15" s="10">
        <v>46119</v>
      </c>
      <c r="C15" s="11" t="s">
        <v>33</v>
      </c>
      <c r="D15" s="11" t="s">
        <v>88</v>
      </c>
      <c r="E15" s="11">
        <v>3</v>
      </c>
      <c r="F15" s="12"/>
      <c r="G15" s="15"/>
      <c r="H15">
        <f t="shared" si="0"/>
        <v>3</v>
      </c>
    </row>
    <row r="16" customFormat="1" ht="22" customHeight="1" spans="1:14">
      <c r="A16" s="9">
        <v>14</v>
      </c>
      <c r="B16" s="10">
        <v>46119</v>
      </c>
      <c r="C16" s="11" t="s">
        <v>34</v>
      </c>
      <c r="D16" s="11" t="s">
        <v>88</v>
      </c>
      <c r="E16" s="12"/>
      <c r="F16" s="11">
        <v>3</v>
      </c>
      <c r="G16" s="15"/>
      <c r="H16">
        <f t="shared" si="0"/>
        <v>3</v>
      </c>
    </row>
    <row r="17" customFormat="1" ht="22" customHeight="1" spans="1:8">
      <c r="A17" s="9">
        <v>15</v>
      </c>
      <c r="B17" s="10">
        <v>46119</v>
      </c>
      <c r="C17" s="11" t="s">
        <v>35</v>
      </c>
      <c r="D17" s="11" t="s">
        <v>88</v>
      </c>
      <c r="E17" s="11">
        <v>2</v>
      </c>
      <c r="F17" s="11">
        <v>1</v>
      </c>
      <c r="G17" s="15"/>
      <c r="H17">
        <f t="shared" si="0"/>
        <v>3</v>
      </c>
    </row>
    <row r="18" customFormat="1" ht="22" customHeight="1" spans="1:8">
      <c r="A18" s="9">
        <v>16</v>
      </c>
      <c r="B18" s="10">
        <v>46119</v>
      </c>
      <c r="C18" s="11" t="s">
        <v>37</v>
      </c>
      <c r="D18" s="11" t="s">
        <v>88</v>
      </c>
      <c r="E18" s="11">
        <v>3</v>
      </c>
      <c r="F18" s="12"/>
      <c r="G18" s="15"/>
      <c r="H18">
        <f t="shared" si="0"/>
        <v>3</v>
      </c>
    </row>
    <row r="19" customFormat="1" ht="22" customHeight="1" spans="1:8">
      <c r="A19" s="9">
        <v>17</v>
      </c>
      <c r="B19" s="10">
        <v>46119</v>
      </c>
      <c r="C19" s="11" t="s">
        <v>37</v>
      </c>
      <c r="D19" s="11" t="s">
        <v>88</v>
      </c>
      <c r="E19" s="12"/>
      <c r="F19" s="11">
        <v>3</v>
      </c>
      <c r="G19" s="15"/>
      <c r="H19">
        <f t="shared" si="0"/>
        <v>3</v>
      </c>
    </row>
    <row r="20" customFormat="1" ht="22" customHeight="1" spans="1:8">
      <c r="A20" s="9">
        <v>18</v>
      </c>
      <c r="B20" s="10">
        <v>46119</v>
      </c>
      <c r="C20" s="11" t="s">
        <v>38</v>
      </c>
      <c r="D20" s="11" t="s">
        <v>88</v>
      </c>
      <c r="E20" s="11">
        <v>3</v>
      </c>
      <c r="F20" s="12"/>
      <c r="G20" s="15"/>
      <c r="H20">
        <f t="shared" si="0"/>
        <v>3</v>
      </c>
    </row>
    <row r="21" s="2" customFormat="1" ht="22" customHeight="1" spans="1:8">
      <c r="A21" s="9">
        <v>19</v>
      </c>
      <c r="B21" s="10">
        <v>46119</v>
      </c>
      <c r="C21" s="16" t="s">
        <v>39</v>
      </c>
      <c r="D21" s="11" t="s">
        <v>88</v>
      </c>
      <c r="E21" s="16">
        <v>2</v>
      </c>
      <c r="F21" s="16">
        <v>1</v>
      </c>
      <c r="G21" s="18"/>
      <c r="H21">
        <f t="shared" si="0"/>
        <v>3</v>
      </c>
    </row>
    <row r="22" customFormat="1" ht="22" customHeight="1" spans="1:8">
      <c r="A22" s="9">
        <v>20</v>
      </c>
      <c r="B22" s="10">
        <v>46119</v>
      </c>
      <c r="C22" s="11" t="s">
        <v>40</v>
      </c>
      <c r="D22" s="11" t="s">
        <v>88</v>
      </c>
      <c r="E22" s="11">
        <v>3</v>
      </c>
      <c r="F22" s="11"/>
      <c r="G22" s="15"/>
      <c r="H22">
        <f t="shared" ref="H22:H51" si="1">SUM(E22:F22)</f>
        <v>3</v>
      </c>
    </row>
    <row r="23" customFormat="1" ht="22" customHeight="1" spans="1:8">
      <c r="A23" s="9">
        <v>21</v>
      </c>
      <c r="B23" s="10">
        <v>46119</v>
      </c>
      <c r="C23" s="11" t="s">
        <v>41</v>
      </c>
      <c r="D23" s="11" t="s">
        <v>88</v>
      </c>
      <c r="E23" s="11">
        <v>3</v>
      </c>
      <c r="F23" s="11"/>
      <c r="G23" s="15"/>
      <c r="H23">
        <f t="shared" si="1"/>
        <v>3</v>
      </c>
    </row>
    <row r="24" customFormat="1" ht="22" customHeight="1" spans="1:8">
      <c r="A24" s="9">
        <v>22</v>
      </c>
      <c r="B24" s="10">
        <v>46119</v>
      </c>
      <c r="C24" s="11" t="s">
        <v>42</v>
      </c>
      <c r="D24" s="11" t="s">
        <v>88</v>
      </c>
      <c r="E24" s="11">
        <v>3</v>
      </c>
      <c r="F24" s="11"/>
      <c r="G24" s="15"/>
      <c r="H24">
        <f t="shared" si="1"/>
        <v>3</v>
      </c>
    </row>
    <row r="25" customFormat="1" ht="22" customHeight="1" spans="1:8">
      <c r="A25" s="9">
        <v>23</v>
      </c>
      <c r="B25" s="10">
        <v>46119</v>
      </c>
      <c r="C25" s="11" t="s">
        <v>43</v>
      </c>
      <c r="D25" s="11" t="s">
        <v>88</v>
      </c>
      <c r="E25" s="11"/>
      <c r="F25" s="11">
        <v>3</v>
      </c>
      <c r="G25" s="15"/>
      <c r="H25">
        <f t="shared" si="1"/>
        <v>3</v>
      </c>
    </row>
    <row r="26" customFormat="1" ht="22" customHeight="1" spans="1:8">
      <c r="A26" s="9">
        <v>24</v>
      </c>
      <c r="B26" s="10">
        <v>46119</v>
      </c>
      <c r="C26" s="11" t="s">
        <v>44</v>
      </c>
      <c r="D26" s="11" t="s">
        <v>88</v>
      </c>
      <c r="E26" s="11">
        <v>3</v>
      </c>
      <c r="F26" s="11"/>
      <c r="G26" s="15"/>
      <c r="H26">
        <f t="shared" si="1"/>
        <v>3</v>
      </c>
    </row>
    <row r="27" customFormat="1" ht="22" customHeight="1" spans="1:8">
      <c r="A27" s="9">
        <v>25</v>
      </c>
      <c r="B27" s="10">
        <v>46119</v>
      </c>
      <c r="C27" s="11" t="s">
        <v>45</v>
      </c>
      <c r="D27" s="11" t="s">
        <v>88</v>
      </c>
      <c r="E27" s="11"/>
      <c r="F27" s="11">
        <v>3</v>
      </c>
      <c r="G27" s="15"/>
      <c r="H27">
        <f t="shared" si="1"/>
        <v>3</v>
      </c>
    </row>
    <row r="28" customFormat="1" ht="22" customHeight="1" spans="1:8">
      <c r="A28" s="9">
        <v>26</v>
      </c>
      <c r="B28" s="10">
        <v>46119</v>
      </c>
      <c r="C28" s="11" t="s">
        <v>46</v>
      </c>
      <c r="D28" s="11" t="s">
        <v>88</v>
      </c>
      <c r="E28" s="11">
        <v>3</v>
      </c>
      <c r="F28" s="11"/>
      <c r="G28" s="15"/>
      <c r="H28">
        <f t="shared" si="1"/>
        <v>3</v>
      </c>
    </row>
    <row r="29" customFormat="1" ht="22" customHeight="1" spans="1:8">
      <c r="A29" s="9">
        <v>27</v>
      </c>
      <c r="B29" s="10">
        <v>46119</v>
      </c>
      <c r="C29" s="11" t="s">
        <v>48</v>
      </c>
      <c r="D29" s="11" t="s">
        <v>88</v>
      </c>
      <c r="E29" s="11">
        <v>2</v>
      </c>
      <c r="F29" s="11">
        <v>1</v>
      </c>
      <c r="G29" s="15"/>
      <c r="H29">
        <f t="shared" si="1"/>
        <v>3</v>
      </c>
    </row>
    <row r="30" customFormat="1" ht="22" customHeight="1" spans="1:8">
      <c r="A30" s="9">
        <v>28</v>
      </c>
      <c r="B30" s="10">
        <v>46119</v>
      </c>
      <c r="C30" s="11" t="s">
        <v>49</v>
      </c>
      <c r="D30" s="11" t="s">
        <v>88</v>
      </c>
      <c r="E30" s="11">
        <v>2</v>
      </c>
      <c r="F30" s="11">
        <v>1</v>
      </c>
      <c r="G30" s="15"/>
      <c r="H30">
        <f t="shared" si="1"/>
        <v>3</v>
      </c>
    </row>
    <row r="31" customFormat="1" ht="22" customHeight="1" spans="1:8">
      <c r="A31" s="9">
        <v>29</v>
      </c>
      <c r="B31" s="10">
        <v>46119</v>
      </c>
      <c r="C31" s="11" t="s">
        <v>50</v>
      </c>
      <c r="D31" s="11" t="s">
        <v>88</v>
      </c>
      <c r="E31" s="11">
        <v>2</v>
      </c>
      <c r="F31" s="11">
        <v>1</v>
      </c>
      <c r="G31" s="15"/>
      <c r="H31">
        <f t="shared" si="1"/>
        <v>3</v>
      </c>
    </row>
    <row r="32" customFormat="1" ht="22" customHeight="1" spans="1:8">
      <c r="A32" s="9">
        <v>30</v>
      </c>
      <c r="B32" s="10">
        <v>46119</v>
      </c>
      <c r="C32" s="11" t="s">
        <v>51</v>
      </c>
      <c r="D32" s="11" t="s">
        <v>88</v>
      </c>
      <c r="E32" s="11">
        <v>2</v>
      </c>
      <c r="F32" s="11">
        <v>1</v>
      </c>
      <c r="G32" s="15"/>
      <c r="H32">
        <f t="shared" si="1"/>
        <v>3</v>
      </c>
    </row>
    <row r="33" customFormat="1" ht="22" customHeight="1" spans="1:9">
      <c r="A33" s="9">
        <v>31</v>
      </c>
      <c r="B33" s="10">
        <v>46119</v>
      </c>
      <c r="C33" s="11" t="s">
        <v>52</v>
      </c>
      <c r="D33" s="11" t="s">
        <v>88</v>
      </c>
      <c r="E33" s="11"/>
      <c r="F33" s="11">
        <v>3</v>
      </c>
      <c r="G33" s="15"/>
      <c r="H33">
        <f t="shared" si="1"/>
        <v>3</v>
      </c>
    </row>
    <row r="34" customFormat="1" ht="22" customHeight="1" spans="1:9">
      <c r="A34" s="9">
        <v>32</v>
      </c>
      <c r="B34" s="10">
        <v>46119</v>
      </c>
      <c r="C34" s="11" t="s">
        <v>53</v>
      </c>
      <c r="D34" s="11" t="s">
        <v>88</v>
      </c>
      <c r="E34" s="11">
        <v>3</v>
      </c>
      <c r="F34" s="11"/>
      <c r="G34" s="15"/>
      <c r="H34">
        <f t="shared" si="1"/>
        <v>3</v>
      </c>
    </row>
    <row r="35" customFormat="1" ht="22" customHeight="1" spans="1:9">
      <c r="A35" s="9">
        <v>33</v>
      </c>
      <c r="B35" s="10">
        <v>46119</v>
      </c>
      <c r="C35" s="11" t="s">
        <v>54</v>
      </c>
      <c r="D35" s="11" t="s">
        <v>88</v>
      </c>
      <c r="E35" s="11">
        <v>3</v>
      </c>
      <c r="F35" s="11"/>
      <c r="G35" s="15"/>
      <c r="H35">
        <f t="shared" si="1"/>
        <v>3</v>
      </c>
    </row>
    <row r="36" customFormat="1" ht="22" customHeight="1" spans="1:9">
      <c r="A36" s="9">
        <v>34</v>
      </c>
      <c r="B36" s="10">
        <v>46119</v>
      </c>
      <c r="C36" s="11" t="s">
        <v>55</v>
      </c>
      <c r="D36" s="11" t="s">
        <v>88</v>
      </c>
      <c r="E36" s="11"/>
      <c r="F36" s="11">
        <v>3</v>
      </c>
      <c r="G36" s="15"/>
      <c r="H36">
        <f t="shared" si="1"/>
        <v>3</v>
      </c>
    </row>
    <row r="37" customFormat="1" ht="22" customHeight="1" spans="1:9">
      <c r="A37" s="9">
        <v>35</v>
      </c>
      <c r="B37" s="10">
        <v>46119</v>
      </c>
      <c r="C37" s="11" t="s">
        <v>56</v>
      </c>
      <c r="D37" s="11" t="s">
        <v>88</v>
      </c>
      <c r="E37" s="11">
        <v>3</v>
      </c>
      <c r="F37" s="11"/>
      <c r="G37" s="15"/>
      <c r="H37">
        <f t="shared" si="1"/>
        <v>3</v>
      </c>
    </row>
    <row r="38" customFormat="1" ht="22" customHeight="1" spans="1:9">
      <c r="A38" s="9">
        <v>36</v>
      </c>
      <c r="B38" s="10">
        <v>46119</v>
      </c>
      <c r="C38" s="11" t="s">
        <v>57</v>
      </c>
      <c r="D38" s="11" t="s">
        <v>88</v>
      </c>
      <c r="E38" s="11"/>
      <c r="F38" s="11">
        <v>3</v>
      </c>
      <c r="G38" s="15"/>
      <c r="H38">
        <f t="shared" si="1"/>
        <v>3</v>
      </c>
    </row>
    <row r="39" customFormat="1" ht="22" customHeight="1" spans="1:9">
      <c r="A39" s="9">
        <v>37</v>
      </c>
      <c r="B39" s="10">
        <v>46119</v>
      </c>
      <c r="C39" s="11" t="s">
        <v>58</v>
      </c>
      <c r="D39" s="11" t="s">
        <v>88</v>
      </c>
      <c r="E39" s="11"/>
      <c r="F39" s="11">
        <v>3</v>
      </c>
      <c r="G39" s="15"/>
      <c r="H39">
        <f t="shared" si="1"/>
        <v>3</v>
      </c>
    </row>
    <row r="40" customFormat="1" ht="22" customHeight="1" spans="1:9">
      <c r="A40" s="9">
        <v>38</v>
      </c>
      <c r="B40" s="10">
        <v>46119</v>
      </c>
      <c r="C40" s="11" t="s">
        <v>59</v>
      </c>
      <c r="D40" s="11" t="s">
        <v>88</v>
      </c>
      <c r="E40" s="11">
        <v>3</v>
      </c>
      <c r="F40" s="11"/>
      <c r="G40" s="15"/>
      <c r="H40">
        <f t="shared" si="1"/>
        <v>3</v>
      </c>
    </row>
    <row r="41" customFormat="1" ht="22" customHeight="1" spans="1:9">
      <c r="A41" s="9">
        <v>39</v>
      </c>
      <c r="B41" s="10">
        <v>46119</v>
      </c>
      <c r="C41" s="11" t="s">
        <v>61</v>
      </c>
      <c r="D41" s="11" t="s">
        <v>88</v>
      </c>
      <c r="E41" s="11"/>
      <c r="F41" s="11">
        <v>3</v>
      </c>
      <c r="G41" s="15"/>
      <c r="H41">
        <f t="shared" si="1"/>
        <v>3</v>
      </c>
    </row>
    <row r="42" customFormat="1" ht="22" customHeight="1" spans="1:9">
      <c r="A42" s="9">
        <v>40</v>
      </c>
      <c r="B42" s="10">
        <v>46119</v>
      </c>
      <c r="C42" s="12" t="s">
        <v>64</v>
      </c>
      <c r="D42" s="11" t="s">
        <v>88</v>
      </c>
      <c r="E42" s="11">
        <v>3</v>
      </c>
      <c r="F42" s="11"/>
      <c r="G42" s="15"/>
      <c r="H42">
        <f t="shared" si="1"/>
        <v>3</v>
      </c>
    </row>
    <row r="43" customFormat="1" ht="22" customHeight="1" spans="1:9">
      <c r="A43" s="9">
        <v>41</v>
      </c>
      <c r="B43" s="10">
        <v>46119</v>
      </c>
      <c r="C43" s="12" t="s">
        <v>66</v>
      </c>
      <c r="D43" s="11" t="s">
        <v>88</v>
      </c>
      <c r="E43" s="11"/>
      <c r="F43" s="11">
        <v>3</v>
      </c>
      <c r="G43" s="15"/>
      <c r="H43">
        <f t="shared" si="1"/>
        <v>3</v>
      </c>
    </row>
    <row r="44" customFormat="1" ht="22" customHeight="1" spans="1:9">
      <c r="A44" s="9">
        <v>42</v>
      </c>
      <c r="B44" s="10">
        <v>46119</v>
      </c>
      <c r="C44" s="12" t="s">
        <v>48</v>
      </c>
      <c r="D44" s="11" t="s">
        <v>88</v>
      </c>
      <c r="E44" s="11">
        <v>3</v>
      </c>
      <c r="F44" s="11"/>
      <c r="G44" s="15"/>
      <c r="H44">
        <f t="shared" si="1"/>
        <v>3</v>
      </c>
    </row>
    <row r="45" customFormat="1" ht="22" customHeight="1" spans="1:9">
      <c r="A45" s="9">
        <v>43</v>
      </c>
      <c r="B45" s="10">
        <v>46119</v>
      </c>
      <c r="C45" s="20" t="s">
        <v>67</v>
      </c>
      <c r="D45" s="11" t="s">
        <v>88</v>
      </c>
      <c r="E45" s="11">
        <v>3</v>
      </c>
      <c r="F45" s="17"/>
      <c r="G45" s="15"/>
      <c r="H45">
        <f t="shared" si="1"/>
        <v>3</v>
      </c>
    </row>
    <row r="46" customFormat="1" ht="22" customHeight="1" spans="1:9">
      <c r="A46" s="9">
        <v>44</v>
      </c>
      <c r="B46" s="10">
        <v>46119</v>
      </c>
      <c r="C46" s="20" t="s">
        <v>69</v>
      </c>
      <c r="D46" s="11" t="s">
        <v>88</v>
      </c>
      <c r="E46" s="17"/>
      <c r="F46" s="11">
        <v>3</v>
      </c>
      <c r="G46" s="15"/>
      <c r="H46">
        <f t="shared" si="1"/>
        <v>3</v>
      </c>
    </row>
    <row r="47" customFormat="1" ht="22" customHeight="1" spans="1:9">
      <c r="A47" s="9">
        <v>45</v>
      </c>
      <c r="B47" s="10">
        <v>46119</v>
      </c>
      <c r="C47" s="20" t="s">
        <v>70</v>
      </c>
      <c r="D47" s="11" t="s">
        <v>88</v>
      </c>
      <c r="E47" s="17"/>
      <c r="F47" s="11">
        <v>3</v>
      </c>
      <c r="G47" s="15"/>
      <c r="H47">
        <f t="shared" si="1"/>
        <v>3</v>
      </c>
    </row>
    <row r="48" customFormat="1" ht="22" customHeight="1" spans="1:9">
      <c r="A48" s="9">
        <v>46</v>
      </c>
      <c r="B48" s="10">
        <v>46119</v>
      </c>
      <c r="C48" s="20" t="s">
        <v>67</v>
      </c>
      <c r="D48" s="11" t="s">
        <v>88</v>
      </c>
      <c r="E48" s="11">
        <v>3</v>
      </c>
      <c r="F48" s="17"/>
      <c r="G48" s="25" t="s">
        <v>94</v>
      </c>
      <c r="H48">
        <f t="shared" si="1"/>
        <v>3</v>
      </c>
      <c r="I48" s="2" t="s">
        <v>101</v>
      </c>
    </row>
    <row r="49" customFormat="1" ht="22" customHeight="1" spans="1:9">
      <c r="A49" s="9">
        <v>47</v>
      </c>
      <c r="B49" s="10">
        <v>46119</v>
      </c>
      <c r="C49" s="20" t="s">
        <v>69</v>
      </c>
      <c r="D49" s="11" t="s">
        <v>88</v>
      </c>
      <c r="E49" s="17"/>
      <c r="F49" s="11">
        <v>3</v>
      </c>
      <c r="G49" s="25" t="s">
        <v>94</v>
      </c>
      <c r="H49">
        <f t="shared" si="1"/>
        <v>3</v>
      </c>
      <c r="I49" s="2" t="s">
        <v>101</v>
      </c>
    </row>
    <row r="50" customFormat="1" ht="22" customHeight="1" spans="1:9">
      <c r="A50" s="9">
        <v>48</v>
      </c>
      <c r="B50" s="10">
        <v>46119</v>
      </c>
      <c r="C50" s="20" t="s">
        <v>70</v>
      </c>
      <c r="D50" s="11" t="s">
        <v>88</v>
      </c>
      <c r="E50" s="17"/>
      <c r="F50" s="11">
        <v>3</v>
      </c>
      <c r="G50" s="25" t="s">
        <v>94</v>
      </c>
      <c r="H50">
        <f t="shared" si="1"/>
        <v>3</v>
      </c>
      <c r="I50" s="2" t="s">
        <v>101</v>
      </c>
    </row>
    <row r="51" s="2" customFormat="1" ht="22" customHeight="1" spans="1:9">
      <c r="A51" s="9">
        <v>49</v>
      </c>
      <c r="B51" s="10">
        <v>46119</v>
      </c>
      <c r="C51" s="16" t="s">
        <v>39</v>
      </c>
      <c r="D51" s="26"/>
      <c r="E51" s="16"/>
      <c r="F51" s="16">
        <v>3</v>
      </c>
      <c r="G51" s="25" t="s">
        <v>94</v>
      </c>
      <c r="H51">
        <f t="shared" si="1"/>
        <v>3</v>
      </c>
      <c r="I51" s="2" t="s">
        <v>102</v>
      </c>
    </row>
    <row r="52" customFormat="1" ht="22" customHeight="1" spans="1:9">
      <c r="A52" s="9"/>
      <c r="B52" s="10"/>
      <c r="C52" s="21"/>
      <c r="D52" s="21"/>
      <c r="E52" s="21"/>
      <c r="F52" s="21"/>
      <c r="G52" s="22"/>
    </row>
    <row r="53" customFormat="1" ht="25" customHeight="1" spans="1:9">
      <c r="E53" s="23">
        <f>SUM(E3:E52)</f>
        <v>87</v>
      </c>
      <c r="F53" s="23">
        <f>SUM(F3:F52)</f>
        <v>60</v>
      </c>
    </row>
    <row r="56" customFormat="1" ht="19" customHeight="1" spans="1:9">
      <c r="C56" s="24"/>
      <c r="D56" s="24"/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"/>
  <sheetViews>
    <sheetView workbookViewId="0">
      <pane ySplit="2" topLeftCell="A3" activePane="bottomLeft" state="frozen"/>
      <selection/>
      <selection pane="bottomLeft" activeCell="F47" sqref="D3:F47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5.1428571428571" customWidth="1"/>
    <col min="4" max="4" width="12.1428571428571" customWidth="1"/>
    <col min="5" max="6" width="10.5714285714286" customWidth="1"/>
    <col min="7" max="7" width="25.2857142857143" customWidth="1"/>
  </cols>
  <sheetData>
    <row r="1" ht="38" customHeight="1" spans="1:14">
      <c r="A1" s="3" t="s">
        <v>84</v>
      </c>
      <c r="B1" s="3"/>
      <c r="C1" s="3"/>
      <c r="D1" s="3"/>
      <c r="E1" s="3"/>
      <c r="F1" s="4"/>
      <c r="G1" s="5"/>
    </row>
    <row r="2" s="1" customFormat="1" ht="32" customHeight="1" spans="1:14">
      <c r="A2" s="6" t="s">
        <v>2</v>
      </c>
      <c r="B2" s="6" t="s">
        <v>75</v>
      </c>
      <c r="C2" s="6" t="s">
        <v>3</v>
      </c>
      <c r="D2" s="7" t="s">
        <v>85</v>
      </c>
      <c r="E2" s="8" t="s">
        <v>86</v>
      </c>
      <c r="F2" s="8" t="s">
        <v>87</v>
      </c>
      <c r="G2" s="8" t="s">
        <v>7</v>
      </c>
      <c r="I2"/>
      <c r="J2"/>
      <c r="K2"/>
      <c r="L2"/>
      <c r="M2"/>
      <c r="N2"/>
    </row>
    <row r="3" ht="22" customHeight="1" spans="1:14">
      <c r="A3" s="9">
        <v>1</v>
      </c>
      <c r="B3" s="10">
        <v>46121</v>
      </c>
      <c r="C3" s="11" t="s">
        <v>16</v>
      </c>
      <c r="D3" s="11" t="s">
        <v>91</v>
      </c>
      <c r="E3" s="11">
        <v>4</v>
      </c>
      <c r="F3" s="12"/>
      <c r="G3" s="13"/>
      <c r="H3">
        <f t="shared" ref="H3:H51" si="0">SUM(E3:F3)</f>
        <v>4</v>
      </c>
    </row>
    <row r="4" ht="22" customHeight="1" spans="1:14">
      <c r="A4" s="9">
        <v>2</v>
      </c>
      <c r="B4" s="10">
        <v>46121</v>
      </c>
      <c r="C4" s="11" t="s">
        <v>19</v>
      </c>
      <c r="D4" s="11" t="s">
        <v>91</v>
      </c>
      <c r="E4" s="11">
        <v>4</v>
      </c>
      <c r="F4" s="12"/>
      <c r="G4" s="14"/>
      <c r="H4">
        <f t="shared" si="0"/>
        <v>4</v>
      </c>
    </row>
    <row r="5" ht="22" customHeight="1" spans="1:14">
      <c r="A5" s="9">
        <v>3</v>
      </c>
      <c r="B5" s="10">
        <v>46121</v>
      </c>
      <c r="C5" s="11" t="s">
        <v>21</v>
      </c>
      <c r="D5" s="11" t="s">
        <v>91</v>
      </c>
      <c r="E5" s="11">
        <v>4</v>
      </c>
      <c r="F5" s="12"/>
      <c r="G5" s="14"/>
      <c r="H5">
        <f t="shared" si="0"/>
        <v>4</v>
      </c>
    </row>
    <row r="6" customFormat="1" ht="22" customHeight="1" spans="1:14">
      <c r="A6" s="9">
        <v>4</v>
      </c>
      <c r="B6" s="10">
        <v>46121</v>
      </c>
      <c r="C6" s="11" t="s">
        <v>32</v>
      </c>
      <c r="D6" s="11" t="s">
        <v>91</v>
      </c>
      <c r="E6" s="11">
        <v>4</v>
      </c>
      <c r="F6" s="12"/>
      <c r="G6" s="15"/>
      <c r="H6">
        <f t="shared" si="0"/>
        <v>4</v>
      </c>
    </row>
    <row r="7" ht="22" customHeight="1" spans="1:14">
      <c r="A7" s="9">
        <v>5</v>
      </c>
      <c r="B7" s="10">
        <v>46121</v>
      </c>
      <c r="C7" s="11" t="s">
        <v>22</v>
      </c>
      <c r="D7" s="11" t="s">
        <v>91</v>
      </c>
      <c r="E7" s="12"/>
      <c r="F7" s="11">
        <v>4</v>
      </c>
      <c r="G7" s="14"/>
      <c r="H7">
        <f t="shared" si="0"/>
        <v>4</v>
      </c>
    </row>
    <row r="8" ht="22" customHeight="1" spans="1:14">
      <c r="A8" s="9">
        <v>6</v>
      </c>
      <c r="B8" s="10">
        <v>46121</v>
      </c>
      <c r="C8" s="11" t="s">
        <v>24</v>
      </c>
      <c r="D8" s="11" t="s">
        <v>91</v>
      </c>
      <c r="E8" s="12"/>
      <c r="F8" s="11">
        <v>4</v>
      </c>
      <c r="G8" s="14"/>
      <c r="H8">
        <f t="shared" si="0"/>
        <v>4</v>
      </c>
    </row>
    <row r="9" ht="22" customHeight="1" spans="1:14">
      <c r="A9" s="9">
        <v>7</v>
      </c>
      <c r="B9" s="10">
        <v>46121</v>
      </c>
      <c r="C9" s="11" t="s">
        <v>25</v>
      </c>
      <c r="D9" s="11" t="s">
        <v>91</v>
      </c>
      <c r="E9" s="11"/>
      <c r="F9" s="11">
        <v>4</v>
      </c>
      <c r="G9" s="14" t="s">
        <v>100</v>
      </c>
      <c r="H9">
        <f t="shared" si="0"/>
        <v>4</v>
      </c>
    </row>
    <row r="10" ht="22" customHeight="1" spans="1:14">
      <c r="A10" s="9">
        <v>8</v>
      </c>
      <c r="B10" s="10">
        <v>46121</v>
      </c>
      <c r="C10" s="11" t="s">
        <v>28</v>
      </c>
      <c r="D10" s="11" t="s">
        <v>91</v>
      </c>
      <c r="E10" s="11">
        <v>4</v>
      </c>
      <c r="F10" s="12"/>
      <c r="G10" s="15"/>
      <c r="H10">
        <f t="shared" si="0"/>
        <v>4</v>
      </c>
    </row>
    <row r="11" customFormat="1" ht="22" customHeight="1" spans="1:14">
      <c r="A11" s="9">
        <v>9</v>
      </c>
      <c r="B11" s="10">
        <v>46121</v>
      </c>
      <c r="C11" s="11" t="s">
        <v>29</v>
      </c>
      <c r="D11" s="11" t="s">
        <v>91</v>
      </c>
      <c r="E11" s="11">
        <v>4</v>
      </c>
      <c r="F11" s="12"/>
      <c r="G11" s="15"/>
      <c r="H11">
        <f t="shared" si="0"/>
        <v>4</v>
      </c>
    </row>
    <row r="12" customFormat="1" ht="22" customHeight="1" spans="1:14">
      <c r="A12" s="9">
        <v>10</v>
      </c>
      <c r="B12" s="10">
        <v>46121</v>
      </c>
      <c r="C12" s="11" t="s">
        <v>30</v>
      </c>
      <c r="D12" s="11" t="s">
        <v>91</v>
      </c>
      <c r="E12" s="11">
        <v>4</v>
      </c>
      <c r="F12" s="12"/>
      <c r="G12" s="15"/>
      <c r="H12">
        <f t="shared" si="0"/>
        <v>4</v>
      </c>
    </row>
    <row r="13" customFormat="1" ht="22" customHeight="1" spans="1:14">
      <c r="A13" s="9">
        <v>11</v>
      </c>
      <c r="B13" s="10">
        <v>46121</v>
      </c>
      <c r="C13" s="11" t="s">
        <v>47</v>
      </c>
      <c r="D13" s="11" t="s">
        <v>91</v>
      </c>
      <c r="E13" s="11">
        <v>4</v>
      </c>
      <c r="F13" s="11"/>
      <c r="G13" s="15"/>
      <c r="H13">
        <f t="shared" si="0"/>
        <v>4</v>
      </c>
    </row>
    <row r="14" customFormat="1" ht="22" customHeight="1" spans="1:14">
      <c r="A14" s="9">
        <v>12</v>
      </c>
      <c r="B14" s="10">
        <v>46121</v>
      </c>
      <c r="C14" s="11" t="s">
        <v>31</v>
      </c>
      <c r="D14" s="11" t="s">
        <v>91</v>
      </c>
      <c r="E14" s="11">
        <v>4</v>
      </c>
      <c r="F14" s="12"/>
      <c r="G14" s="15"/>
      <c r="H14">
        <f t="shared" si="0"/>
        <v>4</v>
      </c>
    </row>
    <row r="15" customFormat="1" ht="22" customHeight="1" spans="1:14">
      <c r="A15" s="9">
        <v>13</v>
      </c>
      <c r="B15" s="10">
        <v>46121</v>
      </c>
      <c r="C15" s="11" t="s">
        <v>33</v>
      </c>
      <c r="D15" s="11" t="s">
        <v>91</v>
      </c>
      <c r="E15" s="11">
        <v>4</v>
      </c>
      <c r="F15" s="12"/>
      <c r="G15" s="15"/>
      <c r="H15">
        <f t="shared" si="0"/>
        <v>4</v>
      </c>
    </row>
    <row r="16" customFormat="1" ht="22" customHeight="1" spans="1:14">
      <c r="A16" s="9">
        <v>14</v>
      </c>
      <c r="B16" s="10">
        <v>46121</v>
      </c>
      <c r="C16" s="11" t="s">
        <v>34</v>
      </c>
      <c r="D16" s="11" t="s">
        <v>91</v>
      </c>
      <c r="E16" s="12"/>
      <c r="F16" s="11">
        <v>4</v>
      </c>
      <c r="G16" s="15"/>
      <c r="H16">
        <f t="shared" si="0"/>
        <v>4</v>
      </c>
    </row>
    <row r="17" customFormat="1" ht="22" customHeight="1" spans="1:9">
      <c r="A17" s="9">
        <v>15</v>
      </c>
      <c r="B17" s="10">
        <v>46121</v>
      </c>
      <c r="C17" s="11" t="s">
        <v>35</v>
      </c>
      <c r="D17" s="11" t="s">
        <v>91</v>
      </c>
      <c r="E17" s="11">
        <v>2</v>
      </c>
      <c r="F17" s="11">
        <v>2</v>
      </c>
      <c r="G17" s="15"/>
      <c r="H17">
        <f t="shared" si="0"/>
        <v>4</v>
      </c>
    </row>
    <row r="18" customFormat="1" ht="22" customHeight="1" spans="1:9">
      <c r="A18" s="9">
        <v>16</v>
      </c>
      <c r="B18" s="10">
        <v>46121</v>
      </c>
      <c r="C18" s="11" t="s">
        <v>37</v>
      </c>
      <c r="D18" s="11" t="s">
        <v>91</v>
      </c>
      <c r="E18" s="11">
        <v>4</v>
      </c>
      <c r="F18" s="12"/>
      <c r="G18" s="15"/>
      <c r="H18">
        <f t="shared" si="0"/>
        <v>4</v>
      </c>
    </row>
    <row r="19" customFormat="1" ht="22" customHeight="1" spans="1:9">
      <c r="A19" s="9">
        <v>17</v>
      </c>
      <c r="B19" s="10">
        <v>46121</v>
      </c>
      <c r="C19" s="11" t="s">
        <v>37</v>
      </c>
      <c r="D19" s="11" t="s">
        <v>91</v>
      </c>
      <c r="E19" s="12"/>
      <c r="F19" s="11">
        <v>4</v>
      </c>
      <c r="G19" s="15"/>
      <c r="H19">
        <f t="shared" si="0"/>
        <v>4</v>
      </c>
    </row>
    <row r="20" customFormat="1" ht="22" customHeight="1" spans="1:9">
      <c r="A20" s="9">
        <v>18</v>
      </c>
      <c r="B20" s="10">
        <v>46121</v>
      </c>
      <c r="C20" s="11" t="s">
        <v>38</v>
      </c>
      <c r="D20" s="11" t="s">
        <v>91</v>
      </c>
      <c r="E20" s="11">
        <v>4</v>
      </c>
      <c r="F20" s="12"/>
      <c r="G20" s="15"/>
      <c r="H20">
        <f t="shared" si="0"/>
        <v>4</v>
      </c>
    </row>
    <row r="21" s="2" customFormat="1" ht="22" customHeight="1" spans="1:9">
      <c r="A21" s="9">
        <v>19</v>
      </c>
      <c r="B21" s="10">
        <v>46121</v>
      </c>
      <c r="C21" s="16" t="s">
        <v>39</v>
      </c>
      <c r="D21" s="17" t="s">
        <v>91</v>
      </c>
      <c r="E21" s="16">
        <v>2</v>
      </c>
      <c r="F21" s="16">
        <v>2</v>
      </c>
      <c r="G21" s="18"/>
      <c r="H21">
        <f t="shared" si="0"/>
        <v>4</v>
      </c>
    </row>
    <row r="22" customFormat="1" ht="22" customHeight="1" spans="1:9">
      <c r="A22" s="9">
        <v>20</v>
      </c>
      <c r="B22" s="10">
        <v>46121</v>
      </c>
      <c r="C22" s="11" t="s">
        <v>40</v>
      </c>
      <c r="D22" s="11" t="s">
        <v>91</v>
      </c>
      <c r="E22" s="11">
        <v>4</v>
      </c>
      <c r="F22" s="11"/>
      <c r="G22" s="15"/>
      <c r="H22">
        <f t="shared" si="0"/>
        <v>4</v>
      </c>
    </row>
    <row r="23" customFormat="1" ht="22" customHeight="1" spans="1:9">
      <c r="A23" s="9">
        <v>21</v>
      </c>
      <c r="B23" s="10">
        <v>46121</v>
      </c>
      <c r="C23" s="11" t="s">
        <v>41</v>
      </c>
      <c r="D23" s="11" t="s">
        <v>91</v>
      </c>
      <c r="E23" s="11">
        <v>4</v>
      </c>
      <c r="F23" s="11"/>
      <c r="G23" s="15"/>
      <c r="H23">
        <f t="shared" si="0"/>
        <v>4</v>
      </c>
    </row>
    <row r="24" customFormat="1" ht="22" customHeight="1" spans="1:9">
      <c r="A24" s="9">
        <v>22</v>
      </c>
      <c r="B24" s="10">
        <v>46121</v>
      </c>
      <c r="C24" s="11" t="s">
        <v>42</v>
      </c>
      <c r="D24" s="11" t="s">
        <v>91</v>
      </c>
      <c r="E24" s="11">
        <v>4</v>
      </c>
      <c r="F24" s="11"/>
      <c r="G24" s="15"/>
      <c r="H24">
        <f t="shared" si="0"/>
        <v>4</v>
      </c>
    </row>
    <row r="25" customFormat="1" ht="22" customHeight="1" spans="1:9">
      <c r="A25" s="9">
        <v>23</v>
      </c>
      <c r="B25" s="10">
        <v>46121</v>
      </c>
      <c r="C25" s="11" t="s">
        <v>43</v>
      </c>
      <c r="D25" s="11" t="s">
        <v>91</v>
      </c>
      <c r="E25" s="11"/>
      <c r="F25" s="11">
        <v>4</v>
      </c>
      <c r="G25" s="15"/>
      <c r="H25">
        <f t="shared" si="0"/>
        <v>4</v>
      </c>
    </row>
    <row r="26" customFormat="1" ht="22" customHeight="1" spans="1:9">
      <c r="A26" s="9">
        <v>24</v>
      </c>
      <c r="B26" s="10">
        <v>46121</v>
      </c>
      <c r="C26" s="11" t="s">
        <v>44</v>
      </c>
      <c r="D26" s="11" t="s">
        <v>91</v>
      </c>
      <c r="E26" s="11">
        <v>4</v>
      </c>
      <c r="F26" s="11"/>
      <c r="G26" s="15"/>
      <c r="H26">
        <f t="shared" si="0"/>
        <v>4</v>
      </c>
    </row>
    <row r="27" customFormat="1" ht="22" customHeight="1" spans="1:9">
      <c r="A27" s="9">
        <v>25</v>
      </c>
      <c r="B27" s="10">
        <v>46121</v>
      </c>
      <c r="C27" s="11" t="s">
        <v>45</v>
      </c>
      <c r="D27" s="11" t="s">
        <v>91</v>
      </c>
      <c r="E27" s="11"/>
      <c r="F27" s="11">
        <v>4</v>
      </c>
      <c r="G27" s="15"/>
      <c r="H27">
        <f t="shared" si="0"/>
        <v>4</v>
      </c>
    </row>
    <row r="28" customFormat="1" ht="22" customHeight="1" spans="1:9">
      <c r="A28" s="9">
        <v>26</v>
      </c>
      <c r="B28" s="10">
        <v>46121</v>
      </c>
      <c r="C28" s="11" t="s">
        <v>46</v>
      </c>
      <c r="D28" s="11" t="s">
        <v>91</v>
      </c>
      <c r="E28" s="11">
        <v>4</v>
      </c>
      <c r="F28" s="11"/>
      <c r="G28" s="15"/>
      <c r="H28">
        <f t="shared" si="0"/>
        <v>4</v>
      </c>
    </row>
    <row r="29" customFormat="1" ht="22" customHeight="1" spans="1:9">
      <c r="A29" s="9">
        <v>27</v>
      </c>
      <c r="B29" s="10">
        <v>46121</v>
      </c>
      <c r="C29" s="11" t="s">
        <v>48</v>
      </c>
      <c r="D29" s="11" t="s">
        <v>91</v>
      </c>
      <c r="E29" s="19">
        <v>2</v>
      </c>
      <c r="F29" s="19">
        <v>2</v>
      </c>
      <c r="G29" s="15"/>
      <c r="H29">
        <f t="shared" si="0"/>
        <v>4</v>
      </c>
      <c r="I29" s="2" t="s">
        <v>103</v>
      </c>
    </row>
    <row r="30" customFormat="1" ht="22" customHeight="1" spans="1:9">
      <c r="A30" s="9">
        <v>28</v>
      </c>
      <c r="B30" s="10">
        <v>46121</v>
      </c>
      <c r="C30" s="11" t="s">
        <v>49</v>
      </c>
      <c r="D30" s="11" t="s">
        <v>91</v>
      </c>
      <c r="E30" s="19">
        <v>2</v>
      </c>
      <c r="F30" s="19">
        <v>2</v>
      </c>
      <c r="G30" s="15"/>
      <c r="H30">
        <f t="shared" si="0"/>
        <v>4</v>
      </c>
      <c r="I30" s="2" t="s">
        <v>103</v>
      </c>
    </row>
    <row r="31" customFormat="1" ht="22" customHeight="1" spans="1:9">
      <c r="A31" s="9">
        <v>29</v>
      </c>
      <c r="B31" s="10">
        <v>46121</v>
      </c>
      <c r="C31" s="11" t="s">
        <v>50</v>
      </c>
      <c r="D31" s="11" t="s">
        <v>91</v>
      </c>
      <c r="E31" s="19">
        <v>2</v>
      </c>
      <c r="F31" s="19">
        <v>2</v>
      </c>
      <c r="G31" s="15"/>
      <c r="H31">
        <f t="shared" si="0"/>
        <v>4</v>
      </c>
      <c r="I31" s="2" t="s">
        <v>103</v>
      </c>
    </row>
    <row r="32" customFormat="1" ht="22" customHeight="1" spans="1:9">
      <c r="A32" s="9">
        <v>30</v>
      </c>
      <c r="B32" s="10">
        <v>46121</v>
      </c>
      <c r="C32" s="11" t="s">
        <v>51</v>
      </c>
      <c r="D32" s="11" t="s">
        <v>91</v>
      </c>
      <c r="E32" s="19">
        <v>2</v>
      </c>
      <c r="F32" s="19">
        <v>2</v>
      </c>
      <c r="G32" s="15"/>
      <c r="H32">
        <f t="shared" si="0"/>
        <v>4</v>
      </c>
      <c r="I32" s="2" t="s">
        <v>103</v>
      </c>
    </row>
    <row r="33" customFormat="1" ht="22" customHeight="1" spans="1:10">
      <c r="A33" s="9">
        <v>31</v>
      </c>
      <c r="B33" s="10">
        <v>46121</v>
      </c>
      <c r="C33" s="11" t="s">
        <v>52</v>
      </c>
      <c r="D33" s="11" t="s">
        <v>91</v>
      </c>
      <c r="E33" s="11"/>
      <c r="F33" s="11">
        <v>4</v>
      </c>
      <c r="G33" s="15"/>
      <c r="H33">
        <f t="shared" si="0"/>
        <v>4</v>
      </c>
      <c r="J33" t="s">
        <v>93</v>
      </c>
    </row>
    <row r="34" customFormat="1" ht="22" customHeight="1" spans="1:10">
      <c r="A34" s="9">
        <v>32</v>
      </c>
      <c r="B34" s="10">
        <v>46121</v>
      </c>
      <c r="C34" s="11" t="s">
        <v>53</v>
      </c>
      <c r="D34" s="11" t="s">
        <v>91</v>
      </c>
      <c r="E34" s="11">
        <v>4</v>
      </c>
      <c r="F34" s="11"/>
      <c r="G34" s="15"/>
      <c r="H34">
        <f t="shared" si="0"/>
        <v>4</v>
      </c>
    </row>
    <row r="35" customFormat="1" ht="22" customHeight="1" spans="1:10">
      <c r="A35" s="9">
        <v>33</v>
      </c>
      <c r="B35" s="10">
        <v>46121</v>
      </c>
      <c r="C35" s="11" t="s">
        <v>54</v>
      </c>
      <c r="D35" s="11" t="s">
        <v>91</v>
      </c>
      <c r="E35" s="11">
        <v>4</v>
      </c>
      <c r="F35" s="11"/>
      <c r="G35" s="15"/>
      <c r="H35">
        <f t="shared" si="0"/>
        <v>4</v>
      </c>
    </row>
    <row r="36" customFormat="1" ht="22" customHeight="1" spans="1:10">
      <c r="A36" s="9">
        <v>34</v>
      </c>
      <c r="B36" s="10">
        <v>46121</v>
      </c>
      <c r="C36" s="11" t="s">
        <v>55</v>
      </c>
      <c r="D36" s="11" t="s">
        <v>91</v>
      </c>
      <c r="E36" s="11"/>
      <c r="F36" s="11">
        <v>4</v>
      </c>
      <c r="G36" s="15"/>
      <c r="H36">
        <f t="shared" si="0"/>
        <v>4</v>
      </c>
    </row>
    <row r="37" customFormat="1" ht="22" customHeight="1" spans="1:10">
      <c r="A37" s="9">
        <v>35</v>
      </c>
      <c r="B37" s="10">
        <v>46121</v>
      </c>
      <c r="C37" s="11" t="s">
        <v>56</v>
      </c>
      <c r="D37" s="11" t="s">
        <v>91</v>
      </c>
      <c r="E37" s="11">
        <v>4</v>
      </c>
      <c r="F37" s="11"/>
      <c r="G37" s="15"/>
      <c r="H37">
        <f t="shared" si="0"/>
        <v>4</v>
      </c>
    </row>
    <row r="38" customFormat="1" ht="22" customHeight="1" spans="1:10">
      <c r="A38" s="9">
        <v>36</v>
      </c>
      <c r="B38" s="10">
        <v>46121</v>
      </c>
      <c r="C38" s="11" t="s">
        <v>57</v>
      </c>
      <c r="D38" s="11" t="s">
        <v>91</v>
      </c>
      <c r="E38" s="11"/>
      <c r="F38" s="11">
        <v>4</v>
      </c>
      <c r="G38" s="15"/>
      <c r="H38">
        <f t="shared" si="0"/>
        <v>4</v>
      </c>
    </row>
    <row r="39" customFormat="1" ht="22" customHeight="1" spans="1:10">
      <c r="A39" s="9">
        <v>37</v>
      </c>
      <c r="B39" s="10">
        <v>46121</v>
      </c>
      <c r="C39" s="11" t="s">
        <v>58</v>
      </c>
      <c r="D39" s="11" t="s">
        <v>91</v>
      </c>
      <c r="E39" s="11"/>
      <c r="F39" s="11">
        <v>4</v>
      </c>
      <c r="G39" s="15"/>
      <c r="H39">
        <f t="shared" si="0"/>
        <v>4</v>
      </c>
    </row>
    <row r="40" customFormat="1" ht="22" customHeight="1" spans="1:10">
      <c r="A40" s="9">
        <v>38</v>
      </c>
      <c r="B40" s="10">
        <v>46121</v>
      </c>
      <c r="C40" s="11" t="s">
        <v>59</v>
      </c>
      <c r="D40" s="11" t="s">
        <v>91</v>
      </c>
      <c r="E40" s="11">
        <v>4</v>
      </c>
      <c r="F40" s="11"/>
      <c r="G40" s="15"/>
      <c r="H40">
        <f t="shared" si="0"/>
        <v>4</v>
      </c>
    </row>
    <row r="41" customFormat="1" ht="22" customHeight="1" spans="1:10">
      <c r="A41" s="9">
        <v>39</v>
      </c>
      <c r="B41" s="10">
        <v>46121</v>
      </c>
      <c r="C41" s="11" t="s">
        <v>61</v>
      </c>
      <c r="D41" s="11" t="s">
        <v>91</v>
      </c>
      <c r="E41" s="11"/>
      <c r="F41" s="11">
        <v>4</v>
      </c>
      <c r="G41" s="15"/>
      <c r="H41">
        <f t="shared" si="0"/>
        <v>4</v>
      </c>
    </row>
    <row r="42" customFormat="1" ht="22" customHeight="1" spans="1:10">
      <c r="A42" s="9">
        <v>40</v>
      </c>
      <c r="B42" s="10">
        <v>46121</v>
      </c>
      <c r="C42" s="12" t="s">
        <v>64</v>
      </c>
      <c r="D42" s="11" t="s">
        <v>91</v>
      </c>
      <c r="E42" s="11">
        <v>4</v>
      </c>
      <c r="F42" s="11"/>
      <c r="G42" s="15"/>
      <c r="H42">
        <f t="shared" si="0"/>
        <v>4</v>
      </c>
    </row>
    <row r="43" customFormat="1" ht="22" customHeight="1" spans="1:10">
      <c r="A43" s="9">
        <v>41</v>
      </c>
      <c r="B43" s="10">
        <v>46121</v>
      </c>
      <c r="C43" s="12" t="s">
        <v>66</v>
      </c>
      <c r="D43" s="11" t="s">
        <v>91</v>
      </c>
      <c r="E43" s="11"/>
      <c r="F43" s="11">
        <v>4</v>
      </c>
      <c r="G43" s="15"/>
      <c r="H43">
        <f t="shared" si="0"/>
        <v>4</v>
      </c>
    </row>
    <row r="44" customFormat="1" ht="22" customHeight="1" spans="1:10">
      <c r="A44" s="9">
        <v>42</v>
      </c>
      <c r="B44" s="10">
        <v>46121</v>
      </c>
      <c r="C44" s="12" t="s">
        <v>48</v>
      </c>
      <c r="D44" s="11" t="s">
        <v>91</v>
      </c>
      <c r="E44" s="11">
        <v>4</v>
      </c>
      <c r="F44" s="11"/>
      <c r="G44" s="15"/>
      <c r="H44">
        <f t="shared" si="0"/>
        <v>4</v>
      </c>
    </row>
    <row r="45" customFormat="1" ht="22" customHeight="1" spans="1:10">
      <c r="A45" s="9">
        <v>43</v>
      </c>
      <c r="B45" s="10">
        <v>46121</v>
      </c>
      <c r="C45" s="20" t="s">
        <v>67</v>
      </c>
      <c r="D45" s="17" t="s">
        <v>91</v>
      </c>
      <c r="E45" s="17">
        <v>4</v>
      </c>
      <c r="F45" s="17"/>
      <c r="G45" s="15"/>
      <c r="H45">
        <f t="shared" si="0"/>
        <v>4</v>
      </c>
    </row>
    <row r="46" customFormat="1" ht="22" customHeight="1" spans="1:10">
      <c r="A46" s="9">
        <v>44</v>
      </c>
      <c r="B46" s="10">
        <v>46121</v>
      </c>
      <c r="C46" s="20" t="s">
        <v>69</v>
      </c>
      <c r="D46" s="17" t="s">
        <v>91</v>
      </c>
      <c r="E46" s="17"/>
      <c r="F46" s="17">
        <v>4</v>
      </c>
      <c r="G46" s="15"/>
      <c r="H46">
        <f t="shared" si="0"/>
        <v>4</v>
      </c>
    </row>
    <row r="47" customFormat="1" ht="22" customHeight="1" spans="1:10">
      <c r="A47" s="9">
        <v>45</v>
      </c>
      <c r="B47" s="10">
        <v>46121</v>
      </c>
      <c r="C47" s="20" t="s">
        <v>70</v>
      </c>
      <c r="D47" s="17" t="s">
        <v>91</v>
      </c>
      <c r="E47" s="17"/>
      <c r="F47" s="17">
        <v>4</v>
      </c>
      <c r="G47" s="15"/>
      <c r="H47">
        <f t="shared" si="0"/>
        <v>4</v>
      </c>
    </row>
    <row r="48" customFormat="1" ht="22" customHeight="1" spans="1:10">
      <c r="A48" s="9">
        <v>46</v>
      </c>
      <c r="B48" s="10">
        <v>46121</v>
      </c>
      <c r="C48" s="20" t="s">
        <v>67</v>
      </c>
      <c r="D48" s="11" t="s">
        <v>88</v>
      </c>
      <c r="E48" s="17">
        <v>4</v>
      </c>
      <c r="F48" s="17"/>
      <c r="G48" s="25" t="s">
        <v>94</v>
      </c>
      <c r="H48">
        <f t="shared" si="0"/>
        <v>4</v>
      </c>
      <c r="I48" s="2" t="s">
        <v>101</v>
      </c>
    </row>
    <row r="49" customFormat="1" ht="22" customHeight="1" spans="1:9">
      <c r="A49" s="9">
        <v>47</v>
      </c>
      <c r="B49" s="10">
        <v>46121</v>
      </c>
      <c r="C49" s="20" t="s">
        <v>69</v>
      </c>
      <c r="D49" s="11" t="s">
        <v>88</v>
      </c>
      <c r="E49" s="17"/>
      <c r="F49" s="17">
        <v>4</v>
      </c>
      <c r="G49" s="25" t="s">
        <v>94</v>
      </c>
      <c r="H49">
        <f t="shared" si="0"/>
        <v>4</v>
      </c>
      <c r="I49" s="2" t="s">
        <v>101</v>
      </c>
    </row>
    <row r="50" customFormat="1" ht="22" customHeight="1" spans="1:9">
      <c r="A50" s="9">
        <v>48</v>
      </c>
      <c r="B50" s="10">
        <v>46121</v>
      </c>
      <c r="C50" s="20" t="s">
        <v>70</v>
      </c>
      <c r="D50" s="11" t="s">
        <v>88</v>
      </c>
      <c r="E50" s="17"/>
      <c r="F50" s="17">
        <v>4</v>
      </c>
      <c r="G50" s="25" t="s">
        <v>94</v>
      </c>
      <c r="H50">
        <f t="shared" si="0"/>
        <v>4</v>
      </c>
      <c r="I50" s="2" t="s">
        <v>101</v>
      </c>
    </row>
    <row r="51" s="2" customFormat="1" ht="22" customHeight="1" spans="1:9">
      <c r="A51" s="9"/>
      <c r="B51" s="10"/>
      <c r="C51" s="16"/>
      <c r="D51" s="26"/>
      <c r="E51" s="26"/>
      <c r="F51" s="26"/>
      <c r="G51" s="25"/>
      <c r="H51"/>
    </row>
    <row r="52" customFormat="1" ht="22" customHeight="1" spans="1:9">
      <c r="A52" s="9"/>
      <c r="B52" s="10"/>
      <c r="C52" s="21"/>
      <c r="D52" s="21"/>
      <c r="E52" s="21"/>
      <c r="F52" s="21"/>
      <c r="G52" s="22"/>
    </row>
    <row r="53" customFormat="1" ht="25" customHeight="1" spans="1:9">
      <c r="E53" s="23">
        <f t="shared" ref="E53:H53" si="1">SUM(E3:E52)</f>
        <v>112</v>
      </c>
      <c r="F53" s="23">
        <f t="shared" si="1"/>
        <v>80</v>
      </c>
      <c r="H53" s="23">
        <f t="shared" si="1"/>
        <v>192</v>
      </c>
    </row>
    <row r="56" customFormat="1" ht="19" customHeight="1" spans="1:9">
      <c r="C56" s="24"/>
      <c r="D56" s="24"/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2" topLeftCell="A35" activePane="bottomLeft" state="frozen"/>
      <selection/>
      <selection pane="bottomLeft" activeCell="I48" sqref="I48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9.2857142857143" customWidth="1"/>
    <col min="4" max="6" width="12.1428571428571" customWidth="1"/>
    <col min="7" max="7" width="25.2857142857143" customWidth="1"/>
  </cols>
  <sheetData>
    <row r="1" ht="27" customHeight="1" spans="1:14">
      <c r="A1" s="3" t="s">
        <v>84</v>
      </c>
      <c r="B1" s="3"/>
      <c r="C1" s="3"/>
      <c r="D1" s="3"/>
      <c r="E1" s="3"/>
      <c r="F1" s="4"/>
      <c r="G1" s="5"/>
      <c r="I1" t="s">
        <v>93</v>
      </c>
    </row>
    <row r="2" s="1" customFormat="1" ht="27" customHeight="1" spans="1:14">
      <c r="A2" s="6" t="s">
        <v>2</v>
      </c>
      <c r="B2" s="6" t="s">
        <v>75</v>
      </c>
      <c r="C2" s="6" t="s">
        <v>3</v>
      </c>
      <c r="D2" s="7" t="s">
        <v>85</v>
      </c>
      <c r="E2" s="8" t="s">
        <v>86</v>
      </c>
      <c r="F2" s="8" t="s">
        <v>87</v>
      </c>
      <c r="G2" s="8" t="s">
        <v>7</v>
      </c>
      <c r="I2"/>
      <c r="J2"/>
      <c r="K2"/>
      <c r="L2"/>
      <c r="M2"/>
      <c r="N2"/>
    </row>
    <row r="3" ht="22" customHeight="1" spans="1:14">
      <c r="A3" s="9">
        <v>1</v>
      </c>
      <c r="B3" s="10">
        <v>46125</v>
      </c>
      <c r="C3" s="11" t="s">
        <v>16</v>
      </c>
      <c r="D3" s="11" t="s">
        <v>88</v>
      </c>
      <c r="E3" s="11">
        <v>3</v>
      </c>
      <c r="F3" s="12"/>
      <c r="G3" s="13"/>
      <c r="H3">
        <f t="shared" ref="H3:H51" si="0">SUM(E3:F3)</f>
        <v>3</v>
      </c>
    </row>
    <row r="4" ht="22" customHeight="1" spans="1:14">
      <c r="A4" s="9">
        <v>2</v>
      </c>
      <c r="B4" s="10">
        <v>46125</v>
      </c>
      <c r="C4" s="11" t="s">
        <v>19</v>
      </c>
      <c r="D4" s="11" t="s">
        <v>88</v>
      </c>
      <c r="E4" s="11">
        <v>3</v>
      </c>
      <c r="F4" s="12"/>
      <c r="G4" s="14"/>
      <c r="H4">
        <f t="shared" si="0"/>
        <v>3</v>
      </c>
    </row>
    <row r="5" ht="22" customHeight="1" spans="1:14">
      <c r="A5" s="9">
        <v>3</v>
      </c>
      <c r="B5" s="10">
        <v>46125</v>
      </c>
      <c r="C5" s="11" t="s">
        <v>21</v>
      </c>
      <c r="D5" s="11" t="s">
        <v>88</v>
      </c>
      <c r="E5" s="11">
        <v>3</v>
      </c>
      <c r="F5" s="12"/>
      <c r="G5" s="14"/>
      <c r="H5">
        <f t="shared" si="0"/>
        <v>3</v>
      </c>
    </row>
    <row r="6" customFormat="1" ht="22" customHeight="1" spans="1:14">
      <c r="A6" s="9">
        <v>4</v>
      </c>
      <c r="B6" s="10">
        <v>46125</v>
      </c>
      <c r="C6" s="11" t="s">
        <v>32</v>
      </c>
      <c r="D6" s="11" t="s">
        <v>88</v>
      </c>
      <c r="E6" s="11">
        <v>3</v>
      </c>
      <c r="F6" s="12"/>
      <c r="G6" s="15"/>
      <c r="H6">
        <f t="shared" si="0"/>
        <v>3</v>
      </c>
    </row>
    <row r="7" ht="22" customHeight="1" spans="1:14">
      <c r="A7" s="9">
        <v>5</v>
      </c>
      <c r="B7" s="10">
        <v>46125</v>
      </c>
      <c r="C7" s="11" t="s">
        <v>22</v>
      </c>
      <c r="D7" s="11" t="s">
        <v>88</v>
      </c>
      <c r="E7" s="12"/>
      <c r="F7" s="11">
        <v>3</v>
      </c>
      <c r="G7" s="14"/>
      <c r="H7">
        <f t="shared" si="0"/>
        <v>3</v>
      </c>
    </row>
    <row r="8" ht="22" customHeight="1" spans="1:14">
      <c r="A8" s="9">
        <v>6</v>
      </c>
      <c r="B8" s="10">
        <v>46125</v>
      </c>
      <c r="C8" s="11" t="s">
        <v>24</v>
      </c>
      <c r="D8" s="11" t="s">
        <v>88</v>
      </c>
      <c r="E8" s="12"/>
      <c r="F8" s="11">
        <v>3</v>
      </c>
      <c r="G8" s="14"/>
      <c r="H8">
        <f t="shared" si="0"/>
        <v>3</v>
      </c>
    </row>
    <row r="9" ht="22" customHeight="1" spans="1:14">
      <c r="A9" s="9">
        <v>7</v>
      </c>
      <c r="B9" s="10">
        <v>46125</v>
      </c>
      <c r="C9" s="11" t="s">
        <v>25</v>
      </c>
      <c r="D9" s="11" t="s">
        <v>88</v>
      </c>
      <c r="E9" s="11"/>
      <c r="F9" s="11">
        <v>3</v>
      </c>
      <c r="G9" s="14" t="s">
        <v>100</v>
      </c>
      <c r="H9">
        <f t="shared" si="0"/>
        <v>3</v>
      </c>
    </row>
    <row r="10" ht="22" customHeight="1" spans="1:14">
      <c r="A10" s="9">
        <v>8</v>
      </c>
      <c r="B10" s="10">
        <v>46125</v>
      </c>
      <c r="C10" s="11" t="s">
        <v>28</v>
      </c>
      <c r="D10" s="11" t="s">
        <v>88</v>
      </c>
      <c r="E10" s="11">
        <v>3</v>
      </c>
      <c r="F10" s="12"/>
      <c r="G10" s="15"/>
      <c r="H10">
        <f t="shared" si="0"/>
        <v>3</v>
      </c>
    </row>
    <row r="11" customFormat="1" ht="22" customHeight="1" spans="1:14">
      <c r="A11" s="9">
        <v>9</v>
      </c>
      <c r="B11" s="10">
        <v>46125</v>
      </c>
      <c r="C11" s="11" t="s">
        <v>29</v>
      </c>
      <c r="D11" s="11" t="s">
        <v>88</v>
      </c>
      <c r="E11" s="11">
        <v>3</v>
      </c>
      <c r="F11" s="12"/>
      <c r="G11" s="15"/>
      <c r="H11">
        <f t="shared" si="0"/>
        <v>3</v>
      </c>
    </row>
    <row r="12" customFormat="1" ht="22" customHeight="1" spans="1:14">
      <c r="A12" s="9">
        <v>10</v>
      </c>
      <c r="B12" s="10">
        <v>46125</v>
      </c>
      <c r="C12" s="11" t="s">
        <v>30</v>
      </c>
      <c r="D12" s="11" t="s">
        <v>88</v>
      </c>
      <c r="E12" s="11">
        <v>3</v>
      </c>
      <c r="F12" s="12"/>
      <c r="G12" s="15"/>
      <c r="H12">
        <f t="shared" si="0"/>
        <v>3</v>
      </c>
    </row>
    <row r="13" customFormat="1" ht="22" customHeight="1" spans="1:14">
      <c r="A13" s="9">
        <v>11</v>
      </c>
      <c r="B13" s="10">
        <v>46125</v>
      </c>
      <c r="C13" s="11" t="s">
        <v>47</v>
      </c>
      <c r="D13" s="11" t="s">
        <v>88</v>
      </c>
      <c r="E13" s="11">
        <v>3</v>
      </c>
      <c r="F13" s="11"/>
      <c r="G13" s="15"/>
      <c r="H13">
        <f t="shared" si="0"/>
        <v>3</v>
      </c>
    </row>
    <row r="14" customFormat="1" ht="22" customHeight="1" spans="1:14">
      <c r="A14" s="9">
        <v>12</v>
      </c>
      <c r="B14" s="10">
        <v>46125</v>
      </c>
      <c r="C14" s="11" t="s">
        <v>31</v>
      </c>
      <c r="D14" s="11" t="s">
        <v>88</v>
      </c>
      <c r="E14" s="11">
        <v>3</v>
      </c>
      <c r="F14" s="12"/>
      <c r="G14" s="15"/>
      <c r="H14">
        <f t="shared" si="0"/>
        <v>3</v>
      </c>
    </row>
    <row r="15" customFormat="1" ht="22" customHeight="1" spans="1:14">
      <c r="A15" s="9">
        <v>13</v>
      </c>
      <c r="B15" s="10">
        <v>46125</v>
      </c>
      <c r="C15" s="11" t="s">
        <v>33</v>
      </c>
      <c r="D15" s="11" t="s">
        <v>88</v>
      </c>
      <c r="E15" s="11">
        <v>3</v>
      </c>
      <c r="F15" s="12"/>
      <c r="G15" s="15"/>
      <c r="H15">
        <f t="shared" si="0"/>
        <v>3</v>
      </c>
    </row>
    <row r="16" customFormat="1" ht="22" customHeight="1" spans="1:14">
      <c r="A16" s="9">
        <v>14</v>
      </c>
      <c r="B16" s="10">
        <v>46125</v>
      </c>
      <c r="C16" s="11" t="s">
        <v>34</v>
      </c>
      <c r="D16" s="11" t="s">
        <v>88</v>
      </c>
      <c r="E16" s="12"/>
      <c r="F16" s="11">
        <v>3</v>
      </c>
      <c r="G16" s="15"/>
      <c r="H16">
        <f t="shared" si="0"/>
        <v>3</v>
      </c>
    </row>
    <row r="17" customFormat="1" ht="22" customHeight="1" spans="1:8">
      <c r="A17" s="9">
        <v>15</v>
      </c>
      <c r="B17" s="10">
        <v>46125</v>
      </c>
      <c r="C17" s="11" t="s">
        <v>35</v>
      </c>
      <c r="D17" s="11" t="s">
        <v>88</v>
      </c>
      <c r="E17" s="11">
        <v>2</v>
      </c>
      <c r="F17" s="11">
        <v>1</v>
      </c>
      <c r="G17" s="15"/>
      <c r="H17">
        <f t="shared" si="0"/>
        <v>3</v>
      </c>
    </row>
    <row r="18" customFormat="1" ht="22" customHeight="1" spans="1:8">
      <c r="A18" s="9">
        <v>16</v>
      </c>
      <c r="B18" s="10">
        <v>46125</v>
      </c>
      <c r="C18" s="11" t="s">
        <v>37</v>
      </c>
      <c r="D18" s="11" t="s">
        <v>88</v>
      </c>
      <c r="E18" s="11">
        <v>3</v>
      </c>
      <c r="F18" s="12"/>
      <c r="G18" s="15"/>
      <c r="H18">
        <f t="shared" si="0"/>
        <v>3</v>
      </c>
    </row>
    <row r="19" customFormat="1" ht="22" customHeight="1" spans="1:8">
      <c r="A19" s="9">
        <v>17</v>
      </c>
      <c r="B19" s="10">
        <v>46125</v>
      </c>
      <c r="C19" s="11" t="s">
        <v>37</v>
      </c>
      <c r="D19" s="11" t="s">
        <v>88</v>
      </c>
      <c r="E19" s="12"/>
      <c r="F19" s="11">
        <v>3</v>
      </c>
      <c r="G19" s="15"/>
      <c r="H19">
        <f t="shared" si="0"/>
        <v>3</v>
      </c>
    </row>
    <row r="20" customFormat="1" ht="22" customHeight="1" spans="1:8">
      <c r="A20" s="9">
        <v>18</v>
      </c>
      <c r="B20" s="10">
        <v>46125</v>
      </c>
      <c r="C20" s="11" t="s">
        <v>38</v>
      </c>
      <c r="D20" s="11" t="s">
        <v>88</v>
      </c>
      <c r="E20" s="11">
        <v>3</v>
      </c>
      <c r="F20" s="12"/>
      <c r="G20" s="15"/>
      <c r="H20">
        <f t="shared" si="0"/>
        <v>3</v>
      </c>
    </row>
    <row r="21" s="2" customFormat="1" ht="22" customHeight="1" spans="1:8">
      <c r="A21" s="9">
        <v>19</v>
      </c>
      <c r="B21" s="10">
        <v>46125</v>
      </c>
      <c r="C21" s="16" t="s">
        <v>39</v>
      </c>
      <c r="D21" s="11" t="s">
        <v>88</v>
      </c>
      <c r="E21" s="16">
        <v>2</v>
      </c>
      <c r="F21" s="16">
        <v>1</v>
      </c>
      <c r="G21" s="18"/>
      <c r="H21">
        <f t="shared" si="0"/>
        <v>3</v>
      </c>
    </row>
    <row r="22" customFormat="1" ht="22" customHeight="1" spans="1:8">
      <c r="A22" s="9">
        <v>20</v>
      </c>
      <c r="B22" s="10">
        <v>46125</v>
      </c>
      <c r="C22" s="11" t="s">
        <v>40</v>
      </c>
      <c r="D22" s="11" t="s">
        <v>88</v>
      </c>
      <c r="E22" s="11">
        <v>3</v>
      </c>
      <c r="F22" s="11"/>
      <c r="G22" s="15"/>
      <c r="H22">
        <f t="shared" si="0"/>
        <v>3</v>
      </c>
    </row>
    <row r="23" customFormat="1" ht="22" customHeight="1" spans="1:8">
      <c r="A23" s="9">
        <v>21</v>
      </c>
      <c r="B23" s="10">
        <v>46125</v>
      </c>
      <c r="C23" s="11" t="s">
        <v>41</v>
      </c>
      <c r="D23" s="11" t="s">
        <v>88</v>
      </c>
      <c r="E23" s="11">
        <v>3</v>
      </c>
      <c r="F23" s="11"/>
      <c r="G23" s="15"/>
      <c r="H23">
        <f t="shared" si="0"/>
        <v>3</v>
      </c>
    </row>
    <row r="24" customFormat="1" ht="22" customHeight="1" spans="1:8">
      <c r="A24" s="9">
        <v>22</v>
      </c>
      <c r="B24" s="10">
        <v>46125</v>
      </c>
      <c r="C24" s="11" t="s">
        <v>42</v>
      </c>
      <c r="D24" s="11" t="s">
        <v>88</v>
      </c>
      <c r="E24" s="11">
        <v>3</v>
      </c>
      <c r="F24" s="11"/>
      <c r="G24" s="15"/>
      <c r="H24">
        <f t="shared" si="0"/>
        <v>3</v>
      </c>
    </row>
    <row r="25" customFormat="1" ht="22" customHeight="1" spans="1:8">
      <c r="A25" s="9">
        <v>23</v>
      </c>
      <c r="B25" s="10">
        <v>46125</v>
      </c>
      <c r="C25" s="11" t="s">
        <v>43</v>
      </c>
      <c r="D25" s="11" t="s">
        <v>88</v>
      </c>
      <c r="E25" s="11"/>
      <c r="F25" s="11">
        <v>3</v>
      </c>
      <c r="G25" s="15"/>
      <c r="H25">
        <f t="shared" si="0"/>
        <v>3</v>
      </c>
    </row>
    <row r="26" customFormat="1" ht="22" customHeight="1" spans="1:8">
      <c r="A26" s="9">
        <v>24</v>
      </c>
      <c r="B26" s="10">
        <v>46125</v>
      </c>
      <c r="C26" s="11" t="s">
        <v>44</v>
      </c>
      <c r="D26" s="11" t="s">
        <v>88</v>
      </c>
      <c r="E26" s="11">
        <v>3</v>
      </c>
      <c r="F26" s="11"/>
      <c r="G26" s="15"/>
      <c r="H26">
        <f t="shared" si="0"/>
        <v>3</v>
      </c>
    </row>
    <row r="27" customFormat="1" ht="22" customHeight="1" spans="1:8">
      <c r="A27" s="9">
        <v>25</v>
      </c>
      <c r="B27" s="10">
        <v>46125</v>
      </c>
      <c r="C27" s="11" t="s">
        <v>45</v>
      </c>
      <c r="D27" s="11" t="s">
        <v>88</v>
      </c>
      <c r="E27" s="11"/>
      <c r="F27" s="11">
        <v>3</v>
      </c>
      <c r="G27" s="15"/>
      <c r="H27">
        <f t="shared" si="0"/>
        <v>3</v>
      </c>
    </row>
    <row r="28" customFormat="1" ht="22" customHeight="1" spans="1:8">
      <c r="A28" s="9">
        <v>26</v>
      </c>
      <c r="B28" s="10">
        <v>46125</v>
      </c>
      <c r="C28" s="11" t="s">
        <v>46</v>
      </c>
      <c r="D28" s="11" t="s">
        <v>88</v>
      </c>
      <c r="E28" s="11">
        <v>3</v>
      </c>
      <c r="F28" s="11"/>
      <c r="G28" s="15"/>
      <c r="H28">
        <f t="shared" si="0"/>
        <v>3</v>
      </c>
    </row>
    <row r="29" customFormat="1" ht="22" customHeight="1" spans="1:8">
      <c r="A29" s="9">
        <v>27</v>
      </c>
      <c r="B29" s="10">
        <v>46125</v>
      </c>
      <c r="C29" s="11" t="s">
        <v>104</v>
      </c>
      <c r="D29" s="11" t="s">
        <v>88</v>
      </c>
      <c r="E29" s="11">
        <v>2</v>
      </c>
      <c r="F29" s="11">
        <v>1</v>
      </c>
      <c r="G29" s="15"/>
      <c r="H29">
        <f t="shared" si="0"/>
        <v>3</v>
      </c>
    </row>
    <row r="30" customFormat="1" ht="22" customHeight="1" spans="1:8">
      <c r="A30" s="9">
        <v>28</v>
      </c>
      <c r="B30" s="10">
        <v>46125</v>
      </c>
      <c r="C30" s="11" t="s">
        <v>49</v>
      </c>
      <c r="D30" s="11" t="s">
        <v>88</v>
      </c>
      <c r="E30" s="11">
        <v>2</v>
      </c>
      <c r="F30" s="11">
        <v>1</v>
      </c>
      <c r="G30" s="15"/>
      <c r="H30">
        <f t="shared" si="0"/>
        <v>3</v>
      </c>
    </row>
    <row r="31" customFormat="1" ht="22" customHeight="1" spans="1:8">
      <c r="A31" s="9">
        <v>29</v>
      </c>
      <c r="B31" s="10">
        <v>46125</v>
      </c>
      <c r="C31" s="11" t="s">
        <v>50</v>
      </c>
      <c r="D31" s="11" t="s">
        <v>88</v>
      </c>
      <c r="E31" s="11">
        <v>2</v>
      </c>
      <c r="F31" s="11">
        <v>1</v>
      </c>
      <c r="G31" s="15"/>
      <c r="H31">
        <f t="shared" si="0"/>
        <v>3</v>
      </c>
    </row>
    <row r="32" customFormat="1" ht="22" customHeight="1" spans="1:8">
      <c r="A32" s="9">
        <v>30</v>
      </c>
      <c r="B32" s="10">
        <v>46125</v>
      </c>
      <c r="C32" s="11" t="s">
        <v>51</v>
      </c>
      <c r="D32" s="11" t="s">
        <v>88</v>
      </c>
      <c r="E32" s="11">
        <v>2</v>
      </c>
      <c r="F32" s="11">
        <v>1</v>
      </c>
      <c r="G32" s="15"/>
      <c r="H32">
        <f t="shared" si="0"/>
        <v>3</v>
      </c>
    </row>
    <row r="33" customFormat="1" ht="22" customHeight="1" spans="1:9">
      <c r="A33" s="9">
        <v>31</v>
      </c>
      <c r="B33" s="10">
        <v>46125</v>
      </c>
      <c r="C33" s="11" t="s">
        <v>52</v>
      </c>
      <c r="D33" s="11" t="s">
        <v>88</v>
      </c>
      <c r="E33" s="11"/>
      <c r="F33" s="11">
        <v>3</v>
      </c>
      <c r="G33" s="15"/>
      <c r="H33">
        <f t="shared" si="0"/>
        <v>3</v>
      </c>
    </row>
    <row r="34" customFormat="1" ht="22" customHeight="1" spans="1:9">
      <c r="A34" s="9">
        <v>32</v>
      </c>
      <c r="B34" s="10">
        <v>46125</v>
      </c>
      <c r="C34" s="11" t="s">
        <v>53</v>
      </c>
      <c r="D34" s="11" t="s">
        <v>88</v>
      </c>
      <c r="E34" s="11">
        <v>3</v>
      </c>
      <c r="F34" s="11"/>
      <c r="G34" s="15"/>
      <c r="H34">
        <f t="shared" si="0"/>
        <v>3</v>
      </c>
    </row>
    <row r="35" customFormat="1" ht="22" customHeight="1" spans="1:9">
      <c r="A35" s="9">
        <v>33</v>
      </c>
      <c r="B35" s="10">
        <v>46125</v>
      </c>
      <c r="C35" s="11" t="s">
        <v>54</v>
      </c>
      <c r="D35" s="11" t="s">
        <v>88</v>
      </c>
      <c r="E35" s="11">
        <v>3</v>
      </c>
      <c r="F35" s="11"/>
      <c r="G35" s="15"/>
      <c r="H35">
        <f t="shared" si="0"/>
        <v>3</v>
      </c>
    </row>
    <row r="36" customFormat="1" ht="22" customHeight="1" spans="1:9">
      <c r="A36" s="9">
        <v>34</v>
      </c>
      <c r="B36" s="10">
        <v>46125</v>
      </c>
      <c r="C36" s="11" t="s">
        <v>55</v>
      </c>
      <c r="D36" s="11" t="s">
        <v>88</v>
      </c>
      <c r="E36" s="11"/>
      <c r="F36" s="11">
        <v>3</v>
      </c>
      <c r="G36" s="15"/>
      <c r="H36">
        <f t="shared" si="0"/>
        <v>3</v>
      </c>
    </row>
    <row r="37" customFormat="1" ht="22" customHeight="1" spans="1:9">
      <c r="A37" s="9">
        <v>35</v>
      </c>
      <c r="B37" s="10">
        <v>46125</v>
      </c>
      <c r="C37" s="11" t="s">
        <v>56</v>
      </c>
      <c r="D37" s="11" t="s">
        <v>88</v>
      </c>
      <c r="E37" s="11">
        <v>3</v>
      </c>
      <c r="F37" s="11"/>
      <c r="G37" s="15"/>
      <c r="H37">
        <f t="shared" si="0"/>
        <v>3</v>
      </c>
    </row>
    <row r="38" customFormat="1" ht="22" customHeight="1" spans="1:9">
      <c r="A38" s="9">
        <v>36</v>
      </c>
      <c r="B38" s="10">
        <v>46125</v>
      </c>
      <c r="C38" s="11" t="s">
        <v>57</v>
      </c>
      <c r="D38" s="11" t="s">
        <v>88</v>
      </c>
      <c r="E38" s="11"/>
      <c r="F38" s="11">
        <v>3</v>
      </c>
      <c r="G38" s="15"/>
      <c r="H38">
        <f t="shared" si="0"/>
        <v>3</v>
      </c>
    </row>
    <row r="39" customFormat="1" ht="22" customHeight="1" spans="1:9">
      <c r="A39" s="9">
        <v>37</v>
      </c>
      <c r="B39" s="10">
        <v>46125</v>
      </c>
      <c r="C39" s="11" t="s">
        <v>58</v>
      </c>
      <c r="D39" s="11" t="s">
        <v>88</v>
      </c>
      <c r="E39" s="11"/>
      <c r="F39" s="11">
        <v>3</v>
      </c>
      <c r="G39" s="15"/>
      <c r="H39">
        <f t="shared" si="0"/>
        <v>3</v>
      </c>
    </row>
    <row r="40" customFormat="1" ht="22" customHeight="1" spans="1:9">
      <c r="A40" s="9">
        <v>38</v>
      </c>
      <c r="B40" s="10">
        <v>46125</v>
      </c>
      <c r="C40" s="11" t="s">
        <v>59</v>
      </c>
      <c r="D40" s="11" t="s">
        <v>88</v>
      </c>
      <c r="E40" s="11">
        <v>3</v>
      </c>
      <c r="F40" s="11"/>
      <c r="G40" s="15"/>
      <c r="H40">
        <f t="shared" si="0"/>
        <v>3</v>
      </c>
    </row>
    <row r="41" customFormat="1" ht="22" customHeight="1" spans="1:9">
      <c r="A41" s="9">
        <v>39</v>
      </c>
      <c r="B41" s="10">
        <v>46125</v>
      </c>
      <c r="C41" s="11" t="s">
        <v>61</v>
      </c>
      <c r="D41" s="11" t="s">
        <v>88</v>
      </c>
      <c r="E41" s="11"/>
      <c r="F41" s="11">
        <v>3</v>
      </c>
      <c r="G41" s="15"/>
      <c r="H41">
        <f t="shared" si="0"/>
        <v>3</v>
      </c>
    </row>
    <row r="42" customFormat="1" ht="22" customHeight="1" spans="1:9">
      <c r="A42" s="9">
        <v>40</v>
      </c>
      <c r="B42" s="10">
        <v>46125</v>
      </c>
      <c r="C42" s="12" t="s">
        <v>64</v>
      </c>
      <c r="D42" s="11" t="s">
        <v>88</v>
      </c>
      <c r="E42" s="11">
        <v>3</v>
      </c>
      <c r="F42" s="11"/>
      <c r="G42" s="15"/>
      <c r="H42">
        <f t="shared" si="0"/>
        <v>3</v>
      </c>
    </row>
    <row r="43" customFormat="1" ht="22" customHeight="1" spans="1:9">
      <c r="A43" s="9">
        <v>41</v>
      </c>
      <c r="B43" s="10">
        <v>46125</v>
      </c>
      <c r="C43" s="12" t="s">
        <v>66</v>
      </c>
      <c r="D43" s="11" t="s">
        <v>88</v>
      </c>
      <c r="E43" s="11"/>
      <c r="F43" s="11">
        <v>3</v>
      </c>
      <c r="G43" s="15"/>
      <c r="H43">
        <f t="shared" si="0"/>
        <v>3</v>
      </c>
    </row>
    <row r="44" customFormat="1" ht="22" customHeight="1" spans="1:9">
      <c r="A44" s="9">
        <v>42</v>
      </c>
      <c r="B44" s="10">
        <v>46125</v>
      </c>
      <c r="C44" s="12" t="s">
        <v>105</v>
      </c>
      <c r="D44" s="11" t="s">
        <v>88</v>
      </c>
      <c r="E44" s="11">
        <v>3</v>
      </c>
      <c r="F44" s="11"/>
      <c r="G44" s="15"/>
      <c r="H44">
        <f t="shared" si="0"/>
        <v>3</v>
      </c>
    </row>
    <row r="45" customFormat="1" ht="22" customHeight="1" spans="1:9">
      <c r="A45" s="9">
        <v>43</v>
      </c>
      <c r="B45" s="10">
        <v>46125</v>
      </c>
      <c r="C45" s="20" t="s">
        <v>67</v>
      </c>
      <c r="D45" s="11" t="s">
        <v>88</v>
      </c>
      <c r="E45" s="11">
        <v>3</v>
      </c>
      <c r="F45" s="17"/>
      <c r="G45" s="15"/>
      <c r="H45">
        <f t="shared" si="0"/>
        <v>3</v>
      </c>
    </row>
    <row r="46" customFormat="1" ht="22" customHeight="1" spans="1:9">
      <c r="A46" s="9">
        <v>44</v>
      </c>
      <c r="B46" s="10">
        <v>46125</v>
      </c>
      <c r="C46" s="20" t="s">
        <v>69</v>
      </c>
      <c r="D46" s="11" t="s">
        <v>88</v>
      </c>
      <c r="E46" s="17"/>
      <c r="F46" s="11">
        <v>3</v>
      </c>
      <c r="G46" s="15"/>
      <c r="H46">
        <f t="shared" si="0"/>
        <v>3</v>
      </c>
    </row>
    <row r="47" customFormat="1" ht="22" customHeight="1" spans="1:9">
      <c r="A47" s="9">
        <v>45</v>
      </c>
      <c r="B47" s="10">
        <v>46125</v>
      </c>
      <c r="C47" s="20" t="s">
        <v>70</v>
      </c>
      <c r="D47" s="11" t="s">
        <v>88</v>
      </c>
      <c r="E47" s="17"/>
      <c r="F47" s="11">
        <v>3</v>
      </c>
      <c r="G47" s="15"/>
      <c r="H47">
        <f t="shared" si="0"/>
        <v>3</v>
      </c>
    </row>
    <row r="48" customFormat="1" ht="22" customHeight="1" spans="1:9">
      <c r="A48" s="9">
        <v>46</v>
      </c>
      <c r="B48" s="10">
        <v>46125</v>
      </c>
      <c r="C48" s="20" t="s">
        <v>67</v>
      </c>
      <c r="D48" s="11" t="s">
        <v>88</v>
      </c>
      <c r="E48" s="11">
        <v>3</v>
      </c>
      <c r="F48" s="17"/>
      <c r="G48" s="25" t="s">
        <v>106</v>
      </c>
      <c r="H48">
        <f t="shared" si="0"/>
        <v>3</v>
      </c>
      <c r="I48" s="2" t="s">
        <v>101</v>
      </c>
    </row>
    <row r="49" customFormat="1" ht="22" customHeight="1" spans="1:9">
      <c r="A49" s="9">
        <v>47</v>
      </c>
      <c r="B49" s="10">
        <v>46125</v>
      </c>
      <c r="C49" s="20" t="s">
        <v>69</v>
      </c>
      <c r="D49" s="11" t="s">
        <v>88</v>
      </c>
      <c r="E49" s="17"/>
      <c r="F49" s="11">
        <v>3</v>
      </c>
      <c r="G49" s="25" t="s">
        <v>106</v>
      </c>
      <c r="H49">
        <f t="shared" si="0"/>
        <v>3</v>
      </c>
      <c r="I49" s="2" t="s">
        <v>101</v>
      </c>
    </row>
    <row r="50" customFormat="1" ht="22" customHeight="1" spans="1:9">
      <c r="A50" s="9">
        <v>48</v>
      </c>
      <c r="B50" s="10">
        <v>46125</v>
      </c>
      <c r="C50" s="20" t="s">
        <v>70</v>
      </c>
      <c r="D50" s="11" t="s">
        <v>88</v>
      </c>
      <c r="E50" s="17"/>
      <c r="F50" s="11">
        <v>3</v>
      </c>
      <c r="G50" s="25" t="s">
        <v>106</v>
      </c>
      <c r="H50">
        <f t="shared" si="0"/>
        <v>3</v>
      </c>
      <c r="I50" s="2" t="s">
        <v>101</v>
      </c>
    </row>
    <row r="51" customFormat="1" ht="22" customHeight="1" spans="1:9">
      <c r="A51" s="9"/>
      <c r="B51" s="10"/>
      <c r="C51" s="21"/>
      <c r="D51" s="21"/>
      <c r="E51" s="21"/>
      <c r="F51" s="21"/>
      <c r="G51" s="22"/>
    </row>
    <row r="52" customFormat="1" ht="25" customHeight="1" spans="1:9">
      <c r="E52" s="23">
        <f t="shared" ref="E52:H52" si="1">SUM(E3:E51)</f>
        <v>87</v>
      </c>
      <c r="F52" s="23">
        <f t="shared" si="1"/>
        <v>57</v>
      </c>
      <c r="H52" s="23">
        <f t="shared" si="1"/>
        <v>144</v>
      </c>
    </row>
    <row r="55" customFormat="1" ht="19" customHeight="1" spans="1:9">
      <c r="C55" s="24"/>
      <c r="D55" s="24"/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workbookViewId="0">
      <pane ySplit="2" topLeftCell="A29" activePane="bottomLeft" state="frozen"/>
      <selection/>
      <selection pane="bottomLeft" activeCell="G50" sqref="G50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9.2857142857143" customWidth="1"/>
    <col min="4" max="6" width="12.1428571428571" customWidth="1"/>
    <col min="7" max="7" width="25.2857142857143" customWidth="1"/>
  </cols>
  <sheetData>
    <row r="1" ht="27" customHeight="1" spans="1:14">
      <c r="A1" s="3" t="s">
        <v>84</v>
      </c>
      <c r="B1" s="3"/>
      <c r="C1" s="3"/>
      <c r="D1" s="3"/>
      <c r="E1" s="3"/>
      <c r="F1" s="4"/>
      <c r="G1" s="5"/>
      <c r="I1" t="s">
        <v>93</v>
      </c>
    </row>
    <row r="2" s="1" customFormat="1" ht="27" customHeight="1" spans="1:14">
      <c r="A2" s="6" t="s">
        <v>2</v>
      </c>
      <c r="B2" s="6" t="s">
        <v>75</v>
      </c>
      <c r="C2" s="6" t="s">
        <v>3</v>
      </c>
      <c r="D2" s="7" t="s">
        <v>85</v>
      </c>
      <c r="E2" s="8" t="s">
        <v>86</v>
      </c>
      <c r="F2" s="8" t="s">
        <v>87</v>
      </c>
      <c r="G2" s="8" t="s">
        <v>7</v>
      </c>
      <c r="I2"/>
      <c r="J2"/>
      <c r="K2"/>
      <c r="L2"/>
      <c r="M2"/>
      <c r="N2"/>
    </row>
    <row r="3" ht="22" customHeight="1" spans="1:14">
      <c r="A3" s="9">
        <v>1</v>
      </c>
      <c r="B3" s="10">
        <v>46128</v>
      </c>
      <c r="C3" s="11" t="s">
        <v>16</v>
      </c>
      <c r="D3" s="11" t="s">
        <v>91</v>
      </c>
      <c r="E3" s="11">
        <v>4</v>
      </c>
      <c r="F3" s="12"/>
      <c r="G3" s="13"/>
      <c r="H3">
        <f t="shared" ref="H3:H50" si="0">SUM(E3:F3)</f>
        <v>4</v>
      </c>
    </row>
    <row r="4" ht="22" customHeight="1" spans="1:14">
      <c r="A4" s="9">
        <v>2</v>
      </c>
      <c r="B4" s="10">
        <v>46128</v>
      </c>
      <c r="C4" s="11" t="s">
        <v>19</v>
      </c>
      <c r="D4" s="11" t="s">
        <v>91</v>
      </c>
      <c r="E4" s="11">
        <v>4</v>
      </c>
      <c r="F4" s="12"/>
      <c r="G4" s="14"/>
      <c r="H4">
        <f t="shared" si="0"/>
        <v>4</v>
      </c>
    </row>
    <row r="5" ht="22" customHeight="1" spans="1:14">
      <c r="A5" s="9">
        <v>3</v>
      </c>
      <c r="B5" s="10">
        <v>46128</v>
      </c>
      <c r="C5" s="11" t="s">
        <v>21</v>
      </c>
      <c r="D5" s="11" t="s">
        <v>91</v>
      </c>
      <c r="E5" s="11">
        <v>4</v>
      </c>
      <c r="F5" s="12"/>
      <c r="G5" s="14"/>
      <c r="H5">
        <f t="shared" si="0"/>
        <v>4</v>
      </c>
    </row>
    <row r="6" customFormat="1" ht="22" customHeight="1" spans="1:14">
      <c r="A6" s="9">
        <v>4</v>
      </c>
      <c r="B6" s="10">
        <v>46128</v>
      </c>
      <c r="C6" s="11" t="s">
        <v>32</v>
      </c>
      <c r="D6" s="11" t="s">
        <v>91</v>
      </c>
      <c r="E6" s="11">
        <v>4</v>
      </c>
      <c r="F6" s="12"/>
      <c r="G6" s="15"/>
      <c r="H6">
        <f t="shared" si="0"/>
        <v>4</v>
      </c>
    </row>
    <row r="7" ht="22" customHeight="1" spans="1:14">
      <c r="A7" s="9">
        <v>5</v>
      </c>
      <c r="B7" s="10">
        <v>46128</v>
      </c>
      <c r="C7" s="11" t="s">
        <v>22</v>
      </c>
      <c r="D7" s="11" t="s">
        <v>91</v>
      </c>
      <c r="E7" s="12"/>
      <c r="F7" s="11">
        <v>4</v>
      </c>
      <c r="G7" s="14"/>
      <c r="H7">
        <f t="shared" si="0"/>
        <v>4</v>
      </c>
    </row>
    <row r="8" ht="22" customHeight="1" spans="1:14">
      <c r="A8" s="9">
        <v>6</v>
      </c>
      <c r="B8" s="10">
        <v>46128</v>
      </c>
      <c r="C8" s="11" t="s">
        <v>24</v>
      </c>
      <c r="D8" s="11" t="s">
        <v>91</v>
      </c>
      <c r="E8" s="12"/>
      <c r="F8" s="11">
        <v>4</v>
      </c>
      <c r="G8" s="14"/>
      <c r="H8">
        <f t="shared" si="0"/>
        <v>4</v>
      </c>
    </row>
    <row r="9" ht="22" customHeight="1" spans="1:14">
      <c r="A9" s="9">
        <v>7</v>
      </c>
      <c r="B9" s="10">
        <v>46128</v>
      </c>
      <c r="C9" s="11" t="s">
        <v>25</v>
      </c>
      <c r="D9" s="11" t="s">
        <v>91</v>
      </c>
      <c r="E9" s="11"/>
      <c r="F9" s="11">
        <v>4</v>
      </c>
      <c r="G9" s="14" t="s">
        <v>100</v>
      </c>
      <c r="H9">
        <f t="shared" si="0"/>
        <v>4</v>
      </c>
    </row>
    <row r="10" ht="22" customHeight="1" spans="1:14">
      <c r="A10" s="9">
        <v>8</v>
      </c>
      <c r="B10" s="10">
        <v>46128</v>
      </c>
      <c r="C10" s="11" t="s">
        <v>28</v>
      </c>
      <c r="D10" s="11" t="s">
        <v>91</v>
      </c>
      <c r="E10" s="11">
        <v>4</v>
      </c>
      <c r="F10" s="12"/>
      <c r="G10" s="15"/>
      <c r="H10">
        <f t="shared" si="0"/>
        <v>4</v>
      </c>
    </row>
    <row r="11" customFormat="1" ht="22" customHeight="1" spans="1:14">
      <c r="A11" s="9">
        <v>9</v>
      </c>
      <c r="B11" s="10">
        <v>46128</v>
      </c>
      <c r="C11" s="11" t="s">
        <v>29</v>
      </c>
      <c r="D11" s="11" t="s">
        <v>91</v>
      </c>
      <c r="E11" s="11">
        <v>4</v>
      </c>
      <c r="F11" s="12"/>
      <c r="G11" s="15"/>
      <c r="H11">
        <f t="shared" si="0"/>
        <v>4</v>
      </c>
    </row>
    <row r="12" customFormat="1" ht="22" customHeight="1" spans="1:14">
      <c r="A12" s="9">
        <v>10</v>
      </c>
      <c r="B12" s="10">
        <v>46128</v>
      </c>
      <c r="C12" s="11" t="s">
        <v>30</v>
      </c>
      <c r="D12" s="11" t="s">
        <v>91</v>
      </c>
      <c r="E12" s="11">
        <v>4</v>
      </c>
      <c r="F12" s="12"/>
      <c r="G12" s="15"/>
      <c r="H12">
        <f t="shared" si="0"/>
        <v>4</v>
      </c>
    </row>
    <row r="13" customFormat="1" ht="22" customHeight="1" spans="1:14">
      <c r="A13" s="9">
        <v>11</v>
      </c>
      <c r="B13" s="10">
        <v>46128</v>
      </c>
      <c r="C13" s="11" t="s">
        <v>47</v>
      </c>
      <c r="D13" s="11" t="s">
        <v>91</v>
      </c>
      <c r="E13" s="11">
        <v>4</v>
      </c>
      <c r="F13" s="11"/>
      <c r="G13" s="15"/>
      <c r="H13">
        <f t="shared" si="0"/>
        <v>4</v>
      </c>
    </row>
    <row r="14" customFormat="1" ht="22" customHeight="1" spans="1:14">
      <c r="A14" s="9">
        <v>12</v>
      </c>
      <c r="B14" s="10">
        <v>46128</v>
      </c>
      <c r="C14" s="11" t="s">
        <v>31</v>
      </c>
      <c r="D14" s="11" t="s">
        <v>91</v>
      </c>
      <c r="E14" s="11">
        <v>4</v>
      </c>
      <c r="F14" s="12"/>
      <c r="G14" s="15"/>
      <c r="H14">
        <f t="shared" si="0"/>
        <v>4</v>
      </c>
    </row>
    <row r="15" customFormat="1" ht="22" customHeight="1" spans="1:14">
      <c r="A15" s="9">
        <v>13</v>
      </c>
      <c r="B15" s="10">
        <v>46128</v>
      </c>
      <c r="C15" s="11" t="s">
        <v>33</v>
      </c>
      <c r="D15" s="11" t="s">
        <v>91</v>
      </c>
      <c r="E15" s="11">
        <v>4</v>
      </c>
      <c r="F15" s="12"/>
      <c r="G15" s="15"/>
      <c r="H15">
        <f t="shared" si="0"/>
        <v>4</v>
      </c>
    </row>
    <row r="16" customFormat="1" ht="22" customHeight="1" spans="1:14">
      <c r="A16" s="9">
        <v>14</v>
      </c>
      <c r="B16" s="10">
        <v>46128</v>
      </c>
      <c r="C16" s="11" t="s">
        <v>34</v>
      </c>
      <c r="D16" s="11" t="s">
        <v>91</v>
      </c>
      <c r="E16" s="12"/>
      <c r="F16" s="11">
        <v>4</v>
      </c>
      <c r="G16" s="15"/>
      <c r="H16">
        <f t="shared" si="0"/>
        <v>4</v>
      </c>
    </row>
    <row r="17" customFormat="1" ht="22" customHeight="1" spans="1:8">
      <c r="A17" s="9">
        <v>15</v>
      </c>
      <c r="B17" s="10">
        <v>46128</v>
      </c>
      <c r="C17" s="11" t="s">
        <v>35</v>
      </c>
      <c r="D17" s="11" t="s">
        <v>91</v>
      </c>
      <c r="E17" s="11">
        <v>2</v>
      </c>
      <c r="F17" s="11">
        <v>2</v>
      </c>
      <c r="G17" s="15"/>
      <c r="H17">
        <f t="shared" si="0"/>
        <v>4</v>
      </c>
    </row>
    <row r="18" customFormat="1" ht="22" customHeight="1" spans="1:8">
      <c r="A18" s="9">
        <v>16</v>
      </c>
      <c r="B18" s="10">
        <v>46128</v>
      </c>
      <c r="C18" s="11" t="s">
        <v>37</v>
      </c>
      <c r="D18" s="11" t="s">
        <v>91</v>
      </c>
      <c r="E18" s="11">
        <v>4</v>
      </c>
      <c r="F18" s="12"/>
      <c r="G18" s="15"/>
      <c r="H18">
        <f t="shared" si="0"/>
        <v>4</v>
      </c>
    </row>
    <row r="19" customFormat="1" ht="22" customHeight="1" spans="1:8">
      <c r="A19" s="9">
        <v>17</v>
      </c>
      <c r="B19" s="10">
        <v>46128</v>
      </c>
      <c r="C19" s="11" t="s">
        <v>37</v>
      </c>
      <c r="D19" s="11" t="s">
        <v>91</v>
      </c>
      <c r="E19" s="12"/>
      <c r="F19" s="11">
        <v>4</v>
      </c>
      <c r="G19" s="15"/>
      <c r="H19">
        <f t="shared" si="0"/>
        <v>4</v>
      </c>
    </row>
    <row r="20" customFormat="1" ht="22" customHeight="1" spans="1:8">
      <c r="A20" s="9">
        <v>18</v>
      </c>
      <c r="B20" s="10">
        <v>46128</v>
      </c>
      <c r="C20" s="11" t="s">
        <v>38</v>
      </c>
      <c r="D20" s="11" t="s">
        <v>91</v>
      </c>
      <c r="E20" s="11">
        <v>4</v>
      </c>
      <c r="F20" s="12"/>
      <c r="G20" s="15"/>
      <c r="H20">
        <f t="shared" si="0"/>
        <v>4</v>
      </c>
    </row>
    <row r="21" s="2" customFormat="1" ht="22" customHeight="1" spans="1:8">
      <c r="A21" s="9">
        <v>19</v>
      </c>
      <c r="B21" s="10">
        <v>46128</v>
      </c>
      <c r="C21" s="16" t="s">
        <v>39</v>
      </c>
      <c r="D21" s="17" t="s">
        <v>91</v>
      </c>
      <c r="E21" s="16">
        <v>2</v>
      </c>
      <c r="F21" s="16">
        <v>2</v>
      </c>
      <c r="G21" s="18"/>
      <c r="H21">
        <f t="shared" si="0"/>
        <v>4</v>
      </c>
    </row>
    <row r="22" customFormat="1" ht="22" customHeight="1" spans="1:8">
      <c r="A22" s="9">
        <v>20</v>
      </c>
      <c r="B22" s="10">
        <v>46128</v>
      </c>
      <c r="C22" s="11" t="s">
        <v>40</v>
      </c>
      <c r="D22" s="11" t="s">
        <v>91</v>
      </c>
      <c r="E22" s="11">
        <v>4</v>
      </c>
      <c r="F22" s="11"/>
      <c r="G22" s="15"/>
      <c r="H22">
        <f t="shared" si="0"/>
        <v>4</v>
      </c>
    </row>
    <row r="23" customFormat="1" ht="22" customHeight="1" spans="1:8">
      <c r="A23" s="9">
        <v>21</v>
      </c>
      <c r="B23" s="10">
        <v>46128</v>
      </c>
      <c r="C23" s="11" t="s">
        <v>41</v>
      </c>
      <c r="D23" s="11" t="s">
        <v>91</v>
      </c>
      <c r="E23" s="11">
        <v>4</v>
      </c>
      <c r="F23" s="11"/>
      <c r="G23" s="15"/>
      <c r="H23">
        <f t="shared" si="0"/>
        <v>4</v>
      </c>
    </row>
    <row r="24" customFormat="1" ht="22" customHeight="1" spans="1:8">
      <c r="A24" s="9">
        <v>22</v>
      </c>
      <c r="B24" s="10">
        <v>46128</v>
      </c>
      <c r="C24" s="11" t="s">
        <v>42</v>
      </c>
      <c r="D24" s="11" t="s">
        <v>91</v>
      </c>
      <c r="E24" s="11">
        <v>4</v>
      </c>
      <c r="F24" s="11"/>
      <c r="G24" s="15"/>
      <c r="H24">
        <f t="shared" si="0"/>
        <v>4</v>
      </c>
    </row>
    <row r="25" customFormat="1" ht="22" customHeight="1" spans="1:8">
      <c r="A25" s="9">
        <v>23</v>
      </c>
      <c r="B25" s="10">
        <v>46128</v>
      </c>
      <c r="C25" s="11" t="s">
        <v>43</v>
      </c>
      <c r="D25" s="11" t="s">
        <v>91</v>
      </c>
      <c r="E25" s="11"/>
      <c r="F25" s="11">
        <v>4</v>
      </c>
      <c r="G25" s="15"/>
      <c r="H25">
        <f t="shared" si="0"/>
        <v>4</v>
      </c>
    </row>
    <row r="26" customFormat="1" ht="22" customHeight="1" spans="1:8">
      <c r="A26" s="9">
        <v>24</v>
      </c>
      <c r="B26" s="10">
        <v>46128</v>
      </c>
      <c r="C26" s="11" t="s">
        <v>44</v>
      </c>
      <c r="D26" s="11" t="s">
        <v>91</v>
      </c>
      <c r="E26" s="11">
        <v>4</v>
      </c>
      <c r="F26" s="11"/>
      <c r="G26" s="15"/>
      <c r="H26">
        <f t="shared" si="0"/>
        <v>4</v>
      </c>
    </row>
    <row r="27" customFormat="1" ht="22" customHeight="1" spans="1:8">
      <c r="A27" s="9">
        <v>25</v>
      </c>
      <c r="B27" s="10">
        <v>46128</v>
      </c>
      <c r="C27" s="11" t="s">
        <v>45</v>
      </c>
      <c r="D27" s="11" t="s">
        <v>91</v>
      </c>
      <c r="E27" s="11"/>
      <c r="F27" s="11">
        <v>4</v>
      </c>
      <c r="G27" s="15"/>
      <c r="H27">
        <f t="shared" si="0"/>
        <v>4</v>
      </c>
    </row>
    <row r="28" customFormat="1" ht="22" customHeight="1" spans="1:8">
      <c r="A28" s="9">
        <v>26</v>
      </c>
      <c r="B28" s="10">
        <v>46128</v>
      </c>
      <c r="C28" s="11" t="s">
        <v>46</v>
      </c>
      <c r="D28" s="11" t="s">
        <v>91</v>
      </c>
      <c r="E28" s="11">
        <v>4</v>
      </c>
      <c r="F28" s="11"/>
      <c r="G28" s="15"/>
      <c r="H28">
        <f t="shared" si="0"/>
        <v>4</v>
      </c>
    </row>
    <row r="29" customFormat="1" ht="22" customHeight="1" spans="1:8">
      <c r="A29" s="9">
        <v>27</v>
      </c>
      <c r="B29" s="10">
        <v>46128</v>
      </c>
      <c r="C29" s="11" t="s">
        <v>104</v>
      </c>
      <c r="D29" s="11" t="s">
        <v>91</v>
      </c>
      <c r="E29" s="19">
        <v>2</v>
      </c>
      <c r="F29" s="19">
        <v>2</v>
      </c>
      <c r="G29" s="15"/>
      <c r="H29">
        <f t="shared" si="0"/>
        <v>4</v>
      </c>
    </row>
    <row r="30" customFormat="1" ht="22" customHeight="1" spans="1:8">
      <c r="A30" s="9">
        <v>28</v>
      </c>
      <c r="B30" s="10">
        <v>46128</v>
      </c>
      <c r="C30" s="11" t="s">
        <v>49</v>
      </c>
      <c r="D30" s="11" t="s">
        <v>91</v>
      </c>
      <c r="E30" s="19">
        <v>2</v>
      </c>
      <c r="F30" s="19">
        <v>2</v>
      </c>
      <c r="G30" s="15"/>
      <c r="H30">
        <f t="shared" si="0"/>
        <v>4</v>
      </c>
    </row>
    <row r="31" customFormat="1" ht="22" customHeight="1" spans="1:8">
      <c r="A31" s="9">
        <v>29</v>
      </c>
      <c r="B31" s="10">
        <v>46128</v>
      </c>
      <c r="C31" s="11" t="s">
        <v>50</v>
      </c>
      <c r="D31" s="11" t="s">
        <v>91</v>
      </c>
      <c r="E31" s="19">
        <v>2</v>
      </c>
      <c r="F31" s="19">
        <v>2</v>
      </c>
      <c r="G31" s="15"/>
      <c r="H31">
        <f t="shared" si="0"/>
        <v>4</v>
      </c>
    </row>
    <row r="32" customFormat="1" ht="22" customHeight="1" spans="1:8">
      <c r="A32" s="9">
        <v>30</v>
      </c>
      <c r="B32" s="10">
        <v>46128</v>
      </c>
      <c r="C32" s="11" t="s">
        <v>51</v>
      </c>
      <c r="D32" s="11" t="s">
        <v>91</v>
      </c>
      <c r="E32" s="19">
        <v>2</v>
      </c>
      <c r="F32" s="19">
        <v>2</v>
      </c>
      <c r="G32" s="15"/>
      <c r="H32">
        <f t="shared" si="0"/>
        <v>4</v>
      </c>
    </row>
    <row r="33" customFormat="1" ht="22" customHeight="1" spans="1:8">
      <c r="A33" s="9">
        <v>31</v>
      </c>
      <c r="B33" s="10">
        <v>46128</v>
      </c>
      <c r="C33" s="11" t="s">
        <v>52</v>
      </c>
      <c r="D33" s="11" t="s">
        <v>91</v>
      </c>
      <c r="E33" s="11"/>
      <c r="F33" s="11">
        <v>4</v>
      </c>
      <c r="G33" s="15"/>
      <c r="H33">
        <f t="shared" si="0"/>
        <v>4</v>
      </c>
    </row>
    <row r="34" customFormat="1" ht="22" customHeight="1" spans="1:8">
      <c r="A34" s="9">
        <v>32</v>
      </c>
      <c r="B34" s="10">
        <v>46128</v>
      </c>
      <c r="C34" s="11" t="s">
        <v>53</v>
      </c>
      <c r="D34" s="11" t="s">
        <v>91</v>
      </c>
      <c r="E34" s="11">
        <v>4</v>
      </c>
      <c r="F34" s="11"/>
      <c r="G34" s="15"/>
      <c r="H34">
        <f t="shared" si="0"/>
        <v>4</v>
      </c>
    </row>
    <row r="35" customFormat="1" ht="22" customHeight="1" spans="1:8">
      <c r="A35" s="9">
        <v>33</v>
      </c>
      <c r="B35" s="10">
        <v>46128</v>
      </c>
      <c r="C35" s="11" t="s">
        <v>54</v>
      </c>
      <c r="D35" s="11" t="s">
        <v>91</v>
      </c>
      <c r="E35" s="11">
        <v>4</v>
      </c>
      <c r="F35" s="11"/>
      <c r="G35" s="15"/>
      <c r="H35">
        <f t="shared" si="0"/>
        <v>4</v>
      </c>
    </row>
    <row r="36" customFormat="1" ht="22" customHeight="1" spans="1:8">
      <c r="A36" s="9">
        <v>34</v>
      </c>
      <c r="B36" s="10">
        <v>46128</v>
      </c>
      <c r="C36" s="11" t="s">
        <v>55</v>
      </c>
      <c r="D36" s="11" t="s">
        <v>91</v>
      </c>
      <c r="E36" s="11"/>
      <c r="F36" s="11">
        <v>4</v>
      </c>
      <c r="G36" s="15"/>
      <c r="H36">
        <f t="shared" si="0"/>
        <v>4</v>
      </c>
    </row>
    <row r="37" customFormat="1" ht="22" customHeight="1" spans="1:8">
      <c r="A37" s="9">
        <v>35</v>
      </c>
      <c r="B37" s="10">
        <v>46128</v>
      </c>
      <c r="C37" s="11" t="s">
        <v>56</v>
      </c>
      <c r="D37" s="11" t="s">
        <v>91</v>
      </c>
      <c r="E37" s="11">
        <v>4</v>
      </c>
      <c r="F37" s="11"/>
      <c r="G37" s="15"/>
      <c r="H37">
        <f t="shared" si="0"/>
        <v>4</v>
      </c>
    </row>
    <row r="38" customFormat="1" ht="22" customHeight="1" spans="1:8">
      <c r="A38" s="9">
        <v>36</v>
      </c>
      <c r="B38" s="10">
        <v>46128</v>
      </c>
      <c r="C38" s="11" t="s">
        <v>57</v>
      </c>
      <c r="D38" s="11" t="s">
        <v>91</v>
      </c>
      <c r="E38" s="11"/>
      <c r="F38" s="11">
        <v>4</v>
      </c>
      <c r="G38" s="15"/>
      <c r="H38">
        <f t="shared" si="0"/>
        <v>4</v>
      </c>
    </row>
    <row r="39" customFormat="1" ht="22" customHeight="1" spans="1:8">
      <c r="A39" s="9">
        <v>37</v>
      </c>
      <c r="B39" s="10">
        <v>46128</v>
      </c>
      <c r="C39" s="11" t="s">
        <v>58</v>
      </c>
      <c r="D39" s="11" t="s">
        <v>91</v>
      </c>
      <c r="E39" s="11"/>
      <c r="F39" s="11">
        <v>4</v>
      </c>
      <c r="G39" s="15"/>
      <c r="H39">
        <f t="shared" si="0"/>
        <v>4</v>
      </c>
    </row>
    <row r="40" customFormat="1" ht="22" customHeight="1" spans="1:8">
      <c r="A40" s="9">
        <v>38</v>
      </c>
      <c r="B40" s="10">
        <v>46128</v>
      </c>
      <c r="C40" s="11" t="s">
        <v>59</v>
      </c>
      <c r="D40" s="11" t="s">
        <v>91</v>
      </c>
      <c r="E40" s="11">
        <v>4</v>
      </c>
      <c r="F40" s="11"/>
      <c r="G40" s="15"/>
      <c r="H40">
        <f t="shared" si="0"/>
        <v>4</v>
      </c>
    </row>
    <row r="41" customFormat="1" ht="22" customHeight="1" spans="1:8">
      <c r="A41" s="9">
        <v>39</v>
      </c>
      <c r="B41" s="10">
        <v>46128</v>
      </c>
      <c r="C41" s="11" t="s">
        <v>61</v>
      </c>
      <c r="D41" s="11" t="s">
        <v>91</v>
      </c>
      <c r="E41" s="11"/>
      <c r="F41" s="11">
        <v>4</v>
      </c>
      <c r="G41" s="15"/>
      <c r="H41">
        <f t="shared" si="0"/>
        <v>4</v>
      </c>
    </row>
    <row r="42" customFormat="1" ht="22" customHeight="1" spans="1:8">
      <c r="A42" s="9">
        <v>40</v>
      </c>
      <c r="B42" s="10">
        <v>46128</v>
      </c>
      <c r="C42" s="12" t="s">
        <v>64</v>
      </c>
      <c r="D42" s="11" t="s">
        <v>91</v>
      </c>
      <c r="E42" s="11">
        <v>4</v>
      </c>
      <c r="F42" s="11"/>
      <c r="G42" s="15"/>
      <c r="H42">
        <f t="shared" si="0"/>
        <v>4</v>
      </c>
    </row>
    <row r="43" customFormat="1" ht="22" customHeight="1" spans="1:8">
      <c r="A43" s="9">
        <v>41</v>
      </c>
      <c r="B43" s="10">
        <v>46128</v>
      </c>
      <c r="C43" s="12" t="s">
        <v>66</v>
      </c>
      <c r="D43" s="11" t="s">
        <v>91</v>
      </c>
      <c r="E43" s="11"/>
      <c r="F43" s="11">
        <v>4</v>
      </c>
      <c r="G43" s="15"/>
      <c r="H43">
        <f t="shared" si="0"/>
        <v>4</v>
      </c>
    </row>
    <row r="44" customFormat="1" ht="22" customHeight="1" spans="1:8">
      <c r="A44" s="9">
        <v>42</v>
      </c>
      <c r="B44" s="10">
        <v>46128</v>
      </c>
      <c r="C44" s="12" t="s">
        <v>105</v>
      </c>
      <c r="D44" s="11" t="s">
        <v>91</v>
      </c>
      <c r="E44" s="11">
        <v>4</v>
      </c>
      <c r="F44" s="11"/>
      <c r="G44" s="15"/>
      <c r="H44">
        <f t="shared" si="0"/>
        <v>4</v>
      </c>
    </row>
    <row r="45" customFormat="1" ht="22" customHeight="1" spans="1:8">
      <c r="A45" s="9">
        <v>43</v>
      </c>
      <c r="B45" s="10">
        <v>46128</v>
      </c>
      <c r="C45" s="20" t="s">
        <v>67</v>
      </c>
      <c r="D45" s="17" t="s">
        <v>91</v>
      </c>
      <c r="E45" s="17">
        <v>4</v>
      </c>
      <c r="F45" s="17"/>
      <c r="G45" s="15"/>
      <c r="H45">
        <f t="shared" si="0"/>
        <v>4</v>
      </c>
    </row>
    <row r="46" customFormat="1" ht="22" customHeight="1" spans="1:8">
      <c r="A46" s="9">
        <v>44</v>
      </c>
      <c r="B46" s="10">
        <v>46128</v>
      </c>
      <c r="C46" s="20" t="s">
        <v>69</v>
      </c>
      <c r="D46" s="17" t="s">
        <v>91</v>
      </c>
      <c r="E46" s="17"/>
      <c r="F46" s="17">
        <v>4</v>
      </c>
      <c r="G46" s="15"/>
      <c r="H46">
        <f t="shared" si="0"/>
        <v>4</v>
      </c>
    </row>
    <row r="47" customFormat="1" ht="22" customHeight="1" spans="1:8">
      <c r="A47" s="9">
        <v>45</v>
      </c>
      <c r="B47" s="10">
        <v>46128</v>
      </c>
      <c r="C47" s="20" t="s">
        <v>70</v>
      </c>
      <c r="D47" s="17" t="s">
        <v>91</v>
      </c>
      <c r="E47" s="17"/>
      <c r="F47" s="17">
        <v>4</v>
      </c>
      <c r="G47" s="15"/>
      <c r="H47">
        <f t="shared" si="0"/>
        <v>4</v>
      </c>
    </row>
    <row r="48" customFormat="1" ht="22" customHeight="1" spans="1:8">
      <c r="A48" s="9"/>
      <c r="B48" s="10"/>
      <c r="C48" s="21"/>
      <c r="D48" s="21"/>
      <c r="E48" s="21"/>
      <c r="F48" s="21"/>
      <c r="G48" s="22"/>
    </row>
    <row r="49" customFormat="1" ht="25" customHeight="1" spans="3:8">
      <c r="E49" s="23">
        <f>SUM(E3:E48)</f>
        <v>108</v>
      </c>
      <c r="F49" s="23">
        <f>SUM(F3:F48)</f>
        <v>72</v>
      </c>
      <c r="H49" s="23">
        <f>SUM(H3:H48)</f>
        <v>180</v>
      </c>
    </row>
    <row r="52" customFormat="1" ht="19" customHeight="1" spans="3:8">
      <c r="C52" s="24"/>
      <c r="D52" s="24"/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2" topLeftCell="A36" activePane="bottomLeft" state="frozen"/>
      <selection/>
      <selection pane="bottomLeft" activeCell="E52" sqref="E52:F52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9.2857142857143" customWidth="1"/>
    <col min="4" max="6" width="12.1428571428571" customWidth="1"/>
    <col min="7" max="7" width="25.2857142857143" customWidth="1"/>
  </cols>
  <sheetData>
    <row r="1" ht="27" customHeight="1" spans="1:14">
      <c r="A1" s="3" t="s">
        <v>84</v>
      </c>
      <c r="B1" s="3"/>
      <c r="C1" s="3"/>
      <c r="D1" s="3"/>
      <c r="E1" s="3"/>
      <c r="F1" s="4"/>
      <c r="G1" s="5"/>
      <c r="I1" t="s">
        <v>93</v>
      </c>
    </row>
    <row r="2" s="1" customFormat="1" ht="27" customHeight="1" spans="1:14">
      <c r="A2" s="6" t="s">
        <v>2</v>
      </c>
      <c r="B2" s="6" t="s">
        <v>75</v>
      </c>
      <c r="C2" s="6" t="s">
        <v>3</v>
      </c>
      <c r="D2" s="7" t="s">
        <v>85</v>
      </c>
      <c r="E2" s="8" t="s">
        <v>86</v>
      </c>
      <c r="F2" s="8" t="s">
        <v>87</v>
      </c>
      <c r="G2" s="8" t="s">
        <v>7</v>
      </c>
      <c r="I2"/>
      <c r="J2"/>
      <c r="K2"/>
      <c r="L2"/>
      <c r="M2"/>
      <c r="N2"/>
    </row>
    <row r="3" ht="22" customHeight="1" spans="1:14">
      <c r="A3" s="9">
        <v>1</v>
      </c>
      <c r="B3" s="10">
        <v>46132</v>
      </c>
      <c r="C3" s="11" t="s">
        <v>16</v>
      </c>
      <c r="D3" s="11" t="s">
        <v>88</v>
      </c>
      <c r="E3" s="11">
        <v>3</v>
      </c>
      <c r="F3" s="12"/>
      <c r="G3" s="13"/>
      <c r="H3">
        <f t="shared" ref="H3:H50" si="0">SUM(E3:F3)</f>
        <v>3</v>
      </c>
    </row>
    <row r="4" ht="22" customHeight="1" spans="1:14">
      <c r="A4" s="9">
        <v>2</v>
      </c>
      <c r="B4" s="10">
        <v>46132</v>
      </c>
      <c r="C4" s="11" t="s">
        <v>19</v>
      </c>
      <c r="D4" s="11" t="s">
        <v>88</v>
      </c>
      <c r="E4" s="11">
        <v>3</v>
      </c>
      <c r="F4" s="12"/>
      <c r="G4" s="14"/>
      <c r="H4">
        <f t="shared" si="0"/>
        <v>3</v>
      </c>
    </row>
    <row r="5" ht="22" customHeight="1" spans="1:14">
      <c r="A5" s="9">
        <v>3</v>
      </c>
      <c r="B5" s="10">
        <v>46132</v>
      </c>
      <c r="C5" s="11" t="s">
        <v>21</v>
      </c>
      <c r="D5" s="11" t="s">
        <v>88</v>
      </c>
      <c r="E5" s="11">
        <v>3</v>
      </c>
      <c r="F5" s="12"/>
      <c r="G5" s="14"/>
      <c r="H5">
        <f t="shared" si="0"/>
        <v>3</v>
      </c>
    </row>
    <row r="6" customFormat="1" ht="22" customHeight="1" spans="1:14">
      <c r="A6" s="9">
        <v>4</v>
      </c>
      <c r="B6" s="10">
        <v>46132</v>
      </c>
      <c r="C6" s="11" t="s">
        <v>32</v>
      </c>
      <c r="D6" s="11" t="s">
        <v>88</v>
      </c>
      <c r="E6" s="11">
        <v>3</v>
      </c>
      <c r="F6" s="12"/>
      <c r="G6" s="15"/>
      <c r="H6">
        <f t="shared" si="0"/>
        <v>3</v>
      </c>
    </row>
    <row r="7" ht="22" customHeight="1" spans="1:14">
      <c r="A7" s="9">
        <v>5</v>
      </c>
      <c r="B7" s="10">
        <v>46132</v>
      </c>
      <c r="C7" s="11" t="s">
        <v>22</v>
      </c>
      <c r="D7" s="11" t="s">
        <v>88</v>
      </c>
      <c r="E7" s="12"/>
      <c r="F7" s="11">
        <v>3</v>
      </c>
      <c r="G7" s="14"/>
      <c r="H7">
        <f t="shared" si="0"/>
        <v>3</v>
      </c>
    </row>
    <row r="8" ht="22" customHeight="1" spans="1:14">
      <c r="A8" s="9">
        <v>6</v>
      </c>
      <c r="B8" s="10">
        <v>46132</v>
      </c>
      <c r="C8" s="11" t="s">
        <v>24</v>
      </c>
      <c r="D8" s="11" t="s">
        <v>88</v>
      </c>
      <c r="E8" s="12"/>
      <c r="F8" s="11">
        <v>3</v>
      </c>
      <c r="G8" s="14"/>
      <c r="H8">
        <f t="shared" si="0"/>
        <v>3</v>
      </c>
    </row>
    <row r="9" ht="22" customHeight="1" spans="1:14">
      <c r="A9" s="9">
        <v>7</v>
      </c>
      <c r="B9" s="10">
        <v>46132</v>
      </c>
      <c r="C9" s="11" t="s">
        <v>25</v>
      </c>
      <c r="D9" s="11" t="s">
        <v>88</v>
      </c>
      <c r="E9" s="11"/>
      <c r="F9" s="11">
        <v>3</v>
      </c>
      <c r="G9" s="14" t="s">
        <v>100</v>
      </c>
      <c r="H9">
        <f t="shared" si="0"/>
        <v>3</v>
      </c>
    </row>
    <row r="10" ht="22" customHeight="1" spans="1:14">
      <c r="A10" s="9">
        <v>8</v>
      </c>
      <c r="B10" s="10">
        <v>46132</v>
      </c>
      <c r="C10" s="11" t="s">
        <v>28</v>
      </c>
      <c r="D10" s="11" t="s">
        <v>88</v>
      </c>
      <c r="E10" s="11">
        <v>3</v>
      </c>
      <c r="F10" s="12"/>
      <c r="G10" s="15"/>
      <c r="H10">
        <f t="shared" si="0"/>
        <v>3</v>
      </c>
    </row>
    <row r="11" customFormat="1" ht="22" customHeight="1" spans="1:14">
      <c r="A11" s="9">
        <v>9</v>
      </c>
      <c r="B11" s="10">
        <v>46132</v>
      </c>
      <c r="C11" s="11" t="s">
        <v>29</v>
      </c>
      <c r="D11" s="11" t="s">
        <v>88</v>
      </c>
      <c r="E11" s="11">
        <v>3</v>
      </c>
      <c r="F11" s="12"/>
      <c r="G11" s="15"/>
      <c r="H11">
        <f t="shared" si="0"/>
        <v>3</v>
      </c>
    </row>
    <row r="12" customFormat="1" ht="22" customHeight="1" spans="1:14">
      <c r="A12" s="9">
        <v>10</v>
      </c>
      <c r="B12" s="10">
        <v>46132</v>
      </c>
      <c r="C12" s="11" t="s">
        <v>30</v>
      </c>
      <c r="D12" s="11" t="s">
        <v>88</v>
      </c>
      <c r="E12" s="11">
        <v>3</v>
      </c>
      <c r="F12" s="12"/>
      <c r="G12" s="15"/>
      <c r="H12">
        <f t="shared" si="0"/>
        <v>3</v>
      </c>
    </row>
    <row r="13" customFormat="1" ht="22" customHeight="1" spans="1:14">
      <c r="A13" s="9">
        <v>11</v>
      </c>
      <c r="B13" s="10">
        <v>46132</v>
      </c>
      <c r="C13" s="11" t="s">
        <v>47</v>
      </c>
      <c r="D13" s="11" t="s">
        <v>88</v>
      </c>
      <c r="E13" s="11">
        <v>3</v>
      </c>
      <c r="F13" s="11"/>
      <c r="G13" s="15"/>
      <c r="H13">
        <f t="shared" si="0"/>
        <v>3</v>
      </c>
    </row>
    <row r="14" customFormat="1" ht="22" customHeight="1" spans="1:14">
      <c r="A14" s="9">
        <v>12</v>
      </c>
      <c r="B14" s="10">
        <v>46132</v>
      </c>
      <c r="C14" s="11" t="s">
        <v>31</v>
      </c>
      <c r="D14" s="11" t="s">
        <v>88</v>
      </c>
      <c r="E14" s="11">
        <v>3</v>
      </c>
      <c r="F14" s="12"/>
      <c r="G14" s="15"/>
      <c r="H14">
        <f t="shared" si="0"/>
        <v>3</v>
      </c>
    </row>
    <row r="15" customFormat="1" ht="22" customHeight="1" spans="1:14">
      <c r="A15" s="9">
        <v>13</v>
      </c>
      <c r="B15" s="10">
        <v>46132</v>
      </c>
      <c r="C15" s="11" t="s">
        <v>33</v>
      </c>
      <c r="D15" s="11" t="s">
        <v>88</v>
      </c>
      <c r="E15" s="11">
        <v>3</v>
      </c>
      <c r="F15" s="12"/>
      <c r="G15" s="15"/>
      <c r="H15">
        <f t="shared" si="0"/>
        <v>3</v>
      </c>
    </row>
    <row r="16" customFormat="1" ht="22" customHeight="1" spans="1:14">
      <c r="A16" s="9">
        <v>14</v>
      </c>
      <c r="B16" s="10">
        <v>46132</v>
      </c>
      <c r="C16" s="11" t="s">
        <v>34</v>
      </c>
      <c r="D16" s="11" t="s">
        <v>88</v>
      </c>
      <c r="E16" s="12"/>
      <c r="F16" s="11">
        <v>3</v>
      </c>
      <c r="G16" s="15"/>
      <c r="H16">
        <f t="shared" si="0"/>
        <v>3</v>
      </c>
    </row>
    <row r="17" customFormat="1" ht="22" customHeight="1" spans="1:8">
      <c r="A17" s="9">
        <v>15</v>
      </c>
      <c r="B17" s="10">
        <v>46132</v>
      </c>
      <c r="C17" s="11" t="s">
        <v>35</v>
      </c>
      <c r="D17" s="11" t="s">
        <v>88</v>
      </c>
      <c r="E17" s="11">
        <v>2</v>
      </c>
      <c r="F17" s="11">
        <v>1</v>
      </c>
      <c r="G17" s="15"/>
      <c r="H17">
        <f t="shared" si="0"/>
        <v>3</v>
      </c>
    </row>
    <row r="18" customFormat="1" ht="22" customHeight="1" spans="1:8">
      <c r="A18" s="9">
        <v>16</v>
      </c>
      <c r="B18" s="10">
        <v>46132</v>
      </c>
      <c r="C18" s="11" t="s">
        <v>37</v>
      </c>
      <c r="D18" s="11" t="s">
        <v>88</v>
      </c>
      <c r="E18" s="11">
        <v>3</v>
      </c>
      <c r="F18" s="12"/>
      <c r="G18" s="15"/>
      <c r="H18">
        <f t="shared" si="0"/>
        <v>3</v>
      </c>
    </row>
    <row r="19" customFormat="1" ht="22" customHeight="1" spans="1:8">
      <c r="A19" s="9">
        <v>17</v>
      </c>
      <c r="B19" s="10">
        <v>46132</v>
      </c>
      <c r="C19" s="11" t="s">
        <v>37</v>
      </c>
      <c r="D19" s="11" t="s">
        <v>88</v>
      </c>
      <c r="E19" s="12"/>
      <c r="F19" s="11">
        <v>3</v>
      </c>
      <c r="G19" s="15"/>
      <c r="H19">
        <f t="shared" si="0"/>
        <v>3</v>
      </c>
    </row>
    <row r="20" customFormat="1" ht="22" customHeight="1" spans="1:8">
      <c r="A20" s="9">
        <v>18</v>
      </c>
      <c r="B20" s="10">
        <v>46132</v>
      </c>
      <c r="C20" s="11" t="s">
        <v>38</v>
      </c>
      <c r="D20" s="11" t="s">
        <v>88</v>
      </c>
      <c r="E20" s="11">
        <v>3</v>
      </c>
      <c r="F20" s="12"/>
      <c r="G20" s="15"/>
      <c r="H20">
        <f t="shared" si="0"/>
        <v>3</v>
      </c>
    </row>
    <row r="21" s="2" customFormat="1" ht="22" customHeight="1" spans="1:8">
      <c r="A21" s="9">
        <v>19</v>
      </c>
      <c r="B21" s="10">
        <v>46132</v>
      </c>
      <c r="C21" s="16" t="s">
        <v>39</v>
      </c>
      <c r="D21" s="11" t="s">
        <v>88</v>
      </c>
      <c r="E21" s="16">
        <v>2</v>
      </c>
      <c r="F21" s="16">
        <v>1</v>
      </c>
      <c r="G21" s="18"/>
      <c r="H21">
        <f t="shared" si="0"/>
        <v>3</v>
      </c>
    </row>
    <row r="22" customFormat="1" ht="22" customHeight="1" spans="1:8">
      <c r="A22" s="9">
        <v>20</v>
      </c>
      <c r="B22" s="10">
        <v>46132</v>
      </c>
      <c r="C22" s="11" t="s">
        <v>40</v>
      </c>
      <c r="D22" s="11" t="s">
        <v>88</v>
      </c>
      <c r="E22" s="11">
        <v>3</v>
      </c>
      <c r="F22" s="11"/>
      <c r="G22" s="15"/>
      <c r="H22">
        <f t="shared" si="0"/>
        <v>3</v>
      </c>
    </row>
    <row r="23" customFormat="1" ht="22" customHeight="1" spans="1:8">
      <c r="A23" s="9">
        <v>21</v>
      </c>
      <c r="B23" s="10">
        <v>46132</v>
      </c>
      <c r="C23" s="11" t="s">
        <v>41</v>
      </c>
      <c r="D23" s="11" t="s">
        <v>88</v>
      </c>
      <c r="E23" s="11">
        <v>3</v>
      </c>
      <c r="F23" s="11"/>
      <c r="G23" s="15"/>
      <c r="H23">
        <f t="shared" si="0"/>
        <v>3</v>
      </c>
    </row>
    <row r="24" customFormat="1" ht="22" customHeight="1" spans="1:8">
      <c r="A24" s="9">
        <v>22</v>
      </c>
      <c r="B24" s="10">
        <v>46132</v>
      </c>
      <c r="C24" s="11" t="s">
        <v>42</v>
      </c>
      <c r="D24" s="11" t="s">
        <v>88</v>
      </c>
      <c r="E24" s="11">
        <v>3</v>
      </c>
      <c r="F24" s="11"/>
      <c r="G24" s="15"/>
      <c r="H24">
        <f t="shared" si="0"/>
        <v>3</v>
      </c>
    </row>
    <row r="25" customFormat="1" ht="22" customHeight="1" spans="1:8">
      <c r="A25" s="9">
        <v>23</v>
      </c>
      <c r="B25" s="10">
        <v>46132</v>
      </c>
      <c r="C25" s="11" t="s">
        <v>43</v>
      </c>
      <c r="D25" s="11" t="s">
        <v>88</v>
      </c>
      <c r="E25" s="11">
        <v>3</v>
      </c>
      <c r="F25" s="11"/>
      <c r="G25" s="15" t="s">
        <v>107</v>
      </c>
      <c r="H25">
        <f t="shared" si="0"/>
        <v>3</v>
      </c>
    </row>
    <row r="26" customFormat="1" ht="22" customHeight="1" spans="1:8">
      <c r="A26" s="9">
        <v>24</v>
      </c>
      <c r="B26" s="10">
        <v>46132</v>
      </c>
      <c r="C26" s="11" t="s">
        <v>44</v>
      </c>
      <c r="D26" s="11" t="s">
        <v>88</v>
      </c>
      <c r="E26" s="11">
        <v>3</v>
      </c>
      <c r="F26" s="11"/>
      <c r="G26" s="15"/>
      <c r="H26">
        <f t="shared" si="0"/>
        <v>3</v>
      </c>
    </row>
    <row r="27" customFormat="1" ht="22" customHeight="1" spans="1:8">
      <c r="A27" s="9">
        <v>25</v>
      </c>
      <c r="B27" s="10">
        <v>46132</v>
      </c>
      <c r="C27" s="11" t="s">
        <v>45</v>
      </c>
      <c r="D27" s="11" t="s">
        <v>88</v>
      </c>
      <c r="E27" s="11"/>
      <c r="F27" s="11">
        <v>3</v>
      </c>
      <c r="G27" s="15"/>
      <c r="H27">
        <f t="shared" si="0"/>
        <v>3</v>
      </c>
    </row>
    <row r="28" customFormat="1" ht="22" customHeight="1" spans="1:8">
      <c r="A28" s="9">
        <v>26</v>
      </c>
      <c r="B28" s="10">
        <v>46132</v>
      </c>
      <c r="C28" s="11" t="s">
        <v>46</v>
      </c>
      <c r="D28" s="11" t="s">
        <v>88</v>
      </c>
      <c r="E28" s="11">
        <v>3</v>
      </c>
      <c r="F28" s="11"/>
      <c r="G28" s="15"/>
      <c r="H28">
        <f t="shared" si="0"/>
        <v>3</v>
      </c>
    </row>
    <row r="29" customFormat="1" ht="22" customHeight="1" spans="1:8">
      <c r="A29" s="9">
        <v>27</v>
      </c>
      <c r="B29" s="10">
        <v>46132</v>
      </c>
      <c r="C29" s="11" t="s">
        <v>104</v>
      </c>
      <c r="D29" s="11" t="s">
        <v>88</v>
      </c>
      <c r="E29" s="11">
        <v>2</v>
      </c>
      <c r="F29" s="11">
        <v>1</v>
      </c>
      <c r="G29" s="15"/>
      <c r="H29">
        <f t="shared" si="0"/>
        <v>3</v>
      </c>
    </row>
    <row r="30" customFormat="1" ht="22" customHeight="1" spans="1:8">
      <c r="A30" s="9">
        <v>28</v>
      </c>
      <c r="B30" s="10">
        <v>46132</v>
      </c>
      <c r="C30" s="11" t="s">
        <v>49</v>
      </c>
      <c r="D30" s="11" t="s">
        <v>88</v>
      </c>
      <c r="E30" s="11">
        <v>2</v>
      </c>
      <c r="F30" s="11">
        <v>1</v>
      </c>
      <c r="G30" s="15"/>
      <c r="H30">
        <f t="shared" si="0"/>
        <v>3</v>
      </c>
    </row>
    <row r="31" customFormat="1" ht="22" customHeight="1" spans="1:8">
      <c r="A31" s="9">
        <v>29</v>
      </c>
      <c r="B31" s="10">
        <v>46132</v>
      </c>
      <c r="C31" s="11" t="s">
        <v>50</v>
      </c>
      <c r="D31" s="11" t="s">
        <v>88</v>
      </c>
      <c r="E31" s="11">
        <v>2</v>
      </c>
      <c r="F31" s="11">
        <v>1</v>
      </c>
      <c r="G31" s="15"/>
      <c r="H31">
        <f t="shared" si="0"/>
        <v>3</v>
      </c>
    </row>
    <row r="32" customFormat="1" ht="22" customHeight="1" spans="1:8">
      <c r="A32" s="9">
        <v>30</v>
      </c>
      <c r="B32" s="10">
        <v>46132</v>
      </c>
      <c r="C32" s="11" t="s">
        <v>51</v>
      </c>
      <c r="D32" s="11" t="s">
        <v>88</v>
      </c>
      <c r="E32" s="11">
        <v>2</v>
      </c>
      <c r="F32" s="11">
        <v>1</v>
      </c>
      <c r="G32" s="15"/>
      <c r="H32">
        <f t="shared" si="0"/>
        <v>3</v>
      </c>
    </row>
    <row r="33" customFormat="1" ht="22" customHeight="1" spans="1:9">
      <c r="A33" s="9">
        <v>31</v>
      </c>
      <c r="B33" s="10">
        <v>46132</v>
      </c>
      <c r="C33" s="11" t="s">
        <v>52</v>
      </c>
      <c r="D33" s="11" t="s">
        <v>88</v>
      </c>
      <c r="E33" s="11"/>
      <c r="F33" s="11">
        <v>3</v>
      </c>
      <c r="G33" s="15"/>
      <c r="H33">
        <f t="shared" si="0"/>
        <v>3</v>
      </c>
    </row>
    <row r="34" customFormat="1" ht="22" customHeight="1" spans="1:9">
      <c r="A34" s="9">
        <v>32</v>
      </c>
      <c r="B34" s="10">
        <v>46132</v>
      </c>
      <c r="C34" s="11" t="s">
        <v>53</v>
      </c>
      <c r="D34" s="11" t="s">
        <v>88</v>
      </c>
      <c r="E34" s="11">
        <v>3</v>
      </c>
      <c r="F34" s="11"/>
      <c r="G34" s="15"/>
      <c r="H34">
        <f t="shared" si="0"/>
        <v>3</v>
      </c>
    </row>
    <row r="35" customFormat="1" ht="22" customHeight="1" spans="1:9">
      <c r="A35" s="9">
        <v>33</v>
      </c>
      <c r="B35" s="10">
        <v>46132</v>
      </c>
      <c r="C35" s="11" t="s">
        <v>54</v>
      </c>
      <c r="D35" s="11" t="s">
        <v>88</v>
      </c>
      <c r="E35" s="11">
        <v>3</v>
      </c>
      <c r="F35" s="11"/>
      <c r="G35" s="15"/>
      <c r="H35">
        <f t="shared" si="0"/>
        <v>3</v>
      </c>
    </row>
    <row r="36" customFormat="1" ht="22" customHeight="1" spans="1:9">
      <c r="A36" s="9">
        <v>34</v>
      </c>
      <c r="B36" s="10">
        <v>46132</v>
      </c>
      <c r="C36" s="11" t="s">
        <v>55</v>
      </c>
      <c r="D36" s="11" t="s">
        <v>88</v>
      </c>
      <c r="E36" s="11"/>
      <c r="F36" s="11">
        <v>3</v>
      </c>
      <c r="G36" s="15"/>
      <c r="H36">
        <f t="shared" si="0"/>
        <v>3</v>
      </c>
    </row>
    <row r="37" customFormat="1" ht="22" customHeight="1" spans="1:9">
      <c r="A37" s="9">
        <v>35</v>
      </c>
      <c r="B37" s="10">
        <v>46132</v>
      </c>
      <c r="C37" s="11" t="s">
        <v>56</v>
      </c>
      <c r="D37" s="11" t="s">
        <v>88</v>
      </c>
      <c r="E37" s="11">
        <v>3</v>
      </c>
      <c r="F37" s="11"/>
      <c r="G37" s="15"/>
      <c r="H37">
        <f t="shared" si="0"/>
        <v>3</v>
      </c>
    </row>
    <row r="38" customFormat="1" ht="22" customHeight="1" spans="1:9">
      <c r="A38" s="9">
        <v>36</v>
      </c>
      <c r="B38" s="10">
        <v>46132</v>
      </c>
      <c r="C38" s="11" t="s">
        <v>57</v>
      </c>
      <c r="D38" s="11" t="s">
        <v>88</v>
      </c>
      <c r="E38" s="11"/>
      <c r="F38" s="11">
        <v>3</v>
      </c>
      <c r="G38" s="15"/>
      <c r="H38">
        <f t="shared" si="0"/>
        <v>3</v>
      </c>
    </row>
    <row r="39" customFormat="1" ht="22" customHeight="1" spans="1:9">
      <c r="A39" s="9">
        <v>37</v>
      </c>
      <c r="B39" s="10">
        <v>46132</v>
      </c>
      <c r="C39" s="11" t="s">
        <v>58</v>
      </c>
      <c r="D39" s="11" t="s">
        <v>88</v>
      </c>
      <c r="E39" s="11"/>
      <c r="F39" s="11">
        <v>3</v>
      </c>
      <c r="G39" s="15"/>
      <c r="H39">
        <f t="shared" si="0"/>
        <v>3</v>
      </c>
    </row>
    <row r="40" customFormat="1" ht="22" customHeight="1" spans="1:9">
      <c r="A40" s="9">
        <v>38</v>
      </c>
      <c r="B40" s="10">
        <v>46132</v>
      </c>
      <c r="C40" s="11" t="s">
        <v>59</v>
      </c>
      <c r="D40" s="11" t="s">
        <v>88</v>
      </c>
      <c r="E40" s="11">
        <v>3</v>
      </c>
      <c r="F40" s="11"/>
      <c r="G40" s="15"/>
      <c r="H40">
        <f t="shared" si="0"/>
        <v>3</v>
      </c>
    </row>
    <row r="41" customFormat="1" ht="22" customHeight="1" spans="1:9">
      <c r="A41" s="9">
        <v>39</v>
      </c>
      <c r="B41" s="10">
        <v>46132</v>
      </c>
      <c r="C41" s="11" t="s">
        <v>61</v>
      </c>
      <c r="D41" s="11" t="s">
        <v>88</v>
      </c>
      <c r="E41" s="11"/>
      <c r="F41" s="11">
        <v>3</v>
      </c>
      <c r="G41" s="15"/>
      <c r="H41">
        <f t="shared" si="0"/>
        <v>3</v>
      </c>
    </row>
    <row r="42" customFormat="1" ht="22" customHeight="1" spans="1:9">
      <c r="A42" s="9">
        <v>40</v>
      </c>
      <c r="B42" s="10">
        <v>46132</v>
      </c>
      <c r="C42" s="12" t="s">
        <v>64</v>
      </c>
      <c r="D42" s="11" t="s">
        <v>88</v>
      </c>
      <c r="E42" s="11">
        <v>3</v>
      </c>
      <c r="F42" s="11"/>
      <c r="G42" s="15"/>
      <c r="H42">
        <f t="shared" si="0"/>
        <v>3</v>
      </c>
    </row>
    <row r="43" customFormat="1" ht="22" customHeight="1" spans="1:9">
      <c r="A43" s="9">
        <v>41</v>
      </c>
      <c r="B43" s="10">
        <v>46132</v>
      </c>
      <c r="C43" s="12" t="s">
        <v>66</v>
      </c>
      <c r="D43" s="11" t="s">
        <v>88</v>
      </c>
      <c r="E43" s="11"/>
      <c r="F43" s="11">
        <v>3</v>
      </c>
      <c r="G43" s="15"/>
      <c r="H43">
        <f t="shared" si="0"/>
        <v>3</v>
      </c>
    </row>
    <row r="44" customFormat="1" ht="22" customHeight="1" spans="1:9">
      <c r="A44" s="9">
        <v>42</v>
      </c>
      <c r="B44" s="10">
        <v>46132</v>
      </c>
      <c r="C44" s="12" t="s">
        <v>105</v>
      </c>
      <c r="D44" s="11" t="s">
        <v>88</v>
      </c>
      <c r="E44" s="11">
        <v>3</v>
      </c>
      <c r="F44" s="11"/>
      <c r="G44" s="15"/>
      <c r="H44">
        <f t="shared" si="0"/>
        <v>3</v>
      </c>
    </row>
    <row r="45" customFormat="1" ht="22" customHeight="1" spans="1:9">
      <c r="A45" s="9">
        <v>43</v>
      </c>
      <c r="B45" s="10">
        <v>46132</v>
      </c>
      <c r="C45" s="20" t="s">
        <v>67</v>
      </c>
      <c r="D45" s="11" t="s">
        <v>88</v>
      </c>
      <c r="E45" s="11">
        <v>3</v>
      </c>
      <c r="F45" s="17"/>
      <c r="G45" s="15"/>
      <c r="H45">
        <f t="shared" si="0"/>
        <v>3</v>
      </c>
    </row>
    <row r="46" customFormat="1" ht="22" customHeight="1" spans="1:9">
      <c r="A46" s="9">
        <v>44</v>
      </c>
      <c r="B46" s="10">
        <v>46132</v>
      </c>
      <c r="C46" s="20" t="s">
        <v>69</v>
      </c>
      <c r="D46" s="11" t="s">
        <v>88</v>
      </c>
      <c r="E46" s="17"/>
      <c r="F46" s="11">
        <v>3</v>
      </c>
      <c r="G46" s="15"/>
      <c r="H46">
        <f t="shared" si="0"/>
        <v>3</v>
      </c>
    </row>
    <row r="47" customFormat="1" ht="22" customHeight="1" spans="1:9">
      <c r="A47" s="9">
        <v>45</v>
      </c>
      <c r="B47" s="10">
        <v>46132</v>
      </c>
      <c r="C47" s="20" t="s">
        <v>70</v>
      </c>
      <c r="D47" s="11" t="s">
        <v>88</v>
      </c>
      <c r="E47" s="17"/>
      <c r="F47" s="11">
        <v>3</v>
      </c>
      <c r="G47" s="15"/>
      <c r="H47">
        <f t="shared" si="0"/>
        <v>3</v>
      </c>
    </row>
    <row r="48" customFormat="1" ht="22" customHeight="1" spans="1:9">
      <c r="A48" s="9"/>
      <c r="B48" s="10"/>
      <c r="C48" s="20"/>
      <c r="D48" s="11"/>
      <c r="E48" s="11"/>
      <c r="F48" s="17"/>
      <c r="G48" s="25"/>
      <c r="H48">
        <f t="shared" si="0"/>
        <v>0</v>
      </c>
      <c r="I48" s="2"/>
    </row>
    <row r="49" customFormat="1" ht="22" customHeight="1" spans="1:9">
      <c r="A49" s="9"/>
      <c r="B49" s="10"/>
      <c r="C49" s="20"/>
      <c r="D49" s="11"/>
      <c r="E49" s="17"/>
      <c r="F49" s="11"/>
      <c r="G49" s="25"/>
      <c r="H49">
        <f t="shared" si="0"/>
        <v>0</v>
      </c>
      <c r="I49" s="2"/>
    </row>
    <row r="50" customFormat="1" ht="22" customHeight="1" spans="1:9">
      <c r="A50" s="9"/>
      <c r="B50" s="10"/>
      <c r="C50" s="20"/>
      <c r="D50" s="11"/>
      <c r="E50" s="17"/>
      <c r="F50" s="11"/>
      <c r="G50" s="25"/>
      <c r="H50">
        <f t="shared" si="0"/>
        <v>0</v>
      </c>
      <c r="I50" s="2"/>
    </row>
    <row r="51" customFormat="1" ht="22" customHeight="1" spans="1:9">
      <c r="A51" s="9"/>
      <c r="B51" s="10"/>
      <c r="C51" s="21"/>
      <c r="D51" s="21"/>
      <c r="E51" s="21"/>
      <c r="F51" s="21"/>
      <c r="G51" s="22"/>
    </row>
    <row r="52" customFormat="1" ht="25" customHeight="1" spans="1:9">
      <c r="E52" s="23">
        <f>SUM(E3:E51)</f>
        <v>87</v>
      </c>
      <c r="F52" s="23">
        <f t="shared" ref="E52:H52" si="1">SUM(F3:F51)</f>
        <v>48</v>
      </c>
      <c r="H52" s="23">
        <f t="shared" si="1"/>
        <v>135</v>
      </c>
    </row>
    <row r="55" customFormat="1" ht="19" customHeight="1" spans="1:9">
      <c r="C55" s="24"/>
      <c r="D55" s="24"/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workbookViewId="0">
      <pane ySplit="2" topLeftCell="A37" activePane="bottomLeft" state="frozen"/>
      <selection/>
      <selection pane="bottomLeft" activeCell="E49" sqref="E49:F49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9.2857142857143" customWidth="1"/>
    <col min="4" max="6" width="12.1428571428571" customWidth="1"/>
    <col min="7" max="7" width="25.2857142857143" customWidth="1"/>
  </cols>
  <sheetData>
    <row r="1" ht="27" customHeight="1" spans="1:14">
      <c r="A1" s="3" t="s">
        <v>84</v>
      </c>
      <c r="B1" s="3"/>
      <c r="C1" s="3"/>
      <c r="D1" s="3"/>
      <c r="E1" s="3"/>
      <c r="F1" s="4"/>
      <c r="G1" s="5"/>
      <c r="I1" t="s">
        <v>93</v>
      </c>
    </row>
    <row r="2" s="1" customFormat="1" ht="27" customHeight="1" spans="1:14">
      <c r="A2" s="6" t="s">
        <v>2</v>
      </c>
      <c r="B2" s="6" t="s">
        <v>75</v>
      </c>
      <c r="C2" s="6" t="s">
        <v>3</v>
      </c>
      <c r="D2" s="7" t="s">
        <v>85</v>
      </c>
      <c r="E2" s="8" t="s">
        <v>86</v>
      </c>
      <c r="F2" s="8" t="s">
        <v>87</v>
      </c>
      <c r="G2" s="8" t="s">
        <v>7</v>
      </c>
      <c r="I2"/>
      <c r="J2"/>
      <c r="K2"/>
      <c r="L2"/>
      <c r="M2"/>
      <c r="N2"/>
    </row>
    <row r="3" ht="22" customHeight="1" spans="1:14">
      <c r="A3" s="9">
        <v>1</v>
      </c>
      <c r="B3" s="10">
        <v>46128</v>
      </c>
      <c r="C3" s="11" t="s">
        <v>16</v>
      </c>
      <c r="D3" s="11" t="s">
        <v>91</v>
      </c>
      <c r="E3" s="11">
        <v>4</v>
      </c>
      <c r="F3" s="12"/>
      <c r="G3" s="13"/>
      <c r="H3">
        <f t="shared" ref="H3:H47" si="0">SUM(E3:F3)</f>
        <v>4</v>
      </c>
    </row>
    <row r="4" ht="22" customHeight="1" spans="1:14">
      <c r="A4" s="9">
        <v>2</v>
      </c>
      <c r="B4" s="10">
        <v>46128</v>
      </c>
      <c r="C4" s="11" t="s">
        <v>19</v>
      </c>
      <c r="D4" s="11" t="s">
        <v>91</v>
      </c>
      <c r="E4" s="11">
        <v>4</v>
      </c>
      <c r="F4" s="12"/>
      <c r="G4" s="14"/>
      <c r="H4">
        <f t="shared" si="0"/>
        <v>4</v>
      </c>
    </row>
    <row r="5" ht="22" customHeight="1" spans="1:14">
      <c r="A5" s="9">
        <v>3</v>
      </c>
      <c r="B5" s="10">
        <v>46128</v>
      </c>
      <c r="C5" s="11" t="s">
        <v>21</v>
      </c>
      <c r="D5" s="11" t="s">
        <v>91</v>
      </c>
      <c r="E5" s="11">
        <v>4</v>
      </c>
      <c r="F5" s="12"/>
      <c r="G5" s="14"/>
      <c r="H5">
        <f t="shared" si="0"/>
        <v>4</v>
      </c>
    </row>
    <row r="6" customFormat="1" ht="22" customHeight="1" spans="1:14">
      <c r="A6" s="9">
        <v>4</v>
      </c>
      <c r="B6" s="10">
        <v>46128</v>
      </c>
      <c r="C6" s="11" t="s">
        <v>32</v>
      </c>
      <c r="D6" s="11" t="s">
        <v>91</v>
      </c>
      <c r="E6" s="11">
        <v>4</v>
      </c>
      <c r="F6" s="12"/>
      <c r="G6" s="15"/>
      <c r="H6">
        <f t="shared" si="0"/>
        <v>4</v>
      </c>
    </row>
    <row r="7" ht="22" customHeight="1" spans="1:14">
      <c r="A7" s="9">
        <v>5</v>
      </c>
      <c r="B7" s="10">
        <v>46128</v>
      </c>
      <c r="C7" s="11" t="s">
        <v>22</v>
      </c>
      <c r="D7" s="11" t="s">
        <v>91</v>
      </c>
      <c r="E7" s="12"/>
      <c r="F7" s="11">
        <v>4</v>
      </c>
      <c r="G7" s="14"/>
      <c r="H7">
        <f t="shared" si="0"/>
        <v>4</v>
      </c>
    </row>
    <row r="8" ht="22" customHeight="1" spans="1:14">
      <c r="A8" s="9">
        <v>6</v>
      </c>
      <c r="B8" s="10">
        <v>46128</v>
      </c>
      <c r="C8" s="11" t="s">
        <v>24</v>
      </c>
      <c r="D8" s="11" t="s">
        <v>91</v>
      </c>
      <c r="E8" s="12"/>
      <c r="F8" s="11">
        <v>4</v>
      </c>
      <c r="G8" s="14"/>
      <c r="H8">
        <f t="shared" si="0"/>
        <v>4</v>
      </c>
    </row>
    <row r="9" ht="22" customHeight="1" spans="1:14">
      <c r="A9" s="9">
        <v>7</v>
      </c>
      <c r="B9" s="10">
        <v>46128</v>
      </c>
      <c r="C9" s="11" t="s">
        <v>25</v>
      </c>
      <c r="D9" s="11" t="s">
        <v>91</v>
      </c>
      <c r="E9" s="11"/>
      <c r="F9" s="11">
        <v>4</v>
      </c>
      <c r="G9" s="14" t="s">
        <v>100</v>
      </c>
      <c r="H9">
        <f t="shared" si="0"/>
        <v>4</v>
      </c>
    </row>
    <row r="10" ht="22" customHeight="1" spans="1:14">
      <c r="A10" s="9">
        <v>8</v>
      </c>
      <c r="B10" s="10">
        <v>46128</v>
      </c>
      <c r="C10" s="11" t="s">
        <v>28</v>
      </c>
      <c r="D10" s="11" t="s">
        <v>91</v>
      </c>
      <c r="E10" s="11">
        <v>4</v>
      </c>
      <c r="F10" s="12"/>
      <c r="G10" s="15"/>
      <c r="H10">
        <f t="shared" si="0"/>
        <v>4</v>
      </c>
    </row>
    <row r="11" customFormat="1" ht="22" customHeight="1" spans="1:14">
      <c r="A11" s="9">
        <v>9</v>
      </c>
      <c r="B11" s="10">
        <v>46128</v>
      </c>
      <c r="C11" s="11" t="s">
        <v>29</v>
      </c>
      <c r="D11" s="11" t="s">
        <v>91</v>
      </c>
      <c r="E11" s="11">
        <v>4</v>
      </c>
      <c r="F11" s="12"/>
      <c r="G11" s="15"/>
      <c r="H11">
        <f t="shared" si="0"/>
        <v>4</v>
      </c>
    </row>
    <row r="12" customFormat="1" ht="22" customHeight="1" spans="1:14">
      <c r="A12" s="9">
        <v>10</v>
      </c>
      <c r="B12" s="10">
        <v>46128</v>
      </c>
      <c r="C12" s="11" t="s">
        <v>30</v>
      </c>
      <c r="D12" s="11" t="s">
        <v>91</v>
      </c>
      <c r="E12" s="11">
        <v>4</v>
      </c>
      <c r="F12" s="12"/>
      <c r="G12" s="15"/>
      <c r="H12">
        <f t="shared" si="0"/>
        <v>4</v>
      </c>
    </row>
    <row r="13" customFormat="1" ht="22" customHeight="1" spans="1:14">
      <c r="A13" s="9">
        <v>11</v>
      </c>
      <c r="B13" s="10">
        <v>46128</v>
      </c>
      <c r="C13" s="11" t="s">
        <v>47</v>
      </c>
      <c r="D13" s="11" t="s">
        <v>91</v>
      </c>
      <c r="E13" s="11">
        <v>4</v>
      </c>
      <c r="F13" s="11"/>
      <c r="G13" s="15"/>
      <c r="H13">
        <f t="shared" si="0"/>
        <v>4</v>
      </c>
    </row>
    <row r="14" customFormat="1" ht="22" customHeight="1" spans="1:14">
      <c r="A14" s="9">
        <v>12</v>
      </c>
      <c r="B14" s="10">
        <v>46128</v>
      </c>
      <c r="C14" s="11" t="s">
        <v>31</v>
      </c>
      <c r="D14" s="11" t="s">
        <v>91</v>
      </c>
      <c r="E14" s="11">
        <v>4</v>
      </c>
      <c r="F14" s="12"/>
      <c r="G14" s="15"/>
      <c r="H14">
        <f t="shared" si="0"/>
        <v>4</v>
      </c>
    </row>
    <row r="15" customFormat="1" ht="22" customHeight="1" spans="1:14">
      <c r="A15" s="9">
        <v>13</v>
      </c>
      <c r="B15" s="10">
        <v>46128</v>
      </c>
      <c r="C15" s="11" t="s">
        <v>33</v>
      </c>
      <c r="D15" s="11" t="s">
        <v>91</v>
      </c>
      <c r="E15" s="11">
        <v>4</v>
      </c>
      <c r="F15" s="12"/>
      <c r="G15" s="15"/>
      <c r="H15">
        <f t="shared" si="0"/>
        <v>4</v>
      </c>
    </row>
    <row r="16" customFormat="1" ht="22" customHeight="1" spans="1:14">
      <c r="A16" s="9">
        <v>14</v>
      </c>
      <c r="B16" s="10">
        <v>46128</v>
      </c>
      <c r="C16" s="11" t="s">
        <v>34</v>
      </c>
      <c r="D16" s="11" t="s">
        <v>91</v>
      </c>
      <c r="E16" s="12"/>
      <c r="F16" s="11">
        <v>4</v>
      </c>
      <c r="G16" s="15"/>
      <c r="H16">
        <f t="shared" si="0"/>
        <v>4</v>
      </c>
    </row>
    <row r="17" customFormat="1" ht="22" customHeight="1" spans="1:8">
      <c r="A17" s="9">
        <v>15</v>
      </c>
      <c r="B17" s="10">
        <v>46128</v>
      </c>
      <c r="C17" s="11" t="s">
        <v>35</v>
      </c>
      <c r="D17" s="11" t="s">
        <v>91</v>
      </c>
      <c r="E17" s="11">
        <v>2</v>
      </c>
      <c r="F17" s="11">
        <v>2</v>
      </c>
      <c r="G17" s="15"/>
      <c r="H17">
        <f t="shared" si="0"/>
        <v>4</v>
      </c>
    </row>
    <row r="18" customFormat="1" ht="22" customHeight="1" spans="1:8">
      <c r="A18" s="9">
        <v>16</v>
      </c>
      <c r="B18" s="10">
        <v>46128</v>
      </c>
      <c r="C18" s="11" t="s">
        <v>37</v>
      </c>
      <c r="D18" s="11" t="s">
        <v>91</v>
      </c>
      <c r="E18" s="11">
        <v>4</v>
      </c>
      <c r="F18" s="12"/>
      <c r="G18" s="15"/>
      <c r="H18">
        <f t="shared" si="0"/>
        <v>4</v>
      </c>
    </row>
    <row r="19" customFormat="1" ht="22" customHeight="1" spans="1:8">
      <c r="A19" s="9">
        <v>17</v>
      </c>
      <c r="B19" s="10">
        <v>46128</v>
      </c>
      <c r="C19" s="11" t="s">
        <v>37</v>
      </c>
      <c r="D19" s="11" t="s">
        <v>91</v>
      </c>
      <c r="E19" s="12"/>
      <c r="F19" s="11">
        <v>4</v>
      </c>
      <c r="G19" s="15"/>
      <c r="H19">
        <f t="shared" si="0"/>
        <v>4</v>
      </c>
    </row>
    <row r="20" customFormat="1" ht="22" customHeight="1" spans="1:8">
      <c r="A20" s="9">
        <v>18</v>
      </c>
      <c r="B20" s="10">
        <v>46128</v>
      </c>
      <c r="C20" s="11" t="s">
        <v>38</v>
      </c>
      <c r="D20" s="11" t="s">
        <v>91</v>
      </c>
      <c r="E20" s="11">
        <v>4</v>
      </c>
      <c r="F20" s="12"/>
      <c r="G20" s="15"/>
      <c r="H20">
        <f t="shared" si="0"/>
        <v>4</v>
      </c>
    </row>
    <row r="21" s="2" customFormat="1" ht="22" customHeight="1" spans="1:8">
      <c r="A21" s="9">
        <v>19</v>
      </c>
      <c r="B21" s="10">
        <v>46128</v>
      </c>
      <c r="C21" s="16" t="s">
        <v>39</v>
      </c>
      <c r="D21" s="17" t="s">
        <v>91</v>
      </c>
      <c r="E21" s="16">
        <v>2</v>
      </c>
      <c r="F21" s="16">
        <v>2</v>
      </c>
      <c r="G21" s="18"/>
      <c r="H21">
        <f t="shared" si="0"/>
        <v>4</v>
      </c>
    </row>
    <row r="22" customFormat="1" ht="22" customHeight="1" spans="1:8">
      <c r="A22" s="9">
        <v>20</v>
      </c>
      <c r="B22" s="10">
        <v>46128</v>
      </c>
      <c r="C22" s="11" t="s">
        <v>40</v>
      </c>
      <c r="D22" s="11" t="s">
        <v>91</v>
      </c>
      <c r="E22" s="11">
        <v>4</v>
      </c>
      <c r="F22" s="11"/>
      <c r="G22" s="15"/>
      <c r="H22">
        <f t="shared" si="0"/>
        <v>4</v>
      </c>
    </row>
    <row r="23" customFormat="1" ht="22" customHeight="1" spans="1:8">
      <c r="A23" s="9">
        <v>21</v>
      </c>
      <c r="B23" s="10">
        <v>46128</v>
      </c>
      <c r="C23" s="11" t="s">
        <v>41</v>
      </c>
      <c r="D23" s="11" t="s">
        <v>91</v>
      </c>
      <c r="E23" s="11">
        <v>4</v>
      </c>
      <c r="F23" s="11"/>
      <c r="G23" s="15"/>
      <c r="H23">
        <f t="shared" si="0"/>
        <v>4</v>
      </c>
    </row>
    <row r="24" customFormat="1" ht="22" customHeight="1" spans="1:8">
      <c r="A24" s="9">
        <v>22</v>
      </c>
      <c r="B24" s="10">
        <v>46128</v>
      </c>
      <c r="C24" s="11" t="s">
        <v>42</v>
      </c>
      <c r="D24" s="11" t="s">
        <v>91</v>
      </c>
      <c r="E24" s="11">
        <v>4</v>
      </c>
      <c r="F24" s="11"/>
      <c r="G24" s="15"/>
      <c r="H24">
        <f t="shared" si="0"/>
        <v>4</v>
      </c>
    </row>
    <row r="25" customFormat="1" ht="22" customHeight="1" spans="1:8">
      <c r="A25" s="9">
        <v>23</v>
      </c>
      <c r="B25" s="10">
        <v>46128</v>
      </c>
      <c r="C25" s="11" t="s">
        <v>43</v>
      </c>
      <c r="D25" s="11" t="s">
        <v>91</v>
      </c>
      <c r="E25" s="11">
        <v>4</v>
      </c>
      <c r="F25" s="11"/>
      <c r="G25" s="15" t="s">
        <v>107</v>
      </c>
      <c r="H25">
        <f t="shared" si="0"/>
        <v>4</v>
      </c>
    </row>
    <row r="26" customFormat="1" ht="22" customHeight="1" spans="1:8">
      <c r="A26" s="9">
        <v>24</v>
      </c>
      <c r="B26" s="10">
        <v>46128</v>
      </c>
      <c r="C26" s="11" t="s">
        <v>44</v>
      </c>
      <c r="D26" s="11" t="s">
        <v>91</v>
      </c>
      <c r="E26" s="11">
        <v>4</v>
      </c>
      <c r="F26" s="11"/>
      <c r="G26" s="15"/>
      <c r="H26">
        <f t="shared" si="0"/>
        <v>4</v>
      </c>
    </row>
    <row r="27" customFormat="1" ht="22" customHeight="1" spans="1:8">
      <c r="A27" s="9">
        <v>25</v>
      </c>
      <c r="B27" s="10">
        <v>46128</v>
      </c>
      <c r="C27" s="11" t="s">
        <v>45</v>
      </c>
      <c r="D27" s="11" t="s">
        <v>91</v>
      </c>
      <c r="E27" s="11"/>
      <c r="F27" s="11">
        <v>4</v>
      </c>
      <c r="G27" s="15"/>
      <c r="H27">
        <f t="shared" si="0"/>
        <v>4</v>
      </c>
    </row>
    <row r="28" customFormat="1" ht="22" customHeight="1" spans="1:8">
      <c r="A28" s="9">
        <v>26</v>
      </c>
      <c r="B28" s="10">
        <v>46128</v>
      </c>
      <c r="C28" s="11" t="s">
        <v>46</v>
      </c>
      <c r="D28" s="11" t="s">
        <v>91</v>
      </c>
      <c r="E28" s="11">
        <v>4</v>
      </c>
      <c r="F28" s="11"/>
      <c r="G28" s="15"/>
      <c r="H28">
        <f t="shared" si="0"/>
        <v>4</v>
      </c>
    </row>
    <row r="29" customFormat="1" ht="22" customHeight="1" spans="1:8">
      <c r="A29" s="9">
        <v>27</v>
      </c>
      <c r="B29" s="10">
        <v>46128</v>
      </c>
      <c r="C29" s="11" t="s">
        <v>104</v>
      </c>
      <c r="D29" s="11" t="s">
        <v>91</v>
      </c>
      <c r="E29" s="19">
        <v>2</v>
      </c>
      <c r="F29" s="19">
        <v>2</v>
      </c>
      <c r="G29" s="15"/>
      <c r="H29">
        <f t="shared" si="0"/>
        <v>4</v>
      </c>
    </row>
    <row r="30" customFormat="1" ht="22" customHeight="1" spans="1:8">
      <c r="A30" s="9">
        <v>28</v>
      </c>
      <c r="B30" s="10">
        <v>46128</v>
      </c>
      <c r="C30" s="11" t="s">
        <v>49</v>
      </c>
      <c r="D30" s="11" t="s">
        <v>91</v>
      </c>
      <c r="E30" s="19">
        <v>2</v>
      </c>
      <c r="F30" s="19">
        <v>2</v>
      </c>
      <c r="G30" s="15"/>
      <c r="H30">
        <f t="shared" si="0"/>
        <v>4</v>
      </c>
    </row>
    <row r="31" customFormat="1" ht="22" customHeight="1" spans="1:8">
      <c r="A31" s="9">
        <v>29</v>
      </c>
      <c r="B31" s="10">
        <v>46128</v>
      </c>
      <c r="C31" s="11" t="s">
        <v>50</v>
      </c>
      <c r="D31" s="11" t="s">
        <v>91</v>
      </c>
      <c r="E31" s="19">
        <v>2</v>
      </c>
      <c r="F31" s="19">
        <v>2</v>
      </c>
      <c r="G31" s="15"/>
      <c r="H31">
        <f t="shared" si="0"/>
        <v>4</v>
      </c>
    </row>
    <row r="32" customFormat="1" ht="22" customHeight="1" spans="1:8">
      <c r="A32" s="9">
        <v>30</v>
      </c>
      <c r="B32" s="10">
        <v>46128</v>
      </c>
      <c r="C32" s="11" t="s">
        <v>51</v>
      </c>
      <c r="D32" s="11" t="s">
        <v>91</v>
      </c>
      <c r="E32" s="19">
        <v>2</v>
      </c>
      <c r="F32" s="19">
        <v>2</v>
      </c>
      <c r="G32" s="15"/>
      <c r="H32">
        <f t="shared" si="0"/>
        <v>4</v>
      </c>
    </row>
    <row r="33" customFormat="1" ht="22" customHeight="1" spans="1:8">
      <c r="A33" s="9">
        <v>31</v>
      </c>
      <c r="B33" s="10">
        <v>46128</v>
      </c>
      <c r="C33" s="11" t="s">
        <v>52</v>
      </c>
      <c r="D33" s="11" t="s">
        <v>91</v>
      </c>
      <c r="E33" s="11"/>
      <c r="F33" s="11">
        <v>4</v>
      </c>
      <c r="G33" s="15"/>
      <c r="H33">
        <f t="shared" si="0"/>
        <v>4</v>
      </c>
    </row>
    <row r="34" customFormat="1" ht="22" customHeight="1" spans="1:8">
      <c r="A34" s="9">
        <v>32</v>
      </c>
      <c r="B34" s="10">
        <v>46128</v>
      </c>
      <c r="C34" s="11" t="s">
        <v>53</v>
      </c>
      <c r="D34" s="11" t="s">
        <v>91</v>
      </c>
      <c r="E34" s="11">
        <v>4</v>
      </c>
      <c r="F34" s="11"/>
      <c r="G34" s="15"/>
      <c r="H34">
        <f t="shared" si="0"/>
        <v>4</v>
      </c>
    </row>
    <row r="35" customFormat="1" ht="22" customHeight="1" spans="1:8">
      <c r="A35" s="9">
        <v>33</v>
      </c>
      <c r="B35" s="10">
        <v>46128</v>
      </c>
      <c r="C35" s="11" t="s">
        <v>54</v>
      </c>
      <c r="D35" s="11" t="s">
        <v>91</v>
      </c>
      <c r="E35" s="11">
        <v>4</v>
      </c>
      <c r="F35" s="11"/>
      <c r="G35" s="15"/>
      <c r="H35">
        <f t="shared" si="0"/>
        <v>4</v>
      </c>
    </row>
    <row r="36" customFormat="1" ht="22" customHeight="1" spans="1:8">
      <c r="A36" s="9">
        <v>34</v>
      </c>
      <c r="B36" s="10">
        <v>46128</v>
      </c>
      <c r="C36" s="11" t="s">
        <v>55</v>
      </c>
      <c r="D36" s="11" t="s">
        <v>91</v>
      </c>
      <c r="E36" s="11"/>
      <c r="F36" s="11">
        <v>4</v>
      </c>
      <c r="G36" s="15"/>
      <c r="H36">
        <f t="shared" si="0"/>
        <v>4</v>
      </c>
    </row>
    <row r="37" customFormat="1" ht="22" customHeight="1" spans="1:8">
      <c r="A37" s="9">
        <v>35</v>
      </c>
      <c r="B37" s="10">
        <v>46128</v>
      </c>
      <c r="C37" s="11" t="s">
        <v>56</v>
      </c>
      <c r="D37" s="11" t="s">
        <v>91</v>
      </c>
      <c r="E37" s="11">
        <v>4</v>
      </c>
      <c r="F37" s="11"/>
      <c r="G37" s="15"/>
      <c r="H37">
        <f t="shared" si="0"/>
        <v>4</v>
      </c>
    </row>
    <row r="38" customFormat="1" ht="22" customHeight="1" spans="1:8">
      <c r="A38" s="9">
        <v>36</v>
      </c>
      <c r="B38" s="10">
        <v>46128</v>
      </c>
      <c r="C38" s="11" t="s">
        <v>57</v>
      </c>
      <c r="D38" s="11" t="s">
        <v>91</v>
      </c>
      <c r="E38" s="11"/>
      <c r="F38" s="11">
        <v>4</v>
      </c>
      <c r="G38" s="15"/>
      <c r="H38">
        <f t="shared" si="0"/>
        <v>4</v>
      </c>
    </row>
    <row r="39" customFormat="1" ht="22" customHeight="1" spans="1:8">
      <c r="A39" s="9">
        <v>37</v>
      </c>
      <c r="B39" s="10">
        <v>46128</v>
      </c>
      <c r="C39" s="11" t="s">
        <v>58</v>
      </c>
      <c r="D39" s="11" t="s">
        <v>91</v>
      </c>
      <c r="E39" s="11"/>
      <c r="F39" s="11">
        <v>4</v>
      </c>
      <c r="G39" s="15"/>
      <c r="H39">
        <f t="shared" si="0"/>
        <v>4</v>
      </c>
    </row>
    <row r="40" customFormat="1" ht="22" customHeight="1" spans="1:8">
      <c r="A40" s="9">
        <v>38</v>
      </c>
      <c r="B40" s="10">
        <v>46128</v>
      </c>
      <c r="C40" s="11" t="s">
        <v>59</v>
      </c>
      <c r="D40" s="11" t="s">
        <v>91</v>
      </c>
      <c r="E40" s="11">
        <v>4</v>
      </c>
      <c r="F40" s="11"/>
      <c r="G40" s="15"/>
      <c r="H40">
        <f t="shared" si="0"/>
        <v>4</v>
      </c>
    </row>
    <row r="41" customFormat="1" ht="22" customHeight="1" spans="1:8">
      <c r="A41" s="9">
        <v>39</v>
      </c>
      <c r="B41" s="10">
        <v>46128</v>
      </c>
      <c r="C41" s="11" t="s">
        <v>61</v>
      </c>
      <c r="D41" s="11" t="s">
        <v>91</v>
      </c>
      <c r="E41" s="11"/>
      <c r="F41" s="11">
        <v>4</v>
      </c>
      <c r="G41" s="15"/>
      <c r="H41">
        <f t="shared" si="0"/>
        <v>4</v>
      </c>
    </row>
    <row r="42" customFormat="1" ht="22" customHeight="1" spans="1:8">
      <c r="A42" s="9">
        <v>40</v>
      </c>
      <c r="B42" s="10">
        <v>46128</v>
      </c>
      <c r="C42" s="12" t="s">
        <v>64</v>
      </c>
      <c r="D42" s="11" t="s">
        <v>91</v>
      </c>
      <c r="E42" s="11">
        <v>4</v>
      </c>
      <c r="F42" s="11"/>
      <c r="G42" s="15"/>
      <c r="H42">
        <f t="shared" si="0"/>
        <v>4</v>
      </c>
    </row>
    <row r="43" customFormat="1" ht="22" customHeight="1" spans="1:8">
      <c r="A43" s="9">
        <v>41</v>
      </c>
      <c r="B43" s="10">
        <v>46128</v>
      </c>
      <c r="C43" s="12" t="s">
        <v>66</v>
      </c>
      <c r="D43" s="11" t="s">
        <v>91</v>
      </c>
      <c r="E43" s="11"/>
      <c r="F43" s="11">
        <v>4</v>
      </c>
      <c r="G43" s="15"/>
      <c r="H43">
        <f t="shared" si="0"/>
        <v>4</v>
      </c>
    </row>
    <row r="44" customFormat="1" ht="22" customHeight="1" spans="1:8">
      <c r="A44" s="9">
        <v>42</v>
      </c>
      <c r="B44" s="10">
        <v>46128</v>
      </c>
      <c r="C44" s="12" t="s">
        <v>105</v>
      </c>
      <c r="D44" s="11" t="s">
        <v>91</v>
      </c>
      <c r="E44" s="11">
        <v>4</v>
      </c>
      <c r="F44" s="11"/>
      <c r="G44" s="15"/>
      <c r="H44">
        <f t="shared" si="0"/>
        <v>4</v>
      </c>
    </row>
    <row r="45" customFormat="1" ht="22" customHeight="1" spans="1:8">
      <c r="A45" s="9">
        <v>43</v>
      </c>
      <c r="B45" s="10">
        <v>46128</v>
      </c>
      <c r="C45" s="20" t="s">
        <v>67</v>
      </c>
      <c r="D45" s="17" t="s">
        <v>91</v>
      </c>
      <c r="E45" s="17">
        <v>4</v>
      </c>
      <c r="F45" s="17"/>
      <c r="G45" s="15"/>
      <c r="H45">
        <f t="shared" si="0"/>
        <v>4</v>
      </c>
    </row>
    <row r="46" customFormat="1" ht="22" customHeight="1" spans="1:8">
      <c r="A46" s="9">
        <v>44</v>
      </c>
      <c r="B46" s="10">
        <v>46128</v>
      </c>
      <c r="C46" s="20" t="s">
        <v>69</v>
      </c>
      <c r="D46" s="17" t="s">
        <v>91</v>
      </c>
      <c r="E46" s="17"/>
      <c r="F46" s="17">
        <v>4</v>
      </c>
      <c r="G46" s="15"/>
      <c r="H46">
        <f t="shared" si="0"/>
        <v>4</v>
      </c>
    </row>
    <row r="47" customFormat="1" ht="22" customHeight="1" spans="1:8">
      <c r="A47" s="9">
        <v>45</v>
      </c>
      <c r="B47" s="10">
        <v>46128</v>
      </c>
      <c r="C47" s="20" t="s">
        <v>70</v>
      </c>
      <c r="D47" s="17" t="s">
        <v>91</v>
      </c>
      <c r="E47" s="17"/>
      <c r="F47" s="17">
        <v>4</v>
      </c>
      <c r="G47" s="15"/>
      <c r="H47">
        <f t="shared" si="0"/>
        <v>4</v>
      </c>
    </row>
    <row r="48" customFormat="1" ht="22" customHeight="1" spans="1:8">
      <c r="A48" s="9"/>
      <c r="B48" s="10"/>
      <c r="C48" s="21"/>
      <c r="D48" s="21"/>
      <c r="E48" s="21"/>
      <c r="F48" s="21"/>
      <c r="G48" s="22"/>
    </row>
    <row r="49" customFormat="1" ht="25" customHeight="1" spans="3:8">
      <c r="E49" s="23">
        <f>SUM(E3:E48)</f>
        <v>112</v>
      </c>
      <c r="F49" s="23">
        <f t="shared" ref="E49:H49" si="1">SUM(F3:F48)</f>
        <v>68</v>
      </c>
      <c r="H49" s="23">
        <f t="shared" si="1"/>
        <v>180</v>
      </c>
    </row>
    <row r="52" customFormat="1" ht="19" customHeight="1" spans="3:8">
      <c r="C52" s="24"/>
      <c r="D52" s="24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老师</vt:lpstr>
      <vt:lpstr>领奶表</vt:lpstr>
      <vt:lpstr>签收</vt:lpstr>
      <vt:lpstr>配送汇总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2026-04-17T02:45:37Z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