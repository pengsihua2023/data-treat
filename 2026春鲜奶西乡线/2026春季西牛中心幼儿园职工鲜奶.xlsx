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85" activeTab="16"/>
  </bookViews>
  <sheets>
    <sheet name="老师" sheetId="1" r:id="rId1"/>
    <sheet name="学生" sheetId="8" r:id="rId2"/>
    <sheet name="领奶表" sheetId="5" r:id="rId3"/>
    <sheet name="签收" sheetId="12" r:id="rId4"/>
    <sheet name="配送汇总" sheetId="6" r:id="rId5"/>
    <sheet name="3.9" sheetId="2" r:id="rId6"/>
    <sheet name="3.12" sheetId="7" r:id="rId7"/>
    <sheet name="3.16" sheetId="11" r:id="rId8"/>
    <sheet name="3.19" sheetId="13" r:id="rId9"/>
    <sheet name="3.23" sheetId="14" r:id="rId10"/>
    <sheet name="3.26" sheetId="15" r:id="rId11"/>
    <sheet name="3.30" sheetId="16" r:id="rId12"/>
    <sheet name="4.2" sheetId="17" r:id="rId13"/>
    <sheet name="4.7" sheetId="18" r:id="rId14"/>
    <sheet name="4.13" sheetId="20" r:id="rId15"/>
    <sheet name="4.16" sheetId="21" r:id="rId16"/>
    <sheet name="4.20" sheetId="23" r:id="rId17"/>
    <sheet name="4.23" sheetId="24" r:id="rId18"/>
  </sheets>
  <definedNames>
    <definedName name="_xlnm._FilterDatabase" localSheetId="4" hidden="1">配送汇总!$A$1:$W$34</definedName>
    <definedName name="_xlnm.Print_Titles" localSheetId="3">签收!$1:$2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西牛小学老师，3.16起由小学改送幼儿园</t>
        </r>
      </text>
    </comment>
    <comment ref="B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西牛小学老师改送幼儿园
</t>
        </r>
      </text>
    </comment>
    <comment ref="B4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西牛小学老师，3.16起由小学改送幼儿园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E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改3支</t>
        </r>
      </text>
    </comment>
  </commentList>
</comments>
</file>

<file path=xl/sharedStrings.xml><?xml version="1.0" encoding="utf-8"?>
<sst xmlns="http://schemas.openxmlformats.org/spreadsheetml/2006/main" count="2580" uniqueCount="158">
  <si>
    <t>2026年春季学期西牛中心幼儿园教师订购牛奶鲜奶名单</t>
  </si>
  <si>
    <t>序号</t>
  </si>
  <si>
    <t>姓名</t>
  </si>
  <si>
    <t>电话号码</t>
  </si>
  <si>
    <t>鲜奶</t>
  </si>
  <si>
    <t>酸奶</t>
  </si>
  <si>
    <t>价格</t>
  </si>
  <si>
    <t>注明</t>
  </si>
  <si>
    <t>礼品</t>
  </si>
  <si>
    <t>备注</t>
  </si>
  <si>
    <t>陈丹平</t>
  </si>
  <si>
    <t>✔</t>
  </si>
  <si>
    <t>一半鲜奶一半酸奶</t>
  </si>
  <si>
    <t>尺子</t>
  </si>
  <si>
    <t>已收</t>
  </si>
  <si>
    <t>张雪珍</t>
  </si>
  <si>
    <t>✔️</t>
  </si>
  <si>
    <t>刘灶英</t>
  </si>
  <si>
    <t>✓</t>
  </si>
  <si>
    <t>笔记本</t>
  </si>
  <si>
    <t>陈丹丹</t>
  </si>
  <si>
    <t>陈燮佳</t>
  </si>
  <si>
    <t>陈细妹</t>
  </si>
  <si>
    <t>邓伟玲</t>
  </si>
  <si>
    <t>熊凉秋</t>
  </si>
  <si>
    <t>罗玉梅</t>
  </si>
  <si>
    <t>刘思华</t>
  </si>
  <si>
    <t>黄雪霞1</t>
  </si>
  <si>
    <t>刘思明</t>
  </si>
  <si>
    <t>谢桂凤</t>
  </si>
  <si>
    <t>严秀清</t>
  </si>
  <si>
    <t>黄英华</t>
  </si>
  <si>
    <t>丘洋新</t>
  </si>
  <si>
    <t>黄雪霞2</t>
  </si>
  <si>
    <t>3月9日新增</t>
  </si>
  <si>
    <t>黄雪霞3</t>
  </si>
  <si>
    <t>刘金花</t>
  </si>
  <si>
    <t>3月12新增，西牛中心小学的老师</t>
  </si>
  <si>
    <t>学生牛奶200ml</t>
  </si>
  <si>
    <t>纯牛奶</t>
  </si>
  <si>
    <t>要尺子，赠品未送</t>
  </si>
  <si>
    <t>线上订单汇总表</t>
  </si>
  <si>
    <t>导出时间2026-03-06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</si>
  <si>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</si>
  <si>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</si>
  <si>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</si>
  <si>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</si>
  <si>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</si>
  <si>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</si>
  <si>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</si>
  <si>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收款账户</t>
  </si>
  <si>
    <t>家长备注</t>
  </si>
  <si>
    <t>商户备注</t>
  </si>
  <si>
    <t>周俊宇</t>
  </si>
  <si>
    <t>英德市 | 西牛镇中心幼儿园 | 大班 | 大一班</t>
  </si>
  <si>
    <t>2026年春季幼儿园巴氏低温鲜奶套餐（100盒）</t>
  </si>
  <si>
    <t>0006010F8463511 | 张荣强</t>
  </si>
  <si>
    <t>石梓烨</t>
  </si>
  <si>
    <t>英德市 | 西牛镇中心幼儿园 | 小班 | 小二班</t>
  </si>
  <si>
    <t>陈妤芊</t>
  </si>
  <si>
    <t>卢扬正</t>
  </si>
  <si>
    <t>全部酸奶</t>
  </si>
  <si>
    <t>陈佳兴</t>
  </si>
  <si>
    <t>0006010F3900007 | 安鑫配送（清远市）有限公司</t>
  </si>
  <si>
    <t>陈佳芮</t>
  </si>
  <si>
    <t>陈佳沂</t>
  </si>
  <si>
    <t>英德市 | 西牛镇中心幼儿园 | 大班 | 大二班</t>
  </si>
  <si>
    <t>张伊依</t>
  </si>
  <si>
    <t>英德市 | 西牛镇中心幼儿园 | 中班 | 中二班</t>
  </si>
  <si>
    <t>刘家豪</t>
  </si>
  <si>
    <t>刘渲言</t>
  </si>
  <si>
    <t>不要纯牛奶</t>
  </si>
  <si>
    <t>陈景颢</t>
  </si>
  <si>
    <t>陈天灏</t>
  </si>
  <si>
    <t>丘羽程</t>
  </si>
  <si>
    <t>英德市 | 西牛镇中心幼儿园 | 小班 | 小一班</t>
  </si>
  <si>
    <t>鲜奶一半，酸奶一半</t>
  </si>
  <si>
    <t>曾思维</t>
  </si>
  <si>
    <t>一半酸奶，一半鲜奶。谢谢！</t>
  </si>
  <si>
    <t>曾芷荧</t>
  </si>
  <si>
    <t>英德市 | 西牛镇中心幼儿园 | 中班 | 中一班</t>
  </si>
  <si>
    <t>李文皓</t>
  </si>
  <si>
    <t>酸奶多一点</t>
  </si>
  <si>
    <t>张楚荧</t>
  </si>
  <si>
    <t>鲜牛奶和酸奶交替给孩子喝</t>
  </si>
  <si>
    <t>刘一心</t>
  </si>
  <si>
    <t>郭语琪</t>
  </si>
  <si>
    <t>陈安然</t>
  </si>
  <si>
    <t>郭芯愉</t>
  </si>
  <si>
    <t>要酸奶</t>
  </si>
  <si>
    <t>曾晶晶</t>
  </si>
  <si>
    <t>曾文翔</t>
  </si>
  <si>
    <t>要二份</t>
  </si>
  <si>
    <t>罗锦诚</t>
  </si>
  <si>
    <t>全部都要酸奶饮品</t>
  </si>
  <si>
    <t>英德市西牛中心幼儿园教师鲜奶领奶表</t>
  </si>
  <si>
    <t>（ ）月份（填写领取数量/盒）</t>
  </si>
  <si>
    <t>西牛中心幼儿园教师鲜奶赠品领取表</t>
  </si>
  <si>
    <t>配送日期</t>
  </si>
  <si>
    <t>职工姓名</t>
  </si>
  <si>
    <t>礼品份数
（笔记本+笔）</t>
  </si>
  <si>
    <t>签名</t>
  </si>
  <si>
    <t>陈丹平1</t>
  </si>
  <si>
    <t>陈丹平2</t>
  </si>
  <si>
    <t>张雪珍1</t>
  </si>
  <si>
    <t>张雪珍2</t>
  </si>
  <si>
    <t>张雪珍3</t>
  </si>
  <si>
    <t>刘灶英1</t>
  </si>
  <si>
    <t>刘灶英2</t>
  </si>
  <si>
    <t>刘灶英3</t>
  </si>
  <si>
    <t>刘灶英4</t>
  </si>
  <si>
    <t>陈丹丹1</t>
  </si>
  <si>
    <t>陈丹丹2</t>
  </si>
  <si>
    <t>陈丹丹3</t>
  </si>
  <si>
    <t>陈丹丹4</t>
  </si>
  <si>
    <t>陈燮佳1</t>
  </si>
  <si>
    <t>陈燮佳2</t>
  </si>
  <si>
    <t>陈燮佳3</t>
  </si>
  <si>
    <t>陈细妹1</t>
  </si>
  <si>
    <t>陈细妹2</t>
  </si>
  <si>
    <t>陈细妹3</t>
  </si>
  <si>
    <t>陈细妹4</t>
  </si>
  <si>
    <t>陈细妹5</t>
  </si>
  <si>
    <t>刘思明1</t>
  </si>
  <si>
    <t>刘思明2</t>
  </si>
  <si>
    <t>刘思明3</t>
  </si>
  <si>
    <t>丘洋新1</t>
  </si>
  <si>
    <t>丘洋新2</t>
  </si>
  <si>
    <t xml:space="preserve">                                                   英德市西牛中心幼儿园教师鲜奶领奶表</t>
  </si>
  <si>
    <t>订购份数</t>
  </si>
  <si>
    <t>总计</t>
  </si>
  <si>
    <t>剩余</t>
  </si>
  <si>
    <t>陈国兴</t>
  </si>
  <si>
    <t>王玲</t>
  </si>
  <si>
    <t>钟承翰</t>
  </si>
  <si>
    <t>谭正一</t>
  </si>
  <si>
    <t>西牛中心幼儿园教师鲜奶领奶表</t>
  </si>
  <si>
    <t>配送天数</t>
  </si>
  <si>
    <t>鲜</t>
  </si>
  <si>
    <t>酸</t>
  </si>
  <si>
    <t>3天</t>
  </si>
  <si>
    <t>学生</t>
  </si>
  <si>
    <t>黄雪霞</t>
  </si>
  <si>
    <t>西牛中小改送幼儿园</t>
  </si>
  <si>
    <t>3月16号开始</t>
  </si>
  <si>
    <t>西牛中心幼儿园学生鲜奶领奶表</t>
  </si>
  <si>
    <t>2天</t>
  </si>
  <si>
    <t>补发</t>
  </si>
  <si>
    <t>要两个口味</t>
  </si>
  <si>
    <t>鲜、酸各半</t>
  </si>
  <si>
    <t>西牛中小改送幼儿园刘梓宇</t>
  </si>
  <si>
    <t>补发3/16少的1支</t>
  </si>
  <si>
    <t>补送</t>
  </si>
  <si>
    <t>之前漏送，不计总数</t>
  </si>
  <si>
    <t>4月起一半鲜奶一半酸奶</t>
  </si>
  <si>
    <t>4月3日起要酸奶</t>
  </si>
  <si>
    <t>4.7送4支，4月9日不送</t>
  </si>
  <si>
    <t>4天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</si>
</sst>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</font>
    <font>
      <sz val="12"/>
      <color rgb="FFFF0000"/>
      <name val="宋体"/>
      <charset val="134"/>
      <scheme val="minor"/>
    </font>
    <font>
      <sz val="12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Calibri"/>
      <charset val="134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5" borderId="14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17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4" fillId="7" borderId="17" applyNumberFormat="0" applyAlignment="0" applyProtection="0">
      <alignment vertical="center"/>
    </xf>
    <xf numFmtId="0" fontId="35" fillId="8" borderId="19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NumberFormat="1" applyFont="1" applyFill="1" applyBorder="1" applyAlignment="1">
      <alignment horizontal="center" vertical="center"/>
    </xf>
    <xf numFmtId="0" fontId="6" fillId="0" borderId="9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10" fillId="0" borderId="0" xfId="0" applyNumberFormat="1" applyFont="1" applyFill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6" fillId="2" borderId="7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2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 wrapText="1"/>
    </xf>
    <xf numFmtId="58" fontId="15" fillId="0" borderId="5" xfId="0" applyNumberFormat="1" applyFont="1" applyFill="1" applyBorder="1" applyAlignment="1">
      <alignment horizontal="center" vertical="center" wrapText="1"/>
    </xf>
    <xf numFmtId="58" fontId="15" fillId="0" borderId="5" xfId="0" applyNumberFormat="1" applyFont="1" applyFill="1" applyBorder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vertical="center"/>
    </xf>
    <xf numFmtId="0" fontId="18" fillId="0" borderId="0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/>
    </xf>
    <xf numFmtId="0" fontId="18" fillId="0" borderId="5" xfId="0" applyNumberFormat="1" applyFont="1" applyFill="1" applyBorder="1" applyAlignment="1">
      <alignment horizontal="center" vertical="center" wrapText="1"/>
    </xf>
    <xf numFmtId="0" fontId="19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7" fillId="0" borderId="5" xfId="0" applyNumberFormat="1" applyFont="1" applyFill="1" applyBorder="1" applyAlignment="1">
      <alignment vertical="center"/>
    </xf>
    <xf numFmtId="0" fontId="20" fillId="0" borderId="5" xfId="0" applyNumberFormat="1" applyFont="1" applyFill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22" fontId="21" fillId="0" borderId="11" xfId="0" applyNumberFormat="1" applyFont="1" applyBorder="1" applyAlignment="1">
      <alignment horizontal="center" vertical="center"/>
    </xf>
    <xf numFmtId="0" fontId="11" fillId="0" borderId="0" xfId="0" applyNumberFormat="1" applyFont="1" applyFill="1" applyBorder="1" applyAlignment="1">
      <alignment vertical="center"/>
    </xf>
    <xf numFmtId="0" fontId="22" fillId="0" borderId="0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/>
    </xf>
    <xf numFmtId="0" fontId="20" fillId="0" borderId="7" xfId="0" applyNumberFormat="1" applyFont="1" applyFill="1" applyBorder="1" applyAlignment="1">
      <alignment horizontal="center" vertical="center"/>
    </xf>
    <xf numFmtId="0" fontId="20" fillId="0" borderId="7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left" vertical="center" wrapText="1"/>
    </xf>
    <xf numFmtId="0" fontId="20" fillId="0" borderId="3" xfId="0" applyNumberFormat="1" applyFont="1" applyFill="1" applyBorder="1" applyAlignment="1">
      <alignment horizontal="center" vertical="center"/>
    </xf>
    <xf numFmtId="0" fontId="6" fillId="0" borderId="8" xfId="0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vertical="center"/>
    </xf>
    <xf numFmtId="0" fontId="4" fillId="0" borderId="8" xfId="0" applyNumberFormat="1" applyFont="1" applyFill="1" applyBorder="1" applyAlignment="1">
      <alignment horizontal="center" vertical="center"/>
    </xf>
    <xf numFmtId="0" fontId="20" fillId="0" borderId="5" xfId="0" applyNumberFormat="1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center" vertical="center"/>
    </xf>
    <xf numFmtId="0" fontId="23" fillId="0" borderId="5" xfId="0" applyNumberFormat="1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vertical="center"/>
    </xf>
    <xf numFmtId="0" fontId="4" fillId="0" borderId="12" xfId="0" applyNumberFormat="1" applyFont="1" applyFill="1" applyBorder="1" applyAlignment="1">
      <alignment horizontal="center" vertical="center"/>
    </xf>
    <xf numFmtId="0" fontId="4" fillId="0" borderId="13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  <xf numFmtId="0" fontId="11" fillId="0" borderId="13" xfId="0" applyNumberFormat="1" applyFont="1" applyFill="1" applyBorder="1" applyAlignment="1">
      <alignment horizontal="center" vertical="center"/>
    </xf>
    <xf numFmtId="0" fontId="11" fillId="0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pane ySplit="2" topLeftCell="A30" activePane="bottomLeft" state="frozen"/>
      <selection/>
      <selection pane="bottomLeft" activeCell="L39" sqref="L39"/>
    </sheetView>
  </sheetViews>
  <sheetFormatPr defaultColWidth="10.2857142857143" defaultRowHeight="13.5"/>
  <cols>
    <col min="1" max="1" width="6.57142857142857" style="88" customWidth="1"/>
    <col min="2" max="2" width="10.5714285714286" style="88" customWidth="1"/>
    <col min="3" max="3" width="18" style="88" customWidth="1"/>
    <col min="4" max="4" width="11.2857142857143" style="88" customWidth="1"/>
    <col min="5" max="5" width="12" style="88" customWidth="1"/>
    <col min="6" max="6" width="9.85714285714286" style="88" customWidth="1"/>
    <col min="7" max="7" width="20.4285714285714" style="88" customWidth="1"/>
    <col min="8" max="9" width="10.2857142857143" style="88"/>
    <col min="10" max="10" width="12.4285714285714" style="88" customWidth="1"/>
    <col min="11" max="16384" width="10.2857142857143" style="88"/>
  </cols>
  <sheetData>
    <row r="1" s="88" customFormat="1" ht="36" customHeight="1" spans="1:9">
      <c r="A1" s="89" t="s">
        <v>0</v>
      </c>
      <c r="B1" s="89"/>
      <c r="C1" s="89"/>
      <c r="D1" s="89"/>
      <c r="E1" s="89"/>
      <c r="F1" s="89"/>
      <c r="G1" s="89"/>
      <c r="H1" s="89"/>
      <c r="I1" s="89"/>
    </row>
    <row r="2" s="88" customFormat="1" ht="26" customHeight="1" spans="1:9">
      <c r="A2" s="32" t="s">
        <v>1</v>
      </c>
      <c r="B2" s="90" t="s">
        <v>2</v>
      </c>
      <c r="C2" s="90" t="s">
        <v>3</v>
      </c>
      <c r="D2" s="90" t="s">
        <v>4</v>
      </c>
      <c r="E2" s="90" t="s">
        <v>5</v>
      </c>
      <c r="F2" s="32" t="s">
        <v>6</v>
      </c>
      <c r="G2" s="90" t="s">
        <v>7</v>
      </c>
      <c r="H2" s="91" t="s">
        <v>8</v>
      </c>
      <c r="I2" s="91" t="s">
        <v>9</v>
      </c>
    </row>
    <row r="3" s="88" customFormat="1" ht="30" customHeight="1" spans="1:9">
      <c r="A3" s="92">
        <v>1</v>
      </c>
      <c r="B3" s="12" t="s">
        <v>10</v>
      </c>
      <c r="C3" s="12">
        <v>13432717698</v>
      </c>
      <c r="D3" s="93"/>
      <c r="E3" s="92" t="s">
        <v>11</v>
      </c>
      <c r="F3" s="32">
        <v>350</v>
      </c>
      <c r="G3" s="94" t="s">
        <v>12</v>
      </c>
      <c r="H3" s="91" t="s">
        <v>13</v>
      </c>
      <c r="I3" s="91" t="s">
        <v>14</v>
      </c>
    </row>
    <row r="4" s="88" customFormat="1" ht="30" customHeight="1" spans="1:9">
      <c r="A4" s="92">
        <v>2</v>
      </c>
      <c r="B4" s="12" t="s">
        <v>10</v>
      </c>
      <c r="C4" s="12">
        <v>13432717698</v>
      </c>
      <c r="D4" s="93"/>
      <c r="E4" s="92" t="s">
        <v>11</v>
      </c>
      <c r="F4" s="32">
        <v>350</v>
      </c>
      <c r="G4" s="94"/>
      <c r="H4" s="91" t="s">
        <v>13</v>
      </c>
      <c r="I4" s="91" t="s">
        <v>14</v>
      </c>
    </row>
    <row r="5" s="88" customFormat="1" ht="30" customHeight="1" spans="1:9">
      <c r="A5" s="92">
        <v>3</v>
      </c>
      <c r="B5" s="12" t="s">
        <v>15</v>
      </c>
      <c r="C5" s="12">
        <v>18926651128</v>
      </c>
      <c r="D5" s="92"/>
      <c r="E5" s="92" t="s">
        <v>16</v>
      </c>
      <c r="F5" s="32">
        <v>350</v>
      </c>
      <c r="G5" s="94"/>
      <c r="H5" s="91" t="s">
        <v>13</v>
      </c>
      <c r="I5" s="91" t="s">
        <v>14</v>
      </c>
    </row>
    <row r="6" s="88" customFormat="1" ht="30" customHeight="1" spans="1:9">
      <c r="A6" s="92">
        <v>4</v>
      </c>
      <c r="B6" s="12" t="s">
        <v>15</v>
      </c>
      <c r="C6" s="12">
        <v>18926651128</v>
      </c>
      <c r="D6" s="92"/>
      <c r="E6" s="92" t="s">
        <v>16</v>
      </c>
      <c r="F6" s="32">
        <v>350</v>
      </c>
      <c r="G6" s="94"/>
      <c r="H6" s="91" t="s">
        <v>13</v>
      </c>
      <c r="I6" s="91" t="s">
        <v>14</v>
      </c>
    </row>
    <row r="7" s="88" customFormat="1" ht="30" customHeight="1" spans="1:9">
      <c r="A7" s="92">
        <v>5</v>
      </c>
      <c r="B7" s="12" t="s">
        <v>15</v>
      </c>
      <c r="C7" s="12">
        <v>18926651128</v>
      </c>
      <c r="D7" s="92"/>
      <c r="E7" s="92" t="s">
        <v>16</v>
      </c>
      <c r="F7" s="32">
        <v>350</v>
      </c>
      <c r="G7" s="94"/>
      <c r="H7" s="91" t="s">
        <v>13</v>
      </c>
      <c r="I7" s="91" t="s">
        <v>14</v>
      </c>
    </row>
    <row r="8" s="88" customFormat="1" ht="30" customHeight="1" spans="1:9">
      <c r="A8" s="92">
        <v>6</v>
      </c>
      <c r="B8" s="12" t="s">
        <v>17</v>
      </c>
      <c r="C8" s="12">
        <v>13417281958</v>
      </c>
      <c r="D8" s="92" t="s">
        <v>18</v>
      </c>
      <c r="E8" s="92"/>
      <c r="F8" s="32">
        <v>350</v>
      </c>
      <c r="G8" s="94"/>
      <c r="H8" s="91" t="s">
        <v>13</v>
      </c>
      <c r="I8" s="91" t="s">
        <v>14</v>
      </c>
    </row>
    <row r="9" s="88" customFormat="1" ht="30" customHeight="1" spans="1:9">
      <c r="A9" s="92">
        <v>7</v>
      </c>
      <c r="B9" s="12" t="s">
        <v>17</v>
      </c>
      <c r="C9" s="12">
        <v>13417281958</v>
      </c>
      <c r="D9" s="92" t="s">
        <v>18</v>
      </c>
      <c r="E9" s="92"/>
      <c r="F9" s="32">
        <v>350</v>
      </c>
      <c r="G9" s="94"/>
      <c r="H9" s="91" t="s">
        <v>13</v>
      </c>
      <c r="I9" s="91" t="s">
        <v>14</v>
      </c>
    </row>
    <row r="10" s="88" customFormat="1" ht="26" customHeight="1" spans="1:9">
      <c r="A10" s="92">
        <v>8</v>
      </c>
      <c r="B10" s="12" t="s">
        <v>17</v>
      </c>
      <c r="C10" s="12">
        <v>13417281958</v>
      </c>
      <c r="D10" s="92"/>
      <c r="E10" s="92" t="s">
        <v>18</v>
      </c>
      <c r="F10" s="32">
        <v>350</v>
      </c>
      <c r="G10" s="94"/>
      <c r="H10" s="91" t="s">
        <v>19</v>
      </c>
      <c r="I10" s="91" t="s">
        <v>14</v>
      </c>
    </row>
    <row r="11" s="88" customFormat="1" ht="26" customHeight="1" spans="1:9">
      <c r="A11" s="92">
        <v>9</v>
      </c>
      <c r="B11" s="12" t="s">
        <v>17</v>
      </c>
      <c r="C11" s="12">
        <v>13417281958</v>
      </c>
      <c r="D11" s="92"/>
      <c r="E11" s="92" t="s">
        <v>18</v>
      </c>
      <c r="F11" s="32">
        <v>350</v>
      </c>
      <c r="G11" s="94"/>
      <c r="H11" s="91" t="s">
        <v>19</v>
      </c>
      <c r="I11" s="91" t="s">
        <v>14</v>
      </c>
    </row>
    <row r="12" s="88" customFormat="1" ht="26" customHeight="1" spans="1:9">
      <c r="A12" s="92">
        <v>10</v>
      </c>
      <c r="B12" s="12" t="s">
        <v>20</v>
      </c>
      <c r="C12" s="12">
        <v>13750199656</v>
      </c>
      <c r="D12" s="92" t="s">
        <v>16</v>
      </c>
      <c r="E12" s="92"/>
      <c r="F12" s="32">
        <v>350</v>
      </c>
      <c r="G12" s="94"/>
      <c r="H12" s="91" t="s">
        <v>19</v>
      </c>
      <c r="I12" s="91" t="s">
        <v>14</v>
      </c>
    </row>
    <row r="13" s="88" customFormat="1" ht="26" customHeight="1" spans="1:9">
      <c r="A13" s="92">
        <v>11</v>
      </c>
      <c r="B13" s="12" t="s">
        <v>20</v>
      </c>
      <c r="C13" s="12">
        <v>13750199656</v>
      </c>
      <c r="D13" s="92" t="s">
        <v>16</v>
      </c>
      <c r="E13" s="92" t="s">
        <v>16</v>
      </c>
      <c r="F13" s="32">
        <v>350</v>
      </c>
      <c r="G13" s="94"/>
      <c r="H13" s="91" t="s">
        <v>19</v>
      </c>
      <c r="I13" s="91" t="s">
        <v>14</v>
      </c>
    </row>
    <row r="14" s="88" customFormat="1" ht="26" customHeight="1" spans="1:9">
      <c r="A14" s="92">
        <v>12</v>
      </c>
      <c r="B14" s="12" t="s">
        <v>20</v>
      </c>
      <c r="C14" s="12">
        <v>13750199656</v>
      </c>
      <c r="D14" s="92" t="s">
        <v>16</v>
      </c>
      <c r="E14" s="92" t="s">
        <v>16</v>
      </c>
      <c r="F14" s="32">
        <v>350</v>
      </c>
      <c r="G14" s="94"/>
      <c r="H14" s="91" t="s">
        <v>19</v>
      </c>
      <c r="I14" s="91" t="s">
        <v>14</v>
      </c>
    </row>
    <row r="15" s="88" customFormat="1" ht="26" customHeight="1" spans="1:9">
      <c r="A15" s="92">
        <v>13</v>
      </c>
      <c r="B15" s="12" t="s">
        <v>20</v>
      </c>
      <c r="C15" s="12">
        <v>13750199656</v>
      </c>
      <c r="D15" s="92" t="s">
        <v>16</v>
      </c>
      <c r="E15" s="92" t="s">
        <v>16</v>
      </c>
      <c r="F15" s="32">
        <v>350</v>
      </c>
      <c r="G15" s="94"/>
      <c r="H15" s="91" t="s">
        <v>19</v>
      </c>
      <c r="I15" s="91" t="s">
        <v>14</v>
      </c>
    </row>
    <row r="16" s="88" customFormat="1" ht="26" customHeight="1" spans="1:9">
      <c r="A16" s="92">
        <v>14</v>
      </c>
      <c r="B16" s="12" t="s">
        <v>21</v>
      </c>
      <c r="C16" s="12">
        <v>15816218545</v>
      </c>
      <c r="D16" s="92" t="s">
        <v>16</v>
      </c>
      <c r="E16" s="92"/>
      <c r="F16" s="32">
        <v>350</v>
      </c>
      <c r="G16" s="94"/>
      <c r="H16" s="91" t="s">
        <v>13</v>
      </c>
      <c r="I16" s="91" t="s">
        <v>14</v>
      </c>
    </row>
    <row r="17" s="88" customFormat="1" ht="26" customHeight="1" spans="1:9">
      <c r="A17" s="92">
        <v>15</v>
      </c>
      <c r="B17" s="12" t="s">
        <v>21</v>
      </c>
      <c r="C17" s="12">
        <v>15816218545</v>
      </c>
      <c r="D17" s="92" t="s">
        <v>16</v>
      </c>
      <c r="E17" s="92"/>
      <c r="F17" s="32">
        <v>350</v>
      </c>
      <c r="G17" s="32"/>
      <c r="H17" s="91" t="s">
        <v>13</v>
      </c>
      <c r="I17" s="91" t="s">
        <v>14</v>
      </c>
    </row>
    <row r="18" s="88" customFormat="1" ht="26" customHeight="1" spans="1:9">
      <c r="A18" s="92">
        <v>16</v>
      </c>
      <c r="B18" s="12" t="s">
        <v>21</v>
      </c>
      <c r="C18" s="12">
        <v>15816218545</v>
      </c>
      <c r="D18" s="92"/>
      <c r="E18" s="92" t="s">
        <v>16</v>
      </c>
      <c r="F18" s="32">
        <v>350</v>
      </c>
      <c r="G18" s="32"/>
      <c r="H18" s="91" t="s">
        <v>13</v>
      </c>
      <c r="I18" s="91" t="s">
        <v>14</v>
      </c>
    </row>
    <row r="19" s="88" customFormat="1" ht="26" customHeight="1" spans="1:9">
      <c r="A19" s="92">
        <v>17</v>
      </c>
      <c r="B19" s="12" t="s">
        <v>22</v>
      </c>
      <c r="C19" s="12">
        <v>13798073949</v>
      </c>
      <c r="D19" s="92" t="s">
        <v>16</v>
      </c>
      <c r="E19" s="92" t="s">
        <v>16</v>
      </c>
      <c r="F19" s="32">
        <v>350</v>
      </c>
      <c r="G19" s="32"/>
      <c r="H19" s="91" t="s">
        <v>13</v>
      </c>
      <c r="I19" s="91" t="s">
        <v>14</v>
      </c>
    </row>
    <row r="20" s="88" customFormat="1" ht="26" customHeight="1" spans="1:9">
      <c r="A20" s="92">
        <v>18</v>
      </c>
      <c r="B20" s="12" t="s">
        <v>22</v>
      </c>
      <c r="C20" s="12">
        <v>13798073949</v>
      </c>
      <c r="D20" s="92" t="s">
        <v>16</v>
      </c>
      <c r="E20" s="92"/>
      <c r="F20" s="32">
        <v>350</v>
      </c>
      <c r="G20" s="32"/>
      <c r="H20" s="91" t="s">
        <v>13</v>
      </c>
      <c r="I20" s="91" t="s">
        <v>14</v>
      </c>
    </row>
    <row r="21" s="88" customFormat="1" ht="26" customHeight="1" spans="1:9">
      <c r="A21" s="92">
        <v>19</v>
      </c>
      <c r="B21" s="12" t="s">
        <v>22</v>
      </c>
      <c r="C21" s="12">
        <v>13798073949</v>
      </c>
      <c r="D21" s="92"/>
      <c r="E21" s="92" t="s">
        <v>16</v>
      </c>
      <c r="F21" s="32">
        <v>350</v>
      </c>
      <c r="G21" s="32"/>
      <c r="H21" s="91" t="s">
        <v>13</v>
      </c>
      <c r="I21" s="91" t="s">
        <v>14</v>
      </c>
    </row>
    <row r="22" s="88" customFormat="1" ht="26" customHeight="1" spans="1:9">
      <c r="A22" s="92">
        <v>20</v>
      </c>
      <c r="B22" s="12" t="s">
        <v>22</v>
      </c>
      <c r="C22" s="12">
        <v>13798073950</v>
      </c>
      <c r="D22" s="92"/>
      <c r="E22" s="92" t="s">
        <v>16</v>
      </c>
      <c r="F22" s="32">
        <v>350</v>
      </c>
      <c r="G22" s="32"/>
      <c r="H22" s="91" t="s">
        <v>19</v>
      </c>
      <c r="I22" s="91" t="s">
        <v>14</v>
      </c>
    </row>
    <row r="23" s="88" customFormat="1" ht="26" customHeight="1" spans="1:9">
      <c r="A23" s="92">
        <v>21</v>
      </c>
      <c r="B23" s="12" t="s">
        <v>22</v>
      </c>
      <c r="C23" s="12">
        <v>13798073949</v>
      </c>
      <c r="D23" s="92"/>
      <c r="E23" s="92" t="s">
        <v>16</v>
      </c>
      <c r="F23" s="32">
        <v>350</v>
      </c>
      <c r="G23" s="32"/>
      <c r="H23" s="91" t="s">
        <v>19</v>
      </c>
      <c r="I23" s="91" t="s">
        <v>14</v>
      </c>
    </row>
    <row r="24" s="88" customFormat="1" ht="26" customHeight="1" spans="1:9">
      <c r="A24" s="92">
        <v>22</v>
      </c>
      <c r="B24" s="12" t="s">
        <v>23</v>
      </c>
      <c r="C24" s="12">
        <v>13535973505</v>
      </c>
      <c r="D24" s="92"/>
      <c r="E24" s="92" t="s">
        <v>16</v>
      </c>
      <c r="F24" s="32">
        <v>350</v>
      </c>
      <c r="G24" s="32"/>
      <c r="H24" s="91" t="s">
        <v>19</v>
      </c>
      <c r="I24" s="91" t="s">
        <v>14</v>
      </c>
    </row>
    <row r="25" s="88" customFormat="1" ht="26" customHeight="1" spans="1:9">
      <c r="A25" s="92">
        <v>23</v>
      </c>
      <c r="B25" s="12" t="s">
        <v>24</v>
      </c>
      <c r="C25" s="12">
        <v>15347552212</v>
      </c>
      <c r="D25" s="92"/>
      <c r="E25" s="92" t="s">
        <v>18</v>
      </c>
      <c r="F25" s="32">
        <v>350</v>
      </c>
      <c r="G25" s="32"/>
      <c r="H25" s="91" t="s">
        <v>13</v>
      </c>
      <c r="I25" s="91" t="s">
        <v>14</v>
      </c>
    </row>
    <row r="26" s="88" customFormat="1" ht="26" customHeight="1" spans="1:9">
      <c r="A26" s="92">
        <v>24</v>
      </c>
      <c r="B26" s="12" t="s">
        <v>25</v>
      </c>
      <c r="C26" s="12">
        <v>13416532155</v>
      </c>
      <c r="D26" s="92" t="s">
        <v>11</v>
      </c>
      <c r="E26" s="92" t="s">
        <v>11</v>
      </c>
      <c r="F26" s="32">
        <v>350</v>
      </c>
      <c r="G26" s="32"/>
      <c r="H26" s="91" t="s">
        <v>19</v>
      </c>
      <c r="I26" s="91" t="s">
        <v>14</v>
      </c>
    </row>
    <row r="27" s="88" customFormat="1" ht="26" customHeight="1" spans="1:9">
      <c r="A27" s="92">
        <v>25</v>
      </c>
      <c r="B27" s="12" t="s">
        <v>26</v>
      </c>
      <c r="C27" s="12">
        <v>13729670055</v>
      </c>
      <c r="D27" s="92" t="s">
        <v>11</v>
      </c>
      <c r="E27" s="92"/>
      <c r="F27" s="32">
        <v>350</v>
      </c>
      <c r="G27" s="32"/>
      <c r="H27" s="91" t="s">
        <v>13</v>
      </c>
      <c r="I27" s="91" t="s">
        <v>14</v>
      </c>
    </row>
    <row r="28" s="88" customFormat="1" ht="26" customHeight="1" spans="1:9">
      <c r="A28" s="92">
        <v>26</v>
      </c>
      <c r="B28" s="12" t="s">
        <v>27</v>
      </c>
      <c r="C28" s="12">
        <v>15218487595</v>
      </c>
      <c r="D28" s="92" t="s">
        <v>11</v>
      </c>
      <c r="E28" s="92"/>
      <c r="F28" s="32">
        <v>350</v>
      </c>
      <c r="G28" s="32"/>
      <c r="H28" s="91" t="s">
        <v>13</v>
      </c>
      <c r="I28" s="91" t="s">
        <v>14</v>
      </c>
    </row>
    <row r="29" s="88" customFormat="1" ht="26" customHeight="1" spans="1:9">
      <c r="A29" s="92">
        <v>27</v>
      </c>
      <c r="B29" s="12" t="s">
        <v>28</v>
      </c>
      <c r="C29" s="12">
        <v>15019307228</v>
      </c>
      <c r="D29" s="92" t="s">
        <v>11</v>
      </c>
      <c r="E29" s="92"/>
      <c r="F29" s="32">
        <v>350</v>
      </c>
      <c r="G29" s="32"/>
      <c r="H29" s="91" t="s">
        <v>13</v>
      </c>
      <c r="I29" s="91" t="s">
        <v>14</v>
      </c>
    </row>
    <row r="30" s="88" customFormat="1" ht="26" customHeight="1" spans="1:9">
      <c r="A30" s="92">
        <v>28</v>
      </c>
      <c r="B30" s="12" t="s">
        <v>28</v>
      </c>
      <c r="C30" s="12">
        <v>15019307228</v>
      </c>
      <c r="D30" s="92"/>
      <c r="E30" s="92" t="s">
        <v>11</v>
      </c>
      <c r="F30" s="32">
        <v>350</v>
      </c>
      <c r="G30" s="32"/>
      <c r="H30" s="91" t="s">
        <v>13</v>
      </c>
      <c r="I30" s="91" t="s">
        <v>14</v>
      </c>
    </row>
    <row r="31" s="88" customFormat="1" ht="26" customHeight="1" spans="1:9">
      <c r="A31" s="95">
        <v>29</v>
      </c>
      <c r="B31" s="27" t="s">
        <v>28</v>
      </c>
      <c r="C31" s="27">
        <v>15019307228</v>
      </c>
      <c r="D31" s="95" t="s">
        <v>11</v>
      </c>
      <c r="E31" s="95"/>
      <c r="F31" s="96">
        <v>350</v>
      </c>
      <c r="G31" s="97"/>
      <c r="H31" s="98" t="s">
        <v>13</v>
      </c>
      <c r="I31" s="98" t="s">
        <v>14</v>
      </c>
    </row>
    <row r="32" s="88" customFormat="1" ht="29" customHeight="1" spans="1:9">
      <c r="A32" s="99">
        <v>30</v>
      </c>
      <c r="B32" s="31" t="s">
        <v>29</v>
      </c>
      <c r="C32" s="31">
        <v>13415205183</v>
      </c>
      <c r="D32" s="99"/>
      <c r="E32" s="99" t="s">
        <v>11</v>
      </c>
      <c r="F32" s="32">
        <v>350</v>
      </c>
      <c r="G32" s="100"/>
      <c r="H32" s="91" t="s">
        <v>13</v>
      </c>
      <c r="I32" s="91" t="s">
        <v>14</v>
      </c>
    </row>
    <row r="33" s="88" customFormat="1" ht="28" customHeight="1" spans="1:10">
      <c r="A33" s="99">
        <v>31</v>
      </c>
      <c r="B33" s="31" t="s">
        <v>30</v>
      </c>
      <c r="C33" s="31">
        <v>14715425216</v>
      </c>
      <c r="D33" s="99" t="s">
        <v>18</v>
      </c>
      <c r="E33" s="99"/>
      <c r="F33" s="32">
        <v>350</v>
      </c>
      <c r="G33" s="100"/>
      <c r="H33" s="91" t="s">
        <v>19</v>
      </c>
      <c r="I33" s="91" t="s">
        <v>14</v>
      </c>
    </row>
    <row r="34" s="88" customFormat="1" ht="28" customHeight="1" spans="1:10">
      <c r="A34" s="99">
        <v>32</v>
      </c>
      <c r="B34" s="31" t="s">
        <v>31</v>
      </c>
      <c r="C34" s="31">
        <v>13535971966</v>
      </c>
      <c r="D34" s="99"/>
      <c r="E34" s="99" t="s">
        <v>11</v>
      </c>
      <c r="F34" s="32">
        <v>350</v>
      </c>
      <c r="G34" s="100"/>
      <c r="H34" s="91" t="s">
        <v>19</v>
      </c>
      <c r="I34" s="91" t="s">
        <v>14</v>
      </c>
    </row>
    <row r="35" s="88" customFormat="1" ht="28" customHeight="1" spans="1:10">
      <c r="A35" s="99">
        <v>33</v>
      </c>
      <c r="B35" s="101" t="s">
        <v>32</v>
      </c>
      <c r="C35" s="101">
        <v>13631055036</v>
      </c>
      <c r="D35" s="102"/>
      <c r="E35" s="99" t="s">
        <v>11</v>
      </c>
      <c r="F35" s="32">
        <v>350</v>
      </c>
      <c r="G35" s="94" t="s">
        <v>12</v>
      </c>
      <c r="H35" s="91" t="s">
        <v>19</v>
      </c>
      <c r="I35" s="91" t="s">
        <v>14</v>
      </c>
    </row>
    <row r="36" s="88" customFormat="1" ht="28" customHeight="1" spans="1:10">
      <c r="A36" s="99">
        <v>34</v>
      </c>
      <c r="B36" s="101" t="s">
        <v>32</v>
      </c>
      <c r="C36" s="101">
        <v>13631055037</v>
      </c>
      <c r="D36" s="99" t="s">
        <v>11</v>
      </c>
      <c r="E36" s="102"/>
      <c r="F36" s="32">
        <v>350</v>
      </c>
      <c r="G36" s="94" t="s">
        <v>12</v>
      </c>
      <c r="H36" s="91" t="s">
        <v>19</v>
      </c>
      <c r="I36" s="91" t="s">
        <v>14</v>
      </c>
    </row>
    <row r="37" s="88" customFormat="1" ht="28" customHeight="1" spans="1:10">
      <c r="A37" s="99">
        <v>35</v>
      </c>
      <c r="B37" s="102" t="s">
        <v>33</v>
      </c>
      <c r="C37" s="31">
        <v>15218487595</v>
      </c>
      <c r="D37" s="99" t="s">
        <v>11</v>
      </c>
      <c r="E37" s="102"/>
      <c r="F37" s="32">
        <v>350</v>
      </c>
      <c r="G37" s="102"/>
      <c r="H37" s="102"/>
      <c r="I37" s="91" t="s">
        <v>14</v>
      </c>
      <c r="J37" s="88" t="s">
        <v>34</v>
      </c>
    </row>
    <row r="38" s="88" customFormat="1" ht="22" customHeight="1" spans="1:10">
      <c r="A38" s="99">
        <v>36</v>
      </c>
      <c r="B38" s="102" t="s">
        <v>35</v>
      </c>
      <c r="C38" s="31">
        <v>15218487595</v>
      </c>
      <c r="D38" s="102"/>
      <c r="E38" s="99" t="s">
        <v>11</v>
      </c>
      <c r="F38" s="32">
        <v>350</v>
      </c>
      <c r="G38" s="102"/>
      <c r="H38" s="102"/>
      <c r="I38" s="91" t="s">
        <v>14</v>
      </c>
      <c r="J38" s="88" t="s">
        <v>34</v>
      </c>
    </row>
    <row r="39" s="88" customFormat="1" ht="30" customHeight="1" spans="1:10">
      <c r="A39" s="91"/>
      <c r="B39" s="91" t="s">
        <v>36</v>
      </c>
      <c r="C39" s="91"/>
      <c r="D39" s="91"/>
      <c r="E39" s="91"/>
      <c r="F39" s="91"/>
      <c r="G39" s="91"/>
      <c r="H39" s="91"/>
      <c r="I39" s="91"/>
      <c r="J39" s="88" t="s">
        <v>37</v>
      </c>
    </row>
    <row r="40" s="88" customFormat="1" ht="30" customHeight="1" spans="1:10">
      <c r="A40" s="103" t="s">
        <v>38</v>
      </c>
      <c r="B40" s="104"/>
      <c r="C40" s="104"/>
      <c r="D40" s="104"/>
      <c r="E40" s="104"/>
      <c r="F40" s="104"/>
      <c r="G40" s="104"/>
      <c r="H40" s="104"/>
      <c r="I40" s="105"/>
    </row>
    <row r="41" s="88" customFormat="1" ht="22" customHeight="1" spans="1:10">
      <c r="A41" s="91">
        <v>1</v>
      </c>
      <c r="B41" s="91" t="s">
        <v>22</v>
      </c>
      <c r="C41" s="12">
        <v>13798073949</v>
      </c>
      <c r="D41" s="91" t="s">
        <v>39</v>
      </c>
      <c r="E41" s="91">
        <v>100</v>
      </c>
      <c r="F41" s="91">
        <v>320</v>
      </c>
      <c r="G41" s="91"/>
      <c r="H41" s="91">
        <v>320</v>
      </c>
      <c r="I41" s="91" t="s">
        <v>14</v>
      </c>
      <c r="J41" s="88" t="s">
        <v>40</v>
      </c>
    </row>
    <row r="42" s="88" customFormat="1" ht="22" customHeight="1" spans="1:10">
      <c r="A42" s="100"/>
      <c r="B42" s="100"/>
      <c r="C42" s="100"/>
      <c r="D42" s="100"/>
      <c r="E42" s="100"/>
      <c r="F42" s="100"/>
      <c r="G42" s="100"/>
      <c r="H42" s="100"/>
      <c r="I42" s="100"/>
    </row>
    <row r="43" s="88" customFormat="1" ht="22" customHeight="1" spans="1:10">
      <c r="A43" s="100"/>
      <c r="B43" s="100"/>
      <c r="C43" s="100"/>
      <c r="D43" s="100"/>
      <c r="E43" s="100"/>
      <c r="F43" s="100"/>
      <c r="G43" s="100"/>
      <c r="H43" s="100"/>
      <c r="I43" s="100"/>
    </row>
    <row r="44" s="88" customFormat="1" ht="22" customHeight="1" spans="1:10">
      <c r="A44" s="100"/>
      <c r="B44" s="100"/>
      <c r="C44" s="100"/>
      <c r="D44" s="100"/>
      <c r="E44" s="100"/>
      <c r="F44" s="100"/>
      <c r="G44" s="106"/>
      <c r="H44" s="107"/>
      <c r="I44" s="108"/>
    </row>
  </sheetData>
  <mergeCells count="3">
    <mergeCell ref="A1:I1"/>
    <mergeCell ref="A40:I40"/>
    <mergeCell ref="G44:I4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D31" sqref="D31"/>
    </sheetView>
  </sheetViews>
  <sheetFormatPr defaultColWidth="9.14285714285714" defaultRowHeight="12"/>
  <cols>
    <col min="2" max="2" width="11.7142857142857" customWidth="1"/>
    <col min="3" max="3" width="10.1428571428571" customWidth="1"/>
    <col min="4" max="4" width="45.2857142857143" customWidth="1"/>
    <col min="5" max="5" width="12.8571428571429" customWidth="1"/>
    <col min="6" max="6" width="49.4285714285714" customWidth="1"/>
    <col min="7" max="7" width="10.1428571428571" customWidth="1"/>
    <col min="8" max="8" width="16" customWidth="1"/>
    <col min="9" max="9" width="50.8571428571429" customWidth="1"/>
    <col min="10" max="10" width="31.8571428571429" customWidth="1"/>
    <col min="11" max="11" width="10.1428571428571" customWidth="1"/>
  </cols>
  <sheetData>
    <row r="1" ht="16.5" customHeight="1" spans="1:11">
      <c r="A1" s="86" t="s">
        <v>41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ht="16.5" customHeight="1" spans="1:11">
      <c r="A2" s="86" t="s">
        <v>42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ht="15.75" spans="1:11">
      <c r="A3" s="86" t="s">
        <v>1</v>
      </c>
      <c r="B3" s="86" t="s">
        <v>43</v>
      </c>
      <c r="C3" s="86" t="s">
        <v>44</v>
      </c>
      <c r="D3" s="86" t="s">
        <v>45</v>
      </c>
      <c r="E3" s="86" t="s">
        <v>46</v>
      </c>
      <c r="F3" s="86" t="s">
        <v>47</v>
      </c>
      <c r="G3" s="86" t="s">
        <v>48</v>
      </c>
      <c r="H3" s="86" t="s">
        <v>49</v>
      </c>
      <c r="I3" s="86" t="s">
        <v>50</v>
      </c>
      <c r="J3" s="86" t="s">
        <v>51</v>
      </c>
      <c r="K3" s="86" t="s">
        <v>52</v>
      </c>
    </row>
    <row r="4" ht="15.75" spans="1:11">
      <c r="A4" s="86">
        <v>1</v>
      </c>
      <c r="B4" s="86">
        <v>1.53020260304214e+22</v>
      </c>
      <c r="C4" s="86" t="s">
        <v>53</v>
      </c>
      <c r="D4" s="86" t="s">
        <v>54</v>
      </c>
      <c r="E4" s="86">
        <v>13417265865</v>
      </c>
      <c r="F4" s="86" t="s">
        <v>55</v>
      </c>
      <c r="G4" s="86">
        <v>350</v>
      </c>
      <c r="H4" s="87">
        <v>46085.9070949074</v>
      </c>
      <c r="I4" s="86" t="s">
        <v>56</v>
      </c>
      <c r="J4" s="86" t="s">
        <v>12</v>
      </c>
      <c r="K4" s="86"/>
    </row>
    <row r="5" ht="15.75" spans="1:11">
      <c r="A5" s="86">
        <v>2</v>
      </c>
      <c r="B5" s="86">
        <v>1.5302026030411e+22</v>
      </c>
      <c r="C5" s="86" t="s">
        <v>57</v>
      </c>
      <c r="D5" s="86" t="s">
        <v>58</v>
      </c>
      <c r="E5" s="86">
        <v>13184802537</v>
      </c>
      <c r="F5" s="86" t="s">
        <v>55</v>
      </c>
      <c r="G5" s="86">
        <v>350</v>
      </c>
      <c r="H5" s="87">
        <v>46085.4629976852</v>
      </c>
      <c r="I5" s="86" t="s">
        <v>56</v>
      </c>
      <c r="J5" s="86"/>
      <c r="K5" s="86"/>
    </row>
    <row r="6" ht="15.75" spans="1:11">
      <c r="A6" s="86">
        <v>3</v>
      </c>
      <c r="B6" s="86">
        <v>1.53020260304105e+22</v>
      </c>
      <c r="C6" s="86" t="s">
        <v>59</v>
      </c>
      <c r="D6" s="86" t="s">
        <v>54</v>
      </c>
      <c r="E6" s="86">
        <v>13750190059</v>
      </c>
      <c r="F6" s="86" t="s">
        <v>55</v>
      </c>
      <c r="G6" s="86">
        <v>350</v>
      </c>
      <c r="H6" s="87">
        <v>46085.4550462963</v>
      </c>
      <c r="I6" s="86" t="s">
        <v>56</v>
      </c>
      <c r="J6" s="86"/>
      <c r="K6" s="86"/>
    </row>
    <row r="7" ht="15.75" spans="1:11">
      <c r="A7" s="86">
        <v>4</v>
      </c>
      <c r="B7" s="86">
        <v>1.530202603032e+22</v>
      </c>
      <c r="C7" s="86" t="s">
        <v>60</v>
      </c>
      <c r="D7" s="86" t="s">
        <v>54</v>
      </c>
      <c r="E7" s="86">
        <v>13417258147</v>
      </c>
      <c r="F7" s="86" t="s">
        <v>55</v>
      </c>
      <c r="G7" s="86">
        <v>350</v>
      </c>
      <c r="H7" s="87">
        <v>46084.8389814815</v>
      </c>
      <c r="I7" s="86" t="s">
        <v>56</v>
      </c>
      <c r="J7" s="86" t="s">
        <v>61</v>
      </c>
      <c r="K7" s="86"/>
    </row>
    <row r="8" ht="15.75" spans="1:11">
      <c r="A8" s="86">
        <v>5</v>
      </c>
      <c r="B8" s="86">
        <v>1.5302026030313e+22</v>
      </c>
      <c r="C8" s="86" t="s">
        <v>62</v>
      </c>
      <c r="D8" s="86" t="s">
        <v>58</v>
      </c>
      <c r="E8" s="86">
        <v>13030253095</v>
      </c>
      <c r="F8" s="86" t="s">
        <v>55</v>
      </c>
      <c r="G8" s="86">
        <v>350</v>
      </c>
      <c r="H8" s="87">
        <v>46084.546099537</v>
      </c>
      <c r="I8" s="86" t="s">
        <v>63</v>
      </c>
      <c r="J8" s="86" t="s">
        <v>5</v>
      </c>
      <c r="K8" s="86"/>
    </row>
    <row r="9" ht="15.75" spans="1:11">
      <c r="A9" s="86">
        <v>6</v>
      </c>
      <c r="B9" s="86">
        <v>1.5302026030313e+22</v>
      </c>
      <c r="C9" s="86" t="s">
        <v>64</v>
      </c>
      <c r="D9" s="86" t="s">
        <v>58</v>
      </c>
      <c r="E9" s="86">
        <v>13030253095</v>
      </c>
      <c r="F9" s="86" t="s">
        <v>55</v>
      </c>
      <c r="G9" s="86">
        <v>350</v>
      </c>
      <c r="H9" s="87">
        <v>46084.5453703704</v>
      </c>
      <c r="I9" s="86" t="s">
        <v>63</v>
      </c>
      <c r="J9" s="86" t="s">
        <v>5</v>
      </c>
      <c r="K9" s="86"/>
    </row>
    <row r="10" ht="15.75" spans="1:11">
      <c r="A10" s="86">
        <v>7</v>
      </c>
      <c r="B10" s="86">
        <v>1.5302026030313e+22</v>
      </c>
      <c r="C10" s="86" t="s">
        <v>65</v>
      </c>
      <c r="D10" s="86" t="s">
        <v>66</v>
      </c>
      <c r="E10" s="86">
        <v>13030253095</v>
      </c>
      <c r="F10" s="86" t="s">
        <v>55</v>
      </c>
      <c r="G10" s="86">
        <v>350</v>
      </c>
      <c r="H10" s="87">
        <v>46084.5446990741</v>
      </c>
      <c r="I10" s="86" t="s">
        <v>63</v>
      </c>
      <c r="J10" s="86" t="s">
        <v>5</v>
      </c>
      <c r="K10" s="86"/>
    </row>
    <row r="11" ht="15.75" spans="1:11">
      <c r="A11" s="86">
        <v>8</v>
      </c>
      <c r="B11" s="86">
        <v>1.53020260303122e+22</v>
      </c>
      <c r="C11" s="86" t="s">
        <v>67</v>
      </c>
      <c r="D11" s="86" t="s">
        <v>68</v>
      </c>
      <c r="E11" s="86">
        <v>18029739443</v>
      </c>
      <c r="F11" s="86" t="s">
        <v>55</v>
      </c>
      <c r="G11" s="86">
        <v>350</v>
      </c>
      <c r="H11" s="87">
        <v>46084.5198842593</v>
      </c>
      <c r="I11" s="86" t="s">
        <v>63</v>
      </c>
      <c r="J11" s="86"/>
      <c r="K11" s="86"/>
    </row>
    <row r="12" ht="15.75" spans="1:11">
      <c r="A12" s="86">
        <v>9</v>
      </c>
      <c r="B12" s="86">
        <v>1.53020260303111e+22</v>
      </c>
      <c r="C12" s="86" t="s">
        <v>69</v>
      </c>
      <c r="D12" s="86" t="s">
        <v>58</v>
      </c>
      <c r="E12" s="86">
        <v>15920525850</v>
      </c>
      <c r="F12" s="86" t="s">
        <v>55</v>
      </c>
      <c r="G12" s="86">
        <v>350</v>
      </c>
      <c r="H12" s="87">
        <v>46084.4664699074</v>
      </c>
      <c r="I12" s="86" t="s">
        <v>63</v>
      </c>
      <c r="J12" s="86"/>
      <c r="K12" s="86"/>
    </row>
    <row r="13" ht="15.75" spans="1:11">
      <c r="A13" s="86">
        <v>10</v>
      </c>
      <c r="B13" s="86">
        <v>1.53020260303103e+22</v>
      </c>
      <c r="C13" s="86" t="s">
        <v>70</v>
      </c>
      <c r="D13" s="86" t="s">
        <v>66</v>
      </c>
      <c r="E13" s="86">
        <v>13416540248</v>
      </c>
      <c r="F13" s="86" t="s">
        <v>55</v>
      </c>
      <c r="G13" s="86">
        <v>350</v>
      </c>
      <c r="H13" s="87">
        <v>46084.4421527778</v>
      </c>
      <c r="I13" s="86" t="s">
        <v>63</v>
      </c>
      <c r="J13" s="86" t="s">
        <v>71</v>
      </c>
      <c r="K13" s="86"/>
    </row>
    <row r="14" ht="15.75" spans="1:11">
      <c r="A14" s="86">
        <v>11</v>
      </c>
      <c r="B14" s="86">
        <v>1.53020260303103e+22</v>
      </c>
      <c r="C14" s="86" t="s">
        <v>72</v>
      </c>
      <c r="D14" s="86" t="s">
        <v>54</v>
      </c>
      <c r="E14" s="86">
        <v>18318221839</v>
      </c>
      <c r="F14" s="86" t="s">
        <v>55</v>
      </c>
      <c r="G14" s="86">
        <v>350</v>
      </c>
      <c r="H14" s="87">
        <v>46084.4409606481</v>
      </c>
      <c r="I14" s="86" t="s">
        <v>63</v>
      </c>
      <c r="J14" s="86"/>
      <c r="K14" s="86"/>
    </row>
    <row r="15" ht="15.75" spans="1:11">
      <c r="A15" s="86">
        <v>12</v>
      </c>
      <c r="B15" s="86">
        <v>1.53020260303103e+22</v>
      </c>
      <c r="C15" s="86" t="s">
        <v>73</v>
      </c>
      <c r="D15" s="86" t="s">
        <v>58</v>
      </c>
      <c r="E15" s="86">
        <v>13926639561</v>
      </c>
      <c r="F15" s="86" t="s">
        <v>55</v>
      </c>
      <c r="G15" s="86">
        <v>350</v>
      </c>
      <c r="H15" s="87">
        <v>46084.4390277778</v>
      </c>
      <c r="I15" s="86" t="s">
        <v>63</v>
      </c>
      <c r="J15" s="86"/>
      <c r="K15" s="86"/>
    </row>
    <row r="16" ht="15.75" spans="1:11">
      <c r="A16" s="86">
        <v>13</v>
      </c>
      <c r="B16" s="86">
        <v>1.53020260303103e+22</v>
      </c>
      <c r="C16" s="86" t="s">
        <v>74</v>
      </c>
      <c r="D16" s="86" t="s">
        <v>75</v>
      </c>
      <c r="E16" s="86">
        <v>13750188414</v>
      </c>
      <c r="F16" s="86" t="s">
        <v>55</v>
      </c>
      <c r="G16" s="86">
        <v>350</v>
      </c>
      <c r="H16" s="87">
        <v>46084.4385416667</v>
      </c>
      <c r="I16" s="86" t="s">
        <v>63</v>
      </c>
      <c r="J16" s="86" t="s">
        <v>76</v>
      </c>
      <c r="K16" s="86"/>
    </row>
    <row r="17" ht="15.75" spans="1:11">
      <c r="A17" s="86">
        <v>14</v>
      </c>
      <c r="B17" s="86">
        <v>1.53020260303083e+22</v>
      </c>
      <c r="C17" s="86" t="s">
        <v>77</v>
      </c>
      <c r="D17" s="86" t="s">
        <v>68</v>
      </c>
      <c r="E17" s="86">
        <v>18125982949</v>
      </c>
      <c r="F17" s="86" t="s">
        <v>55</v>
      </c>
      <c r="G17" s="86">
        <v>350</v>
      </c>
      <c r="H17" s="87">
        <v>46084.3566203704</v>
      </c>
      <c r="I17" s="86" t="s">
        <v>63</v>
      </c>
      <c r="J17" s="86" t="s">
        <v>78</v>
      </c>
      <c r="K17" s="86"/>
    </row>
    <row r="18" ht="15.75" spans="1:11">
      <c r="A18" s="86">
        <v>15</v>
      </c>
      <c r="B18" s="86">
        <v>1.53020260302223e+22</v>
      </c>
      <c r="C18" s="86" t="s">
        <v>79</v>
      </c>
      <c r="D18" s="86" t="s">
        <v>80</v>
      </c>
      <c r="E18" s="86">
        <v>13719840376</v>
      </c>
      <c r="F18" s="86" t="s">
        <v>55</v>
      </c>
      <c r="G18" s="86">
        <v>350</v>
      </c>
      <c r="H18" s="87">
        <v>46083.9417708333</v>
      </c>
      <c r="I18" s="86" t="s">
        <v>63</v>
      </c>
      <c r="J18" s="86"/>
      <c r="K18" s="86"/>
    </row>
    <row r="19" ht="15.75" spans="1:11">
      <c r="A19" s="86">
        <v>16</v>
      </c>
      <c r="B19" s="86">
        <v>1.5302026030221e+22</v>
      </c>
      <c r="C19" s="86" t="s">
        <v>81</v>
      </c>
      <c r="D19" s="86" t="s">
        <v>80</v>
      </c>
      <c r="E19" s="86">
        <v>18107638371</v>
      </c>
      <c r="F19" s="86" t="s">
        <v>55</v>
      </c>
      <c r="G19" s="86">
        <v>350</v>
      </c>
      <c r="H19" s="87">
        <v>46083.8787268518</v>
      </c>
      <c r="I19" s="86" t="s">
        <v>63</v>
      </c>
      <c r="J19" s="86" t="s">
        <v>82</v>
      </c>
      <c r="K19" s="86"/>
    </row>
    <row r="20" ht="15.75" spans="1:11">
      <c r="A20" s="86">
        <v>17</v>
      </c>
      <c r="B20" s="86">
        <v>1.53020260302194e+22</v>
      </c>
      <c r="C20" s="86" t="s">
        <v>83</v>
      </c>
      <c r="D20" s="86" t="s">
        <v>80</v>
      </c>
      <c r="E20" s="86">
        <v>13729650070</v>
      </c>
      <c r="F20" s="86" t="s">
        <v>55</v>
      </c>
      <c r="G20" s="86">
        <v>350</v>
      </c>
      <c r="H20" s="87">
        <v>46083.8206018519</v>
      </c>
      <c r="I20" s="86" t="s">
        <v>63</v>
      </c>
      <c r="J20" s="86" t="s">
        <v>84</v>
      </c>
      <c r="K20" s="86"/>
    </row>
    <row r="21" ht="15.75" spans="1:11">
      <c r="A21" s="86">
        <v>18</v>
      </c>
      <c r="B21" s="86">
        <v>1.53020260302175e+22</v>
      </c>
      <c r="C21" s="86" t="s">
        <v>85</v>
      </c>
      <c r="D21" s="86" t="s">
        <v>54</v>
      </c>
      <c r="E21" s="86">
        <v>13926627947</v>
      </c>
      <c r="F21" s="86" t="s">
        <v>55</v>
      </c>
      <c r="G21" s="86">
        <v>350</v>
      </c>
      <c r="H21" s="87">
        <v>46083.747662037</v>
      </c>
      <c r="I21" s="86" t="s">
        <v>63</v>
      </c>
      <c r="J21" s="86"/>
      <c r="K21" s="86"/>
    </row>
    <row r="22" ht="15.75" spans="1:11">
      <c r="A22" s="86">
        <v>19</v>
      </c>
      <c r="B22" s="86">
        <v>1.53020260302165e+22</v>
      </c>
      <c r="C22" s="86" t="s">
        <v>86</v>
      </c>
      <c r="D22" s="86" t="s">
        <v>54</v>
      </c>
      <c r="E22" s="86">
        <v>18200603990</v>
      </c>
      <c r="F22" s="86" t="s">
        <v>55</v>
      </c>
      <c r="G22" s="86">
        <v>350</v>
      </c>
      <c r="H22" s="87">
        <v>46083.7040972222</v>
      </c>
      <c r="I22" s="86" t="s">
        <v>63</v>
      </c>
      <c r="J22" s="86"/>
      <c r="K22" s="86"/>
    </row>
    <row r="23" ht="15.75" spans="1:11">
      <c r="A23" s="86">
        <v>20</v>
      </c>
      <c r="B23" s="86">
        <v>1.53020260302164e+22</v>
      </c>
      <c r="C23" s="86" t="s">
        <v>87</v>
      </c>
      <c r="D23" s="86" t="s">
        <v>75</v>
      </c>
      <c r="E23" s="86">
        <v>13415258510</v>
      </c>
      <c r="F23" s="86" t="s">
        <v>55</v>
      </c>
      <c r="G23" s="86">
        <v>350</v>
      </c>
      <c r="H23" s="87">
        <v>46083.6956365741</v>
      </c>
      <c r="I23" s="86" t="s">
        <v>63</v>
      </c>
      <c r="J23" s="86"/>
      <c r="K23" s="86"/>
    </row>
    <row r="24" ht="15.75" spans="1:11">
      <c r="A24" s="86">
        <v>21</v>
      </c>
      <c r="B24" s="86">
        <v>1.53020260301203e+22</v>
      </c>
      <c r="C24" s="86" t="s">
        <v>88</v>
      </c>
      <c r="D24" s="86" t="s">
        <v>54</v>
      </c>
      <c r="E24" s="86">
        <v>13794610705</v>
      </c>
      <c r="F24" s="86" t="s">
        <v>55</v>
      </c>
      <c r="G24" s="86">
        <v>350</v>
      </c>
      <c r="H24" s="87">
        <v>46082.854525463</v>
      </c>
      <c r="I24" s="86" t="s">
        <v>63</v>
      </c>
      <c r="J24" s="86" t="s">
        <v>89</v>
      </c>
      <c r="K24" s="86"/>
    </row>
    <row r="25" ht="15.75" spans="1:11">
      <c r="A25" s="86">
        <v>22</v>
      </c>
      <c r="B25" s="86">
        <v>1.53020260301105e+22</v>
      </c>
      <c r="C25" s="86" t="s">
        <v>90</v>
      </c>
      <c r="D25" s="86" t="s">
        <v>66</v>
      </c>
      <c r="E25" s="86">
        <v>18218210026</v>
      </c>
      <c r="F25" s="86" t="s">
        <v>55</v>
      </c>
      <c r="G25" s="86">
        <v>350</v>
      </c>
      <c r="H25" s="87">
        <v>46082.4527083333</v>
      </c>
      <c r="I25" s="86" t="s">
        <v>63</v>
      </c>
      <c r="J25" s="86"/>
      <c r="K25" s="86"/>
    </row>
    <row r="26" ht="15.75" spans="1:11">
      <c r="A26" s="86">
        <v>23</v>
      </c>
      <c r="B26" s="86">
        <v>1.53020260301104e+22</v>
      </c>
      <c r="C26" s="86" t="s">
        <v>91</v>
      </c>
      <c r="D26" s="86" t="s">
        <v>54</v>
      </c>
      <c r="E26" s="86">
        <v>18218210026</v>
      </c>
      <c r="F26" s="86" t="s">
        <v>55</v>
      </c>
      <c r="G26" s="86">
        <v>350</v>
      </c>
      <c r="H26" s="87">
        <v>46082.4505787037</v>
      </c>
      <c r="I26" s="86" t="s">
        <v>63</v>
      </c>
      <c r="J26" s="86" t="s">
        <v>92</v>
      </c>
      <c r="K26" s="86"/>
    </row>
    <row r="27" ht="15.75" spans="1:11">
      <c r="A27" s="86">
        <v>24</v>
      </c>
      <c r="B27" s="86">
        <v>1.5302026022819e+22</v>
      </c>
      <c r="C27" s="86" t="s">
        <v>93</v>
      </c>
      <c r="D27" s="86" t="s">
        <v>58</v>
      </c>
      <c r="E27" s="86">
        <v>13078463922</v>
      </c>
      <c r="F27" s="86" t="s">
        <v>55</v>
      </c>
      <c r="G27" s="86">
        <v>350</v>
      </c>
      <c r="H27" s="87">
        <v>46081.7985069444</v>
      </c>
      <c r="I27" s="86" t="s">
        <v>63</v>
      </c>
      <c r="J27" s="86" t="s">
        <v>94</v>
      </c>
      <c r="K27" s="86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79" customWidth="1"/>
    <col min="2" max="2" width="13.7142857142857" style="79" customWidth="1"/>
    <col min="3" max="3" width="4.42857142857143" style="77" customWidth="1"/>
    <col min="4" max="6" width="4" style="77" customWidth="1"/>
    <col min="7" max="7" width="3.87619047619048" style="77" customWidth="1"/>
    <col min="8" max="12" width="4.28571428571429" style="77" customWidth="1"/>
    <col min="13" max="13" width="4.00952380952381" style="77" customWidth="1"/>
    <col min="14" max="14" width="4.28571428571429" style="77" customWidth="1"/>
    <col min="15" max="15" width="4.00952380952381" style="77" customWidth="1"/>
    <col min="16" max="16" width="3.87619047619048" style="77" customWidth="1"/>
    <col min="17" max="17" width="4.28571428571429" style="77" customWidth="1"/>
    <col min="18" max="19" width="4.14285714285714" style="77" customWidth="1"/>
    <col min="20" max="20" width="4.57142857142857" style="77" customWidth="1"/>
    <col min="21" max="25" width="4.14285714285714" style="77" customWidth="1"/>
    <col min="26" max="27" width="4.57142857142857" style="77" customWidth="1"/>
    <col min="28" max="28" width="4.16190476190476" style="77" customWidth="1"/>
    <col min="29" max="30" width="4.28571428571429" style="77" customWidth="1"/>
    <col min="31" max="31" width="4.00952380952381" style="77" customWidth="1"/>
    <col min="32" max="32" width="3.85714285714286" style="77" customWidth="1"/>
    <col min="33" max="34" width="4.28571428571429" style="77" customWidth="1"/>
    <col min="35" max="36" width="4.57142857142857" style="77" customWidth="1"/>
    <col min="37" max="37" width="4.28571428571429" style="77" customWidth="1"/>
    <col min="38" max="38" width="3.85714285714286" style="77" customWidth="1"/>
    <col min="39" max="16384" width="10.2857142857143" style="77"/>
  </cols>
  <sheetData>
    <row r="1" s="77" customFormat="1" ht="26" customHeight="1" spans="1:38">
      <c r="A1" s="75" t="s">
        <v>95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</row>
    <row r="2" s="77" customFormat="1" ht="26" customHeight="1" spans="1:38">
      <c r="A2" s="31" t="s">
        <v>96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</row>
    <row r="3" s="78" customFormat="1" ht="40" customHeight="1" spans="1:38">
      <c r="A3" s="80" t="s">
        <v>1</v>
      </c>
      <c r="B3" s="80" t="s">
        <v>2</v>
      </c>
      <c r="C3" s="76">
        <v>1</v>
      </c>
      <c r="D3" s="76">
        <v>2</v>
      </c>
      <c r="E3" s="76">
        <v>3</v>
      </c>
      <c r="F3" s="76">
        <v>4</v>
      </c>
      <c r="G3" s="76">
        <v>5</v>
      </c>
      <c r="H3" s="76">
        <v>6</v>
      </c>
      <c r="I3" s="76">
        <v>7</v>
      </c>
      <c r="J3" s="76">
        <v>8</v>
      </c>
      <c r="K3" s="76">
        <v>9</v>
      </c>
      <c r="L3" s="76">
        <v>10</v>
      </c>
      <c r="M3" s="76">
        <v>11</v>
      </c>
      <c r="N3" s="76">
        <v>12</v>
      </c>
      <c r="O3" s="76">
        <v>13</v>
      </c>
      <c r="P3" s="76">
        <v>14</v>
      </c>
      <c r="Q3" s="76">
        <v>15</v>
      </c>
      <c r="R3" s="76">
        <v>16</v>
      </c>
      <c r="S3" s="76">
        <v>17</v>
      </c>
      <c r="T3" s="76">
        <v>18</v>
      </c>
      <c r="U3" s="76">
        <v>19</v>
      </c>
      <c r="V3" s="76">
        <v>20</v>
      </c>
      <c r="W3" s="76">
        <v>21</v>
      </c>
      <c r="X3" s="76">
        <v>22</v>
      </c>
      <c r="Y3" s="76">
        <v>23</v>
      </c>
      <c r="Z3" s="76">
        <v>24</v>
      </c>
      <c r="AA3" s="76">
        <v>25</v>
      </c>
      <c r="AB3" s="76">
        <v>26</v>
      </c>
      <c r="AC3" s="76">
        <v>27</v>
      </c>
      <c r="AD3" s="76">
        <v>28</v>
      </c>
      <c r="AE3" s="76">
        <v>29</v>
      </c>
      <c r="AF3" s="76">
        <v>30</v>
      </c>
      <c r="AG3" s="76"/>
      <c r="AH3" s="76"/>
      <c r="AI3" s="76"/>
      <c r="AJ3" s="76"/>
      <c r="AK3" s="76"/>
      <c r="AL3" s="76"/>
    </row>
    <row r="4" s="77" customFormat="1" ht="25" customHeight="1" spans="1:38">
      <c r="A4" s="81">
        <v>1</v>
      </c>
      <c r="B4" s="82"/>
      <c r="C4" s="81"/>
      <c r="D4" s="81"/>
      <c r="E4" s="81"/>
      <c r="F4" s="81"/>
      <c r="G4" s="81"/>
      <c r="H4" s="81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</row>
    <row r="5" s="77" customFormat="1" ht="25" customHeight="1" spans="1:38">
      <c r="A5" s="81">
        <v>2</v>
      </c>
      <c r="B5" s="82"/>
      <c r="C5" s="81"/>
      <c r="D5" s="81"/>
      <c r="E5" s="81"/>
      <c r="F5" s="81"/>
      <c r="G5" s="81"/>
      <c r="H5" s="81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</row>
    <row r="6" s="77" customFormat="1" ht="25" customHeight="1" spans="1:38">
      <c r="A6" s="81">
        <v>3</v>
      </c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</row>
    <row r="7" s="77" customFormat="1" ht="25" customHeight="1" spans="1:38">
      <c r="A7" s="81">
        <v>13</v>
      </c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</row>
    <row r="8" s="77" customFormat="1" ht="25" customHeight="1" spans="1:38">
      <c r="A8" s="81">
        <v>14</v>
      </c>
      <c r="B8" s="82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</row>
    <row r="9" s="77" customFormat="1" ht="25" customHeight="1" spans="1:38">
      <c r="A9" s="81">
        <v>15</v>
      </c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</row>
    <row r="10" s="77" customFormat="1" ht="25" customHeight="1" spans="1:38">
      <c r="A10" s="81">
        <v>16</v>
      </c>
      <c r="B10" s="82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</row>
    <row r="11" s="77" customFormat="1" ht="25" customHeight="1" spans="1:38">
      <c r="A11" s="81">
        <v>17</v>
      </c>
      <c r="B11" s="84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</row>
    <row r="12" s="77" customFormat="1" ht="25" customHeight="1" spans="1:38">
      <c r="A12" s="81">
        <v>18</v>
      </c>
      <c r="B12" s="84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</row>
    <row r="13" s="77" customFormat="1" ht="15" customHeight="1" spans="1:38">
      <c r="A13" s="85"/>
      <c r="B13" s="85"/>
    </row>
    <row r="14" s="77" customFormat="1" ht="15" customHeight="1" spans="1:38">
      <c r="A14" s="85"/>
      <c r="B14" s="85"/>
    </row>
    <row r="15" s="77" customFormat="1" ht="15" customHeight="1" spans="1:38">
      <c r="A15" s="85"/>
      <c r="B15" s="85"/>
    </row>
    <row r="16" s="77" customFormat="1" ht="15" customHeight="1" spans="1:38">
      <c r="A16" s="85"/>
      <c r="B16" s="85"/>
    </row>
    <row r="17" s="77" customFormat="1" ht="15" customHeight="1" spans="1:2">
      <c r="A17" s="85"/>
      <c r="B17" s="85"/>
    </row>
    <row r="18" s="77" customFormat="1" ht="15" customHeight="1" spans="1:2">
      <c r="A18" s="85"/>
      <c r="B18" s="85"/>
    </row>
    <row r="19" s="77" customFormat="1" ht="15" customHeight="1" spans="1:2">
      <c r="A19" s="85"/>
      <c r="B19" s="85"/>
    </row>
    <row r="20" s="77" customFormat="1" ht="15" customHeight="1" spans="1:2">
      <c r="A20" s="85"/>
      <c r="B20" s="85"/>
    </row>
    <row r="21" s="77" customFormat="1" ht="15" customHeight="1" spans="1:2">
      <c r="A21" s="85"/>
      <c r="B21" s="85"/>
    </row>
    <row r="22" s="77" customFormat="1" ht="15" customHeight="1" spans="1:2">
      <c r="A22" s="85"/>
      <c r="B22" s="85"/>
    </row>
    <row r="23" s="77" customFormat="1" ht="15" customHeight="1" spans="1:2">
      <c r="A23" s="85"/>
      <c r="B23" s="85"/>
    </row>
    <row r="24" s="77" customFormat="1" ht="15" customHeight="1" spans="1:2">
      <c r="A24" s="85"/>
      <c r="B24" s="85"/>
    </row>
    <row r="25" s="77" customFormat="1" ht="15" customHeight="1" spans="1:2">
      <c r="A25" s="85"/>
      <c r="B25" s="85"/>
    </row>
    <row r="26" s="77" customFormat="1" ht="15" customHeight="1" spans="1:2">
      <c r="A26" s="85"/>
      <c r="B26" s="85"/>
    </row>
    <row r="27" s="77" customFormat="1" ht="15" customHeight="1" spans="1:2">
      <c r="A27" s="85"/>
      <c r="B27" s="85"/>
    </row>
    <row r="28" s="77" customFormat="1" ht="15" customHeight="1" spans="1:2">
      <c r="A28" s="85"/>
      <c r="B28" s="85"/>
    </row>
    <row r="29" s="77" customFormat="1" ht="15" customHeight="1" spans="1:2">
      <c r="A29" s="85"/>
      <c r="B29" s="85"/>
    </row>
    <row r="30" s="77" customFormat="1" ht="15" customHeight="1" spans="1:2">
      <c r="A30" s="85"/>
      <c r="B30" s="85"/>
    </row>
    <row r="31" s="77" customFormat="1" ht="15" customHeight="1" spans="1:2">
      <c r="A31" s="85"/>
      <c r="B31" s="85"/>
    </row>
    <row r="32" s="77" customFormat="1" ht="15" customHeight="1" spans="1:2">
      <c r="A32" s="85"/>
      <c r="B32" s="85"/>
    </row>
    <row r="33" s="77" customFormat="1" ht="15" customHeight="1" spans="1:2">
      <c r="A33" s="85"/>
      <c r="B33" s="85"/>
    </row>
    <row r="34" s="77" customFormat="1" ht="15" customHeight="1" spans="1:2">
      <c r="A34" s="85"/>
      <c r="B34" s="85"/>
    </row>
    <row r="35" s="77" customFormat="1" ht="15" customHeight="1" spans="1:2">
      <c r="A35" s="85"/>
      <c r="B35" s="85"/>
    </row>
    <row r="36" s="77" customFormat="1" ht="15" customHeight="1" spans="1:2">
      <c r="A36" s="85"/>
      <c r="B36" s="85"/>
    </row>
    <row r="37" s="77" customFormat="1" ht="15" customHeight="1" spans="1:2">
      <c r="A37" s="85"/>
      <c r="B37" s="85"/>
    </row>
    <row r="38" s="77" customFormat="1" ht="15" customHeight="1" spans="1:2">
      <c r="A38" s="85"/>
      <c r="B38" s="85"/>
    </row>
    <row r="39" s="77" customFormat="1" ht="15" customHeight="1" spans="1:2">
      <c r="A39" s="85"/>
      <c r="B39" s="85"/>
    </row>
    <row r="40" s="77" customFormat="1" ht="15" customHeight="1" spans="1:2">
      <c r="A40" s="85"/>
      <c r="B40" s="85"/>
    </row>
    <row r="41" s="77" customFormat="1" ht="15" customHeight="1" spans="1:2">
      <c r="A41" s="85"/>
      <c r="B41" s="85"/>
    </row>
    <row r="42" s="77" customFormat="1" ht="15" customHeight="1" spans="1:2">
      <c r="A42" s="85"/>
      <c r="B42" s="85"/>
    </row>
    <row r="43" s="77" customFormat="1" ht="15" customHeight="1" spans="1:2">
      <c r="A43" s="85"/>
      <c r="B43" s="85"/>
    </row>
    <row r="44" s="77" customFormat="1" ht="15" customHeight="1" spans="1:2">
      <c r="A44" s="85"/>
      <c r="B44" s="85"/>
    </row>
    <row r="45" s="77" customFormat="1" ht="15" customHeight="1" spans="1:2">
      <c r="A45" s="85"/>
      <c r="B45" s="85"/>
    </row>
    <row r="46" s="77" customFormat="1" ht="15" customHeight="1" spans="1:2">
      <c r="A46" s="85"/>
      <c r="B46" s="85"/>
    </row>
    <row r="47" s="77" customFormat="1" ht="15" customHeight="1" spans="1:2">
      <c r="A47" s="85"/>
      <c r="B47" s="85"/>
    </row>
    <row r="48" s="77" customFormat="1" ht="15" customHeight="1" spans="1:2">
      <c r="A48" s="85"/>
      <c r="B48" s="85"/>
    </row>
    <row r="49" s="77" customFormat="1" ht="15" customHeight="1" spans="1:2">
      <c r="A49" s="85"/>
      <c r="B49" s="85"/>
    </row>
    <row r="50" s="77" customFormat="1" ht="15" customHeight="1" spans="1:2">
      <c r="A50" s="85"/>
      <c r="B50" s="85"/>
    </row>
    <row r="51" s="77" customFormat="1" ht="15" customHeight="1" spans="1:2">
      <c r="A51" s="85"/>
      <c r="B51" s="85"/>
    </row>
    <row r="52" s="77" customFormat="1" ht="15" customHeight="1" spans="1:2">
      <c r="A52" s="85"/>
      <c r="B52" s="85"/>
    </row>
    <row r="53" s="77" customFormat="1" ht="15" customHeight="1" spans="1:2">
      <c r="A53" s="85"/>
      <c r="B53" s="85"/>
    </row>
    <row r="54" s="77" customFormat="1" ht="15" customHeight="1" spans="1:2">
      <c r="A54" s="85"/>
      <c r="B54" s="85"/>
    </row>
    <row r="55" s="77" customFormat="1" ht="15" customHeight="1" spans="1:2">
      <c r="A55" s="85"/>
      <c r="B55" s="85"/>
    </row>
    <row r="56" s="77" customFormat="1" ht="15" customHeight="1" spans="1:2">
      <c r="A56" s="85"/>
      <c r="B56" s="85"/>
    </row>
    <row r="57" s="77" customFormat="1" ht="15" customHeight="1" spans="1:2">
      <c r="A57" s="85"/>
      <c r="B57" s="85"/>
    </row>
    <row r="58" s="77" customFormat="1" ht="15" customHeight="1" spans="1:2">
      <c r="A58" s="85"/>
      <c r="B58" s="85"/>
    </row>
    <row r="59" s="77" customFormat="1" ht="15" customHeight="1" spans="1:2">
      <c r="A59" s="85"/>
      <c r="B59" s="85"/>
    </row>
    <row r="60" s="77" customFormat="1" ht="15" customHeight="1" spans="1:2">
      <c r="A60" s="85"/>
      <c r="B60" s="85"/>
    </row>
    <row r="61" s="77" customFormat="1" ht="15" customHeight="1" spans="1:2">
      <c r="A61" s="85"/>
      <c r="B61" s="85"/>
    </row>
    <row r="62" s="77" customFormat="1" ht="15" customHeight="1" spans="1:2">
      <c r="A62" s="85"/>
      <c r="B62" s="85"/>
    </row>
    <row r="63" s="77" customFormat="1" ht="15" customHeight="1" spans="1:2">
      <c r="A63" s="85"/>
      <c r="B63" s="85"/>
    </row>
    <row r="64" s="77" customFormat="1" ht="15" customHeight="1" spans="1:2">
      <c r="A64" s="85"/>
      <c r="B64" s="85"/>
    </row>
    <row r="65" s="77" customFormat="1" ht="15" customHeight="1" spans="1:2">
      <c r="A65" s="85"/>
      <c r="B65" s="85"/>
    </row>
    <row r="66" s="77" customFormat="1" ht="15" customHeight="1" spans="1:2">
      <c r="A66" s="85"/>
      <c r="B66" s="85"/>
    </row>
    <row r="67" s="77" customFormat="1" ht="15" customHeight="1" spans="1:2">
      <c r="A67" s="85"/>
      <c r="B67" s="85"/>
    </row>
    <row r="68" s="77" customFormat="1" ht="15" customHeight="1" spans="1:2">
      <c r="A68" s="85"/>
      <c r="B68" s="85"/>
    </row>
    <row r="69" s="77" customFormat="1" ht="15" customHeight="1" spans="1:2">
      <c r="A69" s="85"/>
      <c r="B69" s="85"/>
    </row>
    <row r="70" s="77" customFormat="1" ht="15" customHeight="1" spans="1:2">
      <c r="A70" s="85"/>
      <c r="B70" s="85"/>
    </row>
    <row r="71" s="77" customFormat="1" spans="1:2">
      <c r="A71" s="79"/>
      <c r="B71" s="79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opLeftCell="A23" workbookViewId="0">
      <selection activeCell="H15" sqref="H15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75" t="s">
        <v>97</v>
      </c>
      <c r="B1" s="75"/>
      <c r="C1" s="75"/>
      <c r="D1" s="75"/>
      <c r="E1" s="75"/>
      <c r="F1" s="75"/>
    </row>
    <row r="2" s="1" customFormat="1" ht="39" customHeight="1" spans="1:6">
      <c r="A2" s="8" t="s">
        <v>1</v>
      </c>
      <c r="B2" s="8" t="s">
        <v>98</v>
      </c>
      <c r="C2" s="8" t="s">
        <v>99</v>
      </c>
      <c r="D2" s="76" t="s">
        <v>100</v>
      </c>
      <c r="E2" s="8" t="s">
        <v>101</v>
      </c>
      <c r="F2" s="8" t="s">
        <v>9</v>
      </c>
    </row>
    <row r="3" ht="26" customHeight="1" spans="1:6">
      <c r="A3" s="16">
        <v>1</v>
      </c>
      <c r="B3" s="11">
        <v>46093</v>
      </c>
      <c r="C3" s="12" t="s">
        <v>102</v>
      </c>
      <c r="D3" s="33">
        <v>1</v>
      </c>
      <c r="E3" s="30"/>
      <c r="F3" s="14"/>
    </row>
    <row r="4" ht="26" customHeight="1" spans="1:6">
      <c r="A4" s="16">
        <v>2</v>
      </c>
      <c r="B4" s="11">
        <v>46093</v>
      </c>
      <c r="C4" s="12" t="s">
        <v>103</v>
      </c>
      <c r="D4" s="33">
        <v>1</v>
      </c>
      <c r="E4" s="30"/>
      <c r="F4" s="18"/>
    </row>
    <row r="5" ht="26" customHeight="1" spans="1:6">
      <c r="A5" s="16">
        <v>3</v>
      </c>
      <c r="B5" s="11">
        <v>46093</v>
      </c>
      <c r="C5" s="12" t="s">
        <v>104</v>
      </c>
      <c r="D5" s="33">
        <v>1</v>
      </c>
      <c r="E5" s="30"/>
      <c r="F5" s="18"/>
    </row>
    <row r="6" ht="26" customHeight="1" spans="1:6">
      <c r="A6" s="16">
        <v>4</v>
      </c>
      <c r="B6" s="11">
        <v>46093</v>
      </c>
      <c r="C6" s="12" t="s">
        <v>105</v>
      </c>
      <c r="D6" s="33">
        <v>1</v>
      </c>
      <c r="E6" s="30"/>
      <c r="F6" s="18"/>
    </row>
    <row r="7" ht="26" customHeight="1" spans="1:6">
      <c r="A7" s="16">
        <v>5</v>
      </c>
      <c r="B7" s="11">
        <v>46093</v>
      </c>
      <c r="C7" s="12" t="s">
        <v>106</v>
      </c>
      <c r="D7" s="33">
        <v>1</v>
      </c>
      <c r="E7" s="30"/>
      <c r="F7" s="18"/>
    </row>
    <row r="8" ht="26" customHeight="1" spans="1:6">
      <c r="A8" s="16">
        <v>6</v>
      </c>
      <c r="B8" s="11">
        <v>46093</v>
      </c>
      <c r="C8" s="12" t="s">
        <v>107</v>
      </c>
      <c r="D8" s="33">
        <v>1</v>
      </c>
      <c r="E8" s="30"/>
      <c r="F8" s="18"/>
    </row>
    <row r="9" ht="26" customHeight="1" spans="1:6">
      <c r="A9" s="16">
        <v>7</v>
      </c>
      <c r="B9" s="11">
        <v>46093</v>
      </c>
      <c r="C9" s="12" t="s">
        <v>108</v>
      </c>
      <c r="D9" s="33">
        <v>1</v>
      </c>
      <c r="E9" s="33"/>
      <c r="F9" s="21"/>
    </row>
    <row r="10" customFormat="1" ht="26" customHeight="1" spans="1:6">
      <c r="A10" s="16">
        <v>8</v>
      </c>
      <c r="B10" s="11">
        <v>46093</v>
      </c>
      <c r="C10" s="12" t="s">
        <v>109</v>
      </c>
      <c r="D10" s="33">
        <v>1</v>
      </c>
      <c r="E10" s="33"/>
      <c r="F10" s="21"/>
    </row>
    <row r="11" ht="26" customHeight="1" spans="1:6">
      <c r="A11" s="16">
        <v>9</v>
      </c>
      <c r="B11" s="11">
        <v>46093</v>
      </c>
      <c r="C11" s="12" t="s">
        <v>110</v>
      </c>
      <c r="D11" s="33">
        <v>1</v>
      </c>
      <c r="E11" s="33"/>
      <c r="F11" s="21"/>
    </row>
    <row r="12" ht="26" customHeight="1" spans="1:6">
      <c r="A12" s="16">
        <v>10</v>
      </c>
      <c r="B12" s="11">
        <v>46093</v>
      </c>
      <c r="C12" s="12" t="s">
        <v>111</v>
      </c>
      <c r="D12" s="33">
        <v>1</v>
      </c>
      <c r="E12" s="33"/>
      <c r="F12" s="21"/>
    </row>
    <row r="13" ht="26" customHeight="1" spans="1:6">
      <c r="A13" s="16">
        <v>11</v>
      </c>
      <c r="B13" s="11">
        <v>46093</v>
      </c>
      <c r="C13" s="12" t="s">
        <v>112</v>
      </c>
      <c r="D13" s="33">
        <v>1</v>
      </c>
      <c r="E13" s="33"/>
      <c r="F13" s="21"/>
    </row>
    <row r="14" ht="26" customHeight="1" spans="1:6">
      <c r="A14" s="16">
        <v>12</v>
      </c>
      <c r="B14" s="11">
        <v>46093</v>
      </c>
      <c r="C14" s="12" t="s">
        <v>113</v>
      </c>
      <c r="D14" s="33">
        <v>1</v>
      </c>
      <c r="E14" s="33"/>
      <c r="F14" s="21"/>
    </row>
    <row r="15" ht="26" customHeight="1" spans="1:6">
      <c r="A15" s="16">
        <v>13</v>
      </c>
      <c r="B15" s="11">
        <v>46093</v>
      </c>
      <c r="C15" s="12" t="s">
        <v>114</v>
      </c>
      <c r="D15" s="33">
        <v>1</v>
      </c>
      <c r="E15" s="33"/>
      <c r="F15" s="21"/>
    </row>
    <row r="16" ht="26" customHeight="1" spans="1:6">
      <c r="A16" s="16">
        <v>14</v>
      </c>
      <c r="B16" s="11">
        <v>46093</v>
      </c>
      <c r="C16" s="12" t="s">
        <v>115</v>
      </c>
      <c r="D16" s="33">
        <v>1</v>
      </c>
      <c r="E16" s="33"/>
      <c r="F16" s="21"/>
    </row>
    <row r="17" ht="26" customHeight="1" spans="1:6">
      <c r="A17" s="16">
        <v>15</v>
      </c>
      <c r="B17" s="11">
        <v>46093</v>
      </c>
      <c r="C17" s="12" t="s">
        <v>116</v>
      </c>
      <c r="D17" s="33">
        <v>1</v>
      </c>
      <c r="E17" s="33"/>
      <c r="F17" s="21"/>
    </row>
    <row r="18" ht="26" customHeight="1" spans="1:6">
      <c r="A18" s="16">
        <v>16</v>
      </c>
      <c r="B18" s="11">
        <v>46093</v>
      </c>
      <c r="C18" s="12" t="s">
        <v>117</v>
      </c>
      <c r="D18" s="33">
        <v>1</v>
      </c>
      <c r="E18" s="33"/>
      <c r="F18" s="21"/>
    </row>
    <row r="19" ht="26" customHeight="1" spans="1:6">
      <c r="A19" s="16">
        <v>17</v>
      </c>
      <c r="B19" s="11">
        <v>46093</v>
      </c>
      <c r="C19" s="12" t="s">
        <v>118</v>
      </c>
      <c r="D19" s="33">
        <v>1</v>
      </c>
      <c r="E19" s="33"/>
      <c r="F19" s="21"/>
    </row>
    <row r="20" ht="26" customHeight="1" spans="1:6">
      <c r="A20" s="16">
        <v>18</v>
      </c>
      <c r="B20" s="11">
        <v>46093</v>
      </c>
      <c r="C20" s="12" t="s">
        <v>119</v>
      </c>
      <c r="D20" s="33">
        <v>1</v>
      </c>
      <c r="E20" s="33"/>
      <c r="F20" s="21"/>
    </row>
    <row r="21" ht="26" customHeight="1" spans="1:6">
      <c r="A21" s="16">
        <v>19</v>
      </c>
      <c r="B21" s="11">
        <v>46093</v>
      </c>
      <c r="C21" s="12" t="s">
        <v>120</v>
      </c>
      <c r="D21" s="33">
        <v>1</v>
      </c>
      <c r="E21" s="33"/>
      <c r="F21" s="21"/>
    </row>
    <row r="22" ht="26" customHeight="1" spans="1:6">
      <c r="A22" s="16">
        <v>20</v>
      </c>
      <c r="B22" s="11">
        <v>46093</v>
      </c>
      <c r="C22" s="12" t="s">
        <v>121</v>
      </c>
      <c r="D22" s="33">
        <v>1</v>
      </c>
      <c r="E22" s="33"/>
      <c r="F22" s="21"/>
    </row>
    <row r="23" ht="26" customHeight="1" spans="1:6">
      <c r="A23" s="16">
        <v>21</v>
      </c>
      <c r="B23" s="11">
        <v>46093</v>
      </c>
      <c r="C23" s="12" t="s">
        <v>122</v>
      </c>
      <c r="D23" s="33">
        <v>1</v>
      </c>
      <c r="E23" s="33"/>
      <c r="F23" s="21"/>
    </row>
    <row r="24" ht="26" customHeight="1" spans="1:6">
      <c r="A24" s="16">
        <v>22</v>
      </c>
      <c r="B24" s="11">
        <v>46093</v>
      </c>
      <c r="C24" s="12" t="s">
        <v>23</v>
      </c>
      <c r="D24" s="33">
        <v>1</v>
      </c>
      <c r="E24" s="33"/>
      <c r="F24" s="21"/>
    </row>
    <row r="25" ht="26" customHeight="1" spans="1:6">
      <c r="A25" s="16">
        <v>23</v>
      </c>
      <c r="B25" s="11">
        <v>46093</v>
      </c>
      <c r="C25" s="12" t="s">
        <v>24</v>
      </c>
      <c r="D25" s="33">
        <v>1</v>
      </c>
      <c r="E25" s="33"/>
      <c r="F25" s="21"/>
    </row>
    <row r="26" ht="26" customHeight="1" spans="1:6">
      <c r="A26" s="16">
        <v>24</v>
      </c>
      <c r="B26" s="11">
        <v>46093</v>
      </c>
      <c r="C26" s="12" t="s">
        <v>25</v>
      </c>
      <c r="D26" s="33">
        <v>1</v>
      </c>
      <c r="E26" s="33"/>
      <c r="F26" s="21"/>
    </row>
    <row r="27" ht="26" customHeight="1" spans="1:6">
      <c r="A27" s="16">
        <v>25</v>
      </c>
      <c r="B27" s="11">
        <v>46093</v>
      </c>
      <c r="C27" s="12" t="s">
        <v>26</v>
      </c>
      <c r="D27" s="33">
        <v>1</v>
      </c>
      <c r="E27" s="33"/>
      <c r="F27" s="21"/>
    </row>
    <row r="28" ht="26" customHeight="1" spans="1:6">
      <c r="A28" s="16">
        <v>26</v>
      </c>
      <c r="B28" s="11">
        <v>46093</v>
      </c>
      <c r="C28" s="12" t="s">
        <v>27</v>
      </c>
      <c r="D28" s="33">
        <v>1</v>
      </c>
      <c r="E28" s="33"/>
      <c r="F28" s="21"/>
    </row>
    <row r="29" ht="26" customHeight="1" spans="1:6">
      <c r="A29" s="16">
        <v>27</v>
      </c>
      <c r="B29" s="11">
        <v>46093</v>
      </c>
      <c r="C29" s="12" t="s">
        <v>33</v>
      </c>
      <c r="D29" s="33">
        <v>1</v>
      </c>
      <c r="E29" s="33"/>
      <c r="F29" s="21"/>
    </row>
    <row r="30" ht="26" customHeight="1" spans="1:6">
      <c r="A30" s="16">
        <v>28</v>
      </c>
      <c r="B30" s="11">
        <v>46093</v>
      </c>
      <c r="C30" s="12" t="s">
        <v>35</v>
      </c>
      <c r="D30" s="33">
        <v>1</v>
      </c>
      <c r="E30" s="33"/>
      <c r="F30" s="21"/>
    </row>
    <row r="31" ht="26" customHeight="1" spans="1:6">
      <c r="A31" s="16">
        <v>29</v>
      </c>
      <c r="B31" s="11">
        <v>46093</v>
      </c>
      <c r="C31" s="12" t="s">
        <v>123</v>
      </c>
      <c r="D31" s="33">
        <v>1</v>
      </c>
      <c r="E31" s="33"/>
      <c r="F31" s="21"/>
    </row>
    <row r="32" ht="26" customHeight="1" spans="1:6">
      <c r="A32" s="16">
        <v>30</v>
      </c>
      <c r="B32" s="11">
        <v>46093</v>
      </c>
      <c r="C32" s="12" t="s">
        <v>124</v>
      </c>
      <c r="D32" s="33">
        <v>1</v>
      </c>
      <c r="E32" s="33"/>
      <c r="F32" s="21"/>
    </row>
    <row r="33" ht="26" customHeight="1" spans="1:6">
      <c r="A33" s="16">
        <v>31</v>
      </c>
      <c r="B33" s="11">
        <v>46093</v>
      </c>
      <c r="C33" s="12" t="s">
        <v>125</v>
      </c>
      <c r="D33" s="33">
        <v>1</v>
      </c>
      <c r="E33" s="33"/>
      <c r="F33" s="21"/>
    </row>
    <row r="34" ht="26" customHeight="1" spans="1:6">
      <c r="A34" s="16">
        <v>32</v>
      </c>
      <c r="B34" s="11">
        <v>46093</v>
      </c>
      <c r="C34" s="12" t="s">
        <v>29</v>
      </c>
      <c r="D34" s="33">
        <v>1</v>
      </c>
      <c r="E34" s="33"/>
      <c r="F34" s="21"/>
    </row>
    <row r="35" ht="26" customHeight="1" spans="1:6">
      <c r="A35" s="16">
        <v>33</v>
      </c>
      <c r="B35" s="11">
        <v>46093</v>
      </c>
      <c r="C35" s="12" t="s">
        <v>30</v>
      </c>
      <c r="D35" s="33">
        <v>1</v>
      </c>
      <c r="E35" s="33"/>
      <c r="F35" s="21"/>
    </row>
    <row r="36" ht="26" customHeight="1" spans="1:6">
      <c r="A36" s="16">
        <v>34</v>
      </c>
      <c r="B36" s="11">
        <v>46093</v>
      </c>
      <c r="C36" s="12" t="s">
        <v>31</v>
      </c>
      <c r="D36" s="33">
        <v>1</v>
      </c>
      <c r="E36" s="33"/>
      <c r="F36" s="21"/>
    </row>
    <row r="37" ht="26" customHeight="1" spans="1:6">
      <c r="A37" s="16">
        <v>35</v>
      </c>
      <c r="B37" s="11">
        <v>46093</v>
      </c>
      <c r="C37" s="12" t="s">
        <v>126</v>
      </c>
      <c r="D37" s="33">
        <v>1</v>
      </c>
      <c r="E37" s="33"/>
      <c r="F37" s="21"/>
    </row>
    <row r="38" ht="26" customHeight="1" spans="1:6">
      <c r="A38" s="16">
        <v>36</v>
      </c>
      <c r="B38" s="11">
        <v>46093</v>
      </c>
      <c r="C38" s="12" t="s">
        <v>127</v>
      </c>
      <c r="D38" s="33">
        <v>1</v>
      </c>
      <c r="E38" s="33"/>
      <c r="F38" s="21"/>
    </row>
    <row r="39" spans="1:6">
      <c r="D39" s="49">
        <f>SUM(D3:D38)</f>
        <v>36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85"/>
  <sheetViews>
    <sheetView workbookViewId="0">
      <pane ySplit="2" topLeftCell="A59" activePane="bottomLeft" state="frozen"/>
      <selection/>
      <selection pane="bottomLeft" activeCell="P73" sqref="P73"/>
    </sheetView>
  </sheetViews>
  <sheetFormatPr defaultColWidth="9.14285714285714" defaultRowHeight="23" customHeight="1"/>
  <cols>
    <col min="1" max="1" width="9.14285714285714" style="49"/>
    <col min="2" max="2" width="10.7142857142857" style="49" customWidth="1"/>
    <col min="3" max="3" width="10" style="49" customWidth="1"/>
    <col min="4" max="7" width="7.42857142857143" style="49" customWidth="1"/>
    <col min="8" max="8" width="10.4285714285714" style="49" customWidth="1"/>
    <col min="9" max="9" width="7.42857142857143" style="49" customWidth="1"/>
    <col min="10" max="10" width="9.85714285714286" style="49" customWidth="1"/>
    <col min="11" max="20" width="7" style="49" customWidth="1"/>
    <col min="21" max="16384" width="9.14285714285714" style="49"/>
  </cols>
  <sheetData>
    <row r="1" s="45" customFormat="1" customHeight="1" spans="1:23">
      <c r="A1" s="50" t="s">
        <v>128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="46" customFormat="1" ht="20" customHeight="1" spans="1:23">
      <c r="A2" s="52" t="s">
        <v>1</v>
      </c>
      <c r="B2" s="52" t="s">
        <v>2</v>
      </c>
      <c r="C2" s="53" t="s">
        <v>129</v>
      </c>
      <c r="D2" s="54">
        <v>46090</v>
      </c>
      <c r="E2" s="54">
        <v>46093</v>
      </c>
      <c r="F2" s="54">
        <v>46097</v>
      </c>
      <c r="G2" s="55">
        <v>46100</v>
      </c>
      <c r="H2" s="55">
        <v>46104</v>
      </c>
      <c r="I2" s="55">
        <v>46107</v>
      </c>
      <c r="J2" s="55">
        <v>46111</v>
      </c>
      <c r="K2" s="55">
        <v>46114</v>
      </c>
      <c r="L2" s="55">
        <v>46119</v>
      </c>
      <c r="M2" s="55">
        <v>46125</v>
      </c>
      <c r="N2" s="55">
        <v>46128</v>
      </c>
      <c r="O2" s="55">
        <v>46132</v>
      </c>
      <c r="P2" s="55">
        <v>46135</v>
      </c>
      <c r="Q2" s="55"/>
      <c r="R2" s="55"/>
      <c r="S2" s="55"/>
      <c r="T2" s="55"/>
      <c r="U2" s="56" t="s">
        <v>130</v>
      </c>
      <c r="V2" s="46" t="s">
        <v>131</v>
      </c>
    </row>
    <row r="3" s="38" customFormat="1" customHeight="1" spans="1:23">
      <c r="A3" s="16">
        <v>1</v>
      </c>
      <c r="B3" s="12" t="s">
        <v>102</v>
      </c>
      <c r="C3" s="57">
        <v>100</v>
      </c>
      <c r="D3" s="57">
        <v>3</v>
      </c>
      <c r="E3" s="57">
        <v>2</v>
      </c>
      <c r="F3" s="57">
        <v>3</v>
      </c>
      <c r="G3" s="16">
        <v>2</v>
      </c>
      <c r="H3" s="57">
        <v>3</v>
      </c>
      <c r="I3" s="57">
        <v>2</v>
      </c>
      <c r="J3" s="57">
        <v>3</v>
      </c>
      <c r="K3" s="57">
        <v>2</v>
      </c>
      <c r="L3" s="58">
        <v>4</v>
      </c>
      <c r="M3" s="59">
        <v>3</v>
      </c>
      <c r="N3" s="59">
        <v>2</v>
      </c>
      <c r="O3" s="57">
        <v>3</v>
      </c>
      <c r="P3" s="57">
        <v>2</v>
      </c>
      <c r="Q3" s="57"/>
      <c r="R3" s="57"/>
      <c r="S3" s="57"/>
      <c r="T3" s="16"/>
      <c r="U3" s="16">
        <f>SUM(D3:T3)</f>
        <v>34</v>
      </c>
      <c r="V3" s="38">
        <f>C3-U3</f>
        <v>66</v>
      </c>
    </row>
    <row r="4" s="38" customFormat="1" customHeight="1" spans="1:23">
      <c r="A4" s="16">
        <v>2</v>
      </c>
      <c r="B4" s="12" t="s">
        <v>103</v>
      </c>
      <c r="C4" s="57">
        <v>100</v>
      </c>
      <c r="D4" s="57">
        <v>3</v>
      </c>
      <c r="E4" s="57">
        <v>2</v>
      </c>
      <c r="F4" s="57">
        <v>3</v>
      </c>
      <c r="G4" s="16">
        <v>2</v>
      </c>
      <c r="H4" s="57">
        <v>3</v>
      </c>
      <c r="I4" s="57">
        <v>2</v>
      </c>
      <c r="J4" s="57">
        <v>3</v>
      </c>
      <c r="K4" s="57">
        <v>2</v>
      </c>
      <c r="L4" s="58">
        <v>4</v>
      </c>
      <c r="M4" s="59">
        <v>3</v>
      </c>
      <c r="N4" s="59">
        <v>2</v>
      </c>
      <c r="O4" s="57">
        <v>3</v>
      </c>
      <c r="P4" s="57">
        <v>2</v>
      </c>
      <c r="Q4" s="57"/>
      <c r="R4" s="57"/>
      <c r="S4" s="57"/>
      <c r="T4" s="16"/>
      <c r="U4" s="16">
        <f>SUM(D4:T4)</f>
        <v>34</v>
      </c>
      <c r="V4" s="38">
        <f t="shared" ref="V4:V66" si="0">C4-U4</f>
        <v>66</v>
      </c>
      <c r="W4" s="49"/>
    </row>
    <row r="5" s="38" customFormat="1" customHeight="1" spans="1:23">
      <c r="A5" s="16">
        <v>3</v>
      </c>
      <c r="B5" s="12" t="s">
        <v>104</v>
      </c>
      <c r="C5" s="57">
        <v>100</v>
      </c>
      <c r="D5" s="57">
        <v>3</v>
      </c>
      <c r="E5" s="57">
        <v>2</v>
      </c>
      <c r="F5" s="57">
        <v>3</v>
      </c>
      <c r="G5" s="16">
        <v>2</v>
      </c>
      <c r="H5" s="57">
        <v>3</v>
      </c>
      <c r="I5" s="57">
        <v>2</v>
      </c>
      <c r="J5" s="57">
        <v>3</v>
      </c>
      <c r="K5" s="57">
        <v>2</v>
      </c>
      <c r="L5" s="58">
        <v>4</v>
      </c>
      <c r="M5" s="59">
        <v>3</v>
      </c>
      <c r="N5" s="59">
        <v>2</v>
      </c>
      <c r="O5" s="57">
        <v>3</v>
      </c>
      <c r="P5" s="57">
        <v>2</v>
      </c>
      <c r="Q5" s="57"/>
      <c r="R5" s="57"/>
      <c r="S5" s="57"/>
      <c r="T5" s="16"/>
      <c r="U5" s="16">
        <f>SUM(D5:T5)</f>
        <v>34</v>
      </c>
      <c r="V5" s="38">
        <f t="shared" si="0"/>
        <v>66</v>
      </c>
      <c r="W5" s="49"/>
    </row>
    <row r="6" s="38" customFormat="1" customHeight="1" spans="1:23">
      <c r="A6" s="16">
        <v>4</v>
      </c>
      <c r="B6" s="12" t="s">
        <v>105</v>
      </c>
      <c r="C6" s="57">
        <v>100</v>
      </c>
      <c r="D6" s="57">
        <v>3</v>
      </c>
      <c r="E6" s="57">
        <v>2</v>
      </c>
      <c r="F6" s="57">
        <v>3</v>
      </c>
      <c r="G6" s="16">
        <v>2</v>
      </c>
      <c r="H6" s="57">
        <v>3</v>
      </c>
      <c r="I6" s="57">
        <v>2</v>
      </c>
      <c r="J6" s="57">
        <v>3</v>
      </c>
      <c r="K6" s="57">
        <v>2</v>
      </c>
      <c r="L6" s="58">
        <v>4</v>
      </c>
      <c r="M6" s="59">
        <v>3</v>
      </c>
      <c r="N6" s="59">
        <v>2</v>
      </c>
      <c r="O6" s="57">
        <v>3</v>
      </c>
      <c r="P6" s="57">
        <v>2</v>
      </c>
      <c r="Q6" s="57"/>
      <c r="R6" s="57"/>
      <c r="S6" s="57"/>
      <c r="T6" s="16"/>
      <c r="U6" s="16">
        <f t="shared" ref="U6:U40" si="1">SUM(D6:T6)</f>
        <v>34</v>
      </c>
      <c r="V6" s="38">
        <f t="shared" si="0"/>
        <v>66</v>
      </c>
    </row>
    <row r="7" s="38" customFormat="1" customHeight="1" spans="1:23">
      <c r="A7" s="16">
        <v>5</v>
      </c>
      <c r="B7" s="12" t="s">
        <v>106</v>
      </c>
      <c r="C7" s="57">
        <v>100</v>
      </c>
      <c r="D7" s="57">
        <v>3</v>
      </c>
      <c r="E7" s="57">
        <v>2</v>
      </c>
      <c r="F7" s="57">
        <v>3</v>
      </c>
      <c r="G7" s="16">
        <v>2</v>
      </c>
      <c r="H7" s="57">
        <v>3</v>
      </c>
      <c r="I7" s="57">
        <v>2</v>
      </c>
      <c r="J7" s="57">
        <v>3</v>
      </c>
      <c r="K7" s="57">
        <v>2</v>
      </c>
      <c r="L7" s="58">
        <v>4</v>
      </c>
      <c r="M7" s="59">
        <v>3</v>
      </c>
      <c r="N7" s="59">
        <v>2</v>
      </c>
      <c r="O7" s="57">
        <v>3</v>
      </c>
      <c r="P7" s="57">
        <v>2</v>
      </c>
      <c r="Q7" s="57"/>
      <c r="R7" s="57"/>
      <c r="S7" s="57"/>
      <c r="T7" s="16"/>
      <c r="U7" s="16">
        <f t="shared" si="1"/>
        <v>34</v>
      </c>
      <c r="V7" s="38">
        <f t="shared" si="0"/>
        <v>66</v>
      </c>
    </row>
    <row r="8" s="38" customFormat="1" customHeight="1" spans="1:23">
      <c r="A8" s="16">
        <v>6</v>
      </c>
      <c r="B8" s="12" t="s">
        <v>107</v>
      </c>
      <c r="C8" s="57">
        <v>100</v>
      </c>
      <c r="D8" s="57">
        <v>3</v>
      </c>
      <c r="E8" s="57">
        <v>2</v>
      </c>
      <c r="F8" s="57">
        <v>3</v>
      </c>
      <c r="G8" s="16">
        <v>2</v>
      </c>
      <c r="H8" s="57">
        <v>3</v>
      </c>
      <c r="I8" s="57">
        <v>2</v>
      </c>
      <c r="J8" s="57">
        <v>3</v>
      </c>
      <c r="K8" s="57">
        <v>2</v>
      </c>
      <c r="L8" s="58">
        <v>4</v>
      </c>
      <c r="M8" s="59">
        <v>3</v>
      </c>
      <c r="N8" s="59">
        <v>2</v>
      </c>
      <c r="O8" s="57">
        <v>3</v>
      </c>
      <c r="P8" s="57">
        <v>2</v>
      </c>
      <c r="Q8" s="57"/>
      <c r="R8" s="57"/>
      <c r="S8" s="57"/>
      <c r="T8" s="16"/>
      <c r="U8" s="16">
        <f t="shared" si="1"/>
        <v>34</v>
      </c>
      <c r="V8" s="38">
        <f t="shared" si="0"/>
        <v>66</v>
      </c>
    </row>
    <row r="9" s="38" customFormat="1" customHeight="1" spans="1:23">
      <c r="A9" s="16">
        <v>7</v>
      </c>
      <c r="B9" s="12" t="s">
        <v>108</v>
      </c>
      <c r="C9" s="57">
        <v>100</v>
      </c>
      <c r="D9" s="57">
        <v>3</v>
      </c>
      <c r="E9" s="57">
        <v>2</v>
      </c>
      <c r="F9" s="57">
        <v>3</v>
      </c>
      <c r="G9" s="16">
        <v>2</v>
      </c>
      <c r="H9" s="57">
        <v>3</v>
      </c>
      <c r="I9" s="57">
        <v>2</v>
      </c>
      <c r="J9" s="57">
        <v>3</v>
      </c>
      <c r="K9" s="57">
        <v>2</v>
      </c>
      <c r="L9" s="58">
        <v>4</v>
      </c>
      <c r="M9" s="59">
        <v>3</v>
      </c>
      <c r="N9" s="59">
        <v>2</v>
      </c>
      <c r="O9" s="57">
        <v>3</v>
      </c>
      <c r="P9" s="57">
        <v>2</v>
      </c>
      <c r="Q9" s="57"/>
      <c r="R9" s="57"/>
      <c r="S9" s="57"/>
      <c r="T9" s="16"/>
      <c r="U9" s="16">
        <f t="shared" si="1"/>
        <v>34</v>
      </c>
      <c r="V9" s="38">
        <f t="shared" si="0"/>
        <v>66</v>
      </c>
    </row>
    <row r="10" customHeight="1" spans="1:23">
      <c r="A10" s="16">
        <v>8</v>
      </c>
      <c r="B10" s="12" t="s">
        <v>109</v>
      </c>
      <c r="C10" s="57">
        <v>100</v>
      </c>
      <c r="D10" s="57">
        <v>3</v>
      </c>
      <c r="E10" s="57">
        <v>2</v>
      </c>
      <c r="F10" s="57">
        <v>3</v>
      </c>
      <c r="G10" s="16">
        <v>2</v>
      </c>
      <c r="H10" s="57">
        <v>3</v>
      </c>
      <c r="I10" s="57">
        <v>2</v>
      </c>
      <c r="J10" s="57">
        <v>3</v>
      </c>
      <c r="K10" s="57">
        <v>2</v>
      </c>
      <c r="L10" s="58">
        <v>4</v>
      </c>
      <c r="M10" s="59">
        <v>3</v>
      </c>
      <c r="N10" s="59">
        <v>2</v>
      </c>
      <c r="O10" s="57">
        <v>3</v>
      </c>
      <c r="P10" s="57">
        <v>2</v>
      </c>
      <c r="Q10" s="57"/>
      <c r="R10" s="57"/>
      <c r="S10" s="57"/>
      <c r="T10" s="60"/>
      <c r="U10" s="16">
        <f t="shared" si="1"/>
        <v>34</v>
      </c>
      <c r="V10" s="38">
        <f t="shared" si="0"/>
        <v>66</v>
      </c>
    </row>
    <row r="11" customHeight="1" spans="1:23">
      <c r="A11" s="16">
        <v>9</v>
      </c>
      <c r="B11" s="12" t="s">
        <v>110</v>
      </c>
      <c r="C11" s="57">
        <v>100</v>
      </c>
      <c r="D11" s="57">
        <v>3</v>
      </c>
      <c r="E11" s="57">
        <v>2</v>
      </c>
      <c r="F11" s="57">
        <v>3</v>
      </c>
      <c r="G11" s="16">
        <v>2</v>
      </c>
      <c r="H11" s="57">
        <v>3</v>
      </c>
      <c r="I11" s="57">
        <v>2</v>
      </c>
      <c r="J11" s="57">
        <v>3</v>
      </c>
      <c r="K11" s="57">
        <v>2</v>
      </c>
      <c r="L11" s="58">
        <v>4</v>
      </c>
      <c r="M11" s="59">
        <v>3</v>
      </c>
      <c r="N11" s="59">
        <v>2</v>
      </c>
      <c r="O11" s="57">
        <v>3</v>
      </c>
      <c r="P11" s="57">
        <v>2</v>
      </c>
      <c r="Q11" s="57"/>
      <c r="R11" s="57"/>
      <c r="S11" s="57"/>
      <c r="T11" s="60"/>
      <c r="U11" s="16">
        <f t="shared" si="1"/>
        <v>34</v>
      </c>
      <c r="V11" s="38">
        <f t="shared" si="0"/>
        <v>66</v>
      </c>
    </row>
    <row r="12" customHeight="1" spans="1:23">
      <c r="A12" s="16">
        <v>10</v>
      </c>
      <c r="B12" s="12" t="s">
        <v>111</v>
      </c>
      <c r="C12" s="57">
        <v>100</v>
      </c>
      <c r="D12" s="57">
        <v>3</v>
      </c>
      <c r="E12" s="57">
        <v>2</v>
      </c>
      <c r="F12" s="57">
        <v>3</v>
      </c>
      <c r="G12" s="16">
        <v>2</v>
      </c>
      <c r="H12" s="57">
        <v>3</v>
      </c>
      <c r="I12" s="57">
        <v>2</v>
      </c>
      <c r="J12" s="57">
        <v>3</v>
      </c>
      <c r="K12" s="57">
        <v>2</v>
      </c>
      <c r="L12" s="58">
        <v>4</v>
      </c>
      <c r="M12" s="59">
        <v>3</v>
      </c>
      <c r="N12" s="59">
        <v>2</v>
      </c>
      <c r="O12" s="57">
        <v>3</v>
      </c>
      <c r="P12" s="57">
        <v>2</v>
      </c>
      <c r="Q12" s="57"/>
      <c r="R12" s="57"/>
      <c r="S12" s="57"/>
      <c r="T12" s="60"/>
      <c r="U12" s="16">
        <f t="shared" si="1"/>
        <v>34</v>
      </c>
      <c r="V12" s="38">
        <f t="shared" si="0"/>
        <v>66</v>
      </c>
    </row>
    <row r="13" customHeight="1" spans="1:23">
      <c r="A13" s="16">
        <v>11</v>
      </c>
      <c r="B13" s="12" t="s">
        <v>112</v>
      </c>
      <c r="C13" s="57">
        <v>100</v>
      </c>
      <c r="D13" s="57">
        <v>3</v>
      </c>
      <c r="E13" s="57">
        <v>2</v>
      </c>
      <c r="F13" s="57">
        <v>3</v>
      </c>
      <c r="G13" s="16">
        <v>2</v>
      </c>
      <c r="H13" s="57">
        <v>3</v>
      </c>
      <c r="I13" s="57">
        <v>2</v>
      </c>
      <c r="J13" s="57">
        <v>3</v>
      </c>
      <c r="K13" s="57">
        <v>2</v>
      </c>
      <c r="L13" s="58">
        <v>4</v>
      </c>
      <c r="M13" s="59">
        <v>3</v>
      </c>
      <c r="N13" s="59">
        <v>2</v>
      </c>
      <c r="O13" s="57">
        <v>3</v>
      </c>
      <c r="P13" s="57">
        <v>2</v>
      </c>
      <c r="Q13" s="57"/>
      <c r="R13" s="57"/>
      <c r="S13" s="57"/>
      <c r="T13" s="60"/>
      <c r="U13" s="16">
        <f t="shared" si="1"/>
        <v>34</v>
      </c>
      <c r="V13" s="38">
        <f t="shared" si="0"/>
        <v>66</v>
      </c>
    </row>
    <row r="14" customHeight="1" spans="1:23">
      <c r="A14" s="16">
        <v>12</v>
      </c>
      <c r="B14" s="12" t="s">
        <v>113</v>
      </c>
      <c r="C14" s="57">
        <v>100</v>
      </c>
      <c r="D14" s="57">
        <v>3</v>
      </c>
      <c r="E14" s="57">
        <v>2</v>
      </c>
      <c r="F14" s="57">
        <v>3</v>
      </c>
      <c r="G14" s="16">
        <v>2</v>
      </c>
      <c r="H14" s="57">
        <v>3</v>
      </c>
      <c r="I14" s="57">
        <v>2</v>
      </c>
      <c r="J14" s="57">
        <v>3</v>
      </c>
      <c r="K14" s="57">
        <v>2</v>
      </c>
      <c r="L14" s="58">
        <v>4</v>
      </c>
      <c r="M14" s="59">
        <v>3</v>
      </c>
      <c r="N14" s="59">
        <v>2</v>
      </c>
      <c r="O14" s="57">
        <v>3</v>
      </c>
      <c r="P14" s="57">
        <v>2</v>
      </c>
      <c r="Q14" s="57"/>
      <c r="R14" s="57"/>
      <c r="S14" s="57"/>
      <c r="T14" s="60"/>
      <c r="U14" s="16">
        <f t="shared" si="1"/>
        <v>34</v>
      </c>
      <c r="V14" s="38">
        <f t="shared" si="0"/>
        <v>66</v>
      </c>
    </row>
    <row r="15" customHeight="1" spans="1:23">
      <c r="A15" s="16">
        <v>13</v>
      </c>
      <c r="B15" s="12" t="s">
        <v>114</v>
      </c>
      <c r="C15" s="57">
        <v>100</v>
      </c>
      <c r="D15" s="57">
        <v>3</v>
      </c>
      <c r="E15" s="57">
        <v>2</v>
      </c>
      <c r="F15" s="57">
        <v>3</v>
      </c>
      <c r="G15" s="16">
        <v>2</v>
      </c>
      <c r="H15" s="57">
        <v>3</v>
      </c>
      <c r="I15" s="57">
        <v>2</v>
      </c>
      <c r="J15" s="57">
        <v>3</v>
      </c>
      <c r="K15" s="57">
        <v>2</v>
      </c>
      <c r="L15" s="58">
        <v>4</v>
      </c>
      <c r="M15" s="59">
        <v>3</v>
      </c>
      <c r="N15" s="59">
        <v>2</v>
      </c>
      <c r="O15" s="57">
        <v>3</v>
      </c>
      <c r="P15" s="57">
        <v>2</v>
      </c>
      <c r="Q15" s="57"/>
      <c r="R15" s="57"/>
      <c r="S15" s="57"/>
      <c r="T15" s="60"/>
      <c r="U15" s="16">
        <f t="shared" si="1"/>
        <v>34</v>
      </c>
      <c r="V15" s="38">
        <f t="shared" si="0"/>
        <v>66</v>
      </c>
    </row>
    <row r="16" customHeight="1" spans="1:23">
      <c r="A16" s="16">
        <v>14</v>
      </c>
      <c r="B16" s="12" t="s">
        <v>115</v>
      </c>
      <c r="C16" s="57">
        <v>100</v>
      </c>
      <c r="D16" s="57">
        <v>3</v>
      </c>
      <c r="E16" s="57">
        <v>2</v>
      </c>
      <c r="F16" s="57">
        <v>3</v>
      </c>
      <c r="G16" s="16">
        <v>2</v>
      </c>
      <c r="H16" s="57">
        <v>3</v>
      </c>
      <c r="I16" s="57">
        <v>2</v>
      </c>
      <c r="J16" s="57">
        <v>3</v>
      </c>
      <c r="K16" s="57">
        <v>2</v>
      </c>
      <c r="L16" s="58">
        <v>4</v>
      </c>
      <c r="M16" s="59">
        <v>3</v>
      </c>
      <c r="N16" s="59">
        <v>2</v>
      </c>
      <c r="O16" s="57">
        <v>3</v>
      </c>
      <c r="P16" s="57">
        <v>2</v>
      </c>
      <c r="Q16" s="57"/>
      <c r="R16" s="57"/>
      <c r="S16" s="57"/>
      <c r="T16" s="60"/>
      <c r="U16" s="16">
        <f t="shared" si="1"/>
        <v>34</v>
      </c>
      <c r="V16" s="38">
        <f t="shared" si="0"/>
        <v>66</v>
      </c>
    </row>
    <row r="17" customHeight="1" spans="1:22">
      <c r="A17" s="16">
        <v>15</v>
      </c>
      <c r="B17" s="12" t="s">
        <v>116</v>
      </c>
      <c r="C17" s="57">
        <v>100</v>
      </c>
      <c r="D17" s="57">
        <v>3</v>
      </c>
      <c r="E17" s="57">
        <v>2</v>
      </c>
      <c r="F17" s="57">
        <v>3</v>
      </c>
      <c r="G17" s="16">
        <v>2</v>
      </c>
      <c r="H17" s="57">
        <v>3</v>
      </c>
      <c r="I17" s="57">
        <v>2</v>
      </c>
      <c r="J17" s="57">
        <v>3</v>
      </c>
      <c r="K17" s="57">
        <v>2</v>
      </c>
      <c r="L17" s="58">
        <v>4</v>
      </c>
      <c r="M17" s="59">
        <v>3</v>
      </c>
      <c r="N17" s="59">
        <v>2</v>
      </c>
      <c r="O17" s="57">
        <v>3</v>
      </c>
      <c r="P17" s="57">
        <v>2</v>
      </c>
      <c r="Q17" s="57"/>
      <c r="R17" s="57"/>
      <c r="S17" s="57"/>
      <c r="T17" s="60"/>
      <c r="U17" s="16">
        <f t="shared" si="1"/>
        <v>34</v>
      </c>
      <c r="V17" s="38">
        <f t="shared" si="0"/>
        <v>66</v>
      </c>
    </row>
    <row r="18" customHeight="1" spans="1:22">
      <c r="A18" s="16">
        <v>16</v>
      </c>
      <c r="B18" s="12" t="s">
        <v>117</v>
      </c>
      <c r="C18" s="57">
        <v>100</v>
      </c>
      <c r="D18" s="57">
        <v>3</v>
      </c>
      <c r="E18" s="57">
        <v>2</v>
      </c>
      <c r="F18" s="57">
        <v>3</v>
      </c>
      <c r="G18" s="16">
        <v>2</v>
      </c>
      <c r="H18" s="57">
        <v>3</v>
      </c>
      <c r="I18" s="57">
        <v>2</v>
      </c>
      <c r="J18" s="57">
        <v>3</v>
      </c>
      <c r="K18" s="57">
        <v>2</v>
      </c>
      <c r="L18" s="58">
        <v>4</v>
      </c>
      <c r="M18" s="59">
        <v>3</v>
      </c>
      <c r="N18" s="59">
        <v>2</v>
      </c>
      <c r="O18" s="57">
        <v>3</v>
      </c>
      <c r="P18" s="57">
        <v>2</v>
      </c>
      <c r="Q18" s="57"/>
      <c r="R18" s="57"/>
      <c r="S18" s="57"/>
      <c r="T18" s="60"/>
      <c r="U18" s="16">
        <f t="shared" si="1"/>
        <v>34</v>
      </c>
      <c r="V18" s="38">
        <f t="shared" si="0"/>
        <v>66</v>
      </c>
    </row>
    <row r="19" customHeight="1" spans="1:22">
      <c r="A19" s="16">
        <v>17</v>
      </c>
      <c r="B19" s="12" t="s">
        <v>118</v>
      </c>
      <c r="C19" s="57">
        <v>100</v>
      </c>
      <c r="D19" s="57">
        <v>3</v>
      </c>
      <c r="E19" s="57">
        <v>2</v>
      </c>
      <c r="F19" s="57">
        <v>3</v>
      </c>
      <c r="G19" s="16">
        <v>2</v>
      </c>
      <c r="H19" s="57">
        <v>3</v>
      </c>
      <c r="I19" s="57">
        <v>2</v>
      </c>
      <c r="J19" s="57">
        <v>3</v>
      </c>
      <c r="K19" s="57">
        <v>2</v>
      </c>
      <c r="L19" s="58">
        <v>4</v>
      </c>
      <c r="M19" s="59">
        <v>3</v>
      </c>
      <c r="N19" s="59">
        <v>2</v>
      </c>
      <c r="O19" s="57">
        <v>3</v>
      </c>
      <c r="P19" s="57">
        <v>2</v>
      </c>
      <c r="Q19" s="57"/>
      <c r="R19" s="57"/>
      <c r="S19" s="57"/>
      <c r="T19" s="60"/>
      <c r="U19" s="16">
        <f t="shared" si="1"/>
        <v>34</v>
      </c>
      <c r="V19" s="38">
        <f t="shared" si="0"/>
        <v>66</v>
      </c>
    </row>
    <row r="20" customHeight="1" spans="1:22">
      <c r="A20" s="16">
        <v>18</v>
      </c>
      <c r="B20" s="12" t="s">
        <v>119</v>
      </c>
      <c r="C20" s="57">
        <v>100</v>
      </c>
      <c r="D20" s="57">
        <v>3</v>
      </c>
      <c r="E20" s="57">
        <v>2</v>
      </c>
      <c r="F20" s="57">
        <v>2</v>
      </c>
      <c r="G20" s="16">
        <v>4</v>
      </c>
      <c r="H20" s="57">
        <v>2</v>
      </c>
      <c r="I20" s="57">
        <v>2</v>
      </c>
      <c r="J20" s="57">
        <v>3</v>
      </c>
      <c r="K20" s="57">
        <v>2</v>
      </c>
      <c r="L20" s="58">
        <v>4</v>
      </c>
      <c r="M20" s="59">
        <v>3</v>
      </c>
      <c r="N20" s="59">
        <v>2</v>
      </c>
      <c r="O20" s="57">
        <v>3</v>
      </c>
      <c r="P20" s="57">
        <v>2</v>
      </c>
      <c r="Q20" s="57"/>
      <c r="R20" s="57"/>
      <c r="S20" s="57"/>
      <c r="T20" s="60"/>
      <c r="U20" s="16">
        <f t="shared" si="1"/>
        <v>34</v>
      </c>
      <c r="V20" s="38">
        <f t="shared" si="0"/>
        <v>66</v>
      </c>
    </row>
    <row r="21" customHeight="1" spans="1:22">
      <c r="A21" s="16">
        <v>19</v>
      </c>
      <c r="B21" s="12" t="s">
        <v>120</v>
      </c>
      <c r="C21" s="57">
        <v>100</v>
      </c>
      <c r="D21" s="57">
        <v>3</v>
      </c>
      <c r="E21" s="57">
        <v>2</v>
      </c>
      <c r="F21" s="57">
        <v>3</v>
      </c>
      <c r="G21" s="16">
        <v>2</v>
      </c>
      <c r="H21" s="57">
        <v>3</v>
      </c>
      <c r="I21" s="57">
        <v>2</v>
      </c>
      <c r="J21" s="57">
        <v>3</v>
      </c>
      <c r="K21" s="57">
        <v>2</v>
      </c>
      <c r="L21" s="58">
        <v>4</v>
      </c>
      <c r="M21" s="59">
        <v>3</v>
      </c>
      <c r="N21" s="59">
        <v>2</v>
      </c>
      <c r="O21" s="57">
        <v>3</v>
      </c>
      <c r="P21" s="57">
        <v>2</v>
      </c>
      <c r="Q21" s="57"/>
      <c r="R21" s="57"/>
      <c r="S21" s="57"/>
      <c r="T21" s="60"/>
      <c r="U21" s="16">
        <f t="shared" si="1"/>
        <v>34</v>
      </c>
      <c r="V21" s="38">
        <f t="shared" si="0"/>
        <v>66</v>
      </c>
    </row>
    <row r="22" customHeight="1" spans="1:22">
      <c r="A22" s="16">
        <v>20</v>
      </c>
      <c r="B22" s="12" t="s">
        <v>121</v>
      </c>
      <c r="C22" s="57">
        <v>100</v>
      </c>
      <c r="D22" s="57">
        <v>3</v>
      </c>
      <c r="E22" s="57">
        <v>2</v>
      </c>
      <c r="F22" s="57">
        <v>3</v>
      </c>
      <c r="G22" s="16">
        <v>2</v>
      </c>
      <c r="H22" s="57">
        <v>3</v>
      </c>
      <c r="I22" s="57">
        <v>2</v>
      </c>
      <c r="J22" s="57">
        <v>3</v>
      </c>
      <c r="K22" s="57">
        <v>2</v>
      </c>
      <c r="L22" s="58">
        <v>4</v>
      </c>
      <c r="M22" s="59">
        <v>3</v>
      </c>
      <c r="N22" s="59">
        <v>2</v>
      </c>
      <c r="O22" s="57">
        <v>3</v>
      </c>
      <c r="P22" s="57">
        <v>2</v>
      </c>
      <c r="Q22" s="57"/>
      <c r="R22" s="57"/>
      <c r="S22" s="57"/>
      <c r="T22" s="60"/>
      <c r="U22" s="16">
        <f t="shared" si="1"/>
        <v>34</v>
      </c>
      <c r="V22" s="38">
        <f t="shared" si="0"/>
        <v>66</v>
      </c>
    </row>
    <row r="23" customHeight="1" spans="1:22">
      <c r="A23" s="16">
        <v>21</v>
      </c>
      <c r="B23" s="12" t="s">
        <v>122</v>
      </c>
      <c r="C23" s="57">
        <v>100</v>
      </c>
      <c r="D23" s="57">
        <v>3</v>
      </c>
      <c r="E23" s="57">
        <v>2</v>
      </c>
      <c r="F23" s="57">
        <v>3</v>
      </c>
      <c r="G23" s="16">
        <v>2</v>
      </c>
      <c r="H23" s="57">
        <v>3</v>
      </c>
      <c r="I23" s="57">
        <v>2</v>
      </c>
      <c r="J23" s="57">
        <v>3</v>
      </c>
      <c r="K23" s="57">
        <v>2</v>
      </c>
      <c r="L23" s="58">
        <v>4</v>
      </c>
      <c r="M23" s="59">
        <v>3</v>
      </c>
      <c r="N23" s="59">
        <v>2</v>
      </c>
      <c r="O23" s="57">
        <v>3</v>
      </c>
      <c r="P23" s="57">
        <v>2</v>
      </c>
      <c r="Q23" s="57"/>
      <c r="R23" s="57"/>
      <c r="S23" s="57"/>
      <c r="T23" s="60"/>
      <c r="U23" s="16">
        <f t="shared" si="1"/>
        <v>34</v>
      </c>
      <c r="V23" s="38">
        <f t="shared" si="0"/>
        <v>66</v>
      </c>
    </row>
    <row r="24" customHeight="1" spans="1:22">
      <c r="A24" s="16">
        <v>22</v>
      </c>
      <c r="B24" s="12" t="s">
        <v>23</v>
      </c>
      <c r="C24" s="57">
        <v>100</v>
      </c>
      <c r="D24" s="57">
        <v>3</v>
      </c>
      <c r="E24" s="57">
        <v>2</v>
      </c>
      <c r="F24" s="57">
        <v>3</v>
      </c>
      <c r="G24" s="16">
        <v>2</v>
      </c>
      <c r="H24" s="57">
        <v>3</v>
      </c>
      <c r="I24" s="57">
        <v>2</v>
      </c>
      <c r="J24" s="57">
        <v>3</v>
      </c>
      <c r="K24" s="57">
        <v>2</v>
      </c>
      <c r="L24" s="58">
        <v>4</v>
      </c>
      <c r="M24" s="59">
        <v>3</v>
      </c>
      <c r="N24" s="59">
        <v>2</v>
      </c>
      <c r="O24" s="57">
        <v>3</v>
      </c>
      <c r="P24" s="57">
        <v>2</v>
      </c>
      <c r="Q24" s="57"/>
      <c r="R24" s="57"/>
      <c r="S24" s="57"/>
      <c r="T24" s="60"/>
      <c r="U24" s="16">
        <f t="shared" si="1"/>
        <v>34</v>
      </c>
      <c r="V24" s="38">
        <f t="shared" si="0"/>
        <v>66</v>
      </c>
    </row>
    <row r="25" customHeight="1" spans="1:22">
      <c r="A25" s="16">
        <v>23</v>
      </c>
      <c r="B25" s="12" t="s">
        <v>24</v>
      </c>
      <c r="C25" s="57">
        <v>100</v>
      </c>
      <c r="D25" s="57">
        <v>3</v>
      </c>
      <c r="E25" s="57">
        <v>2</v>
      </c>
      <c r="F25" s="57">
        <v>3</v>
      </c>
      <c r="G25" s="16">
        <v>2</v>
      </c>
      <c r="H25" s="57">
        <v>3</v>
      </c>
      <c r="I25" s="57">
        <v>2</v>
      </c>
      <c r="J25" s="57">
        <v>3</v>
      </c>
      <c r="K25" s="57">
        <v>2</v>
      </c>
      <c r="L25" s="58">
        <v>4</v>
      </c>
      <c r="M25" s="59">
        <v>3</v>
      </c>
      <c r="N25" s="59">
        <v>2</v>
      </c>
      <c r="O25" s="57">
        <v>3</v>
      </c>
      <c r="P25" s="57">
        <v>2</v>
      </c>
      <c r="Q25" s="57"/>
      <c r="R25" s="57"/>
      <c r="S25" s="57"/>
      <c r="T25" s="60"/>
      <c r="U25" s="16">
        <f t="shared" si="1"/>
        <v>34</v>
      </c>
      <c r="V25" s="38">
        <f t="shared" si="0"/>
        <v>66</v>
      </c>
    </row>
    <row r="26" customHeight="1" spans="1:22">
      <c r="A26" s="16">
        <v>24</v>
      </c>
      <c r="B26" s="12" t="s">
        <v>25</v>
      </c>
      <c r="C26" s="57">
        <v>100</v>
      </c>
      <c r="D26" s="57">
        <v>3</v>
      </c>
      <c r="E26" s="57">
        <v>2</v>
      </c>
      <c r="F26" s="57">
        <v>3</v>
      </c>
      <c r="G26" s="16">
        <v>2</v>
      </c>
      <c r="H26" s="57">
        <v>3</v>
      </c>
      <c r="I26" s="57">
        <v>2</v>
      </c>
      <c r="J26" s="57">
        <v>3</v>
      </c>
      <c r="K26" s="57">
        <v>2</v>
      </c>
      <c r="L26" s="58">
        <v>4</v>
      </c>
      <c r="M26" s="59">
        <v>3</v>
      </c>
      <c r="N26" s="59">
        <v>2</v>
      </c>
      <c r="O26" s="57">
        <v>3</v>
      </c>
      <c r="P26" s="57">
        <v>2</v>
      </c>
      <c r="Q26" s="57"/>
      <c r="R26" s="57"/>
      <c r="S26" s="57"/>
      <c r="T26" s="60"/>
      <c r="U26" s="16">
        <f t="shared" si="1"/>
        <v>34</v>
      </c>
      <c r="V26" s="38">
        <f t="shared" si="0"/>
        <v>66</v>
      </c>
    </row>
    <row r="27" customHeight="1" spans="1:22">
      <c r="A27" s="16">
        <v>25</v>
      </c>
      <c r="B27" s="12" t="s">
        <v>26</v>
      </c>
      <c r="C27" s="57">
        <v>100</v>
      </c>
      <c r="D27" s="57">
        <v>3</v>
      </c>
      <c r="E27" s="57">
        <v>2</v>
      </c>
      <c r="F27" s="57">
        <v>3</v>
      </c>
      <c r="G27" s="16">
        <v>2</v>
      </c>
      <c r="H27" s="57">
        <v>3</v>
      </c>
      <c r="I27" s="61">
        <v>2</v>
      </c>
      <c r="J27" s="57">
        <v>3</v>
      </c>
      <c r="K27" s="57">
        <v>2</v>
      </c>
      <c r="L27" s="58">
        <v>4</v>
      </c>
      <c r="M27" s="59">
        <v>3</v>
      </c>
      <c r="N27" s="59">
        <v>2</v>
      </c>
      <c r="O27" s="57">
        <v>3</v>
      </c>
      <c r="P27" s="57">
        <v>2</v>
      </c>
      <c r="Q27" s="61"/>
      <c r="R27" s="61"/>
      <c r="S27" s="61"/>
      <c r="T27" s="62"/>
      <c r="U27" s="63">
        <f t="shared" si="1"/>
        <v>34</v>
      </c>
      <c r="V27" s="38">
        <f t="shared" si="0"/>
        <v>66</v>
      </c>
    </row>
    <row r="28" customHeight="1" spans="1:22">
      <c r="A28" s="16">
        <v>26</v>
      </c>
      <c r="B28" s="12" t="s">
        <v>27</v>
      </c>
      <c r="C28" s="57">
        <v>100</v>
      </c>
      <c r="D28" s="57">
        <v>3</v>
      </c>
      <c r="E28" s="57">
        <v>2</v>
      </c>
      <c r="F28" s="57">
        <v>3</v>
      </c>
      <c r="G28" s="16">
        <v>2</v>
      </c>
      <c r="H28" s="57">
        <v>3</v>
      </c>
      <c r="I28" s="57">
        <v>2</v>
      </c>
      <c r="J28" s="57">
        <v>3</v>
      </c>
      <c r="K28" s="57">
        <v>2</v>
      </c>
      <c r="L28" s="58">
        <v>4</v>
      </c>
      <c r="M28" s="59">
        <v>3</v>
      </c>
      <c r="N28" s="59">
        <v>2</v>
      </c>
      <c r="O28" s="57">
        <v>3</v>
      </c>
      <c r="P28" s="57">
        <v>2</v>
      </c>
      <c r="Q28" s="61"/>
      <c r="R28" s="61"/>
      <c r="S28" s="61"/>
      <c r="T28" s="60"/>
      <c r="U28" s="16">
        <f t="shared" si="1"/>
        <v>34</v>
      </c>
      <c r="V28" s="38">
        <f t="shared" si="0"/>
        <v>66</v>
      </c>
    </row>
    <row r="29" customHeight="1" spans="1:22">
      <c r="A29" s="16">
        <v>27</v>
      </c>
      <c r="B29" s="12" t="s">
        <v>33</v>
      </c>
      <c r="C29" s="57">
        <v>100</v>
      </c>
      <c r="D29" s="57">
        <v>0</v>
      </c>
      <c r="E29" s="57">
        <v>5</v>
      </c>
      <c r="F29" s="57">
        <v>3</v>
      </c>
      <c r="G29" s="16">
        <v>2</v>
      </c>
      <c r="H29" s="57">
        <v>3</v>
      </c>
      <c r="I29" s="57">
        <v>2</v>
      </c>
      <c r="J29" s="57">
        <v>3</v>
      </c>
      <c r="K29" s="57">
        <v>2</v>
      </c>
      <c r="L29" s="58">
        <v>4</v>
      </c>
      <c r="M29" s="59">
        <v>3</v>
      </c>
      <c r="N29" s="59">
        <v>2</v>
      </c>
      <c r="O29" s="57">
        <v>3</v>
      </c>
      <c r="P29" s="57">
        <v>2</v>
      </c>
      <c r="Q29" s="61"/>
      <c r="R29" s="61"/>
      <c r="S29" s="61"/>
      <c r="T29" s="60"/>
      <c r="U29" s="16">
        <f t="shared" si="1"/>
        <v>34</v>
      </c>
      <c r="V29" s="38">
        <f t="shared" si="0"/>
        <v>66</v>
      </c>
    </row>
    <row r="30" customHeight="1" spans="1:22">
      <c r="A30" s="16">
        <v>28</v>
      </c>
      <c r="B30" s="12" t="s">
        <v>35</v>
      </c>
      <c r="C30" s="57">
        <v>100</v>
      </c>
      <c r="D30" s="57">
        <v>0</v>
      </c>
      <c r="E30" s="57">
        <v>5</v>
      </c>
      <c r="F30" s="57">
        <v>3</v>
      </c>
      <c r="G30" s="16">
        <v>2</v>
      </c>
      <c r="H30" s="57">
        <v>3</v>
      </c>
      <c r="I30" s="57">
        <v>2</v>
      </c>
      <c r="J30" s="57">
        <v>3</v>
      </c>
      <c r="K30" s="57">
        <v>2</v>
      </c>
      <c r="L30" s="58">
        <v>4</v>
      </c>
      <c r="M30" s="59">
        <v>3</v>
      </c>
      <c r="N30" s="59">
        <v>2</v>
      </c>
      <c r="O30" s="57">
        <v>3</v>
      </c>
      <c r="P30" s="57">
        <v>2</v>
      </c>
      <c r="Q30" s="61"/>
      <c r="R30" s="61"/>
      <c r="S30" s="61"/>
      <c r="T30" s="60"/>
      <c r="U30" s="16">
        <f t="shared" si="1"/>
        <v>34</v>
      </c>
      <c r="V30" s="38">
        <f t="shared" si="0"/>
        <v>66</v>
      </c>
    </row>
    <row r="31" customHeight="1" spans="1:22">
      <c r="A31" s="16">
        <v>29</v>
      </c>
      <c r="B31" s="12" t="s">
        <v>123</v>
      </c>
      <c r="C31" s="57">
        <v>100</v>
      </c>
      <c r="D31" s="57">
        <v>3</v>
      </c>
      <c r="E31" s="57">
        <v>2</v>
      </c>
      <c r="F31" s="57">
        <v>3</v>
      </c>
      <c r="G31" s="16">
        <v>2</v>
      </c>
      <c r="H31" s="57">
        <v>3</v>
      </c>
      <c r="I31" s="57">
        <v>2</v>
      </c>
      <c r="J31" s="57">
        <v>3</v>
      </c>
      <c r="K31" s="57">
        <v>2</v>
      </c>
      <c r="L31" s="58">
        <v>4</v>
      </c>
      <c r="M31" s="59">
        <v>3</v>
      </c>
      <c r="N31" s="59">
        <v>2</v>
      </c>
      <c r="O31" s="57">
        <v>3</v>
      </c>
      <c r="P31" s="57">
        <v>2</v>
      </c>
      <c r="Q31" s="61"/>
      <c r="R31" s="61"/>
      <c r="S31" s="61"/>
      <c r="T31" s="60"/>
      <c r="U31" s="16">
        <f t="shared" si="1"/>
        <v>34</v>
      </c>
      <c r="V31" s="38">
        <f t="shared" si="0"/>
        <v>66</v>
      </c>
    </row>
    <row r="32" customHeight="1" spans="1:22">
      <c r="A32" s="16">
        <v>30</v>
      </c>
      <c r="B32" s="12" t="s">
        <v>124</v>
      </c>
      <c r="C32" s="57">
        <v>100</v>
      </c>
      <c r="D32" s="57">
        <v>3</v>
      </c>
      <c r="E32" s="57">
        <v>2</v>
      </c>
      <c r="F32" s="57">
        <v>3</v>
      </c>
      <c r="G32" s="16">
        <v>2</v>
      </c>
      <c r="H32" s="57">
        <v>3</v>
      </c>
      <c r="I32" s="57">
        <v>2</v>
      </c>
      <c r="J32" s="57">
        <v>3</v>
      </c>
      <c r="K32" s="57">
        <v>2</v>
      </c>
      <c r="L32" s="58">
        <v>4</v>
      </c>
      <c r="M32" s="59">
        <v>3</v>
      </c>
      <c r="N32" s="59">
        <v>2</v>
      </c>
      <c r="O32" s="57">
        <v>3</v>
      </c>
      <c r="P32" s="57">
        <v>2</v>
      </c>
      <c r="Q32" s="57"/>
      <c r="R32" s="57"/>
      <c r="S32" s="57"/>
      <c r="T32" s="60"/>
      <c r="U32" s="16">
        <f t="shared" si="1"/>
        <v>34</v>
      </c>
      <c r="V32" s="38">
        <f t="shared" si="0"/>
        <v>66</v>
      </c>
    </row>
    <row r="33" customHeight="1" spans="1:22">
      <c r="A33" s="16">
        <v>31</v>
      </c>
      <c r="B33" s="12" t="s">
        <v>125</v>
      </c>
      <c r="C33" s="57">
        <v>100</v>
      </c>
      <c r="D33" s="57">
        <v>3</v>
      </c>
      <c r="E33" s="57">
        <v>2</v>
      </c>
      <c r="F33" s="57">
        <v>3</v>
      </c>
      <c r="G33" s="16">
        <v>2</v>
      </c>
      <c r="H33" s="57">
        <v>3</v>
      </c>
      <c r="I33" s="60">
        <v>2</v>
      </c>
      <c r="J33" s="57">
        <v>3</v>
      </c>
      <c r="K33" s="57">
        <v>2</v>
      </c>
      <c r="L33" s="58">
        <v>4</v>
      </c>
      <c r="M33" s="59">
        <v>3</v>
      </c>
      <c r="N33" s="59">
        <v>2</v>
      </c>
      <c r="O33" s="57">
        <v>3</v>
      </c>
      <c r="P33" s="57">
        <v>2</v>
      </c>
      <c r="Q33" s="57"/>
      <c r="R33" s="57"/>
      <c r="S33" s="57"/>
      <c r="T33" s="60"/>
      <c r="U33" s="16">
        <f t="shared" si="1"/>
        <v>34</v>
      </c>
      <c r="V33" s="38">
        <f t="shared" si="0"/>
        <v>66</v>
      </c>
    </row>
    <row r="34" customHeight="1" spans="1:22">
      <c r="A34" s="16">
        <v>32</v>
      </c>
      <c r="B34" s="12" t="s">
        <v>29</v>
      </c>
      <c r="C34" s="57">
        <v>100</v>
      </c>
      <c r="D34" s="57">
        <v>3</v>
      </c>
      <c r="E34" s="57">
        <v>2</v>
      </c>
      <c r="F34" s="57">
        <v>3</v>
      </c>
      <c r="G34" s="16">
        <v>2</v>
      </c>
      <c r="H34" s="57">
        <v>3</v>
      </c>
      <c r="I34" s="60">
        <v>2</v>
      </c>
      <c r="J34" s="57">
        <v>3</v>
      </c>
      <c r="K34" s="57">
        <v>2</v>
      </c>
      <c r="L34" s="58">
        <v>4</v>
      </c>
      <c r="M34" s="59">
        <v>3</v>
      </c>
      <c r="N34" s="59">
        <v>2</v>
      </c>
      <c r="O34" s="57">
        <v>3</v>
      </c>
      <c r="P34" s="57">
        <v>2</v>
      </c>
      <c r="Q34" s="60"/>
      <c r="R34" s="60"/>
      <c r="S34" s="60"/>
      <c r="T34" s="60"/>
      <c r="U34" s="16">
        <f t="shared" si="1"/>
        <v>34</v>
      </c>
      <c r="V34" s="38">
        <f t="shared" si="0"/>
        <v>66</v>
      </c>
    </row>
    <row r="35" customHeight="1" spans="1:22">
      <c r="A35" s="16">
        <v>33</v>
      </c>
      <c r="B35" s="12" t="s">
        <v>30</v>
      </c>
      <c r="C35" s="57">
        <v>100</v>
      </c>
      <c r="D35" s="57">
        <v>3</v>
      </c>
      <c r="E35" s="57">
        <v>2</v>
      </c>
      <c r="F35" s="57">
        <v>3</v>
      </c>
      <c r="G35" s="16">
        <v>2</v>
      </c>
      <c r="H35" s="57">
        <v>3</v>
      </c>
      <c r="I35" s="60">
        <v>2</v>
      </c>
      <c r="J35" s="57">
        <v>3</v>
      </c>
      <c r="K35" s="57">
        <v>2</v>
      </c>
      <c r="L35" s="58">
        <v>4</v>
      </c>
      <c r="M35" s="59">
        <v>3</v>
      </c>
      <c r="N35" s="59">
        <v>2</v>
      </c>
      <c r="O35" s="57">
        <v>3</v>
      </c>
      <c r="P35" s="57">
        <v>2</v>
      </c>
      <c r="Q35" s="60"/>
      <c r="R35" s="60"/>
      <c r="S35" s="60"/>
      <c r="T35" s="60"/>
      <c r="U35" s="16">
        <f t="shared" si="1"/>
        <v>34</v>
      </c>
      <c r="V35" s="38">
        <f t="shared" si="0"/>
        <v>66</v>
      </c>
    </row>
    <row r="36" customHeight="1" spans="1:22">
      <c r="A36" s="16">
        <v>34</v>
      </c>
      <c r="B36" s="12" t="s">
        <v>31</v>
      </c>
      <c r="C36" s="57">
        <v>100</v>
      </c>
      <c r="D36" s="57">
        <v>3</v>
      </c>
      <c r="E36" s="57">
        <v>2</v>
      </c>
      <c r="F36" s="57">
        <v>3</v>
      </c>
      <c r="G36" s="16">
        <v>2</v>
      </c>
      <c r="H36" s="57">
        <v>3</v>
      </c>
      <c r="I36" s="60">
        <v>2</v>
      </c>
      <c r="J36" s="57">
        <v>3</v>
      </c>
      <c r="K36" s="57">
        <v>2</v>
      </c>
      <c r="L36" s="58">
        <v>4</v>
      </c>
      <c r="M36" s="59">
        <v>3</v>
      </c>
      <c r="N36" s="59">
        <v>2</v>
      </c>
      <c r="O36" s="57">
        <v>3</v>
      </c>
      <c r="P36" s="57">
        <v>2</v>
      </c>
      <c r="Q36" s="60"/>
      <c r="R36" s="60"/>
      <c r="S36" s="60"/>
      <c r="T36" s="60"/>
      <c r="U36" s="16">
        <f t="shared" si="1"/>
        <v>34</v>
      </c>
      <c r="V36" s="38">
        <f t="shared" si="0"/>
        <v>66</v>
      </c>
    </row>
    <row r="37" customHeight="1" spans="1:22">
      <c r="A37" s="16">
        <v>35</v>
      </c>
      <c r="B37" s="12" t="s">
        <v>126</v>
      </c>
      <c r="C37" s="57">
        <v>100</v>
      </c>
      <c r="D37" s="57">
        <v>3</v>
      </c>
      <c r="E37" s="57">
        <v>2</v>
      </c>
      <c r="F37" s="57">
        <v>3</v>
      </c>
      <c r="G37" s="16">
        <v>2</v>
      </c>
      <c r="H37" s="57">
        <v>3</v>
      </c>
      <c r="I37" s="60">
        <v>2</v>
      </c>
      <c r="J37" s="57">
        <v>3</v>
      </c>
      <c r="K37" s="57">
        <v>2</v>
      </c>
      <c r="L37" s="58">
        <v>4</v>
      </c>
      <c r="M37" s="59">
        <v>3</v>
      </c>
      <c r="N37" s="59">
        <v>2</v>
      </c>
      <c r="O37" s="57">
        <v>3</v>
      </c>
      <c r="P37" s="57">
        <v>2</v>
      </c>
      <c r="Q37" s="60"/>
      <c r="R37" s="60"/>
      <c r="S37" s="60"/>
      <c r="T37" s="60"/>
      <c r="U37" s="16">
        <f t="shared" si="1"/>
        <v>34</v>
      </c>
      <c r="V37" s="38">
        <f t="shared" si="0"/>
        <v>66</v>
      </c>
    </row>
    <row r="38" customHeight="1" spans="1:22">
      <c r="A38" s="16">
        <v>36</v>
      </c>
      <c r="B38" s="12" t="s">
        <v>127</v>
      </c>
      <c r="C38" s="57">
        <v>100</v>
      </c>
      <c r="D38" s="57">
        <v>3</v>
      </c>
      <c r="E38" s="57">
        <v>2</v>
      </c>
      <c r="F38" s="57">
        <v>3</v>
      </c>
      <c r="G38" s="16">
        <v>2</v>
      </c>
      <c r="H38" s="57">
        <v>3</v>
      </c>
      <c r="I38" s="60">
        <v>2</v>
      </c>
      <c r="J38" s="57">
        <v>3</v>
      </c>
      <c r="K38" s="57">
        <v>2</v>
      </c>
      <c r="L38" s="58">
        <v>4</v>
      </c>
      <c r="M38" s="59">
        <v>3</v>
      </c>
      <c r="N38" s="59">
        <v>2</v>
      </c>
      <c r="O38" s="57">
        <v>3</v>
      </c>
      <c r="P38" s="57">
        <v>2</v>
      </c>
      <c r="Q38" s="60"/>
      <c r="R38" s="60"/>
      <c r="S38" s="60"/>
      <c r="T38" s="60"/>
      <c r="U38" s="16">
        <f t="shared" si="1"/>
        <v>34</v>
      </c>
      <c r="V38" s="38">
        <f t="shared" si="0"/>
        <v>66</v>
      </c>
    </row>
    <row r="39" s="47" customFormat="1" customHeight="1" spans="1:22">
      <c r="A39" s="16">
        <v>37</v>
      </c>
      <c r="B39" s="64" t="s">
        <v>132</v>
      </c>
      <c r="C39" s="57">
        <v>100</v>
      </c>
      <c r="D39" s="57">
        <v>3</v>
      </c>
      <c r="E39" s="57">
        <v>4</v>
      </c>
      <c r="F39" s="57">
        <v>3</v>
      </c>
      <c r="G39" s="57">
        <v>2</v>
      </c>
      <c r="H39" s="57">
        <v>3</v>
      </c>
      <c r="I39" s="57">
        <v>2</v>
      </c>
      <c r="J39" s="57">
        <v>3</v>
      </c>
      <c r="K39" s="57">
        <v>2</v>
      </c>
      <c r="L39" s="58">
        <v>4</v>
      </c>
      <c r="M39" s="59">
        <v>3</v>
      </c>
      <c r="N39" s="59">
        <v>2</v>
      </c>
      <c r="O39" s="57">
        <v>3</v>
      </c>
      <c r="P39" s="57">
        <v>2</v>
      </c>
      <c r="Q39" s="57"/>
      <c r="R39" s="57"/>
      <c r="S39" s="57"/>
      <c r="T39" s="57"/>
      <c r="U39" s="57">
        <f t="shared" si="1"/>
        <v>36</v>
      </c>
      <c r="V39" s="65">
        <f t="shared" si="0"/>
        <v>64</v>
      </c>
    </row>
    <row r="40" s="47" customFormat="1" customHeight="1" spans="1:22">
      <c r="A40" s="16">
        <v>38</v>
      </c>
      <c r="B40" s="66" t="s">
        <v>36</v>
      </c>
      <c r="C40" s="57">
        <v>100</v>
      </c>
      <c r="D40" s="57">
        <v>0</v>
      </c>
      <c r="E40" s="57">
        <v>0</v>
      </c>
      <c r="F40" s="57">
        <v>6</v>
      </c>
      <c r="G40" s="57">
        <v>4</v>
      </c>
      <c r="H40" s="57">
        <v>3</v>
      </c>
      <c r="I40" s="57">
        <v>2</v>
      </c>
      <c r="J40" s="57">
        <v>3</v>
      </c>
      <c r="K40" s="57">
        <v>2</v>
      </c>
      <c r="L40" s="58">
        <v>4</v>
      </c>
      <c r="M40" s="59">
        <v>3</v>
      </c>
      <c r="N40" s="59">
        <v>2</v>
      </c>
      <c r="O40" s="57">
        <v>3</v>
      </c>
      <c r="P40" s="57">
        <v>2</v>
      </c>
      <c r="Q40" s="57"/>
      <c r="R40" s="57"/>
      <c r="S40" s="57"/>
      <c r="T40" s="57"/>
      <c r="U40" s="57">
        <f t="shared" si="1"/>
        <v>34</v>
      </c>
      <c r="V40" s="65">
        <f t="shared" si="0"/>
        <v>66</v>
      </c>
    </row>
    <row r="41" s="47" customFormat="1" customHeight="1" spans="1:22">
      <c r="A41" s="16">
        <v>39</v>
      </c>
      <c r="B41" s="66" t="s">
        <v>133</v>
      </c>
      <c r="C41" s="57">
        <v>100</v>
      </c>
      <c r="D41" s="57">
        <v>3</v>
      </c>
      <c r="E41" s="57">
        <v>4</v>
      </c>
      <c r="F41" s="57">
        <v>3</v>
      </c>
      <c r="G41" s="57">
        <v>2</v>
      </c>
      <c r="H41" s="57">
        <v>3</v>
      </c>
      <c r="I41" s="57">
        <v>2</v>
      </c>
      <c r="J41" s="57">
        <v>3</v>
      </c>
      <c r="K41" s="57">
        <v>2</v>
      </c>
      <c r="L41" s="58">
        <v>4</v>
      </c>
      <c r="M41" s="59">
        <v>3</v>
      </c>
      <c r="N41" s="59">
        <v>2</v>
      </c>
      <c r="O41" s="57">
        <v>3</v>
      </c>
      <c r="P41" s="57">
        <v>2</v>
      </c>
      <c r="Q41" s="57"/>
      <c r="R41" s="57"/>
      <c r="S41" s="57"/>
      <c r="T41" s="57"/>
      <c r="U41" s="57"/>
      <c r="V41" s="65"/>
    </row>
    <row r="42" s="48" customFormat="1" customHeight="1" spans="1:22">
      <c r="A42" s="59">
        <v>40</v>
      </c>
      <c r="B42" s="67" t="s">
        <v>53</v>
      </c>
      <c r="C42" s="59">
        <v>100</v>
      </c>
      <c r="D42" s="59">
        <v>3</v>
      </c>
      <c r="E42" s="59">
        <v>2</v>
      </c>
      <c r="F42" s="59">
        <v>3</v>
      </c>
      <c r="G42" s="59">
        <v>2</v>
      </c>
      <c r="H42" s="59">
        <v>3</v>
      </c>
      <c r="I42" s="68">
        <v>2</v>
      </c>
      <c r="J42" s="59">
        <v>3</v>
      </c>
      <c r="K42" s="68">
        <v>2</v>
      </c>
      <c r="L42" s="68">
        <v>4</v>
      </c>
      <c r="M42" s="59">
        <v>3</v>
      </c>
      <c r="N42" s="59">
        <v>2</v>
      </c>
      <c r="O42" s="59">
        <v>3</v>
      </c>
      <c r="P42" s="68">
        <v>2</v>
      </c>
      <c r="Q42" s="68"/>
      <c r="R42" s="68"/>
      <c r="S42" s="68"/>
      <c r="T42" s="68"/>
      <c r="U42" s="59">
        <f t="shared" ref="U42:U66" si="2">SUM(D42:T42)</f>
        <v>34</v>
      </c>
      <c r="V42" s="69">
        <f t="shared" ref="V42:V66" si="3">C42-U42</f>
        <v>66</v>
      </c>
    </row>
    <row r="43" s="48" customFormat="1" customHeight="1" spans="1:22">
      <c r="A43" s="59">
        <v>41</v>
      </c>
      <c r="B43" s="67" t="s">
        <v>57</v>
      </c>
      <c r="C43" s="59">
        <v>100</v>
      </c>
      <c r="D43" s="59">
        <v>3</v>
      </c>
      <c r="E43" s="59">
        <v>2</v>
      </c>
      <c r="F43" s="59">
        <v>3</v>
      </c>
      <c r="G43" s="59">
        <v>2</v>
      </c>
      <c r="H43" s="59">
        <v>3</v>
      </c>
      <c r="I43" s="68">
        <v>2</v>
      </c>
      <c r="J43" s="59">
        <v>3</v>
      </c>
      <c r="K43" s="68">
        <v>2</v>
      </c>
      <c r="L43" s="68">
        <v>4</v>
      </c>
      <c r="M43" s="59">
        <v>3</v>
      </c>
      <c r="N43" s="59">
        <v>2</v>
      </c>
      <c r="O43" s="59">
        <v>3</v>
      </c>
      <c r="P43" s="68">
        <v>2</v>
      </c>
      <c r="Q43" s="68"/>
      <c r="R43" s="68"/>
      <c r="S43" s="68"/>
      <c r="T43" s="68"/>
      <c r="U43" s="59">
        <f t="shared" si="2"/>
        <v>34</v>
      </c>
      <c r="V43" s="69">
        <f t="shared" si="3"/>
        <v>66</v>
      </c>
    </row>
    <row r="44" s="48" customFormat="1" customHeight="1" spans="1:22">
      <c r="A44" s="59">
        <v>42</v>
      </c>
      <c r="B44" s="67" t="s">
        <v>59</v>
      </c>
      <c r="C44" s="59">
        <v>100</v>
      </c>
      <c r="D44" s="59">
        <v>3</v>
      </c>
      <c r="E44" s="59">
        <v>2</v>
      </c>
      <c r="F44" s="59">
        <v>3</v>
      </c>
      <c r="G44" s="59">
        <v>2</v>
      </c>
      <c r="H44" s="59">
        <v>3</v>
      </c>
      <c r="I44" s="68">
        <v>2</v>
      </c>
      <c r="J44" s="59">
        <v>3</v>
      </c>
      <c r="K44" s="68">
        <v>2</v>
      </c>
      <c r="L44" s="68">
        <v>4</v>
      </c>
      <c r="M44" s="59">
        <v>3</v>
      </c>
      <c r="N44" s="59">
        <v>2</v>
      </c>
      <c r="O44" s="59">
        <v>3</v>
      </c>
      <c r="P44" s="68">
        <v>2</v>
      </c>
      <c r="Q44" s="68"/>
      <c r="R44" s="68"/>
      <c r="S44" s="68"/>
      <c r="T44" s="68"/>
      <c r="U44" s="59">
        <f t="shared" si="2"/>
        <v>34</v>
      </c>
      <c r="V44" s="69">
        <f t="shared" si="3"/>
        <v>66</v>
      </c>
    </row>
    <row r="45" s="48" customFormat="1" customHeight="1" spans="1:22">
      <c r="A45" s="59">
        <v>43</v>
      </c>
      <c r="B45" s="67" t="s">
        <v>60</v>
      </c>
      <c r="C45" s="59">
        <v>100</v>
      </c>
      <c r="D45" s="59">
        <v>3</v>
      </c>
      <c r="E45" s="59">
        <v>2</v>
      </c>
      <c r="F45" s="59">
        <v>3</v>
      </c>
      <c r="G45" s="59">
        <v>2</v>
      </c>
      <c r="H45" s="59">
        <v>3</v>
      </c>
      <c r="I45" s="68">
        <v>2</v>
      </c>
      <c r="J45" s="59">
        <v>3</v>
      </c>
      <c r="K45" s="68">
        <v>2</v>
      </c>
      <c r="L45" s="68">
        <v>4</v>
      </c>
      <c r="M45" s="59">
        <v>3</v>
      </c>
      <c r="N45" s="59">
        <v>2</v>
      </c>
      <c r="O45" s="59">
        <v>3</v>
      </c>
      <c r="P45" s="68">
        <v>2</v>
      </c>
      <c r="Q45" s="68"/>
      <c r="R45" s="68"/>
      <c r="S45" s="68"/>
      <c r="T45" s="68"/>
      <c r="U45" s="59">
        <f t="shared" si="2"/>
        <v>34</v>
      </c>
      <c r="V45" s="69">
        <f t="shared" si="3"/>
        <v>66</v>
      </c>
    </row>
    <row r="46" s="48" customFormat="1" customHeight="1" spans="1:22">
      <c r="A46" s="59">
        <v>44</v>
      </c>
      <c r="B46" s="67" t="s">
        <v>62</v>
      </c>
      <c r="C46" s="59">
        <v>100</v>
      </c>
      <c r="D46" s="59">
        <v>3</v>
      </c>
      <c r="E46" s="59">
        <v>2</v>
      </c>
      <c r="F46" s="59">
        <v>3</v>
      </c>
      <c r="G46" s="59">
        <v>2</v>
      </c>
      <c r="H46" s="59">
        <v>3</v>
      </c>
      <c r="I46" s="68">
        <v>2</v>
      </c>
      <c r="J46" s="59">
        <v>3</v>
      </c>
      <c r="K46" s="68">
        <v>2</v>
      </c>
      <c r="L46" s="68">
        <v>4</v>
      </c>
      <c r="M46" s="59">
        <v>3</v>
      </c>
      <c r="N46" s="59">
        <v>2</v>
      </c>
      <c r="O46" s="59">
        <v>3</v>
      </c>
      <c r="P46" s="68">
        <v>2</v>
      </c>
      <c r="Q46" s="68"/>
      <c r="R46" s="68"/>
      <c r="S46" s="68"/>
      <c r="T46" s="68"/>
      <c r="U46" s="59">
        <f t="shared" si="2"/>
        <v>34</v>
      </c>
      <c r="V46" s="69">
        <f t="shared" si="3"/>
        <v>66</v>
      </c>
    </row>
    <row r="47" s="48" customFormat="1" customHeight="1" spans="1:22">
      <c r="A47" s="59">
        <v>45</v>
      </c>
      <c r="B47" s="67" t="s">
        <v>64</v>
      </c>
      <c r="C47" s="59">
        <v>100</v>
      </c>
      <c r="D47" s="59">
        <v>3</v>
      </c>
      <c r="E47" s="59">
        <v>2</v>
      </c>
      <c r="F47" s="59">
        <v>3</v>
      </c>
      <c r="G47" s="59">
        <v>2</v>
      </c>
      <c r="H47" s="59">
        <v>3</v>
      </c>
      <c r="I47" s="68">
        <v>2</v>
      </c>
      <c r="J47" s="59">
        <v>3</v>
      </c>
      <c r="K47" s="68">
        <v>2</v>
      </c>
      <c r="L47" s="68">
        <v>4</v>
      </c>
      <c r="M47" s="59">
        <v>3</v>
      </c>
      <c r="N47" s="59">
        <v>2</v>
      </c>
      <c r="O47" s="59">
        <v>3</v>
      </c>
      <c r="P47" s="68">
        <v>2</v>
      </c>
      <c r="Q47" s="68"/>
      <c r="R47" s="68"/>
      <c r="S47" s="68"/>
      <c r="T47" s="68"/>
      <c r="U47" s="59">
        <f t="shared" si="2"/>
        <v>34</v>
      </c>
      <c r="V47" s="69">
        <f t="shared" si="3"/>
        <v>66</v>
      </c>
    </row>
    <row r="48" s="48" customFormat="1" customHeight="1" spans="1:22">
      <c r="A48" s="59">
        <v>46</v>
      </c>
      <c r="B48" s="67" t="s">
        <v>65</v>
      </c>
      <c r="C48" s="59">
        <v>100</v>
      </c>
      <c r="D48" s="59">
        <v>3</v>
      </c>
      <c r="E48" s="59">
        <v>2</v>
      </c>
      <c r="F48" s="59">
        <v>3</v>
      </c>
      <c r="G48" s="59">
        <v>2</v>
      </c>
      <c r="H48" s="59">
        <v>3</v>
      </c>
      <c r="I48" s="68">
        <v>2</v>
      </c>
      <c r="J48" s="59">
        <v>3</v>
      </c>
      <c r="K48" s="68">
        <v>2</v>
      </c>
      <c r="L48" s="68">
        <v>4</v>
      </c>
      <c r="M48" s="59">
        <v>3</v>
      </c>
      <c r="N48" s="59">
        <v>2</v>
      </c>
      <c r="O48" s="59">
        <v>3</v>
      </c>
      <c r="P48" s="68">
        <v>2</v>
      </c>
      <c r="Q48" s="68"/>
      <c r="R48" s="68"/>
      <c r="S48" s="68"/>
      <c r="T48" s="68"/>
      <c r="U48" s="59">
        <f t="shared" si="2"/>
        <v>34</v>
      </c>
      <c r="V48" s="69">
        <f t="shared" si="3"/>
        <v>66</v>
      </c>
    </row>
    <row r="49" s="48" customFormat="1" customHeight="1" spans="1:22">
      <c r="A49" s="59">
        <v>47</v>
      </c>
      <c r="B49" s="67" t="s">
        <v>67</v>
      </c>
      <c r="C49" s="59">
        <v>100</v>
      </c>
      <c r="D49" s="59">
        <v>3</v>
      </c>
      <c r="E49" s="59">
        <v>2</v>
      </c>
      <c r="F49" s="59">
        <v>3</v>
      </c>
      <c r="G49" s="59">
        <v>2</v>
      </c>
      <c r="H49" s="59">
        <v>3</v>
      </c>
      <c r="I49" s="68">
        <v>2</v>
      </c>
      <c r="J49" s="59">
        <v>3</v>
      </c>
      <c r="K49" s="68">
        <v>2</v>
      </c>
      <c r="L49" s="68">
        <v>4</v>
      </c>
      <c r="M49" s="59">
        <v>3</v>
      </c>
      <c r="N49" s="59">
        <v>2</v>
      </c>
      <c r="O49" s="59">
        <v>3</v>
      </c>
      <c r="P49" s="68">
        <v>2</v>
      </c>
      <c r="Q49" s="68"/>
      <c r="R49" s="68"/>
      <c r="S49" s="68"/>
      <c r="T49" s="68"/>
      <c r="U49" s="59">
        <f t="shared" si="2"/>
        <v>34</v>
      </c>
      <c r="V49" s="69">
        <f t="shared" si="3"/>
        <v>66</v>
      </c>
    </row>
    <row r="50" s="48" customFormat="1" customHeight="1" spans="1:22">
      <c r="A50" s="59">
        <v>48</v>
      </c>
      <c r="B50" s="67" t="s">
        <v>69</v>
      </c>
      <c r="C50" s="59">
        <v>100</v>
      </c>
      <c r="D50" s="59">
        <v>3</v>
      </c>
      <c r="E50" s="59">
        <v>2</v>
      </c>
      <c r="F50" s="59">
        <v>3</v>
      </c>
      <c r="G50" s="59">
        <v>2</v>
      </c>
      <c r="H50" s="59">
        <v>3</v>
      </c>
      <c r="I50" s="68">
        <v>2</v>
      </c>
      <c r="J50" s="59">
        <v>3</v>
      </c>
      <c r="K50" s="68">
        <v>2</v>
      </c>
      <c r="L50" s="68">
        <v>4</v>
      </c>
      <c r="M50" s="59">
        <v>3</v>
      </c>
      <c r="N50" s="59">
        <v>2</v>
      </c>
      <c r="O50" s="59">
        <v>3</v>
      </c>
      <c r="P50" s="68">
        <v>2</v>
      </c>
      <c r="Q50" s="68"/>
      <c r="R50" s="68"/>
      <c r="S50" s="68"/>
      <c r="T50" s="68"/>
      <c r="U50" s="59">
        <f t="shared" si="2"/>
        <v>34</v>
      </c>
      <c r="V50" s="69">
        <f t="shared" si="3"/>
        <v>66</v>
      </c>
    </row>
    <row r="51" s="48" customFormat="1" customHeight="1" spans="1:22">
      <c r="A51" s="59">
        <v>49</v>
      </c>
      <c r="B51" s="67" t="s">
        <v>70</v>
      </c>
      <c r="C51" s="59">
        <v>100</v>
      </c>
      <c r="D51" s="59">
        <v>3</v>
      </c>
      <c r="E51" s="59">
        <v>2</v>
      </c>
      <c r="F51" s="59">
        <v>3</v>
      </c>
      <c r="G51" s="59">
        <v>2</v>
      </c>
      <c r="H51" s="59">
        <v>3</v>
      </c>
      <c r="I51" s="68">
        <v>2</v>
      </c>
      <c r="J51" s="59">
        <v>3</v>
      </c>
      <c r="K51" s="68">
        <v>2</v>
      </c>
      <c r="L51" s="68">
        <v>4</v>
      </c>
      <c r="M51" s="59">
        <v>3</v>
      </c>
      <c r="N51" s="59">
        <v>2</v>
      </c>
      <c r="O51" s="59">
        <v>3</v>
      </c>
      <c r="P51" s="68">
        <v>2</v>
      </c>
      <c r="Q51" s="68"/>
      <c r="R51" s="68"/>
      <c r="S51" s="68"/>
      <c r="T51" s="68"/>
      <c r="U51" s="59">
        <f t="shared" si="2"/>
        <v>34</v>
      </c>
      <c r="V51" s="69">
        <f t="shared" si="3"/>
        <v>66</v>
      </c>
    </row>
    <row r="52" s="48" customFormat="1" customHeight="1" spans="1:22">
      <c r="A52" s="59">
        <v>50</v>
      </c>
      <c r="B52" s="67" t="s">
        <v>72</v>
      </c>
      <c r="C52" s="59">
        <v>100</v>
      </c>
      <c r="D52" s="59">
        <v>3</v>
      </c>
      <c r="E52" s="59">
        <v>2</v>
      </c>
      <c r="F52" s="59">
        <v>3</v>
      </c>
      <c r="G52" s="59">
        <v>2</v>
      </c>
      <c r="H52" s="59">
        <v>3</v>
      </c>
      <c r="I52" s="68">
        <v>2</v>
      </c>
      <c r="J52" s="59">
        <v>3</v>
      </c>
      <c r="K52" s="68">
        <v>2</v>
      </c>
      <c r="L52" s="68">
        <v>4</v>
      </c>
      <c r="M52" s="59">
        <v>3</v>
      </c>
      <c r="N52" s="59">
        <v>2</v>
      </c>
      <c r="O52" s="59">
        <v>3</v>
      </c>
      <c r="P52" s="68">
        <v>2</v>
      </c>
      <c r="Q52" s="68"/>
      <c r="R52" s="68"/>
      <c r="S52" s="68"/>
      <c r="T52" s="68"/>
      <c r="U52" s="59">
        <f t="shared" si="2"/>
        <v>34</v>
      </c>
      <c r="V52" s="69">
        <f t="shared" si="3"/>
        <v>66</v>
      </c>
    </row>
    <row r="53" s="48" customFormat="1" customHeight="1" spans="1:22">
      <c r="A53" s="59">
        <v>51</v>
      </c>
      <c r="B53" s="67" t="s">
        <v>73</v>
      </c>
      <c r="C53" s="59">
        <v>100</v>
      </c>
      <c r="D53" s="59">
        <v>3</v>
      </c>
      <c r="E53" s="59">
        <v>2</v>
      </c>
      <c r="F53" s="59">
        <v>3</v>
      </c>
      <c r="G53" s="59">
        <v>2</v>
      </c>
      <c r="H53" s="59">
        <v>3</v>
      </c>
      <c r="I53" s="68">
        <v>2</v>
      </c>
      <c r="J53" s="59">
        <v>3</v>
      </c>
      <c r="K53" s="68">
        <v>2</v>
      </c>
      <c r="L53" s="68">
        <v>4</v>
      </c>
      <c r="M53" s="59">
        <v>3</v>
      </c>
      <c r="N53" s="59">
        <v>2</v>
      </c>
      <c r="O53" s="59">
        <v>3</v>
      </c>
      <c r="P53" s="68">
        <v>2</v>
      </c>
      <c r="Q53" s="68"/>
      <c r="R53" s="68"/>
      <c r="S53" s="68"/>
      <c r="T53" s="68"/>
      <c r="U53" s="59">
        <f t="shared" si="2"/>
        <v>34</v>
      </c>
      <c r="V53" s="69">
        <f t="shared" si="3"/>
        <v>66</v>
      </c>
    </row>
    <row r="54" s="48" customFormat="1" customHeight="1" spans="1:22">
      <c r="A54" s="59">
        <v>52</v>
      </c>
      <c r="B54" s="67" t="s">
        <v>74</v>
      </c>
      <c r="C54" s="59">
        <v>100</v>
      </c>
      <c r="D54" s="59">
        <v>3</v>
      </c>
      <c r="E54" s="59">
        <v>2</v>
      </c>
      <c r="F54" s="59">
        <v>3</v>
      </c>
      <c r="G54" s="59">
        <v>2</v>
      </c>
      <c r="H54" s="59">
        <v>3</v>
      </c>
      <c r="I54" s="68">
        <v>2</v>
      </c>
      <c r="J54" s="59">
        <v>3</v>
      </c>
      <c r="K54" s="68">
        <v>2</v>
      </c>
      <c r="L54" s="68">
        <v>4</v>
      </c>
      <c r="M54" s="59">
        <v>3</v>
      </c>
      <c r="N54" s="59">
        <v>2</v>
      </c>
      <c r="O54" s="59">
        <v>3</v>
      </c>
      <c r="P54" s="68">
        <v>2</v>
      </c>
      <c r="Q54" s="68"/>
      <c r="R54" s="68"/>
      <c r="S54" s="68"/>
      <c r="T54" s="68"/>
      <c r="U54" s="59">
        <f t="shared" si="2"/>
        <v>34</v>
      </c>
      <c r="V54" s="69">
        <f t="shared" si="3"/>
        <v>66</v>
      </c>
    </row>
    <row r="55" s="48" customFormat="1" customHeight="1" spans="1:22">
      <c r="A55" s="59">
        <v>53</v>
      </c>
      <c r="B55" s="67" t="s">
        <v>77</v>
      </c>
      <c r="C55" s="59">
        <v>100</v>
      </c>
      <c r="D55" s="59">
        <v>3</v>
      </c>
      <c r="E55" s="59">
        <v>2</v>
      </c>
      <c r="F55" s="59">
        <v>3</v>
      </c>
      <c r="G55" s="59">
        <v>2</v>
      </c>
      <c r="H55" s="59">
        <v>3</v>
      </c>
      <c r="I55" s="68">
        <v>2</v>
      </c>
      <c r="J55" s="59">
        <v>3</v>
      </c>
      <c r="K55" s="68">
        <v>2</v>
      </c>
      <c r="L55" s="68">
        <v>4</v>
      </c>
      <c r="M55" s="59">
        <v>3</v>
      </c>
      <c r="N55" s="59">
        <v>2</v>
      </c>
      <c r="O55" s="59">
        <v>3</v>
      </c>
      <c r="P55" s="68">
        <v>2</v>
      </c>
      <c r="Q55" s="68"/>
      <c r="R55" s="68"/>
      <c r="S55" s="68"/>
      <c r="T55" s="68"/>
      <c r="U55" s="59">
        <f t="shared" si="2"/>
        <v>34</v>
      </c>
      <c r="V55" s="69">
        <f t="shared" si="3"/>
        <v>66</v>
      </c>
    </row>
    <row r="56" s="48" customFormat="1" customHeight="1" spans="1:22">
      <c r="A56" s="59">
        <v>54</v>
      </c>
      <c r="B56" s="67" t="s">
        <v>79</v>
      </c>
      <c r="C56" s="59">
        <v>100</v>
      </c>
      <c r="D56" s="59">
        <v>3</v>
      </c>
      <c r="E56" s="59">
        <v>2</v>
      </c>
      <c r="F56" s="59">
        <v>3</v>
      </c>
      <c r="G56" s="59">
        <v>2</v>
      </c>
      <c r="H56" s="59">
        <v>3</v>
      </c>
      <c r="I56" s="68">
        <v>3</v>
      </c>
      <c r="J56" s="59">
        <v>3</v>
      </c>
      <c r="K56" s="68">
        <v>2</v>
      </c>
      <c r="L56" s="68">
        <v>4</v>
      </c>
      <c r="M56" s="59">
        <v>3</v>
      </c>
      <c r="N56" s="59">
        <v>2</v>
      </c>
      <c r="O56" s="59">
        <v>3</v>
      </c>
      <c r="P56" s="68">
        <v>2</v>
      </c>
      <c r="Q56" s="68"/>
      <c r="R56" s="68"/>
      <c r="S56" s="68"/>
      <c r="T56" s="68"/>
      <c r="U56" s="59">
        <f t="shared" si="2"/>
        <v>35</v>
      </c>
      <c r="V56" s="69">
        <f t="shared" si="3"/>
        <v>65</v>
      </c>
    </row>
    <row r="57" s="48" customFormat="1" customHeight="1" spans="1:22">
      <c r="A57" s="59">
        <v>55</v>
      </c>
      <c r="B57" s="67" t="s">
        <v>81</v>
      </c>
      <c r="C57" s="59">
        <v>100</v>
      </c>
      <c r="D57" s="59">
        <v>3</v>
      </c>
      <c r="E57" s="59">
        <v>2</v>
      </c>
      <c r="F57" s="59">
        <v>3</v>
      </c>
      <c r="G57" s="59">
        <v>2</v>
      </c>
      <c r="H57" s="59">
        <v>3</v>
      </c>
      <c r="I57" s="68">
        <v>2</v>
      </c>
      <c r="J57" s="59">
        <v>3</v>
      </c>
      <c r="K57" s="68">
        <v>2</v>
      </c>
      <c r="L57" s="68">
        <v>4</v>
      </c>
      <c r="M57" s="59">
        <v>3</v>
      </c>
      <c r="N57" s="59">
        <v>2</v>
      </c>
      <c r="O57" s="59">
        <v>3</v>
      </c>
      <c r="P57" s="68">
        <v>2</v>
      </c>
      <c r="Q57" s="68"/>
      <c r="R57" s="68"/>
      <c r="S57" s="68"/>
      <c r="T57" s="68"/>
      <c r="U57" s="59">
        <f t="shared" si="2"/>
        <v>34</v>
      </c>
      <c r="V57" s="69">
        <f t="shared" si="3"/>
        <v>66</v>
      </c>
    </row>
    <row r="58" s="48" customFormat="1" customHeight="1" spans="1:22">
      <c r="A58" s="59">
        <v>56</v>
      </c>
      <c r="B58" s="67" t="s">
        <v>83</v>
      </c>
      <c r="C58" s="59">
        <v>100</v>
      </c>
      <c r="D58" s="59">
        <v>3</v>
      </c>
      <c r="E58" s="59">
        <v>2</v>
      </c>
      <c r="F58" s="59">
        <v>3</v>
      </c>
      <c r="G58" s="59">
        <v>2</v>
      </c>
      <c r="H58" s="59">
        <v>3</v>
      </c>
      <c r="I58" s="68">
        <v>2</v>
      </c>
      <c r="J58" s="59">
        <v>3</v>
      </c>
      <c r="K58" s="68">
        <v>2</v>
      </c>
      <c r="L58" s="68">
        <v>4</v>
      </c>
      <c r="M58" s="59">
        <v>3</v>
      </c>
      <c r="N58" s="59">
        <v>2</v>
      </c>
      <c r="O58" s="59">
        <v>3</v>
      </c>
      <c r="P58" s="68">
        <v>2</v>
      </c>
      <c r="Q58" s="68"/>
      <c r="R58" s="68"/>
      <c r="S58" s="68"/>
      <c r="T58" s="68"/>
      <c r="U58" s="59">
        <f t="shared" si="2"/>
        <v>34</v>
      </c>
      <c r="V58" s="69">
        <f t="shared" si="3"/>
        <v>66</v>
      </c>
    </row>
    <row r="59" s="48" customFormat="1" customHeight="1" spans="1:22">
      <c r="A59" s="59">
        <v>57</v>
      </c>
      <c r="B59" s="70" t="s">
        <v>85</v>
      </c>
      <c r="C59" s="71">
        <v>100</v>
      </c>
      <c r="D59" s="71">
        <v>3</v>
      </c>
      <c r="E59" s="71">
        <v>2</v>
      </c>
      <c r="F59" s="59">
        <v>3</v>
      </c>
      <c r="G59" s="59">
        <v>2</v>
      </c>
      <c r="H59" s="59">
        <v>3</v>
      </c>
      <c r="I59" s="68">
        <v>2</v>
      </c>
      <c r="J59" s="59">
        <v>3</v>
      </c>
      <c r="K59" s="68">
        <v>2</v>
      </c>
      <c r="L59" s="68">
        <v>4</v>
      </c>
      <c r="M59" s="59">
        <v>3</v>
      </c>
      <c r="N59" s="59">
        <v>2</v>
      </c>
      <c r="O59" s="59">
        <v>3</v>
      </c>
      <c r="P59" s="68">
        <v>2</v>
      </c>
      <c r="Q59" s="72"/>
      <c r="R59" s="72"/>
      <c r="S59" s="72"/>
      <c r="T59" s="72"/>
      <c r="U59" s="59">
        <f t="shared" si="2"/>
        <v>34</v>
      </c>
      <c r="V59" s="69">
        <f t="shared" si="3"/>
        <v>66</v>
      </c>
    </row>
    <row r="60" s="48" customFormat="1" customHeight="1" spans="1:22">
      <c r="A60" s="59">
        <v>58</v>
      </c>
      <c r="B60" s="73" t="s">
        <v>86</v>
      </c>
      <c r="C60" s="59">
        <v>100</v>
      </c>
      <c r="D60" s="59">
        <v>3</v>
      </c>
      <c r="E60" s="59">
        <v>2</v>
      </c>
      <c r="F60" s="59">
        <v>3</v>
      </c>
      <c r="G60" s="59">
        <v>2</v>
      </c>
      <c r="H60" s="59">
        <v>3</v>
      </c>
      <c r="I60" s="68">
        <v>2</v>
      </c>
      <c r="J60" s="59">
        <v>3</v>
      </c>
      <c r="K60" s="68">
        <v>2</v>
      </c>
      <c r="L60" s="68">
        <v>4</v>
      </c>
      <c r="M60" s="59">
        <v>3</v>
      </c>
      <c r="N60" s="59">
        <v>2</v>
      </c>
      <c r="O60" s="59">
        <v>3</v>
      </c>
      <c r="P60" s="68">
        <v>2</v>
      </c>
      <c r="Q60" s="59"/>
      <c r="R60" s="59"/>
      <c r="S60" s="59"/>
      <c r="T60" s="59"/>
      <c r="U60" s="59">
        <f t="shared" si="2"/>
        <v>34</v>
      </c>
      <c r="V60" s="69">
        <f t="shared" si="3"/>
        <v>66</v>
      </c>
    </row>
    <row r="61" s="48" customFormat="1" customHeight="1" spans="1:22">
      <c r="A61" s="59">
        <v>59</v>
      </c>
      <c r="B61" s="73" t="s">
        <v>87</v>
      </c>
      <c r="C61" s="59">
        <v>100</v>
      </c>
      <c r="D61" s="59">
        <v>3</v>
      </c>
      <c r="E61" s="59">
        <v>2</v>
      </c>
      <c r="F61" s="59">
        <v>3</v>
      </c>
      <c r="G61" s="59">
        <v>2</v>
      </c>
      <c r="H61" s="59">
        <v>3</v>
      </c>
      <c r="I61" s="68">
        <v>2</v>
      </c>
      <c r="J61" s="59">
        <v>3</v>
      </c>
      <c r="K61" s="68">
        <v>2</v>
      </c>
      <c r="L61" s="68">
        <v>4</v>
      </c>
      <c r="M61" s="59">
        <v>3</v>
      </c>
      <c r="N61" s="59">
        <v>2</v>
      </c>
      <c r="O61" s="59">
        <v>3</v>
      </c>
      <c r="P61" s="68">
        <v>2</v>
      </c>
      <c r="Q61" s="59"/>
      <c r="R61" s="59"/>
      <c r="S61" s="59"/>
      <c r="T61" s="59"/>
      <c r="U61" s="59">
        <f t="shared" si="2"/>
        <v>34</v>
      </c>
      <c r="V61" s="69">
        <f t="shared" si="3"/>
        <v>66</v>
      </c>
    </row>
    <row r="62" s="48" customFormat="1" customHeight="1" spans="1:22">
      <c r="A62" s="59">
        <v>60</v>
      </c>
      <c r="B62" s="59" t="s">
        <v>88</v>
      </c>
      <c r="C62" s="59">
        <v>100</v>
      </c>
      <c r="D62" s="59">
        <v>3</v>
      </c>
      <c r="E62" s="59">
        <v>2</v>
      </c>
      <c r="F62" s="59">
        <v>3</v>
      </c>
      <c r="G62" s="59">
        <v>2</v>
      </c>
      <c r="H62" s="59">
        <v>3</v>
      </c>
      <c r="I62" s="68">
        <v>2</v>
      </c>
      <c r="J62" s="59">
        <v>3</v>
      </c>
      <c r="K62" s="68">
        <v>2</v>
      </c>
      <c r="L62" s="68">
        <v>4</v>
      </c>
      <c r="M62" s="59">
        <v>3</v>
      </c>
      <c r="N62" s="59">
        <v>2</v>
      </c>
      <c r="O62" s="59">
        <v>3</v>
      </c>
      <c r="P62" s="68">
        <v>2</v>
      </c>
      <c r="Q62" s="59"/>
      <c r="R62" s="59"/>
      <c r="S62" s="59"/>
      <c r="T62" s="59"/>
      <c r="U62" s="59">
        <f t="shared" si="2"/>
        <v>34</v>
      </c>
      <c r="V62" s="69">
        <f t="shared" si="3"/>
        <v>66</v>
      </c>
    </row>
    <row r="63" s="48" customFormat="1" customHeight="1" spans="1:22">
      <c r="A63" s="59">
        <v>61</v>
      </c>
      <c r="B63" s="59" t="s">
        <v>90</v>
      </c>
      <c r="C63" s="59">
        <v>100</v>
      </c>
      <c r="D63" s="59">
        <v>3</v>
      </c>
      <c r="E63" s="59">
        <v>2</v>
      </c>
      <c r="F63" s="59">
        <v>3</v>
      </c>
      <c r="G63" s="59">
        <v>2</v>
      </c>
      <c r="H63" s="59">
        <v>3</v>
      </c>
      <c r="I63" s="68">
        <v>2</v>
      </c>
      <c r="J63" s="59">
        <v>3</v>
      </c>
      <c r="K63" s="68">
        <v>2</v>
      </c>
      <c r="L63" s="68">
        <v>4</v>
      </c>
      <c r="M63" s="59">
        <v>3</v>
      </c>
      <c r="N63" s="59">
        <v>2</v>
      </c>
      <c r="O63" s="59">
        <v>3</v>
      </c>
      <c r="P63" s="68">
        <v>2</v>
      </c>
      <c r="Q63" s="59"/>
      <c r="R63" s="59"/>
      <c r="S63" s="59"/>
      <c r="T63" s="59"/>
      <c r="U63" s="59">
        <f t="shared" si="2"/>
        <v>34</v>
      </c>
      <c r="V63" s="69">
        <f t="shared" si="3"/>
        <v>66</v>
      </c>
    </row>
    <row r="64" s="48" customFormat="1" customHeight="1" spans="1:22">
      <c r="A64" s="59">
        <v>62</v>
      </c>
      <c r="B64" s="59" t="s">
        <v>91</v>
      </c>
      <c r="C64" s="59">
        <v>100</v>
      </c>
      <c r="D64" s="59">
        <v>3</v>
      </c>
      <c r="E64" s="59">
        <v>2</v>
      </c>
      <c r="F64" s="59">
        <v>3</v>
      </c>
      <c r="G64" s="59">
        <v>2</v>
      </c>
      <c r="H64" s="59">
        <v>3</v>
      </c>
      <c r="I64" s="68">
        <v>2</v>
      </c>
      <c r="J64" s="59">
        <v>3</v>
      </c>
      <c r="K64" s="68">
        <v>2</v>
      </c>
      <c r="L64" s="68">
        <v>4</v>
      </c>
      <c r="M64" s="59">
        <v>3</v>
      </c>
      <c r="N64" s="59">
        <v>2</v>
      </c>
      <c r="O64" s="59">
        <v>3</v>
      </c>
      <c r="P64" s="68">
        <v>2</v>
      </c>
      <c r="Q64" s="59"/>
      <c r="R64" s="59"/>
      <c r="S64" s="59"/>
      <c r="T64" s="59"/>
      <c r="U64" s="59">
        <f t="shared" si="2"/>
        <v>34</v>
      </c>
      <c r="V64" s="69">
        <f t="shared" si="3"/>
        <v>66</v>
      </c>
    </row>
    <row r="65" s="48" customFormat="1" customHeight="1" spans="1:22">
      <c r="A65" s="59">
        <v>63</v>
      </c>
      <c r="B65" s="59" t="s">
        <v>93</v>
      </c>
      <c r="C65" s="59">
        <v>100</v>
      </c>
      <c r="D65" s="59">
        <v>3</v>
      </c>
      <c r="E65" s="59">
        <v>2</v>
      </c>
      <c r="F65" s="59">
        <v>3</v>
      </c>
      <c r="G65" s="59">
        <v>2</v>
      </c>
      <c r="H65" s="59">
        <v>3</v>
      </c>
      <c r="I65" s="68">
        <v>2</v>
      </c>
      <c r="J65" s="59">
        <v>3</v>
      </c>
      <c r="K65" s="68">
        <v>2</v>
      </c>
      <c r="L65" s="68">
        <v>4</v>
      </c>
      <c r="M65" s="59">
        <v>3</v>
      </c>
      <c r="N65" s="59">
        <v>2</v>
      </c>
      <c r="O65" s="59">
        <v>3</v>
      </c>
      <c r="P65" s="68">
        <v>2</v>
      </c>
      <c r="Q65" s="59"/>
      <c r="R65" s="59"/>
      <c r="S65" s="59"/>
      <c r="T65" s="59"/>
      <c r="U65" s="59">
        <f t="shared" si="2"/>
        <v>34</v>
      </c>
      <c r="V65" s="69">
        <f t="shared" si="3"/>
        <v>66</v>
      </c>
    </row>
    <row r="66" s="48" customFormat="1" customHeight="1" spans="1:22">
      <c r="A66" s="59">
        <v>65</v>
      </c>
      <c r="B66" s="74" t="s">
        <v>134</v>
      </c>
      <c r="C66" s="59">
        <v>100</v>
      </c>
      <c r="D66" s="59">
        <v>0</v>
      </c>
      <c r="E66" s="59">
        <v>0</v>
      </c>
      <c r="F66" s="59">
        <v>3</v>
      </c>
      <c r="G66" s="59">
        <v>7</v>
      </c>
      <c r="H66" s="59">
        <v>3</v>
      </c>
      <c r="I66" s="68">
        <v>2</v>
      </c>
      <c r="J66" s="59">
        <v>3</v>
      </c>
      <c r="K66" s="68">
        <v>2</v>
      </c>
      <c r="L66" s="68">
        <v>4</v>
      </c>
      <c r="M66" s="59">
        <v>3</v>
      </c>
      <c r="N66" s="59">
        <v>2</v>
      </c>
      <c r="O66" s="59">
        <v>3</v>
      </c>
      <c r="P66" s="68">
        <v>2</v>
      </c>
      <c r="Q66" s="59"/>
      <c r="R66" s="59"/>
      <c r="S66" s="59"/>
      <c r="T66" s="59"/>
      <c r="U66" s="59">
        <f t="shared" si="2"/>
        <v>34</v>
      </c>
      <c r="V66" s="69">
        <f t="shared" si="3"/>
        <v>66</v>
      </c>
    </row>
    <row r="67" s="48" customFormat="1" customHeight="1" spans="1:22">
      <c r="A67" s="59"/>
      <c r="B67" s="74" t="s">
        <v>135</v>
      </c>
      <c r="C67" s="59">
        <v>100</v>
      </c>
      <c r="D67" s="59"/>
      <c r="E67" s="59"/>
      <c r="F67" s="59"/>
      <c r="G67" s="59">
        <v>5</v>
      </c>
      <c r="H67" s="59">
        <v>3</v>
      </c>
      <c r="I67" s="68">
        <v>2</v>
      </c>
      <c r="J67" s="59">
        <v>3</v>
      </c>
      <c r="K67" s="68">
        <v>2</v>
      </c>
      <c r="L67" s="68">
        <v>4</v>
      </c>
      <c r="M67" s="59">
        <v>3</v>
      </c>
      <c r="N67" s="59">
        <v>2</v>
      </c>
      <c r="O67" s="59">
        <v>3</v>
      </c>
      <c r="P67" s="68">
        <v>2</v>
      </c>
      <c r="Q67" s="59"/>
      <c r="R67" s="59"/>
      <c r="S67" s="59"/>
      <c r="T67" s="59"/>
      <c r="U67" s="59"/>
      <c r="V67" s="69"/>
    </row>
    <row r="68" customHeight="1" spans="1:2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customHeight="1" spans="1:22">
      <c r="A69" s="16"/>
      <c r="B69" s="16"/>
      <c r="C69" s="16"/>
      <c r="D69" s="16">
        <f>SUM(D3:D68)</f>
        <v>180</v>
      </c>
      <c r="E69" s="57">
        <f t="shared" ref="D69:T69" si="4">SUM(E3:E68)</f>
        <v>134</v>
      </c>
      <c r="F69" s="16">
        <f t="shared" si="4"/>
        <v>194</v>
      </c>
      <c r="G69" s="16">
        <f t="shared" si="4"/>
        <v>142</v>
      </c>
      <c r="H69" s="16">
        <f t="shared" si="4"/>
        <v>194</v>
      </c>
      <c r="I69" s="16">
        <f t="shared" si="4"/>
        <v>131</v>
      </c>
      <c r="J69" s="16">
        <f t="shared" si="4"/>
        <v>195</v>
      </c>
      <c r="K69" s="16">
        <f t="shared" si="4"/>
        <v>130</v>
      </c>
      <c r="L69" s="16">
        <f t="shared" si="4"/>
        <v>260</v>
      </c>
      <c r="M69" s="16">
        <f t="shared" si="4"/>
        <v>195</v>
      </c>
      <c r="N69" s="16">
        <f t="shared" si="4"/>
        <v>130</v>
      </c>
      <c r="O69" s="16">
        <f t="shared" si="4"/>
        <v>195</v>
      </c>
      <c r="P69" s="16">
        <f t="shared" si="4"/>
        <v>130</v>
      </c>
      <c r="Q69" s="16">
        <f t="shared" si="4"/>
        <v>0</v>
      </c>
      <c r="R69" s="16">
        <f t="shared" si="4"/>
        <v>0</v>
      </c>
      <c r="S69" s="16">
        <f t="shared" si="4"/>
        <v>0</v>
      </c>
      <c r="T69" s="16">
        <f t="shared" si="4"/>
        <v>0</v>
      </c>
      <c r="U69" s="16"/>
    </row>
    <row r="70" customHeight="1" spans="1:2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customHeight="1" spans="1:2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customHeight="1" spans="1:2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customHeight="1" spans="1:2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customHeight="1" spans="1:2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customHeight="1" spans="1:2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customHeight="1" spans="1:2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customHeight="1" spans="1:2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customHeight="1" spans="1:2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customHeight="1" spans="1:2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customHeight="1" spans="1:2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customHeight="1" spans="1:2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customHeight="1" spans="1:2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customHeight="1" spans="1:2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customHeight="1" spans="1:2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customHeight="1" spans="1:2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</sheetData>
  <mergeCells count="1">
    <mergeCell ref="A1:U1"/>
  </mergeCells>
  <pageMargins left="0.75" right="0.75" top="1" bottom="1" header="0.5" footer="0.5"/>
  <pageSetup paperSize="256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topLeftCell="C21" workbookViewId="0">
      <selection activeCell="M28" sqref="E39:F39 M28:N28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26" customWidth="1"/>
    <col min="12" max="14" width="12.1428571428571" customWidth="1"/>
    <col min="15" max="15" width="25.2857142857143" customWidth="1"/>
  </cols>
  <sheetData>
    <row r="1" ht="38" customHeight="1" spans="1:16">
      <c r="A1" s="2" t="s">
        <v>136</v>
      </c>
      <c r="B1" s="2"/>
      <c r="C1" s="2"/>
      <c r="D1" s="2"/>
      <c r="E1" s="2"/>
      <c r="F1" s="3"/>
      <c r="G1" s="4"/>
      <c r="I1" s="2" t="s">
        <v>136</v>
      </c>
      <c r="J1" s="2"/>
      <c r="K1" s="2"/>
      <c r="L1" s="2"/>
      <c r="M1" s="2"/>
      <c r="N1" s="3"/>
      <c r="O1" s="4"/>
    </row>
    <row r="2" s="1" customFormat="1" ht="32" customHeight="1" spans="1:16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I2" s="6" t="s">
        <v>1</v>
      </c>
      <c r="J2" s="6" t="s">
        <v>98</v>
      </c>
      <c r="K2" s="6" t="s">
        <v>99</v>
      </c>
      <c r="L2" s="7" t="s">
        <v>137</v>
      </c>
      <c r="M2" s="8" t="s">
        <v>138</v>
      </c>
      <c r="N2" s="8" t="s">
        <v>139</v>
      </c>
      <c r="O2" s="8" t="s">
        <v>9</v>
      </c>
    </row>
    <row r="3" ht="22" customHeight="1" spans="1:16">
      <c r="A3" s="10">
        <v>1</v>
      </c>
      <c r="B3" s="11">
        <v>46090</v>
      </c>
      <c r="C3" s="12" t="s">
        <v>102</v>
      </c>
      <c r="D3" s="12" t="s">
        <v>140</v>
      </c>
      <c r="E3" s="13">
        <v>2</v>
      </c>
      <c r="F3" s="13">
        <v>1</v>
      </c>
      <c r="G3" s="14"/>
      <c r="I3" s="16">
        <v>1</v>
      </c>
      <c r="J3" s="11">
        <v>46090</v>
      </c>
      <c r="K3" s="12" t="s">
        <v>53</v>
      </c>
      <c r="L3" s="12" t="s">
        <v>140</v>
      </c>
      <c r="M3" s="13">
        <v>2</v>
      </c>
      <c r="N3" s="13">
        <v>1</v>
      </c>
      <c r="O3" s="21" t="s">
        <v>12</v>
      </c>
      <c r="P3" t="s">
        <v>141</v>
      </c>
    </row>
    <row r="4" ht="22" customHeight="1" spans="1:16">
      <c r="A4" s="10">
        <v>2</v>
      </c>
      <c r="B4" s="11">
        <v>46090</v>
      </c>
      <c r="C4" s="12" t="s">
        <v>103</v>
      </c>
      <c r="D4" s="12" t="s">
        <v>140</v>
      </c>
      <c r="E4" s="17"/>
      <c r="F4" s="13">
        <v>3</v>
      </c>
      <c r="G4" s="18"/>
      <c r="I4" s="16">
        <v>2</v>
      </c>
      <c r="J4" s="11">
        <v>46090</v>
      </c>
      <c r="K4" s="12" t="s">
        <v>57</v>
      </c>
      <c r="L4" s="12" t="s">
        <v>140</v>
      </c>
      <c r="M4" s="13">
        <v>3</v>
      </c>
      <c r="N4" s="13"/>
      <c r="O4" s="21"/>
    </row>
    <row r="5" ht="22" customHeight="1" spans="1:16">
      <c r="A5" s="10">
        <v>3</v>
      </c>
      <c r="B5" s="11">
        <v>46090</v>
      </c>
      <c r="C5" s="12" t="s">
        <v>104</v>
      </c>
      <c r="D5" s="12" t="s">
        <v>140</v>
      </c>
      <c r="E5" s="13"/>
      <c r="F5" s="13">
        <v>3</v>
      </c>
      <c r="G5" s="18"/>
      <c r="I5" s="16">
        <v>3</v>
      </c>
      <c r="J5" s="11">
        <v>46090</v>
      </c>
      <c r="K5" s="12" t="s">
        <v>59</v>
      </c>
      <c r="L5" s="12" t="s">
        <v>140</v>
      </c>
      <c r="M5" s="13">
        <v>3</v>
      </c>
      <c r="N5" s="13"/>
      <c r="O5" s="21"/>
    </row>
    <row r="6" ht="22" customHeight="1" spans="1:16">
      <c r="A6" s="10">
        <v>4</v>
      </c>
      <c r="B6" s="11">
        <v>46090</v>
      </c>
      <c r="C6" s="12" t="s">
        <v>105</v>
      </c>
      <c r="D6" s="12" t="s">
        <v>140</v>
      </c>
      <c r="E6" s="13"/>
      <c r="F6" s="13">
        <v>3</v>
      </c>
      <c r="G6" s="18"/>
      <c r="I6" s="16">
        <v>4</v>
      </c>
      <c r="J6" s="11">
        <v>46090</v>
      </c>
      <c r="K6" s="12" t="s">
        <v>60</v>
      </c>
      <c r="L6" s="12" t="s">
        <v>140</v>
      </c>
      <c r="M6" s="13"/>
      <c r="N6" s="13">
        <v>3</v>
      </c>
      <c r="O6" s="21" t="s">
        <v>61</v>
      </c>
    </row>
    <row r="7" ht="22" customHeight="1" spans="1:16">
      <c r="A7" s="10">
        <v>5</v>
      </c>
      <c r="B7" s="11">
        <v>46090</v>
      </c>
      <c r="C7" s="12" t="s">
        <v>106</v>
      </c>
      <c r="D7" s="12" t="s">
        <v>140</v>
      </c>
      <c r="E7" s="13"/>
      <c r="F7" s="13">
        <v>3</v>
      </c>
      <c r="G7" s="18"/>
      <c r="I7" s="16">
        <v>5</v>
      </c>
      <c r="J7" s="11">
        <v>46090</v>
      </c>
      <c r="K7" s="12" t="s">
        <v>62</v>
      </c>
      <c r="L7" s="12" t="s">
        <v>140</v>
      </c>
      <c r="M7" s="13"/>
      <c r="N7" s="13">
        <v>3</v>
      </c>
      <c r="O7" s="21" t="s">
        <v>5</v>
      </c>
    </row>
    <row r="8" ht="22" customHeight="1" spans="1:16">
      <c r="A8" s="10">
        <v>6</v>
      </c>
      <c r="B8" s="11">
        <v>46090</v>
      </c>
      <c r="C8" s="12" t="s">
        <v>107</v>
      </c>
      <c r="D8" s="12" t="s">
        <v>140</v>
      </c>
      <c r="E8" s="13">
        <v>3</v>
      </c>
      <c r="F8" s="13"/>
      <c r="G8" s="18"/>
      <c r="I8" s="16">
        <v>6</v>
      </c>
      <c r="J8" s="11">
        <v>46090</v>
      </c>
      <c r="K8" s="12" t="s">
        <v>64</v>
      </c>
      <c r="L8" s="12" t="s">
        <v>140</v>
      </c>
      <c r="M8" s="13"/>
      <c r="N8" s="13">
        <v>3</v>
      </c>
      <c r="O8" s="21" t="s">
        <v>5</v>
      </c>
    </row>
    <row r="9" ht="22" customHeight="1" spans="1:16">
      <c r="A9" s="10">
        <v>7</v>
      </c>
      <c r="B9" s="11">
        <v>46090</v>
      </c>
      <c r="C9" s="12" t="s">
        <v>108</v>
      </c>
      <c r="D9" s="12" t="s">
        <v>140</v>
      </c>
      <c r="E9" s="13">
        <v>3</v>
      </c>
      <c r="F9" s="13"/>
      <c r="G9" s="21"/>
      <c r="I9" s="16">
        <v>7</v>
      </c>
      <c r="J9" s="11">
        <v>46090</v>
      </c>
      <c r="K9" s="12" t="s">
        <v>65</v>
      </c>
      <c r="L9" s="12" t="s">
        <v>140</v>
      </c>
      <c r="M9" s="13"/>
      <c r="N9" s="13">
        <v>3</v>
      </c>
      <c r="O9" s="21" t="s">
        <v>5</v>
      </c>
    </row>
    <row r="10" ht="22" customHeight="1" spans="1:16">
      <c r="A10" s="10">
        <v>8</v>
      </c>
      <c r="B10" s="11">
        <v>46090</v>
      </c>
      <c r="C10" s="12" t="s">
        <v>109</v>
      </c>
      <c r="D10" s="12" t="s">
        <v>140</v>
      </c>
      <c r="E10" s="13"/>
      <c r="F10" s="13">
        <v>3</v>
      </c>
      <c r="G10" s="21"/>
      <c r="I10" s="16">
        <v>8</v>
      </c>
      <c r="J10" s="11">
        <v>46090</v>
      </c>
      <c r="K10" s="12" t="s">
        <v>67</v>
      </c>
      <c r="L10" s="12" t="s">
        <v>140</v>
      </c>
      <c r="M10" s="13">
        <v>3</v>
      </c>
      <c r="N10" s="13"/>
      <c r="O10" s="21"/>
    </row>
    <row r="11" customFormat="1" ht="22" customHeight="1" spans="1:16">
      <c r="A11" s="10">
        <v>9</v>
      </c>
      <c r="B11" s="11">
        <v>46090</v>
      </c>
      <c r="C11" s="12" t="s">
        <v>110</v>
      </c>
      <c r="D11" s="12" t="s">
        <v>140</v>
      </c>
      <c r="E11" s="13"/>
      <c r="F11" s="13">
        <v>3</v>
      </c>
      <c r="G11" s="21"/>
      <c r="I11" s="16">
        <v>9</v>
      </c>
      <c r="J11" s="11">
        <v>46090</v>
      </c>
      <c r="K11" s="12" t="s">
        <v>69</v>
      </c>
      <c r="L11" s="12" t="s">
        <v>140</v>
      </c>
      <c r="M11" s="13">
        <v>3</v>
      </c>
      <c r="N11" s="13"/>
      <c r="O11" s="21"/>
    </row>
    <row r="12" customFormat="1" ht="22" customHeight="1" spans="1:16">
      <c r="A12" s="10">
        <v>10</v>
      </c>
      <c r="B12" s="11">
        <v>46090</v>
      </c>
      <c r="C12" s="12" t="s">
        <v>111</v>
      </c>
      <c r="D12" s="12" t="s">
        <v>140</v>
      </c>
      <c r="E12" s="13">
        <v>3</v>
      </c>
      <c r="F12" s="13"/>
      <c r="G12" s="21"/>
      <c r="I12" s="16">
        <v>10</v>
      </c>
      <c r="J12" s="11">
        <v>46090</v>
      </c>
      <c r="K12" s="12" t="s">
        <v>70</v>
      </c>
      <c r="L12" s="12" t="s">
        <v>140</v>
      </c>
      <c r="M12" s="13"/>
      <c r="N12" s="13">
        <v>3</v>
      </c>
      <c r="O12" s="21" t="s">
        <v>71</v>
      </c>
    </row>
    <row r="13" customFormat="1" ht="22" customHeight="1" spans="1:16">
      <c r="A13" s="10">
        <v>11</v>
      </c>
      <c r="B13" s="11">
        <v>46090</v>
      </c>
      <c r="C13" s="12" t="s">
        <v>112</v>
      </c>
      <c r="D13" s="12" t="s">
        <v>140</v>
      </c>
      <c r="E13" s="13">
        <v>2</v>
      </c>
      <c r="F13" s="13">
        <v>1</v>
      </c>
      <c r="G13" s="21"/>
      <c r="I13" s="16">
        <v>11</v>
      </c>
      <c r="J13" s="11">
        <v>46090</v>
      </c>
      <c r="K13" s="12" t="s">
        <v>72</v>
      </c>
      <c r="L13" s="12" t="s">
        <v>140</v>
      </c>
      <c r="M13" s="13">
        <v>3</v>
      </c>
      <c r="N13" s="13"/>
      <c r="O13" s="21"/>
    </row>
    <row r="14" customFormat="1" ht="22" customHeight="1" spans="1:16">
      <c r="A14" s="10">
        <v>12</v>
      </c>
      <c r="B14" s="11">
        <v>46090</v>
      </c>
      <c r="C14" s="12" t="s">
        <v>113</v>
      </c>
      <c r="D14" s="12" t="s">
        <v>140</v>
      </c>
      <c r="E14" s="13">
        <v>2</v>
      </c>
      <c r="F14" s="13">
        <v>1</v>
      </c>
      <c r="G14" s="21"/>
      <c r="I14" s="16">
        <v>12</v>
      </c>
      <c r="J14" s="11">
        <v>46090</v>
      </c>
      <c r="K14" s="12" t="s">
        <v>73</v>
      </c>
      <c r="L14" s="12" t="s">
        <v>140</v>
      </c>
      <c r="M14" s="13">
        <v>3</v>
      </c>
      <c r="N14" s="13"/>
      <c r="O14" s="21"/>
    </row>
    <row r="15" customFormat="1" ht="22" customHeight="1" spans="1:16">
      <c r="A15" s="10">
        <v>13</v>
      </c>
      <c r="B15" s="11">
        <v>46090</v>
      </c>
      <c r="C15" s="12" t="s">
        <v>114</v>
      </c>
      <c r="D15" s="12" t="s">
        <v>140</v>
      </c>
      <c r="E15" s="13">
        <v>2</v>
      </c>
      <c r="F15" s="13">
        <v>1</v>
      </c>
      <c r="G15" s="21"/>
      <c r="I15" s="16">
        <v>13</v>
      </c>
      <c r="J15" s="11">
        <v>46090</v>
      </c>
      <c r="K15" s="12" t="s">
        <v>74</v>
      </c>
      <c r="L15" s="12" t="s">
        <v>140</v>
      </c>
      <c r="M15" s="13">
        <v>2</v>
      </c>
      <c r="N15" s="13">
        <v>1</v>
      </c>
      <c r="O15" s="21" t="s">
        <v>76</v>
      </c>
    </row>
    <row r="16" customFormat="1" ht="22" customHeight="1" spans="1:16">
      <c r="A16" s="10">
        <v>14</v>
      </c>
      <c r="B16" s="11">
        <v>46090</v>
      </c>
      <c r="C16" s="12" t="s">
        <v>115</v>
      </c>
      <c r="D16" s="12" t="s">
        <v>140</v>
      </c>
      <c r="E16" s="13">
        <v>3</v>
      </c>
      <c r="F16" s="13"/>
      <c r="G16" s="21"/>
      <c r="I16" s="16">
        <v>14</v>
      </c>
      <c r="J16" s="11">
        <v>46090</v>
      </c>
      <c r="K16" s="12" t="s">
        <v>77</v>
      </c>
      <c r="L16" s="12" t="s">
        <v>140</v>
      </c>
      <c r="M16" s="13">
        <v>2</v>
      </c>
      <c r="N16" s="13">
        <v>1</v>
      </c>
      <c r="O16" s="21" t="s">
        <v>78</v>
      </c>
    </row>
    <row r="17" customFormat="1" ht="22" customHeight="1" spans="1:15">
      <c r="A17" s="10">
        <v>15</v>
      </c>
      <c r="B17" s="11">
        <v>46090</v>
      </c>
      <c r="C17" s="12" t="s">
        <v>116</v>
      </c>
      <c r="D17" s="12" t="s">
        <v>140</v>
      </c>
      <c r="E17" s="13">
        <v>3</v>
      </c>
      <c r="F17" s="13"/>
      <c r="G17" s="21"/>
      <c r="I17" s="16">
        <v>15</v>
      </c>
      <c r="J17" s="11">
        <v>46090</v>
      </c>
      <c r="K17" s="12" t="s">
        <v>79</v>
      </c>
      <c r="L17" s="12" t="s">
        <v>140</v>
      </c>
      <c r="M17" s="13">
        <v>3</v>
      </c>
      <c r="N17" s="13"/>
      <c r="O17" s="21"/>
    </row>
    <row r="18" customFormat="1" ht="22" customHeight="1" spans="1:15">
      <c r="A18" s="10">
        <v>16</v>
      </c>
      <c r="B18" s="11">
        <v>46090</v>
      </c>
      <c r="C18" s="12" t="s">
        <v>117</v>
      </c>
      <c r="D18" s="12" t="s">
        <v>140</v>
      </c>
      <c r="E18" s="13"/>
      <c r="F18" s="13">
        <v>3</v>
      </c>
      <c r="G18" s="21"/>
      <c r="I18" s="16">
        <v>16</v>
      </c>
      <c r="J18" s="11">
        <v>46090</v>
      </c>
      <c r="K18" s="12" t="s">
        <v>81</v>
      </c>
      <c r="L18" s="12" t="s">
        <v>140</v>
      </c>
      <c r="M18" s="13">
        <v>1</v>
      </c>
      <c r="N18" s="13">
        <v>2</v>
      </c>
      <c r="O18" s="21" t="s">
        <v>82</v>
      </c>
    </row>
    <row r="19" customFormat="1" ht="22" customHeight="1" spans="1:15">
      <c r="A19" s="10">
        <v>17</v>
      </c>
      <c r="B19" s="11">
        <v>46090</v>
      </c>
      <c r="C19" s="12" t="s">
        <v>118</v>
      </c>
      <c r="D19" s="12" t="s">
        <v>140</v>
      </c>
      <c r="E19" s="13">
        <v>2</v>
      </c>
      <c r="F19" s="13">
        <v>1</v>
      </c>
      <c r="G19" s="21"/>
      <c r="I19" s="16">
        <v>17</v>
      </c>
      <c r="J19" s="11">
        <v>46090</v>
      </c>
      <c r="K19" s="12" t="s">
        <v>83</v>
      </c>
      <c r="L19" s="12" t="s">
        <v>140</v>
      </c>
      <c r="M19" s="13">
        <v>2</v>
      </c>
      <c r="N19" s="13">
        <v>1</v>
      </c>
      <c r="O19" s="21" t="s">
        <v>84</v>
      </c>
    </row>
    <row r="20" customFormat="1" ht="22" customHeight="1" spans="1:15">
      <c r="A20" s="10">
        <v>18</v>
      </c>
      <c r="B20" s="11">
        <v>46090</v>
      </c>
      <c r="C20" s="12" t="s">
        <v>119</v>
      </c>
      <c r="D20" s="12" t="s">
        <v>140</v>
      </c>
      <c r="E20" s="13">
        <v>3</v>
      </c>
      <c r="F20" s="13"/>
      <c r="G20" s="21"/>
      <c r="I20" s="16">
        <v>18</v>
      </c>
      <c r="J20" s="11">
        <v>46090</v>
      </c>
      <c r="K20" s="12" t="s">
        <v>85</v>
      </c>
      <c r="L20" s="12" t="s">
        <v>140</v>
      </c>
      <c r="M20" s="13">
        <v>3</v>
      </c>
      <c r="N20" s="13"/>
      <c r="O20" s="21"/>
    </row>
    <row r="21" customFormat="1" ht="22" customHeight="1" spans="1:15">
      <c r="A21" s="10">
        <v>19</v>
      </c>
      <c r="B21" s="11">
        <v>46090</v>
      </c>
      <c r="C21" s="12" t="s">
        <v>120</v>
      </c>
      <c r="D21" s="12" t="s">
        <v>140</v>
      </c>
      <c r="E21" s="13"/>
      <c r="F21" s="13">
        <v>3</v>
      </c>
      <c r="G21" s="21"/>
      <c r="I21" s="16">
        <v>19</v>
      </c>
      <c r="J21" s="11">
        <v>46090</v>
      </c>
      <c r="K21" s="12" t="s">
        <v>86</v>
      </c>
      <c r="L21" s="12" t="s">
        <v>140</v>
      </c>
      <c r="M21" s="13">
        <v>3</v>
      </c>
      <c r="N21" s="13"/>
      <c r="O21" s="21"/>
    </row>
    <row r="22" customFormat="1" ht="22" customHeight="1" spans="1:15">
      <c r="A22" s="10">
        <v>20</v>
      </c>
      <c r="B22" s="11">
        <v>46090</v>
      </c>
      <c r="C22" s="12" t="s">
        <v>121</v>
      </c>
      <c r="D22" s="12" t="s">
        <v>140</v>
      </c>
      <c r="E22" s="13"/>
      <c r="F22" s="13">
        <v>3</v>
      </c>
      <c r="G22" s="21"/>
      <c r="I22" s="16">
        <v>20</v>
      </c>
      <c r="J22" s="11">
        <v>46090</v>
      </c>
      <c r="K22" s="12" t="s">
        <v>87</v>
      </c>
      <c r="L22" s="12" t="s">
        <v>140</v>
      </c>
      <c r="M22" s="13">
        <v>3</v>
      </c>
      <c r="N22" s="13"/>
      <c r="O22" s="21"/>
    </row>
    <row r="23" customFormat="1" ht="22" customHeight="1" spans="1:15">
      <c r="A23" s="10">
        <v>21</v>
      </c>
      <c r="B23" s="11">
        <v>46090</v>
      </c>
      <c r="C23" s="12" t="s">
        <v>122</v>
      </c>
      <c r="D23" s="12" t="s">
        <v>140</v>
      </c>
      <c r="E23" s="13"/>
      <c r="F23" s="13">
        <v>3</v>
      </c>
      <c r="G23" s="21"/>
      <c r="I23" s="16">
        <v>21</v>
      </c>
      <c r="J23" s="11">
        <v>46090</v>
      </c>
      <c r="K23" s="12" t="s">
        <v>88</v>
      </c>
      <c r="L23" s="12" t="s">
        <v>140</v>
      </c>
      <c r="M23" s="13"/>
      <c r="N23" s="13">
        <v>3</v>
      </c>
      <c r="O23" s="21" t="s">
        <v>89</v>
      </c>
    </row>
    <row r="24" customFormat="1" ht="22" customHeight="1" spans="1:15">
      <c r="A24" s="10">
        <v>22</v>
      </c>
      <c r="B24" s="11">
        <v>46090</v>
      </c>
      <c r="C24" s="12" t="s">
        <v>23</v>
      </c>
      <c r="D24" s="12" t="s">
        <v>140</v>
      </c>
      <c r="E24" s="13"/>
      <c r="F24" s="13">
        <v>3</v>
      </c>
      <c r="G24" s="21"/>
      <c r="I24" s="16">
        <v>22</v>
      </c>
      <c r="J24" s="11">
        <v>46090</v>
      </c>
      <c r="K24" s="12" t="s">
        <v>90</v>
      </c>
      <c r="L24" s="12" t="s">
        <v>140</v>
      </c>
      <c r="M24" s="13">
        <v>3</v>
      </c>
      <c r="N24" s="13"/>
      <c r="O24" s="21"/>
    </row>
    <row r="25" customFormat="1" ht="22" customHeight="1" spans="1:15">
      <c r="A25" s="10">
        <v>23</v>
      </c>
      <c r="B25" s="11">
        <v>46090</v>
      </c>
      <c r="C25" s="12" t="s">
        <v>24</v>
      </c>
      <c r="D25" s="12" t="s">
        <v>140</v>
      </c>
      <c r="E25" s="13"/>
      <c r="F25" s="13">
        <v>3</v>
      </c>
      <c r="G25" s="21"/>
      <c r="I25" s="16">
        <v>23</v>
      </c>
      <c r="J25" s="11">
        <v>46090</v>
      </c>
      <c r="K25" s="12" t="s">
        <v>91</v>
      </c>
      <c r="L25" s="12" t="s">
        <v>140</v>
      </c>
      <c r="M25" s="13">
        <v>2</v>
      </c>
      <c r="N25" s="13">
        <v>1</v>
      </c>
      <c r="O25" s="21" t="s">
        <v>92</v>
      </c>
    </row>
    <row r="26" customFormat="1" ht="22" customHeight="1" spans="1:15">
      <c r="A26" s="10">
        <v>24</v>
      </c>
      <c r="B26" s="11">
        <v>46090</v>
      </c>
      <c r="C26" s="12" t="s">
        <v>25</v>
      </c>
      <c r="D26" s="12" t="s">
        <v>140</v>
      </c>
      <c r="E26" s="13">
        <v>2</v>
      </c>
      <c r="F26" s="13">
        <v>1</v>
      </c>
      <c r="G26" s="21"/>
      <c r="I26" s="16">
        <v>24</v>
      </c>
      <c r="J26" s="11">
        <v>46090</v>
      </c>
      <c r="K26" s="12" t="s">
        <v>93</v>
      </c>
      <c r="L26" s="12" t="s">
        <v>140</v>
      </c>
      <c r="M26" s="13"/>
      <c r="N26" s="13">
        <v>3</v>
      </c>
      <c r="O26" s="21" t="s">
        <v>94</v>
      </c>
    </row>
    <row r="27" customFormat="1" ht="22" customHeight="1" spans="1:15">
      <c r="A27" s="10">
        <v>25</v>
      </c>
      <c r="B27" s="11">
        <v>46090</v>
      </c>
      <c r="C27" s="12" t="s">
        <v>26</v>
      </c>
      <c r="D27" s="12" t="s">
        <v>140</v>
      </c>
      <c r="E27" s="13">
        <v>3</v>
      </c>
      <c r="F27" s="13"/>
      <c r="G27" s="21"/>
      <c r="I27" s="16"/>
      <c r="J27" s="11"/>
      <c r="K27" s="12"/>
      <c r="L27" s="12"/>
      <c r="M27" s="13"/>
      <c r="N27" s="13"/>
      <c r="O27" s="21"/>
    </row>
    <row r="28" customFormat="1" ht="22" customHeight="1" spans="1:15">
      <c r="A28" s="10">
        <v>26</v>
      </c>
      <c r="B28" s="11">
        <v>46090</v>
      </c>
      <c r="C28" s="12" t="s">
        <v>142</v>
      </c>
      <c r="D28" s="12" t="s">
        <v>140</v>
      </c>
      <c r="E28" s="13">
        <v>3</v>
      </c>
      <c r="F28" s="13"/>
      <c r="G28" s="21"/>
      <c r="J28" s="37"/>
      <c r="K28" s="37"/>
      <c r="L28" s="37"/>
      <c r="M28" s="38">
        <f>SUM(M3:M27)</f>
        <v>44</v>
      </c>
      <c r="N28" s="38">
        <f>SUM(N3:N27)</f>
        <v>28</v>
      </c>
    </row>
    <row r="29" customFormat="1" ht="22" customHeight="1" spans="1:15">
      <c r="A29" s="10">
        <v>27</v>
      </c>
      <c r="B29" s="11">
        <v>46090</v>
      </c>
      <c r="C29" s="12" t="s">
        <v>123</v>
      </c>
      <c r="D29" s="12" t="s">
        <v>140</v>
      </c>
      <c r="E29" s="13">
        <v>3</v>
      </c>
      <c r="F29" s="13"/>
      <c r="G29" s="21"/>
    </row>
    <row r="30" customFormat="1" ht="22" customHeight="1" spans="1:15">
      <c r="A30" s="10">
        <v>28</v>
      </c>
      <c r="B30" s="11">
        <v>46090</v>
      </c>
      <c r="C30" s="12" t="s">
        <v>124</v>
      </c>
      <c r="D30" s="12" t="s">
        <v>140</v>
      </c>
      <c r="E30" s="13"/>
      <c r="F30" s="13">
        <v>3</v>
      </c>
      <c r="G30" s="21"/>
    </row>
    <row r="31" customFormat="1" ht="22" customHeight="1" spans="1:15">
      <c r="A31" s="10">
        <v>29</v>
      </c>
      <c r="B31" s="11">
        <v>46090</v>
      </c>
      <c r="C31" s="12" t="s">
        <v>125</v>
      </c>
      <c r="D31" s="12" t="s">
        <v>140</v>
      </c>
      <c r="E31" s="13">
        <v>3</v>
      </c>
      <c r="F31" s="13"/>
      <c r="G31" s="21"/>
    </row>
    <row r="32" customFormat="1" ht="22" customHeight="1" spans="1:15">
      <c r="A32" s="10">
        <v>30</v>
      </c>
      <c r="B32" s="11">
        <v>46090</v>
      </c>
      <c r="C32" s="12" t="s">
        <v>29</v>
      </c>
      <c r="D32" s="12" t="s">
        <v>140</v>
      </c>
      <c r="E32" s="13"/>
      <c r="F32" s="13">
        <v>3</v>
      </c>
      <c r="G32" s="21"/>
    </row>
    <row r="33" customFormat="1" ht="22" customHeight="1" spans="1:8">
      <c r="A33" s="10">
        <v>31</v>
      </c>
      <c r="B33" s="11">
        <v>46090</v>
      </c>
      <c r="C33" s="12" t="s">
        <v>30</v>
      </c>
      <c r="D33" s="12" t="s">
        <v>140</v>
      </c>
      <c r="E33" s="13">
        <v>3</v>
      </c>
      <c r="F33" s="13"/>
      <c r="G33" s="21"/>
    </row>
    <row r="34" customFormat="1" ht="22" customHeight="1" spans="1:8">
      <c r="A34" s="10">
        <v>32</v>
      </c>
      <c r="B34" s="11">
        <v>46090</v>
      </c>
      <c r="C34" s="12" t="s">
        <v>31</v>
      </c>
      <c r="D34" s="12" t="s">
        <v>140</v>
      </c>
      <c r="E34" s="13"/>
      <c r="F34" s="13">
        <v>3</v>
      </c>
      <c r="G34" s="21"/>
    </row>
    <row r="35" customFormat="1" ht="22" customHeight="1" spans="1:8">
      <c r="A35" s="10">
        <v>33</v>
      </c>
      <c r="B35" s="11">
        <v>46090</v>
      </c>
      <c r="C35" s="12" t="s">
        <v>126</v>
      </c>
      <c r="D35" s="12" t="s">
        <v>140</v>
      </c>
      <c r="E35" s="13"/>
      <c r="F35" s="13">
        <v>3</v>
      </c>
      <c r="G35" s="21"/>
    </row>
    <row r="36" customFormat="1" ht="22" customHeight="1" spans="1:8">
      <c r="A36" s="10">
        <v>34</v>
      </c>
      <c r="B36" s="11">
        <v>46090</v>
      </c>
      <c r="C36" s="12" t="s">
        <v>127</v>
      </c>
      <c r="D36" s="12" t="s">
        <v>140</v>
      </c>
      <c r="E36" s="13">
        <v>3</v>
      </c>
      <c r="F36" s="13"/>
      <c r="G36" s="21"/>
    </row>
    <row r="37" customFormat="1" ht="22" customHeight="1" spans="1:8">
      <c r="A37" s="10"/>
      <c r="B37" s="11"/>
      <c r="C37" s="39" t="s">
        <v>132</v>
      </c>
      <c r="D37" s="12" t="s">
        <v>140</v>
      </c>
      <c r="E37" s="13"/>
      <c r="F37" s="13"/>
      <c r="G37" s="21" t="s">
        <v>143</v>
      </c>
      <c r="H37" t="s">
        <v>144</v>
      </c>
    </row>
    <row r="38" customFormat="1" ht="22" customHeight="1" spans="1:8">
      <c r="A38" s="10"/>
      <c r="B38" s="11"/>
      <c r="C38" s="12"/>
      <c r="D38" s="12"/>
      <c r="E38" s="13"/>
      <c r="F38" s="13"/>
      <c r="G38" s="21"/>
    </row>
    <row r="39" ht="21" customHeight="1" spans="1:8">
      <c r="B39" s="37"/>
      <c r="C39" s="37"/>
      <c r="D39" s="37"/>
      <c r="E39" s="38">
        <f>SUM(E3:E38)</f>
        <v>48</v>
      </c>
      <c r="F39" s="38">
        <f>SUM(F3:F38)</f>
        <v>54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topLeftCell="D33" workbookViewId="0">
      <selection activeCell="F43" sqref="M43:N43 E43:F4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8571428571429" customWidth="1"/>
    <col min="4" max="6" width="12.1428571428571" customWidth="1"/>
    <col min="7" max="7" width="25.2857142857143" customWidth="1"/>
    <col min="9" max="9" width="12.1428571428571" customWidth="1"/>
    <col min="10" max="10" width="14.4285714285714" customWidth="1"/>
    <col min="11" max="11" width="16.8571428571429" customWidth="1"/>
    <col min="12" max="14" width="12.1428571428571" customWidth="1"/>
    <col min="15" max="15" width="34" customWidth="1"/>
  </cols>
  <sheetData>
    <row r="1" ht="38" customHeight="1" spans="1:16">
      <c r="A1" s="2" t="s">
        <v>136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16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I2" s="6" t="s">
        <v>1</v>
      </c>
      <c r="J2" s="6" t="s">
        <v>98</v>
      </c>
      <c r="K2" s="6" t="s">
        <v>99</v>
      </c>
      <c r="L2" s="7" t="s">
        <v>137</v>
      </c>
      <c r="M2" s="8" t="s">
        <v>138</v>
      </c>
      <c r="N2" s="8" t="s">
        <v>139</v>
      </c>
      <c r="O2" s="8" t="s">
        <v>9</v>
      </c>
      <c r="P2"/>
    </row>
    <row r="3" ht="22" customHeight="1" spans="1:16">
      <c r="A3" s="10">
        <v>1</v>
      </c>
      <c r="B3" s="11">
        <v>46093</v>
      </c>
      <c r="C3" s="12" t="s">
        <v>102</v>
      </c>
      <c r="D3" s="12" t="s">
        <v>146</v>
      </c>
      <c r="E3" s="13">
        <v>1</v>
      </c>
      <c r="F3" s="13">
        <v>1</v>
      </c>
      <c r="G3" s="14"/>
      <c r="I3" s="16">
        <v>1</v>
      </c>
      <c r="J3" s="11">
        <v>46093</v>
      </c>
      <c r="K3" s="12" t="s">
        <v>53</v>
      </c>
      <c r="L3" s="12" t="s">
        <v>146</v>
      </c>
      <c r="M3" s="13">
        <v>1</v>
      </c>
      <c r="N3" s="13">
        <v>1</v>
      </c>
      <c r="O3" s="14" t="s">
        <v>12</v>
      </c>
    </row>
    <row r="4" ht="22" customHeight="1" spans="1:16">
      <c r="A4" s="10">
        <v>2</v>
      </c>
      <c r="B4" s="11">
        <v>46093</v>
      </c>
      <c r="C4" s="12" t="s">
        <v>103</v>
      </c>
      <c r="D4" s="12" t="s">
        <v>146</v>
      </c>
      <c r="E4" s="17"/>
      <c r="F4" s="13">
        <v>2</v>
      </c>
      <c r="G4" s="18"/>
      <c r="I4" s="16">
        <v>2</v>
      </c>
      <c r="J4" s="11">
        <v>46093</v>
      </c>
      <c r="K4" s="12" t="s">
        <v>57</v>
      </c>
      <c r="L4" s="12" t="s">
        <v>146</v>
      </c>
      <c r="M4" s="17">
        <v>2</v>
      </c>
      <c r="N4" s="13"/>
      <c r="O4" s="18"/>
    </row>
    <row r="5" ht="22" customHeight="1" spans="1:16">
      <c r="A5" s="10">
        <v>3</v>
      </c>
      <c r="B5" s="11">
        <v>46093</v>
      </c>
      <c r="C5" s="12" t="s">
        <v>104</v>
      </c>
      <c r="D5" s="12" t="s">
        <v>146</v>
      </c>
      <c r="E5" s="13"/>
      <c r="F5" s="13">
        <v>2</v>
      </c>
      <c r="G5" s="18"/>
      <c r="I5" s="16">
        <v>3</v>
      </c>
      <c r="J5" s="11">
        <v>46093</v>
      </c>
      <c r="K5" s="12" t="s">
        <v>59</v>
      </c>
      <c r="L5" s="12" t="s">
        <v>146</v>
      </c>
      <c r="M5" s="13">
        <v>2</v>
      </c>
      <c r="N5" s="13"/>
      <c r="O5" s="18"/>
    </row>
    <row r="6" ht="22" customHeight="1" spans="1:16">
      <c r="A6" s="10">
        <v>4</v>
      </c>
      <c r="B6" s="11">
        <v>46093</v>
      </c>
      <c r="C6" s="12" t="s">
        <v>105</v>
      </c>
      <c r="D6" s="12" t="s">
        <v>146</v>
      </c>
      <c r="E6" s="13"/>
      <c r="F6" s="13">
        <v>2</v>
      </c>
      <c r="G6" s="18"/>
      <c r="I6" s="16">
        <v>4</v>
      </c>
      <c r="J6" s="11">
        <v>46093</v>
      </c>
      <c r="K6" s="12" t="s">
        <v>60</v>
      </c>
      <c r="L6" s="12" t="s">
        <v>146</v>
      </c>
      <c r="M6" s="13"/>
      <c r="N6" s="13">
        <v>2</v>
      </c>
      <c r="O6" s="18" t="s">
        <v>61</v>
      </c>
    </row>
    <row r="7" ht="22" customHeight="1" spans="1:16">
      <c r="A7" s="10">
        <v>5</v>
      </c>
      <c r="B7" s="11">
        <v>46093</v>
      </c>
      <c r="C7" s="12" t="s">
        <v>106</v>
      </c>
      <c r="D7" s="12" t="s">
        <v>146</v>
      </c>
      <c r="E7" s="13"/>
      <c r="F7" s="13">
        <v>2</v>
      </c>
      <c r="G7" s="18"/>
      <c r="I7" s="16">
        <v>5</v>
      </c>
      <c r="J7" s="11">
        <v>46093</v>
      </c>
      <c r="K7" s="12" t="s">
        <v>62</v>
      </c>
      <c r="L7" s="12" t="s">
        <v>146</v>
      </c>
      <c r="M7" s="13"/>
      <c r="N7" s="13">
        <v>2</v>
      </c>
      <c r="O7" s="18" t="s">
        <v>5</v>
      </c>
    </row>
    <row r="8" ht="22" customHeight="1" spans="1:16">
      <c r="A8" s="10">
        <v>6</v>
      </c>
      <c r="B8" s="11">
        <v>46093</v>
      </c>
      <c r="C8" s="12" t="s">
        <v>107</v>
      </c>
      <c r="D8" s="12" t="s">
        <v>146</v>
      </c>
      <c r="E8" s="13">
        <v>2</v>
      </c>
      <c r="F8" s="13"/>
      <c r="G8" s="18"/>
      <c r="I8" s="16">
        <v>6</v>
      </c>
      <c r="J8" s="11">
        <v>46093</v>
      </c>
      <c r="K8" s="12" t="s">
        <v>64</v>
      </c>
      <c r="L8" s="12" t="s">
        <v>146</v>
      </c>
      <c r="M8" s="13"/>
      <c r="N8" s="13">
        <v>2</v>
      </c>
      <c r="O8" s="18" t="s">
        <v>5</v>
      </c>
    </row>
    <row r="9" ht="22" customHeight="1" spans="1:16">
      <c r="A9" s="10">
        <v>7</v>
      </c>
      <c r="B9" s="11">
        <v>46093</v>
      </c>
      <c r="C9" s="12" t="s">
        <v>108</v>
      </c>
      <c r="D9" s="12" t="s">
        <v>146</v>
      </c>
      <c r="E9" s="13">
        <v>2</v>
      </c>
      <c r="F9" s="13"/>
      <c r="G9" s="21"/>
      <c r="I9" s="16">
        <v>7</v>
      </c>
      <c r="J9" s="11">
        <v>46093</v>
      </c>
      <c r="K9" s="12" t="s">
        <v>65</v>
      </c>
      <c r="L9" s="12" t="s">
        <v>146</v>
      </c>
      <c r="M9" s="13"/>
      <c r="N9" s="13">
        <v>2</v>
      </c>
      <c r="O9" s="21" t="s">
        <v>5</v>
      </c>
    </row>
    <row r="10" ht="22" customHeight="1" spans="1:16">
      <c r="A10" s="10">
        <v>8</v>
      </c>
      <c r="B10" s="11">
        <v>46093</v>
      </c>
      <c r="C10" s="12" t="s">
        <v>109</v>
      </c>
      <c r="D10" s="12" t="s">
        <v>146</v>
      </c>
      <c r="E10" s="13"/>
      <c r="F10" s="13">
        <v>2</v>
      </c>
      <c r="G10" s="21"/>
      <c r="I10" s="16">
        <v>8</v>
      </c>
      <c r="J10" s="11">
        <v>46093</v>
      </c>
      <c r="K10" s="12" t="s">
        <v>67</v>
      </c>
      <c r="L10" s="12" t="s">
        <v>146</v>
      </c>
      <c r="M10" s="13">
        <v>2</v>
      </c>
      <c r="N10" s="13"/>
      <c r="O10" s="21"/>
    </row>
    <row r="11" customFormat="1" ht="22" customHeight="1" spans="1:16">
      <c r="A11" s="10">
        <v>9</v>
      </c>
      <c r="B11" s="11">
        <v>46093</v>
      </c>
      <c r="C11" s="12" t="s">
        <v>110</v>
      </c>
      <c r="D11" s="12" t="s">
        <v>146</v>
      </c>
      <c r="E11" s="13"/>
      <c r="F11" s="13">
        <v>2</v>
      </c>
      <c r="G11" s="21"/>
      <c r="I11" s="16">
        <v>9</v>
      </c>
      <c r="J11" s="11">
        <v>46093</v>
      </c>
      <c r="K11" s="12" t="s">
        <v>69</v>
      </c>
      <c r="L11" s="12" t="s">
        <v>146</v>
      </c>
      <c r="M11" s="13">
        <v>2</v>
      </c>
      <c r="N11" s="13"/>
      <c r="O11" s="21"/>
    </row>
    <row r="12" customFormat="1" ht="22" customHeight="1" spans="1:16">
      <c r="A12" s="10">
        <v>10</v>
      </c>
      <c r="B12" s="11">
        <v>46093</v>
      </c>
      <c r="C12" s="12" t="s">
        <v>111</v>
      </c>
      <c r="D12" s="12" t="s">
        <v>146</v>
      </c>
      <c r="E12" s="13">
        <v>2</v>
      </c>
      <c r="F12" s="13"/>
      <c r="G12" s="21"/>
      <c r="I12" s="16">
        <v>10</v>
      </c>
      <c r="J12" s="11">
        <v>46093</v>
      </c>
      <c r="K12" s="12" t="s">
        <v>70</v>
      </c>
      <c r="L12" s="12" t="s">
        <v>146</v>
      </c>
      <c r="M12" s="13"/>
      <c r="N12" s="13">
        <v>2</v>
      </c>
      <c r="O12" s="21" t="s">
        <v>71</v>
      </c>
    </row>
    <row r="13" customFormat="1" ht="22" customHeight="1" spans="1:16">
      <c r="A13" s="10">
        <v>11</v>
      </c>
      <c r="B13" s="11">
        <v>46093</v>
      </c>
      <c r="C13" s="12" t="s">
        <v>112</v>
      </c>
      <c r="D13" s="12" t="s">
        <v>146</v>
      </c>
      <c r="E13" s="13">
        <v>1</v>
      </c>
      <c r="F13" s="13">
        <v>1</v>
      </c>
      <c r="G13" s="21"/>
      <c r="I13" s="16">
        <v>11</v>
      </c>
      <c r="J13" s="11">
        <v>46093</v>
      </c>
      <c r="K13" s="12" t="s">
        <v>72</v>
      </c>
      <c r="L13" s="12" t="s">
        <v>146</v>
      </c>
      <c r="M13" s="13">
        <v>2</v>
      </c>
      <c r="N13" s="13"/>
      <c r="O13" s="21"/>
    </row>
    <row r="14" customFormat="1" ht="22" customHeight="1" spans="1:16">
      <c r="A14" s="10">
        <v>12</v>
      </c>
      <c r="B14" s="11">
        <v>46093</v>
      </c>
      <c r="C14" s="12" t="s">
        <v>113</v>
      </c>
      <c r="D14" s="12" t="s">
        <v>146</v>
      </c>
      <c r="E14" s="13">
        <v>1</v>
      </c>
      <c r="F14" s="13">
        <v>1</v>
      </c>
      <c r="G14" s="21"/>
      <c r="I14" s="16">
        <v>12</v>
      </c>
      <c r="J14" s="11">
        <v>46093</v>
      </c>
      <c r="K14" s="12" t="s">
        <v>73</v>
      </c>
      <c r="L14" s="12" t="s">
        <v>146</v>
      </c>
      <c r="M14" s="13">
        <v>2</v>
      </c>
      <c r="N14" s="13"/>
      <c r="O14" s="21"/>
    </row>
    <row r="15" customFormat="1" ht="22" customHeight="1" spans="1:16">
      <c r="A15" s="10">
        <v>13</v>
      </c>
      <c r="B15" s="11">
        <v>46093</v>
      </c>
      <c r="C15" s="12" t="s">
        <v>114</v>
      </c>
      <c r="D15" s="12" t="s">
        <v>146</v>
      </c>
      <c r="E15" s="13">
        <v>1</v>
      </c>
      <c r="F15" s="13">
        <v>1</v>
      </c>
      <c r="G15" s="21"/>
      <c r="I15" s="16">
        <v>13</v>
      </c>
      <c r="J15" s="11">
        <v>46093</v>
      </c>
      <c r="K15" s="12" t="s">
        <v>74</v>
      </c>
      <c r="L15" s="12" t="s">
        <v>146</v>
      </c>
      <c r="M15" s="13">
        <v>1</v>
      </c>
      <c r="N15" s="13">
        <v>1</v>
      </c>
      <c r="O15" s="21" t="s">
        <v>76</v>
      </c>
    </row>
    <row r="16" customFormat="1" ht="22" customHeight="1" spans="1:16">
      <c r="A16" s="10">
        <v>14</v>
      </c>
      <c r="B16" s="11">
        <v>46093</v>
      </c>
      <c r="C16" s="12" t="s">
        <v>115</v>
      </c>
      <c r="D16" s="12" t="s">
        <v>146</v>
      </c>
      <c r="E16" s="13">
        <v>2</v>
      </c>
      <c r="F16" s="13"/>
      <c r="G16" s="21"/>
      <c r="I16" s="16">
        <v>14</v>
      </c>
      <c r="J16" s="11">
        <v>46093</v>
      </c>
      <c r="K16" s="12" t="s">
        <v>77</v>
      </c>
      <c r="L16" s="12" t="s">
        <v>146</v>
      </c>
      <c r="M16" s="13">
        <v>1</v>
      </c>
      <c r="N16" s="13">
        <v>1</v>
      </c>
      <c r="O16" s="21" t="s">
        <v>78</v>
      </c>
    </row>
    <row r="17" customFormat="1" ht="22" customHeight="1" spans="1:15">
      <c r="A17" s="10">
        <v>15</v>
      </c>
      <c r="B17" s="11">
        <v>46093</v>
      </c>
      <c r="C17" s="12" t="s">
        <v>116</v>
      </c>
      <c r="D17" s="12" t="s">
        <v>146</v>
      </c>
      <c r="E17" s="13">
        <v>2</v>
      </c>
      <c r="F17" s="13"/>
      <c r="G17" s="21"/>
      <c r="I17" s="16">
        <v>15</v>
      </c>
      <c r="J17" s="11">
        <v>46093</v>
      </c>
      <c r="K17" s="12" t="s">
        <v>79</v>
      </c>
      <c r="L17" s="12" t="s">
        <v>146</v>
      </c>
      <c r="M17" s="13">
        <v>2</v>
      </c>
      <c r="N17" s="13"/>
      <c r="O17" s="21"/>
    </row>
    <row r="18" customFormat="1" ht="22" customHeight="1" spans="1:15">
      <c r="A18" s="10">
        <v>16</v>
      </c>
      <c r="B18" s="11">
        <v>46093</v>
      </c>
      <c r="C18" s="12" t="s">
        <v>117</v>
      </c>
      <c r="D18" s="12" t="s">
        <v>146</v>
      </c>
      <c r="E18" s="13"/>
      <c r="F18" s="13">
        <v>2</v>
      </c>
      <c r="G18" s="21"/>
      <c r="I18" s="16">
        <v>16</v>
      </c>
      <c r="J18" s="11">
        <v>46093</v>
      </c>
      <c r="K18" s="12" t="s">
        <v>81</v>
      </c>
      <c r="L18" s="12" t="s">
        <v>146</v>
      </c>
      <c r="M18" s="13"/>
      <c r="N18" s="13">
        <v>2</v>
      </c>
      <c r="O18" s="21" t="s">
        <v>82</v>
      </c>
    </row>
    <row r="19" customFormat="1" ht="22" customHeight="1" spans="1:15">
      <c r="A19" s="10">
        <v>17</v>
      </c>
      <c r="B19" s="11">
        <v>46093</v>
      </c>
      <c r="C19" s="12" t="s">
        <v>118</v>
      </c>
      <c r="D19" s="12" t="s">
        <v>146</v>
      </c>
      <c r="E19" s="13">
        <v>1</v>
      </c>
      <c r="F19" s="13">
        <v>1</v>
      </c>
      <c r="G19" s="21"/>
      <c r="I19" s="16">
        <v>17</v>
      </c>
      <c r="J19" s="11">
        <v>46093</v>
      </c>
      <c r="K19" s="12" t="s">
        <v>83</v>
      </c>
      <c r="L19" s="12" t="s">
        <v>146</v>
      </c>
      <c r="M19" s="13">
        <v>1</v>
      </c>
      <c r="N19" s="13">
        <v>1</v>
      </c>
      <c r="O19" s="21" t="s">
        <v>84</v>
      </c>
    </row>
    <row r="20" customFormat="1" ht="22" customHeight="1" spans="1:15">
      <c r="A20" s="10">
        <v>18</v>
      </c>
      <c r="B20" s="11">
        <v>46093</v>
      </c>
      <c r="C20" s="12" t="s">
        <v>119</v>
      </c>
      <c r="D20" s="12" t="s">
        <v>146</v>
      </c>
      <c r="E20" s="13">
        <v>2</v>
      </c>
      <c r="F20" s="13"/>
      <c r="G20" s="21"/>
      <c r="I20" s="16">
        <v>18</v>
      </c>
      <c r="J20" s="11">
        <v>46093</v>
      </c>
      <c r="K20" s="12" t="s">
        <v>85</v>
      </c>
      <c r="L20" s="12" t="s">
        <v>146</v>
      </c>
      <c r="M20" s="13">
        <v>2</v>
      </c>
      <c r="N20" s="13"/>
      <c r="O20" s="21"/>
    </row>
    <row r="21" customFormat="1" ht="22" customHeight="1" spans="1:15">
      <c r="A21" s="10">
        <v>19</v>
      </c>
      <c r="B21" s="11">
        <v>46093</v>
      </c>
      <c r="C21" s="12" t="s">
        <v>120</v>
      </c>
      <c r="D21" s="12" t="s">
        <v>146</v>
      </c>
      <c r="E21" s="13"/>
      <c r="F21" s="13">
        <v>2</v>
      </c>
      <c r="G21" s="21"/>
      <c r="I21" s="16">
        <v>19</v>
      </c>
      <c r="J21" s="11">
        <v>46093</v>
      </c>
      <c r="K21" s="12" t="s">
        <v>86</v>
      </c>
      <c r="L21" s="12" t="s">
        <v>146</v>
      </c>
      <c r="M21" s="13">
        <v>2</v>
      </c>
      <c r="N21" s="13"/>
      <c r="O21" s="21"/>
    </row>
    <row r="22" customFormat="1" ht="22" customHeight="1" spans="1:15">
      <c r="A22" s="10">
        <v>20</v>
      </c>
      <c r="B22" s="11">
        <v>46093</v>
      </c>
      <c r="C22" s="12" t="s">
        <v>121</v>
      </c>
      <c r="D22" s="12" t="s">
        <v>146</v>
      </c>
      <c r="E22" s="13"/>
      <c r="F22" s="13">
        <v>2</v>
      </c>
      <c r="G22" s="21"/>
      <c r="I22" s="16">
        <v>20</v>
      </c>
      <c r="J22" s="11">
        <v>46093</v>
      </c>
      <c r="K22" s="12" t="s">
        <v>87</v>
      </c>
      <c r="L22" s="12" t="s">
        <v>146</v>
      </c>
      <c r="M22" s="13">
        <v>2</v>
      </c>
      <c r="N22" s="13"/>
      <c r="O22" s="21"/>
    </row>
    <row r="23" customFormat="1" ht="22" customHeight="1" spans="1:15">
      <c r="A23" s="10">
        <v>21</v>
      </c>
      <c r="B23" s="11">
        <v>46093</v>
      </c>
      <c r="C23" s="12" t="s">
        <v>122</v>
      </c>
      <c r="D23" s="12" t="s">
        <v>146</v>
      </c>
      <c r="E23" s="13"/>
      <c r="F23" s="13">
        <v>2</v>
      </c>
      <c r="G23" s="21"/>
      <c r="I23" s="16">
        <v>21</v>
      </c>
      <c r="J23" s="11">
        <v>46093</v>
      </c>
      <c r="K23" s="12" t="s">
        <v>88</v>
      </c>
      <c r="L23" s="12" t="s">
        <v>146</v>
      </c>
      <c r="M23" s="13"/>
      <c r="N23" s="13">
        <v>2</v>
      </c>
      <c r="O23" s="21" t="s">
        <v>89</v>
      </c>
    </row>
    <row r="24" customFormat="1" ht="22" customHeight="1" spans="1:15">
      <c r="A24" s="10">
        <v>22</v>
      </c>
      <c r="B24" s="11">
        <v>46093</v>
      </c>
      <c r="C24" s="12" t="s">
        <v>23</v>
      </c>
      <c r="D24" s="12" t="s">
        <v>146</v>
      </c>
      <c r="E24" s="13"/>
      <c r="F24" s="13">
        <v>2</v>
      </c>
      <c r="G24" s="21"/>
      <c r="I24" s="16">
        <v>22</v>
      </c>
      <c r="J24" s="11">
        <v>46093</v>
      </c>
      <c r="K24" s="12" t="s">
        <v>90</v>
      </c>
      <c r="L24" s="12" t="s">
        <v>146</v>
      </c>
      <c r="M24" s="13">
        <v>2</v>
      </c>
      <c r="N24" s="13"/>
      <c r="O24" s="21"/>
    </row>
    <row r="25" customFormat="1" ht="22" customHeight="1" spans="1:15">
      <c r="A25" s="10">
        <v>23</v>
      </c>
      <c r="B25" s="11">
        <v>46093</v>
      </c>
      <c r="C25" s="12" t="s">
        <v>24</v>
      </c>
      <c r="D25" s="12" t="s">
        <v>146</v>
      </c>
      <c r="E25" s="13"/>
      <c r="F25" s="13">
        <v>2</v>
      </c>
      <c r="G25" s="21"/>
      <c r="I25" s="16">
        <v>23</v>
      </c>
      <c r="J25" s="11">
        <v>46093</v>
      </c>
      <c r="K25" s="12" t="s">
        <v>91</v>
      </c>
      <c r="L25" s="12" t="s">
        <v>146</v>
      </c>
      <c r="M25" s="13">
        <v>1</v>
      </c>
      <c r="N25" s="13">
        <v>1</v>
      </c>
      <c r="O25" s="21" t="s">
        <v>92</v>
      </c>
    </row>
    <row r="26" customFormat="1" ht="22" customHeight="1" spans="1:15">
      <c r="A26" s="10">
        <v>24</v>
      </c>
      <c r="B26" s="11">
        <v>46093</v>
      </c>
      <c r="C26" s="12" t="s">
        <v>25</v>
      </c>
      <c r="D26" s="12" t="s">
        <v>146</v>
      </c>
      <c r="E26" s="13">
        <v>1</v>
      </c>
      <c r="F26" s="13">
        <v>1</v>
      </c>
      <c r="G26" s="21"/>
      <c r="I26" s="16">
        <v>24</v>
      </c>
      <c r="J26" s="11">
        <v>46093</v>
      </c>
      <c r="K26" s="12" t="s">
        <v>93</v>
      </c>
      <c r="L26" s="12" t="s">
        <v>146</v>
      </c>
      <c r="M26" s="13"/>
      <c r="N26" s="13">
        <v>2</v>
      </c>
      <c r="O26" s="21" t="s">
        <v>94</v>
      </c>
    </row>
    <row r="27" customFormat="1" ht="22" customHeight="1" spans="1:15">
      <c r="A27" s="10">
        <v>25</v>
      </c>
      <c r="B27" s="11">
        <v>46093</v>
      </c>
      <c r="C27" s="12" t="s">
        <v>26</v>
      </c>
      <c r="D27" s="12" t="s">
        <v>146</v>
      </c>
      <c r="E27" s="13">
        <v>2</v>
      </c>
      <c r="F27" s="13"/>
      <c r="G27" s="21"/>
      <c r="I27" s="16"/>
      <c r="J27" s="11"/>
      <c r="K27" s="12"/>
      <c r="L27" s="12"/>
      <c r="M27" s="13"/>
      <c r="N27" s="13"/>
      <c r="O27" s="21"/>
    </row>
    <row r="28" customFormat="1" ht="22" customHeight="1" spans="1:15">
      <c r="A28" s="10">
        <v>26</v>
      </c>
      <c r="B28" s="11">
        <v>46093</v>
      </c>
      <c r="C28" s="12" t="s">
        <v>27</v>
      </c>
      <c r="D28" s="12" t="s">
        <v>146</v>
      </c>
      <c r="E28" s="13">
        <v>2</v>
      </c>
      <c r="F28" s="13"/>
      <c r="G28" s="21"/>
      <c r="I28" s="16"/>
      <c r="J28" s="11"/>
      <c r="K28" s="12"/>
      <c r="L28" s="12"/>
      <c r="M28" s="13"/>
      <c r="N28" s="13"/>
      <c r="O28" s="21"/>
    </row>
    <row r="29" customFormat="1" ht="22" customHeight="1" spans="1:15">
      <c r="A29" s="10">
        <v>27</v>
      </c>
      <c r="B29" s="11">
        <v>46093</v>
      </c>
      <c r="C29" s="12" t="s">
        <v>33</v>
      </c>
      <c r="D29" s="12" t="s">
        <v>146</v>
      </c>
      <c r="E29" s="13">
        <v>2</v>
      </c>
      <c r="F29" s="13"/>
      <c r="G29" s="21">
        <v>5</v>
      </c>
      <c r="I29" s="16"/>
      <c r="J29" s="11"/>
      <c r="K29" s="12"/>
      <c r="L29" s="12"/>
      <c r="M29" s="13"/>
      <c r="N29" s="13"/>
      <c r="O29" s="21"/>
    </row>
    <row r="30" customFormat="1" ht="22" customHeight="1" spans="1:15">
      <c r="A30" s="10">
        <v>28</v>
      </c>
      <c r="B30" s="11">
        <v>46093</v>
      </c>
      <c r="C30" s="12" t="s">
        <v>35</v>
      </c>
      <c r="D30" s="12" t="s">
        <v>146</v>
      </c>
      <c r="E30" s="13"/>
      <c r="F30" s="13">
        <v>2</v>
      </c>
      <c r="G30" s="21">
        <v>5</v>
      </c>
      <c r="I30" s="16"/>
      <c r="J30" s="11"/>
      <c r="K30" s="12"/>
      <c r="L30" s="12"/>
      <c r="M30" s="13"/>
      <c r="N30" s="13"/>
      <c r="O30" s="21"/>
    </row>
    <row r="31" customFormat="1" ht="22" customHeight="1" spans="1:15">
      <c r="A31" s="10">
        <v>29</v>
      </c>
      <c r="B31" s="11">
        <v>46093</v>
      </c>
      <c r="C31" s="12" t="s">
        <v>123</v>
      </c>
      <c r="D31" s="12" t="s">
        <v>146</v>
      </c>
      <c r="E31" s="13">
        <v>2</v>
      </c>
      <c r="F31" s="13"/>
      <c r="G31" s="21"/>
      <c r="I31" s="16"/>
      <c r="J31" s="11"/>
      <c r="K31" s="12"/>
      <c r="L31" s="12"/>
      <c r="M31" s="13"/>
      <c r="N31" s="13"/>
      <c r="O31" s="21"/>
    </row>
    <row r="32" customFormat="1" ht="22" customHeight="1" spans="1:15">
      <c r="A32" s="10">
        <v>30</v>
      </c>
      <c r="B32" s="11">
        <v>46093</v>
      </c>
      <c r="C32" s="12" t="s">
        <v>124</v>
      </c>
      <c r="D32" s="12" t="s">
        <v>146</v>
      </c>
      <c r="E32" s="13"/>
      <c r="F32" s="13">
        <v>2</v>
      </c>
      <c r="G32" s="21"/>
      <c r="I32" s="16"/>
      <c r="J32" s="11"/>
      <c r="K32" s="12"/>
      <c r="L32" s="12"/>
      <c r="M32" s="13"/>
      <c r="N32" s="13"/>
      <c r="O32" s="21"/>
    </row>
    <row r="33" customFormat="1" ht="22" customHeight="1" spans="1:15">
      <c r="A33" s="10">
        <v>31</v>
      </c>
      <c r="B33" s="11">
        <v>46093</v>
      </c>
      <c r="C33" s="12" t="s">
        <v>125</v>
      </c>
      <c r="D33" s="12" t="s">
        <v>146</v>
      </c>
      <c r="E33" s="13">
        <v>2</v>
      </c>
      <c r="F33" s="13"/>
      <c r="G33" s="21"/>
      <c r="I33" s="16"/>
      <c r="J33" s="11"/>
      <c r="K33" s="12"/>
      <c r="L33" s="12"/>
      <c r="M33" s="13"/>
      <c r="N33" s="13"/>
      <c r="O33" s="21"/>
    </row>
    <row r="34" customFormat="1" ht="22" customHeight="1" spans="1:15">
      <c r="A34" s="10">
        <v>32</v>
      </c>
      <c r="B34" s="11">
        <v>46093</v>
      </c>
      <c r="C34" s="12" t="s">
        <v>29</v>
      </c>
      <c r="D34" s="12" t="s">
        <v>146</v>
      </c>
      <c r="E34" s="13"/>
      <c r="F34" s="13">
        <v>2</v>
      </c>
      <c r="G34" s="21"/>
      <c r="I34" s="16"/>
      <c r="J34" s="11"/>
      <c r="K34" s="12"/>
      <c r="L34" s="12"/>
      <c r="M34" s="13"/>
      <c r="N34" s="13"/>
      <c r="O34" s="21"/>
    </row>
    <row r="35" customFormat="1" ht="22" customHeight="1" spans="1:15">
      <c r="A35" s="10">
        <v>33</v>
      </c>
      <c r="B35" s="11">
        <v>46093</v>
      </c>
      <c r="C35" s="12" t="s">
        <v>30</v>
      </c>
      <c r="D35" s="12" t="s">
        <v>146</v>
      </c>
      <c r="E35" s="13">
        <v>2</v>
      </c>
      <c r="F35" s="13"/>
      <c r="G35" s="21"/>
      <c r="I35" s="16"/>
      <c r="J35" s="11"/>
      <c r="K35" s="12"/>
      <c r="L35" s="12"/>
      <c r="M35" s="13"/>
      <c r="N35" s="13"/>
      <c r="O35" s="21"/>
    </row>
    <row r="36" customFormat="1" ht="22" customHeight="1" spans="1:15">
      <c r="A36" s="10">
        <v>34</v>
      </c>
      <c r="B36" s="11">
        <v>46093</v>
      </c>
      <c r="C36" s="12" t="s">
        <v>31</v>
      </c>
      <c r="D36" s="12" t="s">
        <v>146</v>
      </c>
      <c r="E36" s="13"/>
      <c r="F36" s="13">
        <v>2</v>
      </c>
      <c r="G36" s="21"/>
      <c r="I36" s="16"/>
      <c r="J36" s="11"/>
      <c r="K36" s="12"/>
      <c r="L36" s="12"/>
      <c r="M36" s="13"/>
      <c r="N36" s="13"/>
      <c r="O36" s="21"/>
    </row>
    <row r="37" customFormat="1" ht="22" customHeight="1" spans="1:15">
      <c r="A37" s="10">
        <v>35</v>
      </c>
      <c r="B37" s="11">
        <v>46093</v>
      </c>
      <c r="C37" s="12" t="s">
        <v>126</v>
      </c>
      <c r="D37" s="12" t="s">
        <v>146</v>
      </c>
      <c r="E37" s="13"/>
      <c r="F37" s="13">
        <v>2</v>
      </c>
      <c r="G37" s="21"/>
      <c r="I37" s="16"/>
      <c r="J37" s="11"/>
      <c r="K37" s="12"/>
      <c r="L37" s="12"/>
      <c r="M37" s="13"/>
      <c r="N37" s="13"/>
      <c r="O37" s="21"/>
    </row>
    <row r="38" customFormat="1" ht="22" customHeight="1" spans="1:15">
      <c r="A38" s="10">
        <v>36</v>
      </c>
      <c r="B38" s="11">
        <v>46093</v>
      </c>
      <c r="C38" s="12" t="s">
        <v>127</v>
      </c>
      <c r="D38" s="12" t="s">
        <v>146</v>
      </c>
      <c r="E38" s="13">
        <v>2</v>
      </c>
      <c r="F38" s="13"/>
      <c r="G38" s="21"/>
      <c r="I38" s="16"/>
      <c r="J38" s="11"/>
      <c r="K38" s="12"/>
      <c r="L38" s="12"/>
      <c r="M38" s="13"/>
      <c r="N38" s="13"/>
      <c r="O38" s="21"/>
    </row>
    <row r="39" customFormat="1" ht="22" customHeight="1" spans="1:15">
      <c r="A39" s="10">
        <v>37</v>
      </c>
      <c r="B39" s="11">
        <v>46093</v>
      </c>
      <c r="C39" s="12" t="s">
        <v>33</v>
      </c>
      <c r="D39" s="12" t="s">
        <v>140</v>
      </c>
      <c r="E39" s="13">
        <v>3</v>
      </c>
      <c r="F39" s="13"/>
      <c r="G39" s="21" t="s">
        <v>147</v>
      </c>
      <c r="I39" s="16"/>
      <c r="J39" s="11"/>
      <c r="K39" s="12"/>
      <c r="L39" s="12"/>
      <c r="M39" s="13"/>
      <c r="N39" s="13"/>
      <c r="O39" s="21"/>
    </row>
    <row r="40" customFormat="1" ht="22" customHeight="1" spans="1:15">
      <c r="A40" s="10">
        <v>38</v>
      </c>
      <c r="B40" s="11">
        <v>46093</v>
      </c>
      <c r="C40" s="12" t="s">
        <v>35</v>
      </c>
      <c r="D40" s="12" t="s">
        <v>140</v>
      </c>
      <c r="E40" s="13"/>
      <c r="F40" s="13">
        <v>3</v>
      </c>
      <c r="G40" s="21" t="s">
        <v>147</v>
      </c>
      <c r="I40" s="16"/>
      <c r="J40" s="11"/>
      <c r="K40" s="12"/>
      <c r="L40" s="12"/>
      <c r="M40" s="13"/>
      <c r="N40" s="13"/>
      <c r="O40" s="21"/>
    </row>
    <row r="41" customFormat="1" ht="22" customHeight="1" spans="1:15">
      <c r="A41" s="10">
        <v>39</v>
      </c>
      <c r="B41" s="11"/>
      <c r="C41" s="39" t="s">
        <v>132</v>
      </c>
      <c r="D41" s="12" t="s">
        <v>146</v>
      </c>
      <c r="E41" s="13"/>
      <c r="F41" s="13"/>
      <c r="G41" s="21" t="s">
        <v>143</v>
      </c>
      <c r="H41" t="s">
        <v>144</v>
      </c>
      <c r="I41" s="16"/>
      <c r="J41" s="11"/>
      <c r="K41" s="12"/>
      <c r="L41" s="12"/>
      <c r="M41" s="13"/>
      <c r="N41" s="13"/>
      <c r="O41" s="21"/>
    </row>
    <row r="42" customFormat="1" ht="22" customHeight="1" spans="1:15">
      <c r="A42" s="10"/>
      <c r="B42" s="11"/>
      <c r="C42" s="12"/>
      <c r="D42" s="12"/>
      <c r="E42" s="13"/>
      <c r="F42" s="13"/>
      <c r="G42" s="21"/>
      <c r="I42" s="16"/>
      <c r="J42" s="11"/>
      <c r="K42" s="12"/>
      <c r="L42" s="12"/>
      <c r="M42" s="13"/>
      <c r="N42" s="13"/>
      <c r="O42" s="21"/>
    </row>
    <row r="43" customFormat="1" ht="22" customHeight="1" spans="1:15">
      <c r="E43">
        <f>SUM(E3:E42)</f>
        <v>35</v>
      </c>
      <c r="F43">
        <f>SUM(F3:F42)</f>
        <v>43</v>
      </c>
      <c r="M43" s="13">
        <f>SUM(M3:M42)</f>
        <v>27</v>
      </c>
      <c r="N43" s="13">
        <f>SUM(N3:N42)</f>
        <v>21</v>
      </c>
    </row>
    <row r="44" customFormat="1" ht="22" customHeight="1"/>
    <row r="45" customFormat="1" ht="22" customHeight="1"/>
    <row r="46" customFormat="1" ht="22" customHeight="1"/>
    <row r="47" customFormat="1" ht="22" customHeight="1"/>
    <row r="48" customFormat="1" ht="22" customHeight="1"/>
    <row r="49" customFormat="1" ht="22" customHeight="1"/>
    <row r="50" customFormat="1" ht="22" customHeight="1"/>
    <row r="51" customFormat="1" ht="22" customHeight="1"/>
    <row r="52" customFormat="1" ht="22" customHeight="1"/>
    <row r="53" customFormat="1" ht="22" customHeight="1"/>
    <row r="54" customFormat="1" ht="22" customHeight="1"/>
    <row r="55" customFormat="1" ht="22" customHeight="1"/>
    <row r="56" customFormat="1" ht="22" customHeight="1"/>
    <row r="57" customFormat="1" ht="22" customHeight="1"/>
    <row r="58" customFormat="1" ht="22" customHeight="1"/>
    <row r="59" customFormat="1" ht="22" customHeight="1"/>
    <row r="60" customFormat="1" ht="22" customHeight="1"/>
    <row r="61" customFormat="1" ht="22" customHeight="1"/>
    <row r="62" customFormat="1" ht="22" customHeight="1"/>
    <row r="63" customFormat="1" ht="22" customHeight="1"/>
    <row r="64" customFormat="1" ht="22" customHeight="1"/>
    <row r="65" customFormat="1" ht="22" customHeight="1" spans="1:15">
      <c r="A65" s="10"/>
      <c r="B65" s="11"/>
      <c r="C65" s="12"/>
      <c r="D65" s="12"/>
      <c r="E65" s="13"/>
      <c r="F65" s="13"/>
      <c r="G65" s="21"/>
      <c r="I65" s="10"/>
      <c r="J65" s="11"/>
      <c r="K65" s="12"/>
      <c r="L65" s="12"/>
      <c r="M65" s="13"/>
      <c r="N65" s="13"/>
      <c r="O65" s="21"/>
    </row>
    <row r="66" ht="21" customHeight="1" spans="1:15">
      <c r="B66" s="37"/>
      <c r="C66" s="37"/>
      <c r="D66" s="37"/>
      <c r="E66" s="38">
        <f>SUM(E3:E65)</f>
        <v>70</v>
      </c>
      <c r="F66" s="38">
        <f>SUM(F3:F65)</f>
        <v>86</v>
      </c>
      <c r="J66" s="37"/>
      <c r="K66" s="37"/>
      <c r="L66" s="37"/>
      <c r="M66" s="38"/>
      <c r="N66" s="38"/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"/>
  <sheetViews>
    <sheetView topLeftCell="A21" workbookViewId="0">
      <selection activeCell="P43" sqref="F44:G44 O43:P43"/>
    </sheetView>
  </sheetViews>
  <sheetFormatPr defaultColWidth="9.14285714285714" defaultRowHeight="12"/>
  <cols>
    <col min="1" max="2" width="12.1428571428571" customWidth="1"/>
    <col min="3" max="3" width="14.4285714285714" customWidth="1"/>
    <col min="4" max="4" width="16.8571428571429" customWidth="1"/>
    <col min="5" max="7" width="12.1428571428571" customWidth="1"/>
    <col min="8" max="8" width="9.42857142857143" customWidth="1"/>
    <col min="9" max="9" width="25.2857142857143" customWidth="1"/>
    <col min="11" max="11" width="12.1428571428571" customWidth="1"/>
    <col min="12" max="12" width="14.4285714285714" customWidth="1"/>
    <col min="13" max="13" width="16.8571428571429" customWidth="1"/>
    <col min="14" max="16" width="12.1428571428571" customWidth="1"/>
    <col min="17" max="17" width="34" customWidth="1"/>
  </cols>
  <sheetData>
    <row r="1" ht="38" customHeight="1" spans="1:18">
      <c r="A1" s="2" t="s">
        <v>136</v>
      </c>
      <c r="B1" s="2"/>
      <c r="C1" s="2"/>
      <c r="D1" s="2"/>
      <c r="E1" s="2"/>
      <c r="F1" s="2"/>
      <c r="G1" s="3"/>
      <c r="H1" s="4"/>
      <c r="I1" s="5"/>
      <c r="K1" s="2" t="s">
        <v>145</v>
      </c>
      <c r="L1" s="2"/>
      <c r="M1" s="2"/>
      <c r="N1" s="2"/>
      <c r="O1" s="2"/>
      <c r="P1" s="3"/>
      <c r="Q1" s="4"/>
    </row>
    <row r="2" s="1" customFormat="1" ht="32" customHeight="1" spans="1:18">
      <c r="A2" s="6" t="s">
        <v>1</v>
      </c>
      <c r="B2" s="6" t="s">
        <v>1</v>
      </c>
      <c r="C2" s="6" t="s">
        <v>98</v>
      </c>
      <c r="D2" s="6" t="s">
        <v>99</v>
      </c>
      <c r="E2" s="7" t="s">
        <v>137</v>
      </c>
      <c r="F2" s="8" t="s">
        <v>138</v>
      </c>
      <c r="G2" s="8" t="s">
        <v>139</v>
      </c>
      <c r="H2" s="8" t="s">
        <v>9</v>
      </c>
      <c r="I2" s="9"/>
      <c r="K2" s="6" t="s">
        <v>1</v>
      </c>
      <c r="L2" s="6" t="s">
        <v>98</v>
      </c>
      <c r="M2" s="6" t="s">
        <v>99</v>
      </c>
      <c r="N2" s="7" t="s">
        <v>137</v>
      </c>
      <c r="O2" s="8" t="s">
        <v>138</v>
      </c>
      <c r="P2" s="8" t="s">
        <v>139</v>
      </c>
      <c r="Q2" s="8" t="s">
        <v>9</v>
      </c>
      <c r="R2"/>
    </row>
    <row r="3" ht="22" customHeight="1" spans="1:18">
      <c r="A3" s="10">
        <v>1</v>
      </c>
      <c r="B3" s="10">
        <v>1</v>
      </c>
      <c r="C3" s="11">
        <v>46097</v>
      </c>
      <c r="D3" s="12" t="s">
        <v>102</v>
      </c>
      <c r="E3" s="12" t="s">
        <v>140</v>
      </c>
      <c r="F3" s="13">
        <v>1</v>
      </c>
      <c r="G3" s="13">
        <v>2</v>
      </c>
      <c r="H3" s="14"/>
      <c r="I3" s="15"/>
      <c r="J3" s="15">
        <f>SUM(F3:G3)</f>
        <v>3</v>
      </c>
      <c r="K3" s="16">
        <v>1</v>
      </c>
      <c r="L3" s="11">
        <v>46097</v>
      </c>
      <c r="M3" s="12" t="s">
        <v>53</v>
      </c>
      <c r="N3" s="12" t="s">
        <v>140</v>
      </c>
      <c r="O3" s="13">
        <v>1</v>
      </c>
      <c r="P3" s="13">
        <v>2</v>
      </c>
      <c r="Q3" s="14" t="s">
        <v>12</v>
      </c>
      <c r="R3">
        <f>SUM(O3:P3)</f>
        <v>3</v>
      </c>
    </row>
    <row r="4" ht="22" customHeight="1" spans="1:18">
      <c r="A4" s="10">
        <v>2</v>
      </c>
      <c r="B4" s="10">
        <v>2</v>
      </c>
      <c r="C4" s="11">
        <v>46097</v>
      </c>
      <c r="D4" s="12" t="s">
        <v>103</v>
      </c>
      <c r="E4" s="12" t="s">
        <v>140</v>
      </c>
      <c r="F4" s="17"/>
      <c r="G4" s="13">
        <v>3</v>
      </c>
      <c r="H4" s="18"/>
      <c r="I4" s="15"/>
      <c r="J4" s="15">
        <f t="shared" ref="J4:J38" si="0">SUM(F4:G4)</f>
        <v>3</v>
      </c>
      <c r="K4" s="16">
        <v>2</v>
      </c>
      <c r="L4" s="11">
        <v>46097</v>
      </c>
      <c r="M4" s="12" t="s">
        <v>57</v>
      </c>
      <c r="N4" s="12" t="s">
        <v>140</v>
      </c>
      <c r="O4" s="17">
        <v>3</v>
      </c>
      <c r="P4" s="13"/>
      <c r="Q4" s="18"/>
      <c r="R4">
        <f t="shared" ref="R4:R27" si="1">SUM(O4:P4)</f>
        <v>3</v>
      </c>
    </row>
    <row r="5" ht="22" customHeight="1" spans="1:18">
      <c r="A5" s="10">
        <v>3</v>
      </c>
      <c r="B5" s="10">
        <v>3</v>
      </c>
      <c r="C5" s="11">
        <v>46097</v>
      </c>
      <c r="D5" s="12" t="s">
        <v>104</v>
      </c>
      <c r="E5" s="12" t="s">
        <v>140</v>
      </c>
      <c r="F5" s="13"/>
      <c r="G5" s="13">
        <v>3</v>
      </c>
      <c r="H5" s="18"/>
      <c r="I5" s="15"/>
      <c r="J5" s="15">
        <f t="shared" si="0"/>
        <v>3</v>
      </c>
      <c r="K5" s="16">
        <v>3</v>
      </c>
      <c r="L5" s="11">
        <v>46097</v>
      </c>
      <c r="M5" s="12" t="s">
        <v>59</v>
      </c>
      <c r="N5" s="12" t="s">
        <v>140</v>
      </c>
      <c r="O5" s="17">
        <v>3</v>
      </c>
      <c r="P5" s="13"/>
      <c r="Q5" s="18"/>
      <c r="R5">
        <f t="shared" si="1"/>
        <v>3</v>
      </c>
    </row>
    <row r="6" ht="22" customHeight="1" spans="1:18">
      <c r="A6" s="10">
        <v>4</v>
      </c>
      <c r="B6" s="10">
        <v>4</v>
      </c>
      <c r="C6" s="11">
        <v>46097</v>
      </c>
      <c r="D6" s="12" t="s">
        <v>105</v>
      </c>
      <c r="E6" s="12" t="s">
        <v>140</v>
      </c>
      <c r="F6" s="13"/>
      <c r="G6" s="13">
        <v>3</v>
      </c>
      <c r="H6" s="18"/>
      <c r="I6" s="15"/>
      <c r="J6" s="15">
        <f t="shared" si="0"/>
        <v>3</v>
      </c>
      <c r="K6" s="16">
        <v>4</v>
      </c>
      <c r="L6" s="11">
        <v>46097</v>
      </c>
      <c r="M6" s="12" t="s">
        <v>60</v>
      </c>
      <c r="N6" s="12" t="s">
        <v>140</v>
      </c>
      <c r="O6" s="13"/>
      <c r="P6" s="17">
        <v>3</v>
      </c>
      <c r="Q6" s="18" t="s">
        <v>61</v>
      </c>
      <c r="R6">
        <f t="shared" si="1"/>
        <v>3</v>
      </c>
    </row>
    <row r="7" ht="22" customHeight="1" spans="1:18">
      <c r="A7" s="10">
        <v>5</v>
      </c>
      <c r="B7" s="10">
        <v>5</v>
      </c>
      <c r="C7" s="11">
        <v>46097</v>
      </c>
      <c r="D7" s="12" t="s">
        <v>106</v>
      </c>
      <c r="E7" s="12" t="s">
        <v>140</v>
      </c>
      <c r="F7" s="13"/>
      <c r="G7" s="13">
        <v>3</v>
      </c>
      <c r="H7" s="18"/>
      <c r="I7" s="15"/>
      <c r="J7" s="15">
        <f t="shared" si="0"/>
        <v>3</v>
      </c>
      <c r="K7" s="16">
        <v>5</v>
      </c>
      <c r="L7" s="11">
        <v>46097</v>
      </c>
      <c r="M7" s="12" t="s">
        <v>62</v>
      </c>
      <c r="N7" s="12" t="s">
        <v>140</v>
      </c>
      <c r="O7" s="13"/>
      <c r="P7" s="17">
        <v>3</v>
      </c>
      <c r="Q7" s="18" t="s">
        <v>5</v>
      </c>
      <c r="R7">
        <f t="shared" si="1"/>
        <v>3</v>
      </c>
    </row>
    <row r="8" ht="22" customHeight="1" spans="1:18">
      <c r="A8" s="10">
        <v>6</v>
      </c>
      <c r="B8" s="10">
        <v>6</v>
      </c>
      <c r="C8" s="11">
        <v>46097</v>
      </c>
      <c r="D8" s="12" t="s">
        <v>107</v>
      </c>
      <c r="E8" s="12" t="s">
        <v>140</v>
      </c>
      <c r="F8" s="13">
        <v>3</v>
      </c>
      <c r="G8" s="13"/>
      <c r="H8" s="18"/>
      <c r="I8" s="15"/>
      <c r="J8" s="15">
        <f t="shared" si="0"/>
        <v>3</v>
      </c>
      <c r="K8" s="16">
        <v>6</v>
      </c>
      <c r="L8" s="11">
        <v>46097</v>
      </c>
      <c r="M8" s="12" t="s">
        <v>64</v>
      </c>
      <c r="N8" s="12" t="s">
        <v>140</v>
      </c>
      <c r="O8" s="13"/>
      <c r="P8" s="17">
        <v>3</v>
      </c>
      <c r="Q8" s="18" t="s">
        <v>5</v>
      </c>
      <c r="R8">
        <f t="shared" si="1"/>
        <v>3</v>
      </c>
    </row>
    <row r="9" ht="22" customHeight="1" spans="1:18">
      <c r="A9" s="10">
        <v>7</v>
      </c>
      <c r="B9" s="10">
        <v>7</v>
      </c>
      <c r="C9" s="11">
        <v>46097</v>
      </c>
      <c r="D9" s="12" t="s">
        <v>108</v>
      </c>
      <c r="E9" s="12" t="s">
        <v>140</v>
      </c>
      <c r="F9" s="13">
        <v>3</v>
      </c>
      <c r="G9" s="13"/>
      <c r="H9" s="21"/>
      <c r="I9" s="15"/>
      <c r="J9" s="15">
        <f t="shared" si="0"/>
        <v>3</v>
      </c>
      <c r="K9" s="16">
        <v>7</v>
      </c>
      <c r="L9" s="11">
        <v>46097</v>
      </c>
      <c r="M9" s="12" t="s">
        <v>65</v>
      </c>
      <c r="N9" s="12" t="s">
        <v>140</v>
      </c>
      <c r="O9" s="13"/>
      <c r="P9" s="17">
        <v>3</v>
      </c>
      <c r="Q9" s="21" t="s">
        <v>5</v>
      </c>
      <c r="R9">
        <f t="shared" si="1"/>
        <v>3</v>
      </c>
    </row>
    <row r="10" ht="22" customHeight="1" spans="1:18">
      <c r="A10" s="10">
        <v>8</v>
      </c>
      <c r="B10" s="10">
        <v>8</v>
      </c>
      <c r="C10" s="11">
        <v>46097</v>
      </c>
      <c r="D10" s="12" t="s">
        <v>109</v>
      </c>
      <c r="E10" s="12" t="s">
        <v>140</v>
      </c>
      <c r="F10" s="13"/>
      <c r="G10" s="13">
        <v>3</v>
      </c>
      <c r="H10" s="21"/>
      <c r="I10" s="15"/>
      <c r="J10" s="15">
        <f t="shared" si="0"/>
        <v>3</v>
      </c>
      <c r="K10" s="16">
        <v>8</v>
      </c>
      <c r="L10" s="11">
        <v>46097</v>
      </c>
      <c r="M10" s="12" t="s">
        <v>67</v>
      </c>
      <c r="N10" s="12" t="s">
        <v>140</v>
      </c>
      <c r="O10" s="17">
        <v>3</v>
      </c>
      <c r="P10" s="13"/>
      <c r="Q10" s="21"/>
      <c r="R10">
        <f t="shared" si="1"/>
        <v>3</v>
      </c>
    </row>
    <row r="11" customFormat="1" ht="22" customHeight="1" spans="1:18">
      <c r="A11" s="10">
        <v>9</v>
      </c>
      <c r="B11" s="10">
        <v>9</v>
      </c>
      <c r="C11" s="11">
        <v>46097</v>
      </c>
      <c r="D11" s="12" t="s">
        <v>110</v>
      </c>
      <c r="E11" s="12" t="s">
        <v>140</v>
      </c>
      <c r="F11" s="13"/>
      <c r="G11" s="13">
        <v>3</v>
      </c>
      <c r="H11" s="21"/>
      <c r="I11" s="15"/>
      <c r="J11" s="15">
        <f t="shared" si="0"/>
        <v>3</v>
      </c>
      <c r="K11" s="16">
        <v>9</v>
      </c>
      <c r="L11" s="11">
        <v>46097</v>
      </c>
      <c r="M11" s="12" t="s">
        <v>69</v>
      </c>
      <c r="N11" s="12" t="s">
        <v>140</v>
      </c>
      <c r="O11" s="17">
        <v>3</v>
      </c>
      <c r="P11" s="13"/>
      <c r="Q11" s="21"/>
      <c r="R11">
        <f t="shared" si="1"/>
        <v>3</v>
      </c>
    </row>
    <row r="12" customFormat="1" ht="22" customHeight="1" spans="1:18">
      <c r="A12" s="10">
        <v>10</v>
      </c>
      <c r="B12" s="10">
        <v>10</v>
      </c>
      <c r="C12" s="11">
        <v>46097</v>
      </c>
      <c r="D12" s="12" t="s">
        <v>111</v>
      </c>
      <c r="E12" s="12" t="s">
        <v>140</v>
      </c>
      <c r="F12" s="13">
        <v>3</v>
      </c>
      <c r="G12" s="13"/>
      <c r="H12" s="21"/>
      <c r="I12" s="15"/>
      <c r="J12" s="15">
        <f t="shared" si="0"/>
        <v>3</v>
      </c>
      <c r="K12" s="16">
        <v>10</v>
      </c>
      <c r="L12" s="11">
        <v>46097</v>
      </c>
      <c r="M12" s="12" t="s">
        <v>70</v>
      </c>
      <c r="N12" s="12" t="s">
        <v>140</v>
      </c>
      <c r="O12" s="13"/>
      <c r="P12" s="17">
        <v>3</v>
      </c>
      <c r="Q12" s="21" t="s">
        <v>71</v>
      </c>
      <c r="R12">
        <f t="shared" si="1"/>
        <v>3</v>
      </c>
    </row>
    <row r="13" customFormat="1" ht="22" customHeight="1" spans="1:18">
      <c r="A13" s="10">
        <v>11</v>
      </c>
      <c r="B13" s="10">
        <v>11</v>
      </c>
      <c r="C13" s="11">
        <v>46097</v>
      </c>
      <c r="D13" s="12" t="s">
        <v>112</v>
      </c>
      <c r="E13" s="12" t="s">
        <v>140</v>
      </c>
      <c r="F13" s="13">
        <v>1</v>
      </c>
      <c r="G13" s="13">
        <v>2</v>
      </c>
      <c r="H13" s="21"/>
      <c r="I13" s="15"/>
      <c r="J13" s="15">
        <f t="shared" si="0"/>
        <v>3</v>
      </c>
      <c r="K13" s="16">
        <v>11</v>
      </c>
      <c r="L13" s="11">
        <v>46097</v>
      </c>
      <c r="M13" s="12" t="s">
        <v>72</v>
      </c>
      <c r="N13" s="12" t="s">
        <v>140</v>
      </c>
      <c r="O13" s="17">
        <v>3</v>
      </c>
      <c r="P13" s="13"/>
      <c r="Q13" s="21"/>
      <c r="R13">
        <f t="shared" si="1"/>
        <v>3</v>
      </c>
    </row>
    <row r="14" customFormat="1" ht="22" customHeight="1" spans="1:18">
      <c r="A14" s="10">
        <v>12</v>
      </c>
      <c r="B14" s="10">
        <v>12</v>
      </c>
      <c r="C14" s="11">
        <v>46097</v>
      </c>
      <c r="D14" s="12" t="s">
        <v>113</v>
      </c>
      <c r="E14" s="12" t="s">
        <v>140</v>
      </c>
      <c r="F14" s="13">
        <v>1</v>
      </c>
      <c r="G14" s="13">
        <v>2</v>
      </c>
      <c r="H14" s="21"/>
      <c r="I14" s="15"/>
      <c r="J14" s="15">
        <f t="shared" si="0"/>
        <v>3</v>
      </c>
      <c r="K14" s="16">
        <v>12</v>
      </c>
      <c r="L14" s="11">
        <v>46097</v>
      </c>
      <c r="M14" s="12" t="s">
        <v>73</v>
      </c>
      <c r="N14" s="12" t="s">
        <v>140</v>
      </c>
      <c r="O14" s="17">
        <v>3</v>
      </c>
      <c r="P14" s="13"/>
      <c r="Q14" s="21"/>
      <c r="R14">
        <f t="shared" si="1"/>
        <v>3</v>
      </c>
    </row>
    <row r="15" customFormat="1" ht="22" customHeight="1" spans="1:18">
      <c r="A15" s="10">
        <v>13</v>
      </c>
      <c r="B15" s="10">
        <v>13</v>
      </c>
      <c r="C15" s="11">
        <v>46097</v>
      </c>
      <c r="D15" s="12" t="s">
        <v>114</v>
      </c>
      <c r="E15" s="12" t="s">
        <v>140</v>
      </c>
      <c r="F15" s="13">
        <v>1</v>
      </c>
      <c r="G15" s="13">
        <v>2</v>
      </c>
      <c r="H15" s="21"/>
      <c r="I15" s="15"/>
      <c r="J15" s="15">
        <f t="shared" si="0"/>
        <v>3</v>
      </c>
      <c r="K15" s="16">
        <v>13</v>
      </c>
      <c r="L15" s="11">
        <v>46097</v>
      </c>
      <c r="M15" s="12" t="s">
        <v>74</v>
      </c>
      <c r="N15" s="12" t="s">
        <v>140</v>
      </c>
      <c r="O15" s="13">
        <v>1</v>
      </c>
      <c r="P15" s="13">
        <v>2</v>
      </c>
      <c r="Q15" s="21" t="s">
        <v>76</v>
      </c>
      <c r="R15">
        <f t="shared" si="1"/>
        <v>3</v>
      </c>
    </row>
    <row r="16" customFormat="1" ht="22" customHeight="1" spans="1:18">
      <c r="A16" s="10">
        <v>14</v>
      </c>
      <c r="B16" s="10">
        <v>14</v>
      </c>
      <c r="C16" s="11">
        <v>46097</v>
      </c>
      <c r="D16" s="12" t="s">
        <v>115</v>
      </c>
      <c r="E16" s="12" t="s">
        <v>140</v>
      </c>
      <c r="F16" s="13">
        <v>3</v>
      </c>
      <c r="G16" s="13"/>
      <c r="H16" s="21"/>
      <c r="I16" s="15"/>
      <c r="J16" s="15">
        <f t="shared" si="0"/>
        <v>3</v>
      </c>
      <c r="K16" s="16">
        <v>14</v>
      </c>
      <c r="L16" s="11">
        <v>46097</v>
      </c>
      <c r="M16" s="12" t="s">
        <v>77</v>
      </c>
      <c r="N16" s="12" t="s">
        <v>140</v>
      </c>
      <c r="O16" s="13">
        <v>1</v>
      </c>
      <c r="P16" s="13">
        <v>2</v>
      </c>
      <c r="Q16" s="21" t="s">
        <v>78</v>
      </c>
      <c r="R16">
        <f t="shared" si="1"/>
        <v>3</v>
      </c>
    </row>
    <row r="17" customFormat="1" ht="22" customHeight="1" spans="1:18">
      <c r="A17" s="10">
        <v>15</v>
      </c>
      <c r="B17" s="10">
        <v>15</v>
      </c>
      <c r="C17" s="11">
        <v>46097</v>
      </c>
      <c r="D17" s="12" t="s">
        <v>116</v>
      </c>
      <c r="E17" s="12" t="s">
        <v>140</v>
      </c>
      <c r="F17" s="13">
        <v>3</v>
      </c>
      <c r="G17" s="13"/>
      <c r="H17" s="21"/>
      <c r="I17" s="15"/>
      <c r="J17" s="15">
        <f t="shared" si="0"/>
        <v>3</v>
      </c>
      <c r="K17" s="16">
        <v>15</v>
      </c>
      <c r="L17" s="11">
        <v>46097</v>
      </c>
      <c r="M17" s="12" t="s">
        <v>79</v>
      </c>
      <c r="N17" s="12" t="s">
        <v>140</v>
      </c>
      <c r="O17" s="17">
        <v>3</v>
      </c>
      <c r="P17" s="13"/>
      <c r="Q17" s="21"/>
      <c r="R17">
        <f t="shared" si="1"/>
        <v>3</v>
      </c>
    </row>
    <row r="18" customFormat="1" ht="22" customHeight="1" spans="1:18">
      <c r="A18" s="10">
        <v>16</v>
      </c>
      <c r="B18" s="10">
        <v>16</v>
      </c>
      <c r="C18" s="11">
        <v>46097</v>
      </c>
      <c r="D18" s="12" t="s">
        <v>117</v>
      </c>
      <c r="E18" s="12" t="s">
        <v>140</v>
      </c>
      <c r="F18" s="13"/>
      <c r="G18" s="13">
        <v>3</v>
      </c>
      <c r="H18" s="21"/>
      <c r="I18" s="15"/>
      <c r="J18" s="15">
        <f t="shared" si="0"/>
        <v>3</v>
      </c>
      <c r="K18" s="16">
        <v>16</v>
      </c>
      <c r="L18" s="11">
        <v>46097</v>
      </c>
      <c r="M18" s="12" t="s">
        <v>81</v>
      </c>
      <c r="N18" s="12" t="s">
        <v>140</v>
      </c>
      <c r="O18" s="13">
        <v>1</v>
      </c>
      <c r="P18" s="17">
        <v>2</v>
      </c>
      <c r="Q18" s="21" t="s">
        <v>82</v>
      </c>
      <c r="R18">
        <f t="shared" si="1"/>
        <v>3</v>
      </c>
    </row>
    <row r="19" customFormat="1" ht="22" customHeight="1" spans="1:18">
      <c r="A19" s="10">
        <v>17</v>
      </c>
      <c r="B19" s="10">
        <v>17</v>
      </c>
      <c r="C19" s="11">
        <v>46097</v>
      </c>
      <c r="D19" s="12" t="s">
        <v>118</v>
      </c>
      <c r="E19" s="12" t="s">
        <v>140</v>
      </c>
      <c r="F19" s="13">
        <v>1</v>
      </c>
      <c r="G19" s="13">
        <v>2</v>
      </c>
      <c r="H19" s="21"/>
      <c r="I19" s="15"/>
      <c r="J19" s="15">
        <f t="shared" si="0"/>
        <v>3</v>
      </c>
      <c r="K19" s="16">
        <v>17</v>
      </c>
      <c r="L19" s="11">
        <v>46097</v>
      </c>
      <c r="M19" s="12" t="s">
        <v>83</v>
      </c>
      <c r="N19" s="12" t="s">
        <v>140</v>
      </c>
      <c r="O19" s="13">
        <v>1</v>
      </c>
      <c r="P19" s="13">
        <v>2</v>
      </c>
      <c r="Q19" s="21" t="s">
        <v>84</v>
      </c>
      <c r="R19">
        <f t="shared" si="1"/>
        <v>3</v>
      </c>
    </row>
    <row r="20" customFormat="1" ht="22" customHeight="1" spans="1:18">
      <c r="A20" s="10">
        <v>18</v>
      </c>
      <c r="B20" s="10">
        <v>18</v>
      </c>
      <c r="C20" s="11">
        <v>46097</v>
      </c>
      <c r="D20" s="12" t="s">
        <v>119</v>
      </c>
      <c r="E20" s="12" t="s">
        <v>140</v>
      </c>
      <c r="F20" s="13">
        <v>2</v>
      </c>
      <c r="G20" s="13"/>
      <c r="H20" s="21"/>
      <c r="I20" s="15"/>
      <c r="J20" s="15">
        <f t="shared" si="0"/>
        <v>2</v>
      </c>
      <c r="K20" s="16">
        <v>18</v>
      </c>
      <c r="L20" s="11">
        <v>46097</v>
      </c>
      <c r="M20" s="12" t="s">
        <v>85</v>
      </c>
      <c r="N20" s="12" t="s">
        <v>140</v>
      </c>
      <c r="O20" s="17">
        <v>3</v>
      </c>
      <c r="P20" s="13"/>
      <c r="Q20" s="21"/>
      <c r="R20">
        <f t="shared" si="1"/>
        <v>3</v>
      </c>
    </row>
    <row r="21" customFormat="1" ht="22" customHeight="1" spans="1:18">
      <c r="A21" s="10">
        <v>19</v>
      </c>
      <c r="B21" s="10">
        <v>19</v>
      </c>
      <c r="C21" s="11">
        <v>46097</v>
      </c>
      <c r="D21" s="12" t="s">
        <v>120</v>
      </c>
      <c r="E21" s="12" t="s">
        <v>140</v>
      </c>
      <c r="F21" s="13"/>
      <c r="G21" s="13">
        <v>3</v>
      </c>
      <c r="H21" s="21"/>
      <c r="I21" s="15"/>
      <c r="J21" s="15">
        <f t="shared" si="0"/>
        <v>3</v>
      </c>
      <c r="K21" s="16">
        <v>19</v>
      </c>
      <c r="L21" s="11">
        <v>46097</v>
      </c>
      <c r="M21" s="12" t="s">
        <v>86</v>
      </c>
      <c r="N21" s="12" t="s">
        <v>140</v>
      </c>
      <c r="O21" s="17">
        <v>3</v>
      </c>
      <c r="P21" s="13"/>
      <c r="Q21" s="21"/>
      <c r="R21">
        <f t="shared" si="1"/>
        <v>3</v>
      </c>
    </row>
    <row r="22" customFormat="1" ht="22" customHeight="1" spans="1:18">
      <c r="A22" s="10">
        <v>20</v>
      </c>
      <c r="B22" s="10">
        <v>20</v>
      </c>
      <c r="C22" s="11">
        <v>46097</v>
      </c>
      <c r="D22" s="12" t="s">
        <v>121</v>
      </c>
      <c r="E22" s="12" t="s">
        <v>140</v>
      </c>
      <c r="F22" s="13"/>
      <c r="G22" s="13">
        <v>3</v>
      </c>
      <c r="H22" s="21"/>
      <c r="I22" s="15"/>
      <c r="J22" s="15">
        <f t="shared" si="0"/>
        <v>3</v>
      </c>
      <c r="K22" s="16">
        <v>20</v>
      </c>
      <c r="L22" s="11">
        <v>46097</v>
      </c>
      <c r="M22" s="12" t="s">
        <v>87</v>
      </c>
      <c r="N22" s="12" t="s">
        <v>140</v>
      </c>
      <c r="O22" s="17">
        <v>3</v>
      </c>
      <c r="P22" s="13"/>
      <c r="Q22" s="21"/>
      <c r="R22">
        <f t="shared" si="1"/>
        <v>3</v>
      </c>
    </row>
    <row r="23" customFormat="1" ht="22" customHeight="1" spans="1:18">
      <c r="A23" s="10">
        <v>21</v>
      </c>
      <c r="B23" s="10">
        <v>21</v>
      </c>
      <c r="C23" s="11">
        <v>46097</v>
      </c>
      <c r="D23" s="12" t="s">
        <v>122</v>
      </c>
      <c r="E23" s="12" t="s">
        <v>140</v>
      </c>
      <c r="F23" s="13"/>
      <c r="G23" s="13">
        <v>3</v>
      </c>
      <c r="H23" s="21"/>
      <c r="I23" s="15"/>
      <c r="J23" s="15">
        <f t="shared" si="0"/>
        <v>3</v>
      </c>
      <c r="K23" s="16">
        <v>21</v>
      </c>
      <c r="L23" s="11">
        <v>46097</v>
      </c>
      <c r="M23" s="12" t="s">
        <v>88</v>
      </c>
      <c r="N23" s="12" t="s">
        <v>140</v>
      </c>
      <c r="O23" s="13"/>
      <c r="P23" s="17">
        <v>3</v>
      </c>
      <c r="Q23" s="21" t="s">
        <v>89</v>
      </c>
      <c r="R23">
        <f t="shared" si="1"/>
        <v>3</v>
      </c>
    </row>
    <row r="24" customFormat="1" ht="22" customHeight="1" spans="1:18">
      <c r="A24" s="10">
        <v>22</v>
      </c>
      <c r="B24" s="10">
        <v>22</v>
      </c>
      <c r="C24" s="11">
        <v>46097</v>
      </c>
      <c r="D24" s="12" t="s">
        <v>23</v>
      </c>
      <c r="E24" s="12" t="s">
        <v>140</v>
      </c>
      <c r="F24" s="13"/>
      <c r="G24" s="13">
        <v>3</v>
      </c>
      <c r="H24" s="21"/>
      <c r="I24" s="15"/>
      <c r="J24" s="15">
        <f t="shared" si="0"/>
        <v>3</v>
      </c>
      <c r="K24" s="16">
        <v>22</v>
      </c>
      <c r="L24" s="11">
        <v>46097</v>
      </c>
      <c r="M24" s="12" t="s">
        <v>90</v>
      </c>
      <c r="N24" s="12" t="s">
        <v>140</v>
      </c>
      <c r="O24" s="17">
        <v>3</v>
      </c>
      <c r="P24" s="13"/>
      <c r="Q24" s="21"/>
      <c r="R24">
        <f t="shared" si="1"/>
        <v>3</v>
      </c>
    </row>
    <row r="25" customFormat="1" ht="22" customHeight="1" spans="1:18">
      <c r="A25" s="10">
        <v>23</v>
      </c>
      <c r="B25" s="10">
        <v>23</v>
      </c>
      <c r="C25" s="11">
        <v>46097</v>
      </c>
      <c r="D25" s="12" t="s">
        <v>24</v>
      </c>
      <c r="E25" s="12" t="s">
        <v>140</v>
      </c>
      <c r="F25" s="13"/>
      <c r="G25" s="13">
        <v>3</v>
      </c>
      <c r="H25" s="21"/>
      <c r="I25" s="15"/>
      <c r="J25" s="15">
        <f t="shared" si="0"/>
        <v>3</v>
      </c>
      <c r="K25" s="16">
        <v>23</v>
      </c>
      <c r="L25" s="11">
        <v>46097</v>
      </c>
      <c r="M25" s="12" t="s">
        <v>91</v>
      </c>
      <c r="N25" s="12" t="s">
        <v>140</v>
      </c>
      <c r="O25" s="13">
        <v>1</v>
      </c>
      <c r="P25" s="13">
        <v>2</v>
      </c>
      <c r="Q25" s="21" t="s">
        <v>148</v>
      </c>
      <c r="R25">
        <f t="shared" si="1"/>
        <v>3</v>
      </c>
    </row>
    <row r="26" customFormat="1" ht="22" customHeight="1" spans="1:18">
      <c r="A26" s="10">
        <v>24</v>
      </c>
      <c r="B26" s="10">
        <v>24</v>
      </c>
      <c r="C26" s="11">
        <v>46097</v>
      </c>
      <c r="D26" s="12" t="s">
        <v>25</v>
      </c>
      <c r="E26" s="12" t="s">
        <v>140</v>
      </c>
      <c r="F26" s="13">
        <v>1</v>
      </c>
      <c r="G26" s="13">
        <v>2</v>
      </c>
      <c r="H26" s="21"/>
      <c r="I26" s="15"/>
      <c r="J26" s="15">
        <f t="shared" si="0"/>
        <v>3</v>
      </c>
      <c r="K26" s="16">
        <v>24</v>
      </c>
      <c r="L26" s="11">
        <v>46097</v>
      </c>
      <c r="M26" s="12" t="s">
        <v>93</v>
      </c>
      <c r="N26" s="12" t="s">
        <v>140</v>
      </c>
      <c r="O26" s="13"/>
      <c r="P26" s="17">
        <v>3</v>
      </c>
      <c r="Q26" s="21" t="s">
        <v>94</v>
      </c>
      <c r="R26">
        <f t="shared" si="1"/>
        <v>3</v>
      </c>
    </row>
    <row r="27" customFormat="1" ht="22" customHeight="1" spans="1:18">
      <c r="A27" s="10">
        <v>25</v>
      </c>
      <c r="B27" s="10">
        <v>25</v>
      </c>
      <c r="C27" s="11">
        <v>46097</v>
      </c>
      <c r="D27" s="12" t="s">
        <v>26</v>
      </c>
      <c r="E27" s="12" t="s">
        <v>140</v>
      </c>
      <c r="F27" s="13">
        <v>3</v>
      </c>
      <c r="G27" s="13"/>
      <c r="H27" s="21"/>
      <c r="I27" s="15"/>
      <c r="J27" s="15">
        <f t="shared" si="0"/>
        <v>3</v>
      </c>
      <c r="K27" s="16">
        <v>25</v>
      </c>
      <c r="L27" s="11">
        <v>46097</v>
      </c>
      <c r="M27" s="24" t="s">
        <v>134</v>
      </c>
      <c r="N27" s="12" t="s">
        <v>140</v>
      </c>
      <c r="O27" s="13">
        <v>3</v>
      </c>
      <c r="P27" s="13"/>
      <c r="Q27" s="21"/>
      <c r="R27">
        <f t="shared" si="1"/>
        <v>3</v>
      </c>
    </row>
    <row r="28" customFormat="1" ht="22" customHeight="1" spans="1:18">
      <c r="A28" s="10">
        <v>26</v>
      </c>
      <c r="B28" s="10">
        <v>26</v>
      </c>
      <c r="C28" s="11">
        <v>46097</v>
      </c>
      <c r="D28" s="12" t="s">
        <v>27</v>
      </c>
      <c r="E28" s="12" t="s">
        <v>140</v>
      </c>
      <c r="F28" s="13">
        <v>3</v>
      </c>
      <c r="G28" s="13"/>
      <c r="H28" s="21"/>
      <c r="I28" s="15"/>
      <c r="J28" s="15">
        <f t="shared" si="0"/>
        <v>3</v>
      </c>
      <c r="K28" s="16"/>
      <c r="L28" s="11"/>
      <c r="M28" s="12"/>
      <c r="N28" s="12"/>
      <c r="O28" s="13"/>
      <c r="P28" s="13"/>
      <c r="Q28" s="21"/>
    </row>
    <row r="29" customFormat="1" ht="22" customHeight="1" spans="1:18">
      <c r="A29" s="10">
        <v>26</v>
      </c>
      <c r="B29" s="10">
        <v>27</v>
      </c>
      <c r="C29" s="11">
        <v>46097</v>
      </c>
      <c r="D29" s="12" t="s">
        <v>33</v>
      </c>
      <c r="E29" s="12" t="s">
        <v>140</v>
      </c>
      <c r="F29" s="13">
        <v>3</v>
      </c>
      <c r="G29" s="13"/>
      <c r="H29" s="21"/>
      <c r="I29" s="15"/>
      <c r="J29" s="15">
        <f t="shared" si="0"/>
        <v>3</v>
      </c>
      <c r="K29" s="16"/>
      <c r="L29" s="11"/>
      <c r="M29" s="12"/>
      <c r="N29" s="12"/>
      <c r="O29" s="13"/>
      <c r="P29" s="13"/>
      <c r="Q29" s="21"/>
    </row>
    <row r="30" customFormat="1" ht="22" customHeight="1" spans="1:18">
      <c r="A30" s="10">
        <v>26</v>
      </c>
      <c r="B30" s="10">
        <v>28</v>
      </c>
      <c r="C30" s="11">
        <v>46097</v>
      </c>
      <c r="D30" s="12" t="s">
        <v>35</v>
      </c>
      <c r="E30" s="12" t="s">
        <v>140</v>
      </c>
      <c r="F30" s="13"/>
      <c r="G30" s="13">
        <v>3</v>
      </c>
      <c r="H30" s="21"/>
      <c r="I30" s="15"/>
      <c r="J30" s="15">
        <f t="shared" si="0"/>
        <v>3</v>
      </c>
      <c r="K30" s="16"/>
      <c r="L30" s="11"/>
      <c r="M30" s="12"/>
      <c r="N30" s="12"/>
      <c r="O30" s="13"/>
      <c r="P30" s="13"/>
      <c r="Q30" s="21"/>
    </row>
    <row r="31" customFormat="1" ht="22" customHeight="1" spans="1:18">
      <c r="A31" s="10">
        <v>27</v>
      </c>
      <c r="B31" s="10">
        <v>29</v>
      </c>
      <c r="C31" s="11">
        <v>46097</v>
      </c>
      <c r="D31" s="12" t="s">
        <v>123</v>
      </c>
      <c r="E31" s="12" t="s">
        <v>140</v>
      </c>
      <c r="F31" s="13">
        <v>3</v>
      </c>
      <c r="G31" s="13"/>
      <c r="H31" s="21"/>
      <c r="I31" s="15"/>
      <c r="J31" s="15">
        <f t="shared" si="0"/>
        <v>3</v>
      </c>
      <c r="K31" s="16"/>
      <c r="L31" s="11"/>
      <c r="M31" s="12"/>
      <c r="N31" s="12"/>
      <c r="O31" s="13"/>
      <c r="P31" s="13"/>
      <c r="Q31" s="21"/>
    </row>
    <row r="32" customFormat="1" ht="22" customHeight="1" spans="1:18">
      <c r="A32" s="10">
        <v>28</v>
      </c>
      <c r="B32" s="10">
        <v>30</v>
      </c>
      <c r="C32" s="11">
        <v>46097</v>
      </c>
      <c r="D32" s="12" t="s">
        <v>124</v>
      </c>
      <c r="E32" s="12" t="s">
        <v>140</v>
      </c>
      <c r="F32" s="13"/>
      <c r="G32" s="13">
        <v>3</v>
      </c>
      <c r="H32" s="21"/>
      <c r="I32" s="15"/>
      <c r="J32" s="15">
        <f t="shared" si="0"/>
        <v>3</v>
      </c>
      <c r="K32" s="16"/>
      <c r="L32" s="11"/>
      <c r="M32" s="12"/>
      <c r="N32" s="12"/>
      <c r="O32" s="13"/>
      <c r="P32" s="13"/>
      <c r="Q32" s="21"/>
    </row>
    <row r="33" customFormat="1" ht="22" customHeight="1" spans="1:17">
      <c r="A33" s="10">
        <v>29</v>
      </c>
      <c r="B33" s="10">
        <v>31</v>
      </c>
      <c r="C33" s="11">
        <v>46097</v>
      </c>
      <c r="D33" s="12" t="s">
        <v>125</v>
      </c>
      <c r="E33" s="12" t="s">
        <v>140</v>
      </c>
      <c r="F33" s="13">
        <v>3</v>
      </c>
      <c r="G33" s="13"/>
      <c r="H33" s="21"/>
      <c r="I33" s="15"/>
      <c r="J33" s="15">
        <f t="shared" si="0"/>
        <v>3</v>
      </c>
      <c r="K33" s="16"/>
      <c r="L33" s="11"/>
      <c r="M33" s="12"/>
      <c r="N33" s="12"/>
      <c r="O33" s="13"/>
      <c r="P33" s="13"/>
      <c r="Q33" s="21"/>
    </row>
    <row r="34" customFormat="1" ht="22" customHeight="1" spans="1:17">
      <c r="A34" s="10">
        <v>30</v>
      </c>
      <c r="B34" s="10">
        <v>32</v>
      </c>
      <c r="C34" s="11">
        <v>46097</v>
      </c>
      <c r="D34" s="12" t="s">
        <v>29</v>
      </c>
      <c r="E34" s="12" t="s">
        <v>140</v>
      </c>
      <c r="F34" s="13"/>
      <c r="G34" s="13">
        <v>3</v>
      </c>
      <c r="H34" s="21"/>
      <c r="I34" s="15"/>
      <c r="J34" s="15">
        <f t="shared" si="0"/>
        <v>3</v>
      </c>
      <c r="K34" s="16"/>
      <c r="L34" s="11"/>
      <c r="M34" s="12"/>
      <c r="N34" s="12"/>
      <c r="O34" s="13"/>
      <c r="P34" s="13"/>
      <c r="Q34" s="21"/>
    </row>
    <row r="35" customFormat="1" ht="22" customHeight="1" spans="1:17">
      <c r="A35" s="10">
        <v>31</v>
      </c>
      <c r="B35" s="10">
        <v>33</v>
      </c>
      <c r="C35" s="11">
        <v>46097</v>
      </c>
      <c r="D35" s="12" t="s">
        <v>30</v>
      </c>
      <c r="E35" s="12" t="s">
        <v>140</v>
      </c>
      <c r="F35" s="13">
        <v>3</v>
      </c>
      <c r="G35" s="13"/>
      <c r="H35" s="21"/>
      <c r="I35" s="15"/>
      <c r="J35" s="15">
        <f t="shared" si="0"/>
        <v>3</v>
      </c>
      <c r="K35" s="16"/>
      <c r="L35" s="11"/>
      <c r="M35" s="12"/>
      <c r="N35" s="12"/>
      <c r="O35" s="13"/>
      <c r="P35" s="13"/>
      <c r="Q35" s="21"/>
    </row>
    <row r="36" customFormat="1" ht="22" customHeight="1" spans="1:17">
      <c r="A36" s="10">
        <v>32</v>
      </c>
      <c r="B36" s="10">
        <v>34</v>
      </c>
      <c r="C36" s="11">
        <v>46097</v>
      </c>
      <c r="D36" s="12" t="s">
        <v>31</v>
      </c>
      <c r="E36" s="12" t="s">
        <v>140</v>
      </c>
      <c r="F36" s="13"/>
      <c r="G36" s="13">
        <v>3</v>
      </c>
      <c r="H36" s="21"/>
      <c r="I36" s="15"/>
      <c r="J36" s="15">
        <f t="shared" si="0"/>
        <v>3</v>
      </c>
      <c r="K36" s="16"/>
      <c r="L36" s="11"/>
      <c r="M36" s="12"/>
      <c r="N36" s="12"/>
      <c r="O36" s="13"/>
      <c r="P36" s="13"/>
      <c r="Q36" s="21"/>
    </row>
    <row r="37" customFormat="1" ht="22" customHeight="1" spans="1:17">
      <c r="A37" s="10">
        <v>33</v>
      </c>
      <c r="B37" s="10">
        <v>35</v>
      </c>
      <c r="C37" s="11">
        <v>46097</v>
      </c>
      <c r="D37" s="12" t="s">
        <v>126</v>
      </c>
      <c r="E37" s="12" t="s">
        <v>140</v>
      </c>
      <c r="F37" s="13"/>
      <c r="G37" s="13">
        <v>3</v>
      </c>
      <c r="H37" s="21"/>
      <c r="I37" s="15"/>
      <c r="J37" s="15">
        <f t="shared" si="0"/>
        <v>3</v>
      </c>
      <c r="K37" s="16"/>
      <c r="L37" s="11"/>
      <c r="M37" s="12"/>
      <c r="N37" s="12"/>
      <c r="O37" s="13"/>
      <c r="P37" s="13"/>
      <c r="Q37" s="21"/>
    </row>
    <row r="38" customFormat="1" ht="22" customHeight="1" spans="1:17">
      <c r="A38" s="10">
        <v>34</v>
      </c>
      <c r="B38" s="10">
        <v>36</v>
      </c>
      <c r="C38" s="11">
        <v>46097</v>
      </c>
      <c r="D38" s="12" t="s">
        <v>127</v>
      </c>
      <c r="E38" s="12" t="s">
        <v>140</v>
      </c>
      <c r="F38" s="13">
        <v>3</v>
      </c>
      <c r="G38" s="13"/>
      <c r="H38" s="21"/>
      <c r="I38" s="15"/>
      <c r="J38" s="15">
        <f t="shared" si="0"/>
        <v>3</v>
      </c>
      <c r="K38" s="16"/>
      <c r="L38" s="11"/>
      <c r="M38" s="12"/>
      <c r="N38" s="12"/>
      <c r="O38" s="13"/>
      <c r="P38" s="13"/>
      <c r="Q38" s="21"/>
    </row>
    <row r="39" customFormat="1" ht="22" customHeight="1" spans="1:17">
      <c r="A39" s="10">
        <v>35</v>
      </c>
      <c r="B39" s="10">
        <v>37</v>
      </c>
      <c r="C39" s="11">
        <v>46097</v>
      </c>
      <c r="D39" s="39" t="s">
        <v>132</v>
      </c>
      <c r="E39" s="12" t="s">
        <v>140</v>
      </c>
      <c r="F39" s="13">
        <v>1</v>
      </c>
      <c r="G39" s="13">
        <v>2</v>
      </c>
      <c r="H39" s="21" t="s">
        <v>143</v>
      </c>
      <c r="I39" t="s">
        <v>149</v>
      </c>
      <c r="K39" s="16"/>
      <c r="L39" s="11"/>
      <c r="M39" s="12"/>
      <c r="N39" s="12"/>
      <c r="O39" s="13"/>
      <c r="P39" s="13"/>
      <c r="Q39" s="21"/>
    </row>
    <row r="40" customFormat="1" ht="22" customHeight="1" spans="1:17">
      <c r="A40" s="10">
        <v>36</v>
      </c>
      <c r="B40" s="10">
        <v>38</v>
      </c>
      <c r="C40" s="11">
        <v>46097</v>
      </c>
      <c r="D40" s="40" t="s">
        <v>36</v>
      </c>
      <c r="E40" s="12" t="s">
        <v>140</v>
      </c>
      <c r="F40" s="13">
        <v>1</v>
      </c>
      <c r="G40" s="13">
        <v>2</v>
      </c>
      <c r="H40" s="21" t="s">
        <v>143</v>
      </c>
      <c r="I40" t="s">
        <v>149</v>
      </c>
      <c r="K40" s="16"/>
      <c r="L40" s="11"/>
      <c r="M40" s="12"/>
      <c r="N40" s="12"/>
      <c r="O40" s="13"/>
      <c r="P40" s="13"/>
      <c r="Q40" s="21"/>
    </row>
    <row r="41" customFormat="1" ht="22" customHeight="1" spans="1:17">
      <c r="A41" s="10">
        <v>37</v>
      </c>
      <c r="B41" s="10">
        <v>39</v>
      </c>
      <c r="C41" s="11">
        <v>46097</v>
      </c>
      <c r="D41" s="40" t="s">
        <v>36</v>
      </c>
      <c r="E41" s="12" t="s">
        <v>140</v>
      </c>
      <c r="F41" s="13">
        <v>1</v>
      </c>
      <c r="G41" s="13">
        <v>2</v>
      </c>
      <c r="H41" s="21" t="s">
        <v>147</v>
      </c>
      <c r="I41" s="22">
        <v>6</v>
      </c>
      <c r="K41" s="16"/>
      <c r="L41" s="11"/>
      <c r="M41" s="12"/>
      <c r="N41" s="12"/>
      <c r="O41" s="13"/>
      <c r="P41" s="13"/>
      <c r="Q41" s="21"/>
    </row>
    <row r="42" customFormat="1" ht="22" customHeight="1" spans="1:17">
      <c r="A42" s="10">
        <v>38</v>
      </c>
      <c r="B42" s="10">
        <v>40</v>
      </c>
      <c r="C42" s="11">
        <v>46097</v>
      </c>
      <c r="D42" s="39" t="s">
        <v>133</v>
      </c>
      <c r="E42" s="39" t="s">
        <v>140</v>
      </c>
      <c r="F42" s="13">
        <v>1</v>
      </c>
      <c r="G42" s="13">
        <v>2</v>
      </c>
      <c r="H42" s="21" t="s">
        <v>150</v>
      </c>
      <c r="I42" t="s">
        <v>149</v>
      </c>
      <c r="K42" s="16"/>
      <c r="L42" s="11"/>
      <c r="M42" s="12"/>
      <c r="N42" s="12"/>
      <c r="O42" s="13"/>
      <c r="P42" s="13"/>
      <c r="Q42" s="21"/>
    </row>
    <row r="43" customFormat="1" ht="22" customHeight="1" spans="1:17">
      <c r="A43" s="10"/>
      <c r="B43" s="10"/>
      <c r="C43" s="11"/>
      <c r="D43" s="12"/>
      <c r="E43" s="12"/>
      <c r="F43" s="13"/>
      <c r="G43" s="13"/>
      <c r="H43" s="21"/>
      <c r="I43" s="22"/>
      <c r="O43" s="13">
        <f>SUM(O3:O42)</f>
        <v>42</v>
      </c>
      <c r="P43" s="13">
        <f>SUM(P3:P42)</f>
        <v>33</v>
      </c>
    </row>
    <row r="44" customFormat="1" ht="22" customHeight="1" spans="1:17">
      <c r="F44">
        <f>SUM(F3:F43)</f>
        <v>48</v>
      </c>
      <c r="G44">
        <f>SUM(G3:G43)</f>
        <v>71</v>
      </c>
    </row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customFormat="1" ht="22" customHeight="1" spans="1:17">
      <c r="K65" s="10"/>
      <c r="L65" s="11"/>
      <c r="M65" s="12"/>
      <c r="N65" s="12"/>
      <c r="O65" s="13"/>
      <c r="P65" s="13"/>
      <c r="Q65" s="21"/>
    </row>
    <row r="66" customFormat="1" ht="22" customHeight="1" spans="1:17">
      <c r="A66" s="10"/>
      <c r="B66" s="10"/>
      <c r="C66" s="11"/>
      <c r="D66" s="12"/>
      <c r="E66" s="12"/>
      <c r="F66" s="13"/>
      <c r="G66" s="13"/>
      <c r="H66" s="21"/>
      <c r="I66" s="22"/>
      <c r="L66" s="37"/>
      <c r="M66" s="37"/>
      <c r="N66" s="37"/>
      <c r="O66" s="38"/>
      <c r="P66" s="38"/>
    </row>
    <row r="67" ht="21" customHeight="1" spans="1:17">
      <c r="C67" s="37"/>
      <c r="D67" s="37"/>
      <c r="E67" s="37"/>
      <c r="F67" s="38">
        <f>SUM(F3:F66)</f>
        <v>96</v>
      </c>
      <c r="G67" s="38">
        <f>SUM(G3:G66)</f>
        <v>142</v>
      </c>
    </row>
  </sheetData>
  <mergeCells count="2">
    <mergeCell ref="A1:H1"/>
    <mergeCell ref="K1:Q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9"/>
  <sheetViews>
    <sheetView topLeftCell="A25" workbookViewId="0">
      <selection activeCell="G43" sqref="G4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8571428571429" customWidth="1"/>
    <col min="4" max="6" width="12.1428571428571" customWidth="1"/>
    <col min="7" max="7" width="29.7142857142857" customWidth="1"/>
    <col min="9" max="9" width="12.1428571428571" customWidth="1"/>
    <col min="10" max="10" width="14.4285714285714" customWidth="1"/>
    <col min="11" max="11" width="16.8571428571429" customWidth="1"/>
    <col min="12" max="14" width="12.1428571428571" customWidth="1"/>
    <col min="15" max="15" width="34" customWidth="1"/>
  </cols>
  <sheetData>
    <row r="1" customFormat="1" ht="38" customHeight="1" spans="1:16">
      <c r="A1" s="2" t="s">
        <v>136</v>
      </c>
      <c r="B1" s="2"/>
      <c r="C1" s="2"/>
      <c r="D1" s="2"/>
      <c r="E1" s="2"/>
      <c r="F1" s="3"/>
      <c r="G1" s="4"/>
      <c r="I1" s="2" t="s">
        <v>145</v>
      </c>
      <c r="J1" s="2"/>
      <c r="K1" s="2"/>
      <c r="L1" s="2"/>
      <c r="M1" s="2"/>
      <c r="N1" s="3"/>
      <c r="O1" s="4"/>
    </row>
    <row r="2" s="1" customFormat="1" ht="32" customHeight="1" spans="1:16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I2" s="6" t="s">
        <v>1</v>
      </c>
      <c r="J2" s="6" t="s">
        <v>98</v>
      </c>
      <c r="K2" s="6" t="s">
        <v>99</v>
      </c>
      <c r="L2" s="7" t="s">
        <v>137</v>
      </c>
      <c r="M2" s="8" t="s">
        <v>138</v>
      </c>
      <c r="N2" s="8" t="s">
        <v>139</v>
      </c>
      <c r="O2" s="8" t="s">
        <v>9</v>
      </c>
      <c r="P2"/>
    </row>
    <row r="3" customFormat="1" ht="22" customHeight="1" spans="1:16">
      <c r="A3" s="10">
        <v>1</v>
      </c>
      <c r="B3" s="11">
        <v>46100</v>
      </c>
      <c r="C3" s="12" t="s">
        <v>102</v>
      </c>
      <c r="D3" s="12" t="s">
        <v>146</v>
      </c>
      <c r="E3" s="13">
        <v>1</v>
      </c>
      <c r="F3" s="13">
        <v>1</v>
      </c>
      <c r="G3" s="14"/>
      <c r="H3">
        <f>SUM(E3:F3)</f>
        <v>2</v>
      </c>
      <c r="I3" s="16">
        <v>1</v>
      </c>
      <c r="J3" s="11">
        <v>46100</v>
      </c>
      <c r="K3" s="12" t="s">
        <v>53</v>
      </c>
      <c r="L3" s="12" t="s">
        <v>146</v>
      </c>
      <c r="M3" s="13">
        <v>1</v>
      </c>
      <c r="N3" s="13">
        <v>1</v>
      </c>
      <c r="O3" s="14" t="s">
        <v>12</v>
      </c>
    </row>
    <row r="4" customFormat="1" ht="22" customHeight="1" spans="1:16">
      <c r="A4" s="10">
        <v>2</v>
      </c>
      <c r="B4" s="11">
        <v>46100</v>
      </c>
      <c r="C4" s="12" t="s">
        <v>103</v>
      </c>
      <c r="D4" s="12" t="s">
        <v>146</v>
      </c>
      <c r="E4" s="17"/>
      <c r="F4" s="13">
        <v>2</v>
      </c>
      <c r="G4" s="18"/>
      <c r="H4">
        <f t="shared" ref="H4:H39" si="0">SUM(E4:F4)</f>
        <v>2</v>
      </c>
      <c r="I4" s="16">
        <v>2</v>
      </c>
      <c r="J4" s="11">
        <v>46100</v>
      </c>
      <c r="K4" s="12" t="s">
        <v>57</v>
      </c>
      <c r="L4" s="12" t="s">
        <v>146</v>
      </c>
      <c r="M4" s="17">
        <v>2</v>
      </c>
      <c r="N4" s="13"/>
      <c r="O4" s="18"/>
    </row>
    <row r="5" customFormat="1" ht="22" customHeight="1" spans="1:16">
      <c r="A5" s="10">
        <v>3</v>
      </c>
      <c r="B5" s="11">
        <v>46100</v>
      </c>
      <c r="C5" s="12" t="s">
        <v>104</v>
      </c>
      <c r="D5" s="12" t="s">
        <v>146</v>
      </c>
      <c r="E5" s="13"/>
      <c r="F5" s="13">
        <v>2</v>
      </c>
      <c r="G5" s="18"/>
      <c r="H5">
        <f t="shared" si="0"/>
        <v>2</v>
      </c>
      <c r="I5" s="16">
        <v>3</v>
      </c>
      <c r="J5" s="11">
        <v>46100</v>
      </c>
      <c r="K5" s="12" t="s">
        <v>59</v>
      </c>
      <c r="L5" s="12" t="s">
        <v>146</v>
      </c>
      <c r="M5" s="13">
        <v>2</v>
      </c>
      <c r="N5" s="13"/>
      <c r="O5" s="18"/>
    </row>
    <row r="6" customFormat="1" ht="22" customHeight="1" spans="1:16">
      <c r="A6" s="10">
        <v>4</v>
      </c>
      <c r="B6" s="11">
        <v>46100</v>
      </c>
      <c r="C6" s="12" t="s">
        <v>105</v>
      </c>
      <c r="D6" s="12" t="s">
        <v>146</v>
      </c>
      <c r="E6" s="13"/>
      <c r="F6" s="13">
        <v>2</v>
      </c>
      <c r="G6" s="18"/>
      <c r="H6">
        <f t="shared" si="0"/>
        <v>2</v>
      </c>
      <c r="I6" s="16">
        <v>4</v>
      </c>
      <c r="J6" s="11">
        <v>46100</v>
      </c>
      <c r="K6" s="12" t="s">
        <v>60</v>
      </c>
      <c r="L6" s="12" t="s">
        <v>146</v>
      </c>
      <c r="M6" s="13"/>
      <c r="N6" s="13">
        <v>2</v>
      </c>
      <c r="O6" s="18" t="s">
        <v>61</v>
      </c>
    </row>
    <row r="7" customFormat="1" ht="22" customHeight="1" spans="1:16">
      <c r="A7" s="10">
        <v>5</v>
      </c>
      <c r="B7" s="11">
        <v>46100</v>
      </c>
      <c r="C7" s="12" t="s">
        <v>106</v>
      </c>
      <c r="D7" s="12" t="s">
        <v>146</v>
      </c>
      <c r="E7" s="13"/>
      <c r="F7" s="13">
        <v>2</v>
      </c>
      <c r="G7" s="18"/>
      <c r="H7">
        <f t="shared" si="0"/>
        <v>2</v>
      </c>
      <c r="I7" s="16">
        <v>5</v>
      </c>
      <c r="J7" s="11">
        <v>46100</v>
      </c>
      <c r="K7" s="12" t="s">
        <v>62</v>
      </c>
      <c r="L7" s="12" t="s">
        <v>146</v>
      </c>
      <c r="M7" s="13"/>
      <c r="N7" s="13">
        <v>2</v>
      </c>
      <c r="O7" s="18" t="s">
        <v>5</v>
      </c>
    </row>
    <row r="8" customFormat="1" ht="22" customHeight="1" spans="1:16">
      <c r="A8" s="10">
        <v>6</v>
      </c>
      <c r="B8" s="11">
        <v>46100</v>
      </c>
      <c r="C8" s="12" t="s">
        <v>107</v>
      </c>
      <c r="D8" s="12" t="s">
        <v>146</v>
      </c>
      <c r="E8" s="13">
        <v>2</v>
      </c>
      <c r="F8" s="13"/>
      <c r="G8" s="18"/>
      <c r="H8">
        <f t="shared" si="0"/>
        <v>2</v>
      </c>
      <c r="I8" s="16">
        <v>6</v>
      </c>
      <c r="J8" s="11">
        <v>46100</v>
      </c>
      <c r="K8" s="12" t="s">
        <v>64</v>
      </c>
      <c r="L8" s="12" t="s">
        <v>146</v>
      </c>
      <c r="M8" s="13"/>
      <c r="N8" s="13">
        <v>2</v>
      </c>
      <c r="O8" s="18" t="s">
        <v>5</v>
      </c>
    </row>
    <row r="9" customFormat="1" ht="22" customHeight="1" spans="1:16">
      <c r="A9" s="10">
        <v>7</v>
      </c>
      <c r="B9" s="11">
        <v>46100</v>
      </c>
      <c r="C9" s="12" t="s">
        <v>108</v>
      </c>
      <c r="D9" s="12" t="s">
        <v>146</v>
      </c>
      <c r="E9" s="13">
        <v>2</v>
      </c>
      <c r="F9" s="13"/>
      <c r="G9" s="21"/>
      <c r="H9">
        <f t="shared" si="0"/>
        <v>2</v>
      </c>
      <c r="I9" s="16">
        <v>7</v>
      </c>
      <c r="J9" s="11">
        <v>46100</v>
      </c>
      <c r="K9" s="12" t="s">
        <v>65</v>
      </c>
      <c r="L9" s="12" t="s">
        <v>146</v>
      </c>
      <c r="M9" s="13"/>
      <c r="N9" s="13">
        <v>2</v>
      </c>
      <c r="O9" s="21" t="s">
        <v>5</v>
      </c>
    </row>
    <row r="10" customFormat="1" ht="22" customHeight="1" spans="1:16">
      <c r="A10" s="10">
        <v>8</v>
      </c>
      <c r="B10" s="11">
        <v>46100</v>
      </c>
      <c r="C10" s="12" t="s">
        <v>109</v>
      </c>
      <c r="D10" s="12" t="s">
        <v>146</v>
      </c>
      <c r="E10" s="13"/>
      <c r="F10" s="13">
        <v>2</v>
      </c>
      <c r="G10" s="21"/>
      <c r="H10">
        <f t="shared" si="0"/>
        <v>2</v>
      </c>
      <c r="I10" s="16">
        <v>8</v>
      </c>
      <c r="J10" s="11">
        <v>46100</v>
      </c>
      <c r="K10" s="12" t="s">
        <v>67</v>
      </c>
      <c r="L10" s="12" t="s">
        <v>146</v>
      </c>
      <c r="M10" s="13">
        <v>2</v>
      </c>
      <c r="N10" s="13"/>
      <c r="O10" s="21"/>
    </row>
    <row r="11" customFormat="1" ht="22" customHeight="1" spans="1:16">
      <c r="A11" s="10">
        <v>9</v>
      </c>
      <c r="B11" s="11">
        <v>46100</v>
      </c>
      <c r="C11" s="12" t="s">
        <v>110</v>
      </c>
      <c r="D11" s="12" t="s">
        <v>146</v>
      </c>
      <c r="E11" s="13"/>
      <c r="F11" s="13">
        <v>2</v>
      </c>
      <c r="G11" s="21"/>
      <c r="H11">
        <f t="shared" si="0"/>
        <v>2</v>
      </c>
      <c r="I11" s="16">
        <v>9</v>
      </c>
      <c r="J11" s="11">
        <v>46100</v>
      </c>
      <c r="K11" s="12" t="s">
        <v>69</v>
      </c>
      <c r="L11" s="12" t="s">
        <v>146</v>
      </c>
      <c r="M11" s="13">
        <v>2</v>
      </c>
      <c r="N11" s="13"/>
      <c r="O11" s="21"/>
    </row>
    <row r="12" customFormat="1" ht="22" customHeight="1" spans="1:16">
      <c r="A12" s="10">
        <v>10</v>
      </c>
      <c r="B12" s="11">
        <v>46100</v>
      </c>
      <c r="C12" s="12" t="s">
        <v>111</v>
      </c>
      <c r="D12" s="12" t="s">
        <v>146</v>
      </c>
      <c r="E12" s="13">
        <v>2</v>
      </c>
      <c r="F12" s="13"/>
      <c r="G12" s="21"/>
      <c r="H12">
        <f t="shared" si="0"/>
        <v>2</v>
      </c>
      <c r="I12" s="16">
        <v>10</v>
      </c>
      <c r="J12" s="11">
        <v>46100</v>
      </c>
      <c r="K12" s="12" t="s">
        <v>70</v>
      </c>
      <c r="L12" s="12" t="s">
        <v>146</v>
      </c>
      <c r="M12" s="13"/>
      <c r="N12" s="13">
        <v>2</v>
      </c>
      <c r="O12" s="21" t="s">
        <v>71</v>
      </c>
    </row>
    <row r="13" customFormat="1" ht="22" customHeight="1" spans="1:16">
      <c r="A13" s="10">
        <v>11</v>
      </c>
      <c r="B13" s="11">
        <v>46100</v>
      </c>
      <c r="C13" s="12" t="s">
        <v>112</v>
      </c>
      <c r="D13" s="12" t="s">
        <v>146</v>
      </c>
      <c r="E13" s="13">
        <v>1</v>
      </c>
      <c r="F13" s="13">
        <v>1</v>
      </c>
      <c r="G13" s="21"/>
      <c r="H13">
        <f t="shared" si="0"/>
        <v>2</v>
      </c>
      <c r="I13" s="16">
        <v>11</v>
      </c>
      <c r="J13" s="11">
        <v>46100</v>
      </c>
      <c r="K13" s="12" t="s">
        <v>72</v>
      </c>
      <c r="L13" s="12" t="s">
        <v>146</v>
      </c>
      <c r="M13" s="13">
        <v>2</v>
      </c>
      <c r="N13" s="13"/>
      <c r="O13" s="21"/>
    </row>
    <row r="14" customFormat="1" ht="22" customHeight="1" spans="1:16">
      <c r="A14" s="10">
        <v>12</v>
      </c>
      <c r="B14" s="11">
        <v>46100</v>
      </c>
      <c r="C14" s="12" t="s">
        <v>113</v>
      </c>
      <c r="D14" s="12" t="s">
        <v>146</v>
      </c>
      <c r="E14" s="13">
        <v>1</v>
      </c>
      <c r="F14" s="13">
        <v>1</v>
      </c>
      <c r="G14" s="21"/>
      <c r="H14">
        <f t="shared" si="0"/>
        <v>2</v>
      </c>
      <c r="I14" s="16">
        <v>12</v>
      </c>
      <c r="J14" s="11">
        <v>46100</v>
      </c>
      <c r="K14" s="12" t="s">
        <v>73</v>
      </c>
      <c r="L14" s="12" t="s">
        <v>146</v>
      </c>
      <c r="M14" s="13">
        <v>2</v>
      </c>
      <c r="N14" s="13"/>
      <c r="O14" s="21"/>
    </row>
    <row r="15" customFormat="1" ht="22" customHeight="1" spans="1:16">
      <c r="A15" s="10">
        <v>13</v>
      </c>
      <c r="B15" s="11">
        <v>46100</v>
      </c>
      <c r="C15" s="12" t="s">
        <v>114</v>
      </c>
      <c r="D15" s="12" t="s">
        <v>146</v>
      </c>
      <c r="E15" s="13">
        <v>1</v>
      </c>
      <c r="F15" s="13">
        <v>1</v>
      </c>
      <c r="G15" s="21"/>
      <c r="H15">
        <f t="shared" si="0"/>
        <v>2</v>
      </c>
      <c r="I15" s="16">
        <v>13</v>
      </c>
      <c r="J15" s="11">
        <v>46100</v>
      </c>
      <c r="K15" s="12" t="s">
        <v>74</v>
      </c>
      <c r="L15" s="12" t="s">
        <v>146</v>
      </c>
      <c r="M15" s="13">
        <v>1</v>
      </c>
      <c r="N15" s="13">
        <v>1</v>
      </c>
      <c r="O15" s="21" t="s">
        <v>76</v>
      </c>
    </row>
    <row r="16" customFormat="1" ht="22" customHeight="1" spans="1:16">
      <c r="A16" s="10">
        <v>14</v>
      </c>
      <c r="B16" s="11">
        <v>46100</v>
      </c>
      <c r="C16" s="12" t="s">
        <v>115</v>
      </c>
      <c r="D16" s="12" t="s">
        <v>146</v>
      </c>
      <c r="E16" s="13">
        <v>2</v>
      </c>
      <c r="F16" s="13"/>
      <c r="G16" s="21"/>
      <c r="H16">
        <f t="shared" si="0"/>
        <v>2</v>
      </c>
      <c r="I16" s="16">
        <v>14</v>
      </c>
      <c r="J16" s="11">
        <v>46100</v>
      </c>
      <c r="K16" s="12" t="s">
        <v>77</v>
      </c>
      <c r="L16" s="12" t="s">
        <v>146</v>
      </c>
      <c r="M16" s="13">
        <v>1</v>
      </c>
      <c r="N16" s="13">
        <v>1</v>
      </c>
      <c r="O16" s="21" t="s">
        <v>78</v>
      </c>
    </row>
    <row r="17" customFormat="1" ht="22" customHeight="1" spans="1:15">
      <c r="A17" s="10">
        <v>15</v>
      </c>
      <c r="B17" s="11">
        <v>46100</v>
      </c>
      <c r="C17" s="12" t="s">
        <v>116</v>
      </c>
      <c r="D17" s="12" t="s">
        <v>146</v>
      </c>
      <c r="E17" s="13">
        <v>2</v>
      </c>
      <c r="F17" s="13"/>
      <c r="G17" s="21"/>
      <c r="H17">
        <f t="shared" si="0"/>
        <v>2</v>
      </c>
      <c r="I17" s="16">
        <v>15</v>
      </c>
      <c r="J17" s="11">
        <v>46100</v>
      </c>
      <c r="K17" s="12" t="s">
        <v>79</v>
      </c>
      <c r="L17" s="12" t="s">
        <v>146</v>
      </c>
      <c r="M17" s="13">
        <v>2</v>
      </c>
      <c r="N17" s="13"/>
      <c r="O17" s="21"/>
    </row>
    <row r="18" customFormat="1" ht="22" customHeight="1" spans="1:15">
      <c r="A18" s="10">
        <v>16</v>
      </c>
      <c r="B18" s="11">
        <v>46100</v>
      </c>
      <c r="C18" s="12" t="s">
        <v>117</v>
      </c>
      <c r="D18" s="12" t="s">
        <v>146</v>
      </c>
      <c r="E18" s="13"/>
      <c r="F18" s="13">
        <v>2</v>
      </c>
      <c r="G18" s="21"/>
      <c r="H18">
        <f t="shared" si="0"/>
        <v>2</v>
      </c>
      <c r="I18" s="16">
        <v>16</v>
      </c>
      <c r="J18" s="11">
        <v>46100</v>
      </c>
      <c r="K18" s="12" t="s">
        <v>81</v>
      </c>
      <c r="L18" s="12" t="s">
        <v>146</v>
      </c>
      <c r="M18" s="13"/>
      <c r="N18" s="13">
        <v>2</v>
      </c>
      <c r="O18" s="21" t="s">
        <v>82</v>
      </c>
    </row>
    <row r="19" customFormat="1" ht="22" customHeight="1" spans="1:15">
      <c r="A19" s="10">
        <v>17</v>
      </c>
      <c r="B19" s="11">
        <v>46100</v>
      </c>
      <c r="C19" s="12" t="s">
        <v>118</v>
      </c>
      <c r="D19" s="12" t="s">
        <v>146</v>
      </c>
      <c r="E19" s="13">
        <v>1</v>
      </c>
      <c r="F19" s="13">
        <v>1</v>
      </c>
      <c r="G19" s="21"/>
      <c r="H19">
        <f t="shared" si="0"/>
        <v>2</v>
      </c>
      <c r="I19" s="16">
        <v>17</v>
      </c>
      <c r="J19" s="11">
        <v>46100</v>
      </c>
      <c r="K19" s="12" t="s">
        <v>83</v>
      </c>
      <c r="L19" s="12" t="s">
        <v>146</v>
      </c>
      <c r="M19" s="13">
        <v>1</v>
      </c>
      <c r="N19" s="13">
        <v>1</v>
      </c>
      <c r="O19" s="21" t="s">
        <v>84</v>
      </c>
    </row>
    <row r="20" customFormat="1" ht="22" customHeight="1" spans="1:15">
      <c r="A20" s="10">
        <v>18</v>
      </c>
      <c r="B20" s="11">
        <v>46100</v>
      </c>
      <c r="C20" s="12" t="s">
        <v>119</v>
      </c>
      <c r="D20" s="12" t="s">
        <v>146</v>
      </c>
      <c r="E20" s="13">
        <v>2</v>
      </c>
      <c r="F20" s="13">
        <v>1</v>
      </c>
      <c r="G20" s="21"/>
      <c r="H20">
        <f t="shared" si="0"/>
        <v>3</v>
      </c>
      <c r="I20" s="16">
        <v>18</v>
      </c>
      <c r="J20" s="11">
        <v>46100</v>
      </c>
      <c r="K20" s="12" t="s">
        <v>85</v>
      </c>
      <c r="L20" s="12" t="s">
        <v>146</v>
      </c>
      <c r="M20" s="13">
        <v>2</v>
      </c>
      <c r="N20" s="13"/>
      <c r="O20" s="21"/>
    </row>
    <row r="21" customFormat="1" ht="22" customHeight="1" spans="1:15">
      <c r="A21" s="10">
        <v>19</v>
      </c>
      <c r="B21" s="11">
        <v>46100</v>
      </c>
      <c r="C21" s="12" t="s">
        <v>120</v>
      </c>
      <c r="D21" s="12" t="s">
        <v>146</v>
      </c>
      <c r="E21" s="13"/>
      <c r="F21" s="13">
        <v>2</v>
      </c>
      <c r="G21" s="21"/>
      <c r="H21">
        <f t="shared" si="0"/>
        <v>2</v>
      </c>
      <c r="I21" s="16">
        <v>19</v>
      </c>
      <c r="J21" s="11">
        <v>46100</v>
      </c>
      <c r="K21" s="12" t="s">
        <v>86</v>
      </c>
      <c r="L21" s="12" t="s">
        <v>146</v>
      </c>
      <c r="M21" s="13">
        <v>2</v>
      </c>
      <c r="N21" s="13"/>
      <c r="O21" s="21"/>
    </row>
    <row r="22" customFormat="1" ht="22" customHeight="1" spans="1:15">
      <c r="A22" s="10">
        <v>20</v>
      </c>
      <c r="B22" s="11">
        <v>46100</v>
      </c>
      <c r="C22" s="12" t="s">
        <v>121</v>
      </c>
      <c r="D22" s="12" t="s">
        <v>146</v>
      </c>
      <c r="E22" s="13"/>
      <c r="F22" s="13">
        <v>2</v>
      </c>
      <c r="G22" s="21"/>
      <c r="H22">
        <f t="shared" si="0"/>
        <v>2</v>
      </c>
      <c r="I22" s="16">
        <v>20</v>
      </c>
      <c r="J22" s="11">
        <v>46100</v>
      </c>
      <c r="K22" s="12" t="s">
        <v>87</v>
      </c>
      <c r="L22" s="12" t="s">
        <v>146</v>
      </c>
      <c r="M22" s="13">
        <v>2</v>
      </c>
      <c r="N22" s="13"/>
      <c r="O22" s="21"/>
    </row>
    <row r="23" customFormat="1" ht="22" customHeight="1" spans="1:15">
      <c r="A23" s="10">
        <v>21</v>
      </c>
      <c r="B23" s="11">
        <v>46100</v>
      </c>
      <c r="C23" s="12" t="s">
        <v>122</v>
      </c>
      <c r="D23" s="12" t="s">
        <v>146</v>
      </c>
      <c r="E23" s="13"/>
      <c r="F23" s="13">
        <v>2</v>
      </c>
      <c r="G23" s="21"/>
      <c r="H23">
        <f t="shared" si="0"/>
        <v>2</v>
      </c>
      <c r="I23" s="16">
        <v>21</v>
      </c>
      <c r="J23" s="11">
        <v>46100</v>
      </c>
      <c r="K23" s="12" t="s">
        <v>88</v>
      </c>
      <c r="L23" s="12" t="s">
        <v>146</v>
      </c>
      <c r="M23" s="13"/>
      <c r="N23" s="13">
        <v>2</v>
      </c>
      <c r="O23" s="21" t="s">
        <v>89</v>
      </c>
    </row>
    <row r="24" customFormat="1" ht="22" customHeight="1" spans="1:15">
      <c r="A24" s="10">
        <v>22</v>
      </c>
      <c r="B24" s="11">
        <v>46100</v>
      </c>
      <c r="C24" s="12" t="s">
        <v>23</v>
      </c>
      <c r="D24" s="12" t="s">
        <v>146</v>
      </c>
      <c r="E24" s="13"/>
      <c r="F24" s="13">
        <v>2</v>
      </c>
      <c r="G24" s="21"/>
      <c r="H24">
        <f t="shared" si="0"/>
        <v>2</v>
      </c>
      <c r="I24" s="16">
        <v>22</v>
      </c>
      <c r="J24" s="11">
        <v>46100</v>
      </c>
      <c r="K24" s="12" t="s">
        <v>90</v>
      </c>
      <c r="L24" s="12" t="s">
        <v>146</v>
      </c>
      <c r="M24" s="13">
        <v>2</v>
      </c>
      <c r="N24" s="13"/>
      <c r="O24" s="21"/>
    </row>
    <row r="25" customFormat="1" ht="22" customHeight="1" spans="1:15">
      <c r="A25" s="10">
        <v>23</v>
      </c>
      <c r="B25" s="11">
        <v>46100</v>
      </c>
      <c r="C25" s="12" t="s">
        <v>24</v>
      </c>
      <c r="D25" s="12" t="s">
        <v>146</v>
      </c>
      <c r="E25" s="13"/>
      <c r="F25" s="13">
        <v>2</v>
      </c>
      <c r="G25" s="21"/>
      <c r="H25">
        <f t="shared" si="0"/>
        <v>2</v>
      </c>
      <c r="I25" s="16">
        <v>23</v>
      </c>
      <c r="J25" s="11">
        <v>46100</v>
      </c>
      <c r="K25" s="12" t="s">
        <v>91</v>
      </c>
      <c r="L25" s="12" t="s">
        <v>146</v>
      </c>
      <c r="M25" s="13">
        <v>1</v>
      </c>
      <c r="N25" s="13">
        <v>1</v>
      </c>
      <c r="O25" s="21" t="s">
        <v>92</v>
      </c>
    </row>
    <row r="26" customFormat="1" ht="22" customHeight="1" spans="1:15">
      <c r="A26" s="10">
        <v>24</v>
      </c>
      <c r="B26" s="11">
        <v>46100</v>
      </c>
      <c r="C26" s="12" t="s">
        <v>25</v>
      </c>
      <c r="D26" s="12" t="s">
        <v>146</v>
      </c>
      <c r="E26" s="13">
        <v>1</v>
      </c>
      <c r="F26" s="13">
        <v>1</v>
      </c>
      <c r="G26" s="21"/>
      <c r="H26">
        <f t="shared" si="0"/>
        <v>2</v>
      </c>
      <c r="I26" s="16">
        <v>24</v>
      </c>
      <c r="J26" s="11">
        <v>46100</v>
      </c>
      <c r="K26" s="12" t="s">
        <v>93</v>
      </c>
      <c r="L26" s="12" t="s">
        <v>146</v>
      </c>
      <c r="M26" s="13"/>
      <c r="N26" s="13">
        <v>2</v>
      </c>
      <c r="O26" s="21" t="s">
        <v>94</v>
      </c>
    </row>
    <row r="27" customFormat="1" ht="22" customHeight="1" spans="1:15">
      <c r="A27" s="10">
        <v>25</v>
      </c>
      <c r="B27" s="11">
        <v>46100</v>
      </c>
      <c r="C27" s="12" t="s">
        <v>26</v>
      </c>
      <c r="D27" s="12" t="s">
        <v>146</v>
      </c>
      <c r="E27" s="13">
        <v>2</v>
      </c>
      <c r="F27" s="13"/>
      <c r="G27" s="21"/>
      <c r="H27">
        <f t="shared" si="0"/>
        <v>2</v>
      </c>
      <c r="I27" s="16">
        <v>25</v>
      </c>
      <c r="J27" s="11">
        <v>46100</v>
      </c>
      <c r="K27" s="25" t="s">
        <v>134</v>
      </c>
      <c r="L27" s="12" t="s">
        <v>146</v>
      </c>
      <c r="M27" s="13">
        <v>2</v>
      </c>
      <c r="N27" s="13"/>
      <c r="O27" s="21"/>
    </row>
    <row r="28" customFormat="1" ht="22" customHeight="1" spans="1:15">
      <c r="A28" s="10">
        <v>26</v>
      </c>
      <c r="B28" s="11">
        <v>46100</v>
      </c>
      <c r="C28" s="12" t="s">
        <v>27</v>
      </c>
      <c r="D28" s="12" t="s">
        <v>146</v>
      </c>
      <c r="E28" s="13">
        <v>2</v>
      </c>
      <c r="F28" s="13"/>
      <c r="G28" s="21"/>
      <c r="H28">
        <f t="shared" si="0"/>
        <v>2</v>
      </c>
      <c r="I28" s="16">
        <v>26</v>
      </c>
      <c r="J28" s="11">
        <v>46100</v>
      </c>
      <c r="K28" s="25" t="s">
        <v>135</v>
      </c>
      <c r="L28" s="12" t="s">
        <v>146</v>
      </c>
      <c r="M28" s="25"/>
      <c r="N28" s="25">
        <v>2</v>
      </c>
      <c r="O28" s="25" t="s">
        <v>94</v>
      </c>
    </row>
    <row r="29" customFormat="1" ht="22" customHeight="1" spans="1:15">
      <c r="A29" s="10">
        <v>27</v>
      </c>
      <c r="B29" s="11">
        <v>46100</v>
      </c>
      <c r="C29" s="12" t="s">
        <v>33</v>
      </c>
      <c r="D29" s="12" t="s">
        <v>146</v>
      </c>
      <c r="E29" s="13">
        <v>2</v>
      </c>
      <c r="F29" s="13"/>
      <c r="G29" s="21"/>
      <c r="H29">
        <f t="shared" si="0"/>
        <v>2</v>
      </c>
      <c r="I29" s="16"/>
      <c r="J29" s="11">
        <v>46100</v>
      </c>
      <c r="K29" s="25" t="s">
        <v>134</v>
      </c>
      <c r="L29" s="12" t="s">
        <v>147</v>
      </c>
      <c r="M29" s="13">
        <v>5</v>
      </c>
      <c r="N29" s="13"/>
      <c r="O29" s="21" t="s">
        <v>147</v>
      </c>
    </row>
    <row r="30" customFormat="1" ht="22" customHeight="1" spans="1:15">
      <c r="A30" s="10">
        <v>28</v>
      </c>
      <c r="B30" s="11">
        <v>46100</v>
      </c>
      <c r="C30" s="12" t="s">
        <v>35</v>
      </c>
      <c r="D30" s="12" t="s">
        <v>146</v>
      </c>
      <c r="E30" s="13"/>
      <c r="F30" s="13">
        <v>2</v>
      </c>
      <c r="G30" s="21"/>
      <c r="H30">
        <f t="shared" si="0"/>
        <v>2</v>
      </c>
      <c r="I30" s="16"/>
      <c r="J30" s="11"/>
      <c r="K30" s="25" t="s">
        <v>135</v>
      </c>
      <c r="L30" s="12" t="s">
        <v>147</v>
      </c>
      <c r="M30" s="13"/>
      <c r="N30" s="13">
        <v>3</v>
      </c>
      <c r="O30" s="21" t="s">
        <v>147</v>
      </c>
    </row>
    <row r="31" customFormat="1" ht="22" customHeight="1" spans="1:15">
      <c r="A31" s="10">
        <v>29</v>
      </c>
      <c r="B31" s="11">
        <v>46100</v>
      </c>
      <c r="C31" s="12" t="s">
        <v>123</v>
      </c>
      <c r="D31" s="12" t="s">
        <v>146</v>
      </c>
      <c r="E31" s="13">
        <v>2</v>
      </c>
      <c r="F31" s="13"/>
      <c r="G31" s="21"/>
      <c r="H31">
        <f t="shared" si="0"/>
        <v>2</v>
      </c>
      <c r="I31" s="16"/>
      <c r="J31" s="11"/>
      <c r="K31" s="12"/>
      <c r="L31" s="12"/>
      <c r="M31" s="13"/>
      <c r="N31" s="13"/>
      <c r="O31" s="21"/>
    </row>
    <row r="32" customFormat="1" ht="22" customHeight="1" spans="1:15">
      <c r="A32" s="10">
        <v>30</v>
      </c>
      <c r="B32" s="11">
        <v>46100</v>
      </c>
      <c r="C32" s="12" t="s">
        <v>124</v>
      </c>
      <c r="D32" s="12" t="s">
        <v>146</v>
      </c>
      <c r="E32" s="13"/>
      <c r="F32" s="13">
        <v>2</v>
      </c>
      <c r="G32" s="21"/>
      <c r="H32">
        <f t="shared" si="0"/>
        <v>2</v>
      </c>
      <c r="I32" s="16"/>
      <c r="J32" s="11"/>
      <c r="K32" s="12"/>
      <c r="L32" s="12"/>
      <c r="M32" s="13"/>
      <c r="N32" s="13"/>
      <c r="O32" s="21"/>
    </row>
    <row r="33" customFormat="1" ht="22" customHeight="1" spans="1:15">
      <c r="A33" s="10">
        <v>31</v>
      </c>
      <c r="B33" s="11">
        <v>46100</v>
      </c>
      <c r="C33" s="12" t="s">
        <v>125</v>
      </c>
      <c r="D33" s="12" t="s">
        <v>146</v>
      </c>
      <c r="E33" s="13">
        <v>2</v>
      </c>
      <c r="F33" s="13"/>
      <c r="G33" s="21"/>
      <c r="H33">
        <f t="shared" si="0"/>
        <v>2</v>
      </c>
      <c r="I33" s="16"/>
      <c r="J33" s="11"/>
      <c r="K33" s="12"/>
      <c r="L33" s="12"/>
      <c r="M33" s="13"/>
      <c r="N33" s="13"/>
      <c r="O33" s="21"/>
    </row>
    <row r="34" customFormat="1" ht="22" customHeight="1" spans="1:15">
      <c r="A34" s="10">
        <v>32</v>
      </c>
      <c r="B34" s="11">
        <v>46100</v>
      </c>
      <c r="C34" s="12" t="s">
        <v>29</v>
      </c>
      <c r="D34" s="12" t="s">
        <v>146</v>
      </c>
      <c r="E34" s="13"/>
      <c r="F34" s="13">
        <v>2</v>
      </c>
      <c r="G34" s="21"/>
      <c r="H34">
        <f t="shared" si="0"/>
        <v>2</v>
      </c>
      <c r="I34" s="16"/>
      <c r="J34" s="11"/>
      <c r="K34" s="12"/>
      <c r="L34" s="12"/>
      <c r="M34" s="13"/>
      <c r="N34" s="13"/>
      <c r="O34" s="21"/>
    </row>
    <row r="35" customFormat="1" ht="22" customHeight="1" spans="1:15">
      <c r="A35" s="10">
        <v>33</v>
      </c>
      <c r="B35" s="11">
        <v>46100</v>
      </c>
      <c r="C35" s="12" t="s">
        <v>30</v>
      </c>
      <c r="D35" s="12" t="s">
        <v>146</v>
      </c>
      <c r="E35" s="13">
        <v>2</v>
      </c>
      <c r="F35" s="13"/>
      <c r="G35" s="21"/>
      <c r="H35">
        <f t="shared" si="0"/>
        <v>2</v>
      </c>
      <c r="I35" s="16"/>
      <c r="J35" s="11"/>
      <c r="K35" s="12"/>
      <c r="L35" s="12"/>
      <c r="M35" s="13"/>
      <c r="N35" s="13"/>
      <c r="O35" s="21"/>
    </row>
    <row r="36" customFormat="1" ht="22" customHeight="1" spans="1:15">
      <c r="A36" s="10">
        <v>34</v>
      </c>
      <c r="B36" s="11">
        <v>46100</v>
      </c>
      <c r="C36" s="12" t="s">
        <v>31</v>
      </c>
      <c r="D36" s="12" t="s">
        <v>146</v>
      </c>
      <c r="E36" s="13"/>
      <c r="F36" s="13">
        <v>2</v>
      </c>
      <c r="G36" s="21"/>
      <c r="H36">
        <f t="shared" si="0"/>
        <v>2</v>
      </c>
      <c r="I36" s="16"/>
      <c r="J36" s="11"/>
      <c r="K36" s="12"/>
      <c r="L36" s="12"/>
      <c r="M36" s="13"/>
      <c r="N36" s="13"/>
      <c r="O36" s="21"/>
    </row>
    <row r="37" customFormat="1" ht="22" customHeight="1" spans="1:15">
      <c r="A37" s="10">
        <v>35</v>
      </c>
      <c r="B37" s="11">
        <v>46100</v>
      </c>
      <c r="C37" s="12" t="s">
        <v>126</v>
      </c>
      <c r="D37" s="12" t="s">
        <v>146</v>
      </c>
      <c r="E37" s="13"/>
      <c r="F37" s="13">
        <v>2</v>
      </c>
      <c r="G37" s="21"/>
      <c r="H37">
        <f t="shared" si="0"/>
        <v>2</v>
      </c>
      <c r="I37" s="16"/>
      <c r="J37" s="11"/>
      <c r="K37" s="12"/>
      <c r="L37" s="12"/>
      <c r="M37" s="13"/>
      <c r="N37" s="13"/>
      <c r="O37" s="21"/>
    </row>
    <row r="38" customFormat="1" ht="22" customHeight="1" spans="1:15">
      <c r="A38" s="10">
        <v>36</v>
      </c>
      <c r="B38" s="11">
        <v>46100</v>
      </c>
      <c r="C38" s="12" t="s">
        <v>127</v>
      </c>
      <c r="D38" s="12" t="s">
        <v>146</v>
      </c>
      <c r="E38" s="13">
        <v>2</v>
      </c>
      <c r="F38" s="13"/>
      <c r="G38" s="21"/>
      <c r="H38">
        <f t="shared" si="0"/>
        <v>2</v>
      </c>
      <c r="I38" s="16"/>
      <c r="J38" s="11"/>
      <c r="K38" s="12"/>
      <c r="L38" s="12"/>
      <c r="M38" s="13"/>
      <c r="N38" s="13"/>
      <c r="O38" s="21"/>
    </row>
    <row r="39" customFormat="1" ht="22" customHeight="1" spans="1:15">
      <c r="A39" s="10">
        <v>37</v>
      </c>
      <c r="B39" s="11">
        <v>46100</v>
      </c>
      <c r="C39" s="39" t="s">
        <v>132</v>
      </c>
      <c r="D39" s="12" t="s">
        <v>146</v>
      </c>
      <c r="E39" s="13">
        <v>1</v>
      </c>
      <c r="F39" s="13">
        <v>1</v>
      </c>
      <c r="G39" s="21" t="s">
        <v>143</v>
      </c>
      <c r="H39">
        <f t="shared" si="0"/>
        <v>2</v>
      </c>
      <c r="I39" s="16"/>
      <c r="J39" s="11"/>
      <c r="K39" s="12"/>
      <c r="L39" s="12"/>
      <c r="M39" s="13"/>
      <c r="N39" s="13"/>
      <c r="O39" s="21"/>
    </row>
    <row r="40" customFormat="1" ht="22" customHeight="1" spans="1:15">
      <c r="A40" s="10">
        <v>38</v>
      </c>
      <c r="B40" s="11">
        <v>46100</v>
      </c>
      <c r="C40" s="40" t="s">
        <v>36</v>
      </c>
      <c r="D40" s="12" t="s">
        <v>146</v>
      </c>
      <c r="E40" s="13">
        <v>1</v>
      </c>
      <c r="F40" s="13">
        <v>1</v>
      </c>
      <c r="G40" s="21" t="s">
        <v>143</v>
      </c>
      <c r="H40">
        <v>4</v>
      </c>
      <c r="I40" s="16"/>
      <c r="J40" s="11"/>
      <c r="K40" s="12"/>
      <c r="L40" s="12"/>
      <c r="M40" s="13"/>
      <c r="N40" s="13"/>
      <c r="O40" s="21"/>
    </row>
    <row r="41" customFormat="1" ht="22" customHeight="1" spans="1:15">
      <c r="A41" s="10">
        <v>39</v>
      </c>
      <c r="B41" s="11">
        <v>46100</v>
      </c>
      <c r="C41" s="40" t="s">
        <v>36</v>
      </c>
      <c r="D41" s="12" t="s">
        <v>146</v>
      </c>
      <c r="E41" s="13">
        <v>1</v>
      </c>
      <c r="F41" s="13">
        <v>1</v>
      </c>
      <c r="G41" s="21" t="s">
        <v>147</v>
      </c>
      <c r="I41" s="16"/>
      <c r="J41" s="11"/>
      <c r="K41" s="12"/>
      <c r="L41" s="12"/>
      <c r="M41" s="13"/>
      <c r="N41" s="13"/>
      <c r="O41" s="21"/>
    </row>
    <row r="42" customFormat="1" ht="22" customHeight="1" spans="1:15">
      <c r="A42" s="10">
        <v>40</v>
      </c>
      <c r="B42" s="11">
        <v>46100</v>
      </c>
      <c r="C42" s="39" t="s">
        <v>133</v>
      </c>
      <c r="D42" s="12" t="s">
        <v>146</v>
      </c>
      <c r="E42" s="13">
        <v>1</v>
      </c>
      <c r="F42" s="13">
        <v>1</v>
      </c>
      <c r="G42" s="21" t="s">
        <v>150</v>
      </c>
      <c r="I42" s="16"/>
      <c r="J42" s="11"/>
      <c r="K42" s="12"/>
      <c r="L42" s="12"/>
      <c r="M42" s="13"/>
      <c r="N42" s="13"/>
      <c r="O42" s="21"/>
    </row>
    <row r="43" customFormat="1" ht="22" customHeight="1" spans="1:15">
      <c r="A43" s="10">
        <v>41</v>
      </c>
      <c r="B43" s="11">
        <v>46100</v>
      </c>
      <c r="C43" s="12"/>
      <c r="D43" s="12"/>
      <c r="E43" s="13"/>
      <c r="F43" s="13">
        <v>1</v>
      </c>
      <c r="G43" s="21" t="s">
        <v>151</v>
      </c>
      <c r="I43" s="16"/>
      <c r="J43" s="11"/>
      <c r="K43" s="12"/>
      <c r="L43" s="12"/>
      <c r="M43" s="13"/>
      <c r="N43" s="13"/>
      <c r="O43" s="21"/>
    </row>
    <row r="44" customFormat="1" ht="22" customHeight="1" spans="1:15">
      <c r="A44" s="10"/>
      <c r="B44" s="11"/>
      <c r="C44" s="39"/>
      <c r="D44" s="12"/>
      <c r="E44" s="13"/>
      <c r="F44" s="13"/>
      <c r="G44" s="21"/>
      <c r="I44" s="16"/>
      <c r="J44" s="11"/>
      <c r="K44" s="12"/>
      <c r="L44" s="12"/>
      <c r="M44" s="13"/>
      <c r="N44" s="13"/>
      <c r="O44" s="21"/>
    </row>
    <row r="45" customFormat="1" ht="22" customHeight="1" spans="1:15">
      <c r="A45" s="10"/>
      <c r="B45" s="11"/>
      <c r="C45" s="12"/>
      <c r="D45" s="12"/>
      <c r="E45" s="13"/>
      <c r="F45" s="13"/>
      <c r="G45" s="21"/>
      <c r="I45" s="16"/>
      <c r="J45" s="11"/>
      <c r="K45" s="12"/>
      <c r="L45" s="12"/>
      <c r="M45" s="13"/>
      <c r="N45" s="13"/>
      <c r="O45" s="21"/>
    </row>
    <row r="46" customFormat="1" ht="22" customHeight="1" spans="1:15">
      <c r="E46">
        <f>SUM(E3:E45)</f>
        <v>36</v>
      </c>
      <c r="F46">
        <f>SUM(F3:F45)</f>
        <v>46</v>
      </c>
      <c r="M46" s="13">
        <f>SUM(M3:M45)</f>
        <v>34</v>
      </c>
      <c r="N46" s="13">
        <f>SUM(N3:N45)</f>
        <v>26</v>
      </c>
    </row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customFormat="1" ht="22" customHeight="1" spans="1:15">
      <c r="A68" s="10"/>
      <c r="B68" s="11"/>
      <c r="C68" s="12"/>
      <c r="D68" s="12"/>
      <c r="E68" s="13"/>
      <c r="F68" s="13"/>
      <c r="G68" s="21"/>
      <c r="I68" s="10"/>
      <c r="J68" s="11"/>
      <c r="K68" s="12"/>
      <c r="L68" s="12"/>
      <c r="M68" s="13"/>
      <c r="N68" s="13"/>
      <c r="O68" s="21"/>
    </row>
    <row r="69" customFormat="1" ht="21" customHeight="1" spans="1:15">
      <c r="B69" s="37"/>
      <c r="C69" s="37"/>
      <c r="D69" s="37"/>
      <c r="E69" s="38">
        <f>SUM(E3:E68)</f>
        <v>72</v>
      </c>
      <c r="F69" s="38">
        <f>SUM(F3:F68)</f>
        <v>92</v>
      </c>
      <c r="J69" s="37"/>
      <c r="K69" s="37"/>
      <c r="L69" s="37"/>
      <c r="M69" s="38"/>
      <c r="N69" s="38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"/>
  <sheetViews>
    <sheetView topLeftCell="A27" workbookViewId="0">
      <selection activeCell="F44" sqref="N43:O43 E44:F44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8571428571429" customWidth="1"/>
    <col min="4" max="6" width="12.1428571428571" customWidth="1"/>
    <col min="7" max="7" width="31.4285714285714" customWidth="1"/>
    <col min="8" max="8" width="25.2857142857143" customWidth="1"/>
    <col min="10" max="10" width="12.1428571428571" customWidth="1"/>
    <col min="11" max="11" width="14.4285714285714" customWidth="1"/>
    <col min="12" max="12" width="16.8571428571429" customWidth="1"/>
    <col min="13" max="15" width="12.1428571428571" customWidth="1"/>
    <col min="16" max="16" width="34" customWidth="1"/>
  </cols>
  <sheetData>
    <row r="1" customFormat="1" ht="38" customHeight="1" spans="1:17">
      <c r="A1" s="2" t="s">
        <v>136</v>
      </c>
      <c r="B1" s="2"/>
      <c r="C1" s="2"/>
      <c r="D1" s="2"/>
      <c r="E1" s="2"/>
      <c r="F1" s="3"/>
      <c r="G1" s="4"/>
      <c r="H1" s="5"/>
      <c r="J1" s="2" t="s">
        <v>145</v>
      </c>
      <c r="K1" s="2"/>
      <c r="L1" s="2"/>
      <c r="M1" s="2"/>
      <c r="N1" s="2"/>
      <c r="O1" s="3"/>
      <c r="P1" s="4"/>
    </row>
    <row r="2" s="1" customFormat="1" ht="32" customHeight="1" spans="1:17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H2" s="9"/>
      <c r="J2" s="6" t="s">
        <v>1</v>
      </c>
      <c r="K2" s="6" t="s">
        <v>98</v>
      </c>
      <c r="L2" s="6" t="s">
        <v>99</v>
      </c>
      <c r="M2" s="7" t="s">
        <v>137</v>
      </c>
      <c r="N2" s="8" t="s">
        <v>138</v>
      </c>
      <c r="O2" s="8" t="s">
        <v>139</v>
      </c>
      <c r="P2" s="8" t="s">
        <v>9</v>
      </c>
      <c r="Q2"/>
    </row>
    <row r="3" customFormat="1" ht="22" customHeight="1" spans="1:17">
      <c r="A3" s="10">
        <v>1</v>
      </c>
      <c r="B3" s="11">
        <v>46104</v>
      </c>
      <c r="C3" s="12" t="s">
        <v>102</v>
      </c>
      <c r="D3" s="12" t="s">
        <v>140</v>
      </c>
      <c r="E3" s="13">
        <v>1</v>
      </c>
      <c r="F3" s="13">
        <v>2</v>
      </c>
      <c r="G3" s="14"/>
      <c r="H3" s="15">
        <f>SUM(E3:F3)</f>
        <v>3</v>
      </c>
      <c r="I3" s="15">
        <f>SUM(E3:F3)</f>
        <v>3</v>
      </c>
      <c r="J3" s="16">
        <v>1</v>
      </c>
      <c r="K3" s="11">
        <v>46104</v>
      </c>
      <c r="L3" s="12" t="s">
        <v>53</v>
      </c>
      <c r="M3" s="12" t="s">
        <v>140</v>
      </c>
      <c r="N3" s="13">
        <v>2</v>
      </c>
      <c r="O3" s="13">
        <v>1</v>
      </c>
      <c r="P3" s="14" t="s">
        <v>12</v>
      </c>
      <c r="Q3">
        <f>SUM(N3:O3)</f>
        <v>3</v>
      </c>
    </row>
    <row r="4" customFormat="1" ht="22" customHeight="1" spans="1:17">
      <c r="A4" s="10">
        <v>2</v>
      </c>
      <c r="B4" s="11">
        <v>46104</v>
      </c>
      <c r="C4" s="12" t="s">
        <v>103</v>
      </c>
      <c r="D4" s="12" t="s">
        <v>140</v>
      </c>
      <c r="E4" s="17"/>
      <c r="F4" s="13">
        <v>3</v>
      </c>
      <c r="G4" s="18"/>
      <c r="H4" s="15">
        <f t="shared" ref="H4:H41" si="0">SUM(E4:F4)</f>
        <v>3</v>
      </c>
      <c r="I4" s="15">
        <f t="shared" ref="I4:I38" si="1">SUM(E4:F4)</f>
        <v>3</v>
      </c>
      <c r="J4" s="16">
        <v>2</v>
      </c>
      <c r="K4" s="11">
        <v>46104</v>
      </c>
      <c r="L4" s="12" t="s">
        <v>57</v>
      </c>
      <c r="M4" s="12" t="s">
        <v>140</v>
      </c>
      <c r="N4" s="17">
        <v>3</v>
      </c>
      <c r="O4" s="13"/>
      <c r="P4" s="18"/>
      <c r="Q4">
        <f t="shared" ref="Q4:Q28" si="2">SUM(N4:O4)</f>
        <v>3</v>
      </c>
    </row>
    <row r="5" customFormat="1" ht="22" customHeight="1" spans="1:17">
      <c r="A5" s="10">
        <v>3</v>
      </c>
      <c r="B5" s="11">
        <v>46104</v>
      </c>
      <c r="C5" s="12" t="s">
        <v>104</v>
      </c>
      <c r="D5" s="12" t="s">
        <v>140</v>
      </c>
      <c r="E5" s="13"/>
      <c r="F5" s="13">
        <v>3</v>
      </c>
      <c r="G5" s="18"/>
      <c r="H5" s="15">
        <f t="shared" si="0"/>
        <v>3</v>
      </c>
      <c r="I5" s="15">
        <f t="shared" si="1"/>
        <v>3</v>
      </c>
      <c r="J5" s="16">
        <v>3</v>
      </c>
      <c r="K5" s="11">
        <v>46104</v>
      </c>
      <c r="L5" s="12" t="s">
        <v>59</v>
      </c>
      <c r="M5" s="12" t="s">
        <v>140</v>
      </c>
      <c r="N5" s="17">
        <v>3</v>
      </c>
      <c r="O5" s="13"/>
      <c r="P5" s="18"/>
      <c r="Q5">
        <f t="shared" si="2"/>
        <v>3</v>
      </c>
    </row>
    <row r="6" customFormat="1" ht="22" customHeight="1" spans="1:17">
      <c r="A6" s="10">
        <v>4</v>
      </c>
      <c r="B6" s="11">
        <v>46104</v>
      </c>
      <c r="C6" s="12" t="s">
        <v>105</v>
      </c>
      <c r="D6" s="12" t="s">
        <v>140</v>
      </c>
      <c r="E6" s="13"/>
      <c r="F6" s="13">
        <v>3</v>
      </c>
      <c r="G6" s="18"/>
      <c r="H6" s="15">
        <f t="shared" si="0"/>
        <v>3</v>
      </c>
      <c r="I6" s="15">
        <f t="shared" si="1"/>
        <v>3</v>
      </c>
      <c r="J6" s="16">
        <v>4</v>
      </c>
      <c r="K6" s="11">
        <v>46104</v>
      </c>
      <c r="L6" s="12" t="s">
        <v>60</v>
      </c>
      <c r="M6" s="12" t="s">
        <v>140</v>
      </c>
      <c r="N6" s="13"/>
      <c r="O6" s="17">
        <v>3</v>
      </c>
      <c r="P6" s="18" t="s">
        <v>61</v>
      </c>
      <c r="Q6">
        <f t="shared" si="2"/>
        <v>3</v>
      </c>
    </row>
    <row r="7" customFormat="1" ht="22" customHeight="1" spans="1:17">
      <c r="A7" s="10">
        <v>5</v>
      </c>
      <c r="B7" s="11">
        <v>46104</v>
      </c>
      <c r="C7" s="12" t="s">
        <v>106</v>
      </c>
      <c r="D7" s="12" t="s">
        <v>140</v>
      </c>
      <c r="E7" s="13"/>
      <c r="F7" s="13">
        <v>3</v>
      </c>
      <c r="G7" s="18"/>
      <c r="H7" s="15">
        <f t="shared" si="0"/>
        <v>3</v>
      </c>
      <c r="I7" s="15">
        <f t="shared" si="1"/>
        <v>3</v>
      </c>
      <c r="J7" s="16">
        <v>5</v>
      </c>
      <c r="K7" s="11">
        <v>46104</v>
      </c>
      <c r="L7" s="12" t="s">
        <v>62</v>
      </c>
      <c r="M7" s="12" t="s">
        <v>140</v>
      </c>
      <c r="N7" s="13"/>
      <c r="O7" s="17">
        <v>3</v>
      </c>
      <c r="P7" s="18" t="s">
        <v>5</v>
      </c>
      <c r="Q7">
        <f t="shared" si="2"/>
        <v>3</v>
      </c>
    </row>
    <row r="8" customFormat="1" ht="22" customHeight="1" spans="1:17">
      <c r="A8" s="10">
        <v>6</v>
      </c>
      <c r="B8" s="11">
        <v>46104</v>
      </c>
      <c r="C8" s="12" t="s">
        <v>107</v>
      </c>
      <c r="D8" s="12" t="s">
        <v>140</v>
      </c>
      <c r="E8" s="13">
        <v>3</v>
      </c>
      <c r="F8" s="13"/>
      <c r="G8" s="18"/>
      <c r="H8" s="15">
        <f t="shared" si="0"/>
        <v>3</v>
      </c>
      <c r="I8" s="15">
        <f t="shared" si="1"/>
        <v>3</v>
      </c>
      <c r="J8" s="16">
        <v>6</v>
      </c>
      <c r="K8" s="11">
        <v>46104</v>
      </c>
      <c r="L8" s="12" t="s">
        <v>64</v>
      </c>
      <c r="M8" s="12" t="s">
        <v>140</v>
      </c>
      <c r="N8" s="13"/>
      <c r="O8" s="17">
        <v>3</v>
      </c>
      <c r="P8" s="18" t="s">
        <v>5</v>
      </c>
      <c r="Q8">
        <f t="shared" si="2"/>
        <v>3</v>
      </c>
    </row>
    <row r="9" customFormat="1" ht="22" customHeight="1" spans="1:17">
      <c r="A9" s="10">
        <v>7</v>
      </c>
      <c r="B9" s="11">
        <v>46104</v>
      </c>
      <c r="C9" s="12" t="s">
        <v>108</v>
      </c>
      <c r="D9" s="12" t="s">
        <v>140</v>
      </c>
      <c r="E9" s="13">
        <v>3</v>
      </c>
      <c r="F9" s="13"/>
      <c r="G9" s="21"/>
      <c r="H9" s="15">
        <f t="shared" si="0"/>
        <v>3</v>
      </c>
      <c r="I9" s="15">
        <f t="shared" si="1"/>
        <v>3</v>
      </c>
      <c r="J9" s="16">
        <v>7</v>
      </c>
      <c r="K9" s="11">
        <v>46104</v>
      </c>
      <c r="L9" s="12" t="s">
        <v>65</v>
      </c>
      <c r="M9" s="12" t="s">
        <v>140</v>
      </c>
      <c r="N9" s="13"/>
      <c r="O9" s="17">
        <v>3</v>
      </c>
      <c r="P9" s="21" t="s">
        <v>5</v>
      </c>
      <c r="Q9">
        <f t="shared" si="2"/>
        <v>3</v>
      </c>
    </row>
    <row r="10" customFormat="1" ht="22" customHeight="1" spans="1:17">
      <c r="A10" s="10">
        <v>8</v>
      </c>
      <c r="B10" s="11">
        <v>46104</v>
      </c>
      <c r="C10" s="12" t="s">
        <v>109</v>
      </c>
      <c r="D10" s="12" t="s">
        <v>140</v>
      </c>
      <c r="E10" s="13"/>
      <c r="F10" s="13">
        <v>3</v>
      </c>
      <c r="G10" s="21"/>
      <c r="H10" s="15">
        <f t="shared" si="0"/>
        <v>3</v>
      </c>
      <c r="I10" s="15">
        <f t="shared" si="1"/>
        <v>3</v>
      </c>
      <c r="J10" s="16">
        <v>8</v>
      </c>
      <c r="K10" s="11">
        <v>46104</v>
      </c>
      <c r="L10" s="12" t="s">
        <v>67</v>
      </c>
      <c r="M10" s="12" t="s">
        <v>140</v>
      </c>
      <c r="N10" s="17">
        <v>3</v>
      </c>
      <c r="O10" s="13"/>
      <c r="P10" s="21"/>
      <c r="Q10">
        <f t="shared" si="2"/>
        <v>3</v>
      </c>
    </row>
    <row r="11" customFormat="1" ht="22" customHeight="1" spans="1:17">
      <c r="A11" s="10">
        <v>9</v>
      </c>
      <c r="B11" s="11">
        <v>46104</v>
      </c>
      <c r="C11" s="12" t="s">
        <v>110</v>
      </c>
      <c r="D11" s="12" t="s">
        <v>140</v>
      </c>
      <c r="E11" s="13"/>
      <c r="F11" s="13">
        <v>3</v>
      </c>
      <c r="G11" s="21"/>
      <c r="H11" s="15">
        <f t="shared" si="0"/>
        <v>3</v>
      </c>
      <c r="I11" s="15">
        <f t="shared" si="1"/>
        <v>3</v>
      </c>
      <c r="J11" s="16">
        <v>9</v>
      </c>
      <c r="K11" s="11">
        <v>46104</v>
      </c>
      <c r="L11" s="12" t="s">
        <v>69</v>
      </c>
      <c r="M11" s="12" t="s">
        <v>140</v>
      </c>
      <c r="N11" s="17">
        <v>3</v>
      </c>
      <c r="O11" s="13"/>
      <c r="P11" s="21"/>
      <c r="Q11">
        <f t="shared" si="2"/>
        <v>3</v>
      </c>
    </row>
    <row r="12" customFormat="1" ht="22" customHeight="1" spans="1:17">
      <c r="A12" s="10">
        <v>10</v>
      </c>
      <c r="B12" s="11">
        <v>46104</v>
      </c>
      <c r="C12" s="12" t="s">
        <v>111</v>
      </c>
      <c r="D12" s="12" t="s">
        <v>140</v>
      </c>
      <c r="E12" s="13">
        <v>3</v>
      </c>
      <c r="F12" s="13"/>
      <c r="G12" s="21"/>
      <c r="H12" s="15">
        <f t="shared" si="0"/>
        <v>3</v>
      </c>
      <c r="I12" s="15">
        <f t="shared" si="1"/>
        <v>3</v>
      </c>
      <c r="J12" s="16">
        <v>10</v>
      </c>
      <c r="K12" s="11">
        <v>46104</v>
      </c>
      <c r="L12" s="12" t="s">
        <v>70</v>
      </c>
      <c r="M12" s="12" t="s">
        <v>140</v>
      </c>
      <c r="N12" s="13"/>
      <c r="O12" s="17">
        <v>3</v>
      </c>
      <c r="P12" s="21" t="s">
        <v>71</v>
      </c>
      <c r="Q12">
        <f t="shared" si="2"/>
        <v>3</v>
      </c>
    </row>
    <row r="13" customFormat="1" ht="22" customHeight="1" spans="1:17">
      <c r="A13" s="10">
        <v>11</v>
      </c>
      <c r="B13" s="11">
        <v>46104</v>
      </c>
      <c r="C13" s="12" t="s">
        <v>112</v>
      </c>
      <c r="D13" s="12" t="s">
        <v>140</v>
      </c>
      <c r="E13" s="13">
        <v>1</v>
      </c>
      <c r="F13" s="13">
        <v>2</v>
      </c>
      <c r="G13" s="21"/>
      <c r="H13" s="15">
        <f t="shared" si="0"/>
        <v>3</v>
      </c>
      <c r="I13" s="15">
        <f t="shared" si="1"/>
        <v>3</v>
      </c>
      <c r="J13" s="16">
        <v>11</v>
      </c>
      <c r="K13" s="11">
        <v>46104</v>
      </c>
      <c r="L13" s="12" t="s">
        <v>72</v>
      </c>
      <c r="M13" s="12" t="s">
        <v>140</v>
      </c>
      <c r="N13" s="17">
        <v>3</v>
      </c>
      <c r="O13" s="13"/>
      <c r="P13" s="21"/>
      <c r="Q13">
        <f t="shared" si="2"/>
        <v>3</v>
      </c>
    </row>
    <row r="14" customFormat="1" ht="22" customHeight="1" spans="1:17">
      <c r="A14" s="10">
        <v>12</v>
      </c>
      <c r="B14" s="11">
        <v>46104</v>
      </c>
      <c r="C14" s="12" t="s">
        <v>113</v>
      </c>
      <c r="D14" s="12" t="s">
        <v>140</v>
      </c>
      <c r="E14" s="13">
        <v>1</v>
      </c>
      <c r="F14" s="13">
        <v>2</v>
      </c>
      <c r="G14" s="21"/>
      <c r="H14" s="15">
        <f t="shared" si="0"/>
        <v>3</v>
      </c>
      <c r="I14" s="15">
        <f t="shared" si="1"/>
        <v>3</v>
      </c>
      <c r="J14" s="16">
        <v>12</v>
      </c>
      <c r="K14" s="11">
        <v>46104</v>
      </c>
      <c r="L14" s="12" t="s">
        <v>73</v>
      </c>
      <c r="M14" s="12" t="s">
        <v>140</v>
      </c>
      <c r="N14" s="17">
        <v>3</v>
      </c>
      <c r="O14" s="13"/>
      <c r="P14" s="21"/>
      <c r="Q14">
        <f t="shared" si="2"/>
        <v>3</v>
      </c>
    </row>
    <row r="15" customFormat="1" ht="22" customHeight="1" spans="1:17">
      <c r="A15" s="10">
        <v>13</v>
      </c>
      <c r="B15" s="11">
        <v>46104</v>
      </c>
      <c r="C15" s="12" t="s">
        <v>114</v>
      </c>
      <c r="D15" s="12" t="s">
        <v>140</v>
      </c>
      <c r="E15" s="13">
        <v>1</v>
      </c>
      <c r="F15" s="13">
        <v>2</v>
      </c>
      <c r="G15" s="21"/>
      <c r="H15" s="15">
        <f t="shared" si="0"/>
        <v>3</v>
      </c>
      <c r="I15" s="15">
        <f t="shared" si="1"/>
        <v>3</v>
      </c>
      <c r="J15" s="16">
        <v>13</v>
      </c>
      <c r="K15" s="11">
        <v>46104</v>
      </c>
      <c r="L15" s="12" t="s">
        <v>74</v>
      </c>
      <c r="M15" s="12" t="s">
        <v>140</v>
      </c>
      <c r="N15" s="13">
        <v>2</v>
      </c>
      <c r="O15" s="13">
        <v>1</v>
      </c>
      <c r="P15" s="21" t="s">
        <v>76</v>
      </c>
      <c r="Q15">
        <f t="shared" si="2"/>
        <v>3</v>
      </c>
    </row>
    <row r="16" customFormat="1" ht="22" customHeight="1" spans="1:17">
      <c r="A16" s="10">
        <v>14</v>
      </c>
      <c r="B16" s="11">
        <v>46104</v>
      </c>
      <c r="C16" s="12" t="s">
        <v>115</v>
      </c>
      <c r="D16" s="12" t="s">
        <v>140</v>
      </c>
      <c r="E16" s="13">
        <v>3</v>
      </c>
      <c r="F16" s="13"/>
      <c r="G16" s="21"/>
      <c r="H16" s="15">
        <f t="shared" si="0"/>
        <v>3</v>
      </c>
      <c r="I16" s="15">
        <f t="shared" si="1"/>
        <v>3</v>
      </c>
      <c r="J16" s="16">
        <v>14</v>
      </c>
      <c r="K16" s="11">
        <v>46104</v>
      </c>
      <c r="L16" s="12" t="s">
        <v>77</v>
      </c>
      <c r="M16" s="12" t="s">
        <v>140</v>
      </c>
      <c r="N16" s="13">
        <v>2</v>
      </c>
      <c r="O16" s="13">
        <v>1</v>
      </c>
      <c r="P16" s="21" t="s">
        <v>78</v>
      </c>
      <c r="Q16">
        <f t="shared" si="2"/>
        <v>3</v>
      </c>
    </row>
    <row r="17" customFormat="1" ht="22" customHeight="1" spans="1:17">
      <c r="A17" s="10">
        <v>15</v>
      </c>
      <c r="B17" s="11">
        <v>46104</v>
      </c>
      <c r="C17" s="12" t="s">
        <v>116</v>
      </c>
      <c r="D17" s="12" t="s">
        <v>140</v>
      </c>
      <c r="E17" s="13">
        <v>3</v>
      </c>
      <c r="F17" s="13"/>
      <c r="G17" s="21"/>
      <c r="H17" s="15">
        <f t="shared" si="0"/>
        <v>3</v>
      </c>
      <c r="I17" s="15">
        <f t="shared" si="1"/>
        <v>3</v>
      </c>
      <c r="J17" s="16">
        <v>15</v>
      </c>
      <c r="K17" s="11">
        <v>46104</v>
      </c>
      <c r="L17" s="12" t="s">
        <v>79</v>
      </c>
      <c r="M17" s="12" t="s">
        <v>140</v>
      </c>
      <c r="N17" s="17">
        <v>3</v>
      </c>
      <c r="O17" s="13"/>
      <c r="P17" s="21"/>
      <c r="Q17">
        <f t="shared" si="2"/>
        <v>3</v>
      </c>
    </row>
    <row r="18" customFormat="1" ht="22" customHeight="1" spans="1:17">
      <c r="A18" s="10">
        <v>16</v>
      </c>
      <c r="B18" s="11">
        <v>46104</v>
      </c>
      <c r="C18" s="12" t="s">
        <v>117</v>
      </c>
      <c r="D18" s="12" t="s">
        <v>140</v>
      </c>
      <c r="E18" s="13"/>
      <c r="F18" s="13">
        <v>3</v>
      </c>
      <c r="G18" s="21"/>
      <c r="H18" s="15">
        <f t="shared" si="0"/>
        <v>3</v>
      </c>
      <c r="I18" s="15">
        <f t="shared" si="1"/>
        <v>3</v>
      </c>
      <c r="J18" s="16">
        <v>16</v>
      </c>
      <c r="K18" s="11">
        <v>46104</v>
      </c>
      <c r="L18" s="12" t="s">
        <v>81</v>
      </c>
      <c r="M18" s="12" t="s">
        <v>140</v>
      </c>
      <c r="N18" s="13">
        <v>1</v>
      </c>
      <c r="O18" s="17">
        <v>2</v>
      </c>
      <c r="P18" s="21" t="s">
        <v>82</v>
      </c>
      <c r="Q18">
        <f t="shared" si="2"/>
        <v>3</v>
      </c>
    </row>
    <row r="19" customFormat="1" ht="22" customHeight="1" spans="1:17">
      <c r="A19" s="10">
        <v>17</v>
      </c>
      <c r="B19" s="11">
        <v>46104</v>
      </c>
      <c r="C19" s="12" t="s">
        <v>118</v>
      </c>
      <c r="D19" s="12" t="s">
        <v>140</v>
      </c>
      <c r="E19" s="13">
        <v>1</v>
      </c>
      <c r="F19" s="13">
        <v>2</v>
      </c>
      <c r="G19" s="21"/>
      <c r="H19" s="15">
        <f t="shared" si="0"/>
        <v>3</v>
      </c>
      <c r="I19" s="15">
        <f t="shared" si="1"/>
        <v>3</v>
      </c>
      <c r="J19" s="16">
        <v>17</v>
      </c>
      <c r="K19" s="11">
        <v>46104</v>
      </c>
      <c r="L19" s="12" t="s">
        <v>83</v>
      </c>
      <c r="M19" s="12" t="s">
        <v>140</v>
      </c>
      <c r="N19" s="13">
        <v>2</v>
      </c>
      <c r="O19" s="13">
        <v>1</v>
      </c>
      <c r="P19" s="21" t="s">
        <v>84</v>
      </c>
      <c r="Q19">
        <f t="shared" si="2"/>
        <v>3</v>
      </c>
    </row>
    <row r="20" customFormat="1" ht="22" customHeight="1" spans="1:17">
      <c r="A20" s="10">
        <v>18</v>
      </c>
      <c r="B20" s="11">
        <v>46104</v>
      </c>
      <c r="C20" s="12" t="s">
        <v>119</v>
      </c>
      <c r="D20" s="12" t="s">
        <v>140</v>
      </c>
      <c r="E20" s="44">
        <v>2</v>
      </c>
      <c r="F20" s="13"/>
      <c r="G20" s="21"/>
      <c r="H20" s="15">
        <f t="shared" si="0"/>
        <v>2</v>
      </c>
      <c r="I20" s="15">
        <f t="shared" si="1"/>
        <v>2</v>
      </c>
      <c r="J20" s="16">
        <v>18</v>
      </c>
      <c r="K20" s="11">
        <v>46104</v>
      </c>
      <c r="L20" s="12" t="s">
        <v>85</v>
      </c>
      <c r="M20" s="12" t="s">
        <v>140</v>
      </c>
      <c r="N20" s="17">
        <v>3</v>
      </c>
      <c r="O20" s="13"/>
      <c r="P20" s="21"/>
      <c r="Q20">
        <f t="shared" si="2"/>
        <v>3</v>
      </c>
    </row>
    <row r="21" customFormat="1" ht="22" customHeight="1" spans="1:17">
      <c r="A21" s="10">
        <v>19</v>
      </c>
      <c r="B21" s="11">
        <v>46104</v>
      </c>
      <c r="C21" s="12" t="s">
        <v>120</v>
      </c>
      <c r="D21" s="12" t="s">
        <v>140</v>
      </c>
      <c r="E21" s="13"/>
      <c r="F21" s="13">
        <v>3</v>
      </c>
      <c r="G21" s="21"/>
      <c r="H21" s="15">
        <f t="shared" si="0"/>
        <v>3</v>
      </c>
      <c r="I21" s="15">
        <f t="shared" si="1"/>
        <v>3</v>
      </c>
      <c r="J21" s="16">
        <v>19</v>
      </c>
      <c r="K21" s="11">
        <v>46104</v>
      </c>
      <c r="L21" s="12" t="s">
        <v>86</v>
      </c>
      <c r="M21" s="12" t="s">
        <v>140</v>
      </c>
      <c r="N21" s="17">
        <v>3</v>
      </c>
      <c r="O21" s="13"/>
      <c r="P21" s="21"/>
      <c r="Q21">
        <f t="shared" si="2"/>
        <v>3</v>
      </c>
    </row>
    <row r="22" customFormat="1" ht="22" customHeight="1" spans="1:17">
      <c r="A22" s="10">
        <v>20</v>
      </c>
      <c r="B22" s="11">
        <v>46104</v>
      </c>
      <c r="C22" s="12" t="s">
        <v>121</v>
      </c>
      <c r="D22" s="12" t="s">
        <v>140</v>
      </c>
      <c r="E22" s="13"/>
      <c r="F22" s="13">
        <v>3</v>
      </c>
      <c r="G22" s="21"/>
      <c r="H22" s="15">
        <f t="shared" si="0"/>
        <v>3</v>
      </c>
      <c r="I22" s="15">
        <f t="shared" si="1"/>
        <v>3</v>
      </c>
      <c r="J22" s="16">
        <v>20</v>
      </c>
      <c r="K22" s="11">
        <v>46104</v>
      </c>
      <c r="L22" s="12" t="s">
        <v>87</v>
      </c>
      <c r="M22" s="12" t="s">
        <v>140</v>
      </c>
      <c r="N22" s="17">
        <v>3</v>
      </c>
      <c r="O22" s="13"/>
      <c r="P22" s="21"/>
      <c r="Q22">
        <f t="shared" si="2"/>
        <v>3</v>
      </c>
    </row>
    <row r="23" customFormat="1" ht="22" customHeight="1" spans="1:17">
      <c r="A23" s="10">
        <v>21</v>
      </c>
      <c r="B23" s="11">
        <v>46104</v>
      </c>
      <c r="C23" s="12" t="s">
        <v>122</v>
      </c>
      <c r="D23" s="12" t="s">
        <v>140</v>
      </c>
      <c r="E23" s="13"/>
      <c r="F23" s="13">
        <v>3</v>
      </c>
      <c r="G23" s="21"/>
      <c r="H23" s="15">
        <f t="shared" si="0"/>
        <v>3</v>
      </c>
      <c r="I23" s="15">
        <f t="shared" si="1"/>
        <v>3</v>
      </c>
      <c r="J23" s="16">
        <v>21</v>
      </c>
      <c r="K23" s="11">
        <v>46104</v>
      </c>
      <c r="L23" s="12" t="s">
        <v>88</v>
      </c>
      <c r="M23" s="12" t="s">
        <v>140</v>
      </c>
      <c r="N23" s="13"/>
      <c r="O23" s="17">
        <v>3</v>
      </c>
      <c r="P23" s="21" t="s">
        <v>89</v>
      </c>
      <c r="Q23">
        <f t="shared" si="2"/>
        <v>3</v>
      </c>
    </row>
    <row r="24" customFormat="1" ht="22" customHeight="1" spans="1:17">
      <c r="A24" s="10">
        <v>22</v>
      </c>
      <c r="B24" s="11">
        <v>46104</v>
      </c>
      <c r="C24" s="12" t="s">
        <v>23</v>
      </c>
      <c r="D24" s="12" t="s">
        <v>140</v>
      </c>
      <c r="E24" s="13"/>
      <c r="F24" s="13">
        <v>3</v>
      </c>
      <c r="G24" s="21"/>
      <c r="H24" s="15">
        <f t="shared" si="0"/>
        <v>3</v>
      </c>
      <c r="I24" s="15">
        <f t="shared" si="1"/>
        <v>3</v>
      </c>
      <c r="J24" s="16">
        <v>22</v>
      </c>
      <c r="K24" s="11">
        <v>46104</v>
      </c>
      <c r="L24" s="12" t="s">
        <v>90</v>
      </c>
      <c r="M24" s="12" t="s">
        <v>140</v>
      </c>
      <c r="N24" s="17">
        <v>3</v>
      </c>
      <c r="O24" s="13"/>
      <c r="P24" s="21"/>
      <c r="Q24">
        <f t="shared" si="2"/>
        <v>3</v>
      </c>
    </row>
    <row r="25" customFormat="1" ht="22" customHeight="1" spans="1:17">
      <c r="A25" s="10">
        <v>23</v>
      </c>
      <c r="B25" s="11">
        <v>46104</v>
      </c>
      <c r="C25" s="12" t="s">
        <v>24</v>
      </c>
      <c r="D25" s="12" t="s">
        <v>140</v>
      </c>
      <c r="E25" s="13"/>
      <c r="F25" s="13">
        <v>3</v>
      </c>
      <c r="G25" s="21"/>
      <c r="H25" s="15">
        <f t="shared" si="0"/>
        <v>3</v>
      </c>
      <c r="I25" s="15">
        <f t="shared" si="1"/>
        <v>3</v>
      </c>
      <c r="J25" s="16">
        <v>23</v>
      </c>
      <c r="K25" s="11">
        <v>46104</v>
      </c>
      <c r="L25" s="12" t="s">
        <v>91</v>
      </c>
      <c r="M25" s="12" t="s">
        <v>140</v>
      </c>
      <c r="N25" s="13">
        <v>2</v>
      </c>
      <c r="O25" s="13">
        <v>1</v>
      </c>
      <c r="P25" s="21" t="s">
        <v>148</v>
      </c>
      <c r="Q25">
        <f t="shared" si="2"/>
        <v>3</v>
      </c>
    </row>
    <row r="26" customFormat="1" ht="22" customHeight="1" spans="1:17">
      <c r="A26" s="10">
        <v>24</v>
      </c>
      <c r="B26" s="11">
        <v>46104</v>
      </c>
      <c r="C26" s="12" t="s">
        <v>25</v>
      </c>
      <c r="D26" s="12" t="s">
        <v>140</v>
      </c>
      <c r="E26" s="13">
        <v>1</v>
      </c>
      <c r="F26" s="13">
        <v>2</v>
      </c>
      <c r="G26" s="21"/>
      <c r="H26" s="15">
        <f t="shared" si="0"/>
        <v>3</v>
      </c>
      <c r="I26" s="15">
        <f t="shared" si="1"/>
        <v>3</v>
      </c>
      <c r="J26" s="16">
        <v>24</v>
      </c>
      <c r="K26" s="11">
        <v>46104</v>
      </c>
      <c r="L26" s="12" t="s">
        <v>93</v>
      </c>
      <c r="M26" s="12" t="s">
        <v>140</v>
      </c>
      <c r="N26" s="13"/>
      <c r="O26" s="17">
        <v>3</v>
      </c>
      <c r="P26" s="21" t="s">
        <v>94</v>
      </c>
      <c r="Q26">
        <f t="shared" si="2"/>
        <v>3</v>
      </c>
    </row>
    <row r="27" customFormat="1" ht="22" customHeight="1" spans="1:17">
      <c r="A27" s="10">
        <v>25</v>
      </c>
      <c r="B27" s="11">
        <v>46104</v>
      </c>
      <c r="C27" s="12" t="s">
        <v>26</v>
      </c>
      <c r="D27" s="12" t="s">
        <v>140</v>
      </c>
      <c r="E27" s="13">
        <v>3</v>
      </c>
      <c r="F27" s="13"/>
      <c r="G27" s="21"/>
      <c r="H27" s="15">
        <f t="shared" si="0"/>
        <v>3</v>
      </c>
      <c r="I27" s="15">
        <f t="shared" si="1"/>
        <v>3</v>
      </c>
      <c r="J27" s="16">
        <v>25</v>
      </c>
      <c r="K27" s="11">
        <v>46104</v>
      </c>
      <c r="L27" s="24" t="s">
        <v>134</v>
      </c>
      <c r="M27" s="12" t="s">
        <v>140</v>
      </c>
      <c r="N27" s="13">
        <v>3</v>
      </c>
      <c r="O27" s="13"/>
      <c r="P27" s="21"/>
      <c r="Q27">
        <f t="shared" si="2"/>
        <v>3</v>
      </c>
    </row>
    <row r="28" customFormat="1" ht="22" customHeight="1" spans="1:17">
      <c r="A28" s="10">
        <v>26</v>
      </c>
      <c r="B28" s="11">
        <v>46104</v>
      </c>
      <c r="C28" s="12" t="s">
        <v>27</v>
      </c>
      <c r="D28" s="12" t="s">
        <v>140</v>
      </c>
      <c r="E28" s="13">
        <v>3</v>
      </c>
      <c r="F28" s="13"/>
      <c r="G28" s="21"/>
      <c r="H28" s="15">
        <f t="shared" si="0"/>
        <v>3</v>
      </c>
      <c r="I28" s="15">
        <f t="shared" si="1"/>
        <v>3</v>
      </c>
      <c r="J28" s="16">
        <v>26</v>
      </c>
      <c r="K28" s="11">
        <v>46104</v>
      </c>
      <c r="L28" s="25" t="s">
        <v>135</v>
      </c>
      <c r="M28" s="12" t="s">
        <v>140</v>
      </c>
      <c r="N28" s="13"/>
      <c r="O28" s="13">
        <v>3</v>
      </c>
      <c r="P28" s="21" t="s">
        <v>94</v>
      </c>
      <c r="Q28">
        <f t="shared" si="2"/>
        <v>3</v>
      </c>
    </row>
    <row r="29" customFormat="1" ht="22" customHeight="1" spans="1:17">
      <c r="A29" s="10">
        <v>27</v>
      </c>
      <c r="B29" s="11">
        <v>46104</v>
      </c>
      <c r="C29" s="12" t="s">
        <v>33</v>
      </c>
      <c r="D29" s="12" t="s">
        <v>140</v>
      </c>
      <c r="E29" s="13">
        <v>3</v>
      </c>
      <c r="F29" s="13"/>
      <c r="G29" s="21"/>
      <c r="H29" s="15">
        <f t="shared" si="0"/>
        <v>3</v>
      </c>
      <c r="I29" s="15">
        <f t="shared" si="1"/>
        <v>3</v>
      </c>
      <c r="J29" s="16"/>
      <c r="K29" s="11"/>
      <c r="L29" s="12"/>
      <c r="M29" s="12"/>
      <c r="N29" s="13"/>
      <c r="O29" s="13"/>
      <c r="P29" s="21"/>
    </row>
    <row r="30" customFormat="1" ht="22" customHeight="1" spans="1:17">
      <c r="A30" s="10">
        <v>28</v>
      </c>
      <c r="B30" s="11">
        <v>46104</v>
      </c>
      <c r="C30" s="12" t="s">
        <v>35</v>
      </c>
      <c r="D30" s="12" t="s">
        <v>140</v>
      </c>
      <c r="E30" s="13"/>
      <c r="F30" s="13">
        <v>3</v>
      </c>
      <c r="G30" s="21"/>
      <c r="H30" s="15">
        <f t="shared" si="0"/>
        <v>3</v>
      </c>
      <c r="I30" s="15">
        <f t="shared" si="1"/>
        <v>3</v>
      </c>
      <c r="J30" s="16"/>
      <c r="K30" s="11"/>
      <c r="L30" s="12"/>
      <c r="M30" s="12"/>
      <c r="N30" s="13"/>
      <c r="O30" s="13"/>
      <c r="P30" s="21"/>
    </row>
    <row r="31" customFormat="1" ht="22" customHeight="1" spans="1:17">
      <c r="A31" s="10">
        <v>29</v>
      </c>
      <c r="B31" s="11">
        <v>46104</v>
      </c>
      <c r="C31" s="12" t="s">
        <v>123</v>
      </c>
      <c r="D31" s="12" t="s">
        <v>140</v>
      </c>
      <c r="E31" s="13">
        <v>3</v>
      </c>
      <c r="F31" s="13"/>
      <c r="G31" s="21"/>
      <c r="H31" s="15">
        <f t="shared" si="0"/>
        <v>3</v>
      </c>
      <c r="I31" s="15">
        <f t="shared" si="1"/>
        <v>3</v>
      </c>
      <c r="J31" s="16"/>
      <c r="K31" s="11"/>
      <c r="L31" s="12"/>
      <c r="M31" s="12"/>
      <c r="N31" s="13"/>
      <c r="O31" s="13"/>
      <c r="P31" s="21"/>
    </row>
    <row r="32" customFormat="1" ht="22" customHeight="1" spans="1:17">
      <c r="A32" s="10">
        <v>30</v>
      </c>
      <c r="B32" s="11">
        <v>46104</v>
      </c>
      <c r="C32" s="12" t="s">
        <v>124</v>
      </c>
      <c r="D32" s="12" t="s">
        <v>140</v>
      </c>
      <c r="E32" s="13"/>
      <c r="F32" s="13">
        <v>3</v>
      </c>
      <c r="G32" s="21"/>
      <c r="H32" s="15">
        <f t="shared" si="0"/>
        <v>3</v>
      </c>
      <c r="I32" s="15">
        <f t="shared" si="1"/>
        <v>3</v>
      </c>
      <c r="J32" s="16"/>
      <c r="K32" s="11"/>
      <c r="L32" s="12"/>
      <c r="M32" s="12"/>
      <c r="N32" s="13"/>
      <c r="O32" s="13"/>
      <c r="P32" s="21"/>
    </row>
    <row r="33" customFormat="1" ht="22" customHeight="1" spans="1:16">
      <c r="A33" s="10">
        <v>31</v>
      </c>
      <c r="B33" s="11">
        <v>46104</v>
      </c>
      <c r="C33" s="12" t="s">
        <v>125</v>
      </c>
      <c r="D33" s="12" t="s">
        <v>140</v>
      </c>
      <c r="E33" s="13">
        <v>3</v>
      </c>
      <c r="F33" s="13"/>
      <c r="G33" s="21"/>
      <c r="H33" s="15">
        <f t="shared" si="0"/>
        <v>3</v>
      </c>
      <c r="I33" s="15">
        <f t="shared" si="1"/>
        <v>3</v>
      </c>
      <c r="J33" s="16"/>
      <c r="K33" s="11"/>
      <c r="L33" s="12"/>
      <c r="M33" s="12"/>
      <c r="N33" s="13"/>
      <c r="O33" s="13"/>
      <c r="P33" s="21"/>
    </row>
    <row r="34" customFormat="1" ht="22" customHeight="1" spans="1:16">
      <c r="A34" s="10">
        <v>32</v>
      </c>
      <c r="B34" s="11">
        <v>46104</v>
      </c>
      <c r="C34" s="12" t="s">
        <v>29</v>
      </c>
      <c r="D34" s="12" t="s">
        <v>140</v>
      </c>
      <c r="E34" s="13"/>
      <c r="F34" s="13">
        <v>3</v>
      </c>
      <c r="G34" s="21"/>
      <c r="H34" s="15">
        <f t="shared" si="0"/>
        <v>3</v>
      </c>
      <c r="I34" s="15">
        <f t="shared" si="1"/>
        <v>3</v>
      </c>
      <c r="J34" s="16"/>
      <c r="K34" s="11"/>
      <c r="L34" s="12"/>
      <c r="M34" s="12"/>
      <c r="N34" s="13"/>
      <c r="O34" s="13"/>
      <c r="P34" s="21"/>
    </row>
    <row r="35" customFormat="1" ht="22" customHeight="1" spans="1:16">
      <c r="A35" s="10">
        <v>33</v>
      </c>
      <c r="B35" s="11">
        <v>46104</v>
      </c>
      <c r="C35" s="12" t="s">
        <v>30</v>
      </c>
      <c r="D35" s="12" t="s">
        <v>140</v>
      </c>
      <c r="E35" s="13">
        <v>3</v>
      </c>
      <c r="F35" s="13"/>
      <c r="G35" s="21"/>
      <c r="H35" s="15">
        <f t="shared" si="0"/>
        <v>3</v>
      </c>
      <c r="I35" s="15">
        <f t="shared" si="1"/>
        <v>3</v>
      </c>
      <c r="J35" s="16"/>
      <c r="K35" s="11"/>
      <c r="L35" s="12"/>
      <c r="M35" s="12"/>
      <c r="N35" s="13"/>
      <c r="O35" s="13"/>
      <c r="P35" s="21"/>
    </row>
    <row r="36" customFormat="1" ht="22" customHeight="1" spans="1:16">
      <c r="A36" s="10">
        <v>34</v>
      </c>
      <c r="B36" s="11">
        <v>46104</v>
      </c>
      <c r="C36" s="12" t="s">
        <v>31</v>
      </c>
      <c r="D36" s="12" t="s">
        <v>140</v>
      </c>
      <c r="E36" s="13"/>
      <c r="F36" s="13">
        <v>3</v>
      </c>
      <c r="G36" s="21"/>
      <c r="H36" s="15">
        <f t="shared" si="0"/>
        <v>3</v>
      </c>
      <c r="I36" s="15">
        <f t="shared" si="1"/>
        <v>3</v>
      </c>
      <c r="J36" s="16"/>
      <c r="K36" s="11"/>
      <c r="L36" s="12"/>
      <c r="M36" s="12"/>
      <c r="N36" s="13"/>
      <c r="O36" s="13"/>
      <c r="P36" s="21"/>
    </row>
    <row r="37" customFormat="1" ht="22" customHeight="1" spans="1:16">
      <c r="A37" s="10">
        <v>35</v>
      </c>
      <c r="B37" s="11">
        <v>46104</v>
      </c>
      <c r="C37" s="12" t="s">
        <v>126</v>
      </c>
      <c r="D37" s="12" t="s">
        <v>140</v>
      </c>
      <c r="E37" s="13"/>
      <c r="F37" s="13">
        <v>3</v>
      </c>
      <c r="G37" s="21"/>
      <c r="H37" s="15">
        <f t="shared" si="0"/>
        <v>3</v>
      </c>
      <c r="I37" s="15">
        <f t="shared" si="1"/>
        <v>3</v>
      </c>
      <c r="J37" s="16"/>
      <c r="K37" s="11"/>
      <c r="L37" s="12"/>
      <c r="M37" s="12"/>
      <c r="N37" s="13"/>
      <c r="O37" s="13"/>
      <c r="P37" s="21"/>
    </row>
    <row r="38" customFormat="1" ht="22" customHeight="1" spans="1:16">
      <c r="A38" s="10">
        <v>36</v>
      </c>
      <c r="B38" s="11">
        <v>46104</v>
      </c>
      <c r="C38" s="12" t="s">
        <v>127</v>
      </c>
      <c r="D38" s="12" t="s">
        <v>140</v>
      </c>
      <c r="E38" s="13">
        <v>3</v>
      </c>
      <c r="F38" s="13"/>
      <c r="G38" s="21"/>
      <c r="H38" s="15">
        <f t="shared" si="0"/>
        <v>3</v>
      </c>
      <c r="I38" s="15">
        <f t="shared" si="1"/>
        <v>3</v>
      </c>
      <c r="J38" s="16"/>
      <c r="K38" s="11"/>
      <c r="L38" s="12"/>
      <c r="M38" s="12"/>
      <c r="N38" s="13"/>
      <c r="O38" s="13"/>
      <c r="P38" s="21"/>
    </row>
    <row r="39" customFormat="1" ht="22" customHeight="1" spans="1:16">
      <c r="A39" s="10">
        <v>37</v>
      </c>
      <c r="B39" s="11">
        <v>46104</v>
      </c>
      <c r="C39" s="39" t="s">
        <v>132</v>
      </c>
      <c r="D39" s="12" t="s">
        <v>140</v>
      </c>
      <c r="E39" s="13">
        <v>2</v>
      </c>
      <c r="F39" s="13">
        <v>1</v>
      </c>
      <c r="G39" s="21" t="s">
        <v>143</v>
      </c>
      <c r="H39" s="15">
        <f t="shared" si="0"/>
        <v>3</v>
      </c>
      <c r="J39" s="16"/>
      <c r="K39" s="11"/>
      <c r="L39" s="12"/>
      <c r="M39" s="12"/>
      <c r="N39" s="13"/>
      <c r="O39" s="13"/>
      <c r="P39" s="21"/>
    </row>
    <row r="40" customFormat="1" ht="22" customHeight="1" spans="1:16">
      <c r="A40" s="10">
        <v>38</v>
      </c>
      <c r="B40" s="11">
        <v>46104</v>
      </c>
      <c r="C40" s="40" t="s">
        <v>36</v>
      </c>
      <c r="D40" s="12" t="s">
        <v>140</v>
      </c>
      <c r="E40" s="13">
        <v>2</v>
      </c>
      <c r="F40" s="13">
        <v>1</v>
      </c>
      <c r="G40" s="21" t="s">
        <v>143</v>
      </c>
      <c r="H40" s="15">
        <f t="shared" si="0"/>
        <v>3</v>
      </c>
      <c r="J40" s="16"/>
      <c r="K40" s="11"/>
      <c r="L40" s="12"/>
      <c r="M40" s="12"/>
      <c r="N40" s="13"/>
      <c r="O40" s="13"/>
      <c r="P40" s="21"/>
    </row>
    <row r="41" customFormat="1" ht="22" customHeight="1" spans="1:16">
      <c r="A41" s="10">
        <v>39</v>
      </c>
      <c r="B41" s="11">
        <v>46104</v>
      </c>
      <c r="C41" s="26" t="s">
        <v>133</v>
      </c>
      <c r="D41" s="26" t="s">
        <v>140</v>
      </c>
      <c r="E41" s="28">
        <v>2</v>
      </c>
      <c r="F41" s="28">
        <v>1</v>
      </c>
      <c r="G41" s="29" t="s">
        <v>150</v>
      </c>
      <c r="H41" s="15">
        <f t="shared" si="0"/>
        <v>3</v>
      </c>
      <c r="J41" s="16"/>
      <c r="K41" s="11"/>
      <c r="L41" s="12"/>
      <c r="M41" s="12"/>
      <c r="N41" s="13"/>
      <c r="O41" s="13"/>
      <c r="P41" s="21"/>
    </row>
    <row r="42" customFormat="1" ht="22" customHeight="1" spans="1:16">
      <c r="A42" s="10"/>
      <c r="B42" s="11"/>
      <c r="C42" s="41"/>
      <c r="D42" s="41"/>
      <c r="E42" s="41"/>
      <c r="F42" s="41"/>
      <c r="G42" s="41"/>
      <c r="J42" s="16"/>
      <c r="K42" s="11"/>
      <c r="L42" s="12"/>
      <c r="M42" s="12"/>
      <c r="N42" s="13"/>
      <c r="O42" s="13"/>
      <c r="P42" s="21"/>
    </row>
    <row r="43" customFormat="1" ht="22" customHeight="1" spans="1:16">
      <c r="A43" s="10"/>
      <c r="B43" s="11"/>
      <c r="C43" s="34"/>
      <c r="D43" s="34"/>
      <c r="E43" s="35"/>
      <c r="F43" s="35"/>
      <c r="G43" s="36"/>
      <c r="H43" s="22"/>
      <c r="N43" s="13">
        <f>SUM(N3:N42)</f>
        <v>47</v>
      </c>
      <c r="O43" s="13">
        <f>SUM(O3:O42)</f>
        <v>31</v>
      </c>
    </row>
    <row r="44" customFormat="1" ht="22" customHeight="1" spans="1:16">
      <c r="E44">
        <f>SUM(E3:E43)</f>
        <v>50</v>
      </c>
      <c r="F44">
        <f t="shared" ref="E44:H44" si="3">SUM(F3:F43)</f>
        <v>66</v>
      </c>
      <c r="H44">
        <f t="shared" si="3"/>
        <v>116</v>
      </c>
    </row>
    <row r="45" ht="22" customHeight="1"/>
    <row r="46" ht="22" customHeight="1" spans="1:16">
      <c r="I46">
        <f>H44+N43+O43</f>
        <v>194</v>
      </c>
    </row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customFormat="1" ht="22" customHeight="1" spans="1:16">
      <c r="J65" s="10"/>
      <c r="K65" s="11"/>
      <c r="L65" s="12"/>
      <c r="M65" s="12"/>
      <c r="N65" s="13"/>
      <c r="O65" s="13"/>
      <c r="P65" s="21"/>
    </row>
    <row r="66" customFormat="1" ht="22" customHeight="1" spans="1:16">
      <c r="A66" s="10"/>
      <c r="B66" s="11"/>
      <c r="C66" s="12"/>
      <c r="D66" s="12"/>
      <c r="E66" s="13"/>
      <c r="F66" s="13"/>
      <c r="G66" s="21"/>
      <c r="H66" s="22"/>
      <c r="K66" s="37"/>
      <c r="L66" s="37"/>
      <c r="M66" s="37"/>
      <c r="N66" s="38"/>
      <c r="O66" s="38"/>
    </row>
    <row r="67" customFormat="1" ht="21" customHeight="1" spans="1:16">
      <c r="B67" s="37"/>
      <c r="C67" s="37"/>
      <c r="D67" s="37"/>
      <c r="E67" s="38">
        <f>SUM(E3:E66)</f>
        <v>100</v>
      </c>
      <c r="F67" s="38">
        <f>SUM(F3:F66)</f>
        <v>132</v>
      </c>
    </row>
  </sheetData>
  <mergeCells count="2">
    <mergeCell ref="A1:G1"/>
    <mergeCell ref="J1:P1"/>
  </mergeCells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"/>
  <sheetViews>
    <sheetView topLeftCell="B25" workbookViewId="0">
      <selection activeCell="G47" sqref="G47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16.8571428571429" customWidth="1"/>
    <col min="4" max="6" width="12.1428571428571" customWidth="1"/>
    <col min="7" max="7" width="31.4285714285714" customWidth="1"/>
    <col min="8" max="8" width="25.2857142857143" customWidth="1"/>
    <col min="10" max="10" width="8.28571428571429" customWidth="1"/>
    <col min="11" max="11" width="14.4285714285714" customWidth="1"/>
    <col min="12" max="12" width="13.7142857142857" customWidth="1"/>
    <col min="13" max="13" width="8.28571428571429" customWidth="1"/>
    <col min="14" max="15" width="8" customWidth="1"/>
    <col min="16" max="16" width="34" customWidth="1"/>
  </cols>
  <sheetData>
    <row r="1" customFormat="1" ht="38" customHeight="1" spans="1:17">
      <c r="A1" s="2" t="s">
        <v>136</v>
      </c>
      <c r="B1" s="2"/>
      <c r="C1" s="2"/>
      <c r="D1" s="2"/>
      <c r="E1" s="2"/>
      <c r="F1" s="3"/>
      <c r="G1" s="4"/>
      <c r="H1" s="5"/>
      <c r="J1" s="2" t="s">
        <v>145</v>
      </c>
      <c r="K1" s="2"/>
      <c r="L1" s="2"/>
      <c r="M1" s="2"/>
      <c r="N1" s="2"/>
      <c r="O1" s="3"/>
      <c r="P1" s="4"/>
    </row>
    <row r="2" s="1" customFormat="1" ht="32" customHeight="1" spans="1:17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H2" s="9"/>
      <c r="J2" s="6" t="s">
        <v>1</v>
      </c>
      <c r="K2" s="6" t="s">
        <v>98</v>
      </c>
      <c r="L2" s="6" t="s">
        <v>99</v>
      </c>
      <c r="M2" s="7" t="s">
        <v>137</v>
      </c>
      <c r="N2" s="8" t="s">
        <v>138</v>
      </c>
      <c r="O2" s="8" t="s">
        <v>139</v>
      </c>
      <c r="P2" s="8" t="s">
        <v>9</v>
      </c>
      <c r="Q2"/>
    </row>
    <row r="3" customFormat="1" ht="22" customHeight="1" spans="1:17">
      <c r="A3" s="10">
        <v>1</v>
      </c>
      <c r="B3" s="11">
        <v>46107</v>
      </c>
      <c r="C3" s="12" t="s">
        <v>102</v>
      </c>
      <c r="D3" s="12" t="s">
        <v>146</v>
      </c>
      <c r="E3" s="13">
        <v>1</v>
      </c>
      <c r="F3" s="13">
        <v>1</v>
      </c>
      <c r="G3" s="14"/>
      <c r="H3" s="15"/>
      <c r="I3">
        <f>SUM(E3:F3)</f>
        <v>2</v>
      </c>
      <c r="J3" s="16">
        <v>1</v>
      </c>
      <c r="K3" s="11">
        <v>46107</v>
      </c>
      <c r="L3" s="12" t="s">
        <v>53</v>
      </c>
      <c r="M3" s="12" t="s">
        <v>146</v>
      </c>
      <c r="N3" s="13">
        <v>1</v>
      </c>
      <c r="O3" s="13">
        <v>1</v>
      </c>
      <c r="P3" s="14" t="s">
        <v>12</v>
      </c>
      <c r="Q3">
        <f>SUM(N3:O3)</f>
        <v>2</v>
      </c>
    </row>
    <row r="4" customFormat="1" ht="22" customHeight="1" spans="1:17">
      <c r="A4" s="10">
        <v>2</v>
      </c>
      <c r="B4" s="11">
        <v>46107</v>
      </c>
      <c r="C4" s="12" t="s">
        <v>103</v>
      </c>
      <c r="D4" s="12" t="s">
        <v>146</v>
      </c>
      <c r="E4" s="17"/>
      <c r="F4" s="13">
        <v>2</v>
      </c>
      <c r="G4" s="18"/>
      <c r="H4" s="19"/>
      <c r="I4">
        <f t="shared" ref="I4:I42" si="0">SUM(E4:F4)</f>
        <v>2</v>
      </c>
      <c r="J4" s="16">
        <v>2</v>
      </c>
      <c r="K4" s="11">
        <v>46107</v>
      </c>
      <c r="L4" s="12" t="s">
        <v>57</v>
      </c>
      <c r="M4" s="12" t="s">
        <v>146</v>
      </c>
      <c r="N4" s="17">
        <v>2</v>
      </c>
      <c r="O4" s="13"/>
      <c r="P4" s="18"/>
      <c r="Q4">
        <f t="shared" ref="Q4:Q44" si="1">SUM(N4:O4)</f>
        <v>2</v>
      </c>
    </row>
    <row r="5" customFormat="1" ht="22" customHeight="1" spans="1:17">
      <c r="A5" s="10">
        <v>3</v>
      </c>
      <c r="B5" s="11">
        <v>46107</v>
      </c>
      <c r="C5" s="12" t="s">
        <v>104</v>
      </c>
      <c r="D5" s="12" t="s">
        <v>146</v>
      </c>
      <c r="E5" s="13"/>
      <c r="F5" s="13">
        <v>2</v>
      </c>
      <c r="G5" s="18"/>
      <c r="H5" s="19"/>
      <c r="I5">
        <f t="shared" si="0"/>
        <v>2</v>
      </c>
      <c r="J5" s="16">
        <v>3</v>
      </c>
      <c r="K5" s="11">
        <v>46107</v>
      </c>
      <c r="L5" s="12" t="s">
        <v>59</v>
      </c>
      <c r="M5" s="12" t="s">
        <v>146</v>
      </c>
      <c r="N5" s="17">
        <v>2</v>
      </c>
      <c r="O5" s="13"/>
      <c r="P5" s="18"/>
      <c r="Q5">
        <f t="shared" si="1"/>
        <v>2</v>
      </c>
    </row>
    <row r="6" customFormat="1" ht="22" customHeight="1" spans="1:17">
      <c r="A6" s="10">
        <v>4</v>
      </c>
      <c r="B6" s="11">
        <v>46107</v>
      </c>
      <c r="C6" s="12" t="s">
        <v>105</v>
      </c>
      <c r="D6" s="12" t="s">
        <v>146</v>
      </c>
      <c r="E6" s="13"/>
      <c r="F6" s="13">
        <v>2</v>
      </c>
      <c r="G6" s="18"/>
      <c r="H6" s="19"/>
      <c r="I6">
        <f t="shared" si="0"/>
        <v>2</v>
      </c>
      <c r="J6" s="16">
        <v>4</v>
      </c>
      <c r="K6" s="11">
        <v>46107</v>
      </c>
      <c r="L6" s="12" t="s">
        <v>60</v>
      </c>
      <c r="M6" s="12" t="s">
        <v>146</v>
      </c>
      <c r="N6" s="13"/>
      <c r="O6" s="17">
        <v>2</v>
      </c>
      <c r="P6" s="18" t="s">
        <v>61</v>
      </c>
      <c r="Q6">
        <f t="shared" si="1"/>
        <v>2</v>
      </c>
    </row>
    <row r="7" customFormat="1" ht="22" customHeight="1" spans="1:17">
      <c r="A7" s="10">
        <v>5</v>
      </c>
      <c r="B7" s="11">
        <v>46107</v>
      </c>
      <c r="C7" s="12" t="s">
        <v>106</v>
      </c>
      <c r="D7" s="12" t="s">
        <v>146</v>
      </c>
      <c r="E7" s="13"/>
      <c r="F7" s="13">
        <v>2</v>
      </c>
      <c r="G7" s="18"/>
      <c r="H7" s="19"/>
      <c r="I7">
        <f t="shared" si="0"/>
        <v>2</v>
      </c>
      <c r="J7" s="16">
        <v>5</v>
      </c>
      <c r="K7" s="11">
        <v>46107</v>
      </c>
      <c r="L7" s="12" t="s">
        <v>62</v>
      </c>
      <c r="M7" s="12" t="s">
        <v>146</v>
      </c>
      <c r="N7" s="13"/>
      <c r="O7" s="17">
        <v>2</v>
      </c>
      <c r="P7" s="18" t="s">
        <v>5</v>
      </c>
      <c r="Q7">
        <f t="shared" si="1"/>
        <v>2</v>
      </c>
    </row>
    <row r="8" customFormat="1" ht="22" customHeight="1" spans="1:17">
      <c r="A8" s="10">
        <v>6</v>
      </c>
      <c r="B8" s="11">
        <v>46107</v>
      </c>
      <c r="C8" s="12" t="s">
        <v>107</v>
      </c>
      <c r="D8" s="12" t="s">
        <v>146</v>
      </c>
      <c r="E8" s="13">
        <v>2</v>
      </c>
      <c r="F8" s="13"/>
      <c r="G8" s="18"/>
      <c r="H8" s="19"/>
      <c r="I8">
        <f t="shared" si="0"/>
        <v>2</v>
      </c>
      <c r="J8" s="16">
        <v>6</v>
      </c>
      <c r="K8" s="11">
        <v>46107</v>
      </c>
      <c r="L8" s="12" t="s">
        <v>64</v>
      </c>
      <c r="M8" s="12" t="s">
        <v>146</v>
      </c>
      <c r="N8" s="13"/>
      <c r="O8" s="17">
        <v>2</v>
      </c>
      <c r="P8" s="18" t="s">
        <v>5</v>
      </c>
      <c r="Q8">
        <f t="shared" si="1"/>
        <v>2</v>
      </c>
    </row>
    <row r="9" customFormat="1" ht="22" customHeight="1" spans="1:17">
      <c r="A9" s="10">
        <v>7</v>
      </c>
      <c r="B9" s="11">
        <v>46107</v>
      </c>
      <c r="C9" s="12" t="s">
        <v>108</v>
      </c>
      <c r="D9" s="12" t="s">
        <v>146</v>
      </c>
      <c r="E9" s="13">
        <v>2</v>
      </c>
      <c r="F9" s="13"/>
      <c r="G9" s="21"/>
      <c r="H9" s="22"/>
      <c r="I9">
        <f t="shared" si="0"/>
        <v>2</v>
      </c>
      <c r="J9" s="16">
        <v>7</v>
      </c>
      <c r="K9" s="11">
        <v>46107</v>
      </c>
      <c r="L9" s="12" t="s">
        <v>65</v>
      </c>
      <c r="M9" s="12" t="s">
        <v>146</v>
      </c>
      <c r="N9" s="13"/>
      <c r="O9" s="17">
        <v>2</v>
      </c>
      <c r="P9" s="21" t="s">
        <v>5</v>
      </c>
      <c r="Q9">
        <f t="shared" si="1"/>
        <v>2</v>
      </c>
    </row>
    <row r="10" customFormat="1" ht="22" customHeight="1" spans="1:17">
      <c r="A10" s="10">
        <v>8</v>
      </c>
      <c r="B10" s="11">
        <v>46107</v>
      </c>
      <c r="C10" s="12" t="s">
        <v>109</v>
      </c>
      <c r="D10" s="12" t="s">
        <v>146</v>
      </c>
      <c r="E10" s="13"/>
      <c r="F10" s="13">
        <v>2</v>
      </c>
      <c r="G10" s="21"/>
      <c r="H10" s="22"/>
      <c r="I10">
        <f t="shared" si="0"/>
        <v>2</v>
      </c>
      <c r="J10" s="16">
        <v>8</v>
      </c>
      <c r="K10" s="11">
        <v>46107</v>
      </c>
      <c r="L10" s="12" t="s">
        <v>67</v>
      </c>
      <c r="M10" s="12" t="s">
        <v>146</v>
      </c>
      <c r="N10" s="17">
        <v>2</v>
      </c>
      <c r="O10" s="13"/>
      <c r="P10" s="21"/>
      <c r="Q10">
        <f t="shared" si="1"/>
        <v>2</v>
      </c>
    </row>
    <row r="11" customFormat="1" ht="22" customHeight="1" spans="1:17">
      <c r="A11" s="10">
        <v>9</v>
      </c>
      <c r="B11" s="11">
        <v>46107</v>
      </c>
      <c r="C11" s="12" t="s">
        <v>110</v>
      </c>
      <c r="D11" s="12" t="s">
        <v>146</v>
      </c>
      <c r="E11" s="13"/>
      <c r="F11" s="13">
        <v>2</v>
      </c>
      <c r="G11" s="21"/>
      <c r="H11" s="22"/>
      <c r="I11">
        <f t="shared" si="0"/>
        <v>2</v>
      </c>
      <c r="J11" s="16">
        <v>9</v>
      </c>
      <c r="K11" s="11">
        <v>46107</v>
      </c>
      <c r="L11" s="12" t="s">
        <v>69</v>
      </c>
      <c r="M11" s="12" t="s">
        <v>146</v>
      </c>
      <c r="N11" s="17">
        <v>2</v>
      </c>
      <c r="O11" s="13"/>
      <c r="P11" s="21"/>
      <c r="Q11">
        <f t="shared" si="1"/>
        <v>2</v>
      </c>
    </row>
    <row r="12" customFormat="1" ht="22" customHeight="1" spans="1:17">
      <c r="A12" s="10">
        <v>10</v>
      </c>
      <c r="B12" s="11">
        <v>46107</v>
      </c>
      <c r="C12" s="12" t="s">
        <v>111</v>
      </c>
      <c r="D12" s="12" t="s">
        <v>146</v>
      </c>
      <c r="E12" s="13">
        <v>2</v>
      </c>
      <c r="F12" s="13"/>
      <c r="G12" s="21"/>
      <c r="H12" s="22"/>
      <c r="I12">
        <f t="shared" si="0"/>
        <v>2</v>
      </c>
      <c r="J12" s="16">
        <v>10</v>
      </c>
      <c r="K12" s="11">
        <v>46107</v>
      </c>
      <c r="L12" s="12" t="s">
        <v>70</v>
      </c>
      <c r="M12" s="12" t="s">
        <v>146</v>
      </c>
      <c r="N12" s="13"/>
      <c r="O12" s="17">
        <v>2</v>
      </c>
      <c r="P12" s="21" t="s">
        <v>71</v>
      </c>
      <c r="Q12">
        <f t="shared" si="1"/>
        <v>2</v>
      </c>
    </row>
    <row r="13" customFormat="1" ht="22" customHeight="1" spans="1:17">
      <c r="A13" s="10">
        <v>11</v>
      </c>
      <c r="B13" s="11">
        <v>46107</v>
      </c>
      <c r="C13" s="12" t="s">
        <v>112</v>
      </c>
      <c r="D13" s="12" t="s">
        <v>146</v>
      </c>
      <c r="E13" s="13">
        <v>1</v>
      </c>
      <c r="F13" s="13">
        <v>1</v>
      </c>
      <c r="G13" s="21"/>
      <c r="H13" s="22"/>
      <c r="I13">
        <f t="shared" si="0"/>
        <v>2</v>
      </c>
      <c r="J13" s="16">
        <v>11</v>
      </c>
      <c r="K13" s="11">
        <v>46107</v>
      </c>
      <c r="L13" s="12" t="s">
        <v>72</v>
      </c>
      <c r="M13" s="12" t="s">
        <v>146</v>
      </c>
      <c r="N13" s="17">
        <v>2</v>
      </c>
      <c r="O13" s="13"/>
      <c r="P13" s="21"/>
      <c r="Q13">
        <f t="shared" si="1"/>
        <v>2</v>
      </c>
    </row>
    <row r="14" customFormat="1" ht="22" customHeight="1" spans="1:17">
      <c r="A14" s="10">
        <v>12</v>
      </c>
      <c r="B14" s="11">
        <v>46107</v>
      </c>
      <c r="C14" s="12" t="s">
        <v>113</v>
      </c>
      <c r="D14" s="12" t="s">
        <v>146</v>
      </c>
      <c r="E14" s="13">
        <v>1</v>
      </c>
      <c r="F14" s="13">
        <v>1</v>
      </c>
      <c r="G14" s="21"/>
      <c r="H14" s="22"/>
      <c r="I14">
        <f t="shared" si="0"/>
        <v>2</v>
      </c>
      <c r="J14" s="16">
        <v>12</v>
      </c>
      <c r="K14" s="11">
        <v>46107</v>
      </c>
      <c r="L14" s="12" t="s">
        <v>73</v>
      </c>
      <c r="M14" s="12" t="s">
        <v>146</v>
      </c>
      <c r="N14" s="17">
        <v>2</v>
      </c>
      <c r="O14" s="13"/>
      <c r="P14" s="21"/>
      <c r="Q14">
        <f t="shared" si="1"/>
        <v>2</v>
      </c>
    </row>
    <row r="15" customFormat="1" ht="22" customHeight="1" spans="1:17">
      <c r="A15" s="10">
        <v>13</v>
      </c>
      <c r="B15" s="11">
        <v>46107</v>
      </c>
      <c r="C15" s="12" t="s">
        <v>114</v>
      </c>
      <c r="D15" s="12" t="s">
        <v>146</v>
      </c>
      <c r="E15" s="13">
        <v>1</v>
      </c>
      <c r="F15" s="13">
        <v>1</v>
      </c>
      <c r="G15" s="21"/>
      <c r="H15" s="22"/>
      <c r="I15">
        <f t="shared" si="0"/>
        <v>2</v>
      </c>
      <c r="J15" s="16">
        <v>13</v>
      </c>
      <c r="K15" s="11">
        <v>46107</v>
      </c>
      <c r="L15" s="12" t="s">
        <v>74</v>
      </c>
      <c r="M15" s="12" t="s">
        <v>146</v>
      </c>
      <c r="N15" s="13">
        <v>1</v>
      </c>
      <c r="O15" s="13">
        <v>1</v>
      </c>
      <c r="P15" s="21" t="s">
        <v>76</v>
      </c>
      <c r="Q15">
        <f t="shared" si="1"/>
        <v>2</v>
      </c>
    </row>
    <row r="16" customFormat="1" ht="22" customHeight="1" spans="1:17">
      <c r="A16" s="10">
        <v>14</v>
      </c>
      <c r="B16" s="11">
        <v>46107</v>
      </c>
      <c r="C16" s="12" t="s">
        <v>115</v>
      </c>
      <c r="D16" s="12" t="s">
        <v>146</v>
      </c>
      <c r="E16" s="13">
        <v>2</v>
      </c>
      <c r="F16" s="13"/>
      <c r="G16" s="21"/>
      <c r="H16" s="22"/>
      <c r="I16">
        <f t="shared" si="0"/>
        <v>2</v>
      </c>
      <c r="J16" s="16">
        <v>14</v>
      </c>
      <c r="K16" s="11">
        <v>46107</v>
      </c>
      <c r="L16" s="12" t="s">
        <v>77</v>
      </c>
      <c r="M16" s="12" t="s">
        <v>146</v>
      </c>
      <c r="N16" s="13">
        <v>1</v>
      </c>
      <c r="O16" s="13">
        <v>1</v>
      </c>
      <c r="P16" s="21" t="s">
        <v>78</v>
      </c>
      <c r="Q16">
        <f t="shared" si="1"/>
        <v>2</v>
      </c>
    </row>
    <row r="17" customFormat="1" ht="22" customHeight="1" spans="1:17">
      <c r="A17" s="10">
        <v>15</v>
      </c>
      <c r="B17" s="11">
        <v>46107</v>
      </c>
      <c r="C17" s="12" t="s">
        <v>116</v>
      </c>
      <c r="D17" s="12" t="s">
        <v>146</v>
      </c>
      <c r="E17" s="13">
        <v>2</v>
      </c>
      <c r="F17" s="13"/>
      <c r="G17" s="21"/>
      <c r="H17" s="22"/>
      <c r="I17">
        <f t="shared" si="0"/>
        <v>2</v>
      </c>
      <c r="J17" s="16">
        <v>15</v>
      </c>
      <c r="K17" s="11">
        <v>46107</v>
      </c>
      <c r="L17" s="12" t="s">
        <v>79</v>
      </c>
      <c r="M17" s="12" t="s">
        <v>146</v>
      </c>
      <c r="N17" s="17">
        <v>3</v>
      </c>
      <c r="O17" s="13"/>
      <c r="P17" s="21"/>
      <c r="Q17">
        <f t="shared" si="1"/>
        <v>3</v>
      </c>
    </row>
    <row r="18" customFormat="1" ht="22" customHeight="1" spans="1:17">
      <c r="A18" s="10">
        <v>16</v>
      </c>
      <c r="B18" s="11">
        <v>46107</v>
      </c>
      <c r="C18" s="12" t="s">
        <v>117</v>
      </c>
      <c r="D18" s="12" t="s">
        <v>146</v>
      </c>
      <c r="E18" s="13"/>
      <c r="F18" s="13">
        <v>2</v>
      </c>
      <c r="G18" s="21"/>
      <c r="H18" s="22"/>
      <c r="I18">
        <f t="shared" si="0"/>
        <v>2</v>
      </c>
      <c r="J18" s="16">
        <v>16</v>
      </c>
      <c r="K18" s="11">
        <v>46107</v>
      </c>
      <c r="L18" s="12" t="s">
        <v>81</v>
      </c>
      <c r="M18" s="12" t="s">
        <v>146</v>
      </c>
      <c r="N18" s="13">
        <v>1</v>
      </c>
      <c r="O18" s="13">
        <v>1</v>
      </c>
      <c r="P18" s="21" t="s">
        <v>82</v>
      </c>
      <c r="Q18">
        <f t="shared" si="1"/>
        <v>2</v>
      </c>
    </row>
    <row r="19" customFormat="1" ht="22" customHeight="1" spans="1:17">
      <c r="A19" s="10">
        <v>17</v>
      </c>
      <c r="B19" s="11">
        <v>46107</v>
      </c>
      <c r="C19" s="12" t="s">
        <v>118</v>
      </c>
      <c r="D19" s="12" t="s">
        <v>146</v>
      </c>
      <c r="E19" s="13">
        <v>1</v>
      </c>
      <c r="F19" s="13">
        <v>1</v>
      </c>
      <c r="G19" s="21"/>
      <c r="H19" s="22"/>
      <c r="I19">
        <f t="shared" si="0"/>
        <v>2</v>
      </c>
      <c r="J19" s="16">
        <v>17</v>
      </c>
      <c r="K19" s="11">
        <v>46107</v>
      </c>
      <c r="L19" s="12" t="s">
        <v>83</v>
      </c>
      <c r="M19" s="12" t="s">
        <v>146</v>
      </c>
      <c r="N19" s="13">
        <v>1</v>
      </c>
      <c r="O19" s="13">
        <v>1</v>
      </c>
      <c r="P19" s="21" t="s">
        <v>84</v>
      </c>
      <c r="Q19">
        <f t="shared" si="1"/>
        <v>2</v>
      </c>
    </row>
    <row r="20" customFormat="1" ht="22" customHeight="1" spans="1:17">
      <c r="A20" s="10">
        <v>18</v>
      </c>
      <c r="B20" s="11">
        <v>46107</v>
      </c>
      <c r="C20" s="12" t="s">
        <v>119</v>
      </c>
      <c r="D20" s="12" t="s">
        <v>146</v>
      </c>
      <c r="E20" s="13">
        <v>2</v>
      </c>
      <c r="F20" s="13"/>
      <c r="G20" s="21"/>
      <c r="H20" s="22"/>
      <c r="I20">
        <f t="shared" si="0"/>
        <v>2</v>
      </c>
      <c r="J20" s="16">
        <v>18</v>
      </c>
      <c r="K20" s="11">
        <v>46107</v>
      </c>
      <c r="L20" s="12" t="s">
        <v>85</v>
      </c>
      <c r="M20" s="12" t="s">
        <v>146</v>
      </c>
      <c r="N20" s="17">
        <v>2</v>
      </c>
      <c r="O20" s="13"/>
      <c r="P20" s="21"/>
      <c r="Q20">
        <f t="shared" si="1"/>
        <v>2</v>
      </c>
    </row>
    <row r="21" customFormat="1" ht="22" customHeight="1" spans="1:17">
      <c r="A21" s="10">
        <v>19</v>
      </c>
      <c r="B21" s="11">
        <v>46107</v>
      </c>
      <c r="C21" s="12" t="s">
        <v>120</v>
      </c>
      <c r="D21" s="12" t="s">
        <v>146</v>
      </c>
      <c r="E21" s="13"/>
      <c r="F21" s="13">
        <v>2</v>
      </c>
      <c r="G21" s="21"/>
      <c r="H21" s="22"/>
      <c r="I21">
        <f t="shared" si="0"/>
        <v>2</v>
      </c>
      <c r="J21" s="16">
        <v>19</v>
      </c>
      <c r="K21" s="11">
        <v>46107</v>
      </c>
      <c r="L21" s="12" t="s">
        <v>86</v>
      </c>
      <c r="M21" s="12" t="s">
        <v>146</v>
      </c>
      <c r="N21" s="17">
        <v>2</v>
      </c>
      <c r="O21" s="13"/>
      <c r="P21" s="21"/>
      <c r="Q21">
        <f t="shared" si="1"/>
        <v>2</v>
      </c>
    </row>
    <row r="22" customFormat="1" ht="22" customHeight="1" spans="1:17">
      <c r="A22" s="10">
        <v>20</v>
      </c>
      <c r="B22" s="11">
        <v>46107</v>
      </c>
      <c r="C22" s="12" t="s">
        <v>121</v>
      </c>
      <c r="D22" s="12" t="s">
        <v>146</v>
      </c>
      <c r="E22" s="13"/>
      <c r="F22" s="13">
        <v>2</v>
      </c>
      <c r="G22" s="21"/>
      <c r="H22" s="22"/>
      <c r="I22">
        <f t="shared" si="0"/>
        <v>2</v>
      </c>
      <c r="J22" s="16">
        <v>20</v>
      </c>
      <c r="K22" s="11">
        <v>46107</v>
      </c>
      <c r="L22" s="12" t="s">
        <v>87</v>
      </c>
      <c r="M22" s="12" t="s">
        <v>146</v>
      </c>
      <c r="N22" s="17">
        <v>2</v>
      </c>
      <c r="O22" s="13"/>
      <c r="P22" s="21"/>
      <c r="Q22">
        <f t="shared" si="1"/>
        <v>2</v>
      </c>
    </row>
    <row r="23" customFormat="1" ht="22" customHeight="1" spans="1:17">
      <c r="A23" s="10">
        <v>21</v>
      </c>
      <c r="B23" s="11">
        <v>46107</v>
      </c>
      <c r="C23" s="12" t="s">
        <v>122</v>
      </c>
      <c r="D23" s="12" t="s">
        <v>146</v>
      </c>
      <c r="E23" s="13"/>
      <c r="F23" s="13">
        <v>2</v>
      </c>
      <c r="G23" s="21"/>
      <c r="H23" s="22"/>
      <c r="I23">
        <f t="shared" si="0"/>
        <v>2</v>
      </c>
      <c r="J23" s="16">
        <v>21</v>
      </c>
      <c r="K23" s="11">
        <v>46107</v>
      </c>
      <c r="L23" s="12" t="s">
        <v>88</v>
      </c>
      <c r="M23" s="12" t="s">
        <v>146</v>
      </c>
      <c r="N23" s="13"/>
      <c r="O23" s="17">
        <v>2</v>
      </c>
      <c r="P23" s="21" t="s">
        <v>89</v>
      </c>
      <c r="Q23">
        <f t="shared" si="1"/>
        <v>2</v>
      </c>
    </row>
    <row r="24" customFormat="1" ht="22" customHeight="1" spans="1:17">
      <c r="A24" s="10">
        <v>22</v>
      </c>
      <c r="B24" s="11">
        <v>46107</v>
      </c>
      <c r="C24" s="12" t="s">
        <v>23</v>
      </c>
      <c r="D24" s="12" t="s">
        <v>146</v>
      </c>
      <c r="E24" s="13"/>
      <c r="F24" s="13">
        <v>2</v>
      </c>
      <c r="G24" s="21"/>
      <c r="H24" s="22"/>
      <c r="I24">
        <f t="shared" si="0"/>
        <v>2</v>
      </c>
      <c r="J24" s="16">
        <v>22</v>
      </c>
      <c r="K24" s="11">
        <v>46107</v>
      </c>
      <c r="L24" s="12" t="s">
        <v>90</v>
      </c>
      <c r="M24" s="12" t="s">
        <v>146</v>
      </c>
      <c r="N24" s="17">
        <v>2</v>
      </c>
      <c r="O24" s="13"/>
      <c r="P24" s="21"/>
      <c r="Q24">
        <f t="shared" si="1"/>
        <v>2</v>
      </c>
    </row>
    <row r="25" customFormat="1" ht="22" customHeight="1" spans="1:17">
      <c r="A25" s="10">
        <v>23</v>
      </c>
      <c r="B25" s="11">
        <v>46107</v>
      </c>
      <c r="C25" s="12" t="s">
        <v>24</v>
      </c>
      <c r="D25" s="12" t="s">
        <v>146</v>
      </c>
      <c r="E25" s="13"/>
      <c r="F25" s="13">
        <v>2</v>
      </c>
      <c r="G25" s="21"/>
      <c r="H25" s="22"/>
      <c r="I25">
        <f t="shared" si="0"/>
        <v>2</v>
      </c>
      <c r="J25" s="16">
        <v>23</v>
      </c>
      <c r="K25" s="11">
        <v>46107</v>
      </c>
      <c r="L25" s="12" t="s">
        <v>91</v>
      </c>
      <c r="M25" s="12" t="s">
        <v>146</v>
      </c>
      <c r="N25" s="13">
        <v>1</v>
      </c>
      <c r="O25" s="13">
        <v>1</v>
      </c>
      <c r="P25" s="21" t="s">
        <v>148</v>
      </c>
      <c r="Q25">
        <f t="shared" si="1"/>
        <v>2</v>
      </c>
    </row>
    <row r="26" customFormat="1" ht="22" customHeight="1" spans="1:17">
      <c r="A26" s="10">
        <v>24</v>
      </c>
      <c r="B26" s="11">
        <v>46107</v>
      </c>
      <c r="C26" s="12" t="s">
        <v>25</v>
      </c>
      <c r="D26" s="12" t="s">
        <v>146</v>
      </c>
      <c r="E26" s="13">
        <v>1</v>
      </c>
      <c r="F26" s="13">
        <v>1</v>
      </c>
      <c r="G26" s="21"/>
      <c r="H26" s="22"/>
      <c r="I26">
        <f t="shared" si="0"/>
        <v>2</v>
      </c>
      <c r="J26" s="16">
        <v>24</v>
      </c>
      <c r="K26" s="11">
        <v>46107</v>
      </c>
      <c r="L26" s="12" t="s">
        <v>93</v>
      </c>
      <c r="M26" s="12" t="s">
        <v>146</v>
      </c>
      <c r="N26" s="13"/>
      <c r="O26" s="17">
        <v>2</v>
      </c>
      <c r="P26" s="21" t="s">
        <v>94</v>
      </c>
      <c r="Q26">
        <f t="shared" si="1"/>
        <v>2</v>
      </c>
    </row>
    <row r="27" customFormat="1" ht="22" customHeight="1" spans="1:17">
      <c r="A27" s="10">
        <v>25</v>
      </c>
      <c r="B27" s="11">
        <v>46107</v>
      </c>
      <c r="C27" s="12" t="s">
        <v>26</v>
      </c>
      <c r="D27" s="12" t="s">
        <v>146</v>
      </c>
      <c r="E27" s="13">
        <v>2</v>
      </c>
      <c r="F27" s="13"/>
      <c r="G27" s="21"/>
      <c r="H27" s="22"/>
      <c r="I27">
        <f t="shared" si="0"/>
        <v>2</v>
      </c>
      <c r="J27" s="16">
        <v>25</v>
      </c>
      <c r="K27" s="11">
        <v>46107</v>
      </c>
      <c r="L27" s="24" t="s">
        <v>134</v>
      </c>
      <c r="M27" s="12" t="s">
        <v>146</v>
      </c>
      <c r="N27" s="17">
        <v>2</v>
      </c>
      <c r="O27" s="13"/>
      <c r="P27" s="21"/>
      <c r="Q27">
        <f t="shared" si="1"/>
        <v>2</v>
      </c>
    </row>
    <row r="28" customFormat="1" ht="22" customHeight="1" spans="1:17">
      <c r="A28" s="10">
        <v>26</v>
      </c>
      <c r="B28" s="11">
        <v>46107</v>
      </c>
      <c r="C28" s="12" t="s">
        <v>27</v>
      </c>
      <c r="D28" s="12" t="s">
        <v>146</v>
      </c>
      <c r="E28" s="13">
        <v>2</v>
      </c>
      <c r="F28" s="13"/>
      <c r="G28" s="21"/>
      <c r="H28" s="22"/>
      <c r="I28">
        <f t="shared" si="0"/>
        <v>2</v>
      </c>
      <c r="J28" s="16">
        <v>26</v>
      </c>
      <c r="K28" s="11">
        <v>46107</v>
      </c>
      <c r="L28" s="25" t="s">
        <v>135</v>
      </c>
      <c r="M28" s="12" t="s">
        <v>146</v>
      </c>
      <c r="N28" s="13"/>
      <c r="O28" s="17">
        <v>2</v>
      </c>
      <c r="P28" s="21" t="s">
        <v>94</v>
      </c>
      <c r="Q28">
        <f t="shared" si="1"/>
        <v>2</v>
      </c>
    </row>
    <row r="29" customFormat="1" ht="22" customHeight="1" spans="1:17">
      <c r="A29" s="10">
        <v>27</v>
      </c>
      <c r="B29" s="11">
        <v>46107</v>
      </c>
      <c r="C29" s="12" t="s">
        <v>33</v>
      </c>
      <c r="D29" s="12" t="s">
        <v>146</v>
      </c>
      <c r="E29" s="13">
        <v>2</v>
      </c>
      <c r="F29" s="13"/>
      <c r="G29" s="21"/>
      <c r="H29" s="22"/>
      <c r="I29">
        <f t="shared" si="0"/>
        <v>2</v>
      </c>
      <c r="J29" s="16"/>
      <c r="K29" s="11"/>
      <c r="L29" s="12"/>
      <c r="M29" s="12"/>
      <c r="N29" s="13"/>
      <c r="O29" s="13"/>
      <c r="P29" s="21"/>
    </row>
    <row r="30" customFormat="1" ht="22" customHeight="1" spans="1:17">
      <c r="A30" s="10">
        <v>28</v>
      </c>
      <c r="B30" s="11">
        <v>46107</v>
      </c>
      <c r="C30" s="12" t="s">
        <v>35</v>
      </c>
      <c r="D30" s="12" t="s">
        <v>146</v>
      </c>
      <c r="E30" s="13"/>
      <c r="F30" s="13">
        <v>2</v>
      </c>
      <c r="G30" s="21"/>
      <c r="H30" s="22"/>
      <c r="I30">
        <f t="shared" si="0"/>
        <v>2</v>
      </c>
      <c r="J30" s="16"/>
      <c r="K30" s="11"/>
      <c r="L30" s="12"/>
      <c r="M30" s="12"/>
      <c r="N30" s="13"/>
      <c r="O30" s="13"/>
      <c r="P30" s="21"/>
    </row>
    <row r="31" customFormat="1" ht="22" customHeight="1" spans="1:17">
      <c r="A31" s="10">
        <v>29</v>
      </c>
      <c r="B31" s="11">
        <v>46107</v>
      </c>
      <c r="C31" s="12" t="s">
        <v>123</v>
      </c>
      <c r="D31" s="12" t="s">
        <v>146</v>
      </c>
      <c r="E31" s="13">
        <v>2</v>
      </c>
      <c r="F31" s="13"/>
      <c r="G31" s="21"/>
      <c r="H31" s="22"/>
      <c r="I31">
        <f t="shared" si="0"/>
        <v>2</v>
      </c>
      <c r="J31" s="16"/>
      <c r="K31" s="11"/>
      <c r="L31" s="12"/>
      <c r="M31" s="12"/>
      <c r="N31" s="13"/>
      <c r="O31" s="13"/>
      <c r="P31" s="21"/>
    </row>
    <row r="32" customFormat="1" ht="22" customHeight="1" spans="1:17">
      <c r="A32" s="10">
        <v>30</v>
      </c>
      <c r="B32" s="11">
        <v>46107</v>
      </c>
      <c r="C32" s="12" t="s">
        <v>124</v>
      </c>
      <c r="D32" s="12" t="s">
        <v>146</v>
      </c>
      <c r="E32" s="13"/>
      <c r="F32" s="13">
        <v>2</v>
      </c>
      <c r="G32" s="21"/>
      <c r="H32" s="22"/>
      <c r="I32">
        <f t="shared" si="0"/>
        <v>2</v>
      </c>
      <c r="J32" s="16"/>
      <c r="K32" s="11"/>
      <c r="L32" s="12"/>
      <c r="M32" s="12"/>
      <c r="N32" s="13"/>
      <c r="O32" s="13"/>
      <c r="P32" s="21"/>
    </row>
    <row r="33" customFormat="1" ht="22" customHeight="1" spans="1:17">
      <c r="A33" s="10">
        <v>31</v>
      </c>
      <c r="B33" s="11">
        <v>46107</v>
      </c>
      <c r="C33" s="12" t="s">
        <v>125</v>
      </c>
      <c r="D33" s="12" t="s">
        <v>146</v>
      </c>
      <c r="E33" s="13">
        <v>2</v>
      </c>
      <c r="F33" s="13"/>
      <c r="G33" s="21"/>
      <c r="H33" s="22"/>
      <c r="I33">
        <f t="shared" si="0"/>
        <v>2</v>
      </c>
      <c r="J33" s="16"/>
      <c r="K33" s="11"/>
      <c r="L33" s="12"/>
      <c r="M33" s="12"/>
      <c r="N33" s="13"/>
      <c r="O33" s="13"/>
      <c r="P33" s="21"/>
    </row>
    <row r="34" customFormat="1" ht="22" customHeight="1" spans="1:17">
      <c r="A34" s="10">
        <v>32</v>
      </c>
      <c r="B34" s="11">
        <v>46107</v>
      </c>
      <c r="C34" s="12" t="s">
        <v>29</v>
      </c>
      <c r="D34" s="12" t="s">
        <v>146</v>
      </c>
      <c r="E34" s="13"/>
      <c r="F34" s="13">
        <v>2</v>
      </c>
      <c r="G34" s="21"/>
      <c r="H34" s="22"/>
      <c r="I34">
        <f t="shared" si="0"/>
        <v>2</v>
      </c>
      <c r="J34" s="16"/>
      <c r="K34" s="11"/>
      <c r="L34" s="12"/>
      <c r="M34" s="12"/>
      <c r="N34" s="13"/>
      <c r="O34" s="13"/>
      <c r="P34" s="21"/>
    </row>
    <row r="35" customFormat="1" ht="22" customHeight="1" spans="1:17">
      <c r="A35" s="10">
        <v>33</v>
      </c>
      <c r="B35" s="11">
        <v>46107</v>
      </c>
      <c r="C35" s="12" t="s">
        <v>30</v>
      </c>
      <c r="D35" s="12" t="s">
        <v>146</v>
      </c>
      <c r="E35" s="13">
        <v>2</v>
      </c>
      <c r="F35" s="13"/>
      <c r="G35" s="21"/>
      <c r="H35" s="22"/>
      <c r="I35">
        <f t="shared" si="0"/>
        <v>2</v>
      </c>
      <c r="J35" s="16"/>
      <c r="K35" s="11"/>
      <c r="L35" s="12"/>
      <c r="M35" s="12"/>
      <c r="N35" s="13"/>
      <c r="O35" s="13"/>
      <c r="P35" s="21"/>
    </row>
    <row r="36" customFormat="1" ht="22" customHeight="1" spans="1:17">
      <c r="A36" s="10">
        <v>34</v>
      </c>
      <c r="B36" s="11">
        <v>46107</v>
      </c>
      <c r="C36" s="12" t="s">
        <v>31</v>
      </c>
      <c r="D36" s="12" t="s">
        <v>146</v>
      </c>
      <c r="E36" s="13"/>
      <c r="F36" s="13">
        <v>2</v>
      </c>
      <c r="G36" s="21"/>
      <c r="H36" s="22"/>
      <c r="I36">
        <f t="shared" si="0"/>
        <v>2</v>
      </c>
      <c r="J36" s="16"/>
      <c r="K36" s="11"/>
      <c r="L36" s="12"/>
      <c r="M36" s="12"/>
      <c r="N36" s="13"/>
      <c r="O36" s="13"/>
      <c r="P36" s="21"/>
    </row>
    <row r="37" customFormat="1" ht="22" customHeight="1" spans="1:17">
      <c r="A37" s="10">
        <v>35</v>
      </c>
      <c r="B37" s="11">
        <v>46107</v>
      </c>
      <c r="C37" s="12" t="s">
        <v>126</v>
      </c>
      <c r="D37" s="12" t="s">
        <v>146</v>
      </c>
      <c r="E37" s="13"/>
      <c r="F37" s="13">
        <v>2</v>
      </c>
      <c r="G37" s="21"/>
      <c r="H37" s="22"/>
      <c r="I37">
        <f t="shared" si="0"/>
        <v>2</v>
      </c>
      <c r="J37" s="16"/>
      <c r="K37" s="11"/>
      <c r="L37" s="12"/>
      <c r="M37" s="12"/>
      <c r="N37" s="13"/>
      <c r="O37" s="13"/>
      <c r="P37" s="21"/>
    </row>
    <row r="38" customFormat="1" ht="22" customHeight="1" spans="1:17">
      <c r="A38" s="10">
        <v>36</v>
      </c>
      <c r="B38" s="11">
        <v>46107</v>
      </c>
      <c r="C38" s="12" t="s">
        <v>127</v>
      </c>
      <c r="D38" s="12" t="s">
        <v>146</v>
      </c>
      <c r="E38" s="13">
        <v>2</v>
      </c>
      <c r="F38" s="13"/>
      <c r="G38" s="21"/>
      <c r="H38" s="22"/>
      <c r="I38">
        <f t="shared" si="0"/>
        <v>2</v>
      </c>
      <c r="J38" s="16"/>
      <c r="K38" s="11"/>
      <c r="L38" s="12"/>
      <c r="M38" s="12"/>
      <c r="N38" s="13"/>
      <c r="O38" s="13"/>
      <c r="P38" s="21"/>
    </row>
    <row r="39" customFormat="1" ht="22" customHeight="1" spans="1:17">
      <c r="A39" s="10">
        <v>37</v>
      </c>
      <c r="B39" s="11">
        <v>46107</v>
      </c>
      <c r="C39" s="39" t="s">
        <v>132</v>
      </c>
      <c r="D39" s="12" t="s">
        <v>146</v>
      </c>
      <c r="E39" s="13">
        <v>1</v>
      </c>
      <c r="F39" s="13">
        <v>1</v>
      </c>
      <c r="G39" s="21" t="s">
        <v>143</v>
      </c>
      <c r="H39" t="s">
        <v>149</v>
      </c>
      <c r="I39">
        <f t="shared" si="0"/>
        <v>2</v>
      </c>
      <c r="J39" s="16"/>
      <c r="K39" s="11"/>
      <c r="L39" s="12"/>
      <c r="M39" s="12"/>
      <c r="N39" s="13"/>
      <c r="O39" s="13"/>
      <c r="P39" s="21"/>
    </row>
    <row r="40" customFormat="1" ht="22" customHeight="1" spans="1:17">
      <c r="A40" s="10">
        <v>38</v>
      </c>
      <c r="B40" s="11">
        <v>46107</v>
      </c>
      <c r="C40" s="40" t="s">
        <v>36</v>
      </c>
      <c r="D40" s="12" t="s">
        <v>146</v>
      </c>
      <c r="E40" s="13">
        <v>1</v>
      </c>
      <c r="F40" s="13">
        <v>1</v>
      </c>
      <c r="G40" s="21" t="s">
        <v>143</v>
      </c>
      <c r="H40" t="s">
        <v>149</v>
      </c>
      <c r="I40">
        <f t="shared" si="0"/>
        <v>2</v>
      </c>
      <c r="J40" s="16"/>
      <c r="K40" s="11"/>
      <c r="L40" s="12"/>
      <c r="M40" s="12"/>
      <c r="N40" s="13"/>
      <c r="O40" s="13"/>
      <c r="P40" s="21"/>
    </row>
    <row r="41" customFormat="1" ht="22" customHeight="1" spans="1:17">
      <c r="A41" s="10">
        <v>39</v>
      </c>
      <c r="B41" s="11">
        <v>46107</v>
      </c>
      <c r="C41" s="26" t="s">
        <v>133</v>
      </c>
      <c r="D41" s="12" t="s">
        <v>146</v>
      </c>
      <c r="E41" s="13">
        <v>1</v>
      </c>
      <c r="F41" s="28">
        <v>1</v>
      </c>
      <c r="G41" s="29" t="s">
        <v>150</v>
      </c>
      <c r="H41" t="s">
        <v>149</v>
      </c>
      <c r="I41">
        <f t="shared" si="0"/>
        <v>2</v>
      </c>
      <c r="J41" s="16"/>
      <c r="K41" s="11"/>
      <c r="L41" s="12"/>
      <c r="M41" s="12"/>
      <c r="N41" s="13"/>
      <c r="O41" s="13"/>
      <c r="P41" s="21"/>
    </row>
    <row r="42" customFormat="1" ht="22" customHeight="1" spans="1:17">
      <c r="A42" s="10">
        <v>40</v>
      </c>
      <c r="B42" s="11">
        <v>46107</v>
      </c>
      <c r="C42" s="12" t="s">
        <v>119</v>
      </c>
      <c r="D42" s="41"/>
      <c r="E42" s="43">
        <v>1</v>
      </c>
      <c r="F42" s="43"/>
      <c r="G42" s="16" t="s">
        <v>152</v>
      </c>
      <c r="H42" t="s">
        <v>153</v>
      </c>
      <c r="I42">
        <f t="shared" si="0"/>
        <v>1</v>
      </c>
      <c r="J42" s="16"/>
      <c r="K42" s="11"/>
      <c r="L42" s="12"/>
      <c r="M42" s="12"/>
      <c r="N42" s="13"/>
      <c r="O42" s="13"/>
      <c r="P42" s="21"/>
    </row>
    <row r="43" customFormat="1" ht="22" customHeight="1" spans="1:17">
      <c r="A43" s="10"/>
      <c r="B43" s="11"/>
      <c r="C43" s="34"/>
      <c r="D43" s="34"/>
      <c r="E43" s="35"/>
      <c r="F43" s="35"/>
      <c r="G43" s="36"/>
      <c r="H43" s="22"/>
      <c r="N43" s="13">
        <f t="shared" ref="N43:Q43" si="2">SUM(N3:N42)</f>
        <v>31</v>
      </c>
      <c r="O43" s="13">
        <f t="shared" si="2"/>
        <v>22</v>
      </c>
      <c r="Q43" s="13">
        <f t="shared" si="2"/>
        <v>53</v>
      </c>
    </row>
    <row r="44" customFormat="1" ht="22" customHeight="1" spans="1:17">
      <c r="E44">
        <f t="shared" ref="E44:I44" si="3">SUM(E3:E43)</f>
        <v>36</v>
      </c>
      <c r="F44">
        <f t="shared" si="3"/>
        <v>43</v>
      </c>
      <c r="I44">
        <f t="shared" si="3"/>
        <v>79</v>
      </c>
    </row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customFormat="1" ht="22" customHeight="1" spans="1:16">
      <c r="J65" s="10"/>
      <c r="K65" s="11"/>
      <c r="L65" s="12"/>
      <c r="M65" s="12"/>
      <c r="N65" s="13"/>
      <c r="O65" s="13"/>
      <c r="P65" s="21"/>
    </row>
    <row r="66" customFormat="1" ht="22" customHeight="1" spans="1:16">
      <c r="A66" s="10"/>
      <c r="B66" s="11"/>
      <c r="C66" s="12"/>
      <c r="D66" s="12"/>
      <c r="E66" s="13"/>
      <c r="F66" s="13"/>
      <c r="G66" s="21"/>
      <c r="H66" s="22"/>
      <c r="K66" s="37"/>
      <c r="L66" s="37"/>
      <c r="M66" s="37"/>
      <c r="N66" s="38"/>
      <c r="O66" s="38"/>
    </row>
    <row r="67" customFormat="1" ht="21" customHeight="1" spans="1:16">
      <c r="B67" s="37"/>
      <c r="C67" s="37"/>
      <c r="D67" s="37"/>
      <c r="E67" s="38">
        <f>SUM(E3:E66)</f>
        <v>72</v>
      </c>
      <c r="F67" s="38">
        <f>SUM(F3:F66)</f>
        <v>86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"/>
  <sheetViews>
    <sheetView workbookViewId="0">
      <pane ySplit="2" topLeftCell="A9" activePane="bottomLeft" state="frozen"/>
      <selection/>
      <selection pane="bottomLeft" activeCell="Q34" sqref="I44 Q34"/>
    </sheetView>
  </sheetViews>
  <sheetFormatPr defaultColWidth="9.14285714285714" defaultRowHeight="12"/>
  <cols>
    <col min="1" max="1" width="7.28571428571429" customWidth="1"/>
    <col min="2" max="2" width="14.4285714285714" customWidth="1"/>
    <col min="3" max="3" width="16.8571428571429" customWidth="1"/>
    <col min="4" max="4" width="12.1428571428571" customWidth="1"/>
    <col min="5" max="6" width="10" customWidth="1"/>
    <col min="7" max="7" width="31.4285714285714" customWidth="1"/>
    <col min="8" max="8" width="25.2857142857143" customWidth="1"/>
    <col min="10" max="10" width="8" customWidth="1"/>
    <col min="11" max="11" width="10.7142857142857" customWidth="1"/>
    <col min="12" max="12" width="14.5714285714286" customWidth="1"/>
    <col min="13" max="13" width="12.1428571428571" customWidth="1"/>
    <col min="14" max="15" width="7.71428571428571" customWidth="1"/>
    <col min="16" max="16" width="34" customWidth="1"/>
  </cols>
  <sheetData>
    <row r="1" customFormat="1" ht="25" customHeight="1" spans="1:17">
      <c r="A1" s="2" t="s">
        <v>136</v>
      </c>
      <c r="B1" s="2"/>
      <c r="C1" s="2"/>
      <c r="D1" s="2"/>
      <c r="E1" s="2"/>
      <c r="F1" s="3"/>
      <c r="G1" s="4"/>
      <c r="H1" s="5"/>
      <c r="J1" s="2" t="s">
        <v>145</v>
      </c>
      <c r="K1" s="2"/>
      <c r="L1" s="2"/>
      <c r="M1" s="2"/>
      <c r="N1" s="2"/>
      <c r="O1" s="3"/>
      <c r="P1" s="4"/>
    </row>
    <row r="2" s="1" customFormat="1" ht="25" customHeight="1" spans="1:17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H2" s="9"/>
      <c r="J2" s="6" t="s">
        <v>1</v>
      </c>
      <c r="K2" s="6" t="s">
        <v>98</v>
      </c>
      <c r="L2" s="6" t="s">
        <v>99</v>
      </c>
      <c r="M2" s="7" t="s">
        <v>137</v>
      </c>
      <c r="N2" s="8" t="s">
        <v>138</v>
      </c>
      <c r="O2" s="8" t="s">
        <v>139</v>
      </c>
      <c r="P2" s="8" t="s">
        <v>9</v>
      </c>
      <c r="Q2"/>
    </row>
    <row r="3" customFormat="1" ht="22" customHeight="1" spans="1:17">
      <c r="A3" s="10">
        <v>1</v>
      </c>
      <c r="B3" s="11">
        <v>46111</v>
      </c>
      <c r="C3" s="12" t="s">
        <v>102</v>
      </c>
      <c r="D3" s="12" t="s">
        <v>140</v>
      </c>
      <c r="E3" s="13">
        <v>1</v>
      </c>
      <c r="F3" s="13">
        <v>2</v>
      </c>
      <c r="G3" s="14"/>
      <c r="H3" s="15"/>
      <c r="I3" s="15">
        <f t="shared" ref="I3:I41" si="0">SUM(E3:F3)</f>
        <v>3</v>
      </c>
      <c r="J3" s="16">
        <v>1</v>
      </c>
      <c r="K3" s="11">
        <v>46111</v>
      </c>
      <c r="L3" s="12" t="s">
        <v>53</v>
      </c>
      <c r="M3" s="12" t="s">
        <v>140</v>
      </c>
      <c r="N3" s="13">
        <v>2</v>
      </c>
      <c r="O3" s="13">
        <v>1</v>
      </c>
      <c r="P3" s="14" t="s">
        <v>12</v>
      </c>
      <c r="Q3">
        <f t="shared" ref="Q3:Q28" si="1">SUM(N3:O3)</f>
        <v>3</v>
      </c>
    </row>
    <row r="4" customFormat="1" ht="22" customHeight="1" spans="1:17">
      <c r="A4" s="10">
        <v>2</v>
      </c>
      <c r="B4" s="11">
        <v>46111</v>
      </c>
      <c r="C4" s="12" t="s">
        <v>103</v>
      </c>
      <c r="D4" s="12" t="s">
        <v>140</v>
      </c>
      <c r="E4" s="17"/>
      <c r="F4" s="13">
        <v>3</v>
      </c>
      <c r="G4" s="18"/>
      <c r="H4" s="15"/>
      <c r="I4" s="15">
        <f t="shared" si="0"/>
        <v>3</v>
      </c>
      <c r="J4" s="16">
        <v>2</v>
      </c>
      <c r="K4" s="11">
        <v>46111</v>
      </c>
      <c r="L4" s="12" t="s">
        <v>57</v>
      </c>
      <c r="M4" s="12" t="s">
        <v>140</v>
      </c>
      <c r="N4" s="17">
        <v>3</v>
      </c>
      <c r="O4" s="13"/>
      <c r="P4" s="18"/>
      <c r="Q4">
        <f t="shared" si="1"/>
        <v>3</v>
      </c>
    </row>
    <row r="5" customFormat="1" ht="22" customHeight="1" spans="1:17">
      <c r="A5" s="10">
        <v>3</v>
      </c>
      <c r="B5" s="11">
        <v>46111</v>
      </c>
      <c r="C5" s="12" t="s">
        <v>104</v>
      </c>
      <c r="D5" s="12" t="s">
        <v>140</v>
      </c>
      <c r="E5" s="13"/>
      <c r="F5" s="13">
        <v>3</v>
      </c>
      <c r="G5" s="18"/>
      <c r="H5" s="15"/>
      <c r="I5" s="15">
        <f t="shared" si="0"/>
        <v>3</v>
      </c>
      <c r="J5" s="16">
        <v>3</v>
      </c>
      <c r="K5" s="11">
        <v>46111</v>
      </c>
      <c r="L5" s="12" t="s">
        <v>59</v>
      </c>
      <c r="M5" s="12" t="s">
        <v>140</v>
      </c>
      <c r="N5" s="17">
        <v>3</v>
      </c>
      <c r="O5" s="13"/>
      <c r="P5" s="20" t="s">
        <v>154</v>
      </c>
      <c r="Q5">
        <f t="shared" si="1"/>
        <v>3</v>
      </c>
    </row>
    <row r="6" customFormat="1" ht="22" customHeight="1" spans="1:17">
      <c r="A6" s="10">
        <v>4</v>
      </c>
      <c r="B6" s="11">
        <v>46111</v>
      </c>
      <c r="C6" s="12" t="s">
        <v>105</v>
      </c>
      <c r="D6" s="12" t="s">
        <v>140</v>
      </c>
      <c r="E6" s="13"/>
      <c r="F6" s="13">
        <v>3</v>
      </c>
      <c r="G6" s="18"/>
      <c r="H6" s="15"/>
      <c r="I6" s="15">
        <f t="shared" si="0"/>
        <v>3</v>
      </c>
      <c r="J6" s="16">
        <v>4</v>
      </c>
      <c r="K6" s="11">
        <v>46111</v>
      </c>
      <c r="L6" s="12" t="s">
        <v>60</v>
      </c>
      <c r="M6" s="12" t="s">
        <v>140</v>
      </c>
      <c r="N6" s="13"/>
      <c r="O6" s="17">
        <v>3</v>
      </c>
      <c r="P6" s="18" t="s">
        <v>61</v>
      </c>
      <c r="Q6">
        <f t="shared" si="1"/>
        <v>3</v>
      </c>
    </row>
    <row r="7" customFormat="1" ht="22" customHeight="1" spans="1:17">
      <c r="A7" s="10">
        <v>5</v>
      </c>
      <c r="B7" s="11">
        <v>46111</v>
      </c>
      <c r="C7" s="12" t="s">
        <v>106</v>
      </c>
      <c r="D7" s="12" t="s">
        <v>140</v>
      </c>
      <c r="E7" s="13"/>
      <c r="F7" s="13">
        <v>3</v>
      </c>
      <c r="G7" s="18"/>
      <c r="H7" s="15"/>
      <c r="I7" s="15">
        <f t="shared" si="0"/>
        <v>3</v>
      </c>
      <c r="J7" s="16">
        <v>5</v>
      </c>
      <c r="K7" s="11">
        <v>46111</v>
      </c>
      <c r="L7" s="12" t="s">
        <v>62</v>
      </c>
      <c r="M7" s="12" t="s">
        <v>140</v>
      </c>
      <c r="N7" s="13"/>
      <c r="O7" s="17">
        <v>3</v>
      </c>
      <c r="P7" s="18" t="s">
        <v>5</v>
      </c>
      <c r="Q7">
        <f t="shared" si="1"/>
        <v>3</v>
      </c>
    </row>
    <row r="8" customFormat="1" ht="22" customHeight="1" spans="1:17">
      <c r="A8" s="10">
        <v>6</v>
      </c>
      <c r="B8" s="11">
        <v>46111</v>
      </c>
      <c r="C8" s="12" t="s">
        <v>107</v>
      </c>
      <c r="D8" s="12" t="s">
        <v>140</v>
      </c>
      <c r="E8" s="13">
        <v>3</v>
      </c>
      <c r="F8" s="13"/>
      <c r="G8" s="18"/>
      <c r="H8" s="15"/>
      <c r="I8" s="15">
        <f t="shared" si="0"/>
        <v>3</v>
      </c>
      <c r="J8" s="16">
        <v>6</v>
      </c>
      <c r="K8" s="11">
        <v>46111</v>
      </c>
      <c r="L8" s="12" t="s">
        <v>64</v>
      </c>
      <c r="M8" s="12" t="s">
        <v>140</v>
      </c>
      <c r="N8" s="13"/>
      <c r="O8" s="17">
        <v>3</v>
      </c>
      <c r="P8" s="18" t="s">
        <v>5</v>
      </c>
      <c r="Q8">
        <f t="shared" si="1"/>
        <v>3</v>
      </c>
    </row>
    <row r="9" customFormat="1" ht="22" customHeight="1" spans="1:17">
      <c r="A9" s="10">
        <v>7</v>
      </c>
      <c r="B9" s="11">
        <v>46111</v>
      </c>
      <c r="C9" s="12" t="s">
        <v>108</v>
      </c>
      <c r="D9" s="12" t="s">
        <v>140</v>
      </c>
      <c r="E9" s="13">
        <v>3</v>
      </c>
      <c r="F9" s="13"/>
      <c r="G9" s="21"/>
      <c r="H9" s="15"/>
      <c r="I9" s="15">
        <f t="shared" si="0"/>
        <v>3</v>
      </c>
      <c r="J9" s="16">
        <v>7</v>
      </c>
      <c r="K9" s="11">
        <v>46111</v>
      </c>
      <c r="L9" s="12" t="s">
        <v>65</v>
      </c>
      <c r="M9" s="12" t="s">
        <v>140</v>
      </c>
      <c r="N9" s="13"/>
      <c r="O9" s="17">
        <v>3</v>
      </c>
      <c r="P9" s="21" t="s">
        <v>5</v>
      </c>
      <c r="Q9">
        <f t="shared" si="1"/>
        <v>3</v>
      </c>
    </row>
    <row r="10" customFormat="1" ht="22" customHeight="1" spans="1:17">
      <c r="A10" s="10">
        <v>8</v>
      </c>
      <c r="B10" s="11">
        <v>46111</v>
      </c>
      <c r="C10" s="12" t="s">
        <v>109</v>
      </c>
      <c r="D10" s="12" t="s">
        <v>140</v>
      </c>
      <c r="E10" s="13"/>
      <c r="F10" s="13">
        <v>3</v>
      </c>
      <c r="G10" s="21"/>
      <c r="H10" s="15"/>
      <c r="I10" s="15">
        <f t="shared" si="0"/>
        <v>3</v>
      </c>
      <c r="J10" s="16">
        <v>8</v>
      </c>
      <c r="K10" s="11">
        <v>46111</v>
      </c>
      <c r="L10" s="12" t="s">
        <v>67</v>
      </c>
      <c r="M10" s="12" t="s">
        <v>140</v>
      </c>
      <c r="N10" s="17">
        <v>3</v>
      </c>
      <c r="O10" s="13"/>
      <c r="P10" s="21"/>
      <c r="Q10">
        <f t="shared" si="1"/>
        <v>3</v>
      </c>
    </row>
    <row r="11" customFormat="1" ht="22" customHeight="1" spans="1:17">
      <c r="A11" s="10">
        <v>9</v>
      </c>
      <c r="B11" s="11">
        <v>46111</v>
      </c>
      <c r="C11" s="12" t="s">
        <v>110</v>
      </c>
      <c r="D11" s="12" t="s">
        <v>140</v>
      </c>
      <c r="E11" s="13"/>
      <c r="F11" s="13">
        <v>3</v>
      </c>
      <c r="G11" s="21"/>
      <c r="H11" s="15"/>
      <c r="I11" s="15">
        <f t="shared" si="0"/>
        <v>3</v>
      </c>
      <c r="J11" s="16">
        <v>9</v>
      </c>
      <c r="K11" s="11">
        <v>46111</v>
      </c>
      <c r="L11" s="12" t="s">
        <v>69</v>
      </c>
      <c r="M11" s="12" t="s">
        <v>140</v>
      </c>
      <c r="N11" s="17">
        <v>3</v>
      </c>
      <c r="O11" s="13"/>
      <c r="P11" s="21"/>
      <c r="Q11">
        <f t="shared" si="1"/>
        <v>3</v>
      </c>
    </row>
    <row r="12" customFormat="1" ht="22" customHeight="1" spans="1:17">
      <c r="A12" s="10">
        <v>10</v>
      </c>
      <c r="B12" s="11">
        <v>46111</v>
      </c>
      <c r="C12" s="12" t="s">
        <v>111</v>
      </c>
      <c r="D12" s="12" t="s">
        <v>140</v>
      </c>
      <c r="E12" s="13">
        <v>3</v>
      </c>
      <c r="F12" s="13"/>
      <c r="G12" s="21"/>
      <c r="H12" s="15"/>
      <c r="I12" s="15">
        <f t="shared" si="0"/>
        <v>3</v>
      </c>
      <c r="J12" s="16">
        <v>10</v>
      </c>
      <c r="K12" s="11">
        <v>46111</v>
      </c>
      <c r="L12" s="12" t="s">
        <v>70</v>
      </c>
      <c r="M12" s="12" t="s">
        <v>140</v>
      </c>
      <c r="N12" s="13"/>
      <c r="O12" s="17">
        <v>3</v>
      </c>
      <c r="P12" s="21" t="s">
        <v>71</v>
      </c>
      <c r="Q12">
        <f t="shared" si="1"/>
        <v>3</v>
      </c>
    </row>
    <row r="13" customFormat="1" ht="22" customHeight="1" spans="1:17">
      <c r="A13" s="10">
        <v>11</v>
      </c>
      <c r="B13" s="11">
        <v>46111</v>
      </c>
      <c r="C13" s="12" t="s">
        <v>112</v>
      </c>
      <c r="D13" s="12" t="s">
        <v>140</v>
      </c>
      <c r="E13" s="13">
        <v>1</v>
      </c>
      <c r="F13" s="13">
        <v>2</v>
      </c>
      <c r="G13" s="21"/>
      <c r="H13" s="15"/>
      <c r="I13" s="15">
        <f t="shared" si="0"/>
        <v>3</v>
      </c>
      <c r="J13" s="16">
        <v>11</v>
      </c>
      <c r="K13" s="11">
        <v>46111</v>
      </c>
      <c r="L13" s="12" t="s">
        <v>72</v>
      </c>
      <c r="M13" s="12" t="s">
        <v>140</v>
      </c>
      <c r="N13" s="17">
        <v>3</v>
      </c>
      <c r="O13" s="13"/>
      <c r="P13" s="21"/>
      <c r="Q13">
        <f t="shared" si="1"/>
        <v>3</v>
      </c>
    </row>
    <row r="14" customFormat="1" ht="22" customHeight="1" spans="1:17">
      <c r="A14" s="10">
        <v>12</v>
      </c>
      <c r="B14" s="11">
        <v>46111</v>
      </c>
      <c r="C14" s="12" t="s">
        <v>113</v>
      </c>
      <c r="D14" s="12" t="s">
        <v>140</v>
      </c>
      <c r="E14" s="13">
        <v>1</v>
      </c>
      <c r="F14" s="13">
        <v>2</v>
      </c>
      <c r="G14" s="21"/>
      <c r="H14" s="15"/>
      <c r="I14" s="15">
        <f t="shared" si="0"/>
        <v>3</v>
      </c>
      <c r="J14" s="16">
        <v>12</v>
      </c>
      <c r="K14" s="11">
        <v>46111</v>
      </c>
      <c r="L14" s="12" t="s">
        <v>73</v>
      </c>
      <c r="M14" s="12" t="s">
        <v>140</v>
      </c>
      <c r="N14" s="17">
        <v>3</v>
      </c>
      <c r="O14" s="13"/>
      <c r="P14" s="21"/>
      <c r="Q14">
        <f t="shared" si="1"/>
        <v>3</v>
      </c>
    </row>
    <row r="15" customFormat="1" ht="22" customHeight="1" spans="1:17">
      <c r="A15" s="10">
        <v>13</v>
      </c>
      <c r="B15" s="11">
        <v>46111</v>
      </c>
      <c r="C15" s="12" t="s">
        <v>114</v>
      </c>
      <c r="D15" s="12" t="s">
        <v>140</v>
      </c>
      <c r="E15" s="13">
        <v>1</v>
      </c>
      <c r="F15" s="13">
        <v>2</v>
      </c>
      <c r="G15" s="21"/>
      <c r="H15" s="15"/>
      <c r="I15" s="15">
        <f t="shared" si="0"/>
        <v>3</v>
      </c>
      <c r="J15" s="16">
        <v>13</v>
      </c>
      <c r="K15" s="11">
        <v>46111</v>
      </c>
      <c r="L15" s="12" t="s">
        <v>74</v>
      </c>
      <c r="M15" s="12" t="s">
        <v>140</v>
      </c>
      <c r="N15" s="13">
        <v>2</v>
      </c>
      <c r="O15" s="13">
        <v>1</v>
      </c>
      <c r="P15" s="21" t="s">
        <v>76</v>
      </c>
      <c r="Q15">
        <f t="shared" si="1"/>
        <v>3</v>
      </c>
    </row>
    <row r="16" customFormat="1" ht="22" customHeight="1" spans="1:17">
      <c r="A16" s="10">
        <v>14</v>
      </c>
      <c r="B16" s="11">
        <v>46111</v>
      </c>
      <c r="C16" s="12" t="s">
        <v>115</v>
      </c>
      <c r="D16" s="12" t="s">
        <v>140</v>
      </c>
      <c r="E16" s="13">
        <v>3</v>
      </c>
      <c r="F16" s="13"/>
      <c r="G16" s="21"/>
      <c r="H16" s="15"/>
      <c r="I16" s="15">
        <f t="shared" si="0"/>
        <v>3</v>
      </c>
      <c r="J16" s="16">
        <v>14</v>
      </c>
      <c r="K16" s="11">
        <v>46111</v>
      </c>
      <c r="L16" s="12" t="s">
        <v>77</v>
      </c>
      <c r="M16" s="12" t="s">
        <v>140</v>
      </c>
      <c r="N16" s="13">
        <v>2</v>
      </c>
      <c r="O16" s="13">
        <v>1</v>
      </c>
      <c r="P16" s="21" t="s">
        <v>78</v>
      </c>
      <c r="Q16">
        <f t="shared" si="1"/>
        <v>3</v>
      </c>
    </row>
    <row r="17" customFormat="1" ht="22" customHeight="1" spans="1:17">
      <c r="A17" s="10">
        <v>15</v>
      </c>
      <c r="B17" s="11">
        <v>46111</v>
      </c>
      <c r="C17" s="12" t="s">
        <v>116</v>
      </c>
      <c r="D17" s="12" t="s">
        <v>140</v>
      </c>
      <c r="E17" s="13">
        <v>3</v>
      </c>
      <c r="F17" s="13"/>
      <c r="G17" s="21"/>
      <c r="H17" s="15"/>
      <c r="I17" s="15">
        <f t="shared" si="0"/>
        <v>3</v>
      </c>
      <c r="J17" s="16">
        <v>15</v>
      </c>
      <c r="K17" s="11">
        <v>46111</v>
      </c>
      <c r="L17" s="12" t="s">
        <v>79</v>
      </c>
      <c r="M17" s="12" t="s">
        <v>140</v>
      </c>
      <c r="N17" s="17">
        <v>3</v>
      </c>
      <c r="O17" s="13"/>
      <c r="P17" s="21"/>
      <c r="Q17">
        <f t="shared" si="1"/>
        <v>3</v>
      </c>
    </row>
    <row r="18" customFormat="1" ht="22" customHeight="1" spans="1:17">
      <c r="A18" s="10">
        <v>16</v>
      </c>
      <c r="B18" s="11">
        <v>46111</v>
      </c>
      <c r="C18" s="12" t="s">
        <v>117</v>
      </c>
      <c r="D18" s="12" t="s">
        <v>140</v>
      </c>
      <c r="E18" s="13"/>
      <c r="F18" s="13">
        <v>3</v>
      </c>
      <c r="G18" s="21"/>
      <c r="H18" s="15"/>
      <c r="I18" s="15">
        <f t="shared" si="0"/>
        <v>3</v>
      </c>
      <c r="J18" s="16">
        <v>16</v>
      </c>
      <c r="K18" s="11">
        <v>46111</v>
      </c>
      <c r="L18" s="12" t="s">
        <v>81</v>
      </c>
      <c r="M18" s="12" t="s">
        <v>140</v>
      </c>
      <c r="N18" s="13">
        <v>1</v>
      </c>
      <c r="O18" s="17">
        <v>2</v>
      </c>
      <c r="P18" s="21" t="s">
        <v>82</v>
      </c>
      <c r="Q18">
        <f t="shared" si="1"/>
        <v>3</v>
      </c>
    </row>
    <row r="19" customFormat="1" ht="22" customHeight="1" spans="1:17">
      <c r="A19" s="10">
        <v>17</v>
      </c>
      <c r="B19" s="11">
        <v>46111</v>
      </c>
      <c r="C19" s="12" t="s">
        <v>118</v>
      </c>
      <c r="D19" s="12" t="s">
        <v>140</v>
      </c>
      <c r="E19" s="13">
        <v>1</v>
      </c>
      <c r="F19" s="13">
        <v>2</v>
      </c>
      <c r="G19" s="21"/>
      <c r="H19" s="15"/>
      <c r="I19" s="15">
        <f t="shared" si="0"/>
        <v>3</v>
      </c>
      <c r="J19" s="16">
        <v>17</v>
      </c>
      <c r="K19" s="11">
        <v>46111</v>
      </c>
      <c r="L19" s="12" t="s">
        <v>83</v>
      </c>
      <c r="M19" s="12" t="s">
        <v>140</v>
      </c>
      <c r="N19" s="13">
        <v>2</v>
      </c>
      <c r="O19" s="13">
        <v>1</v>
      </c>
      <c r="P19" s="21" t="s">
        <v>84</v>
      </c>
      <c r="Q19">
        <f t="shared" si="1"/>
        <v>3</v>
      </c>
    </row>
    <row r="20" customFormat="1" ht="22" customHeight="1" spans="1:17">
      <c r="A20" s="10">
        <v>18</v>
      </c>
      <c r="B20" s="11">
        <v>46111</v>
      </c>
      <c r="C20" s="12" t="s">
        <v>119</v>
      </c>
      <c r="D20" s="12" t="s">
        <v>140</v>
      </c>
      <c r="E20" s="13">
        <v>3</v>
      </c>
      <c r="F20" s="13"/>
      <c r="G20" s="21"/>
      <c r="H20" s="15"/>
      <c r="I20" s="15">
        <f t="shared" si="0"/>
        <v>3</v>
      </c>
      <c r="J20" s="16">
        <v>18</v>
      </c>
      <c r="K20" s="11">
        <v>46111</v>
      </c>
      <c r="L20" s="12" t="s">
        <v>85</v>
      </c>
      <c r="M20" s="12" t="s">
        <v>140</v>
      </c>
      <c r="N20" s="17">
        <v>3</v>
      </c>
      <c r="O20" s="13"/>
      <c r="P20" s="20" t="s">
        <v>154</v>
      </c>
      <c r="Q20">
        <f t="shared" si="1"/>
        <v>3</v>
      </c>
    </row>
    <row r="21" customFormat="1" ht="22" customHeight="1" spans="1:17">
      <c r="A21" s="10">
        <v>19</v>
      </c>
      <c r="B21" s="11">
        <v>46111</v>
      </c>
      <c r="C21" s="12" t="s">
        <v>120</v>
      </c>
      <c r="D21" s="12" t="s">
        <v>140</v>
      </c>
      <c r="E21" s="13"/>
      <c r="F21" s="13">
        <v>3</v>
      </c>
      <c r="G21" s="21"/>
      <c r="H21" s="15"/>
      <c r="I21" s="15">
        <f t="shared" si="0"/>
        <v>3</v>
      </c>
      <c r="J21" s="16">
        <v>19</v>
      </c>
      <c r="K21" s="11">
        <v>46111</v>
      </c>
      <c r="L21" s="12" t="s">
        <v>86</v>
      </c>
      <c r="M21" s="12" t="s">
        <v>140</v>
      </c>
      <c r="N21" s="17">
        <v>3</v>
      </c>
      <c r="O21" s="13"/>
      <c r="P21" s="20" t="s">
        <v>154</v>
      </c>
      <c r="Q21">
        <f t="shared" si="1"/>
        <v>3</v>
      </c>
    </row>
    <row r="22" customFormat="1" ht="22" customHeight="1" spans="1:17">
      <c r="A22" s="10">
        <v>20</v>
      </c>
      <c r="B22" s="11">
        <v>46111</v>
      </c>
      <c r="C22" s="12" t="s">
        <v>121</v>
      </c>
      <c r="D22" s="12" t="s">
        <v>140</v>
      </c>
      <c r="E22" s="13"/>
      <c r="F22" s="13">
        <v>3</v>
      </c>
      <c r="G22" s="21"/>
      <c r="H22" s="15"/>
      <c r="I22" s="15">
        <f t="shared" si="0"/>
        <v>3</v>
      </c>
      <c r="J22" s="16">
        <v>20</v>
      </c>
      <c r="K22" s="11">
        <v>46111</v>
      </c>
      <c r="L22" s="12" t="s">
        <v>87</v>
      </c>
      <c r="M22" s="12" t="s">
        <v>140</v>
      </c>
      <c r="N22" s="17">
        <v>3</v>
      </c>
      <c r="O22" s="13"/>
      <c r="P22" s="20"/>
      <c r="Q22">
        <f t="shared" si="1"/>
        <v>3</v>
      </c>
    </row>
    <row r="23" customFormat="1" ht="22" customHeight="1" spans="1:17">
      <c r="A23" s="10">
        <v>21</v>
      </c>
      <c r="B23" s="11">
        <v>46111</v>
      </c>
      <c r="C23" s="12" t="s">
        <v>122</v>
      </c>
      <c r="D23" s="12" t="s">
        <v>140</v>
      </c>
      <c r="E23" s="13"/>
      <c r="F23" s="13">
        <v>3</v>
      </c>
      <c r="G23" s="21"/>
      <c r="H23" s="15"/>
      <c r="I23" s="15">
        <f t="shared" si="0"/>
        <v>3</v>
      </c>
      <c r="J23" s="16">
        <v>21</v>
      </c>
      <c r="K23" s="11">
        <v>46111</v>
      </c>
      <c r="L23" s="12" t="s">
        <v>88</v>
      </c>
      <c r="M23" s="12" t="s">
        <v>140</v>
      </c>
      <c r="N23" s="13"/>
      <c r="O23" s="17">
        <v>3</v>
      </c>
      <c r="P23" s="21" t="s">
        <v>89</v>
      </c>
      <c r="Q23">
        <f t="shared" si="1"/>
        <v>3</v>
      </c>
    </row>
    <row r="24" customFormat="1" ht="22" customHeight="1" spans="1:17">
      <c r="A24" s="10">
        <v>22</v>
      </c>
      <c r="B24" s="11">
        <v>46111</v>
      </c>
      <c r="C24" s="12" t="s">
        <v>23</v>
      </c>
      <c r="D24" s="12" t="s">
        <v>140</v>
      </c>
      <c r="E24" s="13"/>
      <c r="F24" s="13">
        <v>3</v>
      </c>
      <c r="G24" s="21"/>
      <c r="H24" s="15"/>
      <c r="I24" s="15">
        <f t="shared" si="0"/>
        <v>3</v>
      </c>
      <c r="J24" s="16">
        <v>22</v>
      </c>
      <c r="K24" s="11">
        <v>46111</v>
      </c>
      <c r="L24" s="12" t="s">
        <v>90</v>
      </c>
      <c r="M24" s="12" t="s">
        <v>140</v>
      </c>
      <c r="N24" s="17">
        <v>3</v>
      </c>
      <c r="O24" s="13"/>
      <c r="P24" s="21"/>
      <c r="Q24">
        <f t="shared" si="1"/>
        <v>3</v>
      </c>
    </row>
    <row r="25" customFormat="1" ht="22" customHeight="1" spans="1:17">
      <c r="A25" s="10">
        <v>23</v>
      </c>
      <c r="B25" s="11">
        <v>46111</v>
      </c>
      <c r="C25" s="12" t="s">
        <v>24</v>
      </c>
      <c r="D25" s="12" t="s">
        <v>140</v>
      </c>
      <c r="E25" s="13"/>
      <c r="F25" s="13">
        <v>3</v>
      </c>
      <c r="G25" s="21"/>
      <c r="H25" s="15"/>
      <c r="I25" s="15">
        <f t="shared" si="0"/>
        <v>3</v>
      </c>
      <c r="J25" s="16">
        <v>23</v>
      </c>
      <c r="K25" s="11">
        <v>46111</v>
      </c>
      <c r="L25" s="12" t="s">
        <v>91</v>
      </c>
      <c r="M25" s="12" t="s">
        <v>140</v>
      </c>
      <c r="N25" s="13">
        <v>2</v>
      </c>
      <c r="O25" s="13">
        <v>1</v>
      </c>
      <c r="P25" s="21" t="s">
        <v>148</v>
      </c>
      <c r="Q25">
        <f t="shared" si="1"/>
        <v>3</v>
      </c>
    </row>
    <row r="26" customFormat="1" ht="22" customHeight="1" spans="1:17">
      <c r="A26" s="10">
        <v>24</v>
      </c>
      <c r="B26" s="11">
        <v>46111</v>
      </c>
      <c r="C26" s="12" t="s">
        <v>25</v>
      </c>
      <c r="D26" s="12" t="s">
        <v>140</v>
      </c>
      <c r="E26" s="13">
        <v>1</v>
      </c>
      <c r="F26" s="13">
        <v>2</v>
      </c>
      <c r="G26" s="21"/>
      <c r="H26" s="15"/>
      <c r="I26" s="15">
        <f t="shared" si="0"/>
        <v>3</v>
      </c>
      <c r="J26" s="16">
        <v>24</v>
      </c>
      <c r="K26" s="11">
        <v>46111</v>
      </c>
      <c r="L26" s="12" t="s">
        <v>93</v>
      </c>
      <c r="M26" s="12" t="s">
        <v>140</v>
      </c>
      <c r="N26" s="13"/>
      <c r="O26" s="17">
        <v>3</v>
      </c>
      <c r="P26" s="21" t="s">
        <v>94</v>
      </c>
      <c r="Q26">
        <f t="shared" si="1"/>
        <v>3</v>
      </c>
    </row>
    <row r="27" customFormat="1" ht="22" customHeight="1" spans="1:17">
      <c r="A27" s="10">
        <v>25</v>
      </c>
      <c r="B27" s="11">
        <v>46111</v>
      </c>
      <c r="C27" s="12" t="s">
        <v>26</v>
      </c>
      <c r="D27" s="12" t="s">
        <v>140</v>
      </c>
      <c r="E27" s="13">
        <v>3</v>
      </c>
      <c r="F27" s="13"/>
      <c r="G27" s="21"/>
      <c r="H27" s="15"/>
      <c r="I27" s="15">
        <f t="shared" si="0"/>
        <v>3</v>
      </c>
      <c r="J27" s="16">
        <v>25</v>
      </c>
      <c r="K27" s="11">
        <v>46111</v>
      </c>
      <c r="L27" s="24" t="s">
        <v>134</v>
      </c>
      <c r="M27" s="12" t="s">
        <v>140</v>
      </c>
      <c r="N27" s="13">
        <v>3</v>
      </c>
      <c r="O27" s="13"/>
      <c r="P27" s="21"/>
      <c r="Q27">
        <f t="shared" si="1"/>
        <v>3</v>
      </c>
    </row>
    <row r="28" customFormat="1" ht="22" customHeight="1" spans="1:17">
      <c r="A28" s="10">
        <v>26</v>
      </c>
      <c r="B28" s="11">
        <v>46111</v>
      </c>
      <c r="C28" s="12" t="s">
        <v>27</v>
      </c>
      <c r="D28" s="12" t="s">
        <v>140</v>
      </c>
      <c r="E28" s="13">
        <v>3</v>
      </c>
      <c r="F28" s="13"/>
      <c r="G28" s="21"/>
      <c r="H28" s="15"/>
      <c r="I28" s="15">
        <f t="shared" si="0"/>
        <v>3</v>
      </c>
      <c r="J28" s="16">
        <v>26</v>
      </c>
      <c r="K28" s="11">
        <v>46111</v>
      </c>
      <c r="L28" s="25" t="s">
        <v>135</v>
      </c>
      <c r="M28" s="12" t="s">
        <v>140</v>
      </c>
      <c r="N28" s="13"/>
      <c r="O28" s="13">
        <v>3</v>
      </c>
      <c r="P28" s="21" t="s">
        <v>94</v>
      </c>
      <c r="Q28">
        <f t="shared" si="1"/>
        <v>3</v>
      </c>
    </row>
    <row r="29" customFormat="1" ht="22" customHeight="1" spans="1:17">
      <c r="A29" s="10">
        <v>27</v>
      </c>
      <c r="B29" s="11">
        <v>46111</v>
      </c>
      <c r="C29" s="12" t="s">
        <v>33</v>
      </c>
      <c r="D29" s="12" t="s">
        <v>140</v>
      </c>
      <c r="E29" s="13">
        <v>3</v>
      </c>
      <c r="F29" s="13"/>
      <c r="G29" s="21"/>
      <c r="H29" s="15"/>
      <c r="I29" s="15">
        <f t="shared" si="0"/>
        <v>3</v>
      </c>
      <c r="J29" s="16"/>
      <c r="K29" s="11"/>
      <c r="L29" s="12"/>
      <c r="M29" s="12"/>
      <c r="N29" s="13"/>
      <c r="O29" s="13"/>
      <c r="P29" s="21"/>
    </row>
    <row r="30" customFormat="1" ht="22" customHeight="1" spans="1:17">
      <c r="A30" s="10">
        <v>28</v>
      </c>
      <c r="B30" s="11">
        <v>46111</v>
      </c>
      <c r="C30" s="12" t="s">
        <v>35</v>
      </c>
      <c r="D30" s="12" t="s">
        <v>140</v>
      </c>
      <c r="E30" s="13"/>
      <c r="F30" s="13">
        <v>3</v>
      </c>
      <c r="G30" s="21"/>
      <c r="H30" s="15"/>
      <c r="I30" s="15">
        <f t="shared" si="0"/>
        <v>3</v>
      </c>
      <c r="J30" s="16"/>
      <c r="K30" s="11"/>
      <c r="L30" s="12"/>
      <c r="M30" s="12"/>
      <c r="N30" s="13"/>
      <c r="O30" s="13"/>
      <c r="P30" s="21"/>
    </row>
    <row r="31" customFormat="1" ht="22" customHeight="1" spans="1:17">
      <c r="A31" s="10">
        <v>29</v>
      </c>
      <c r="B31" s="11">
        <v>46111</v>
      </c>
      <c r="C31" s="12" t="s">
        <v>123</v>
      </c>
      <c r="D31" s="12" t="s">
        <v>140</v>
      </c>
      <c r="E31" s="13">
        <v>3</v>
      </c>
      <c r="F31" s="13"/>
      <c r="G31" s="21"/>
      <c r="H31" s="15"/>
      <c r="I31" s="15">
        <f t="shared" si="0"/>
        <v>3</v>
      </c>
      <c r="J31" s="16"/>
      <c r="K31" s="11"/>
      <c r="L31" s="12"/>
      <c r="M31" s="12"/>
      <c r="N31" s="13"/>
      <c r="O31" s="13"/>
      <c r="P31" s="21"/>
    </row>
    <row r="32" customFormat="1" ht="22" customHeight="1" spans="1:17">
      <c r="A32" s="10">
        <v>30</v>
      </c>
      <c r="B32" s="11">
        <v>46111</v>
      </c>
      <c r="C32" s="12" t="s">
        <v>124</v>
      </c>
      <c r="D32" s="12" t="s">
        <v>140</v>
      </c>
      <c r="E32" s="13"/>
      <c r="F32" s="13">
        <v>3</v>
      </c>
      <c r="G32" s="21"/>
      <c r="H32" s="15"/>
      <c r="I32" s="15">
        <f t="shared" si="0"/>
        <v>3</v>
      </c>
      <c r="J32" s="16"/>
      <c r="K32" s="11"/>
      <c r="L32" s="12"/>
      <c r="M32" s="12"/>
      <c r="N32" s="13"/>
      <c r="O32" s="13"/>
      <c r="P32" s="21"/>
    </row>
    <row r="33" customFormat="1" ht="22" customHeight="1" spans="1:17">
      <c r="A33" s="10">
        <v>31</v>
      </c>
      <c r="B33" s="11">
        <v>46111</v>
      </c>
      <c r="C33" s="12" t="s">
        <v>125</v>
      </c>
      <c r="D33" s="12" t="s">
        <v>140</v>
      </c>
      <c r="E33" s="13">
        <v>3</v>
      </c>
      <c r="F33" s="13"/>
      <c r="G33" s="21"/>
      <c r="H33" s="15"/>
      <c r="I33" s="15">
        <f t="shared" si="0"/>
        <v>3</v>
      </c>
      <c r="J33" s="16"/>
      <c r="K33" s="11"/>
      <c r="L33" s="12"/>
      <c r="M33" s="12"/>
      <c r="N33" s="13"/>
      <c r="O33" s="13"/>
      <c r="P33" s="21"/>
    </row>
    <row r="34" customFormat="1" ht="22" customHeight="1" spans="1:17">
      <c r="A34" s="10">
        <v>32</v>
      </c>
      <c r="B34" s="11">
        <v>46111</v>
      </c>
      <c r="C34" s="12" t="s">
        <v>29</v>
      </c>
      <c r="D34" s="12" t="s">
        <v>140</v>
      </c>
      <c r="E34" s="13"/>
      <c r="F34" s="13">
        <v>3</v>
      </c>
      <c r="G34" s="21"/>
      <c r="H34" s="15"/>
      <c r="I34" s="15">
        <f t="shared" si="0"/>
        <v>3</v>
      </c>
      <c r="N34" s="13">
        <f t="shared" ref="N34:Q34" si="2">SUM(N3:N33)</f>
        <v>47</v>
      </c>
      <c r="O34" s="13">
        <f t="shared" si="2"/>
        <v>31</v>
      </c>
      <c r="Q34" s="13">
        <f t="shared" si="2"/>
        <v>78</v>
      </c>
    </row>
    <row r="35" customFormat="1" ht="22" customHeight="1" spans="1:17">
      <c r="A35" s="10">
        <v>33</v>
      </c>
      <c r="B35" s="11">
        <v>46111</v>
      </c>
      <c r="C35" s="12" t="s">
        <v>30</v>
      </c>
      <c r="D35" s="12" t="s">
        <v>140</v>
      </c>
      <c r="E35" s="13">
        <v>3</v>
      </c>
      <c r="F35" s="13"/>
      <c r="G35" s="21"/>
      <c r="H35" s="15"/>
      <c r="I35" s="15">
        <f t="shared" si="0"/>
        <v>3</v>
      </c>
    </row>
    <row r="36" customFormat="1" ht="22" customHeight="1" spans="1:17">
      <c r="A36" s="10">
        <v>34</v>
      </c>
      <c r="B36" s="11">
        <v>46111</v>
      </c>
      <c r="C36" s="12" t="s">
        <v>31</v>
      </c>
      <c r="D36" s="12" t="s">
        <v>140</v>
      </c>
      <c r="E36" s="13"/>
      <c r="F36" s="13">
        <v>3</v>
      </c>
      <c r="G36" s="21"/>
      <c r="H36" s="15"/>
      <c r="I36" s="15">
        <f t="shared" si="0"/>
        <v>3</v>
      </c>
    </row>
    <row r="37" customFormat="1" ht="22" customHeight="1" spans="1:17">
      <c r="A37" s="10">
        <v>35</v>
      </c>
      <c r="B37" s="11">
        <v>46111</v>
      </c>
      <c r="C37" s="12" t="s">
        <v>126</v>
      </c>
      <c r="D37" s="12" t="s">
        <v>140</v>
      </c>
      <c r="E37" s="13"/>
      <c r="F37" s="13">
        <v>3</v>
      </c>
      <c r="G37" s="21"/>
      <c r="H37" s="15"/>
      <c r="I37" s="15">
        <f t="shared" si="0"/>
        <v>3</v>
      </c>
    </row>
    <row r="38" customFormat="1" ht="22" customHeight="1" spans="1:17">
      <c r="A38" s="10">
        <v>36</v>
      </c>
      <c r="B38" s="11">
        <v>46111</v>
      </c>
      <c r="C38" s="12" t="s">
        <v>127</v>
      </c>
      <c r="D38" s="12" t="s">
        <v>140</v>
      </c>
      <c r="E38" s="13">
        <v>3</v>
      </c>
      <c r="F38" s="13"/>
      <c r="G38" s="21"/>
      <c r="H38" s="15"/>
      <c r="I38" s="15">
        <f t="shared" si="0"/>
        <v>3</v>
      </c>
    </row>
    <row r="39" customFormat="1" ht="22" customHeight="1" spans="1:17">
      <c r="A39" s="10">
        <v>37</v>
      </c>
      <c r="B39" s="11">
        <v>46111</v>
      </c>
      <c r="C39" s="39" t="s">
        <v>132</v>
      </c>
      <c r="D39" s="12" t="s">
        <v>140</v>
      </c>
      <c r="E39" s="13">
        <v>2</v>
      </c>
      <c r="F39" s="13">
        <v>1</v>
      </c>
      <c r="G39" s="21" t="s">
        <v>143</v>
      </c>
      <c r="H39" t="s">
        <v>149</v>
      </c>
      <c r="I39" s="15">
        <f t="shared" si="0"/>
        <v>3</v>
      </c>
    </row>
    <row r="40" customFormat="1" ht="22" customHeight="1" spans="1:17">
      <c r="A40" s="10">
        <v>38</v>
      </c>
      <c r="B40" s="11">
        <v>46111</v>
      </c>
      <c r="C40" s="40" t="s">
        <v>36</v>
      </c>
      <c r="D40" s="12" t="s">
        <v>140</v>
      </c>
      <c r="E40" s="13">
        <v>2</v>
      </c>
      <c r="F40" s="13">
        <v>1</v>
      </c>
      <c r="G40" s="21" t="s">
        <v>143</v>
      </c>
      <c r="H40" t="s">
        <v>149</v>
      </c>
      <c r="I40" s="15">
        <f t="shared" si="0"/>
        <v>3</v>
      </c>
    </row>
    <row r="41" customFormat="1" ht="22" customHeight="1" spans="1:17">
      <c r="A41" s="10">
        <v>39</v>
      </c>
      <c r="B41" s="11">
        <v>46111</v>
      </c>
      <c r="C41" s="26" t="s">
        <v>133</v>
      </c>
      <c r="D41" s="26" t="s">
        <v>140</v>
      </c>
      <c r="E41" s="28">
        <v>2</v>
      </c>
      <c r="F41" s="28">
        <v>1</v>
      </c>
      <c r="G41" s="29" t="s">
        <v>150</v>
      </c>
      <c r="H41" t="s">
        <v>149</v>
      </c>
      <c r="I41" s="15">
        <f t="shared" si="0"/>
        <v>3</v>
      </c>
    </row>
    <row r="42" customFormat="1" ht="22" customHeight="1" spans="1:17">
      <c r="A42" s="10"/>
      <c r="B42" s="11"/>
      <c r="C42" s="41"/>
      <c r="D42" s="41"/>
      <c r="E42" s="41"/>
      <c r="F42" s="41"/>
      <c r="G42" s="41"/>
    </row>
    <row r="43" customFormat="1" ht="22" customHeight="1" spans="1:17">
      <c r="A43" s="10"/>
      <c r="B43" s="11"/>
      <c r="C43" s="34"/>
      <c r="D43" s="34"/>
      <c r="E43" s="35"/>
      <c r="F43" s="35"/>
      <c r="G43" s="36"/>
      <c r="H43" s="22"/>
    </row>
    <row r="44" customFormat="1" ht="22" customHeight="1" spans="1:17">
      <c r="E44">
        <f t="shared" ref="E44:I44" si="3">SUM(E3:E43)</f>
        <v>51</v>
      </c>
      <c r="F44">
        <f t="shared" si="3"/>
        <v>66</v>
      </c>
      <c r="I44">
        <f t="shared" si="3"/>
        <v>117</v>
      </c>
    </row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 spans="10:16">
      <c r="J56" s="10"/>
      <c r="K56" s="11"/>
      <c r="L56" s="12"/>
      <c r="M56" s="12"/>
      <c r="N56" s="13"/>
      <c r="O56" s="13"/>
      <c r="P56" s="21"/>
    </row>
    <row r="57" ht="22" customHeight="1" spans="10:16">
      <c r="K57" s="37"/>
      <c r="L57" s="37"/>
      <c r="M57" s="37"/>
      <c r="N57" s="38"/>
      <c r="O57" s="38"/>
    </row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customFormat="1" ht="22" customHeight="1" spans="1:8">
      <c r="A66" s="10"/>
      <c r="B66" s="11"/>
      <c r="C66" s="12"/>
      <c r="D66" s="12"/>
      <c r="E66" s="13"/>
      <c r="F66" s="13"/>
      <c r="G66" s="21"/>
      <c r="H66" s="22"/>
    </row>
    <row r="67" customFormat="1" ht="21" customHeight="1" spans="1:8">
      <c r="B67" s="37"/>
      <c r="C67" s="37"/>
      <c r="D67" s="37"/>
      <c r="E67" s="38">
        <f>SUM(E3:E66)</f>
        <v>102</v>
      </c>
      <c r="F67" s="38">
        <f>SUM(F3:F66)</f>
        <v>132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6"/>
  <sheetViews>
    <sheetView topLeftCell="C1" workbookViewId="0">
      <pane ySplit="2" topLeftCell="A29" activePane="bottomLeft" state="frozen"/>
      <selection/>
      <selection pane="bottomLeft" activeCell="N42" sqref="E43:F43 N42:O42"/>
    </sheetView>
  </sheetViews>
  <sheetFormatPr defaultColWidth="9.14285714285714" defaultRowHeight="12"/>
  <cols>
    <col min="1" max="1" width="9.28571428571429" customWidth="1"/>
    <col min="2" max="2" width="14.4285714285714" customWidth="1"/>
    <col min="3" max="3" width="16.8571428571429" customWidth="1"/>
    <col min="4" max="6" width="12.1428571428571" customWidth="1"/>
    <col min="7" max="7" width="31.4285714285714" customWidth="1"/>
    <col min="8" max="8" width="13.1428571428571" customWidth="1"/>
    <col min="10" max="10" width="8.28571428571429" customWidth="1"/>
    <col min="11" max="11" width="11.2857142857143" customWidth="1"/>
    <col min="12" max="12" width="13.7142857142857" customWidth="1"/>
    <col min="13" max="13" width="11" customWidth="1"/>
    <col min="14" max="15" width="8" customWidth="1"/>
    <col min="16" max="16" width="32.4285714285714" customWidth="1"/>
  </cols>
  <sheetData>
    <row r="1" customFormat="1" ht="38" customHeight="1" spans="1:17">
      <c r="A1" s="2" t="s">
        <v>136</v>
      </c>
      <c r="B1" s="2"/>
      <c r="C1" s="2"/>
      <c r="D1" s="2"/>
      <c r="E1" s="2"/>
      <c r="F1" s="3"/>
      <c r="G1" s="4"/>
      <c r="H1" s="5"/>
      <c r="J1" s="2" t="s">
        <v>145</v>
      </c>
      <c r="K1" s="2"/>
      <c r="L1" s="2"/>
      <c r="M1" s="2"/>
      <c r="N1" s="2"/>
      <c r="O1" s="3"/>
      <c r="P1" s="4"/>
    </row>
    <row r="2" s="1" customFormat="1" ht="32" customHeight="1" spans="1:17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H2" s="9"/>
      <c r="J2" s="6" t="s">
        <v>1</v>
      </c>
      <c r="K2" s="6" t="s">
        <v>98</v>
      </c>
      <c r="L2" s="6" t="s">
        <v>99</v>
      </c>
      <c r="M2" s="7" t="s">
        <v>137</v>
      </c>
      <c r="N2" s="8" t="s">
        <v>138</v>
      </c>
      <c r="O2" s="8" t="s">
        <v>139</v>
      </c>
      <c r="P2" s="8" t="s">
        <v>9</v>
      </c>
      <c r="Q2"/>
    </row>
    <row r="3" customFormat="1" ht="22" customHeight="1" spans="1:17">
      <c r="A3" s="10">
        <v>1</v>
      </c>
      <c r="B3" s="11">
        <v>46114</v>
      </c>
      <c r="C3" s="12" t="s">
        <v>102</v>
      </c>
      <c r="D3" s="12" t="s">
        <v>146</v>
      </c>
      <c r="E3" s="13">
        <v>1</v>
      </c>
      <c r="F3" s="13">
        <v>1</v>
      </c>
      <c r="G3" s="14"/>
      <c r="H3" s="15"/>
      <c r="J3" s="16">
        <v>1</v>
      </c>
      <c r="K3" s="11">
        <v>46114</v>
      </c>
      <c r="L3" s="12" t="s">
        <v>53</v>
      </c>
      <c r="M3" s="12" t="s">
        <v>146</v>
      </c>
      <c r="N3" s="13">
        <v>1</v>
      </c>
      <c r="O3" s="13">
        <v>1</v>
      </c>
      <c r="P3" s="14" t="s">
        <v>12</v>
      </c>
    </row>
    <row r="4" customFormat="1" ht="22" customHeight="1" spans="1:17">
      <c r="A4" s="10">
        <v>2</v>
      </c>
      <c r="B4" s="11">
        <v>46114</v>
      </c>
      <c r="C4" s="12" t="s">
        <v>103</v>
      </c>
      <c r="D4" s="12" t="s">
        <v>146</v>
      </c>
      <c r="E4" s="17"/>
      <c r="F4" s="13">
        <v>2</v>
      </c>
      <c r="G4" s="18"/>
      <c r="H4" s="19"/>
      <c r="J4" s="16">
        <v>2</v>
      </c>
      <c r="K4" s="11">
        <v>46114</v>
      </c>
      <c r="L4" s="12" t="s">
        <v>57</v>
      </c>
      <c r="M4" s="12" t="s">
        <v>146</v>
      </c>
      <c r="N4" s="17">
        <v>2</v>
      </c>
      <c r="O4" s="13"/>
      <c r="P4" s="18"/>
    </row>
    <row r="5" customFormat="1" ht="22" customHeight="1" spans="1:17">
      <c r="A5" s="10">
        <v>3</v>
      </c>
      <c r="B5" s="11">
        <v>46114</v>
      </c>
      <c r="C5" s="12" t="s">
        <v>104</v>
      </c>
      <c r="D5" s="12" t="s">
        <v>146</v>
      </c>
      <c r="E5" s="13"/>
      <c r="F5" s="13">
        <v>2</v>
      </c>
      <c r="G5" s="18"/>
      <c r="H5" s="19"/>
      <c r="J5" s="16">
        <v>3</v>
      </c>
      <c r="K5" s="11">
        <v>46114</v>
      </c>
      <c r="L5" s="12" t="s">
        <v>59</v>
      </c>
      <c r="M5" s="12" t="s">
        <v>146</v>
      </c>
      <c r="N5" s="17">
        <v>1</v>
      </c>
      <c r="O5" s="13">
        <v>1</v>
      </c>
      <c r="P5" s="20" t="s">
        <v>154</v>
      </c>
    </row>
    <row r="6" customFormat="1" ht="22" customHeight="1" spans="1:17">
      <c r="A6" s="10">
        <v>4</v>
      </c>
      <c r="B6" s="11">
        <v>46114</v>
      </c>
      <c r="C6" s="12" t="s">
        <v>105</v>
      </c>
      <c r="D6" s="12" t="s">
        <v>146</v>
      </c>
      <c r="E6" s="13"/>
      <c r="F6" s="13">
        <v>2</v>
      </c>
      <c r="G6" s="18"/>
      <c r="H6" s="19"/>
      <c r="J6" s="16">
        <v>4</v>
      </c>
      <c r="K6" s="11">
        <v>46114</v>
      </c>
      <c r="L6" s="12" t="s">
        <v>60</v>
      </c>
      <c r="M6" s="12" t="s">
        <v>146</v>
      </c>
      <c r="N6" s="13"/>
      <c r="O6" s="17">
        <v>2</v>
      </c>
      <c r="P6" s="18" t="s">
        <v>61</v>
      </c>
    </row>
    <row r="7" customFormat="1" ht="22" customHeight="1" spans="1:17">
      <c r="A7" s="10">
        <v>5</v>
      </c>
      <c r="B7" s="11">
        <v>46114</v>
      </c>
      <c r="C7" s="12" t="s">
        <v>106</v>
      </c>
      <c r="D7" s="12" t="s">
        <v>146</v>
      </c>
      <c r="E7" s="13"/>
      <c r="F7" s="13">
        <v>2</v>
      </c>
      <c r="G7" s="18"/>
      <c r="H7" s="19"/>
      <c r="J7" s="16">
        <v>5</v>
      </c>
      <c r="K7" s="11">
        <v>46114</v>
      </c>
      <c r="L7" s="12" t="s">
        <v>62</v>
      </c>
      <c r="M7" s="12" t="s">
        <v>146</v>
      </c>
      <c r="N7" s="13"/>
      <c r="O7" s="17">
        <v>2</v>
      </c>
      <c r="P7" s="18" t="s">
        <v>5</v>
      </c>
    </row>
    <row r="8" customFormat="1" ht="22" customHeight="1" spans="1:17">
      <c r="A8" s="10">
        <v>6</v>
      </c>
      <c r="B8" s="11">
        <v>46114</v>
      </c>
      <c r="C8" s="12" t="s">
        <v>107</v>
      </c>
      <c r="D8" s="12" t="s">
        <v>146</v>
      </c>
      <c r="E8" s="13">
        <v>2</v>
      </c>
      <c r="F8" s="13"/>
      <c r="G8" s="18"/>
      <c r="H8" s="19"/>
      <c r="J8" s="16">
        <v>6</v>
      </c>
      <c r="K8" s="11">
        <v>46114</v>
      </c>
      <c r="L8" s="12" t="s">
        <v>64</v>
      </c>
      <c r="M8" s="12" t="s">
        <v>146</v>
      </c>
      <c r="N8" s="13"/>
      <c r="O8" s="17">
        <v>2</v>
      </c>
      <c r="P8" s="18" t="s">
        <v>5</v>
      </c>
    </row>
    <row r="9" customFormat="1" ht="22" customHeight="1" spans="1:17">
      <c r="A9" s="10">
        <v>7</v>
      </c>
      <c r="B9" s="11">
        <v>46114</v>
      </c>
      <c r="C9" s="12" t="s">
        <v>108</v>
      </c>
      <c r="D9" s="12" t="s">
        <v>146</v>
      </c>
      <c r="E9" s="13">
        <v>2</v>
      </c>
      <c r="F9" s="13"/>
      <c r="G9" s="21"/>
      <c r="H9" s="22"/>
      <c r="J9" s="16">
        <v>7</v>
      </c>
      <c r="K9" s="11">
        <v>46114</v>
      </c>
      <c r="L9" s="12" t="s">
        <v>65</v>
      </c>
      <c r="M9" s="12" t="s">
        <v>146</v>
      </c>
      <c r="N9" s="13"/>
      <c r="O9" s="17">
        <v>2</v>
      </c>
      <c r="P9" s="21" t="s">
        <v>5</v>
      </c>
    </row>
    <row r="10" customFormat="1" ht="22" customHeight="1" spans="1:17">
      <c r="A10" s="10">
        <v>8</v>
      </c>
      <c r="B10" s="11">
        <v>46114</v>
      </c>
      <c r="C10" s="12" t="s">
        <v>109</v>
      </c>
      <c r="D10" s="12" t="s">
        <v>146</v>
      </c>
      <c r="E10" s="13"/>
      <c r="F10" s="13">
        <v>2</v>
      </c>
      <c r="G10" s="21"/>
      <c r="H10" s="22"/>
      <c r="J10" s="16">
        <v>8</v>
      </c>
      <c r="K10" s="11">
        <v>46114</v>
      </c>
      <c r="L10" s="12" t="s">
        <v>67</v>
      </c>
      <c r="M10" s="12" t="s">
        <v>146</v>
      </c>
      <c r="N10" s="17">
        <v>2</v>
      </c>
      <c r="O10" s="13"/>
      <c r="P10" s="21"/>
    </row>
    <row r="11" customFormat="1" ht="22" customHeight="1" spans="1:17">
      <c r="A11" s="10">
        <v>9</v>
      </c>
      <c r="B11" s="11">
        <v>46114</v>
      </c>
      <c r="C11" s="12" t="s">
        <v>110</v>
      </c>
      <c r="D11" s="12" t="s">
        <v>146</v>
      </c>
      <c r="E11" s="13"/>
      <c r="F11" s="13">
        <v>2</v>
      </c>
      <c r="G11" s="21"/>
      <c r="H11" s="22"/>
      <c r="J11" s="16">
        <v>9</v>
      </c>
      <c r="K11" s="11">
        <v>46114</v>
      </c>
      <c r="L11" s="12" t="s">
        <v>69</v>
      </c>
      <c r="M11" s="12" t="s">
        <v>146</v>
      </c>
      <c r="N11" s="17">
        <v>2</v>
      </c>
      <c r="O11" s="13"/>
      <c r="P11" s="21"/>
    </row>
    <row r="12" customFormat="1" ht="22" customHeight="1" spans="1:17">
      <c r="A12" s="10">
        <v>10</v>
      </c>
      <c r="B12" s="11">
        <v>46114</v>
      </c>
      <c r="C12" s="12" t="s">
        <v>111</v>
      </c>
      <c r="D12" s="12" t="s">
        <v>146</v>
      </c>
      <c r="E12" s="13">
        <v>2</v>
      </c>
      <c r="F12" s="13"/>
      <c r="G12" s="21"/>
      <c r="H12" s="22"/>
      <c r="J12" s="16">
        <v>10</v>
      </c>
      <c r="K12" s="11">
        <v>46114</v>
      </c>
      <c r="L12" s="12" t="s">
        <v>70</v>
      </c>
      <c r="M12" s="12" t="s">
        <v>146</v>
      </c>
      <c r="N12" s="13"/>
      <c r="O12" s="17">
        <v>2</v>
      </c>
      <c r="P12" s="21" t="s">
        <v>71</v>
      </c>
    </row>
    <row r="13" customFormat="1" ht="22" customHeight="1" spans="1:17">
      <c r="A13" s="10">
        <v>11</v>
      </c>
      <c r="B13" s="11">
        <v>46114</v>
      </c>
      <c r="C13" s="12" t="s">
        <v>112</v>
      </c>
      <c r="D13" s="12" t="s">
        <v>146</v>
      </c>
      <c r="E13" s="13">
        <v>1</v>
      </c>
      <c r="F13" s="13">
        <v>1</v>
      </c>
      <c r="G13" s="21"/>
      <c r="H13" s="22"/>
      <c r="J13" s="16">
        <v>11</v>
      </c>
      <c r="K13" s="11">
        <v>46114</v>
      </c>
      <c r="L13" s="12" t="s">
        <v>72</v>
      </c>
      <c r="M13" s="12" t="s">
        <v>146</v>
      </c>
      <c r="N13" s="17">
        <v>2</v>
      </c>
      <c r="O13" s="13"/>
      <c r="P13" s="21"/>
    </row>
    <row r="14" customFormat="1" ht="22" customHeight="1" spans="1:17">
      <c r="A14" s="10">
        <v>12</v>
      </c>
      <c r="B14" s="11">
        <v>46114</v>
      </c>
      <c r="C14" s="12" t="s">
        <v>113</v>
      </c>
      <c r="D14" s="12" t="s">
        <v>146</v>
      </c>
      <c r="E14" s="13">
        <v>1</v>
      </c>
      <c r="F14" s="13">
        <v>1</v>
      </c>
      <c r="G14" s="21"/>
      <c r="H14" s="22"/>
      <c r="J14" s="16">
        <v>12</v>
      </c>
      <c r="K14" s="11">
        <v>46114</v>
      </c>
      <c r="L14" s="12" t="s">
        <v>73</v>
      </c>
      <c r="M14" s="12" t="s">
        <v>146</v>
      </c>
      <c r="N14" s="17">
        <v>2</v>
      </c>
      <c r="O14" s="13"/>
      <c r="P14" s="21"/>
    </row>
    <row r="15" customFormat="1" ht="22" customHeight="1" spans="1:17">
      <c r="A15" s="10">
        <v>13</v>
      </c>
      <c r="B15" s="11">
        <v>46114</v>
      </c>
      <c r="C15" s="12" t="s">
        <v>114</v>
      </c>
      <c r="D15" s="12" t="s">
        <v>146</v>
      </c>
      <c r="E15" s="13">
        <v>1</v>
      </c>
      <c r="F15" s="13">
        <v>1</v>
      </c>
      <c r="G15" s="21"/>
      <c r="H15" s="22"/>
      <c r="J15" s="16">
        <v>13</v>
      </c>
      <c r="K15" s="11">
        <v>46114</v>
      </c>
      <c r="L15" s="12" t="s">
        <v>74</v>
      </c>
      <c r="M15" s="12" t="s">
        <v>146</v>
      </c>
      <c r="N15" s="13">
        <v>1</v>
      </c>
      <c r="O15" s="13">
        <v>1</v>
      </c>
      <c r="P15" s="21" t="s">
        <v>76</v>
      </c>
    </row>
    <row r="16" customFormat="1" ht="22" customHeight="1" spans="1:17">
      <c r="A16" s="10">
        <v>14</v>
      </c>
      <c r="B16" s="11">
        <v>46114</v>
      </c>
      <c r="C16" s="12" t="s">
        <v>115</v>
      </c>
      <c r="D16" s="12" t="s">
        <v>146</v>
      </c>
      <c r="E16" s="13">
        <v>2</v>
      </c>
      <c r="F16" s="13"/>
      <c r="G16" s="21"/>
      <c r="H16" s="22"/>
      <c r="J16" s="16">
        <v>14</v>
      </c>
      <c r="K16" s="11">
        <v>46114</v>
      </c>
      <c r="L16" s="12" t="s">
        <v>77</v>
      </c>
      <c r="M16" s="12" t="s">
        <v>146</v>
      </c>
      <c r="N16" s="13">
        <v>1</v>
      </c>
      <c r="O16" s="13">
        <v>1</v>
      </c>
      <c r="P16" s="21" t="s">
        <v>78</v>
      </c>
    </row>
    <row r="17" customFormat="1" ht="22" customHeight="1" spans="1:16">
      <c r="A17" s="10">
        <v>15</v>
      </c>
      <c r="B17" s="11">
        <v>46114</v>
      </c>
      <c r="C17" s="12" t="s">
        <v>116</v>
      </c>
      <c r="D17" s="12" t="s">
        <v>146</v>
      </c>
      <c r="E17" s="13">
        <v>2</v>
      </c>
      <c r="F17" s="13"/>
      <c r="G17" s="21"/>
      <c r="H17" s="22"/>
      <c r="J17" s="16">
        <v>15</v>
      </c>
      <c r="K17" s="11">
        <v>46114</v>
      </c>
      <c r="L17" s="12" t="s">
        <v>79</v>
      </c>
      <c r="M17" s="12" t="s">
        <v>146</v>
      </c>
      <c r="N17" s="17">
        <v>2</v>
      </c>
      <c r="O17" s="13"/>
      <c r="P17" s="21"/>
    </row>
    <row r="18" customFormat="1" ht="22" customHeight="1" spans="1:16">
      <c r="A18" s="10">
        <v>16</v>
      </c>
      <c r="B18" s="11">
        <v>46114</v>
      </c>
      <c r="C18" s="12" t="s">
        <v>117</v>
      </c>
      <c r="D18" s="12" t="s">
        <v>146</v>
      </c>
      <c r="E18" s="13"/>
      <c r="F18" s="13">
        <v>2</v>
      </c>
      <c r="G18" s="21"/>
      <c r="H18" s="22"/>
      <c r="J18" s="16">
        <v>16</v>
      </c>
      <c r="K18" s="11">
        <v>46114</v>
      </c>
      <c r="L18" s="12" t="s">
        <v>81</v>
      </c>
      <c r="M18" s="12" t="s">
        <v>146</v>
      </c>
      <c r="N18" s="13">
        <v>1</v>
      </c>
      <c r="O18" s="13">
        <v>1</v>
      </c>
      <c r="P18" s="21" t="s">
        <v>82</v>
      </c>
    </row>
    <row r="19" customFormat="1" ht="22" customHeight="1" spans="1:16">
      <c r="A19" s="10">
        <v>17</v>
      </c>
      <c r="B19" s="11">
        <v>46114</v>
      </c>
      <c r="C19" s="12" t="s">
        <v>118</v>
      </c>
      <c r="D19" s="12" t="s">
        <v>146</v>
      </c>
      <c r="E19" s="13">
        <v>1</v>
      </c>
      <c r="F19" s="13">
        <v>1</v>
      </c>
      <c r="G19" s="21"/>
      <c r="H19" s="22"/>
      <c r="J19" s="16">
        <v>17</v>
      </c>
      <c r="K19" s="11">
        <v>46114</v>
      </c>
      <c r="L19" s="12" t="s">
        <v>83</v>
      </c>
      <c r="M19" s="12" t="s">
        <v>146</v>
      </c>
      <c r="N19" s="13">
        <v>1</v>
      </c>
      <c r="O19" s="13">
        <v>1</v>
      </c>
      <c r="P19" s="21" t="s">
        <v>84</v>
      </c>
    </row>
    <row r="20" customFormat="1" ht="22" customHeight="1" spans="1:16">
      <c r="A20" s="10">
        <v>18</v>
      </c>
      <c r="B20" s="11">
        <v>46114</v>
      </c>
      <c r="C20" s="12" t="s">
        <v>119</v>
      </c>
      <c r="D20" s="12" t="s">
        <v>146</v>
      </c>
      <c r="E20" s="13">
        <v>2</v>
      </c>
      <c r="F20" s="13"/>
      <c r="G20" s="21"/>
      <c r="H20" s="22"/>
      <c r="J20" s="16">
        <v>18</v>
      </c>
      <c r="K20" s="11">
        <v>46114</v>
      </c>
      <c r="L20" s="12" t="s">
        <v>85</v>
      </c>
      <c r="M20" s="12" t="s">
        <v>146</v>
      </c>
      <c r="N20" s="17">
        <v>1</v>
      </c>
      <c r="O20" s="13">
        <v>1</v>
      </c>
      <c r="P20" s="20" t="s">
        <v>154</v>
      </c>
    </row>
    <row r="21" customFormat="1" ht="22" customHeight="1" spans="1:16">
      <c r="A21" s="10">
        <v>19</v>
      </c>
      <c r="B21" s="11">
        <v>46114</v>
      </c>
      <c r="C21" s="12" t="s">
        <v>120</v>
      </c>
      <c r="D21" s="12" t="s">
        <v>146</v>
      </c>
      <c r="E21" s="13"/>
      <c r="F21" s="13">
        <v>2</v>
      </c>
      <c r="G21" s="21"/>
      <c r="H21" s="22"/>
      <c r="J21" s="16">
        <v>19</v>
      </c>
      <c r="K21" s="11">
        <v>46114</v>
      </c>
      <c r="L21" s="12" t="s">
        <v>86</v>
      </c>
      <c r="M21" s="12" t="s">
        <v>146</v>
      </c>
      <c r="N21" s="17">
        <v>1</v>
      </c>
      <c r="O21" s="13">
        <v>1</v>
      </c>
      <c r="P21" s="20" t="s">
        <v>154</v>
      </c>
    </row>
    <row r="22" customFormat="1" ht="22" customHeight="1" spans="1:16">
      <c r="A22" s="10">
        <v>20</v>
      </c>
      <c r="B22" s="11">
        <v>46114</v>
      </c>
      <c r="C22" s="12" t="s">
        <v>121</v>
      </c>
      <c r="D22" s="12" t="s">
        <v>146</v>
      </c>
      <c r="E22" s="13"/>
      <c r="F22" s="13">
        <v>2</v>
      </c>
      <c r="G22" s="21"/>
      <c r="H22" s="22"/>
      <c r="J22" s="16">
        <v>20</v>
      </c>
      <c r="K22" s="11">
        <v>46114</v>
      </c>
      <c r="L22" s="12" t="s">
        <v>87</v>
      </c>
      <c r="M22" s="12" t="s">
        <v>146</v>
      </c>
      <c r="N22" s="17">
        <v>2</v>
      </c>
      <c r="O22" s="13"/>
      <c r="P22" s="20"/>
    </row>
    <row r="23" customFormat="1" ht="22" customHeight="1" spans="1:16">
      <c r="A23" s="10">
        <v>21</v>
      </c>
      <c r="B23" s="11">
        <v>46114</v>
      </c>
      <c r="C23" s="12" t="s">
        <v>122</v>
      </c>
      <c r="D23" s="12" t="s">
        <v>146</v>
      </c>
      <c r="E23" s="13"/>
      <c r="F23" s="13">
        <v>2</v>
      </c>
      <c r="G23" s="21"/>
      <c r="H23" s="22"/>
      <c r="J23" s="16">
        <v>21</v>
      </c>
      <c r="K23" s="11">
        <v>46114</v>
      </c>
      <c r="L23" s="12" t="s">
        <v>88</v>
      </c>
      <c r="M23" s="12" t="s">
        <v>146</v>
      </c>
      <c r="N23" s="13"/>
      <c r="O23" s="17">
        <v>2</v>
      </c>
      <c r="P23" s="21" t="s">
        <v>89</v>
      </c>
    </row>
    <row r="24" customFormat="1" ht="22" customHeight="1" spans="1:16">
      <c r="A24" s="10">
        <v>22</v>
      </c>
      <c r="B24" s="11">
        <v>46114</v>
      </c>
      <c r="C24" s="12" t="s">
        <v>23</v>
      </c>
      <c r="D24" s="12" t="s">
        <v>146</v>
      </c>
      <c r="E24" s="13"/>
      <c r="F24" s="13">
        <v>2</v>
      </c>
      <c r="G24" s="21"/>
      <c r="H24" s="22"/>
      <c r="J24" s="16">
        <v>22</v>
      </c>
      <c r="K24" s="11">
        <v>46114</v>
      </c>
      <c r="L24" s="12" t="s">
        <v>90</v>
      </c>
      <c r="M24" s="12" t="s">
        <v>146</v>
      </c>
      <c r="N24" s="17">
        <v>2</v>
      </c>
      <c r="O24" s="13"/>
      <c r="P24" s="23" t="s">
        <v>155</v>
      </c>
    </row>
    <row r="25" customFormat="1" ht="22" customHeight="1" spans="1:16">
      <c r="A25" s="10">
        <v>23</v>
      </c>
      <c r="B25" s="11">
        <v>46114</v>
      </c>
      <c r="C25" s="12" t="s">
        <v>24</v>
      </c>
      <c r="D25" s="12" t="s">
        <v>146</v>
      </c>
      <c r="E25" s="13"/>
      <c r="F25" s="13">
        <v>2</v>
      </c>
      <c r="G25" s="21"/>
      <c r="H25" s="22"/>
      <c r="J25" s="16">
        <v>23</v>
      </c>
      <c r="K25" s="11">
        <v>46114</v>
      </c>
      <c r="L25" s="12" t="s">
        <v>91</v>
      </c>
      <c r="M25" s="12" t="s">
        <v>146</v>
      </c>
      <c r="N25" s="13">
        <v>1</v>
      </c>
      <c r="O25" s="13">
        <v>1</v>
      </c>
      <c r="P25" s="21" t="s">
        <v>148</v>
      </c>
    </row>
    <row r="26" customFormat="1" ht="22" customHeight="1" spans="1:16">
      <c r="A26" s="10">
        <v>24</v>
      </c>
      <c r="B26" s="11">
        <v>46114</v>
      </c>
      <c r="C26" s="12" t="s">
        <v>25</v>
      </c>
      <c r="D26" s="12" t="s">
        <v>146</v>
      </c>
      <c r="E26" s="13">
        <v>1</v>
      </c>
      <c r="F26" s="13">
        <v>1</v>
      </c>
      <c r="G26" s="21"/>
      <c r="H26" s="22"/>
      <c r="J26" s="16">
        <v>24</v>
      </c>
      <c r="K26" s="11">
        <v>46114</v>
      </c>
      <c r="L26" s="12" t="s">
        <v>93</v>
      </c>
      <c r="M26" s="12" t="s">
        <v>146</v>
      </c>
      <c r="N26" s="13"/>
      <c r="O26" s="17">
        <v>2</v>
      </c>
      <c r="P26" s="21" t="s">
        <v>94</v>
      </c>
    </row>
    <row r="27" customFormat="1" ht="22" customHeight="1" spans="1:16">
      <c r="A27" s="10">
        <v>25</v>
      </c>
      <c r="B27" s="11">
        <v>46114</v>
      </c>
      <c r="C27" s="12" t="s">
        <v>26</v>
      </c>
      <c r="D27" s="12" t="s">
        <v>146</v>
      </c>
      <c r="E27" s="13">
        <v>2</v>
      </c>
      <c r="F27" s="13"/>
      <c r="G27" s="21"/>
      <c r="H27" s="22"/>
      <c r="J27" s="16">
        <v>25</v>
      </c>
      <c r="K27" s="11">
        <v>46114</v>
      </c>
      <c r="L27" s="24" t="s">
        <v>134</v>
      </c>
      <c r="M27" s="12" t="s">
        <v>146</v>
      </c>
      <c r="N27" s="17">
        <v>2</v>
      </c>
      <c r="O27" s="13"/>
      <c r="P27" s="21"/>
    </row>
    <row r="28" customFormat="1" ht="22" customHeight="1" spans="1:16">
      <c r="A28" s="10">
        <v>26</v>
      </c>
      <c r="B28" s="11">
        <v>46114</v>
      </c>
      <c r="C28" s="12" t="s">
        <v>27</v>
      </c>
      <c r="D28" s="12" t="s">
        <v>146</v>
      </c>
      <c r="E28" s="13">
        <v>2</v>
      </c>
      <c r="F28" s="13"/>
      <c r="G28" s="21"/>
      <c r="H28" s="22"/>
      <c r="J28" s="16">
        <v>26</v>
      </c>
      <c r="K28" s="11">
        <v>46114</v>
      </c>
      <c r="L28" s="25" t="s">
        <v>135</v>
      </c>
      <c r="M28" s="12" t="s">
        <v>146</v>
      </c>
      <c r="N28" s="13"/>
      <c r="O28" s="17">
        <v>2</v>
      </c>
      <c r="P28" s="21" t="s">
        <v>94</v>
      </c>
    </row>
    <row r="29" customFormat="1" ht="22" customHeight="1" spans="1:16">
      <c r="A29" s="10">
        <v>27</v>
      </c>
      <c r="B29" s="11">
        <v>46114</v>
      </c>
      <c r="C29" s="12" t="s">
        <v>33</v>
      </c>
      <c r="D29" s="12" t="s">
        <v>146</v>
      </c>
      <c r="E29" s="13">
        <v>2</v>
      </c>
      <c r="F29" s="13"/>
      <c r="G29" s="21"/>
      <c r="H29" s="22"/>
      <c r="J29" s="16"/>
      <c r="K29" s="11"/>
      <c r="L29" s="12"/>
      <c r="M29" s="12"/>
      <c r="N29" s="13"/>
      <c r="O29" s="13"/>
      <c r="P29" s="21"/>
    </row>
    <row r="30" customFormat="1" ht="22" customHeight="1" spans="1:16">
      <c r="A30" s="10">
        <v>28</v>
      </c>
      <c r="B30" s="11">
        <v>46114</v>
      </c>
      <c r="C30" s="12" t="s">
        <v>35</v>
      </c>
      <c r="D30" s="12" t="s">
        <v>146</v>
      </c>
      <c r="E30" s="13"/>
      <c r="F30" s="13">
        <v>2</v>
      </c>
      <c r="G30" s="21"/>
      <c r="H30" s="22"/>
      <c r="J30" s="16"/>
      <c r="K30" s="11"/>
      <c r="L30" s="12"/>
      <c r="M30" s="12"/>
      <c r="N30" s="13"/>
      <c r="O30" s="13"/>
      <c r="P30" s="21"/>
    </row>
    <row r="31" customFormat="1" ht="22" customHeight="1" spans="1:16">
      <c r="A31" s="10">
        <v>29</v>
      </c>
      <c r="B31" s="11">
        <v>46114</v>
      </c>
      <c r="C31" s="12" t="s">
        <v>123</v>
      </c>
      <c r="D31" s="12" t="s">
        <v>146</v>
      </c>
      <c r="E31" s="13">
        <v>2</v>
      </c>
      <c r="F31" s="13"/>
      <c r="G31" s="21"/>
      <c r="H31" s="22"/>
      <c r="J31" s="16"/>
      <c r="K31" s="11"/>
      <c r="L31" s="12"/>
      <c r="M31" s="12"/>
      <c r="N31" s="13"/>
      <c r="O31" s="13"/>
      <c r="P31" s="21"/>
    </row>
    <row r="32" customFormat="1" ht="22" customHeight="1" spans="1:16">
      <c r="A32" s="10">
        <v>30</v>
      </c>
      <c r="B32" s="11">
        <v>46114</v>
      </c>
      <c r="C32" s="12" t="s">
        <v>124</v>
      </c>
      <c r="D32" s="12" t="s">
        <v>146</v>
      </c>
      <c r="E32" s="13"/>
      <c r="F32" s="13">
        <v>2</v>
      </c>
      <c r="G32" s="21"/>
      <c r="H32" s="22"/>
      <c r="J32" s="16"/>
      <c r="K32" s="11"/>
      <c r="L32" s="12"/>
      <c r="M32" s="12"/>
      <c r="N32" s="13"/>
      <c r="O32" s="13"/>
      <c r="P32" s="21"/>
    </row>
    <row r="33" customFormat="1" ht="22" customHeight="1" spans="1:16">
      <c r="A33" s="10">
        <v>31</v>
      </c>
      <c r="B33" s="11">
        <v>46114</v>
      </c>
      <c r="C33" s="12" t="s">
        <v>125</v>
      </c>
      <c r="D33" s="12" t="s">
        <v>146</v>
      </c>
      <c r="E33" s="13">
        <v>2</v>
      </c>
      <c r="F33" s="13"/>
      <c r="G33" s="21"/>
      <c r="H33" s="22"/>
      <c r="J33" s="16"/>
      <c r="K33" s="11"/>
      <c r="L33" s="12"/>
      <c r="M33" s="12"/>
      <c r="N33" s="13"/>
      <c r="O33" s="13"/>
      <c r="P33" s="21"/>
    </row>
    <row r="34" customFormat="1" ht="22" customHeight="1" spans="1:16">
      <c r="A34" s="10">
        <v>32</v>
      </c>
      <c r="B34" s="11">
        <v>46114</v>
      </c>
      <c r="C34" s="12" t="s">
        <v>29</v>
      </c>
      <c r="D34" s="12" t="s">
        <v>146</v>
      </c>
      <c r="E34" s="13"/>
      <c r="F34" s="13">
        <v>2</v>
      </c>
      <c r="G34" s="21"/>
      <c r="H34" s="22"/>
      <c r="J34" s="16"/>
      <c r="K34" s="11"/>
      <c r="L34" s="12"/>
      <c r="M34" s="12"/>
      <c r="N34" s="13"/>
      <c r="O34" s="13"/>
      <c r="P34" s="21"/>
    </row>
    <row r="35" customFormat="1" ht="22" customHeight="1" spans="1:16">
      <c r="A35" s="10">
        <v>33</v>
      </c>
      <c r="B35" s="11">
        <v>46114</v>
      </c>
      <c r="C35" s="12" t="s">
        <v>30</v>
      </c>
      <c r="D35" s="12" t="s">
        <v>146</v>
      </c>
      <c r="E35" s="13">
        <v>2</v>
      </c>
      <c r="F35" s="13"/>
      <c r="G35" s="21"/>
      <c r="H35" s="22"/>
      <c r="J35" s="16"/>
      <c r="K35" s="11"/>
      <c r="L35" s="12"/>
      <c r="M35" s="12"/>
      <c r="N35" s="13"/>
      <c r="O35" s="13"/>
      <c r="P35" s="21"/>
    </row>
    <row r="36" customFormat="1" ht="22" customHeight="1" spans="1:16">
      <c r="A36" s="10">
        <v>34</v>
      </c>
      <c r="B36" s="11">
        <v>46114</v>
      </c>
      <c r="C36" s="12" t="s">
        <v>31</v>
      </c>
      <c r="D36" s="12" t="s">
        <v>146</v>
      </c>
      <c r="E36" s="13"/>
      <c r="F36" s="13">
        <v>2</v>
      </c>
      <c r="G36" s="21"/>
      <c r="H36" s="22"/>
      <c r="J36" s="16"/>
      <c r="K36" s="11"/>
      <c r="L36" s="12"/>
      <c r="M36" s="12"/>
      <c r="N36" s="13"/>
      <c r="O36" s="13"/>
      <c r="P36" s="21"/>
    </row>
    <row r="37" customFormat="1" ht="22" customHeight="1" spans="1:16">
      <c r="A37" s="10">
        <v>35</v>
      </c>
      <c r="B37" s="11">
        <v>46114</v>
      </c>
      <c r="C37" s="12" t="s">
        <v>126</v>
      </c>
      <c r="D37" s="12" t="s">
        <v>146</v>
      </c>
      <c r="E37" s="13"/>
      <c r="F37" s="13">
        <v>2</v>
      </c>
      <c r="G37" s="21"/>
      <c r="H37" s="22"/>
      <c r="J37" s="16"/>
      <c r="K37" s="11"/>
      <c r="L37" s="12"/>
      <c r="M37" s="12"/>
      <c r="N37" s="13"/>
      <c r="O37" s="13"/>
      <c r="P37" s="21"/>
    </row>
    <row r="38" customFormat="1" ht="22" customHeight="1" spans="1:16">
      <c r="A38" s="10">
        <v>36</v>
      </c>
      <c r="B38" s="11">
        <v>46114</v>
      </c>
      <c r="C38" s="12" t="s">
        <v>127</v>
      </c>
      <c r="D38" s="12" t="s">
        <v>146</v>
      </c>
      <c r="E38" s="13">
        <v>2</v>
      </c>
      <c r="F38" s="13"/>
      <c r="G38" s="21"/>
      <c r="H38" s="22"/>
      <c r="J38" s="16"/>
      <c r="K38" s="11"/>
      <c r="L38" s="12"/>
      <c r="M38" s="12"/>
      <c r="N38" s="13"/>
      <c r="O38" s="13"/>
      <c r="P38" s="21"/>
    </row>
    <row r="39" customFormat="1" ht="22" customHeight="1" spans="1:16">
      <c r="A39" s="10">
        <v>37</v>
      </c>
      <c r="B39" s="11">
        <v>46114</v>
      </c>
      <c r="C39" s="26" t="s">
        <v>132</v>
      </c>
      <c r="D39" s="27" t="s">
        <v>146</v>
      </c>
      <c r="E39" s="28">
        <v>1</v>
      </c>
      <c r="F39" s="28">
        <v>1</v>
      </c>
      <c r="G39" s="29" t="s">
        <v>143</v>
      </c>
      <c r="H39" t="s">
        <v>149</v>
      </c>
      <c r="J39" s="16"/>
      <c r="K39" s="11"/>
      <c r="L39" s="12"/>
      <c r="M39" s="12"/>
      <c r="N39" s="13"/>
      <c r="O39" s="13"/>
      <c r="P39" s="21"/>
    </row>
    <row r="40" customFormat="1" ht="22" customHeight="1" spans="1:16">
      <c r="A40" s="10">
        <v>38</v>
      </c>
      <c r="B40" s="11">
        <v>46114</v>
      </c>
      <c r="C40" s="30" t="s">
        <v>36</v>
      </c>
      <c r="D40" s="31" t="s">
        <v>146</v>
      </c>
      <c r="E40" s="32">
        <v>1</v>
      </c>
      <c r="F40" s="32">
        <v>1</v>
      </c>
      <c r="G40" s="21" t="s">
        <v>143</v>
      </c>
      <c r="H40" t="s">
        <v>149</v>
      </c>
      <c r="J40" s="16"/>
      <c r="K40" s="11"/>
      <c r="L40" s="12"/>
      <c r="M40" s="12"/>
      <c r="N40" s="13"/>
      <c r="O40" s="13"/>
      <c r="P40" s="21"/>
    </row>
    <row r="41" customFormat="1" ht="22" customHeight="1" spans="1:16">
      <c r="A41" s="10">
        <v>39</v>
      </c>
      <c r="B41" s="11">
        <v>46114</v>
      </c>
      <c r="C41" s="33" t="s">
        <v>133</v>
      </c>
      <c r="D41" s="31" t="s">
        <v>146</v>
      </c>
      <c r="E41" s="32">
        <v>1</v>
      </c>
      <c r="F41" s="32">
        <v>1</v>
      </c>
      <c r="G41" s="21" t="s">
        <v>150</v>
      </c>
      <c r="H41" t="s">
        <v>149</v>
      </c>
      <c r="J41" s="16"/>
      <c r="K41" s="11"/>
      <c r="L41" s="12"/>
      <c r="M41" s="12"/>
      <c r="N41" s="13"/>
      <c r="O41" s="13"/>
      <c r="P41" s="21"/>
    </row>
    <row r="42" customFormat="1" ht="22" customHeight="1" spans="1:16">
      <c r="A42" s="10"/>
      <c r="B42" s="11"/>
      <c r="C42" s="34"/>
      <c r="D42" s="34"/>
      <c r="E42" s="35"/>
      <c r="F42" s="35"/>
      <c r="G42" s="36"/>
      <c r="H42" s="22"/>
      <c r="N42" s="13">
        <f>SUM(N3:N41)</f>
        <v>27</v>
      </c>
      <c r="O42" s="13">
        <f>SUM(O3:O41)</f>
        <v>25</v>
      </c>
    </row>
    <row r="43" customFormat="1" ht="22" customHeight="1" spans="1:16">
      <c r="E43">
        <f>SUM(E3:E42)</f>
        <v>35</v>
      </c>
      <c r="F43">
        <f>SUM(F3:F42)</f>
        <v>43</v>
      </c>
    </row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customFormat="1" ht="22" customHeight="1" spans="10:16">
      <c r="J64" s="10"/>
      <c r="K64" s="11"/>
      <c r="L64" s="12"/>
      <c r="M64" s="12"/>
      <c r="N64" s="13"/>
      <c r="O64" s="13"/>
      <c r="P64" s="21"/>
    </row>
    <row r="65" customFormat="1" ht="22" customHeight="1" spans="1:15">
      <c r="A65" s="10"/>
      <c r="B65" s="11"/>
      <c r="C65" s="12"/>
      <c r="D65" s="12"/>
      <c r="E65" s="13"/>
      <c r="F65" s="13"/>
      <c r="G65" s="21"/>
      <c r="H65" s="22"/>
      <c r="K65" s="37"/>
      <c r="L65" s="37"/>
      <c r="M65" s="37"/>
      <c r="N65" s="38"/>
      <c r="O65" s="38"/>
    </row>
    <row r="66" customFormat="1" ht="21" customHeight="1" spans="1:15">
      <c r="B66" s="37"/>
      <c r="C66" s="37"/>
      <c r="D66" s="37"/>
      <c r="E66" s="38">
        <f>SUM(E3:E65)</f>
        <v>70</v>
      </c>
      <c r="F66" s="38">
        <f>SUM(F3:F65)</f>
        <v>86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"/>
  <sheetViews>
    <sheetView topLeftCell="C1" workbookViewId="0">
      <pane ySplit="2" topLeftCell="A3" activePane="bottomLeft" state="frozen"/>
      <selection/>
      <selection pane="bottomLeft" activeCell="H12" sqref="H12"/>
    </sheetView>
  </sheetViews>
  <sheetFormatPr defaultColWidth="9.14285714285714" defaultRowHeight="12"/>
  <cols>
    <col min="1" max="1" width="7.28571428571429" customWidth="1"/>
    <col min="2" max="2" width="14.4285714285714" customWidth="1"/>
    <col min="3" max="3" width="16.8571428571429" customWidth="1"/>
    <col min="4" max="4" width="12.1428571428571" customWidth="1"/>
    <col min="5" max="6" width="10" customWidth="1"/>
    <col min="7" max="7" width="31.4285714285714" customWidth="1"/>
    <col min="8" max="8" width="25.2857142857143" customWidth="1"/>
    <col min="10" max="10" width="8" customWidth="1"/>
    <col min="11" max="11" width="10.7142857142857" customWidth="1"/>
    <col min="12" max="12" width="14.5714285714286" customWidth="1"/>
    <col min="13" max="13" width="12.1428571428571" customWidth="1"/>
    <col min="14" max="15" width="7.71428571428571" customWidth="1"/>
    <col min="16" max="16" width="34" customWidth="1"/>
  </cols>
  <sheetData>
    <row r="1" customFormat="1" ht="25" customHeight="1" spans="1:17">
      <c r="A1" s="2" t="s">
        <v>136</v>
      </c>
      <c r="B1" s="2"/>
      <c r="C1" s="2"/>
      <c r="D1" s="2"/>
      <c r="E1" s="2"/>
      <c r="F1" s="3"/>
      <c r="G1" s="4"/>
      <c r="H1" s="42" t="s">
        <v>156</v>
      </c>
      <c r="J1" s="2" t="s">
        <v>145</v>
      </c>
      <c r="K1" s="2"/>
      <c r="L1" s="2"/>
      <c r="M1" s="2"/>
      <c r="N1" s="2"/>
      <c r="O1" s="3"/>
      <c r="P1" s="4"/>
    </row>
    <row r="2" s="1" customFormat="1" ht="25" customHeight="1" spans="1:17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H2" s="9"/>
      <c r="J2" s="6" t="s">
        <v>1</v>
      </c>
      <c r="K2" s="6" t="s">
        <v>98</v>
      </c>
      <c r="L2" s="6" t="s">
        <v>99</v>
      </c>
      <c r="M2" s="7" t="s">
        <v>137</v>
      </c>
      <c r="N2" s="8" t="s">
        <v>138</v>
      </c>
      <c r="O2" s="8" t="s">
        <v>139</v>
      </c>
      <c r="P2" s="8" t="s">
        <v>9</v>
      </c>
      <c r="Q2"/>
    </row>
    <row r="3" customFormat="1" ht="22" customHeight="1" spans="1:17">
      <c r="A3" s="10">
        <v>1</v>
      </c>
      <c r="B3" s="11">
        <v>46119</v>
      </c>
      <c r="C3" s="12" t="s">
        <v>102</v>
      </c>
      <c r="D3" s="12" t="s">
        <v>157</v>
      </c>
      <c r="E3" s="13">
        <v>2</v>
      </c>
      <c r="F3" s="13">
        <v>2</v>
      </c>
      <c r="G3" s="14"/>
      <c r="H3" s="15">
        <f t="shared" ref="H3:H38" si="0">SUM(E3:F3)</f>
        <v>4</v>
      </c>
      <c r="I3" s="15">
        <f t="shared" ref="I3:I41" si="1">SUM(E3:F3)</f>
        <v>4</v>
      </c>
      <c r="J3" s="16">
        <v>1</v>
      </c>
      <c r="K3" s="11">
        <v>46119</v>
      </c>
      <c r="L3" s="12" t="s">
        <v>53</v>
      </c>
      <c r="M3" s="12" t="s">
        <v>157</v>
      </c>
      <c r="N3" s="13">
        <v>2</v>
      </c>
      <c r="O3" s="13">
        <v>2</v>
      </c>
      <c r="P3" s="14" t="s">
        <v>12</v>
      </c>
      <c r="Q3">
        <f t="shared" ref="Q3:Q28" si="2">SUM(N3:O3)</f>
        <v>4</v>
      </c>
    </row>
    <row r="4" customFormat="1" ht="22" customHeight="1" spans="1:17">
      <c r="A4" s="10">
        <v>2</v>
      </c>
      <c r="B4" s="11">
        <v>46119</v>
      </c>
      <c r="C4" s="12" t="s">
        <v>103</v>
      </c>
      <c r="D4" s="12" t="s">
        <v>157</v>
      </c>
      <c r="E4" s="17"/>
      <c r="F4" s="13">
        <v>4</v>
      </c>
      <c r="G4" s="18"/>
      <c r="H4" s="15">
        <f t="shared" si="0"/>
        <v>4</v>
      </c>
      <c r="I4" s="15">
        <f t="shared" si="1"/>
        <v>4</v>
      </c>
      <c r="J4" s="16">
        <v>2</v>
      </c>
      <c r="K4" s="11">
        <v>46119</v>
      </c>
      <c r="L4" s="12" t="s">
        <v>57</v>
      </c>
      <c r="M4" s="12" t="s">
        <v>157</v>
      </c>
      <c r="N4" s="17">
        <v>4</v>
      </c>
      <c r="O4" s="13"/>
      <c r="P4" s="18"/>
      <c r="Q4">
        <f t="shared" si="2"/>
        <v>4</v>
      </c>
    </row>
    <row r="5" customFormat="1" ht="22" customHeight="1" spans="1:17">
      <c r="A5" s="10">
        <v>3</v>
      </c>
      <c r="B5" s="11">
        <v>46119</v>
      </c>
      <c r="C5" s="12" t="s">
        <v>104</v>
      </c>
      <c r="D5" s="12" t="s">
        <v>157</v>
      </c>
      <c r="E5" s="13"/>
      <c r="F5" s="13">
        <v>4</v>
      </c>
      <c r="G5" s="18"/>
      <c r="H5" s="15">
        <f t="shared" si="0"/>
        <v>4</v>
      </c>
      <c r="I5" s="15">
        <f t="shared" si="1"/>
        <v>4</v>
      </c>
      <c r="J5" s="16">
        <v>3</v>
      </c>
      <c r="K5" s="11">
        <v>46119</v>
      </c>
      <c r="L5" s="12" t="s">
        <v>59</v>
      </c>
      <c r="M5" s="12" t="s">
        <v>157</v>
      </c>
      <c r="N5" s="17">
        <v>2</v>
      </c>
      <c r="O5" s="13">
        <v>2</v>
      </c>
      <c r="P5" s="20" t="s">
        <v>154</v>
      </c>
      <c r="Q5">
        <f t="shared" si="2"/>
        <v>4</v>
      </c>
    </row>
    <row r="6" customFormat="1" ht="22" customHeight="1" spans="1:17">
      <c r="A6" s="10">
        <v>4</v>
      </c>
      <c r="B6" s="11">
        <v>46119</v>
      </c>
      <c r="C6" s="12" t="s">
        <v>105</v>
      </c>
      <c r="D6" s="12" t="s">
        <v>157</v>
      </c>
      <c r="E6" s="13"/>
      <c r="F6" s="13">
        <v>4</v>
      </c>
      <c r="G6" s="18"/>
      <c r="H6" s="15">
        <f t="shared" si="0"/>
        <v>4</v>
      </c>
      <c r="I6" s="15">
        <f t="shared" si="1"/>
        <v>4</v>
      </c>
      <c r="J6" s="16">
        <v>4</v>
      </c>
      <c r="K6" s="11">
        <v>46119</v>
      </c>
      <c r="L6" s="12" t="s">
        <v>60</v>
      </c>
      <c r="M6" s="12" t="s">
        <v>157</v>
      </c>
      <c r="N6" s="13"/>
      <c r="O6" s="17">
        <v>4</v>
      </c>
      <c r="P6" s="18" t="s">
        <v>61</v>
      </c>
      <c r="Q6">
        <f t="shared" si="2"/>
        <v>4</v>
      </c>
    </row>
    <row r="7" customFormat="1" ht="22" customHeight="1" spans="1:17">
      <c r="A7" s="10">
        <v>5</v>
      </c>
      <c r="B7" s="11">
        <v>46119</v>
      </c>
      <c r="C7" s="12" t="s">
        <v>106</v>
      </c>
      <c r="D7" s="12" t="s">
        <v>157</v>
      </c>
      <c r="E7" s="13"/>
      <c r="F7" s="13">
        <v>4</v>
      </c>
      <c r="G7" s="18"/>
      <c r="H7" s="15">
        <f t="shared" si="0"/>
        <v>4</v>
      </c>
      <c r="I7" s="15">
        <f t="shared" si="1"/>
        <v>4</v>
      </c>
      <c r="J7" s="16">
        <v>5</v>
      </c>
      <c r="K7" s="11">
        <v>46119</v>
      </c>
      <c r="L7" s="12" t="s">
        <v>62</v>
      </c>
      <c r="M7" s="12" t="s">
        <v>157</v>
      </c>
      <c r="N7" s="13"/>
      <c r="O7" s="17">
        <v>4</v>
      </c>
      <c r="P7" s="18" t="s">
        <v>5</v>
      </c>
      <c r="Q7">
        <f t="shared" si="2"/>
        <v>4</v>
      </c>
    </row>
    <row r="8" customFormat="1" ht="22" customHeight="1" spans="1:17">
      <c r="A8" s="10">
        <v>6</v>
      </c>
      <c r="B8" s="11">
        <v>46119</v>
      </c>
      <c r="C8" s="12" t="s">
        <v>107</v>
      </c>
      <c r="D8" s="12" t="s">
        <v>157</v>
      </c>
      <c r="E8" s="13">
        <v>4</v>
      </c>
      <c r="F8" s="13"/>
      <c r="G8" s="18"/>
      <c r="H8" s="15">
        <f t="shared" si="0"/>
        <v>4</v>
      </c>
      <c r="I8" s="15">
        <f t="shared" si="1"/>
        <v>4</v>
      </c>
      <c r="J8" s="16">
        <v>6</v>
      </c>
      <c r="K8" s="11">
        <v>46119</v>
      </c>
      <c r="L8" s="12" t="s">
        <v>64</v>
      </c>
      <c r="M8" s="12" t="s">
        <v>157</v>
      </c>
      <c r="N8" s="13"/>
      <c r="O8" s="17">
        <v>4</v>
      </c>
      <c r="P8" s="18" t="s">
        <v>5</v>
      </c>
      <c r="Q8">
        <f t="shared" si="2"/>
        <v>4</v>
      </c>
    </row>
    <row r="9" customFormat="1" ht="22" customHeight="1" spans="1:17">
      <c r="A9" s="10">
        <v>7</v>
      </c>
      <c r="B9" s="11">
        <v>46119</v>
      </c>
      <c r="C9" s="12" t="s">
        <v>108</v>
      </c>
      <c r="D9" s="12" t="s">
        <v>157</v>
      </c>
      <c r="E9" s="13">
        <v>4</v>
      </c>
      <c r="F9" s="13"/>
      <c r="G9" s="21"/>
      <c r="H9" s="15">
        <f t="shared" si="0"/>
        <v>4</v>
      </c>
      <c r="I9" s="15">
        <f t="shared" si="1"/>
        <v>4</v>
      </c>
      <c r="J9" s="16">
        <v>7</v>
      </c>
      <c r="K9" s="11">
        <v>46119</v>
      </c>
      <c r="L9" s="12" t="s">
        <v>65</v>
      </c>
      <c r="M9" s="12" t="s">
        <v>157</v>
      </c>
      <c r="N9" s="13"/>
      <c r="O9" s="17">
        <v>4</v>
      </c>
      <c r="P9" s="21" t="s">
        <v>5</v>
      </c>
      <c r="Q9">
        <f t="shared" si="2"/>
        <v>4</v>
      </c>
    </row>
    <row r="10" customFormat="1" ht="22" customHeight="1" spans="1:17">
      <c r="A10" s="10">
        <v>8</v>
      </c>
      <c r="B10" s="11">
        <v>46119</v>
      </c>
      <c r="C10" s="12" t="s">
        <v>109</v>
      </c>
      <c r="D10" s="12" t="s">
        <v>157</v>
      </c>
      <c r="E10" s="13"/>
      <c r="F10" s="13">
        <v>4</v>
      </c>
      <c r="G10" s="21"/>
      <c r="H10" s="15">
        <f t="shared" si="0"/>
        <v>4</v>
      </c>
      <c r="I10" s="15">
        <f t="shared" si="1"/>
        <v>4</v>
      </c>
      <c r="J10" s="16">
        <v>8</v>
      </c>
      <c r="K10" s="11">
        <v>46119</v>
      </c>
      <c r="L10" s="12" t="s">
        <v>67</v>
      </c>
      <c r="M10" s="12" t="s">
        <v>157</v>
      </c>
      <c r="N10" s="17">
        <v>4</v>
      </c>
      <c r="O10" s="13"/>
      <c r="P10" s="21"/>
      <c r="Q10">
        <f t="shared" si="2"/>
        <v>4</v>
      </c>
    </row>
    <row r="11" customFormat="1" ht="22" customHeight="1" spans="1:17">
      <c r="A11" s="10">
        <v>9</v>
      </c>
      <c r="B11" s="11">
        <v>46119</v>
      </c>
      <c r="C11" s="12" t="s">
        <v>110</v>
      </c>
      <c r="D11" s="12" t="s">
        <v>157</v>
      </c>
      <c r="E11" s="13"/>
      <c r="F11" s="13">
        <v>4</v>
      </c>
      <c r="G11" s="21"/>
      <c r="H11" s="15">
        <f t="shared" si="0"/>
        <v>4</v>
      </c>
      <c r="I11" s="15">
        <f t="shared" si="1"/>
        <v>4</v>
      </c>
      <c r="J11" s="16">
        <v>9</v>
      </c>
      <c r="K11" s="11">
        <v>46119</v>
      </c>
      <c r="L11" s="12" t="s">
        <v>69</v>
      </c>
      <c r="M11" s="12" t="s">
        <v>157</v>
      </c>
      <c r="N11" s="17">
        <v>4</v>
      </c>
      <c r="O11" s="13"/>
      <c r="P11" s="21"/>
      <c r="Q11">
        <f t="shared" si="2"/>
        <v>4</v>
      </c>
    </row>
    <row r="12" customFormat="1" ht="22" customHeight="1" spans="1:17">
      <c r="A12" s="10">
        <v>10</v>
      </c>
      <c r="B12" s="11">
        <v>46119</v>
      </c>
      <c r="C12" s="12" t="s">
        <v>111</v>
      </c>
      <c r="D12" s="12" t="s">
        <v>157</v>
      </c>
      <c r="E12" s="13">
        <v>4</v>
      </c>
      <c r="F12" s="13"/>
      <c r="G12" s="21"/>
      <c r="H12" s="15">
        <f t="shared" si="0"/>
        <v>4</v>
      </c>
      <c r="I12" s="15">
        <f t="shared" si="1"/>
        <v>4</v>
      </c>
      <c r="J12" s="16">
        <v>10</v>
      </c>
      <c r="K12" s="11">
        <v>46119</v>
      </c>
      <c r="L12" s="12" t="s">
        <v>70</v>
      </c>
      <c r="M12" s="12" t="s">
        <v>157</v>
      </c>
      <c r="N12" s="13"/>
      <c r="O12" s="17">
        <v>4</v>
      </c>
      <c r="P12" s="21" t="s">
        <v>71</v>
      </c>
      <c r="Q12">
        <f t="shared" si="2"/>
        <v>4</v>
      </c>
    </row>
    <row r="13" customFormat="1" ht="22" customHeight="1" spans="1:17">
      <c r="A13" s="10">
        <v>11</v>
      </c>
      <c r="B13" s="11">
        <v>46119</v>
      </c>
      <c r="C13" s="12" t="s">
        <v>112</v>
      </c>
      <c r="D13" s="12" t="s">
        <v>157</v>
      </c>
      <c r="E13" s="13">
        <v>2</v>
      </c>
      <c r="F13" s="13">
        <v>2</v>
      </c>
      <c r="G13" s="21"/>
      <c r="H13" s="15">
        <f t="shared" si="0"/>
        <v>4</v>
      </c>
      <c r="I13" s="15">
        <f t="shared" si="1"/>
        <v>4</v>
      </c>
      <c r="J13" s="16">
        <v>11</v>
      </c>
      <c r="K13" s="11">
        <v>46119</v>
      </c>
      <c r="L13" s="12" t="s">
        <v>72</v>
      </c>
      <c r="M13" s="12" t="s">
        <v>157</v>
      </c>
      <c r="N13" s="17">
        <v>4</v>
      </c>
      <c r="O13" s="13"/>
      <c r="P13" s="21"/>
      <c r="Q13">
        <f t="shared" si="2"/>
        <v>4</v>
      </c>
    </row>
    <row r="14" customFormat="1" ht="22" customHeight="1" spans="1:17">
      <c r="A14" s="10">
        <v>12</v>
      </c>
      <c r="B14" s="11">
        <v>46119</v>
      </c>
      <c r="C14" s="12" t="s">
        <v>113</v>
      </c>
      <c r="D14" s="12" t="s">
        <v>157</v>
      </c>
      <c r="E14" s="13">
        <v>2</v>
      </c>
      <c r="F14" s="13">
        <v>2</v>
      </c>
      <c r="G14" s="21"/>
      <c r="H14" s="15">
        <f t="shared" si="0"/>
        <v>4</v>
      </c>
      <c r="I14" s="15">
        <f t="shared" si="1"/>
        <v>4</v>
      </c>
      <c r="J14" s="16">
        <v>12</v>
      </c>
      <c r="K14" s="11">
        <v>46119</v>
      </c>
      <c r="L14" s="12" t="s">
        <v>73</v>
      </c>
      <c r="M14" s="12" t="s">
        <v>157</v>
      </c>
      <c r="N14" s="17">
        <v>4</v>
      </c>
      <c r="O14" s="13"/>
      <c r="P14" s="21"/>
      <c r="Q14">
        <f t="shared" si="2"/>
        <v>4</v>
      </c>
    </row>
    <row r="15" customFormat="1" ht="22" customHeight="1" spans="1:17">
      <c r="A15" s="10">
        <v>13</v>
      </c>
      <c r="B15" s="11">
        <v>46119</v>
      </c>
      <c r="C15" s="12" t="s">
        <v>114</v>
      </c>
      <c r="D15" s="12" t="s">
        <v>157</v>
      </c>
      <c r="E15" s="13">
        <v>2</v>
      </c>
      <c r="F15" s="13">
        <v>2</v>
      </c>
      <c r="G15" s="21"/>
      <c r="H15" s="15">
        <f t="shared" si="0"/>
        <v>4</v>
      </c>
      <c r="I15" s="15">
        <f t="shared" si="1"/>
        <v>4</v>
      </c>
      <c r="J15" s="16">
        <v>13</v>
      </c>
      <c r="K15" s="11">
        <v>46119</v>
      </c>
      <c r="L15" s="12" t="s">
        <v>74</v>
      </c>
      <c r="M15" s="12" t="s">
        <v>157</v>
      </c>
      <c r="N15" s="13">
        <v>2</v>
      </c>
      <c r="O15" s="13">
        <v>2</v>
      </c>
      <c r="P15" s="21" t="s">
        <v>76</v>
      </c>
      <c r="Q15">
        <f t="shared" si="2"/>
        <v>4</v>
      </c>
    </row>
    <row r="16" customFormat="1" ht="22" customHeight="1" spans="1:17">
      <c r="A16" s="10">
        <v>14</v>
      </c>
      <c r="B16" s="11">
        <v>46119</v>
      </c>
      <c r="C16" s="12" t="s">
        <v>115</v>
      </c>
      <c r="D16" s="12" t="s">
        <v>157</v>
      </c>
      <c r="E16" s="13">
        <v>4</v>
      </c>
      <c r="F16" s="13"/>
      <c r="G16" s="21"/>
      <c r="H16" s="15">
        <f t="shared" si="0"/>
        <v>4</v>
      </c>
      <c r="I16" s="15">
        <f t="shared" si="1"/>
        <v>4</v>
      </c>
      <c r="J16" s="16">
        <v>14</v>
      </c>
      <c r="K16" s="11">
        <v>46119</v>
      </c>
      <c r="L16" s="12" t="s">
        <v>77</v>
      </c>
      <c r="M16" s="12" t="s">
        <v>157</v>
      </c>
      <c r="N16" s="13">
        <v>2</v>
      </c>
      <c r="O16" s="13">
        <v>2</v>
      </c>
      <c r="P16" s="21" t="s">
        <v>78</v>
      </c>
      <c r="Q16">
        <f t="shared" si="2"/>
        <v>4</v>
      </c>
    </row>
    <row r="17" customFormat="1" ht="22" customHeight="1" spans="1:17">
      <c r="A17" s="10">
        <v>15</v>
      </c>
      <c r="B17" s="11">
        <v>46119</v>
      </c>
      <c r="C17" s="12" t="s">
        <v>116</v>
      </c>
      <c r="D17" s="12" t="s">
        <v>157</v>
      </c>
      <c r="E17" s="13">
        <v>4</v>
      </c>
      <c r="F17" s="13"/>
      <c r="G17" s="21"/>
      <c r="H17" s="15">
        <f t="shared" si="0"/>
        <v>4</v>
      </c>
      <c r="I17" s="15">
        <f t="shared" si="1"/>
        <v>4</v>
      </c>
      <c r="J17" s="16">
        <v>15</v>
      </c>
      <c r="K17" s="11">
        <v>46119</v>
      </c>
      <c r="L17" s="12" t="s">
        <v>79</v>
      </c>
      <c r="M17" s="12" t="s">
        <v>157</v>
      </c>
      <c r="N17" s="17">
        <v>4</v>
      </c>
      <c r="O17" s="13"/>
      <c r="P17" s="21"/>
      <c r="Q17">
        <f t="shared" si="2"/>
        <v>4</v>
      </c>
    </row>
    <row r="18" customFormat="1" ht="22" customHeight="1" spans="1:17">
      <c r="A18" s="10">
        <v>16</v>
      </c>
      <c r="B18" s="11">
        <v>46119</v>
      </c>
      <c r="C18" s="12" t="s">
        <v>117</v>
      </c>
      <c r="D18" s="12" t="s">
        <v>157</v>
      </c>
      <c r="E18" s="13"/>
      <c r="F18" s="13">
        <v>4</v>
      </c>
      <c r="G18" s="21"/>
      <c r="H18" s="15">
        <f t="shared" si="0"/>
        <v>4</v>
      </c>
      <c r="I18" s="15">
        <f t="shared" si="1"/>
        <v>4</v>
      </c>
      <c r="J18" s="16">
        <v>16</v>
      </c>
      <c r="K18" s="11">
        <v>46119</v>
      </c>
      <c r="L18" s="12" t="s">
        <v>81</v>
      </c>
      <c r="M18" s="12" t="s">
        <v>157</v>
      </c>
      <c r="N18" s="13">
        <v>1</v>
      </c>
      <c r="O18" s="13">
        <v>3</v>
      </c>
      <c r="P18" s="21" t="s">
        <v>82</v>
      </c>
      <c r="Q18">
        <f t="shared" si="2"/>
        <v>4</v>
      </c>
    </row>
    <row r="19" customFormat="1" ht="22" customHeight="1" spans="1:17">
      <c r="A19" s="10">
        <v>17</v>
      </c>
      <c r="B19" s="11">
        <v>46119</v>
      </c>
      <c r="C19" s="12" t="s">
        <v>118</v>
      </c>
      <c r="D19" s="12" t="s">
        <v>157</v>
      </c>
      <c r="E19" s="13">
        <v>2</v>
      </c>
      <c r="F19" s="13">
        <v>2</v>
      </c>
      <c r="G19" s="21"/>
      <c r="H19" s="15">
        <f t="shared" si="0"/>
        <v>4</v>
      </c>
      <c r="I19" s="15">
        <f t="shared" si="1"/>
        <v>4</v>
      </c>
      <c r="J19" s="16">
        <v>17</v>
      </c>
      <c r="K19" s="11">
        <v>46119</v>
      </c>
      <c r="L19" s="12" t="s">
        <v>83</v>
      </c>
      <c r="M19" s="12" t="s">
        <v>157</v>
      </c>
      <c r="N19" s="13">
        <v>2</v>
      </c>
      <c r="O19" s="13">
        <v>2</v>
      </c>
      <c r="P19" s="21" t="s">
        <v>84</v>
      </c>
      <c r="Q19">
        <f t="shared" si="2"/>
        <v>4</v>
      </c>
    </row>
    <row r="20" customFormat="1" ht="22" customHeight="1" spans="1:17">
      <c r="A20" s="10">
        <v>18</v>
      </c>
      <c r="B20" s="11">
        <v>46119</v>
      </c>
      <c r="C20" s="12" t="s">
        <v>119</v>
      </c>
      <c r="D20" s="12" t="s">
        <v>157</v>
      </c>
      <c r="E20" s="13">
        <v>4</v>
      </c>
      <c r="F20" s="13"/>
      <c r="G20" s="21"/>
      <c r="H20" s="15">
        <f t="shared" si="0"/>
        <v>4</v>
      </c>
      <c r="I20" s="15">
        <f t="shared" si="1"/>
        <v>4</v>
      </c>
      <c r="J20" s="16">
        <v>18</v>
      </c>
      <c r="K20" s="11">
        <v>46119</v>
      </c>
      <c r="L20" s="12" t="s">
        <v>85</v>
      </c>
      <c r="M20" s="12" t="s">
        <v>157</v>
      </c>
      <c r="N20" s="17">
        <v>2</v>
      </c>
      <c r="O20" s="13">
        <v>2</v>
      </c>
      <c r="P20" s="20" t="s">
        <v>154</v>
      </c>
      <c r="Q20">
        <f t="shared" si="2"/>
        <v>4</v>
      </c>
    </row>
    <row r="21" customFormat="1" ht="22" customHeight="1" spans="1:17">
      <c r="A21" s="10">
        <v>19</v>
      </c>
      <c r="B21" s="11">
        <v>46119</v>
      </c>
      <c r="C21" s="12" t="s">
        <v>120</v>
      </c>
      <c r="D21" s="12" t="s">
        <v>157</v>
      </c>
      <c r="E21" s="13"/>
      <c r="F21" s="13">
        <v>4</v>
      </c>
      <c r="G21" s="21"/>
      <c r="H21" s="15">
        <f t="shared" si="0"/>
        <v>4</v>
      </c>
      <c r="I21" s="15">
        <f t="shared" si="1"/>
        <v>4</v>
      </c>
      <c r="J21" s="16">
        <v>19</v>
      </c>
      <c r="K21" s="11">
        <v>46119</v>
      </c>
      <c r="L21" s="12" t="s">
        <v>86</v>
      </c>
      <c r="M21" s="12" t="s">
        <v>157</v>
      </c>
      <c r="N21" s="17">
        <v>2</v>
      </c>
      <c r="O21" s="13">
        <v>2</v>
      </c>
      <c r="P21" s="20" t="s">
        <v>154</v>
      </c>
      <c r="Q21">
        <f t="shared" si="2"/>
        <v>4</v>
      </c>
    </row>
    <row r="22" customFormat="1" ht="22" customHeight="1" spans="1:17">
      <c r="A22" s="10">
        <v>20</v>
      </c>
      <c r="B22" s="11">
        <v>46119</v>
      </c>
      <c r="C22" s="12" t="s">
        <v>121</v>
      </c>
      <c r="D22" s="12" t="s">
        <v>157</v>
      </c>
      <c r="E22" s="13"/>
      <c r="F22" s="13">
        <v>4</v>
      </c>
      <c r="G22" s="21"/>
      <c r="H22" s="15">
        <f t="shared" si="0"/>
        <v>4</v>
      </c>
      <c r="I22" s="15">
        <f t="shared" si="1"/>
        <v>4</v>
      </c>
      <c r="J22" s="16">
        <v>20</v>
      </c>
      <c r="K22" s="11">
        <v>46119</v>
      </c>
      <c r="L22" s="12" t="s">
        <v>87</v>
      </c>
      <c r="M22" s="12" t="s">
        <v>157</v>
      </c>
      <c r="N22" s="17">
        <v>4</v>
      </c>
      <c r="O22" s="13"/>
      <c r="P22" s="20"/>
      <c r="Q22">
        <f t="shared" si="2"/>
        <v>4</v>
      </c>
    </row>
    <row r="23" customFormat="1" ht="22" customHeight="1" spans="1:17">
      <c r="A23" s="10">
        <v>21</v>
      </c>
      <c r="B23" s="11">
        <v>46119</v>
      </c>
      <c r="C23" s="12" t="s">
        <v>122</v>
      </c>
      <c r="D23" s="12" t="s">
        <v>157</v>
      </c>
      <c r="E23" s="13"/>
      <c r="F23" s="13">
        <v>4</v>
      </c>
      <c r="G23" s="21"/>
      <c r="H23" s="15">
        <f t="shared" si="0"/>
        <v>4</v>
      </c>
      <c r="I23" s="15">
        <f t="shared" si="1"/>
        <v>4</v>
      </c>
      <c r="J23" s="16">
        <v>21</v>
      </c>
      <c r="K23" s="11">
        <v>46119</v>
      </c>
      <c r="L23" s="12" t="s">
        <v>88</v>
      </c>
      <c r="M23" s="12" t="s">
        <v>157</v>
      </c>
      <c r="N23" s="13"/>
      <c r="O23" s="17">
        <v>4</v>
      </c>
      <c r="P23" s="21" t="s">
        <v>89</v>
      </c>
      <c r="Q23">
        <f t="shared" si="2"/>
        <v>4</v>
      </c>
    </row>
    <row r="24" customFormat="1" ht="22" customHeight="1" spans="1:17">
      <c r="A24" s="10">
        <v>22</v>
      </c>
      <c r="B24" s="11">
        <v>46119</v>
      </c>
      <c r="C24" s="12" t="s">
        <v>23</v>
      </c>
      <c r="D24" s="12" t="s">
        <v>157</v>
      </c>
      <c r="E24" s="13"/>
      <c r="F24" s="13">
        <v>4</v>
      </c>
      <c r="G24" s="21"/>
      <c r="H24" s="15">
        <f t="shared" si="0"/>
        <v>4</v>
      </c>
      <c r="I24" s="15">
        <f t="shared" si="1"/>
        <v>4</v>
      </c>
      <c r="J24" s="16">
        <v>22</v>
      </c>
      <c r="K24" s="11">
        <v>46119</v>
      </c>
      <c r="L24" s="12" t="s">
        <v>90</v>
      </c>
      <c r="M24" s="12" t="s">
        <v>157</v>
      </c>
      <c r="N24" s="17"/>
      <c r="O24" s="17">
        <v>4</v>
      </c>
      <c r="P24" s="21" t="s">
        <v>155</v>
      </c>
      <c r="Q24">
        <f t="shared" si="2"/>
        <v>4</v>
      </c>
    </row>
    <row r="25" customFormat="1" ht="22" customHeight="1" spans="1:17">
      <c r="A25" s="10">
        <v>23</v>
      </c>
      <c r="B25" s="11">
        <v>46119</v>
      </c>
      <c r="C25" s="12" t="s">
        <v>24</v>
      </c>
      <c r="D25" s="12" t="s">
        <v>157</v>
      </c>
      <c r="E25" s="13"/>
      <c r="F25" s="13">
        <v>4</v>
      </c>
      <c r="G25" s="21"/>
      <c r="H25" s="15">
        <f t="shared" si="0"/>
        <v>4</v>
      </c>
      <c r="I25" s="15">
        <f t="shared" si="1"/>
        <v>4</v>
      </c>
      <c r="J25" s="16">
        <v>23</v>
      </c>
      <c r="K25" s="11">
        <v>46119</v>
      </c>
      <c r="L25" s="12" t="s">
        <v>91</v>
      </c>
      <c r="M25" s="12" t="s">
        <v>157</v>
      </c>
      <c r="N25" s="13">
        <v>2</v>
      </c>
      <c r="O25" s="13">
        <v>2</v>
      </c>
      <c r="P25" s="21" t="s">
        <v>148</v>
      </c>
      <c r="Q25">
        <f t="shared" si="2"/>
        <v>4</v>
      </c>
    </row>
    <row r="26" customFormat="1" ht="22" customHeight="1" spans="1:17">
      <c r="A26" s="10">
        <v>24</v>
      </c>
      <c r="B26" s="11">
        <v>46119</v>
      </c>
      <c r="C26" s="12" t="s">
        <v>25</v>
      </c>
      <c r="D26" s="12" t="s">
        <v>157</v>
      </c>
      <c r="E26" s="13">
        <v>2</v>
      </c>
      <c r="F26" s="13">
        <v>2</v>
      </c>
      <c r="G26" s="21"/>
      <c r="H26" s="15">
        <f t="shared" si="0"/>
        <v>4</v>
      </c>
      <c r="I26" s="15">
        <f t="shared" si="1"/>
        <v>4</v>
      </c>
      <c r="J26" s="16">
        <v>24</v>
      </c>
      <c r="K26" s="11">
        <v>46119</v>
      </c>
      <c r="L26" s="12" t="s">
        <v>93</v>
      </c>
      <c r="M26" s="12" t="s">
        <v>157</v>
      </c>
      <c r="N26" s="13"/>
      <c r="O26" s="17">
        <v>4</v>
      </c>
      <c r="P26" s="21" t="s">
        <v>94</v>
      </c>
      <c r="Q26">
        <f t="shared" si="2"/>
        <v>4</v>
      </c>
    </row>
    <row r="27" customFormat="1" ht="22" customHeight="1" spans="1:17">
      <c r="A27" s="10">
        <v>25</v>
      </c>
      <c r="B27" s="11">
        <v>46119</v>
      </c>
      <c r="C27" s="12" t="s">
        <v>26</v>
      </c>
      <c r="D27" s="12" t="s">
        <v>157</v>
      </c>
      <c r="E27" s="13">
        <v>4</v>
      </c>
      <c r="F27" s="13"/>
      <c r="G27" s="21"/>
      <c r="H27" s="15">
        <f t="shared" si="0"/>
        <v>4</v>
      </c>
      <c r="I27" s="15">
        <f t="shared" si="1"/>
        <v>4</v>
      </c>
      <c r="J27" s="16">
        <v>25</v>
      </c>
      <c r="K27" s="11">
        <v>46119</v>
      </c>
      <c r="L27" s="24" t="s">
        <v>134</v>
      </c>
      <c r="M27" s="12" t="s">
        <v>157</v>
      </c>
      <c r="N27" s="17">
        <v>4</v>
      </c>
      <c r="O27" s="13"/>
      <c r="P27" s="21"/>
      <c r="Q27">
        <f t="shared" si="2"/>
        <v>4</v>
      </c>
    </row>
    <row r="28" customFormat="1" ht="22" customHeight="1" spans="1:17">
      <c r="A28" s="10">
        <v>26</v>
      </c>
      <c r="B28" s="11">
        <v>46119</v>
      </c>
      <c r="C28" s="12" t="s">
        <v>27</v>
      </c>
      <c r="D28" s="12" t="s">
        <v>157</v>
      </c>
      <c r="E28" s="13">
        <v>4</v>
      </c>
      <c r="F28" s="13"/>
      <c r="G28" s="21"/>
      <c r="H28" s="15">
        <f t="shared" si="0"/>
        <v>4</v>
      </c>
      <c r="I28" s="15">
        <f t="shared" si="1"/>
        <v>4</v>
      </c>
      <c r="J28" s="16">
        <v>26</v>
      </c>
      <c r="K28" s="11">
        <v>46119</v>
      </c>
      <c r="L28" s="25" t="s">
        <v>135</v>
      </c>
      <c r="M28" s="12" t="s">
        <v>157</v>
      </c>
      <c r="N28" s="13"/>
      <c r="O28" s="17">
        <v>4</v>
      </c>
      <c r="P28" s="21" t="s">
        <v>94</v>
      </c>
      <c r="Q28">
        <f t="shared" si="2"/>
        <v>4</v>
      </c>
    </row>
    <row r="29" customFormat="1" ht="22" customHeight="1" spans="1:17">
      <c r="A29" s="10">
        <v>27</v>
      </c>
      <c r="B29" s="11">
        <v>46119</v>
      </c>
      <c r="C29" s="12" t="s">
        <v>33</v>
      </c>
      <c r="D29" s="12" t="s">
        <v>157</v>
      </c>
      <c r="E29" s="13">
        <v>4</v>
      </c>
      <c r="F29" s="13"/>
      <c r="G29" s="21"/>
      <c r="H29" s="15">
        <f t="shared" si="0"/>
        <v>4</v>
      </c>
      <c r="I29" s="15">
        <f t="shared" si="1"/>
        <v>4</v>
      </c>
      <c r="J29" s="16"/>
      <c r="K29" s="11"/>
      <c r="L29" s="12"/>
      <c r="M29" s="12"/>
      <c r="N29" s="13"/>
      <c r="O29" s="13"/>
      <c r="P29" s="21"/>
    </row>
    <row r="30" customFormat="1" ht="22" customHeight="1" spans="1:17">
      <c r="A30" s="10">
        <v>28</v>
      </c>
      <c r="B30" s="11">
        <v>46119</v>
      </c>
      <c r="C30" s="12" t="s">
        <v>35</v>
      </c>
      <c r="D30" s="12" t="s">
        <v>157</v>
      </c>
      <c r="E30" s="13"/>
      <c r="F30" s="13">
        <v>4</v>
      </c>
      <c r="G30" s="21"/>
      <c r="H30" s="15">
        <f t="shared" si="0"/>
        <v>4</v>
      </c>
      <c r="I30" s="15">
        <f t="shared" si="1"/>
        <v>4</v>
      </c>
      <c r="J30" s="16"/>
      <c r="K30" s="11"/>
      <c r="L30" s="12"/>
      <c r="M30" s="12"/>
      <c r="N30" s="13"/>
      <c r="O30" s="13"/>
      <c r="P30" s="21"/>
    </row>
    <row r="31" customFormat="1" ht="22" customHeight="1" spans="1:17">
      <c r="A31" s="10">
        <v>29</v>
      </c>
      <c r="B31" s="11">
        <v>46119</v>
      </c>
      <c r="C31" s="12" t="s">
        <v>123</v>
      </c>
      <c r="D31" s="12" t="s">
        <v>157</v>
      </c>
      <c r="E31" s="13">
        <v>4</v>
      </c>
      <c r="F31" s="13"/>
      <c r="G31" s="21"/>
      <c r="H31" s="15">
        <f t="shared" si="0"/>
        <v>4</v>
      </c>
      <c r="I31" s="15">
        <f t="shared" si="1"/>
        <v>4</v>
      </c>
      <c r="J31" s="16"/>
      <c r="K31" s="11"/>
      <c r="L31" s="12"/>
      <c r="M31" s="12"/>
      <c r="N31" s="13"/>
      <c r="O31" s="13"/>
      <c r="P31" s="21"/>
    </row>
    <row r="32" customFormat="1" ht="22" customHeight="1" spans="1:17">
      <c r="A32" s="10">
        <v>30</v>
      </c>
      <c r="B32" s="11">
        <v>46119</v>
      </c>
      <c r="C32" s="12" t="s">
        <v>124</v>
      </c>
      <c r="D32" s="12" t="s">
        <v>157</v>
      </c>
      <c r="E32" s="13"/>
      <c r="F32" s="13">
        <v>4</v>
      </c>
      <c r="G32" s="21"/>
      <c r="H32" s="15">
        <f t="shared" si="0"/>
        <v>4</v>
      </c>
      <c r="I32" s="15">
        <f t="shared" si="1"/>
        <v>4</v>
      </c>
      <c r="J32" s="16"/>
      <c r="K32" s="11"/>
      <c r="L32" s="12"/>
      <c r="M32" s="12"/>
      <c r="N32" s="13"/>
      <c r="O32" s="13"/>
      <c r="P32" s="21"/>
    </row>
    <row r="33" customFormat="1" ht="22" customHeight="1" spans="1:16">
      <c r="A33" s="10">
        <v>31</v>
      </c>
      <c r="B33" s="11">
        <v>46119</v>
      </c>
      <c r="C33" s="12" t="s">
        <v>125</v>
      </c>
      <c r="D33" s="12" t="s">
        <v>157</v>
      </c>
      <c r="E33" s="13">
        <v>4</v>
      </c>
      <c r="F33" s="13"/>
      <c r="G33" s="21"/>
      <c r="H33" s="15">
        <f t="shared" si="0"/>
        <v>4</v>
      </c>
      <c r="I33" s="15">
        <f t="shared" si="1"/>
        <v>4</v>
      </c>
      <c r="J33" s="16"/>
      <c r="K33" s="11"/>
      <c r="L33" s="12"/>
      <c r="M33" s="12"/>
      <c r="N33" s="13"/>
      <c r="O33" s="13"/>
      <c r="P33" s="21"/>
    </row>
    <row r="34" customFormat="1" ht="22" customHeight="1" spans="1:16">
      <c r="A34" s="10">
        <v>32</v>
      </c>
      <c r="B34" s="11">
        <v>46119</v>
      </c>
      <c r="C34" s="12" t="s">
        <v>29</v>
      </c>
      <c r="D34" s="12" t="s">
        <v>157</v>
      </c>
      <c r="E34" s="13"/>
      <c r="F34" s="13">
        <v>4</v>
      </c>
      <c r="G34" s="21"/>
      <c r="H34" s="15">
        <f t="shared" si="0"/>
        <v>4</v>
      </c>
      <c r="I34" s="15">
        <f t="shared" si="1"/>
        <v>4</v>
      </c>
      <c r="N34" s="13">
        <f>SUM(N3:N33)</f>
        <v>49</v>
      </c>
      <c r="O34" s="13">
        <f>SUM(O3:O33)</f>
        <v>55</v>
      </c>
    </row>
    <row r="35" customFormat="1" ht="22" customHeight="1" spans="1:16">
      <c r="A35" s="10">
        <v>33</v>
      </c>
      <c r="B35" s="11">
        <v>46119</v>
      </c>
      <c r="C35" s="12" t="s">
        <v>30</v>
      </c>
      <c r="D35" s="12" t="s">
        <v>157</v>
      </c>
      <c r="E35" s="13">
        <v>4</v>
      </c>
      <c r="F35" s="13"/>
      <c r="G35" s="21"/>
      <c r="H35" s="15">
        <f t="shared" si="0"/>
        <v>4</v>
      </c>
      <c r="I35" s="15">
        <f t="shared" si="1"/>
        <v>4</v>
      </c>
    </row>
    <row r="36" customFormat="1" ht="22" customHeight="1" spans="1:16">
      <c r="A36" s="10">
        <v>34</v>
      </c>
      <c r="B36" s="11">
        <v>46119</v>
      </c>
      <c r="C36" s="12" t="s">
        <v>31</v>
      </c>
      <c r="D36" s="12" t="s">
        <v>157</v>
      </c>
      <c r="E36" s="13"/>
      <c r="F36" s="13">
        <v>4</v>
      </c>
      <c r="G36" s="21"/>
      <c r="H36" s="15">
        <f t="shared" si="0"/>
        <v>4</v>
      </c>
      <c r="I36" s="15">
        <f t="shared" si="1"/>
        <v>4</v>
      </c>
    </row>
    <row r="37" customFormat="1" ht="22" customHeight="1" spans="1:16">
      <c r="A37" s="10">
        <v>35</v>
      </c>
      <c r="B37" s="11">
        <v>46119</v>
      </c>
      <c r="C37" s="12" t="s">
        <v>126</v>
      </c>
      <c r="D37" s="12" t="s">
        <v>157</v>
      </c>
      <c r="E37" s="13"/>
      <c r="F37" s="13">
        <v>4</v>
      </c>
      <c r="G37" s="21"/>
      <c r="H37" s="15">
        <f t="shared" si="0"/>
        <v>4</v>
      </c>
      <c r="I37" s="15">
        <f t="shared" si="1"/>
        <v>4</v>
      </c>
    </row>
    <row r="38" customFormat="1" ht="22" customHeight="1" spans="1:16">
      <c r="A38" s="10">
        <v>36</v>
      </c>
      <c r="B38" s="11">
        <v>46119</v>
      </c>
      <c r="C38" s="12" t="s">
        <v>127</v>
      </c>
      <c r="D38" s="12" t="s">
        <v>157</v>
      </c>
      <c r="E38" s="13">
        <v>4</v>
      </c>
      <c r="F38" s="13"/>
      <c r="G38" s="21"/>
      <c r="H38" s="15">
        <f t="shared" si="0"/>
        <v>4</v>
      </c>
      <c r="I38" s="15">
        <f t="shared" si="1"/>
        <v>4</v>
      </c>
    </row>
    <row r="39" customFormat="1" ht="22" customHeight="1" spans="1:16">
      <c r="A39" s="10">
        <v>37</v>
      </c>
      <c r="B39" s="11">
        <v>46119</v>
      </c>
      <c r="C39" s="39" t="s">
        <v>132</v>
      </c>
      <c r="D39" s="12" t="s">
        <v>157</v>
      </c>
      <c r="E39" s="13">
        <v>2</v>
      </c>
      <c r="F39" s="13">
        <v>2</v>
      </c>
      <c r="G39" s="21" t="s">
        <v>143</v>
      </c>
      <c r="H39" t="s">
        <v>149</v>
      </c>
      <c r="I39" s="15">
        <f t="shared" si="1"/>
        <v>4</v>
      </c>
    </row>
    <row r="40" customFormat="1" ht="22" customHeight="1" spans="1:16">
      <c r="A40" s="10">
        <v>38</v>
      </c>
      <c r="B40" s="11">
        <v>46119</v>
      </c>
      <c r="C40" s="40" t="s">
        <v>36</v>
      </c>
      <c r="D40" s="12" t="s">
        <v>157</v>
      </c>
      <c r="E40" s="13">
        <v>2</v>
      </c>
      <c r="F40" s="13">
        <v>2</v>
      </c>
      <c r="G40" s="21" t="s">
        <v>143</v>
      </c>
      <c r="H40" t="s">
        <v>149</v>
      </c>
      <c r="I40" s="15">
        <f t="shared" si="1"/>
        <v>4</v>
      </c>
    </row>
    <row r="41" customFormat="1" ht="22" customHeight="1" spans="1:16">
      <c r="A41" s="10">
        <v>39</v>
      </c>
      <c r="B41" s="11">
        <v>46119</v>
      </c>
      <c r="C41" s="26" t="s">
        <v>133</v>
      </c>
      <c r="D41" s="12" t="s">
        <v>157</v>
      </c>
      <c r="E41" s="13">
        <v>2</v>
      </c>
      <c r="F41" s="13">
        <v>2</v>
      </c>
      <c r="G41" s="29" t="s">
        <v>150</v>
      </c>
      <c r="H41" t="s">
        <v>149</v>
      </c>
      <c r="I41" s="15">
        <f t="shared" si="1"/>
        <v>4</v>
      </c>
    </row>
    <row r="42" customFormat="1" ht="22" customHeight="1" spans="1:16">
      <c r="A42" s="10"/>
      <c r="B42" s="11"/>
      <c r="C42" s="41"/>
      <c r="D42" s="41"/>
      <c r="E42" s="41"/>
      <c r="F42" s="41"/>
      <c r="G42" s="41"/>
    </row>
    <row r="43" customFormat="1" ht="22" customHeight="1" spans="1:16">
      <c r="A43" s="10"/>
      <c r="B43" s="11"/>
      <c r="C43" s="34"/>
      <c r="D43" s="34"/>
      <c r="E43" s="35"/>
      <c r="F43" s="35"/>
      <c r="G43" s="36"/>
      <c r="H43" s="22"/>
    </row>
    <row r="44" customFormat="1" ht="22" customHeight="1" spans="1:16">
      <c r="E44">
        <f>SUM(E3:E43)</f>
        <v>70</v>
      </c>
      <c r="F44">
        <f>SUM(F3:F43)</f>
        <v>86</v>
      </c>
    </row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 spans="10:16">
      <c r="J56" s="10"/>
      <c r="K56" s="11"/>
      <c r="L56" s="12"/>
      <c r="M56" s="12"/>
      <c r="N56" s="13"/>
      <c r="O56" s="13"/>
      <c r="P56" s="21"/>
    </row>
    <row r="57" ht="22" customHeight="1" spans="10:16">
      <c r="K57" s="37"/>
      <c r="L57" s="37"/>
      <c r="M57" s="37"/>
      <c r="N57" s="38"/>
      <c r="O57" s="38"/>
    </row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customFormat="1" ht="22" customHeight="1" spans="1:8">
      <c r="A66" s="10"/>
      <c r="B66" s="11"/>
      <c r="C66" s="12"/>
      <c r="D66" s="12"/>
      <c r="E66" s="13"/>
      <c r="F66" s="13"/>
      <c r="G66" s="21"/>
      <c r="H66" s="22"/>
    </row>
    <row r="67" customFormat="1" ht="21" customHeight="1" spans="1:8">
      <c r="B67" s="37"/>
      <c r="C67" s="37"/>
      <c r="D67" s="37"/>
      <c r="E67" s="38">
        <f>SUM(E3:E66)</f>
        <v>140</v>
      </c>
      <c r="F67" s="38">
        <f>SUM(F3:F66)</f>
        <v>172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"/>
  <sheetViews>
    <sheetView workbookViewId="0">
      <pane ySplit="2" topLeftCell="A3" activePane="bottomLeft" state="frozen"/>
      <selection/>
      <selection pane="bottomLeft" activeCell="P44" sqref="P44"/>
    </sheetView>
  </sheetViews>
  <sheetFormatPr defaultColWidth="9.14285714285714" defaultRowHeight="12"/>
  <cols>
    <col min="1" max="1" width="7.28571428571429" customWidth="1"/>
    <col min="2" max="2" width="14.4285714285714" customWidth="1"/>
    <col min="3" max="3" width="16.8571428571429" customWidth="1"/>
    <col min="4" max="4" width="12.1428571428571" customWidth="1"/>
    <col min="5" max="6" width="10" customWidth="1"/>
    <col min="7" max="7" width="31.4285714285714" customWidth="1"/>
    <col min="8" max="8" width="25.2857142857143" customWidth="1"/>
    <col min="10" max="10" width="8" customWidth="1"/>
    <col min="11" max="11" width="10.7142857142857" customWidth="1"/>
    <col min="12" max="12" width="14.5714285714286" customWidth="1"/>
    <col min="13" max="13" width="12.1428571428571" customWidth="1"/>
    <col min="14" max="15" width="7.71428571428571" customWidth="1"/>
    <col min="16" max="16" width="34" customWidth="1"/>
  </cols>
  <sheetData>
    <row r="1" customFormat="1" ht="25" customHeight="1" spans="1:17">
      <c r="A1" s="2" t="s">
        <v>136</v>
      </c>
      <c r="B1" s="2"/>
      <c r="C1" s="2"/>
      <c r="D1" s="2"/>
      <c r="E1" s="2"/>
      <c r="F1" s="3"/>
      <c r="G1" s="4"/>
      <c r="H1" s="5"/>
      <c r="J1" s="2" t="s">
        <v>145</v>
      </c>
      <c r="K1" s="2"/>
      <c r="L1" s="2"/>
      <c r="M1" s="2"/>
      <c r="N1" s="2"/>
      <c r="O1" s="3"/>
      <c r="P1" s="4"/>
    </row>
    <row r="2" s="1" customFormat="1" ht="25" customHeight="1" spans="1:17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H2" s="9"/>
      <c r="J2" s="6" t="s">
        <v>1</v>
      </c>
      <c r="K2" s="6" t="s">
        <v>98</v>
      </c>
      <c r="L2" s="6" t="s">
        <v>99</v>
      </c>
      <c r="M2" s="7" t="s">
        <v>137</v>
      </c>
      <c r="N2" s="8" t="s">
        <v>138</v>
      </c>
      <c r="O2" s="8" t="s">
        <v>139</v>
      </c>
      <c r="P2" s="8" t="s">
        <v>9</v>
      </c>
      <c r="Q2"/>
    </row>
    <row r="3" customFormat="1" ht="22" customHeight="1" spans="1:17">
      <c r="A3" s="10">
        <v>1</v>
      </c>
      <c r="B3" s="11">
        <v>46125</v>
      </c>
      <c r="C3" s="12" t="s">
        <v>102</v>
      </c>
      <c r="D3" s="12" t="s">
        <v>140</v>
      </c>
      <c r="E3" s="13">
        <v>1</v>
      </c>
      <c r="F3" s="13">
        <v>2</v>
      </c>
      <c r="G3" s="14"/>
      <c r="H3" s="15"/>
      <c r="I3" s="15">
        <f t="shared" ref="I3:I41" si="0">SUM(E3:F3)</f>
        <v>3</v>
      </c>
      <c r="J3" s="16">
        <v>1</v>
      </c>
      <c r="K3" s="11">
        <v>46125</v>
      </c>
      <c r="L3" s="12" t="s">
        <v>53</v>
      </c>
      <c r="M3" s="12" t="s">
        <v>140</v>
      </c>
      <c r="N3" s="13">
        <v>2</v>
      </c>
      <c r="O3" s="13">
        <v>1</v>
      </c>
      <c r="P3" s="14" t="s">
        <v>12</v>
      </c>
      <c r="Q3">
        <f t="shared" ref="Q3:Q28" si="1">SUM(N3:O3)</f>
        <v>3</v>
      </c>
    </row>
    <row r="4" customFormat="1" ht="22" customHeight="1" spans="1:17">
      <c r="A4" s="10">
        <v>2</v>
      </c>
      <c r="B4" s="11">
        <v>46125</v>
      </c>
      <c r="C4" s="12" t="s">
        <v>103</v>
      </c>
      <c r="D4" s="12" t="s">
        <v>140</v>
      </c>
      <c r="E4" s="17"/>
      <c r="F4" s="13">
        <v>3</v>
      </c>
      <c r="G4" s="18"/>
      <c r="H4" s="15"/>
      <c r="I4" s="15">
        <f t="shared" si="0"/>
        <v>3</v>
      </c>
      <c r="J4" s="16">
        <v>2</v>
      </c>
      <c r="K4" s="11">
        <v>46125</v>
      </c>
      <c r="L4" s="12" t="s">
        <v>57</v>
      </c>
      <c r="M4" s="12" t="s">
        <v>140</v>
      </c>
      <c r="N4" s="17">
        <v>3</v>
      </c>
      <c r="O4" s="13"/>
      <c r="P4" s="18"/>
      <c r="Q4">
        <f t="shared" si="1"/>
        <v>3</v>
      </c>
    </row>
    <row r="5" customFormat="1" ht="22" customHeight="1" spans="1:17">
      <c r="A5" s="10">
        <v>3</v>
      </c>
      <c r="B5" s="11">
        <v>46125</v>
      </c>
      <c r="C5" s="12" t="s">
        <v>104</v>
      </c>
      <c r="D5" s="12" t="s">
        <v>140</v>
      </c>
      <c r="E5" s="13"/>
      <c r="F5" s="13">
        <v>3</v>
      </c>
      <c r="G5" s="18"/>
      <c r="H5" s="15"/>
      <c r="I5" s="15">
        <f t="shared" si="0"/>
        <v>3</v>
      </c>
      <c r="J5" s="16">
        <v>3</v>
      </c>
      <c r="K5" s="11">
        <v>46125</v>
      </c>
      <c r="L5" s="12" t="s">
        <v>59</v>
      </c>
      <c r="M5" s="12" t="s">
        <v>140</v>
      </c>
      <c r="N5" s="17">
        <v>2</v>
      </c>
      <c r="O5" s="13">
        <v>1</v>
      </c>
      <c r="P5" s="20" t="s">
        <v>154</v>
      </c>
      <c r="Q5">
        <f t="shared" si="1"/>
        <v>3</v>
      </c>
    </row>
    <row r="6" customFormat="1" ht="22" customHeight="1" spans="1:17">
      <c r="A6" s="10">
        <v>4</v>
      </c>
      <c r="B6" s="11">
        <v>46125</v>
      </c>
      <c r="C6" s="12" t="s">
        <v>105</v>
      </c>
      <c r="D6" s="12" t="s">
        <v>140</v>
      </c>
      <c r="E6" s="13"/>
      <c r="F6" s="13">
        <v>3</v>
      </c>
      <c r="G6" s="18"/>
      <c r="H6" s="15"/>
      <c r="I6" s="15">
        <f t="shared" si="0"/>
        <v>3</v>
      </c>
      <c r="J6" s="16">
        <v>4</v>
      </c>
      <c r="K6" s="11">
        <v>46125</v>
      </c>
      <c r="L6" s="12" t="s">
        <v>60</v>
      </c>
      <c r="M6" s="12" t="s">
        <v>140</v>
      </c>
      <c r="N6" s="13"/>
      <c r="O6" s="17">
        <v>3</v>
      </c>
      <c r="P6" s="18" t="s">
        <v>61</v>
      </c>
      <c r="Q6">
        <f t="shared" si="1"/>
        <v>3</v>
      </c>
    </row>
    <row r="7" customFormat="1" ht="22" customHeight="1" spans="1:17">
      <c r="A7" s="10">
        <v>5</v>
      </c>
      <c r="B7" s="11">
        <v>46125</v>
      </c>
      <c r="C7" s="12" t="s">
        <v>106</v>
      </c>
      <c r="D7" s="12" t="s">
        <v>140</v>
      </c>
      <c r="E7" s="13"/>
      <c r="F7" s="13">
        <v>3</v>
      </c>
      <c r="G7" s="18"/>
      <c r="H7" s="15"/>
      <c r="I7" s="15">
        <f t="shared" si="0"/>
        <v>3</v>
      </c>
      <c r="J7" s="16">
        <v>5</v>
      </c>
      <c r="K7" s="11">
        <v>46125</v>
      </c>
      <c r="L7" s="12" t="s">
        <v>62</v>
      </c>
      <c r="M7" s="12" t="s">
        <v>140</v>
      </c>
      <c r="N7" s="13"/>
      <c r="O7" s="17">
        <v>3</v>
      </c>
      <c r="P7" s="18" t="s">
        <v>5</v>
      </c>
      <c r="Q7">
        <f t="shared" si="1"/>
        <v>3</v>
      </c>
    </row>
    <row r="8" customFormat="1" ht="22" customHeight="1" spans="1:17">
      <c r="A8" s="10">
        <v>6</v>
      </c>
      <c r="B8" s="11">
        <v>46125</v>
      </c>
      <c r="C8" s="12" t="s">
        <v>107</v>
      </c>
      <c r="D8" s="12" t="s">
        <v>140</v>
      </c>
      <c r="E8" s="13">
        <v>3</v>
      </c>
      <c r="F8" s="13"/>
      <c r="G8" s="18"/>
      <c r="H8" s="15"/>
      <c r="I8" s="15">
        <f t="shared" si="0"/>
        <v>3</v>
      </c>
      <c r="J8" s="16">
        <v>6</v>
      </c>
      <c r="K8" s="11">
        <v>46125</v>
      </c>
      <c r="L8" s="12" t="s">
        <v>64</v>
      </c>
      <c r="M8" s="12" t="s">
        <v>140</v>
      </c>
      <c r="N8" s="13"/>
      <c r="O8" s="17">
        <v>3</v>
      </c>
      <c r="P8" s="18" t="s">
        <v>5</v>
      </c>
      <c r="Q8">
        <f t="shared" si="1"/>
        <v>3</v>
      </c>
    </row>
    <row r="9" customFormat="1" ht="22" customHeight="1" spans="1:17">
      <c r="A9" s="10">
        <v>7</v>
      </c>
      <c r="B9" s="11">
        <v>46125</v>
      </c>
      <c r="C9" s="12" t="s">
        <v>108</v>
      </c>
      <c r="D9" s="12" t="s">
        <v>140</v>
      </c>
      <c r="E9" s="13">
        <v>3</v>
      </c>
      <c r="F9" s="13"/>
      <c r="G9" s="21"/>
      <c r="H9" s="15"/>
      <c r="I9" s="15">
        <f t="shared" si="0"/>
        <v>3</v>
      </c>
      <c r="J9" s="16">
        <v>7</v>
      </c>
      <c r="K9" s="11">
        <v>46125</v>
      </c>
      <c r="L9" s="12" t="s">
        <v>65</v>
      </c>
      <c r="M9" s="12" t="s">
        <v>140</v>
      </c>
      <c r="N9" s="13"/>
      <c r="O9" s="17">
        <v>3</v>
      </c>
      <c r="P9" s="21" t="s">
        <v>5</v>
      </c>
      <c r="Q9">
        <f t="shared" si="1"/>
        <v>3</v>
      </c>
    </row>
    <row r="10" customFormat="1" ht="22" customHeight="1" spans="1:17">
      <c r="A10" s="10">
        <v>8</v>
      </c>
      <c r="B10" s="11">
        <v>46125</v>
      </c>
      <c r="C10" s="12" t="s">
        <v>109</v>
      </c>
      <c r="D10" s="12" t="s">
        <v>140</v>
      </c>
      <c r="E10" s="13"/>
      <c r="F10" s="13">
        <v>3</v>
      </c>
      <c r="G10" s="21"/>
      <c r="H10" s="15"/>
      <c r="I10" s="15">
        <f t="shared" si="0"/>
        <v>3</v>
      </c>
      <c r="J10" s="16">
        <v>8</v>
      </c>
      <c r="K10" s="11">
        <v>46125</v>
      </c>
      <c r="L10" s="12" t="s">
        <v>67</v>
      </c>
      <c r="M10" s="12" t="s">
        <v>140</v>
      </c>
      <c r="N10" s="17">
        <v>3</v>
      </c>
      <c r="O10" s="13"/>
      <c r="P10" s="21"/>
      <c r="Q10">
        <f t="shared" si="1"/>
        <v>3</v>
      </c>
    </row>
    <row r="11" customFormat="1" ht="22" customHeight="1" spans="1:17">
      <c r="A11" s="10">
        <v>9</v>
      </c>
      <c r="B11" s="11">
        <v>46125</v>
      </c>
      <c r="C11" s="12" t="s">
        <v>110</v>
      </c>
      <c r="D11" s="12" t="s">
        <v>140</v>
      </c>
      <c r="E11" s="13"/>
      <c r="F11" s="13">
        <v>3</v>
      </c>
      <c r="G11" s="21"/>
      <c r="H11" s="15"/>
      <c r="I11" s="15">
        <f t="shared" si="0"/>
        <v>3</v>
      </c>
      <c r="J11" s="16">
        <v>9</v>
      </c>
      <c r="K11" s="11">
        <v>46125</v>
      </c>
      <c r="L11" s="12" t="s">
        <v>69</v>
      </c>
      <c r="M11" s="12" t="s">
        <v>140</v>
      </c>
      <c r="N11" s="17">
        <v>3</v>
      </c>
      <c r="O11" s="13"/>
      <c r="P11" s="21"/>
      <c r="Q11">
        <f t="shared" si="1"/>
        <v>3</v>
      </c>
    </row>
    <row r="12" customFormat="1" ht="22" customHeight="1" spans="1:17">
      <c r="A12" s="10">
        <v>10</v>
      </c>
      <c r="B12" s="11">
        <v>46125</v>
      </c>
      <c r="C12" s="12" t="s">
        <v>111</v>
      </c>
      <c r="D12" s="12" t="s">
        <v>140</v>
      </c>
      <c r="E12" s="13">
        <v>3</v>
      </c>
      <c r="F12" s="13"/>
      <c r="G12" s="21"/>
      <c r="H12" s="15"/>
      <c r="I12" s="15">
        <f t="shared" si="0"/>
        <v>3</v>
      </c>
      <c r="J12" s="16">
        <v>10</v>
      </c>
      <c r="K12" s="11">
        <v>46125</v>
      </c>
      <c r="L12" s="12" t="s">
        <v>70</v>
      </c>
      <c r="M12" s="12" t="s">
        <v>140</v>
      </c>
      <c r="N12" s="13"/>
      <c r="O12" s="17">
        <v>3</v>
      </c>
      <c r="P12" s="21" t="s">
        <v>71</v>
      </c>
      <c r="Q12">
        <f t="shared" si="1"/>
        <v>3</v>
      </c>
    </row>
    <row r="13" customFormat="1" ht="22" customHeight="1" spans="1:17">
      <c r="A13" s="10">
        <v>11</v>
      </c>
      <c r="B13" s="11">
        <v>46125</v>
      </c>
      <c r="C13" s="12" t="s">
        <v>112</v>
      </c>
      <c r="D13" s="12" t="s">
        <v>140</v>
      </c>
      <c r="E13" s="13">
        <v>1</v>
      </c>
      <c r="F13" s="13">
        <v>2</v>
      </c>
      <c r="G13" s="21"/>
      <c r="H13" s="15"/>
      <c r="I13" s="15">
        <f t="shared" si="0"/>
        <v>3</v>
      </c>
      <c r="J13" s="16">
        <v>11</v>
      </c>
      <c r="K13" s="11">
        <v>46125</v>
      </c>
      <c r="L13" s="12" t="s">
        <v>72</v>
      </c>
      <c r="M13" s="12" t="s">
        <v>140</v>
      </c>
      <c r="N13" s="17">
        <v>3</v>
      </c>
      <c r="O13" s="13"/>
      <c r="P13" s="21"/>
      <c r="Q13">
        <f t="shared" si="1"/>
        <v>3</v>
      </c>
    </row>
    <row r="14" customFormat="1" ht="22" customHeight="1" spans="1:17">
      <c r="A14" s="10">
        <v>12</v>
      </c>
      <c r="B14" s="11">
        <v>46125</v>
      </c>
      <c r="C14" s="12" t="s">
        <v>113</v>
      </c>
      <c r="D14" s="12" t="s">
        <v>140</v>
      </c>
      <c r="E14" s="13">
        <v>1</v>
      </c>
      <c r="F14" s="13">
        <v>2</v>
      </c>
      <c r="G14" s="21"/>
      <c r="H14" s="15"/>
      <c r="I14" s="15">
        <f t="shared" si="0"/>
        <v>3</v>
      </c>
      <c r="J14" s="16">
        <v>12</v>
      </c>
      <c r="K14" s="11">
        <v>46125</v>
      </c>
      <c r="L14" s="12" t="s">
        <v>73</v>
      </c>
      <c r="M14" s="12" t="s">
        <v>140</v>
      </c>
      <c r="N14" s="17">
        <v>3</v>
      </c>
      <c r="O14" s="13"/>
      <c r="P14" s="21"/>
      <c r="Q14">
        <f t="shared" si="1"/>
        <v>3</v>
      </c>
    </row>
    <row r="15" customFormat="1" ht="22" customHeight="1" spans="1:17">
      <c r="A15" s="10">
        <v>13</v>
      </c>
      <c r="B15" s="11">
        <v>46125</v>
      </c>
      <c r="C15" s="12" t="s">
        <v>114</v>
      </c>
      <c r="D15" s="12" t="s">
        <v>140</v>
      </c>
      <c r="E15" s="13">
        <v>1</v>
      </c>
      <c r="F15" s="13">
        <v>2</v>
      </c>
      <c r="G15" s="21"/>
      <c r="H15" s="15"/>
      <c r="I15" s="15">
        <f t="shared" si="0"/>
        <v>3</v>
      </c>
      <c r="J15" s="16">
        <v>13</v>
      </c>
      <c r="K15" s="11">
        <v>46125</v>
      </c>
      <c r="L15" s="12" t="s">
        <v>74</v>
      </c>
      <c r="M15" s="12" t="s">
        <v>140</v>
      </c>
      <c r="N15" s="13">
        <v>2</v>
      </c>
      <c r="O15" s="13">
        <v>1</v>
      </c>
      <c r="P15" s="21" t="s">
        <v>76</v>
      </c>
      <c r="Q15">
        <f t="shared" si="1"/>
        <v>3</v>
      </c>
    </row>
    <row r="16" customFormat="1" ht="22" customHeight="1" spans="1:17">
      <c r="A16" s="10">
        <v>14</v>
      </c>
      <c r="B16" s="11">
        <v>46125</v>
      </c>
      <c r="C16" s="12" t="s">
        <v>115</v>
      </c>
      <c r="D16" s="12" t="s">
        <v>140</v>
      </c>
      <c r="E16" s="13">
        <v>3</v>
      </c>
      <c r="F16" s="13"/>
      <c r="G16" s="21"/>
      <c r="H16" s="15"/>
      <c r="I16" s="15">
        <f t="shared" si="0"/>
        <v>3</v>
      </c>
      <c r="J16" s="16">
        <v>14</v>
      </c>
      <c r="K16" s="11">
        <v>46125</v>
      </c>
      <c r="L16" s="12" t="s">
        <v>77</v>
      </c>
      <c r="M16" s="12" t="s">
        <v>140</v>
      </c>
      <c r="N16" s="13">
        <v>2</v>
      </c>
      <c r="O16" s="13">
        <v>1</v>
      </c>
      <c r="P16" s="21" t="s">
        <v>78</v>
      </c>
      <c r="Q16">
        <f t="shared" si="1"/>
        <v>3</v>
      </c>
    </row>
    <row r="17" customFormat="1" ht="22" customHeight="1" spans="1:17">
      <c r="A17" s="10">
        <v>15</v>
      </c>
      <c r="B17" s="11">
        <v>46125</v>
      </c>
      <c r="C17" s="12" t="s">
        <v>116</v>
      </c>
      <c r="D17" s="12" t="s">
        <v>140</v>
      </c>
      <c r="E17" s="13">
        <v>3</v>
      </c>
      <c r="F17" s="13"/>
      <c r="G17" s="21"/>
      <c r="H17" s="15"/>
      <c r="I17" s="15">
        <f t="shared" si="0"/>
        <v>3</v>
      </c>
      <c r="J17" s="16">
        <v>15</v>
      </c>
      <c r="K17" s="11">
        <v>46125</v>
      </c>
      <c r="L17" s="12" t="s">
        <v>79</v>
      </c>
      <c r="M17" s="12" t="s">
        <v>140</v>
      </c>
      <c r="N17" s="17">
        <v>3</v>
      </c>
      <c r="O17" s="13"/>
      <c r="P17" s="21"/>
      <c r="Q17">
        <f t="shared" si="1"/>
        <v>3</v>
      </c>
    </row>
    <row r="18" customFormat="1" ht="22" customHeight="1" spans="1:17">
      <c r="A18" s="10">
        <v>16</v>
      </c>
      <c r="B18" s="11">
        <v>46125</v>
      </c>
      <c r="C18" s="12" t="s">
        <v>117</v>
      </c>
      <c r="D18" s="12" t="s">
        <v>140</v>
      </c>
      <c r="E18" s="13"/>
      <c r="F18" s="13">
        <v>3</v>
      </c>
      <c r="G18" s="21"/>
      <c r="H18" s="15"/>
      <c r="I18" s="15">
        <f t="shared" si="0"/>
        <v>3</v>
      </c>
      <c r="J18" s="16">
        <v>16</v>
      </c>
      <c r="K18" s="11">
        <v>46125</v>
      </c>
      <c r="L18" s="12" t="s">
        <v>81</v>
      </c>
      <c r="M18" s="12" t="s">
        <v>140</v>
      </c>
      <c r="N18" s="13">
        <v>1</v>
      </c>
      <c r="O18" s="17">
        <v>2</v>
      </c>
      <c r="P18" s="21" t="s">
        <v>82</v>
      </c>
      <c r="Q18">
        <f t="shared" si="1"/>
        <v>3</v>
      </c>
    </row>
    <row r="19" customFormat="1" ht="22" customHeight="1" spans="1:17">
      <c r="A19" s="10">
        <v>17</v>
      </c>
      <c r="B19" s="11">
        <v>46125</v>
      </c>
      <c r="C19" s="12" t="s">
        <v>118</v>
      </c>
      <c r="D19" s="12" t="s">
        <v>140</v>
      </c>
      <c r="E19" s="13">
        <v>1</v>
      </c>
      <c r="F19" s="13">
        <v>2</v>
      </c>
      <c r="G19" s="21"/>
      <c r="H19" s="15"/>
      <c r="I19" s="15">
        <f t="shared" si="0"/>
        <v>3</v>
      </c>
      <c r="J19" s="16">
        <v>17</v>
      </c>
      <c r="K19" s="11">
        <v>46125</v>
      </c>
      <c r="L19" s="12" t="s">
        <v>83</v>
      </c>
      <c r="M19" s="12" t="s">
        <v>140</v>
      </c>
      <c r="N19" s="13">
        <v>2</v>
      </c>
      <c r="O19" s="13">
        <v>1</v>
      </c>
      <c r="P19" s="21" t="s">
        <v>84</v>
      </c>
      <c r="Q19">
        <f t="shared" si="1"/>
        <v>3</v>
      </c>
    </row>
    <row r="20" customFormat="1" ht="22" customHeight="1" spans="1:17">
      <c r="A20" s="10">
        <v>18</v>
      </c>
      <c r="B20" s="11">
        <v>46125</v>
      </c>
      <c r="C20" s="12" t="s">
        <v>119</v>
      </c>
      <c r="D20" s="12" t="s">
        <v>140</v>
      </c>
      <c r="E20" s="13">
        <v>3</v>
      </c>
      <c r="F20" s="13"/>
      <c r="G20" s="21"/>
      <c r="H20" s="15"/>
      <c r="I20" s="15">
        <f t="shared" si="0"/>
        <v>3</v>
      </c>
      <c r="J20" s="16">
        <v>18</v>
      </c>
      <c r="K20" s="11">
        <v>46125</v>
      </c>
      <c r="L20" s="12" t="s">
        <v>85</v>
      </c>
      <c r="M20" s="12" t="s">
        <v>140</v>
      </c>
      <c r="N20" s="13">
        <v>2</v>
      </c>
      <c r="O20" s="13">
        <v>1</v>
      </c>
      <c r="P20" s="20" t="s">
        <v>154</v>
      </c>
      <c r="Q20">
        <f t="shared" si="1"/>
        <v>3</v>
      </c>
    </row>
    <row r="21" customFormat="1" ht="22" customHeight="1" spans="1:17">
      <c r="A21" s="10">
        <v>19</v>
      </c>
      <c r="B21" s="11">
        <v>46125</v>
      </c>
      <c r="C21" s="12" t="s">
        <v>120</v>
      </c>
      <c r="D21" s="12" t="s">
        <v>140</v>
      </c>
      <c r="E21" s="13"/>
      <c r="F21" s="13">
        <v>3</v>
      </c>
      <c r="G21" s="21"/>
      <c r="H21" s="15"/>
      <c r="I21" s="15">
        <f t="shared" si="0"/>
        <v>3</v>
      </c>
      <c r="J21" s="16">
        <v>19</v>
      </c>
      <c r="K21" s="11">
        <v>46125</v>
      </c>
      <c r="L21" s="12" t="s">
        <v>86</v>
      </c>
      <c r="M21" s="12" t="s">
        <v>140</v>
      </c>
      <c r="N21" s="13">
        <v>2</v>
      </c>
      <c r="O21" s="13">
        <v>1</v>
      </c>
      <c r="P21" s="20" t="s">
        <v>154</v>
      </c>
      <c r="Q21">
        <f t="shared" si="1"/>
        <v>3</v>
      </c>
    </row>
    <row r="22" customFormat="1" ht="22" customHeight="1" spans="1:17">
      <c r="A22" s="10">
        <v>20</v>
      </c>
      <c r="B22" s="11">
        <v>46125</v>
      </c>
      <c r="C22" s="12" t="s">
        <v>121</v>
      </c>
      <c r="D22" s="12" t="s">
        <v>140</v>
      </c>
      <c r="E22" s="13"/>
      <c r="F22" s="13">
        <v>3</v>
      </c>
      <c r="G22" s="21"/>
      <c r="H22" s="15"/>
      <c r="I22" s="15">
        <f t="shared" si="0"/>
        <v>3</v>
      </c>
      <c r="J22" s="16">
        <v>20</v>
      </c>
      <c r="K22" s="11">
        <v>46125</v>
      </c>
      <c r="L22" s="12" t="s">
        <v>87</v>
      </c>
      <c r="M22" s="12" t="s">
        <v>140</v>
      </c>
      <c r="N22" s="17">
        <v>3</v>
      </c>
      <c r="O22" s="13"/>
      <c r="P22" s="20"/>
      <c r="Q22">
        <f t="shared" si="1"/>
        <v>3</v>
      </c>
    </row>
    <row r="23" customFormat="1" ht="22" customHeight="1" spans="1:17">
      <c r="A23" s="10">
        <v>21</v>
      </c>
      <c r="B23" s="11">
        <v>46125</v>
      </c>
      <c r="C23" s="12" t="s">
        <v>122</v>
      </c>
      <c r="D23" s="12" t="s">
        <v>140</v>
      </c>
      <c r="E23" s="13"/>
      <c r="F23" s="13">
        <v>3</v>
      </c>
      <c r="G23" s="21"/>
      <c r="H23" s="15"/>
      <c r="I23" s="15">
        <f t="shared" si="0"/>
        <v>3</v>
      </c>
      <c r="J23" s="16">
        <v>21</v>
      </c>
      <c r="K23" s="11">
        <v>46125</v>
      </c>
      <c r="L23" s="12" t="s">
        <v>88</v>
      </c>
      <c r="M23" s="12" t="s">
        <v>140</v>
      </c>
      <c r="N23" s="13"/>
      <c r="O23" s="17">
        <v>3</v>
      </c>
      <c r="P23" s="21" t="s">
        <v>89</v>
      </c>
      <c r="Q23">
        <f t="shared" si="1"/>
        <v>3</v>
      </c>
    </row>
    <row r="24" customFormat="1" ht="22" customHeight="1" spans="1:17">
      <c r="A24" s="10">
        <v>22</v>
      </c>
      <c r="B24" s="11">
        <v>46125</v>
      </c>
      <c r="C24" s="12" t="s">
        <v>23</v>
      </c>
      <c r="D24" s="12" t="s">
        <v>140</v>
      </c>
      <c r="E24" s="13"/>
      <c r="F24" s="13">
        <v>3</v>
      </c>
      <c r="G24" s="21"/>
      <c r="H24" s="15"/>
      <c r="I24" s="15">
        <f t="shared" si="0"/>
        <v>3</v>
      </c>
      <c r="J24" s="16">
        <v>22</v>
      </c>
      <c r="K24" s="11">
        <v>46125</v>
      </c>
      <c r="L24" s="12" t="s">
        <v>90</v>
      </c>
      <c r="M24" s="12" t="s">
        <v>140</v>
      </c>
      <c r="N24" s="17"/>
      <c r="O24" s="13">
        <v>3</v>
      </c>
      <c r="P24" s="23" t="s">
        <v>155</v>
      </c>
      <c r="Q24">
        <f t="shared" si="1"/>
        <v>3</v>
      </c>
    </row>
    <row r="25" customFormat="1" ht="22" customHeight="1" spans="1:17">
      <c r="A25" s="10">
        <v>23</v>
      </c>
      <c r="B25" s="11">
        <v>46125</v>
      </c>
      <c r="C25" s="12" t="s">
        <v>24</v>
      </c>
      <c r="D25" s="12" t="s">
        <v>140</v>
      </c>
      <c r="E25" s="13"/>
      <c r="F25" s="13">
        <v>3</v>
      </c>
      <c r="G25" s="21"/>
      <c r="H25" s="15"/>
      <c r="I25" s="15">
        <f t="shared" si="0"/>
        <v>3</v>
      </c>
      <c r="J25" s="16">
        <v>23</v>
      </c>
      <c r="K25" s="11">
        <v>46125</v>
      </c>
      <c r="L25" s="12" t="s">
        <v>91</v>
      </c>
      <c r="M25" s="12" t="s">
        <v>140</v>
      </c>
      <c r="N25" s="13">
        <v>2</v>
      </c>
      <c r="O25" s="13">
        <v>1</v>
      </c>
      <c r="P25" s="21" t="s">
        <v>148</v>
      </c>
      <c r="Q25">
        <f t="shared" si="1"/>
        <v>3</v>
      </c>
    </row>
    <row r="26" customFormat="1" ht="22" customHeight="1" spans="1:17">
      <c r="A26" s="10">
        <v>24</v>
      </c>
      <c r="B26" s="11">
        <v>46125</v>
      </c>
      <c r="C26" s="12" t="s">
        <v>25</v>
      </c>
      <c r="D26" s="12" t="s">
        <v>140</v>
      </c>
      <c r="E26" s="13">
        <v>1</v>
      </c>
      <c r="F26" s="13">
        <v>2</v>
      </c>
      <c r="G26" s="21"/>
      <c r="H26" s="15"/>
      <c r="I26" s="15">
        <f t="shared" si="0"/>
        <v>3</v>
      </c>
      <c r="J26" s="16">
        <v>24</v>
      </c>
      <c r="K26" s="11">
        <v>46125</v>
      </c>
      <c r="L26" s="12" t="s">
        <v>93</v>
      </c>
      <c r="M26" s="12" t="s">
        <v>140</v>
      </c>
      <c r="N26" s="13"/>
      <c r="O26" s="17">
        <v>3</v>
      </c>
      <c r="P26" s="21" t="s">
        <v>94</v>
      </c>
      <c r="Q26">
        <f t="shared" si="1"/>
        <v>3</v>
      </c>
    </row>
    <row r="27" customFormat="1" ht="22" customHeight="1" spans="1:17">
      <c r="A27" s="10">
        <v>25</v>
      </c>
      <c r="B27" s="11">
        <v>46125</v>
      </c>
      <c r="C27" s="12" t="s">
        <v>26</v>
      </c>
      <c r="D27" s="12" t="s">
        <v>140</v>
      </c>
      <c r="E27" s="13">
        <v>3</v>
      </c>
      <c r="F27" s="13"/>
      <c r="G27" s="21"/>
      <c r="H27" s="15"/>
      <c r="I27" s="15">
        <f t="shared" si="0"/>
        <v>3</v>
      </c>
      <c r="J27" s="16">
        <v>25</v>
      </c>
      <c r="K27" s="11">
        <v>46125</v>
      </c>
      <c r="L27" s="24" t="s">
        <v>134</v>
      </c>
      <c r="M27" s="12" t="s">
        <v>140</v>
      </c>
      <c r="N27" s="13">
        <v>3</v>
      </c>
      <c r="O27" s="13"/>
      <c r="P27" s="21"/>
      <c r="Q27">
        <f t="shared" si="1"/>
        <v>3</v>
      </c>
    </row>
    <row r="28" customFormat="1" ht="22" customHeight="1" spans="1:17">
      <c r="A28" s="10">
        <v>26</v>
      </c>
      <c r="B28" s="11">
        <v>46125</v>
      </c>
      <c r="C28" s="12" t="s">
        <v>27</v>
      </c>
      <c r="D28" s="12" t="s">
        <v>140</v>
      </c>
      <c r="E28" s="13">
        <v>3</v>
      </c>
      <c r="F28" s="13"/>
      <c r="G28" s="21"/>
      <c r="H28" s="15"/>
      <c r="I28" s="15">
        <f t="shared" si="0"/>
        <v>3</v>
      </c>
      <c r="J28" s="16">
        <v>26</v>
      </c>
      <c r="K28" s="11">
        <v>46125</v>
      </c>
      <c r="L28" s="25" t="s">
        <v>135</v>
      </c>
      <c r="M28" s="12" t="s">
        <v>140</v>
      </c>
      <c r="N28" s="13"/>
      <c r="O28" s="13">
        <v>3</v>
      </c>
      <c r="P28" s="21" t="s">
        <v>94</v>
      </c>
      <c r="Q28">
        <f t="shared" si="1"/>
        <v>3</v>
      </c>
    </row>
    <row r="29" customFormat="1" ht="22" customHeight="1" spans="1:17">
      <c r="A29" s="10">
        <v>27</v>
      </c>
      <c r="B29" s="11">
        <v>46125</v>
      </c>
      <c r="C29" s="12" t="s">
        <v>33</v>
      </c>
      <c r="D29" s="12" t="s">
        <v>140</v>
      </c>
      <c r="E29" s="13">
        <v>3</v>
      </c>
      <c r="F29" s="13"/>
      <c r="G29" s="21"/>
      <c r="H29" s="15"/>
      <c r="I29" s="15">
        <f t="shared" si="0"/>
        <v>3</v>
      </c>
      <c r="J29" s="16"/>
      <c r="K29" s="11"/>
      <c r="L29" s="12"/>
      <c r="M29" s="12"/>
      <c r="N29" s="13"/>
      <c r="O29" s="13"/>
      <c r="P29" s="21"/>
    </row>
    <row r="30" customFormat="1" ht="22" customHeight="1" spans="1:17">
      <c r="A30" s="10">
        <v>28</v>
      </c>
      <c r="B30" s="11">
        <v>46125</v>
      </c>
      <c r="C30" s="12" t="s">
        <v>35</v>
      </c>
      <c r="D30" s="12" t="s">
        <v>140</v>
      </c>
      <c r="E30" s="13"/>
      <c r="F30" s="13">
        <v>3</v>
      </c>
      <c r="G30" s="21"/>
      <c r="H30" s="15"/>
      <c r="I30" s="15">
        <f t="shared" si="0"/>
        <v>3</v>
      </c>
      <c r="J30" s="16"/>
      <c r="K30" s="11"/>
      <c r="L30" s="12"/>
      <c r="M30" s="12"/>
      <c r="N30" s="13"/>
      <c r="O30" s="13"/>
      <c r="P30" s="21"/>
    </row>
    <row r="31" customFormat="1" ht="22" customHeight="1" spans="1:17">
      <c r="A31" s="10">
        <v>29</v>
      </c>
      <c r="B31" s="11">
        <v>46125</v>
      </c>
      <c r="C31" s="12" t="s">
        <v>123</v>
      </c>
      <c r="D31" s="12" t="s">
        <v>140</v>
      </c>
      <c r="E31" s="13">
        <v>3</v>
      </c>
      <c r="F31" s="13"/>
      <c r="G31" s="21"/>
      <c r="H31" s="15"/>
      <c r="I31" s="15">
        <f t="shared" si="0"/>
        <v>3</v>
      </c>
      <c r="J31" s="16"/>
      <c r="K31" s="11"/>
      <c r="L31" s="12"/>
      <c r="M31" s="12"/>
      <c r="N31" s="13"/>
      <c r="O31" s="13"/>
      <c r="P31" s="21"/>
    </row>
    <row r="32" customFormat="1" ht="22" customHeight="1" spans="1:17">
      <c r="A32" s="10">
        <v>30</v>
      </c>
      <c r="B32" s="11">
        <v>46125</v>
      </c>
      <c r="C32" s="12" t="s">
        <v>124</v>
      </c>
      <c r="D32" s="12" t="s">
        <v>140</v>
      </c>
      <c r="E32" s="13"/>
      <c r="F32" s="13">
        <v>3</v>
      </c>
      <c r="G32" s="21"/>
      <c r="H32" s="15"/>
      <c r="I32" s="15">
        <f t="shared" si="0"/>
        <v>3</v>
      </c>
      <c r="J32" s="16"/>
      <c r="K32" s="11"/>
      <c r="L32" s="12"/>
      <c r="M32" s="12"/>
      <c r="N32" s="13"/>
      <c r="O32" s="13"/>
      <c r="P32" s="21"/>
    </row>
    <row r="33" customFormat="1" ht="22" customHeight="1" spans="1:16">
      <c r="A33" s="10">
        <v>31</v>
      </c>
      <c r="B33" s="11">
        <v>46125</v>
      </c>
      <c r="C33" s="12" t="s">
        <v>125</v>
      </c>
      <c r="D33" s="12" t="s">
        <v>140</v>
      </c>
      <c r="E33" s="13">
        <v>3</v>
      </c>
      <c r="F33" s="13"/>
      <c r="G33" s="21"/>
      <c r="H33" s="15"/>
      <c r="I33" s="15">
        <f t="shared" si="0"/>
        <v>3</v>
      </c>
      <c r="J33" s="16"/>
      <c r="K33" s="11"/>
      <c r="L33" s="12"/>
      <c r="M33" s="12"/>
      <c r="N33" s="13"/>
      <c r="O33" s="13"/>
      <c r="P33" s="21"/>
    </row>
    <row r="34" customFormat="1" ht="22" customHeight="1" spans="1:16">
      <c r="A34" s="10">
        <v>32</v>
      </c>
      <c r="B34" s="11">
        <v>46125</v>
      </c>
      <c r="C34" s="12" t="s">
        <v>29</v>
      </c>
      <c r="D34" s="12" t="s">
        <v>140</v>
      </c>
      <c r="E34" s="13"/>
      <c r="F34" s="13">
        <v>3</v>
      </c>
      <c r="G34" s="21"/>
      <c r="H34" s="15"/>
      <c r="I34" s="15">
        <f t="shared" si="0"/>
        <v>3</v>
      </c>
      <c r="N34" s="13">
        <f>SUM(N3:N33)</f>
        <v>41</v>
      </c>
      <c r="O34" s="13">
        <f>SUM(O3:O33)</f>
        <v>37</v>
      </c>
    </row>
    <row r="35" customFormat="1" ht="22" customHeight="1" spans="1:16">
      <c r="A35" s="10">
        <v>33</v>
      </c>
      <c r="B35" s="11">
        <v>46125</v>
      </c>
      <c r="C35" s="12" t="s">
        <v>30</v>
      </c>
      <c r="D35" s="12" t="s">
        <v>140</v>
      </c>
      <c r="E35" s="13">
        <v>3</v>
      </c>
      <c r="F35" s="13"/>
      <c r="G35" s="21"/>
      <c r="H35" s="15"/>
      <c r="I35" s="15">
        <f t="shared" si="0"/>
        <v>3</v>
      </c>
    </row>
    <row r="36" customFormat="1" ht="22" customHeight="1" spans="1:16">
      <c r="A36" s="10">
        <v>34</v>
      </c>
      <c r="B36" s="11">
        <v>46125</v>
      </c>
      <c r="C36" s="12" t="s">
        <v>31</v>
      </c>
      <c r="D36" s="12" t="s">
        <v>140</v>
      </c>
      <c r="E36" s="13"/>
      <c r="F36" s="13">
        <v>3</v>
      </c>
      <c r="G36" s="21"/>
      <c r="H36" s="15"/>
      <c r="I36" s="15">
        <f t="shared" si="0"/>
        <v>3</v>
      </c>
    </row>
    <row r="37" customFormat="1" ht="22" customHeight="1" spans="1:16">
      <c r="A37" s="10">
        <v>35</v>
      </c>
      <c r="B37" s="11">
        <v>46125</v>
      </c>
      <c r="C37" s="12" t="s">
        <v>126</v>
      </c>
      <c r="D37" s="12" t="s">
        <v>140</v>
      </c>
      <c r="E37" s="13"/>
      <c r="F37" s="13">
        <v>3</v>
      </c>
      <c r="G37" s="21"/>
      <c r="H37" s="15"/>
      <c r="I37" s="15">
        <f t="shared" si="0"/>
        <v>3</v>
      </c>
    </row>
    <row r="38" customFormat="1" ht="22" customHeight="1" spans="1:16">
      <c r="A38" s="10">
        <v>36</v>
      </c>
      <c r="B38" s="11">
        <v>46125</v>
      </c>
      <c r="C38" s="12" t="s">
        <v>127</v>
      </c>
      <c r="D38" s="12" t="s">
        <v>140</v>
      </c>
      <c r="E38" s="13">
        <v>3</v>
      </c>
      <c r="F38" s="13"/>
      <c r="G38" s="21"/>
      <c r="H38" s="15"/>
      <c r="I38" s="15">
        <f t="shared" si="0"/>
        <v>3</v>
      </c>
    </row>
    <row r="39" customFormat="1" ht="22" customHeight="1" spans="1:16">
      <c r="A39" s="10">
        <v>37</v>
      </c>
      <c r="B39" s="11">
        <v>46125</v>
      </c>
      <c r="C39" s="39" t="s">
        <v>132</v>
      </c>
      <c r="D39" s="12" t="s">
        <v>140</v>
      </c>
      <c r="E39" s="13">
        <v>2</v>
      </c>
      <c r="F39" s="13">
        <v>1</v>
      </c>
      <c r="G39" s="21" t="s">
        <v>143</v>
      </c>
      <c r="H39" t="s">
        <v>149</v>
      </c>
      <c r="I39" s="15">
        <f t="shared" si="0"/>
        <v>3</v>
      </c>
    </row>
    <row r="40" customFormat="1" ht="22" customHeight="1" spans="1:16">
      <c r="A40" s="10">
        <v>38</v>
      </c>
      <c r="B40" s="11">
        <v>46125</v>
      </c>
      <c r="C40" s="40" t="s">
        <v>36</v>
      </c>
      <c r="D40" s="12" t="s">
        <v>140</v>
      </c>
      <c r="E40" s="13">
        <v>2</v>
      </c>
      <c r="F40" s="13">
        <v>1</v>
      </c>
      <c r="G40" s="21" t="s">
        <v>143</v>
      </c>
      <c r="H40" t="s">
        <v>149</v>
      </c>
      <c r="I40" s="15">
        <f t="shared" si="0"/>
        <v>3</v>
      </c>
    </row>
    <row r="41" customFormat="1" ht="22" customHeight="1" spans="1:16">
      <c r="A41" s="10">
        <v>39</v>
      </c>
      <c r="B41" s="11">
        <v>46125</v>
      </c>
      <c r="C41" s="26" t="s">
        <v>133</v>
      </c>
      <c r="D41" s="26" t="s">
        <v>140</v>
      </c>
      <c r="E41" s="28">
        <v>2</v>
      </c>
      <c r="F41" s="28">
        <v>1</v>
      </c>
      <c r="G41" s="29" t="s">
        <v>150</v>
      </c>
      <c r="H41" t="s">
        <v>149</v>
      </c>
      <c r="I41" s="15">
        <f t="shared" si="0"/>
        <v>3</v>
      </c>
    </row>
    <row r="42" customFormat="1" ht="22" customHeight="1" spans="1:16">
      <c r="A42" s="10"/>
      <c r="B42" s="11"/>
      <c r="C42" s="41"/>
      <c r="D42" s="41"/>
      <c r="E42" s="41"/>
      <c r="F42" s="41"/>
      <c r="G42" s="41"/>
    </row>
    <row r="43" customFormat="1" ht="22" customHeight="1" spans="1:16">
      <c r="A43" s="10"/>
      <c r="B43" s="11"/>
      <c r="C43" s="34"/>
      <c r="D43" s="34"/>
      <c r="E43" s="35"/>
      <c r="F43" s="35"/>
      <c r="G43" s="36"/>
      <c r="H43" s="22"/>
    </row>
    <row r="44" customFormat="1" ht="22" customHeight="1" spans="1:16">
      <c r="E44">
        <f>SUM(E3:E43)</f>
        <v>51</v>
      </c>
      <c r="F44">
        <f>SUM(F3:F43)</f>
        <v>66</v>
      </c>
    </row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 spans="10:16">
      <c r="J56" s="10"/>
      <c r="K56" s="11"/>
      <c r="L56" s="12"/>
      <c r="M56" s="12"/>
      <c r="N56" s="13"/>
      <c r="O56" s="13"/>
      <c r="P56" s="21"/>
    </row>
    <row r="57" ht="22" customHeight="1" spans="10:16">
      <c r="K57" s="37"/>
      <c r="L57" s="37"/>
      <c r="M57" s="37"/>
      <c r="N57" s="38"/>
      <c r="O57" s="38"/>
    </row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customFormat="1" ht="22" customHeight="1" spans="1:8">
      <c r="A66" s="10"/>
      <c r="B66" s="11"/>
      <c r="C66" s="12"/>
      <c r="D66" s="12"/>
      <c r="E66" s="13"/>
      <c r="F66" s="13"/>
      <c r="G66" s="21"/>
      <c r="H66" s="22"/>
    </row>
    <row r="67" customFormat="1" ht="21" customHeight="1" spans="1:8">
      <c r="B67" s="37"/>
      <c r="C67" s="37"/>
      <c r="D67" s="37"/>
      <c r="E67" s="38">
        <f>SUM(E3:E66)</f>
        <v>102</v>
      </c>
      <c r="F67" s="38">
        <f>SUM(F3:F66)</f>
        <v>132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6"/>
  <sheetViews>
    <sheetView workbookViewId="0">
      <pane ySplit="2" topLeftCell="A3" activePane="bottomLeft" state="frozen"/>
      <selection/>
      <selection pane="bottomLeft" activeCell="G46" sqref="G46"/>
    </sheetView>
  </sheetViews>
  <sheetFormatPr defaultColWidth="9.14285714285714" defaultRowHeight="12"/>
  <cols>
    <col min="1" max="1" width="9.28571428571429" customWidth="1"/>
    <col min="2" max="2" width="14.4285714285714" customWidth="1"/>
    <col min="3" max="3" width="16.8571428571429" customWidth="1"/>
    <col min="4" max="6" width="12.1428571428571" customWidth="1"/>
    <col min="7" max="7" width="31.4285714285714" customWidth="1"/>
    <col min="8" max="8" width="13.1428571428571" customWidth="1"/>
    <col min="10" max="10" width="8.28571428571429" customWidth="1"/>
    <col min="11" max="11" width="11.2857142857143" customWidth="1"/>
    <col min="12" max="12" width="13.7142857142857" customWidth="1"/>
    <col min="13" max="13" width="11" customWidth="1"/>
    <col min="14" max="15" width="8" customWidth="1"/>
    <col min="16" max="16" width="32.4285714285714" customWidth="1"/>
  </cols>
  <sheetData>
    <row r="1" customFormat="1" ht="38" customHeight="1" spans="1:17">
      <c r="A1" s="2" t="s">
        <v>136</v>
      </c>
      <c r="B1" s="2"/>
      <c r="C1" s="2"/>
      <c r="D1" s="2"/>
      <c r="E1" s="2"/>
      <c r="F1" s="3"/>
      <c r="G1" s="4"/>
      <c r="H1" s="5"/>
      <c r="J1" s="2" t="s">
        <v>145</v>
      </c>
      <c r="K1" s="2"/>
      <c r="L1" s="2"/>
      <c r="M1" s="2"/>
      <c r="N1" s="2"/>
      <c r="O1" s="3"/>
      <c r="P1" s="4"/>
    </row>
    <row r="2" s="1" customFormat="1" ht="32" customHeight="1" spans="1:17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H2" s="9"/>
      <c r="J2" s="6" t="s">
        <v>1</v>
      </c>
      <c r="K2" s="6" t="s">
        <v>98</v>
      </c>
      <c r="L2" s="6" t="s">
        <v>99</v>
      </c>
      <c r="M2" s="7" t="s">
        <v>137</v>
      </c>
      <c r="N2" s="8" t="s">
        <v>138</v>
      </c>
      <c r="O2" s="8" t="s">
        <v>139</v>
      </c>
      <c r="P2" s="8" t="s">
        <v>9</v>
      </c>
      <c r="Q2"/>
    </row>
    <row r="3" customFormat="1" ht="22" customHeight="1" spans="1:17">
      <c r="A3" s="10">
        <v>1</v>
      </c>
      <c r="B3" s="11">
        <v>46128</v>
      </c>
      <c r="C3" s="12" t="s">
        <v>102</v>
      </c>
      <c r="D3" s="12" t="s">
        <v>146</v>
      </c>
      <c r="E3" s="13">
        <v>1</v>
      </c>
      <c r="F3" s="13">
        <v>1</v>
      </c>
      <c r="G3" s="14"/>
      <c r="H3" s="15"/>
      <c r="J3" s="16">
        <v>1</v>
      </c>
      <c r="K3" s="11">
        <v>46128</v>
      </c>
      <c r="L3" s="12" t="s">
        <v>53</v>
      </c>
      <c r="M3" s="12" t="s">
        <v>146</v>
      </c>
      <c r="N3" s="13">
        <v>1</v>
      </c>
      <c r="O3" s="13">
        <v>1</v>
      </c>
      <c r="P3" s="14" t="s">
        <v>12</v>
      </c>
    </row>
    <row r="4" customFormat="1" ht="22" customHeight="1" spans="1:17">
      <c r="A4" s="10">
        <v>2</v>
      </c>
      <c r="B4" s="11">
        <v>46128</v>
      </c>
      <c r="C4" s="12" t="s">
        <v>103</v>
      </c>
      <c r="D4" s="12" t="s">
        <v>146</v>
      </c>
      <c r="E4" s="17"/>
      <c r="F4" s="13">
        <v>2</v>
      </c>
      <c r="G4" s="18"/>
      <c r="H4" s="19"/>
      <c r="J4" s="16">
        <v>2</v>
      </c>
      <c r="K4" s="11">
        <v>46128</v>
      </c>
      <c r="L4" s="12" t="s">
        <v>57</v>
      </c>
      <c r="M4" s="12" t="s">
        <v>146</v>
      </c>
      <c r="N4" s="17">
        <v>2</v>
      </c>
      <c r="O4" s="13"/>
      <c r="P4" s="18"/>
    </row>
    <row r="5" customFormat="1" ht="22" customHeight="1" spans="1:17">
      <c r="A5" s="10">
        <v>3</v>
      </c>
      <c r="B5" s="11">
        <v>46128</v>
      </c>
      <c r="C5" s="12" t="s">
        <v>104</v>
      </c>
      <c r="D5" s="12" t="s">
        <v>146</v>
      </c>
      <c r="E5" s="13"/>
      <c r="F5" s="13">
        <v>2</v>
      </c>
      <c r="G5" s="18"/>
      <c r="H5" s="19"/>
      <c r="J5" s="16">
        <v>3</v>
      </c>
      <c r="K5" s="11">
        <v>46128</v>
      </c>
      <c r="L5" s="12" t="s">
        <v>59</v>
      </c>
      <c r="M5" s="12" t="s">
        <v>146</v>
      </c>
      <c r="N5" s="17">
        <v>1</v>
      </c>
      <c r="O5" s="13">
        <v>1</v>
      </c>
      <c r="P5" s="20" t="s">
        <v>154</v>
      </c>
    </row>
    <row r="6" customFormat="1" ht="22" customHeight="1" spans="1:17">
      <c r="A6" s="10">
        <v>4</v>
      </c>
      <c r="B6" s="11">
        <v>46128</v>
      </c>
      <c r="C6" s="12" t="s">
        <v>105</v>
      </c>
      <c r="D6" s="12" t="s">
        <v>146</v>
      </c>
      <c r="E6" s="13"/>
      <c r="F6" s="13">
        <v>2</v>
      </c>
      <c r="G6" s="18"/>
      <c r="H6" s="19"/>
      <c r="J6" s="16">
        <v>4</v>
      </c>
      <c r="K6" s="11">
        <v>46128</v>
      </c>
      <c r="L6" s="12" t="s">
        <v>60</v>
      </c>
      <c r="M6" s="12" t="s">
        <v>146</v>
      </c>
      <c r="N6" s="13"/>
      <c r="O6" s="17">
        <v>2</v>
      </c>
      <c r="P6" s="18" t="s">
        <v>61</v>
      </c>
    </row>
    <row r="7" customFormat="1" ht="22" customHeight="1" spans="1:17">
      <c r="A7" s="10">
        <v>5</v>
      </c>
      <c r="B7" s="11">
        <v>46128</v>
      </c>
      <c r="C7" s="12" t="s">
        <v>106</v>
      </c>
      <c r="D7" s="12" t="s">
        <v>146</v>
      </c>
      <c r="E7" s="13"/>
      <c r="F7" s="13">
        <v>2</v>
      </c>
      <c r="G7" s="18"/>
      <c r="H7" s="19"/>
      <c r="J7" s="16">
        <v>5</v>
      </c>
      <c r="K7" s="11">
        <v>46128</v>
      </c>
      <c r="L7" s="12" t="s">
        <v>62</v>
      </c>
      <c r="M7" s="12" t="s">
        <v>146</v>
      </c>
      <c r="N7" s="13"/>
      <c r="O7" s="17">
        <v>2</v>
      </c>
      <c r="P7" s="18" t="s">
        <v>5</v>
      </c>
    </row>
    <row r="8" customFormat="1" ht="22" customHeight="1" spans="1:17">
      <c r="A8" s="10">
        <v>6</v>
      </c>
      <c r="B8" s="11">
        <v>46128</v>
      </c>
      <c r="C8" s="12" t="s">
        <v>107</v>
      </c>
      <c r="D8" s="12" t="s">
        <v>146</v>
      </c>
      <c r="E8" s="13">
        <v>2</v>
      </c>
      <c r="F8" s="13"/>
      <c r="G8" s="18"/>
      <c r="H8" s="19"/>
      <c r="J8" s="16">
        <v>6</v>
      </c>
      <c r="K8" s="11">
        <v>46128</v>
      </c>
      <c r="L8" s="12" t="s">
        <v>64</v>
      </c>
      <c r="M8" s="12" t="s">
        <v>146</v>
      </c>
      <c r="N8" s="13"/>
      <c r="O8" s="17">
        <v>2</v>
      </c>
      <c r="P8" s="18" t="s">
        <v>5</v>
      </c>
    </row>
    <row r="9" customFormat="1" ht="22" customHeight="1" spans="1:17">
      <c r="A9" s="10">
        <v>7</v>
      </c>
      <c r="B9" s="11">
        <v>46128</v>
      </c>
      <c r="C9" s="12" t="s">
        <v>108</v>
      </c>
      <c r="D9" s="12" t="s">
        <v>146</v>
      </c>
      <c r="E9" s="13">
        <v>2</v>
      </c>
      <c r="F9" s="13"/>
      <c r="G9" s="21"/>
      <c r="H9" s="22"/>
      <c r="J9" s="16">
        <v>7</v>
      </c>
      <c r="K9" s="11">
        <v>46128</v>
      </c>
      <c r="L9" s="12" t="s">
        <v>65</v>
      </c>
      <c r="M9" s="12" t="s">
        <v>146</v>
      </c>
      <c r="N9" s="13"/>
      <c r="O9" s="17">
        <v>2</v>
      </c>
      <c r="P9" s="21" t="s">
        <v>5</v>
      </c>
    </row>
    <row r="10" customFormat="1" ht="22" customHeight="1" spans="1:17">
      <c r="A10" s="10">
        <v>8</v>
      </c>
      <c r="B10" s="11">
        <v>46128</v>
      </c>
      <c r="C10" s="12" t="s">
        <v>109</v>
      </c>
      <c r="D10" s="12" t="s">
        <v>146</v>
      </c>
      <c r="E10" s="13"/>
      <c r="F10" s="13">
        <v>2</v>
      </c>
      <c r="G10" s="21"/>
      <c r="H10" s="22"/>
      <c r="J10" s="16">
        <v>8</v>
      </c>
      <c r="K10" s="11">
        <v>46128</v>
      </c>
      <c r="L10" s="12" t="s">
        <v>67</v>
      </c>
      <c r="M10" s="12" t="s">
        <v>146</v>
      </c>
      <c r="N10" s="17">
        <v>2</v>
      </c>
      <c r="O10" s="13"/>
      <c r="P10" s="21"/>
    </row>
    <row r="11" customFormat="1" ht="22" customHeight="1" spans="1:17">
      <c r="A11" s="10">
        <v>9</v>
      </c>
      <c r="B11" s="11">
        <v>46128</v>
      </c>
      <c r="C11" s="12" t="s">
        <v>110</v>
      </c>
      <c r="D11" s="12" t="s">
        <v>146</v>
      </c>
      <c r="E11" s="13"/>
      <c r="F11" s="13">
        <v>2</v>
      </c>
      <c r="G11" s="21"/>
      <c r="H11" s="22"/>
      <c r="J11" s="16">
        <v>9</v>
      </c>
      <c r="K11" s="11">
        <v>46128</v>
      </c>
      <c r="L11" s="12" t="s">
        <v>69</v>
      </c>
      <c r="M11" s="12" t="s">
        <v>146</v>
      </c>
      <c r="N11" s="17">
        <v>2</v>
      </c>
      <c r="O11" s="13"/>
      <c r="P11" s="21"/>
    </row>
    <row r="12" customFormat="1" ht="22" customHeight="1" spans="1:17">
      <c r="A12" s="10">
        <v>10</v>
      </c>
      <c r="B12" s="11">
        <v>46128</v>
      </c>
      <c r="C12" s="12" t="s">
        <v>111</v>
      </c>
      <c r="D12" s="12" t="s">
        <v>146</v>
      </c>
      <c r="E12" s="13">
        <v>2</v>
      </c>
      <c r="F12" s="13"/>
      <c r="G12" s="21"/>
      <c r="H12" s="22"/>
      <c r="J12" s="16">
        <v>10</v>
      </c>
      <c r="K12" s="11">
        <v>46128</v>
      </c>
      <c r="L12" s="12" t="s">
        <v>70</v>
      </c>
      <c r="M12" s="12" t="s">
        <v>146</v>
      </c>
      <c r="N12" s="13"/>
      <c r="O12" s="17">
        <v>2</v>
      </c>
      <c r="P12" s="21" t="s">
        <v>71</v>
      </c>
    </row>
    <row r="13" customFormat="1" ht="22" customHeight="1" spans="1:17">
      <c r="A13" s="10">
        <v>11</v>
      </c>
      <c r="B13" s="11">
        <v>46128</v>
      </c>
      <c r="C13" s="12" t="s">
        <v>112</v>
      </c>
      <c r="D13" s="12" t="s">
        <v>146</v>
      </c>
      <c r="E13" s="13">
        <v>1</v>
      </c>
      <c r="F13" s="13">
        <v>1</v>
      </c>
      <c r="G13" s="21"/>
      <c r="H13" s="22"/>
      <c r="J13" s="16">
        <v>11</v>
      </c>
      <c r="K13" s="11">
        <v>46128</v>
      </c>
      <c r="L13" s="12" t="s">
        <v>72</v>
      </c>
      <c r="M13" s="12" t="s">
        <v>146</v>
      </c>
      <c r="N13" s="17">
        <v>2</v>
      </c>
      <c r="O13" s="13"/>
      <c r="P13" s="21"/>
    </row>
    <row r="14" customFormat="1" ht="22" customHeight="1" spans="1:17">
      <c r="A14" s="10">
        <v>12</v>
      </c>
      <c r="B14" s="11">
        <v>46128</v>
      </c>
      <c r="C14" s="12" t="s">
        <v>113</v>
      </c>
      <c r="D14" s="12" t="s">
        <v>146</v>
      </c>
      <c r="E14" s="13">
        <v>1</v>
      </c>
      <c r="F14" s="13">
        <v>1</v>
      </c>
      <c r="G14" s="21"/>
      <c r="H14" s="22"/>
      <c r="J14" s="16">
        <v>12</v>
      </c>
      <c r="K14" s="11">
        <v>46128</v>
      </c>
      <c r="L14" s="12" t="s">
        <v>73</v>
      </c>
      <c r="M14" s="12" t="s">
        <v>146</v>
      </c>
      <c r="N14" s="17">
        <v>2</v>
      </c>
      <c r="O14" s="13"/>
      <c r="P14" s="21"/>
    </row>
    <row r="15" customFormat="1" ht="22" customHeight="1" spans="1:17">
      <c r="A15" s="10">
        <v>13</v>
      </c>
      <c r="B15" s="11">
        <v>46128</v>
      </c>
      <c r="C15" s="12" t="s">
        <v>114</v>
      </c>
      <c r="D15" s="12" t="s">
        <v>146</v>
      </c>
      <c r="E15" s="13">
        <v>1</v>
      </c>
      <c r="F15" s="13">
        <v>1</v>
      </c>
      <c r="G15" s="21"/>
      <c r="H15" s="22"/>
      <c r="J15" s="16">
        <v>13</v>
      </c>
      <c r="K15" s="11">
        <v>46128</v>
      </c>
      <c r="L15" s="12" t="s">
        <v>74</v>
      </c>
      <c r="M15" s="12" t="s">
        <v>146</v>
      </c>
      <c r="N15" s="13">
        <v>1</v>
      </c>
      <c r="O15" s="13">
        <v>1</v>
      </c>
      <c r="P15" s="21" t="s">
        <v>76</v>
      </c>
    </row>
    <row r="16" customFormat="1" ht="22" customHeight="1" spans="1:17">
      <c r="A16" s="10">
        <v>14</v>
      </c>
      <c r="B16" s="11">
        <v>46128</v>
      </c>
      <c r="C16" s="12" t="s">
        <v>115</v>
      </c>
      <c r="D16" s="12" t="s">
        <v>146</v>
      </c>
      <c r="E16" s="13">
        <v>2</v>
      </c>
      <c r="F16" s="13"/>
      <c r="G16" s="21"/>
      <c r="H16" s="22"/>
      <c r="J16" s="16">
        <v>14</v>
      </c>
      <c r="K16" s="11">
        <v>46128</v>
      </c>
      <c r="L16" s="12" t="s">
        <v>77</v>
      </c>
      <c r="M16" s="12" t="s">
        <v>146</v>
      </c>
      <c r="N16" s="13">
        <v>1</v>
      </c>
      <c r="O16" s="13">
        <v>1</v>
      </c>
      <c r="P16" s="21" t="s">
        <v>78</v>
      </c>
    </row>
    <row r="17" customFormat="1" ht="22" customHeight="1" spans="1:16">
      <c r="A17" s="10">
        <v>15</v>
      </c>
      <c r="B17" s="11">
        <v>46128</v>
      </c>
      <c r="C17" s="12" t="s">
        <v>116</v>
      </c>
      <c r="D17" s="12" t="s">
        <v>146</v>
      </c>
      <c r="E17" s="13">
        <v>2</v>
      </c>
      <c r="F17" s="13"/>
      <c r="G17" s="21"/>
      <c r="H17" s="22"/>
      <c r="J17" s="16">
        <v>15</v>
      </c>
      <c r="K17" s="11">
        <v>46128</v>
      </c>
      <c r="L17" s="12" t="s">
        <v>79</v>
      </c>
      <c r="M17" s="12" t="s">
        <v>146</v>
      </c>
      <c r="N17" s="17">
        <v>2</v>
      </c>
      <c r="O17" s="13"/>
      <c r="P17" s="21"/>
    </row>
    <row r="18" customFormat="1" ht="22" customHeight="1" spans="1:16">
      <c r="A18" s="10">
        <v>16</v>
      </c>
      <c r="B18" s="11">
        <v>46128</v>
      </c>
      <c r="C18" s="12" t="s">
        <v>117</v>
      </c>
      <c r="D18" s="12" t="s">
        <v>146</v>
      </c>
      <c r="E18" s="13"/>
      <c r="F18" s="13">
        <v>2</v>
      </c>
      <c r="G18" s="21"/>
      <c r="H18" s="22"/>
      <c r="J18" s="16">
        <v>16</v>
      </c>
      <c r="K18" s="11">
        <v>46128</v>
      </c>
      <c r="L18" s="12" t="s">
        <v>81</v>
      </c>
      <c r="M18" s="12" t="s">
        <v>146</v>
      </c>
      <c r="N18" s="13">
        <v>1</v>
      </c>
      <c r="O18" s="13">
        <v>1</v>
      </c>
      <c r="P18" s="21" t="s">
        <v>82</v>
      </c>
    </row>
    <row r="19" customFormat="1" ht="22" customHeight="1" spans="1:16">
      <c r="A19" s="10">
        <v>17</v>
      </c>
      <c r="B19" s="11">
        <v>46128</v>
      </c>
      <c r="C19" s="12" t="s">
        <v>118</v>
      </c>
      <c r="D19" s="12" t="s">
        <v>146</v>
      </c>
      <c r="E19" s="13">
        <v>1</v>
      </c>
      <c r="F19" s="13">
        <v>1</v>
      </c>
      <c r="G19" s="21"/>
      <c r="H19" s="22"/>
      <c r="J19" s="16">
        <v>17</v>
      </c>
      <c r="K19" s="11">
        <v>46128</v>
      </c>
      <c r="L19" s="12" t="s">
        <v>83</v>
      </c>
      <c r="M19" s="12" t="s">
        <v>146</v>
      </c>
      <c r="N19" s="13">
        <v>1</v>
      </c>
      <c r="O19" s="13">
        <v>1</v>
      </c>
      <c r="P19" s="21" t="s">
        <v>84</v>
      </c>
    </row>
    <row r="20" customFormat="1" ht="22" customHeight="1" spans="1:16">
      <c r="A20" s="10">
        <v>18</v>
      </c>
      <c r="B20" s="11">
        <v>46128</v>
      </c>
      <c r="C20" s="12" t="s">
        <v>119</v>
      </c>
      <c r="D20" s="12" t="s">
        <v>146</v>
      </c>
      <c r="E20" s="13">
        <v>2</v>
      </c>
      <c r="F20" s="13"/>
      <c r="G20" s="21"/>
      <c r="H20" s="22"/>
      <c r="J20" s="16">
        <v>18</v>
      </c>
      <c r="K20" s="11">
        <v>46128</v>
      </c>
      <c r="L20" s="12" t="s">
        <v>85</v>
      </c>
      <c r="M20" s="12" t="s">
        <v>146</v>
      </c>
      <c r="N20" s="17">
        <v>1</v>
      </c>
      <c r="O20" s="13">
        <v>1</v>
      </c>
      <c r="P20" s="20" t="s">
        <v>154</v>
      </c>
    </row>
    <row r="21" customFormat="1" ht="22" customHeight="1" spans="1:16">
      <c r="A21" s="10">
        <v>19</v>
      </c>
      <c r="B21" s="11">
        <v>46128</v>
      </c>
      <c r="C21" s="12" t="s">
        <v>120</v>
      </c>
      <c r="D21" s="12" t="s">
        <v>146</v>
      </c>
      <c r="E21" s="13"/>
      <c r="F21" s="13">
        <v>2</v>
      </c>
      <c r="G21" s="21"/>
      <c r="H21" s="22"/>
      <c r="J21" s="16">
        <v>19</v>
      </c>
      <c r="K21" s="11">
        <v>46128</v>
      </c>
      <c r="L21" s="12" t="s">
        <v>86</v>
      </c>
      <c r="M21" s="12" t="s">
        <v>146</v>
      </c>
      <c r="N21" s="17">
        <v>1</v>
      </c>
      <c r="O21" s="13">
        <v>1</v>
      </c>
      <c r="P21" s="20" t="s">
        <v>154</v>
      </c>
    </row>
    <row r="22" customFormat="1" ht="22" customHeight="1" spans="1:16">
      <c r="A22" s="10">
        <v>20</v>
      </c>
      <c r="B22" s="11">
        <v>46128</v>
      </c>
      <c r="C22" s="12" t="s">
        <v>121</v>
      </c>
      <c r="D22" s="12" t="s">
        <v>146</v>
      </c>
      <c r="E22" s="13"/>
      <c r="F22" s="13">
        <v>2</v>
      </c>
      <c r="G22" s="21"/>
      <c r="H22" s="22"/>
      <c r="J22" s="16">
        <v>20</v>
      </c>
      <c r="K22" s="11">
        <v>46128</v>
      </c>
      <c r="L22" s="12" t="s">
        <v>87</v>
      </c>
      <c r="M22" s="12" t="s">
        <v>146</v>
      </c>
      <c r="N22" s="17">
        <v>2</v>
      </c>
      <c r="O22" s="13"/>
      <c r="P22" s="20"/>
    </row>
    <row r="23" customFormat="1" ht="22" customHeight="1" spans="1:16">
      <c r="A23" s="10">
        <v>21</v>
      </c>
      <c r="B23" s="11">
        <v>46128</v>
      </c>
      <c r="C23" s="12" t="s">
        <v>122</v>
      </c>
      <c r="D23" s="12" t="s">
        <v>146</v>
      </c>
      <c r="E23" s="13"/>
      <c r="F23" s="13">
        <v>2</v>
      </c>
      <c r="G23" s="21"/>
      <c r="H23" s="22"/>
      <c r="J23" s="16">
        <v>21</v>
      </c>
      <c r="K23" s="11">
        <v>46128</v>
      </c>
      <c r="L23" s="12" t="s">
        <v>88</v>
      </c>
      <c r="M23" s="12" t="s">
        <v>146</v>
      </c>
      <c r="N23" s="13"/>
      <c r="O23" s="17">
        <v>2</v>
      </c>
      <c r="P23" s="21" t="s">
        <v>89</v>
      </c>
    </row>
    <row r="24" customFormat="1" ht="22" customHeight="1" spans="1:16">
      <c r="A24" s="10">
        <v>22</v>
      </c>
      <c r="B24" s="11">
        <v>46128</v>
      </c>
      <c r="C24" s="12" t="s">
        <v>23</v>
      </c>
      <c r="D24" s="12" t="s">
        <v>146</v>
      </c>
      <c r="E24" s="13"/>
      <c r="F24" s="13">
        <v>2</v>
      </c>
      <c r="G24" s="21"/>
      <c r="H24" s="22"/>
      <c r="J24" s="16">
        <v>22</v>
      </c>
      <c r="K24" s="11">
        <v>46128</v>
      </c>
      <c r="L24" s="12" t="s">
        <v>90</v>
      </c>
      <c r="M24" s="12" t="s">
        <v>146</v>
      </c>
      <c r="N24" s="17"/>
      <c r="O24" s="13">
        <v>2</v>
      </c>
      <c r="P24" s="23" t="s">
        <v>155</v>
      </c>
    </row>
    <row r="25" customFormat="1" ht="22" customHeight="1" spans="1:16">
      <c r="A25" s="10">
        <v>23</v>
      </c>
      <c r="B25" s="11">
        <v>46128</v>
      </c>
      <c r="C25" s="12" t="s">
        <v>24</v>
      </c>
      <c r="D25" s="12" t="s">
        <v>146</v>
      </c>
      <c r="E25" s="13"/>
      <c r="F25" s="13">
        <v>2</v>
      </c>
      <c r="G25" s="21"/>
      <c r="H25" s="22"/>
      <c r="J25" s="16">
        <v>23</v>
      </c>
      <c r="K25" s="11">
        <v>46128</v>
      </c>
      <c r="L25" s="12" t="s">
        <v>91</v>
      </c>
      <c r="M25" s="12" t="s">
        <v>146</v>
      </c>
      <c r="N25" s="13">
        <v>1</v>
      </c>
      <c r="O25" s="13">
        <v>1</v>
      </c>
      <c r="P25" s="21" t="s">
        <v>148</v>
      </c>
    </row>
    <row r="26" customFormat="1" ht="22" customHeight="1" spans="1:16">
      <c r="A26" s="10">
        <v>24</v>
      </c>
      <c r="B26" s="11">
        <v>46128</v>
      </c>
      <c r="C26" s="12" t="s">
        <v>25</v>
      </c>
      <c r="D26" s="12" t="s">
        <v>146</v>
      </c>
      <c r="E26" s="13">
        <v>1</v>
      </c>
      <c r="F26" s="13">
        <v>1</v>
      </c>
      <c r="G26" s="21"/>
      <c r="H26" s="22"/>
      <c r="J26" s="16">
        <v>24</v>
      </c>
      <c r="K26" s="11">
        <v>46128</v>
      </c>
      <c r="L26" s="12" t="s">
        <v>93</v>
      </c>
      <c r="M26" s="12" t="s">
        <v>146</v>
      </c>
      <c r="N26" s="13"/>
      <c r="O26" s="17">
        <v>2</v>
      </c>
      <c r="P26" s="21" t="s">
        <v>94</v>
      </c>
    </row>
    <row r="27" customFormat="1" ht="22" customHeight="1" spans="1:16">
      <c r="A27" s="10">
        <v>25</v>
      </c>
      <c r="B27" s="11">
        <v>46128</v>
      </c>
      <c r="C27" s="12" t="s">
        <v>26</v>
      </c>
      <c r="D27" s="12" t="s">
        <v>146</v>
      </c>
      <c r="E27" s="13">
        <v>2</v>
      </c>
      <c r="F27" s="13"/>
      <c r="G27" s="21"/>
      <c r="H27" s="22"/>
      <c r="J27" s="16">
        <v>25</v>
      </c>
      <c r="K27" s="11">
        <v>46128</v>
      </c>
      <c r="L27" s="24" t="s">
        <v>134</v>
      </c>
      <c r="M27" s="12" t="s">
        <v>146</v>
      </c>
      <c r="N27" s="17">
        <v>2</v>
      </c>
      <c r="O27" s="13"/>
      <c r="P27" s="21"/>
    </row>
    <row r="28" customFormat="1" ht="22" customHeight="1" spans="1:16">
      <c r="A28" s="10">
        <v>26</v>
      </c>
      <c r="B28" s="11">
        <v>46128</v>
      </c>
      <c r="C28" s="12" t="s">
        <v>27</v>
      </c>
      <c r="D28" s="12" t="s">
        <v>146</v>
      </c>
      <c r="E28" s="13">
        <v>2</v>
      </c>
      <c r="F28" s="13"/>
      <c r="G28" s="21"/>
      <c r="H28" s="22"/>
      <c r="J28" s="16">
        <v>26</v>
      </c>
      <c r="K28" s="11">
        <v>46128</v>
      </c>
      <c r="L28" s="25" t="s">
        <v>135</v>
      </c>
      <c r="M28" s="12" t="s">
        <v>146</v>
      </c>
      <c r="N28" s="13"/>
      <c r="O28" s="17">
        <v>2</v>
      </c>
      <c r="P28" s="21" t="s">
        <v>94</v>
      </c>
    </row>
    <row r="29" customFormat="1" ht="22" customHeight="1" spans="1:16">
      <c r="A29" s="10">
        <v>27</v>
      </c>
      <c r="B29" s="11">
        <v>46128</v>
      </c>
      <c r="C29" s="12" t="s">
        <v>33</v>
      </c>
      <c r="D29" s="12" t="s">
        <v>146</v>
      </c>
      <c r="E29" s="13">
        <v>2</v>
      </c>
      <c r="F29" s="13"/>
      <c r="G29" s="21"/>
      <c r="H29" s="22"/>
      <c r="J29" s="16"/>
      <c r="K29" s="11"/>
      <c r="L29" s="12"/>
      <c r="M29" s="12"/>
      <c r="N29" s="13"/>
      <c r="O29" s="13"/>
      <c r="P29" s="21"/>
    </row>
    <row r="30" customFormat="1" ht="22" customHeight="1" spans="1:16">
      <c r="A30" s="10">
        <v>28</v>
      </c>
      <c r="B30" s="11">
        <v>46128</v>
      </c>
      <c r="C30" s="12" t="s">
        <v>35</v>
      </c>
      <c r="D30" s="12" t="s">
        <v>146</v>
      </c>
      <c r="E30" s="13"/>
      <c r="F30" s="13">
        <v>2</v>
      </c>
      <c r="G30" s="21"/>
      <c r="H30" s="22"/>
      <c r="J30" s="16"/>
      <c r="K30" s="11"/>
      <c r="L30" s="12"/>
      <c r="M30" s="12"/>
      <c r="N30" s="13"/>
      <c r="O30" s="13"/>
      <c r="P30" s="21"/>
    </row>
    <row r="31" customFormat="1" ht="22" customHeight="1" spans="1:16">
      <c r="A31" s="10">
        <v>29</v>
      </c>
      <c r="B31" s="11">
        <v>46128</v>
      </c>
      <c r="C31" s="12" t="s">
        <v>123</v>
      </c>
      <c r="D31" s="12" t="s">
        <v>146</v>
      </c>
      <c r="E31" s="13">
        <v>2</v>
      </c>
      <c r="F31" s="13"/>
      <c r="G31" s="21"/>
      <c r="H31" s="22"/>
      <c r="J31" s="16"/>
      <c r="K31" s="11"/>
      <c r="L31" s="12"/>
      <c r="M31" s="12"/>
      <c r="N31" s="13"/>
      <c r="O31" s="13"/>
      <c r="P31" s="21"/>
    </row>
    <row r="32" customFormat="1" ht="22" customHeight="1" spans="1:16">
      <c r="A32" s="10">
        <v>30</v>
      </c>
      <c r="B32" s="11">
        <v>46128</v>
      </c>
      <c r="C32" s="12" t="s">
        <v>124</v>
      </c>
      <c r="D32" s="12" t="s">
        <v>146</v>
      </c>
      <c r="E32" s="13"/>
      <c r="F32" s="13">
        <v>2</v>
      </c>
      <c r="G32" s="21"/>
      <c r="H32" s="22"/>
      <c r="J32" s="16"/>
      <c r="K32" s="11"/>
      <c r="L32" s="12"/>
      <c r="M32" s="12"/>
      <c r="N32" s="13"/>
      <c r="O32" s="13"/>
      <c r="P32" s="21"/>
    </row>
    <row r="33" customFormat="1" ht="22" customHeight="1" spans="1:16">
      <c r="A33" s="10">
        <v>31</v>
      </c>
      <c r="B33" s="11">
        <v>46128</v>
      </c>
      <c r="C33" s="12" t="s">
        <v>125</v>
      </c>
      <c r="D33" s="12" t="s">
        <v>146</v>
      </c>
      <c r="E33" s="13">
        <v>2</v>
      </c>
      <c r="F33" s="13"/>
      <c r="G33" s="21"/>
      <c r="H33" s="22"/>
      <c r="J33" s="16"/>
      <c r="K33" s="11"/>
      <c r="L33" s="12"/>
      <c r="M33" s="12"/>
      <c r="N33" s="13"/>
      <c r="O33" s="13"/>
      <c r="P33" s="21"/>
    </row>
    <row r="34" customFormat="1" ht="22" customHeight="1" spans="1:16">
      <c r="A34" s="10">
        <v>32</v>
      </c>
      <c r="B34" s="11">
        <v>46128</v>
      </c>
      <c r="C34" s="12" t="s">
        <v>29</v>
      </c>
      <c r="D34" s="12" t="s">
        <v>146</v>
      </c>
      <c r="E34" s="13"/>
      <c r="F34" s="13">
        <v>2</v>
      </c>
      <c r="G34" s="21"/>
      <c r="H34" s="22"/>
      <c r="J34" s="16"/>
      <c r="K34" s="11"/>
      <c r="L34" s="12"/>
      <c r="M34" s="12"/>
      <c r="N34" s="13"/>
      <c r="O34" s="13"/>
      <c r="P34" s="21"/>
    </row>
    <row r="35" customFormat="1" ht="22" customHeight="1" spans="1:16">
      <c r="A35" s="10">
        <v>33</v>
      </c>
      <c r="B35" s="11">
        <v>46128</v>
      </c>
      <c r="C35" s="12" t="s">
        <v>30</v>
      </c>
      <c r="D35" s="12" t="s">
        <v>146</v>
      </c>
      <c r="E35" s="13">
        <v>2</v>
      </c>
      <c r="F35" s="13"/>
      <c r="G35" s="21"/>
      <c r="H35" s="22"/>
      <c r="J35" s="16"/>
      <c r="K35" s="11"/>
      <c r="L35" s="12"/>
      <c r="M35" s="12"/>
      <c r="N35" s="13"/>
      <c r="O35" s="13"/>
      <c r="P35" s="21"/>
    </row>
    <row r="36" customFormat="1" ht="22" customHeight="1" spans="1:16">
      <c r="A36" s="10">
        <v>34</v>
      </c>
      <c r="B36" s="11">
        <v>46128</v>
      </c>
      <c r="C36" s="12" t="s">
        <v>31</v>
      </c>
      <c r="D36" s="12" t="s">
        <v>146</v>
      </c>
      <c r="E36" s="13"/>
      <c r="F36" s="13">
        <v>2</v>
      </c>
      <c r="G36" s="21"/>
      <c r="H36" s="22"/>
      <c r="J36" s="16"/>
      <c r="K36" s="11"/>
      <c r="L36" s="12"/>
      <c r="M36" s="12"/>
      <c r="N36" s="13"/>
      <c r="O36" s="13"/>
      <c r="P36" s="21"/>
    </row>
    <row r="37" customFormat="1" ht="22" customHeight="1" spans="1:16">
      <c r="A37" s="10">
        <v>35</v>
      </c>
      <c r="B37" s="11">
        <v>46128</v>
      </c>
      <c r="C37" s="12" t="s">
        <v>126</v>
      </c>
      <c r="D37" s="12" t="s">
        <v>146</v>
      </c>
      <c r="E37" s="13"/>
      <c r="F37" s="13">
        <v>2</v>
      </c>
      <c r="G37" s="21"/>
      <c r="H37" s="22"/>
      <c r="J37" s="16"/>
      <c r="K37" s="11"/>
      <c r="L37" s="12"/>
      <c r="M37" s="12"/>
      <c r="N37" s="13"/>
      <c r="O37" s="13"/>
      <c r="P37" s="21"/>
    </row>
    <row r="38" customFormat="1" ht="22" customHeight="1" spans="1:16">
      <c r="A38" s="10">
        <v>36</v>
      </c>
      <c r="B38" s="11">
        <v>46128</v>
      </c>
      <c r="C38" s="12" t="s">
        <v>127</v>
      </c>
      <c r="D38" s="12" t="s">
        <v>146</v>
      </c>
      <c r="E38" s="13">
        <v>2</v>
      </c>
      <c r="F38" s="13"/>
      <c r="G38" s="21"/>
      <c r="H38" s="22"/>
      <c r="J38" s="16"/>
      <c r="K38" s="11"/>
      <c r="L38" s="12"/>
      <c r="M38" s="12"/>
      <c r="N38" s="13"/>
      <c r="O38" s="13"/>
      <c r="P38" s="21"/>
    </row>
    <row r="39" customFormat="1" ht="22" customHeight="1" spans="1:16">
      <c r="A39" s="10">
        <v>37</v>
      </c>
      <c r="B39" s="11">
        <v>46128</v>
      </c>
      <c r="C39" s="26" t="s">
        <v>132</v>
      </c>
      <c r="D39" s="27" t="s">
        <v>146</v>
      </c>
      <c r="E39" s="28">
        <v>1</v>
      </c>
      <c r="F39" s="28">
        <v>1</v>
      </c>
      <c r="G39" s="29" t="s">
        <v>143</v>
      </c>
      <c r="H39" t="s">
        <v>149</v>
      </c>
      <c r="J39" s="16"/>
      <c r="K39" s="11"/>
      <c r="L39" s="12"/>
      <c r="M39" s="12"/>
      <c r="N39" s="13"/>
      <c r="O39" s="13"/>
      <c r="P39" s="21"/>
    </row>
    <row r="40" customFormat="1" ht="22" customHeight="1" spans="1:16">
      <c r="A40" s="10">
        <v>38</v>
      </c>
      <c r="B40" s="11">
        <v>46128</v>
      </c>
      <c r="C40" s="30" t="s">
        <v>36</v>
      </c>
      <c r="D40" s="31" t="s">
        <v>146</v>
      </c>
      <c r="E40" s="32">
        <v>1</v>
      </c>
      <c r="F40" s="32">
        <v>1</v>
      </c>
      <c r="G40" s="21" t="s">
        <v>143</v>
      </c>
      <c r="H40" t="s">
        <v>149</v>
      </c>
      <c r="J40" s="16"/>
      <c r="K40" s="11"/>
      <c r="L40" s="12"/>
      <c r="M40" s="12"/>
      <c r="N40" s="13"/>
      <c r="O40" s="13"/>
      <c r="P40" s="21"/>
    </row>
    <row r="41" customFormat="1" ht="22" customHeight="1" spans="1:16">
      <c r="A41" s="10">
        <v>39</v>
      </c>
      <c r="B41" s="11">
        <v>46128</v>
      </c>
      <c r="C41" s="33" t="s">
        <v>133</v>
      </c>
      <c r="D41" s="31" t="s">
        <v>146</v>
      </c>
      <c r="E41" s="32">
        <v>1</v>
      </c>
      <c r="F41" s="32">
        <v>1</v>
      </c>
      <c r="G41" s="21" t="s">
        <v>150</v>
      </c>
      <c r="H41" t="s">
        <v>149</v>
      </c>
      <c r="J41" s="16"/>
      <c r="K41" s="11"/>
      <c r="L41" s="12"/>
      <c r="M41" s="12"/>
      <c r="N41" s="13"/>
      <c r="O41" s="13"/>
      <c r="P41" s="21"/>
    </row>
    <row r="42" customFormat="1" ht="22" customHeight="1" spans="1:16">
      <c r="A42" s="10"/>
      <c r="B42" s="11"/>
      <c r="C42" s="34"/>
      <c r="D42" s="34"/>
      <c r="E42" s="35"/>
      <c r="F42" s="35"/>
      <c r="G42" s="36"/>
      <c r="H42" s="22"/>
      <c r="N42" s="13">
        <f>SUM(N3:N41)</f>
        <v>25</v>
      </c>
      <c r="O42" s="13">
        <f>SUM(O3:O41)</f>
        <v>27</v>
      </c>
    </row>
    <row r="43" customFormat="1" ht="22" customHeight="1" spans="1:16">
      <c r="E43">
        <f>SUM(E3:E42)</f>
        <v>35</v>
      </c>
      <c r="F43">
        <f>SUM(F3:F42)</f>
        <v>43</v>
      </c>
    </row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customFormat="1" ht="22" customHeight="1" spans="10:16">
      <c r="J64" s="10"/>
      <c r="K64" s="11"/>
      <c r="L64" s="12"/>
      <c r="M64" s="12"/>
      <c r="N64" s="13"/>
      <c r="O64" s="13"/>
      <c r="P64" s="21"/>
    </row>
    <row r="65" customFormat="1" ht="22" customHeight="1" spans="1:15">
      <c r="A65" s="10"/>
      <c r="B65" s="11"/>
      <c r="C65" s="12"/>
      <c r="D65" s="12"/>
      <c r="E65" s="13"/>
      <c r="F65" s="13"/>
      <c r="G65" s="21"/>
      <c r="H65" s="22"/>
      <c r="K65" s="37"/>
      <c r="L65" s="37"/>
      <c r="M65" s="37"/>
      <c r="N65" s="38"/>
      <c r="O65" s="38"/>
    </row>
    <row r="66" customFormat="1" ht="21" customHeight="1" spans="1:15">
      <c r="B66" s="37"/>
      <c r="C66" s="37"/>
      <c r="D66" s="37"/>
      <c r="E66" s="38">
        <f>SUM(E3:E65)</f>
        <v>70</v>
      </c>
      <c r="F66" s="38">
        <f>SUM(F3:F65)</f>
        <v>86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"/>
  <sheetViews>
    <sheetView tabSelected="1" workbookViewId="0">
      <pane ySplit="2" topLeftCell="A17" activePane="bottomLeft" state="frozen"/>
      <selection/>
      <selection pane="bottomLeft" activeCell="G29" sqref="G29"/>
    </sheetView>
  </sheetViews>
  <sheetFormatPr defaultColWidth="9.14285714285714" defaultRowHeight="12"/>
  <cols>
    <col min="1" max="1" width="7.28571428571429" customWidth="1"/>
    <col min="2" max="2" width="14.4285714285714" customWidth="1"/>
    <col min="3" max="3" width="16.8571428571429" customWidth="1"/>
    <col min="4" max="4" width="12.1428571428571" customWidth="1"/>
    <col min="5" max="6" width="10" customWidth="1"/>
    <col min="7" max="7" width="31.4285714285714" customWidth="1"/>
    <col min="8" max="8" width="25.2857142857143" customWidth="1"/>
    <col min="10" max="10" width="8" customWidth="1"/>
    <col min="11" max="11" width="10.7142857142857" customWidth="1"/>
    <col min="12" max="12" width="14.5714285714286" customWidth="1"/>
    <col min="13" max="13" width="12.1428571428571" customWidth="1"/>
    <col min="14" max="15" width="7.71428571428571" customWidth="1"/>
    <col min="16" max="16" width="34" customWidth="1"/>
  </cols>
  <sheetData>
    <row r="1" customFormat="1" ht="25" customHeight="1" spans="1:17">
      <c r="A1" s="2" t="s">
        <v>136</v>
      </c>
      <c r="B1" s="2"/>
      <c r="C1" s="2"/>
      <c r="D1" s="2"/>
      <c r="E1" s="2"/>
      <c r="F1" s="3"/>
      <c r="G1" s="4"/>
      <c r="H1" s="5"/>
      <c r="J1" s="2" t="s">
        <v>145</v>
      </c>
      <c r="K1" s="2"/>
      <c r="L1" s="2"/>
      <c r="M1" s="2"/>
      <c r="N1" s="2"/>
      <c r="O1" s="3"/>
      <c r="P1" s="4"/>
    </row>
    <row r="2" s="1" customFormat="1" ht="25" customHeight="1" spans="1:17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H2" s="9"/>
      <c r="J2" s="6" t="s">
        <v>1</v>
      </c>
      <c r="K2" s="6" t="s">
        <v>98</v>
      </c>
      <c r="L2" s="6" t="s">
        <v>99</v>
      </c>
      <c r="M2" s="7" t="s">
        <v>137</v>
      </c>
      <c r="N2" s="8" t="s">
        <v>138</v>
      </c>
      <c r="O2" s="8" t="s">
        <v>139</v>
      </c>
      <c r="P2" s="8" t="s">
        <v>9</v>
      </c>
      <c r="Q2"/>
    </row>
    <row r="3" customFormat="1" ht="22" customHeight="1" spans="1:17">
      <c r="A3" s="10">
        <v>1</v>
      </c>
      <c r="B3" s="11">
        <v>46132</v>
      </c>
      <c r="C3" s="12" t="s">
        <v>102</v>
      </c>
      <c r="D3" s="12" t="s">
        <v>140</v>
      </c>
      <c r="E3" s="13">
        <v>1</v>
      </c>
      <c r="F3" s="13">
        <v>2</v>
      </c>
      <c r="G3" s="14"/>
      <c r="H3" s="15"/>
      <c r="I3" s="15">
        <f t="shared" ref="I3:I41" si="0">SUM(E3:F3)</f>
        <v>3</v>
      </c>
      <c r="J3" s="16">
        <v>1</v>
      </c>
      <c r="K3" s="11">
        <v>46132</v>
      </c>
      <c r="L3" s="12" t="s">
        <v>53</v>
      </c>
      <c r="M3" s="12" t="s">
        <v>140</v>
      </c>
      <c r="N3" s="13">
        <v>2</v>
      </c>
      <c r="O3" s="13">
        <v>1</v>
      </c>
      <c r="P3" s="14" t="s">
        <v>12</v>
      </c>
      <c r="Q3">
        <f t="shared" ref="Q3:Q28" si="1">SUM(N3:O3)</f>
        <v>3</v>
      </c>
    </row>
    <row r="4" customFormat="1" ht="22" customHeight="1" spans="1:17">
      <c r="A4" s="10">
        <v>2</v>
      </c>
      <c r="B4" s="11">
        <v>46132</v>
      </c>
      <c r="C4" s="12" t="s">
        <v>103</v>
      </c>
      <c r="D4" s="12" t="s">
        <v>140</v>
      </c>
      <c r="E4" s="17"/>
      <c r="F4" s="13">
        <v>3</v>
      </c>
      <c r="G4" s="18"/>
      <c r="H4" s="15"/>
      <c r="I4" s="15">
        <f t="shared" si="0"/>
        <v>3</v>
      </c>
      <c r="J4" s="16">
        <v>2</v>
      </c>
      <c r="K4" s="11">
        <v>46132</v>
      </c>
      <c r="L4" s="12" t="s">
        <v>57</v>
      </c>
      <c r="M4" s="12" t="s">
        <v>140</v>
      </c>
      <c r="N4" s="17">
        <v>3</v>
      </c>
      <c r="O4" s="13"/>
      <c r="P4" s="18"/>
      <c r="Q4">
        <f t="shared" si="1"/>
        <v>3</v>
      </c>
    </row>
    <row r="5" customFormat="1" ht="22" customHeight="1" spans="1:17">
      <c r="A5" s="10">
        <v>3</v>
      </c>
      <c r="B5" s="11">
        <v>46132</v>
      </c>
      <c r="C5" s="12" t="s">
        <v>104</v>
      </c>
      <c r="D5" s="12" t="s">
        <v>140</v>
      </c>
      <c r="E5" s="13"/>
      <c r="F5" s="13">
        <v>3</v>
      </c>
      <c r="G5" s="18"/>
      <c r="H5" s="15"/>
      <c r="I5" s="15">
        <f t="shared" si="0"/>
        <v>3</v>
      </c>
      <c r="J5" s="16">
        <v>3</v>
      </c>
      <c r="K5" s="11">
        <v>46132</v>
      </c>
      <c r="L5" s="12" t="s">
        <v>59</v>
      </c>
      <c r="M5" s="12" t="s">
        <v>140</v>
      </c>
      <c r="N5" s="17">
        <v>2</v>
      </c>
      <c r="O5" s="13">
        <v>1</v>
      </c>
      <c r="P5" s="20" t="s">
        <v>154</v>
      </c>
      <c r="Q5">
        <f t="shared" si="1"/>
        <v>3</v>
      </c>
    </row>
    <row r="6" customFormat="1" ht="22" customHeight="1" spans="1:17">
      <c r="A6" s="10">
        <v>4</v>
      </c>
      <c r="B6" s="11">
        <v>46132</v>
      </c>
      <c r="C6" s="12" t="s">
        <v>105</v>
      </c>
      <c r="D6" s="12" t="s">
        <v>140</v>
      </c>
      <c r="E6" s="13"/>
      <c r="F6" s="13">
        <v>3</v>
      </c>
      <c r="G6" s="18"/>
      <c r="H6" s="15"/>
      <c r="I6" s="15">
        <f t="shared" si="0"/>
        <v>3</v>
      </c>
      <c r="J6" s="16">
        <v>4</v>
      </c>
      <c r="K6" s="11">
        <v>46132</v>
      </c>
      <c r="L6" s="12" t="s">
        <v>60</v>
      </c>
      <c r="M6" s="12" t="s">
        <v>140</v>
      </c>
      <c r="N6" s="13"/>
      <c r="O6" s="17">
        <v>3</v>
      </c>
      <c r="P6" s="18" t="s">
        <v>61</v>
      </c>
      <c r="Q6">
        <f t="shared" si="1"/>
        <v>3</v>
      </c>
    </row>
    <row r="7" customFormat="1" ht="22" customHeight="1" spans="1:17">
      <c r="A7" s="10">
        <v>5</v>
      </c>
      <c r="B7" s="11">
        <v>46132</v>
      </c>
      <c r="C7" s="12" t="s">
        <v>106</v>
      </c>
      <c r="D7" s="12" t="s">
        <v>140</v>
      </c>
      <c r="E7" s="13"/>
      <c r="F7" s="13">
        <v>3</v>
      </c>
      <c r="G7" s="18"/>
      <c r="H7" s="15"/>
      <c r="I7" s="15">
        <f t="shared" si="0"/>
        <v>3</v>
      </c>
      <c r="J7" s="16">
        <v>5</v>
      </c>
      <c r="K7" s="11">
        <v>46132</v>
      </c>
      <c r="L7" s="12" t="s">
        <v>62</v>
      </c>
      <c r="M7" s="12" t="s">
        <v>140</v>
      </c>
      <c r="N7" s="13"/>
      <c r="O7" s="17">
        <v>3</v>
      </c>
      <c r="P7" s="18" t="s">
        <v>5</v>
      </c>
      <c r="Q7">
        <f t="shared" si="1"/>
        <v>3</v>
      </c>
    </row>
    <row r="8" customFormat="1" ht="22" customHeight="1" spans="1:17">
      <c r="A8" s="10">
        <v>6</v>
      </c>
      <c r="B8" s="11">
        <v>46132</v>
      </c>
      <c r="C8" s="12" t="s">
        <v>107</v>
      </c>
      <c r="D8" s="12" t="s">
        <v>140</v>
      </c>
      <c r="E8" s="13">
        <v>3</v>
      </c>
      <c r="F8" s="13"/>
      <c r="G8" s="18"/>
      <c r="H8" s="15"/>
      <c r="I8" s="15">
        <f t="shared" si="0"/>
        <v>3</v>
      </c>
      <c r="J8" s="16">
        <v>6</v>
      </c>
      <c r="K8" s="11">
        <v>46132</v>
      </c>
      <c r="L8" s="12" t="s">
        <v>64</v>
      </c>
      <c r="M8" s="12" t="s">
        <v>140</v>
      </c>
      <c r="N8" s="13"/>
      <c r="O8" s="17">
        <v>3</v>
      </c>
      <c r="P8" s="18" t="s">
        <v>5</v>
      </c>
      <c r="Q8">
        <f t="shared" si="1"/>
        <v>3</v>
      </c>
    </row>
    <row r="9" customFormat="1" ht="22" customHeight="1" spans="1:17">
      <c r="A9" s="10">
        <v>7</v>
      </c>
      <c r="B9" s="11">
        <v>46132</v>
      </c>
      <c r="C9" s="12" t="s">
        <v>108</v>
      </c>
      <c r="D9" s="12" t="s">
        <v>140</v>
      </c>
      <c r="E9" s="13">
        <v>3</v>
      </c>
      <c r="F9" s="13"/>
      <c r="G9" s="21"/>
      <c r="H9" s="15"/>
      <c r="I9" s="15">
        <f t="shared" si="0"/>
        <v>3</v>
      </c>
      <c r="J9" s="16">
        <v>7</v>
      </c>
      <c r="K9" s="11">
        <v>46132</v>
      </c>
      <c r="L9" s="12" t="s">
        <v>65</v>
      </c>
      <c r="M9" s="12" t="s">
        <v>140</v>
      </c>
      <c r="N9" s="13"/>
      <c r="O9" s="17">
        <v>3</v>
      </c>
      <c r="P9" s="21" t="s">
        <v>5</v>
      </c>
      <c r="Q9">
        <f t="shared" si="1"/>
        <v>3</v>
      </c>
    </row>
    <row r="10" customFormat="1" ht="22" customHeight="1" spans="1:17">
      <c r="A10" s="10">
        <v>8</v>
      </c>
      <c r="B10" s="11">
        <v>46132</v>
      </c>
      <c r="C10" s="12" t="s">
        <v>109</v>
      </c>
      <c r="D10" s="12" t="s">
        <v>140</v>
      </c>
      <c r="E10" s="13"/>
      <c r="F10" s="13">
        <v>3</v>
      </c>
      <c r="G10" s="21"/>
      <c r="H10" s="15"/>
      <c r="I10" s="15">
        <f t="shared" si="0"/>
        <v>3</v>
      </c>
      <c r="J10" s="16">
        <v>8</v>
      </c>
      <c r="K10" s="11">
        <v>46132</v>
      </c>
      <c r="L10" s="12" t="s">
        <v>67</v>
      </c>
      <c r="M10" s="12" t="s">
        <v>140</v>
      </c>
      <c r="N10" s="17">
        <v>3</v>
      </c>
      <c r="O10" s="13"/>
      <c r="P10" s="21"/>
      <c r="Q10">
        <f t="shared" si="1"/>
        <v>3</v>
      </c>
    </row>
    <row r="11" customFormat="1" ht="22" customHeight="1" spans="1:17">
      <c r="A11" s="10">
        <v>9</v>
      </c>
      <c r="B11" s="11">
        <v>46132</v>
      </c>
      <c r="C11" s="12" t="s">
        <v>110</v>
      </c>
      <c r="D11" s="12" t="s">
        <v>140</v>
      </c>
      <c r="E11" s="13"/>
      <c r="F11" s="13">
        <v>3</v>
      </c>
      <c r="G11" s="21"/>
      <c r="H11" s="15"/>
      <c r="I11" s="15">
        <f t="shared" si="0"/>
        <v>3</v>
      </c>
      <c r="J11" s="16">
        <v>9</v>
      </c>
      <c r="K11" s="11">
        <v>46132</v>
      </c>
      <c r="L11" s="12" t="s">
        <v>69</v>
      </c>
      <c r="M11" s="12" t="s">
        <v>140</v>
      </c>
      <c r="N11" s="17">
        <v>3</v>
      </c>
      <c r="O11" s="13"/>
      <c r="P11" s="21"/>
      <c r="Q11">
        <f t="shared" si="1"/>
        <v>3</v>
      </c>
    </row>
    <row r="12" customFormat="1" ht="22" customHeight="1" spans="1:17">
      <c r="A12" s="10">
        <v>10</v>
      </c>
      <c r="B12" s="11">
        <v>46132</v>
      </c>
      <c r="C12" s="12" t="s">
        <v>111</v>
      </c>
      <c r="D12" s="12" t="s">
        <v>140</v>
      </c>
      <c r="E12" s="13">
        <v>3</v>
      </c>
      <c r="F12" s="13"/>
      <c r="G12" s="21"/>
      <c r="H12" s="15"/>
      <c r="I12" s="15">
        <f t="shared" si="0"/>
        <v>3</v>
      </c>
      <c r="J12" s="16">
        <v>10</v>
      </c>
      <c r="K12" s="11">
        <v>46132</v>
      </c>
      <c r="L12" s="12" t="s">
        <v>70</v>
      </c>
      <c r="M12" s="12" t="s">
        <v>140</v>
      </c>
      <c r="N12" s="13"/>
      <c r="O12" s="17">
        <v>3</v>
      </c>
      <c r="P12" s="21" t="s">
        <v>71</v>
      </c>
      <c r="Q12">
        <f t="shared" si="1"/>
        <v>3</v>
      </c>
    </row>
    <row r="13" customFormat="1" ht="22" customHeight="1" spans="1:17">
      <c r="A13" s="10">
        <v>11</v>
      </c>
      <c r="B13" s="11">
        <v>46132</v>
      </c>
      <c r="C13" s="12" t="s">
        <v>112</v>
      </c>
      <c r="D13" s="12" t="s">
        <v>140</v>
      </c>
      <c r="E13" s="13">
        <v>1</v>
      </c>
      <c r="F13" s="13">
        <v>2</v>
      </c>
      <c r="G13" s="21"/>
      <c r="H13" s="15"/>
      <c r="I13" s="15">
        <f t="shared" si="0"/>
        <v>3</v>
      </c>
      <c r="J13" s="16">
        <v>11</v>
      </c>
      <c r="K13" s="11">
        <v>46132</v>
      </c>
      <c r="L13" s="12" t="s">
        <v>72</v>
      </c>
      <c r="M13" s="12" t="s">
        <v>140</v>
      </c>
      <c r="N13" s="17">
        <v>3</v>
      </c>
      <c r="O13" s="13"/>
      <c r="P13" s="21"/>
      <c r="Q13">
        <f t="shared" si="1"/>
        <v>3</v>
      </c>
    </row>
    <row r="14" customFormat="1" ht="22" customHeight="1" spans="1:17">
      <c r="A14" s="10">
        <v>12</v>
      </c>
      <c r="B14" s="11">
        <v>46132</v>
      </c>
      <c r="C14" s="12" t="s">
        <v>113</v>
      </c>
      <c r="D14" s="12" t="s">
        <v>140</v>
      </c>
      <c r="E14" s="13">
        <v>1</v>
      </c>
      <c r="F14" s="13">
        <v>2</v>
      </c>
      <c r="G14" s="21"/>
      <c r="H14" s="15"/>
      <c r="I14" s="15">
        <f t="shared" si="0"/>
        <v>3</v>
      </c>
      <c r="J14" s="16">
        <v>12</v>
      </c>
      <c r="K14" s="11">
        <v>46132</v>
      </c>
      <c r="L14" s="12" t="s">
        <v>73</v>
      </c>
      <c r="M14" s="12" t="s">
        <v>140</v>
      </c>
      <c r="N14" s="17">
        <v>3</v>
      </c>
      <c r="O14" s="13"/>
      <c r="P14" s="21"/>
      <c r="Q14">
        <f t="shared" si="1"/>
        <v>3</v>
      </c>
    </row>
    <row r="15" customFormat="1" ht="22" customHeight="1" spans="1:17">
      <c r="A15" s="10">
        <v>13</v>
      </c>
      <c r="B15" s="11">
        <v>46132</v>
      </c>
      <c r="C15" s="12" t="s">
        <v>114</v>
      </c>
      <c r="D15" s="12" t="s">
        <v>140</v>
      </c>
      <c r="E15" s="13">
        <v>1</v>
      </c>
      <c r="F15" s="13">
        <v>2</v>
      </c>
      <c r="G15" s="21"/>
      <c r="H15" s="15"/>
      <c r="I15" s="15">
        <f t="shared" si="0"/>
        <v>3</v>
      </c>
      <c r="J15" s="16">
        <v>13</v>
      </c>
      <c r="K15" s="11">
        <v>46132</v>
      </c>
      <c r="L15" s="12" t="s">
        <v>74</v>
      </c>
      <c r="M15" s="12" t="s">
        <v>140</v>
      </c>
      <c r="N15" s="13">
        <v>2</v>
      </c>
      <c r="O15" s="13">
        <v>1</v>
      </c>
      <c r="P15" s="21" t="s">
        <v>76</v>
      </c>
      <c r="Q15">
        <f t="shared" si="1"/>
        <v>3</v>
      </c>
    </row>
    <row r="16" customFormat="1" ht="22" customHeight="1" spans="1:17">
      <c r="A16" s="10">
        <v>14</v>
      </c>
      <c r="B16" s="11">
        <v>46132</v>
      </c>
      <c r="C16" s="12" t="s">
        <v>115</v>
      </c>
      <c r="D16" s="12" t="s">
        <v>140</v>
      </c>
      <c r="E16" s="13">
        <v>3</v>
      </c>
      <c r="F16" s="13"/>
      <c r="G16" s="21"/>
      <c r="H16" s="15"/>
      <c r="I16" s="15">
        <f t="shared" si="0"/>
        <v>3</v>
      </c>
      <c r="J16" s="16">
        <v>14</v>
      </c>
      <c r="K16" s="11">
        <v>46132</v>
      </c>
      <c r="L16" s="12" t="s">
        <v>77</v>
      </c>
      <c r="M16" s="12" t="s">
        <v>140</v>
      </c>
      <c r="N16" s="13">
        <v>2</v>
      </c>
      <c r="O16" s="13">
        <v>1</v>
      </c>
      <c r="P16" s="21" t="s">
        <v>78</v>
      </c>
      <c r="Q16">
        <f t="shared" si="1"/>
        <v>3</v>
      </c>
    </row>
    <row r="17" customFormat="1" ht="22" customHeight="1" spans="1:17">
      <c r="A17" s="10">
        <v>15</v>
      </c>
      <c r="B17" s="11">
        <v>46132</v>
      </c>
      <c r="C17" s="12" t="s">
        <v>116</v>
      </c>
      <c r="D17" s="12" t="s">
        <v>140</v>
      </c>
      <c r="E17" s="13">
        <v>3</v>
      </c>
      <c r="F17" s="13"/>
      <c r="G17" s="21"/>
      <c r="H17" s="15"/>
      <c r="I17" s="15">
        <f t="shared" si="0"/>
        <v>3</v>
      </c>
      <c r="J17" s="16">
        <v>15</v>
      </c>
      <c r="K17" s="11">
        <v>46132</v>
      </c>
      <c r="L17" s="12" t="s">
        <v>79</v>
      </c>
      <c r="M17" s="12" t="s">
        <v>140</v>
      </c>
      <c r="N17" s="17">
        <v>3</v>
      </c>
      <c r="O17" s="13"/>
      <c r="P17" s="21"/>
      <c r="Q17">
        <f t="shared" si="1"/>
        <v>3</v>
      </c>
    </row>
    <row r="18" customFormat="1" ht="22" customHeight="1" spans="1:17">
      <c r="A18" s="10">
        <v>16</v>
      </c>
      <c r="B18" s="11">
        <v>46132</v>
      </c>
      <c r="C18" s="12" t="s">
        <v>117</v>
      </c>
      <c r="D18" s="12" t="s">
        <v>140</v>
      </c>
      <c r="E18" s="13"/>
      <c r="F18" s="13">
        <v>3</v>
      </c>
      <c r="G18" s="21"/>
      <c r="H18" s="15"/>
      <c r="I18" s="15">
        <f t="shared" si="0"/>
        <v>3</v>
      </c>
      <c r="J18" s="16">
        <v>16</v>
      </c>
      <c r="K18" s="11">
        <v>46132</v>
      </c>
      <c r="L18" s="12" t="s">
        <v>81</v>
      </c>
      <c r="M18" s="12" t="s">
        <v>140</v>
      </c>
      <c r="N18" s="13">
        <v>1</v>
      </c>
      <c r="O18" s="17">
        <v>2</v>
      </c>
      <c r="P18" s="21" t="s">
        <v>82</v>
      </c>
      <c r="Q18">
        <f t="shared" si="1"/>
        <v>3</v>
      </c>
    </row>
    <row r="19" customFormat="1" ht="22" customHeight="1" spans="1:17">
      <c r="A19" s="10">
        <v>17</v>
      </c>
      <c r="B19" s="11">
        <v>46132</v>
      </c>
      <c r="C19" s="12" t="s">
        <v>118</v>
      </c>
      <c r="D19" s="12" t="s">
        <v>140</v>
      </c>
      <c r="E19" s="13">
        <v>1</v>
      </c>
      <c r="F19" s="13">
        <v>2</v>
      </c>
      <c r="G19" s="21"/>
      <c r="H19" s="15"/>
      <c r="I19" s="15">
        <f t="shared" si="0"/>
        <v>3</v>
      </c>
      <c r="J19" s="16">
        <v>17</v>
      </c>
      <c r="K19" s="11">
        <v>46132</v>
      </c>
      <c r="L19" s="12" t="s">
        <v>83</v>
      </c>
      <c r="M19" s="12" t="s">
        <v>140</v>
      </c>
      <c r="N19" s="13">
        <v>2</v>
      </c>
      <c r="O19" s="13">
        <v>1</v>
      </c>
      <c r="P19" s="21" t="s">
        <v>84</v>
      </c>
      <c r="Q19">
        <f t="shared" si="1"/>
        <v>3</v>
      </c>
    </row>
    <row r="20" customFormat="1" ht="22" customHeight="1" spans="1:17">
      <c r="A20" s="10">
        <v>18</v>
      </c>
      <c r="B20" s="11">
        <v>46132</v>
      </c>
      <c r="C20" s="12" t="s">
        <v>119</v>
      </c>
      <c r="D20" s="12" t="s">
        <v>140</v>
      </c>
      <c r="E20" s="13">
        <v>3</v>
      </c>
      <c r="F20" s="13"/>
      <c r="G20" s="21"/>
      <c r="H20" s="15"/>
      <c r="I20" s="15">
        <f t="shared" si="0"/>
        <v>3</v>
      </c>
      <c r="J20" s="16">
        <v>18</v>
      </c>
      <c r="K20" s="11">
        <v>46132</v>
      </c>
      <c r="L20" s="12" t="s">
        <v>85</v>
      </c>
      <c r="M20" s="12" t="s">
        <v>140</v>
      </c>
      <c r="N20" s="13">
        <v>2</v>
      </c>
      <c r="O20" s="13">
        <v>1</v>
      </c>
      <c r="P20" s="20" t="s">
        <v>154</v>
      </c>
      <c r="Q20">
        <f t="shared" si="1"/>
        <v>3</v>
      </c>
    </row>
    <row r="21" customFormat="1" ht="22" customHeight="1" spans="1:17">
      <c r="A21" s="10">
        <v>19</v>
      </c>
      <c r="B21" s="11">
        <v>46132</v>
      </c>
      <c r="C21" s="12" t="s">
        <v>120</v>
      </c>
      <c r="D21" s="12" t="s">
        <v>140</v>
      </c>
      <c r="E21" s="13"/>
      <c r="F21" s="13">
        <v>3</v>
      </c>
      <c r="G21" s="21"/>
      <c r="H21" s="15"/>
      <c r="I21" s="15">
        <f t="shared" si="0"/>
        <v>3</v>
      </c>
      <c r="J21" s="16">
        <v>19</v>
      </c>
      <c r="K21" s="11">
        <v>46132</v>
      </c>
      <c r="L21" s="12" t="s">
        <v>86</v>
      </c>
      <c r="M21" s="12" t="s">
        <v>140</v>
      </c>
      <c r="N21" s="13">
        <v>2</v>
      </c>
      <c r="O21" s="13">
        <v>1</v>
      </c>
      <c r="P21" s="20" t="s">
        <v>154</v>
      </c>
      <c r="Q21">
        <f t="shared" si="1"/>
        <v>3</v>
      </c>
    </row>
    <row r="22" customFormat="1" ht="22" customHeight="1" spans="1:17">
      <c r="A22" s="10">
        <v>20</v>
      </c>
      <c r="B22" s="11">
        <v>46132</v>
      </c>
      <c r="C22" s="12" t="s">
        <v>121</v>
      </c>
      <c r="D22" s="12" t="s">
        <v>140</v>
      </c>
      <c r="E22" s="13"/>
      <c r="F22" s="13">
        <v>3</v>
      </c>
      <c r="G22" s="21"/>
      <c r="H22" s="15"/>
      <c r="I22" s="15">
        <f t="shared" si="0"/>
        <v>3</v>
      </c>
      <c r="J22" s="16">
        <v>20</v>
      </c>
      <c r="K22" s="11">
        <v>46132</v>
      </c>
      <c r="L22" s="12" t="s">
        <v>87</v>
      </c>
      <c r="M22" s="12" t="s">
        <v>140</v>
      </c>
      <c r="N22" s="17">
        <v>3</v>
      </c>
      <c r="O22" s="13"/>
      <c r="P22" s="20"/>
      <c r="Q22">
        <f t="shared" si="1"/>
        <v>3</v>
      </c>
    </row>
    <row r="23" customFormat="1" ht="22" customHeight="1" spans="1:17">
      <c r="A23" s="10">
        <v>21</v>
      </c>
      <c r="B23" s="11">
        <v>46132</v>
      </c>
      <c r="C23" s="12" t="s">
        <v>122</v>
      </c>
      <c r="D23" s="12" t="s">
        <v>140</v>
      </c>
      <c r="E23" s="13"/>
      <c r="F23" s="13">
        <v>3</v>
      </c>
      <c r="G23" s="21"/>
      <c r="H23" s="15"/>
      <c r="I23" s="15">
        <f t="shared" si="0"/>
        <v>3</v>
      </c>
      <c r="J23" s="16">
        <v>21</v>
      </c>
      <c r="K23" s="11">
        <v>46132</v>
      </c>
      <c r="L23" s="12" t="s">
        <v>88</v>
      </c>
      <c r="M23" s="12" t="s">
        <v>140</v>
      </c>
      <c r="N23" s="13"/>
      <c r="O23" s="17">
        <v>3</v>
      </c>
      <c r="P23" s="21" t="s">
        <v>89</v>
      </c>
      <c r="Q23">
        <f t="shared" si="1"/>
        <v>3</v>
      </c>
    </row>
    <row r="24" customFormat="1" ht="22" customHeight="1" spans="1:17">
      <c r="A24" s="10">
        <v>22</v>
      </c>
      <c r="B24" s="11">
        <v>46132</v>
      </c>
      <c r="C24" s="12" t="s">
        <v>23</v>
      </c>
      <c r="D24" s="12" t="s">
        <v>140</v>
      </c>
      <c r="E24" s="13"/>
      <c r="F24" s="13">
        <v>3</v>
      </c>
      <c r="G24" s="21"/>
      <c r="H24" s="15"/>
      <c r="I24" s="15">
        <f t="shared" si="0"/>
        <v>3</v>
      </c>
      <c r="J24" s="16">
        <v>22</v>
      </c>
      <c r="K24" s="11">
        <v>46132</v>
      </c>
      <c r="L24" s="12" t="s">
        <v>90</v>
      </c>
      <c r="M24" s="12" t="s">
        <v>140</v>
      </c>
      <c r="N24" s="17"/>
      <c r="O24" s="13">
        <v>3</v>
      </c>
      <c r="P24" s="23" t="s">
        <v>155</v>
      </c>
      <c r="Q24">
        <f t="shared" si="1"/>
        <v>3</v>
      </c>
    </row>
    <row r="25" customFormat="1" ht="22" customHeight="1" spans="1:17">
      <c r="A25" s="10">
        <v>23</v>
      </c>
      <c r="B25" s="11">
        <v>46132</v>
      </c>
      <c r="C25" s="12" t="s">
        <v>24</v>
      </c>
      <c r="D25" s="12" t="s">
        <v>140</v>
      </c>
      <c r="E25" s="13"/>
      <c r="F25" s="13">
        <v>3</v>
      </c>
      <c r="G25" s="21"/>
      <c r="H25" s="15"/>
      <c r="I25" s="15">
        <f t="shared" si="0"/>
        <v>3</v>
      </c>
      <c r="J25" s="16">
        <v>23</v>
      </c>
      <c r="K25" s="11">
        <v>46132</v>
      </c>
      <c r="L25" s="12" t="s">
        <v>91</v>
      </c>
      <c r="M25" s="12" t="s">
        <v>140</v>
      </c>
      <c r="N25" s="13">
        <v>2</v>
      </c>
      <c r="O25" s="13">
        <v>1</v>
      </c>
      <c r="P25" s="21" t="s">
        <v>148</v>
      </c>
      <c r="Q25">
        <f t="shared" si="1"/>
        <v>3</v>
      </c>
    </row>
    <row r="26" customFormat="1" ht="22" customHeight="1" spans="1:17">
      <c r="A26" s="10">
        <v>24</v>
      </c>
      <c r="B26" s="11">
        <v>46132</v>
      </c>
      <c r="C26" s="12" t="s">
        <v>25</v>
      </c>
      <c r="D26" s="12" t="s">
        <v>140</v>
      </c>
      <c r="E26" s="13">
        <v>1</v>
      </c>
      <c r="F26" s="13">
        <v>2</v>
      </c>
      <c r="G26" s="21"/>
      <c r="H26" s="15"/>
      <c r="I26" s="15">
        <f t="shared" si="0"/>
        <v>3</v>
      </c>
      <c r="J26" s="16">
        <v>24</v>
      </c>
      <c r="K26" s="11">
        <v>46132</v>
      </c>
      <c r="L26" s="12" t="s">
        <v>93</v>
      </c>
      <c r="M26" s="12" t="s">
        <v>140</v>
      </c>
      <c r="N26" s="13"/>
      <c r="O26" s="17">
        <v>3</v>
      </c>
      <c r="P26" s="21" t="s">
        <v>94</v>
      </c>
      <c r="Q26">
        <f t="shared" si="1"/>
        <v>3</v>
      </c>
    </row>
    <row r="27" customFormat="1" ht="22" customHeight="1" spans="1:17">
      <c r="A27" s="10">
        <v>25</v>
      </c>
      <c r="B27" s="11">
        <v>46132</v>
      </c>
      <c r="C27" s="12" t="s">
        <v>26</v>
      </c>
      <c r="D27" s="12" t="s">
        <v>140</v>
      </c>
      <c r="E27" s="13">
        <v>3</v>
      </c>
      <c r="F27" s="13"/>
      <c r="G27" s="21"/>
      <c r="H27" s="15"/>
      <c r="I27" s="15">
        <f t="shared" si="0"/>
        <v>3</v>
      </c>
      <c r="J27" s="16">
        <v>25</v>
      </c>
      <c r="K27" s="11">
        <v>46132</v>
      </c>
      <c r="L27" s="24" t="s">
        <v>134</v>
      </c>
      <c r="M27" s="12" t="s">
        <v>140</v>
      </c>
      <c r="N27" s="13">
        <v>3</v>
      </c>
      <c r="O27" s="13"/>
      <c r="P27" s="21"/>
      <c r="Q27">
        <f t="shared" si="1"/>
        <v>3</v>
      </c>
    </row>
    <row r="28" customFormat="1" ht="22" customHeight="1" spans="1:17">
      <c r="A28" s="10">
        <v>26</v>
      </c>
      <c r="B28" s="11">
        <v>46132</v>
      </c>
      <c r="C28" s="12" t="s">
        <v>27</v>
      </c>
      <c r="D28" s="12" t="s">
        <v>140</v>
      </c>
      <c r="E28" s="13">
        <v>3</v>
      </c>
      <c r="F28" s="13"/>
      <c r="G28" s="21"/>
      <c r="H28" s="15"/>
      <c r="I28" s="15">
        <f t="shared" si="0"/>
        <v>3</v>
      </c>
      <c r="J28" s="16">
        <v>26</v>
      </c>
      <c r="K28" s="11">
        <v>46132</v>
      </c>
      <c r="L28" s="25" t="s">
        <v>135</v>
      </c>
      <c r="M28" s="12" t="s">
        <v>140</v>
      </c>
      <c r="N28" s="13"/>
      <c r="O28" s="13">
        <v>3</v>
      </c>
      <c r="P28" s="21" t="s">
        <v>94</v>
      </c>
      <c r="Q28">
        <f t="shared" si="1"/>
        <v>3</v>
      </c>
    </row>
    <row r="29" customFormat="1" ht="22" customHeight="1" spans="1:17">
      <c r="A29" s="10">
        <v>27</v>
      </c>
      <c r="B29" s="11">
        <v>46132</v>
      </c>
      <c r="C29" s="12" t="s">
        <v>33</v>
      </c>
      <c r="D29" s="12" t="s">
        <v>140</v>
      </c>
      <c r="E29" s="13">
        <v>3</v>
      </c>
      <c r="F29" s="13"/>
      <c r="G29" s="21"/>
      <c r="H29" s="15"/>
      <c r="I29" s="15">
        <f t="shared" si="0"/>
        <v>3</v>
      </c>
      <c r="J29" s="16"/>
      <c r="K29" s="11"/>
      <c r="L29" s="12"/>
      <c r="M29" s="12"/>
      <c r="N29" s="13"/>
      <c r="O29" s="13"/>
      <c r="P29" s="21"/>
    </row>
    <row r="30" customFormat="1" ht="22" customHeight="1" spans="1:17">
      <c r="A30" s="10">
        <v>28</v>
      </c>
      <c r="B30" s="11">
        <v>46132</v>
      </c>
      <c r="C30" s="12" t="s">
        <v>35</v>
      </c>
      <c r="D30" s="12" t="s">
        <v>140</v>
      </c>
      <c r="E30" s="13"/>
      <c r="F30" s="13">
        <v>3</v>
      </c>
      <c r="G30" s="21"/>
      <c r="H30" s="15"/>
      <c r="I30" s="15">
        <f t="shared" si="0"/>
        <v>3</v>
      </c>
      <c r="J30" s="16"/>
      <c r="K30" s="11"/>
      <c r="L30" s="12"/>
      <c r="M30" s="12"/>
      <c r="N30" s="13"/>
      <c r="O30" s="13"/>
      <c r="P30" s="21"/>
    </row>
    <row r="31" customFormat="1" ht="22" customHeight="1" spans="1:17">
      <c r="A31" s="10">
        <v>29</v>
      </c>
      <c r="B31" s="11">
        <v>46132</v>
      </c>
      <c r="C31" s="12" t="s">
        <v>123</v>
      </c>
      <c r="D31" s="12" t="s">
        <v>140</v>
      </c>
      <c r="E31" s="13">
        <v>3</v>
      </c>
      <c r="F31" s="13"/>
      <c r="G31" s="21"/>
      <c r="H31" s="15"/>
      <c r="I31" s="15">
        <f t="shared" si="0"/>
        <v>3</v>
      </c>
      <c r="J31" s="16"/>
      <c r="K31" s="11"/>
      <c r="L31" s="12"/>
      <c r="M31" s="12"/>
      <c r="N31" s="13"/>
      <c r="O31" s="13"/>
      <c r="P31" s="21"/>
    </row>
    <row r="32" customFormat="1" ht="22" customHeight="1" spans="1:17">
      <c r="A32" s="10">
        <v>30</v>
      </c>
      <c r="B32" s="11">
        <v>46132</v>
      </c>
      <c r="C32" s="12" t="s">
        <v>124</v>
      </c>
      <c r="D32" s="12" t="s">
        <v>140</v>
      </c>
      <c r="E32" s="13"/>
      <c r="F32" s="13">
        <v>3</v>
      </c>
      <c r="G32" s="21"/>
      <c r="H32" s="15"/>
      <c r="I32" s="15">
        <f t="shared" si="0"/>
        <v>3</v>
      </c>
      <c r="J32" s="16"/>
      <c r="K32" s="11"/>
      <c r="L32" s="12"/>
      <c r="M32" s="12"/>
      <c r="N32" s="13"/>
      <c r="O32" s="13"/>
      <c r="P32" s="21"/>
    </row>
    <row r="33" customFormat="1" ht="22" customHeight="1" spans="1:16">
      <c r="A33" s="10">
        <v>31</v>
      </c>
      <c r="B33" s="11">
        <v>46132</v>
      </c>
      <c r="C33" s="12" t="s">
        <v>125</v>
      </c>
      <c r="D33" s="12" t="s">
        <v>140</v>
      </c>
      <c r="E33" s="13">
        <v>3</v>
      </c>
      <c r="F33" s="13"/>
      <c r="G33" s="21"/>
      <c r="H33" s="15"/>
      <c r="I33" s="15">
        <f t="shared" si="0"/>
        <v>3</v>
      </c>
      <c r="J33" s="16"/>
      <c r="K33" s="11"/>
      <c r="L33" s="12"/>
      <c r="M33" s="12"/>
      <c r="N33" s="13"/>
      <c r="O33" s="13"/>
      <c r="P33" s="21"/>
    </row>
    <row r="34" customFormat="1" ht="22" customHeight="1" spans="1:16">
      <c r="A34" s="10">
        <v>32</v>
      </c>
      <c r="B34" s="11">
        <v>46132</v>
      </c>
      <c r="C34" s="12" t="s">
        <v>29</v>
      </c>
      <c r="D34" s="12" t="s">
        <v>140</v>
      </c>
      <c r="E34" s="13"/>
      <c r="F34" s="13">
        <v>3</v>
      </c>
      <c r="G34" s="21"/>
      <c r="H34" s="15"/>
      <c r="I34" s="15">
        <f t="shared" si="0"/>
        <v>3</v>
      </c>
      <c r="N34" s="13">
        <f>SUM(N3:N33)</f>
        <v>41</v>
      </c>
      <c r="O34" s="13">
        <f>SUM(O3:O33)</f>
        <v>37</v>
      </c>
    </row>
    <row r="35" customFormat="1" ht="22" customHeight="1" spans="1:16">
      <c r="A35" s="10">
        <v>33</v>
      </c>
      <c r="B35" s="11">
        <v>46132</v>
      </c>
      <c r="C35" s="12" t="s">
        <v>30</v>
      </c>
      <c r="D35" s="12" t="s">
        <v>140</v>
      </c>
      <c r="E35" s="13">
        <v>3</v>
      </c>
      <c r="F35" s="13"/>
      <c r="G35" s="21"/>
      <c r="H35" s="15"/>
      <c r="I35" s="15">
        <f t="shared" si="0"/>
        <v>3</v>
      </c>
    </row>
    <row r="36" customFormat="1" ht="22" customHeight="1" spans="1:16">
      <c r="A36" s="10">
        <v>34</v>
      </c>
      <c r="B36" s="11">
        <v>46132</v>
      </c>
      <c r="C36" s="12" t="s">
        <v>31</v>
      </c>
      <c r="D36" s="12" t="s">
        <v>140</v>
      </c>
      <c r="E36" s="13"/>
      <c r="F36" s="13">
        <v>3</v>
      </c>
      <c r="G36" s="21"/>
      <c r="H36" s="15"/>
      <c r="I36" s="15">
        <f t="shared" si="0"/>
        <v>3</v>
      </c>
    </row>
    <row r="37" customFormat="1" ht="22" customHeight="1" spans="1:16">
      <c r="A37" s="10">
        <v>35</v>
      </c>
      <c r="B37" s="11">
        <v>46132</v>
      </c>
      <c r="C37" s="12" t="s">
        <v>126</v>
      </c>
      <c r="D37" s="12" t="s">
        <v>140</v>
      </c>
      <c r="E37" s="13"/>
      <c r="F37" s="13">
        <v>3</v>
      </c>
      <c r="G37" s="21"/>
      <c r="H37" s="15"/>
      <c r="I37" s="15">
        <f t="shared" si="0"/>
        <v>3</v>
      </c>
    </row>
    <row r="38" customFormat="1" ht="22" customHeight="1" spans="1:16">
      <c r="A38" s="10">
        <v>36</v>
      </c>
      <c r="B38" s="11">
        <v>46132</v>
      </c>
      <c r="C38" s="12" t="s">
        <v>127</v>
      </c>
      <c r="D38" s="12" t="s">
        <v>140</v>
      </c>
      <c r="E38" s="13">
        <v>3</v>
      </c>
      <c r="F38" s="13"/>
      <c r="G38" s="21"/>
      <c r="H38" s="15"/>
      <c r="I38" s="15">
        <f t="shared" si="0"/>
        <v>3</v>
      </c>
    </row>
    <row r="39" customFormat="1" ht="22" customHeight="1" spans="1:16">
      <c r="A39" s="10">
        <v>37</v>
      </c>
      <c r="B39" s="11">
        <v>46132</v>
      </c>
      <c r="C39" s="39" t="s">
        <v>132</v>
      </c>
      <c r="D39" s="12" t="s">
        <v>140</v>
      </c>
      <c r="E39" s="13">
        <v>2</v>
      </c>
      <c r="F39" s="13">
        <v>1</v>
      </c>
      <c r="G39" s="21" t="s">
        <v>143</v>
      </c>
      <c r="H39" t="s">
        <v>149</v>
      </c>
      <c r="I39" s="15">
        <f t="shared" si="0"/>
        <v>3</v>
      </c>
    </row>
    <row r="40" customFormat="1" ht="22" customHeight="1" spans="1:16">
      <c r="A40" s="10">
        <v>38</v>
      </c>
      <c r="B40" s="11">
        <v>46132</v>
      </c>
      <c r="C40" s="40" t="s">
        <v>36</v>
      </c>
      <c r="D40" s="12" t="s">
        <v>140</v>
      </c>
      <c r="E40" s="13">
        <v>2</v>
      </c>
      <c r="F40" s="13">
        <v>1</v>
      </c>
      <c r="G40" s="21" t="s">
        <v>143</v>
      </c>
      <c r="H40" t="s">
        <v>149</v>
      </c>
      <c r="I40" s="15">
        <f t="shared" si="0"/>
        <v>3</v>
      </c>
    </row>
    <row r="41" customFormat="1" ht="22" customHeight="1" spans="1:16">
      <c r="A41" s="10">
        <v>39</v>
      </c>
      <c r="B41" s="11">
        <v>46132</v>
      </c>
      <c r="C41" s="26" t="s">
        <v>133</v>
      </c>
      <c r="D41" s="26" t="s">
        <v>140</v>
      </c>
      <c r="E41" s="28">
        <v>2</v>
      </c>
      <c r="F41" s="28">
        <v>1</v>
      </c>
      <c r="G41" s="29" t="s">
        <v>150</v>
      </c>
      <c r="H41" t="s">
        <v>149</v>
      </c>
      <c r="I41" s="15">
        <f t="shared" si="0"/>
        <v>3</v>
      </c>
    </row>
    <row r="42" customFormat="1" ht="22" customHeight="1" spans="1:16">
      <c r="A42" s="10"/>
      <c r="B42" s="11"/>
      <c r="C42" s="41"/>
      <c r="D42" s="41"/>
      <c r="E42" s="41"/>
      <c r="F42" s="41"/>
      <c r="G42" s="41"/>
    </row>
    <row r="43" customFormat="1" ht="22" customHeight="1" spans="1:16">
      <c r="A43" s="10"/>
      <c r="B43" s="11"/>
      <c r="C43" s="34"/>
      <c r="D43" s="34"/>
      <c r="E43" s="35"/>
      <c r="F43" s="35"/>
      <c r="G43" s="36"/>
      <c r="H43" s="22"/>
    </row>
    <row r="44" customFormat="1" ht="22" customHeight="1" spans="1:16">
      <c r="E44">
        <f>SUM(E3:E43)</f>
        <v>51</v>
      </c>
      <c r="F44">
        <f>SUM(F3:F43)</f>
        <v>66</v>
      </c>
    </row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 spans="10:16">
      <c r="J56" s="10"/>
      <c r="K56" s="11"/>
      <c r="L56" s="12"/>
      <c r="M56" s="12"/>
      <c r="N56" s="13"/>
      <c r="O56" s="13"/>
      <c r="P56" s="21"/>
    </row>
    <row r="57" ht="22" customHeight="1" spans="10:16">
      <c r="K57" s="37"/>
      <c r="L57" s="37"/>
      <c r="M57" s="37"/>
      <c r="N57" s="38"/>
      <c r="O57" s="38"/>
    </row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customFormat="1" ht="22" customHeight="1" spans="1:8">
      <c r="A66" s="10"/>
      <c r="B66" s="11"/>
      <c r="C66" s="12"/>
      <c r="D66" s="12"/>
      <c r="E66" s="13"/>
      <c r="F66" s="13"/>
      <c r="G66" s="21"/>
      <c r="H66" s="22"/>
    </row>
    <row r="67" customFormat="1" ht="21" customHeight="1" spans="1:8">
      <c r="B67" s="37"/>
      <c r="C67" s="37"/>
      <c r="D67" s="37"/>
      <c r="E67" s="38">
        <f>SUM(E3:E66)</f>
        <v>102</v>
      </c>
      <c r="F67" s="38">
        <f>SUM(F3:F66)</f>
        <v>132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6"/>
  <sheetViews>
    <sheetView topLeftCell="C1" workbookViewId="0">
      <pane ySplit="2" topLeftCell="A27" activePane="bottomLeft" state="frozen"/>
      <selection/>
      <selection pane="bottomLeft" activeCell="H43" sqref="H43"/>
    </sheetView>
  </sheetViews>
  <sheetFormatPr defaultColWidth="9.14285714285714" defaultRowHeight="12"/>
  <cols>
    <col min="1" max="1" width="9.28571428571429" customWidth="1"/>
    <col min="2" max="2" width="14.4285714285714" customWidth="1"/>
    <col min="3" max="3" width="16.8571428571429" customWidth="1"/>
    <col min="4" max="6" width="12.1428571428571" customWidth="1"/>
    <col min="7" max="7" width="31.4285714285714" customWidth="1"/>
    <col min="8" max="8" width="13.1428571428571" customWidth="1"/>
    <col min="10" max="10" width="8.28571428571429" customWidth="1"/>
    <col min="11" max="11" width="11.2857142857143" customWidth="1"/>
    <col min="12" max="12" width="13.7142857142857" customWidth="1"/>
    <col min="13" max="13" width="11" customWidth="1"/>
    <col min="14" max="15" width="8" customWidth="1"/>
    <col min="16" max="16" width="32.4285714285714" customWidth="1"/>
  </cols>
  <sheetData>
    <row r="1" customFormat="1" ht="38" customHeight="1" spans="1:17">
      <c r="A1" s="2" t="s">
        <v>136</v>
      </c>
      <c r="B1" s="2"/>
      <c r="C1" s="2"/>
      <c r="D1" s="2"/>
      <c r="E1" s="2"/>
      <c r="F1" s="3"/>
      <c r="G1" s="4"/>
      <c r="H1" s="5"/>
      <c r="J1" s="2" t="s">
        <v>145</v>
      </c>
      <c r="K1" s="2"/>
      <c r="L1" s="2"/>
      <c r="M1" s="2"/>
      <c r="N1" s="2"/>
      <c r="O1" s="3"/>
      <c r="P1" s="4"/>
    </row>
    <row r="2" s="1" customFormat="1" ht="32" customHeight="1" spans="1:17">
      <c r="A2" s="6" t="s">
        <v>1</v>
      </c>
      <c r="B2" s="6" t="s">
        <v>98</v>
      </c>
      <c r="C2" s="6" t="s">
        <v>99</v>
      </c>
      <c r="D2" s="7" t="s">
        <v>137</v>
      </c>
      <c r="E2" s="8" t="s">
        <v>138</v>
      </c>
      <c r="F2" s="8" t="s">
        <v>139</v>
      </c>
      <c r="G2" s="8" t="s">
        <v>9</v>
      </c>
      <c r="H2" s="9"/>
      <c r="J2" s="6" t="s">
        <v>1</v>
      </c>
      <c r="K2" s="6" t="s">
        <v>98</v>
      </c>
      <c r="L2" s="6" t="s">
        <v>99</v>
      </c>
      <c r="M2" s="7" t="s">
        <v>137</v>
      </c>
      <c r="N2" s="8" t="s">
        <v>138</v>
      </c>
      <c r="O2" s="8" t="s">
        <v>139</v>
      </c>
      <c r="P2" s="8" t="s">
        <v>9</v>
      </c>
      <c r="Q2"/>
    </row>
    <row r="3" customFormat="1" ht="22" customHeight="1" spans="1:17">
      <c r="A3" s="10">
        <v>1</v>
      </c>
      <c r="B3" s="11">
        <v>46135</v>
      </c>
      <c r="C3" s="12" t="s">
        <v>102</v>
      </c>
      <c r="D3" s="12" t="s">
        <v>146</v>
      </c>
      <c r="E3" s="13">
        <v>1</v>
      </c>
      <c r="F3" s="13">
        <v>1</v>
      </c>
      <c r="G3" s="14"/>
      <c r="H3" s="15"/>
      <c r="J3" s="16">
        <v>1</v>
      </c>
      <c r="K3" s="11">
        <v>46135</v>
      </c>
      <c r="L3" s="12" t="s">
        <v>53</v>
      </c>
      <c r="M3" s="12" t="s">
        <v>146</v>
      </c>
      <c r="N3" s="13">
        <v>1</v>
      </c>
      <c r="O3" s="13">
        <v>1</v>
      </c>
      <c r="P3" s="14" t="s">
        <v>12</v>
      </c>
    </row>
    <row r="4" customFormat="1" ht="22" customHeight="1" spans="1:17">
      <c r="A4" s="10">
        <v>2</v>
      </c>
      <c r="B4" s="11">
        <v>46135</v>
      </c>
      <c r="C4" s="12" t="s">
        <v>103</v>
      </c>
      <c r="D4" s="12" t="s">
        <v>146</v>
      </c>
      <c r="E4" s="17"/>
      <c r="F4" s="13">
        <v>2</v>
      </c>
      <c r="G4" s="18"/>
      <c r="H4" s="19"/>
      <c r="J4" s="16">
        <v>2</v>
      </c>
      <c r="K4" s="11">
        <v>46135</v>
      </c>
      <c r="L4" s="12" t="s">
        <v>57</v>
      </c>
      <c r="M4" s="12" t="s">
        <v>146</v>
      </c>
      <c r="N4" s="17">
        <v>2</v>
      </c>
      <c r="O4" s="13"/>
      <c r="P4" s="18"/>
    </row>
    <row r="5" customFormat="1" ht="22" customHeight="1" spans="1:17">
      <c r="A5" s="10">
        <v>3</v>
      </c>
      <c r="B5" s="11">
        <v>46135</v>
      </c>
      <c r="C5" s="12" t="s">
        <v>104</v>
      </c>
      <c r="D5" s="12" t="s">
        <v>146</v>
      </c>
      <c r="E5" s="13"/>
      <c r="F5" s="13">
        <v>2</v>
      </c>
      <c r="G5" s="18"/>
      <c r="H5" s="19"/>
      <c r="J5" s="16">
        <v>3</v>
      </c>
      <c r="K5" s="11">
        <v>46135</v>
      </c>
      <c r="L5" s="12" t="s">
        <v>59</v>
      </c>
      <c r="M5" s="12" t="s">
        <v>146</v>
      </c>
      <c r="N5" s="17">
        <v>1</v>
      </c>
      <c r="O5" s="13">
        <v>1</v>
      </c>
      <c r="P5" s="20" t="s">
        <v>154</v>
      </c>
    </row>
    <row r="6" customFormat="1" ht="22" customHeight="1" spans="1:17">
      <c r="A6" s="10">
        <v>4</v>
      </c>
      <c r="B6" s="11">
        <v>46135</v>
      </c>
      <c r="C6" s="12" t="s">
        <v>105</v>
      </c>
      <c r="D6" s="12" t="s">
        <v>146</v>
      </c>
      <c r="E6" s="13"/>
      <c r="F6" s="13">
        <v>2</v>
      </c>
      <c r="G6" s="18"/>
      <c r="H6" s="19"/>
      <c r="J6" s="16">
        <v>4</v>
      </c>
      <c r="K6" s="11">
        <v>46135</v>
      </c>
      <c r="L6" s="12" t="s">
        <v>60</v>
      </c>
      <c r="M6" s="12" t="s">
        <v>146</v>
      </c>
      <c r="N6" s="13"/>
      <c r="O6" s="17">
        <v>2</v>
      </c>
      <c r="P6" s="18" t="s">
        <v>61</v>
      </c>
    </row>
    <row r="7" customFormat="1" ht="22" customHeight="1" spans="1:17">
      <c r="A7" s="10">
        <v>5</v>
      </c>
      <c r="B7" s="11">
        <v>46135</v>
      </c>
      <c r="C7" s="12" t="s">
        <v>106</v>
      </c>
      <c r="D7" s="12" t="s">
        <v>146</v>
      </c>
      <c r="E7" s="13"/>
      <c r="F7" s="13">
        <v>2</v>
      </c>
      <c r="G7" s="18"/>
      <c r="H7" s="19"/>
      <c r="J7" s="16">
        <v>5</v>
      </c>
      <c r="K7" s="11">
        <v>46135</v>
      </c>
      <c r="L7" s="12" t="s">
        <v>62</v>
      </c>
      <c r="M7" s="12" t="s">
        <v>146</v>
      </c>
      <c r="N7" s="13"/>
      <c r="O7" s="17">
        <v>2</v>
      </c>
      <c r="P7" s="18" t="s">
        <v>5</v>
      </c>
    </row>
    <row r="8" customFormat="1" ht="22" customHeight="1" spans="1:17">
      <c r="A8" s="10">
        <v>6</v>
      </c>
      <c r="B8" s="11">
        <v>46135</v>
      </c>
      <c r="C8" s="12" t="s">
        <v>107</v>
      </c>
      <c r="D8" s="12" t="s">
        <v>146</v>
      </c>
      <c r="E8" s="13">
        <v>2</v>
      </c>
      <c r="F8" s="13"/>
      <c r="G8" s="18"/>
      <c r="H8" s="19"/>
      <c r="J8" s="16">
        <v>6</v>
      </c>
      <c r="K8" s="11">
        <v>46135</v>
      </c>
      <c r="L8" s="12" t="s">
        <v>64</v>
      </c>
      <c r="M8" s="12" t="s">
        <v>146</v>
      </c>
      <c r="N8" s="13"/>
      <c r="O8" s="17">
        <v>2</v>
      </c>
      <c r="P8" s="18" t="s">
        <v>5</v>
      </c>
    </row>
    <row r="9" customFormat="1" ht="22" customHeight="1" spans="1:17">
      <c r="A9" s="10">
        <v>7</v>
      </c>
      <c r="B9" s="11">
        <v>46135</v>
      </c>
      <c r="C9" s="12" t="s">
        <v>108</v>
      </c>
      <c r="D9" s="12" t="s">
        <v>146</v>
      </c>
      <c r="E9" s="13">
        <v>2</v>
      </c>
      <c r="F9" s="13"/>
      <c r="G9" s="21"/>
      <c r="H9" s="22"/>
      <c r="J9" s="16">
        <v>7</v>
      </c>
      <c r="K9" s="11">
        <v>46135</v>
      </c>
      <c r="L9" s="12" t="s">
        <v>65</v>
      </c>
      <c r="M9" s="12" t="s">
        <v>146</v>
      </c>
      <c r="N9" s="13"/>
      <c r="O9" s="17">
        <v>2</v>
      </c>
      <c r="P9" s="21" t="s">
        <v>5</v>
      </c>
    </row>
    <row r="10" customFormat="1" ht="22" customHeight="1" spans="1:17">
      <c r="A10" s="10">
        <v>8</v>
      </c>
      <c r="B10" s="11">
        <v>46135</v>
      </c>
      <c r="C10" s="12" t="s">
        <v>109</v>
      </c>
      <c r="D10" s="12" t="s">
        <v>146</v>
      </c>
      <c r="E10" s="13"/>
      <c r="F10" s="13">
        <v>2</v>
      </c>
      <c r="G10" s="21"/>
      <c r="H10" s="22"/>
      <c r="J10" s="16">
        <v>8</v>
      </c>
      <c r="K10" s="11">
        <v>46135</v>
      </c>
      <c r="L10" s="12" t="s">
        <v>67</v>
      </c>
      <c r="M10" s="12" t="s">
        <v>146</v>
      </c>
      <c r="N10" s="17">
        <v>2</v>
      </c>
      <c r="O10" s="13"/>
      <c r="P10" s="21"/>
    </row>
    <row r="11" customFormat="1" ht="22" customHeight="1" spans="1:17">
      <c r="A11" s="10">
        <v>9</v>
      </c>
      <c r="B11" s="11">
        <v>46135</v>
      </c>
      <c r="C11" s="12" t="s">
        <v>110</v>
      </c>
      <c r="D11" s="12" t="s">
        <v>146</v>
      </c>
      <c r="E11" s="13"/>
      <c r="F11" s="13">
        <v>2</v>
      </c>
      <c r="G11" s="21"/>
      <c r="H11" s="22"/>
      <c r="J11" s="16">
        <v>9</v>
      </c>
      <c r="K11" s="11">
        <v>46135</v>
      </c>
      <c r="L11" s="12" t="s">
        <v>69</v>
      </c>
      <c r="M11" s="12" t="s">
        <v>146</v>
      </c>
      <c r="N11" s="17">
        <v>2</v>
      </c>
      <c r="O11" s="13"/>
      <c r="P11" s="21"/>
    </row>
    <row r="12" customFormat="1" ht="22" customHeight="1" spans="1:17">
      <c r="A12" s="10">
        <v>10</v>
      </c>
      <c r="B12" s="11">
        <v>46135</v>
      </c>
      <c r="C12" s="12" t="s">
        <v>111</v>
      </c>
      <c r="D12" s="12" t="s">
        <v>146</v>
      </c>
      <c r="E12" s="13">
        <v>2</v>
      </c>
      <c r="F12" s="13"/>
      <c r="G12" s="21"/>
      <c r="H12" s="22"/>
      <c r="J12" s="16">
        <v>10</v>
      </c>
      <c r="K12" s="11">
        <v>46135</v>
      </c>
      <c r="L12" s="12" t="s">
        <v>70</v>
      </c>
      <c r="M12" s="12" t="s">
        <v>146</v>
      </c>
      <c r="N12" s="13"/>
      <c r="O12" s="17">
        <v>2</v>
      </c>
      <c r="P12" s="21" t="s">
        <v>71</v>
      </c>
    </row>
    <row r="13" customFormat="1" ht="22" customHeight="1" spans="1:17">
      <c r="A13" s="10">
        <v>11</v>
      </c>
      <c r="B13" s="11">
        <v>46135</v>
      </c>
      <c r="C13" s="12" t="s">
        <v>112</v>
      </c>
      <c r="D13" s="12" t="s">
        <v>146</v>
      </c>
      <c r="E13" s="13">
        <v>1</v>
      </c>
      <c r="F13" s="13">
        <v>1</v>
      </c>
      <c r="G13" s="21"/>
      <c r="H13" s="22"/>
      <c r="J13" s="16">
        <v>11</v>
      </c>
      <c r="K13" s="11">
        <v>46135</v>
      </c>
      <c r="L13" s="12" t="s">
        <v>72</v>
      </c>
      <c r="M13" s="12" t="s">
        <v>146</v>
      </c>
      <c r="N13" s="17">
        <v>2</v>
      </c>
      <c r="O13" s="13"/>
      <c r="P13" s="21"/>
    </row>
    <row r="14" customFormat="1" ht="22" customHeight="1" spans="1:17">
      <c r="A14" s="10">
        <v>12</v>
      </c>
      <c r="B14" s="11">
        <v>46135</v>
      </c>
      <c r="C14" s="12" t="s">
        <v>113</v>
      </c>
      <c r="D14" s="12" t="s">
        <v>146</v>
      </c>
      <c r="E14" s="13">
        <v>1</v>
      </c>
      <c r="F14" s="13">
        <v>1</v>
      </c>
      <c r="G14" s="21"/>
      <c r="H14" s="22"/>
      <c r="J14" s="16">
        <v>12</v>
      </c>
      <c r="K14" s="11">
        <v>46135</v>
      </c>
      <c r="L14" s="12" t="s">
        <v>73</v>
      </c>
      <c r="M14" s="12" t="s">
        <v>146</v>
      </c>
      <c r="N14" s="17">
        <v>2</v>
      </c>
      <c r="O14" s="13"/>
      <c r="P14" s="21"/>
    </row>
    <row r="15" customFormat="1" ht="22" customHeight="1" spans="1:17">
      <c r="A15" s="10">
        <v>13</v>
      </c>
      <c r="B15" s="11">
        <v>46135</v>
      </c>
      <c r="C15" s="12" t="s">
        <v>114</v>
      </c>
      <c r="D15" s="12" t="s">
        <v>146</v>
      </c>
      <c r="E15" s="13">
        <v>1</v>
      </c>
      <c r="F15" s="13">
        <v>1</v>
      </c>
      <c r="G15" s="21"/>
      <c r="H15" s="22"/>
      <c r="J15" s="16">
        <v>13</v>
      </c>
      <c r="K15" s="11">
        <v>46135</v>
      </c>
      <c r="L15" s="12" t="s">
        <v>74</v>
      </c>
      <c r="M15" s="12" t="s">
        <v>146</v>
      </c>
      <c r="N15" s="13">
        <v>1</v>
      </c>
      <c r="O15" s="13">
        <v>1</v>
      </c>
      <c r="P15" s="21" t="s">
        <v>76</v>
      </c>
    </row>
    <row r="16" customFormat="1" ht="22" customHeight="1" spans="1:17">
      <c r="A16" s="10">
        <v>14</v>
      </c>
      <c r="B16" s="11">
        <v>46135</v>
      </c>
      <c r="C16" s="12" t="s">
        <v>115</v>
      </c>
      <c r="D16" s="12" t="s">
        <v>146</v>
      </c>
      <c r="E16" s="13">
        <v>2</v>
      </c>
      <c r="F16" s="13"/>
      <c r="G16" s="21"/>
      <c r="H16" s="22"/>
      <c r="J16" s="16">
        <v>14</v>
      </c>
      <c r="K16" s="11">
        <v>46135</v>
      </c>
      <c r="L16" s="12" t="s">
        <v>77</v>
      </c>
      <c r="M16" s="12" t="s">
        <v>146</v>
      </c>
      <c r="N16" s="13">
        <v>1</v>
      </c>
      <c r="O16" s="13">
        <v>1</v>
      </c>
      <c r="P16" s="21" t="s">
        <v>78</v>
      </c>
    </row>
    <row r="17" customFormat="1" ht="22" customHeight="1" spans="1:16">
      <c r="A17" s="10">
        <v>15</v>
      </c>
      <c r="B17" s="11">
        <v>46135</v>
      </c>
      <c r="C17" s="12" t="s">
        <v>116</v>
      </c>
      <c r="D17" s="12" t="s">
        <v>146</v>
      </c>
      <c r="E17" s="13">
        <v>2</v>
      </c>
      <c r="F17" s="13"/>
      <c r="G17" s="21"/>
      <c r="H17" s="22"/>
      <c r="J17" s="16">
        <v>15</v>
      </c>
      <c r="K17" s="11">
        <v>46135</v>
      </c>
      <c r="L17" s="12" t="s">
        <v>79</v>
      </c>
      <c r="M17" s="12" t="s">
        <v>146</v>
      </c>
      <c r="N17" s="17">
        <v>2</v>
      </c>
      <c r="O17" s="13"/>
      <c r="P17" s="21"/>
    </row>
    <row r="18" customFormat="1" ht="22" customHeight="1" spans="1:16">
      <c r="A18" s="10">
        <v>16</v>
      </c>
      <c r="B18" s="11">
        <v>46135</v>
      </c>
      <c r="C18" s="12" t="s">
        <v>117</v>
      </c>
      <c r="D18" s="12" t="s">
        <v>146</v>
      </c>
      <c r="E18" s="13"/>
      <c r="F18" s="13">
        <v>2</v>
      </c>
      <c r="G18" s="21"/>
      <c r="H18" s="22"/>
      <c r="J18" s="16">
        <v>16</v>
      </c>
      <c r="K18" s="11">
        <v>46135</v>
      </c>
      <c r="L18" s="12" t="s">
        <v>81</v>
      </c>
      <c r="M18" s="12" t="s">
        <v>146</v>
      </c>
      <c r="N18" s="13">
        <v>1</v>
      </c>
      <c r="O18" s="13">
        <v>1</v>
      </c>
      <c r="P18" s="21" t="s">
        <v>82</v>
      </c>
    </row>
    <row r="19" customFormat="1" ht="22" customHeight="1" spans="1:16">
      <c r="A19" s="10">
        <v>17</v>
      </c>
      <c r="B19" s="11">
        <v>46135</v>
      </c>
      <c r="C19" s="12" t="s">
        <v>118</v>
      </c>
      <c r="D19" s="12" t="s">
        <v>146</v>
      </c>
      <c r="E19" s="13">
        <v>1</v>
      </c>
      <c r="F19" s="13">
        <v>1</v>
      </c>
      <c r="G19" s="21"/>
      <c r="H19" s="22"/>
      <c r="J19" s="16">
        <v>17</v>
      </c>
      <c r="K19" s="11">
        <v>46135</v>
      </c>
      <c r="L19" s="12" t="s">
        <v>83</v>
      </c>
      <c r="M19" s="12" t="s">
        <v>146</v>
      </c>
      <c r="N19" s="13">
        <v>1</v>
      </c>
      <c r="O19" s="13">
        <v>1</v>
      </c>
      <c r="P19" s="21" t="s">
        <v>84</v>
      </c>
    </row>
    <row r="20" customFormat="1" ht="22" customHeight="1" spans="1:16">
      <c r="A20" s="10">
        <v>18</v>
      </c>
      <c r="B20" s="11">
        <v>46135</v>
      </c>
      <c r="C20" s="12" t="s">
        <v>119</v>
      </c>
      <c r="D20" s="12" t="s">
        <v>146</v>
      </c>
      <c r="E20" s="13">
        <v>2</v>
      </c>
      <c r="F20" s="13"/>
      <c r="G20" s="21"/>
      <c r="H20" s="22"/>
      <c r="J20" s="16">
        <v>18</v>
      </c>
      <c r="K20" s="11">
        <v>46135</v>
      </c>
      <c r="L20" s="12" t="s">
        <v>85</v>
      </c>
      <c r="M20" s="12" t="s">
        <v>146</v>
      </c>
      <c r="N20" s="17">
        <v>1</v>
      </c>
      <c r="O20" s="13">
        <v>1</v>
      </c>
      <c r="P20" s="20" t="s">
        <v>154</v>
      </c>
    </row>
    <row r="21" customFormat="1" ht="22" customHeight="1" spans="1:16">
      <c r="A21" s="10">
        <v>19</v>
      </c>
      <c r="B21" s="11">
        <v>46135</v>
      </c>
      <c r="C21" s="12" t="s">
        <v>120</v>
      </c>
      <c r="D21" s="12" t="s">
        <v>146</v>
      </c>
      <c r="E21" s="13"/>
      <c r="F21" s="13">
        <v>2</v>
      </c>
      <c r="G21" s="21"/>
      <c r="H21" s="22"/>
      <c r="J21" s="16">
        <v>19</v>
      </c>
      <c r="K21" s="11">
        <v>46135</v>
      </c>
      <c r="L21" s="12" t="s">
        <v>86</v>
      </c>
      <c r="M21" s="12" t="s">
        <v>146</v>
      </c>
      <c r="N21" s="17">
        <v>1</v>
      </c>
      <c r="O21" s="13">
        <v>1</v>
      </c>
      <c r="P21" s="20" t="s">
        <v>154</v>
      </c>
    </row>
    <row r="22" customFormat="1" ht="22" customHeight="1" spans="1:16">
      <c r="A22" s="10">
        <v>20</v>
      </c>
      <c r="B22" s="11">
        <v>46135</v>
      </c>
      <c r="C22" s="12" t="s">
        <v>121</v>
      </c>
      <c r="D22" s="12" t="s">
        <v>146</v>
      </c>
      <c r="E22" s="13"/>
      <c r="F22" s="13">
        <v>2</v>
      </c>
      <c r="G22" s="21"/>
      <c r="H22" s="22"/>
      <c r="J22" s="16">
        <v>20</v>
      </c>
      <c r="K22" s="11">
        <v>46135</v>
      </c>
      <c r="L22" s="12" t="s">
        <v>87</v>
      </c>
      <c r="M22" s="12" t="s">
        <v>146</v>
      </c>
      <c r="N22" s="17">
        <v>2</v>
      </c>
      <c r="O22" s="13"/>
      <c r="P22" s="20"/>
    </row>
    <row r="23" customFormat="1" ht="22" customHeight="1" spans="1:16">
      <c r="A23" s="10">
        <v>21</v>
      </c>
      <c r="B23" s="11">
        <v>46135</v>
      </c>
      <c r="C23" s="12" t="s">
        <v>122</v>
      </c>
      <c r="D23" s="12" t="s">
        <v>146</v>
      </c>
      <c r="E23" s="13"/>
      <c r="F23" s="13">
        <v>2</v>
      </c>
      <c r="G23" s="21"/>
      <c r="H23" s="22"/>
      <c r="J23" s="16">
        <v>21</v>
      </c>
      <c r="K23" s="11">
        <v>46135</v>
      </c>
      <c r="L23" s="12" t="s">
        <v>88</v>
      </c>
      <c r="M23" s="12" t="s">
        <v>146</v>
      </c>
      <c r="N23" s="13"/>
      <c r="O23" s="17">
        <v>2</v>
      </c>
      <c r="P23" s="21" t="s">
        <v>89</v>
      </c>
    </row>
    <row r="24" customFormat="1" ht="22" customHeight="1" spans="1:16">
      <c r="A24" s="10">
        <v>22</v>
      </c>
      <c r="B24" s="11">
        <v>46135</v>
      </c>
      <c r="C24" s="12" t="s">
        <v>23</v>
      </c>
      <c r="D24" s="12" t="s">
        <v>146</v>
      </c>
      <c r="E24" s="13"/>
      <c r="F24" s="13">
        <v>2</v>
      </c>
      <c r="G24" s="21"/>
      <c r="H24" s="22"/>
      <c r="J24" s="16">
        <v>22</v>
      </c>
      <c r="K24" s="11">
        <v>46135</v>
      </c>
      <c r="L24" s="12" t="s">
        <v>90</v>
      </c>
      <c r="M24" s="12" t="s">
        <v>146</v>
      </c>
      <c r="N24" s="17"/>
      <c r="O24" s="13">
        <v>2</v>
      </c>
      <c r="P24" s="23" t="s">
        <v>155</v>
      </c>
    </row>
    <row r="25" customFormat="1" ht="22" customHeight="1" spans="1:16">
      <c r="A25" s="10">
        <v>23</v>
      </c>
      <c r="B25" s="11">
        <v>46135</v>
      </c>
      <c r="C25" s="12" t="s">
        <v>24</v>
      </c>
      <c r="D25" s="12" t="s">
        <v>146</v>
      </c>
      <c r="E25" s="13"/>
      <c r="F25" s="13">
        <v>2</v>
      </c>
      <c r="G25" s="21"/>
      <c r="H25" s="22"/>
      <c r="J25" s="16">
        <v>23</v>
      </c>
      <c r="K25" s="11">
        <v>46135</v>
      </c>
      <c r="L25" s="12" t="s">
        <v>91</v>
      </c>
      <c r="M25" s="12" t="s">
        <v>146</v>
      </c>
      <c r="N25" s="13">
        <v>1</v>
      </c>
      <c r="O25" s="13">
        <v>1</v>
      </c>
      <c r="P25" s="21" t="s">
        <v>148</v>
      </c>
    </row>
    <row r="26" customFormat="1" ht="22" customHeight="1" spans="1:16">
      <c r="A26" s="10">
        <v>24</v>
      </c>
      <c r="B26" s="11">
        <v>46135</v>
      </c>
      <c r="C26" s="12" t="s">
        <v>25</v>
      </c>
      <c r="D26" s="12" t="s">
        <v>146</v>
      </c>
      <c r="E26" s="13">
        <v>1</v>
      </c>
      <c r="F26" s="13">
        <v>1</v>
      </c>
      <c r="G26" s="21"/>
      <c r="H26" s="22"/>
      <c r="J26" s="16">
        <v>24</v>
      </c>
      <c r="K26" s="11">
        <v>46135</v>
      </c>
      <c r="L26" s="12" t="s">
        <v>93</v>
      </c>
      <c r="M26" s="12" t="s">
        <v>146</v>
      </c>
      <c r="N26" s="13"/>
      <c r="O26" s="17">
        <v>2</v>
      </c>
      <c r="P26" s="21" t="s">
        <v>94</v>
      </c>
    </row>
    <row r="27" customFormat="1" ht="22" customHeight="1" spans="1:16">
      <c r="A27" s="10">
        <v>25</v>
      </c>
      <c r="B27" s="11">
        <v>46135</v>
      </c>
      <c r="C27" s="12" t="s">
        <v>26</v>
      </c>
      <c r="D27" s="12" t="s">
        <v>146</v>
      </c>
      <c r="E27" s="13">
        <v>2</v>
      </c>
      <c r="F27" s="13"/>
      <c r="G27" s="21"/>
      <c r="H27" s="22"/>
      <c r="J27" s="16">
        <v>25</v>
      </c>
      <c r="K27" s="11">
        <v>46135</v>
      </c>
      <c r="L27" s="24" t="s">
        <v>134</v>
      </c>
      <c r="M27" s="12" t="s">
        <v>146</v>
      </c>
      <c r="N27" s="17">
        <v>2</v>
      </c>
      <c r="O27" s="13"/>
      <c r="P27" s="21"/>
    </row>
    <row r="28" customFormat="1" ht="22" customHeight="1" spans="1:16">
      <c r="A28" s="10">
        <v>26</v>
      </c>
      <c r="B28" s="11">
        <v>46135</v>
      </c>
      <c r="C28" s="12" t="s">
        <v>27</v>
      </c>
      <c r="D28" s="12" t="s">
        <v>146</v>
      </c>
      <c r="E28" s="13">
        <v>2</v>
      </c>
      <c r="F28" s="13"/>
      <c r="G28" s="21"/>
      <c r="H28" s="22"/>
      <c r="J28" s="16">
        <v>26</v>
      </c>
      <c r="K28" s="11">
        <v>46135</v>
      </c>
      <c r="L28" s="25" t="s">
        <v>135</v>
      </c>
      <c r="M28" s="12" t="s">
        <v>146</v>
      </c>
      <c r="N28" s="13"/>
      <c r="O28" s="17">
        <v>2</v>
      </c>
      <c r="P28" s="21" t="s">
        <v>94</v>
      </c>
    </row>
    <row r="29" customFormat="1" ht="22" customHeight="1" spans="1:16">
      <c r="A29" s="10">
        <v>27</v>
      </c>
      <c r="B29" s="11">
        <v>46135</v>
      </c>
      <c r="C29" s="12" t="s">
        <v>33</v>
      </c>
      <c r="D29" s="12" t="s">
        <v>146</v>
      </c>
      <c r="E29" s="13">
        <v>2</v>
      </c>
      <c r="F29" s="13"/>
      <c r="G29" s="21"/>
      <c r="H29" s="22"/>
      <c r="J29" s="16"/>
      <c r="K29" s="11"/>
      <c r="L29" s="12"/>
      <c r="M29" s="12"/>
      <c r="N29" s="13"/>
      <c r="O29" s="13"/>
      <c r="P29" s="21"/>
    </row>
    <row r="30" customFormat="1" ht="22" customHeight="1" spans="1:16">
      <c r="A30" s="10">
        <v>28</v>
      </c>
      <c r="B30" s="11">
        <v>46135</v>
      </c>
      <c r="C30" s="12" t="s">
        <v>35</v>
      </c>
      <c r="D30" s="12" t="s">
        <v>146</v>
      </c>
      <c r="E30" s="13"/>
      <c r="F30" s="13">
        <v>2</v>
      </c>
      <c r="G30" s="21"/>
      <c r="H30" s="22"/>
      <c r="J30" s="16"/>
      <c r="K30" s="11"/>
      <c r="L30" s="12"/>
      <c r="M30" s="12"/>
      <c r="N30" s="13"/>
      <c r="O30" s="13"/>
      <c r="P30" s="21"/>
    </row>
    <row r="31" customFormat="1" ht="22" customHeight="1" spans="1:16">
      <c r="A31" s="10">
        <v>29</v>
      </c>
      <c r="B31" s="11">
        <v>46135</v>
      </c>
      <c r="C31" s="12" t="s">
        <v>123</v>
      </c>
      <c r="D31" s="12" t="s">
        <v>146</v>
      </c>
      <c r="E31" s="13">
        <v>2</v>
      </c>
      <c r="F31" s="13"/>
      <c r="G31" s="21"/>
      <c r="H31" s="22"/>
      <c r="J31" s="16"/>
      <c r="K31" s="11"/>
      <c r="L31" s="12"/>
      <c r="M31" s="12"/>
      <c r="N31" s="13"/>
      <c r="O31" s="13"/>
      <c r="P31" s="21"/>
    </row>
    <row r="32" customFormat="1" ht="22" customHeight="1" spans="1:16">
      <c r="A32" s="10">
        <v>30</v>
      </c>
      <c r="B32" s="11">
        <v>46135</v>
      </c>
      <c r="C32" s="12" t="s">
        <v>124</v>
      </c>
      <c r="D32" s="12" t="s">
        <v>146</v>
      </c>
      <c r="E32" s="13"/>
      <c r="F32" s="13">
        <v>2</v>
      </c>
      <c r="G32" s="21"/>
      <c r="H32" s="22"/>
      <c r="J32" s="16"/>
      <c r="K32" s="11"/>
      <c r="L32" s="12"/>
      <c r="M32" s="12"/>
      <c r="N32" s="13"/>
      <c r="O32" s="13"/>
      <c r="P32" s="21"/>
    </row>
    <row r="33" customFormat="1" ht="22" customHeight="1" spans="1:16">
      <c r="A33" s="10">
        <v>31</v>
      </c>
      <c r="B33" s="11">
        <v>46135</v>
      </c>
      <c r="C33" s="12" t="s">
        <v>125</v>
      </c>
      <c r="D33" s="12" t="s">
        <v>146</v>
      </c>
      <c r="E33" s="13">
        <v>2</v>
      </c>
      <c r="F33" s="13"/>
      <c r="G33" s="21"/>
      <c r="H33" s="22"/>
      <c r="J33" s="16"/>
      <c r="K33" s="11"/>
      <c r="L33" s="12"/>
      <c r="M33" s="12"/>
      <c r="N33" s="13"/>
      <c r="O33" s="13"/>
      <c r="P33" s="21"/>
    </row>
    <row r="34" customFormat="1" ht="22" customHeight="1" spans="1:16">
      <c r="A34" s="10">
        <v>32</v>
      </c>
      <c r="B34" s="11">
        <v>46135</v>
      </c>
      <c r="C34" s="12" t="s">
        <v>29</v>
      </c>
      <c r="D34" s="12" t="s">
        <v>146</v>
      </c>
      <c r="E34" s="13"/>
      <c r="F34" s="13">
        <v>2</v>
      </c>
      <c r="G34" s="21"/>
      <c r="H34" s="22"/>
      <c r="J34" s="16"/>
      <c r="K34" s="11"/>
      <c r="L34" s="12"/>
      <c r="M34" s="12"/>
      <c r="N34" s="13"/>
      <c r="O34" s="13"/>
      <c r="P34" s="21"/>
    </row>
    <row r="35" customFormat="1" ht="22" customHeight="1" spans="1:16">
      <c r="A35" s="10">
        <v>33</v>
      </c>
      <c r="B35" s="11">
        <v>46135</v>
      </c>
      <c r="C35" s="12" t="s">
        <v>30</v>
      </c>
      <c r="D35" s="12" t="s">
        <v>146</v>
      </c>
      <c r="E35" s="13">
        <v>2</v>
      </c>
      <c r="F35" s="13"/>
      <c r="G35" s="21"/>
      <c r="H35" s="22"/>
      <c r="J35" s="16"/>
      <c r="K35" s="11"/>
      <c r="L35" s="12"/>
      <c r="M35" s="12"/>
      <c r="N35" s="13"/>
      <c r="O35" s="13"/>
      <c r="P35" s="21"/>
    </row>
    <row r="36" customFormat="1" ht="22" customHeight="1" spans="1:16">
      <c r="A36" s="10">
        <v>34</v>
      </c>
      <c r="B36" s="11">
        <v>46135</v>
      </c>
      <c r="C36" s="12" t="s">
        <v>31</v>
      </c>
      <c r="D36" s="12" t="s">
        <v>146</v>
      </c>
      <c r="E36" s="13"/>
      <c r="F36" s="13">
        <v>2</v>
      </c>
      <c r="G36" s="21"/>
      <c r="H36" s="22"/>
      <c r="J36" s="16"/>
      <c r="K36" s="11"/>
      <c r="L36" s="12"/>
      <c r="M36" s="12"/>
      <c r="N36" s="13"/>
      <c r="O36" s="13"/>
      <c r="P36" s="21"/>
    </row>
    <row r="37" customFormat="1" ht="22" customHeight="1" spans="1:16">
      <c r="A37" s="10">
        <v>35</v>
      </c>
      <c r="B37" s="11">
        <v>46135</v>
      </c>
      <c r="C37" s="12" t="s">
        <v>126</v>
      </c>
      <c r="D37" s="12" t="s">
        <v>146</v>
      </c>
      <c r="E37" s="13"/>
      <c r="F37" s="13">
        <v>2</v>
      </c>
      <c r="G37" s="21"/>
      <c r="H37" s="22"/>
      <c r="J37" s="16"/>
      <c r="K37" s="11"/>
      <c r="L37" s="12"/>
      <c r="M37" s="12"/>
      <c r="N37" s="13"/>
      <c r="O37" s="13"/>
      <c r="P37" s="21"/>
    </row>
    <row r="38" customFormat="1" ht="22" customHeight="1" spans="1:16">
      <c r="A38" s="10">
        <v>36</v>
      </c>
      <c r="B38" s="11">
        <v>46135</v>
      </c>
      <c r="C38" s="12" t="s">
        <v>127</v>
      </c>
      <c r="D38" s="12" t="s">
        <v>146</v>
      </c>
      <c r="E38" s="13">
        <v>2</v>
      </c>
      <c r="F38" s="13"/>
      <c r="G38" s="21"/>
      <c r="H38" s="22"/>
      <c r="J38" s="16"/>
      <c r="K38" s="11"/>
      <c r="L38" s="12"/>
      <c r="M38" s="12"/>
      <c r="N38" s="13"/>
      <c r="O38" s="13"/>
      <c r="P38" s="21"/>
    </row>
    <row r="39" customFormat="1" ht="22" customHeight="1" spans="1:16">
      <c r="A39" s="10">
        <v>37</v>
      </c>
      <c r="B39" s="11">
        <v>46135</v>
      </c>
      <c r="C39" s="26" t="s">
        <v>132</v>
      </c>
      <c r="D39" s="27" t="s">
        <v>146</v>
      </c>
      <c r="E39" s="28">
        <v>1</v>
      </c>
      <c r="F39" s="28">
        <v>1</v>
      </c>
      <c r="G39" s="29" t="s">
        <v>143</v>
      </c>
      <c r="H39" t="s">
        <v>149</v>
      </c>
      <c r="J39" s="16"/>
      <c r="K39" s="11"/>
      <c r="L39" s="12"/>
      <c r="M39" s="12"/>
      <c r="N39" s="13"/>
      <c r="O39" s="13"/>
      <c r="P39" s="21"/>
    </row>
    <row r="40" customFormat="1" ht="22" customHeight="1" spans="1:16">
      <c r="A40" s="10">
        <v>38</v>
      </c>
      <c r="B40" s="11">
        <v>46135</v>
      </c>
      <c r="C40" s="30" t="s">
        <v>36</v>
      </c>
      <c r="D40" s="31" t="s">
        <v>146</v>
      </c>
      <c r="E40" s="32">
        <v>1</v>
      </c>
      <c r="F40" s="32">
        <v>1</v>
      </c>
      <c r="G40" s="21" t="s">
        <v>143</v>
      </c>
      <c r="H40" t="s">
        <v>149</v>
      </c>
      <c r="J40" s="16"/>
      <c r="K40" s="11"/>
      <c r="L40" s="12"/>
      <c r="M40" s="12"/>
      <c r="N40" s="13"/>
      <c r="O40" s="13"/>
      <c r="P40" s="21"/>
    </row>
    <row r="41" customFormat="1" ht="22" customHeight="1" spans="1:16">
      <c r="A41" s="10">
        <v>39</v>
      </c>
      <c r="B41" s="11">
        <v>46135</v>
      </c>
      <c r="C41" s="33" t="s">
        <v>133</v>
      </c>
      <c r="D41" s="31" t="s">
        <v>146</v>
      </c>
      <c r="E41" s="32">
        <v>1</v>
      </c>
      <c r="F41" s="32">
        <v>1</v>
      </c>
      <c r="G41" s="21" t="s">
        <v>150</v>
      </c>
      <c r="H41" t="s">
        <v>149</v>
      </c>
      <c r="J41" s="16"/>
      <c r="K41" s="11"/>
      <c r="L41" s="12"/>
      <c r="M41" s="12"/>
      <c r="N41" s="13"/>
      <c r="O41" s="13"/>
      <c r="P41" s="21"/>
    </row>
    <row r="42" customFormat="1" ht="22" customHeight="1" spans="1:16">
      <c r="A42" s="10"/>
      <c r="B42" s="11"/>
      <c r="C42" s="34"/>
      <c r="D42" s="34"/>
      <c r="E42" s="35"/>
      <c r="F42" s="35"/>
      <c r="G42" s="36"/>
      <c r="H42" s="22"/>
      <c r="N42" s="13">
        <f>SUM(N3:N41)</f>
        <v>25</v>
      </c>
      <c r="O42" s="13">
        <f>SUM(O3:O41)</f>
        <v>27</v>
      </c>
    </row>
    <row r="43" customFormat="1" ht="22" customHeight="1" spans="1:16">
      <c r="E43">
        <f>SUM(E3:E42)</f>
        <v>35</v>
      </c>
      <c r="F43">
        <f>SUM(F3:F42)</f>
        <v>43</v>
      </c>
    </row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customFormat="1" ht="22" customHeight="1" spans="10:16">
      <c r="J64" s="10"/>
      <c r="K64" s="11"/>
      <c r="L64" s="12"/>
      <c r="M64" s="12"/>
      <c r="N64" s="13"/>
      <c r="O64" s="13"/>
      <c r="P64" s="21"/>
    </row>
    <row r="65" customFormat="1" ht="22" customHeight="1" spans="1:15">
      <c r="A65" s="10"/>
      <c r="B65" s="11"/>
      <c r="C65" s="12"/>
      <c r="D65" s="12"/>
      <c r="E65" s="13"/>
      <c r="F65" s="13"/>
      <c r="G65" s="21"/>
      <c r="H65" s="22"/>
      <c r="K65" s="37"/>
      <c r="L65" s="37"/>
      <c r="M65" s="37"/>
      <c r="N65" s="38"/>
      <c r="O65" s="38"/>
    </row>
    <row r="66" customFormat="1" ht="21" customHeight="1" spans="1:15">
      <c r="B66" s="37"/>
      <c r="C66" s="37"/>
      <c r="D66" s="37"/>
      <c r="E66" s="38">
        <f>SUM(E3:E65)</f>
        <v>70</v>
      </c>
      <c r="F66" s="38">
        <f>SUM(F3:F65)</f>
        <v>86</v>
      </c>
    </row>
  </sheetData>
  <mergeCells count="2">
    <mergeCell ref="A1:G1"/>
    <mergeCell ref="J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老师</vt:lpstr>
      <vt:lpstr>学生</vt:lpstr>
      <vt:lpstr>领奶表</vt:lpstr>
      <vt:lpstr>签收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2026-04-20T10:12:32Z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