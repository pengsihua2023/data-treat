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79" firstSheet="2" activeTab="17"/>
  </bookViews>
  <sheets>
    <sheet name="老师" sheetId="1" r:id="rId1"/>
    <sheet name="黎路金" sheetId="8" r:id="rId2"/>
    <sheet name="领奶表" sheetId="5" r:id="rId3"/>
    <sheet name="配送汇总" sheetId="6" r:id="rId4"/>
    <sheet name="签收" sheetId="9" r:id="rId5"/>
    <sheet name="3.9" sheetId="2" r:id="rId6"/>
    <sheet name="3.12" sheetId="7" r:id="rId7"/>
    <sheet name="3.16" sheetId="10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0" hidden="1">老师!$A$4:$Y$41</definedName>
    <definedName name="_xlnm._FilterDatabase" localSheetId="3" hidden="1">配送汇总!$A$1:$AR$33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<sst xmlns="http://schemas.openxmlformats.org/spreadsheetml/2006/main" count="950" uniqueCount="69">
  <si>
    <t>2026春季黄花中学教职工巴氏鲜奶补贴订购申请表（20份起送，特殊申请除外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</si>
  <si>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</si>
  <si>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</si>
  <si>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</si>
  <si>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</si>
  <si>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</si>
  <si>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</si>
  <si>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</si>
  <si>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</si>
  <si>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</si>
  <si>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</si>
  <si>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</si>
  <si>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</si>
  <si>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豆晓薇1</t>
  </si>
  <si>
    <t>√</t>
  </si>
  <si>
    <t>已收款</t>
  </si>
  <si>
    <t>豆晓薇2</t>
  </si>
  <si>
    <t>潘祝英</t>
  </si>
  <si>
    <t>袁志杨1</t>
  </si>
  <si>
    <t>袁志杨2</t>
  </si>
  <si>
    <t>袁志杨3</t>
  </si>
  <si>
    <t>刘郎钦</t>
  </si>
  <si>
    <t>何碧忠1</t>
  </si>
  <si>
    <t>微信通知</t>
  </si>
  <si>
    <t>何碧忠2</t>
  </si>
  <si>
    <t>何碧忠3</t>
  </si>
  <si>
    <t>黎海健1</t>
  </si>
  <si>
    <t>黎海健2</t>
  </si>
  <si>
    <t>李伟彬1</t>
  </si>
  <si>
    <t>✓</t>
  </si>
  <si>
    <t>李伟彬2</t>
  </si>
  <si>
    <t>李伟彬3</t>
  </si>
  <si>
    <t>丘桂坚</t>
  </si>
  <si>
    <t>陈国靖</t>
  </si>
  <si>
    <t>张泳杰</t>
  </si>
  <si>
    <t>李雪茵</t>
  </si>
  <si>
    <t>黎春美</t>
  </si>
  <si>
    <t>黎路娣</t>
  </si>
  <si>
    <t>V</t>
  </si>
  <si>
    <t>黎路金</t>
  </si>
  <si>
    <t>黎子真</t>
  </si>
  <si>
    <t>4.13新增</t>
  </si>
  <si>
    <t>2026春季九龙中学教职工巴氏鲜奶补贴订购申请表（20份起送，特殊申请除外</t>
  </si>
  <si>
    <t>本学期订购一份赠送1本笔记本+1支花梨木圆珠笔</t>
  </si>
  <si>
    <t>2份，已收款</t>
  </si>
  <si>
    <t>英德市黄花中学教师鲜奶领奶表</t>
  </si>
  <si>
    <t>（ ）月份（填写领取数量/盒）</t>
  </si>
  <si>
    <t>姓名</t>
  </si>
  <si>
    <t xml:space="preserve">                                                   英德市黄花中学教师鲜奶领奶表</t>
  </si>
  <si>
    <t>订购份数</t>
  </si>
  <si>
    <t>总计</t>
  </si>
  <si>
    <t>剩余</t>
  </si>
  <si>
    <t>续订已收款</t>
  </si>
  <si>
    <t>黎路金1</t>
  </si>
  <si>
    <t>黎路金2</t>
  </si>
  <si>
    <t>黄花中学教师鲜奶赠品领取表</t>
  </si>
  <si>
    <t>配送日期</t>
  </si>
  <si>
    <t>礼品份数
（笔记本+笔）</t>
  </si>
  <si>
    <t>签名</t>
  </si>
  <si>
    <t>黄花中学教师鲜奶领奶表</t>
  </si>
  <si>
    <t>配送天数</t>
  </si>
  <si>
    <t>鲜</t>
  </si>
  <si>
    <t>酸</t>
  </si>
  <si>
    <t>3天</t>
  </si>
  <si>
    <t>10号补发</t>
  </si>
  <si>
    <t>4天</t>
  </si>
  <si>
    <t>共2份，一鲜一酸</t>
  </si>
  <si>
    <t>改为酸奶</t>
  </si>
  <si>
    <t>4.13新增，含2支补送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</si>
</sst>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3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13" applyNumberFormat="0" applyAlignment="0" applyProtection="0">
      <alignment vertical="center"/>
    </xf>
    <xf numFmtId="0" fontId="31" fillId="5" borderId="14" applyNumberFormat="0" applyAlignment="0" applyProtection="0">
      <alignment vertical="center"/>
    </xf>
    <xf numFmtId="0" fontId="32" fillId="5" borderId="13" applyNumberFormat="0" applyAlignment="0" applyProtection="0">
      <alignment vertical="center"/>
    </xf>
    <xf numFmtId="0" fontId="33" fillId="6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 wrapText="1"/>
    </xf>
    <xf numFmtId="58" fontId="11" fillId="0" borderId="5" xfId="0" applyNumberFormat="1" applyFont="1" applyFill="1" applyBorder="1" applyAlignment="1">
      <alignment horizontal="center" vertical="center" wrapText="1"/>
    </xf>
    <xf numFmtId="58" fontId="11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4" fillId="0" borderId="5" xfId="0" applyNumberFormat="1" applyFont="1" applyFill="1" applyBorder="1" applyAlignment="1">
      <alignment vertical="center"/>
    </xf>
    <xf numFmtId="0" fontId="17" fillId="0" borderId="5" xfId="0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7"/>
  <sheetViews>
    <sheetView topLeftCell="A3" workbookViewId="0">
      <selection activeCell="I6" sqref="I6"/>
    </sheetView>
  </sheetViews>
  <sheetFormatPr defaultColWidth="14" defaultRowHeight="18" customHeight="1"/>
  <cols>
    <col min="1" max="1" width="6.71428571428571" customWidth="1"/>
    <col min="2" max="2" width="10.8571428571429" customWidth="1"/>
    <col min="4" max="6" width="7.85714285714286" customWidth="1"/>
  </cols>
  <sheetData>
    <row r="1" ht="20.25" customHeight="1" spans="1:25">
      <c r="A1" s="59" t="s">
        <v>0</v>
      </c>
      <c r="B1" s="59"/>
      <c r="C1" s="59"/>
      <c r="D1" s="59"/>
      <c r="E1" s="59"/>
      <c r="F1" s="59"/>
      <c r="G1" s="59"/>
      <c r="H1" s="59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ht="20.25" customHeight="1" spans="1:25">
      <c r="A2" s="61" t="s">
        <v>1</v>
      </c>
      <c r="B2" s="61"/>
      <c r="C2" s="61"/>
      <c r="D2" s="61"/>
      <c r="E2" s="61"/>
      <c r="F2" s="61"/>
      <c r="G2" s="61"/>
      <c r="H2" s="61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</row>
    <row r="3" customHeight="1" spans="1:25">
      <c r="A3" s="62" t="s">
        <v>2</v>
      </c>
      <c r="B3" s="62" t="s">
        <v>3</v>
      </c>
      <c r="C3" s="62" t="s">
        <v>4</v>
      </c>
      <c r="D3" s="63" t="s">
        <v>5</v>
      </c>
      <c r="E3" s="63"/>
      <c r="F3" s="63" t="s">
        <v>6</v>
      </c>
      <c r="G3" s="63"/>
      <c r="H3" s="62" t="s">
        <v>7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 ht="67.5" spans="1:25">
      <c r="A4" s="62"/>
      <c r="B4" s="62"/>
      <c r="C4" s="62"/>
      <c r="D4" s="64" t="s">
        <v>8</v>
      </c>
      <c r="E4" s="64" t="s">
        <v>9</v>
      </c>
      <c r="F4" s="64" t="s">
        <v>10</v>
      </c>
      <c r="G4" s="64" t="s">
        <v>11</v>
      </c>
      <c r="H4" s="65" t="s">
        <v>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 customHeight="1" spans="1:25">
      <c r="A5" s="66">
        <v>1</v>
      </c>
      <c r="B5" s="66" t="s">
        <v>13</v>
      </c>
      <c r="C5" s="66">
        <v>15089728586</v>
      </c>
      <c r="D5" s="67"/>
      <c r="E5" s="66" t="s">
        <v>14</v>
      </c>
      <c r="F5" s="66">
        <v>350</v>
      </c>
      <c r="G5" s="66">
        <v>210</v>
      </c>
      <c r="H5" s="67" t="s">
        <v>15</v>
      </c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 customHeight="1" spans="1:25">
      <c r="A6" s="66">
        <v>2</v>
      </c>
      <c r="B6" s="66" t="s">
        <v>16</v>
      </c>
      <c r="C6" s="67"/>
      <c r="D6" s="67"/>
      <c r="E6" s="66" t="s">
        <v>14</v>
      </c>
      <c r="F6" s="66">
        <v>350</v>
      </c>
      <c r="G6" s="66">
        <v>210</v>
      </c>
      <c r="H6" s="67" t="s">
        <v>15</v>
      </c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 customHeight="1" spans="1:25">
      <c r="A7" s="66">
        <v>3</v>
      </c>
      <c r="B7" s="66" t="s">
        <v>17</v>
      </c>
      <c r="C7" s="66">
        <v>13729637378</v>
      </c>
      <c r="D7" s="67"/>
      <c r="E7" s="66" t="s">
        <v>14</v>
      </c>
      <c r="F7" s="66">
        <v>350</v>
      </c>
      <c r="G7" s="66">
        <v>210</v>
      </c>
      <c r="H7" s="67" t="s">
        <v>15</v>
      </c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 customHeight="1" spans="1:25">
      <c r="A8" s="66">
        <v>4</v>
      </c>
      <c r="B8" s="66" t="s">
        <v>18</v>
      </c>
      <c r="C8" s="66">
        <v>13679533353</v>
      </c>
      <c r="D8" s="66" t="s">
        <v>14</v>
      </c>
      <c r="E8" s="67"/>
      <c r="F8" s="66">
        <v>350</v>
      </c>
      <c r="G8" s="66">
        <v>210</v>
      </c>
      <c r="H8" s="67" t="s">
        <v>15</v>
      </c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 customHeight="1" spans="1:25">
      <c r="A9" s="66">
        <v>5</v>
      </c>
      <c r="B9" s="66" t="s">
        <v>19</v>
      </c>
      <c r="C9" s="67"/>
      <c r="D9" s="67"/>
      <c r="E9" s="66" t="s">
        <v>14</v>
      </c>
      <c r="F9" s="66">
        <v>350</v>
      </c>
      <c r="G9" s="66">
        <v>210</v>
      </c>
      <c r="H9" s="67" t="s">
        <v>15</v>
      </c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 customHeight="1" spans="1:25">
      <c r="A10" s="66">
        <v>6</v>
      </c>
      <c r="B10" s="66" t="s">
        <v>20</v>
      </c>
      <c r="C10" s="67"/>
      <c r="D10" s="67"/>
      <c r="E10" s="66" t="s">
        <v>14</v>
      </c>
      <c r="F10" s="66">
        <v>350</v>
      </c>
      <c r="G10" s="66">
        <v>210</v>
      </c>
      <c r="H10" s="67" t="s">
        <v>15</v>
      </c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 customHeight="1" spans="1:25">
      <c r="A11" s="66">
        <v>8</v>
      </c>
      <c r="B11" s="66" t="s">
        <v>21</v>
      </c>
      <c r="C11" s="66">
        <v>17825717108</v>
      </c>
      <c r="D11" s="67"/>
      <c r="E11" s="66" t="s">
        <v>14</v>
      </c>
      <c r="F11" s="66">
        <v>350</v>
      </c>
      <c r="G11" s="66">
        <v>210</v>
      </c>
      <c r="H11" s="67" t="s">
        <v>15</v>
      </c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 customHeight="1" spans="1:25">
      <c r="A12" s="66">
        <v>9</v>
      </c>
      <c r="B12" s="66" t="s">
        <v>22</v>
      </c>
      <c r="C12" s="66">
        <v>13620512705</v>
      </c>
      <c r="D12" s="66" t="s">
        <v>14</v>
      </c>
      <c r="E12" s="67"/>
      <c r="F12" s="66">
        <v>350</v>
      </c>
      <c r="G12" s="66">
        <v>210</v>
      </c>
      <c r="H12" s="67" t="s">
        <v>15</v>
      </c>
      <c r="I12" s="60" t="s">
        <v>23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 customHeight="1" spans="1:25">
      <c r="A13" s="66">
        <v>10</v>
      </c>
      <c r="B13" s="66" t="s">
        <v>24</v>
      </c>
      <c r="C13" s="66">
        <v>13620512705</v>
      </c>
      <c r="D13" s="66" t="s">
        <v>14</v>
      </c>
      <c r="E13" s="67"/>
      <c r="F13" s="66">
        <v>350</v>
      </c>
      <c r="G13" s="66">
        <v>210</v>
      </c>
      <c r="H13" s="67" t="s">
        <v>15</v>
      </c>
      <c r="I13" s="60" t="s">
        <v>23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 customHeight="1" spans="1:25">
      <c r="A14" s="66">
        <v>11</v>
      </c>
      <c r="B14" s="66" t="s">
        <v>25</v>
      </c>
      <c r="C14" s="66">
        <v>13620512705</v>
      </c>
      <c r="D14" s="66" t="s">
        <v>14</v>
      </c>
      <c r="E14" s="67"/>
      <c r="F14" s="66">
        <v>350</v>
      </c>
      <c r="G14" s="66">
        <v>210</v>
      </c>
      <c r="H14" s="67" t="s">
        <v>15</v>
      </c>
      <c r="I14" s="60" t="s">
        <v>23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 customHeight="1" spans="1:25">
      <c r="A15" s="66">
        <v>12</v>
      </c>
      <c r="B15" s="66" t="s">
        <v>26</v>
      </c>
      <c r="C15" s="66">
        <v>13542480572</v>
      </c>
      <c r="D15" s="66" t="s">
        <v>14</v>
      </c>
      <c r="E15" s="67"/>
      <c r="F15" s="66">
        <v>350</v>
      </c>
      <c r="G15" s="66">
        <v>210</v>
      </c>
      <c r="H15" s="67" t="s">
        <v>15</v>
      </c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 customHeight="1" spans="1:25">
      <c r="A16" s="66">
        <v>13</v>
      </c>
      <c r="B16" s="66" t="s">
        <v>27</v>
      </c>
      <c r="C16" s="66">
        <v>13542480572</v>
      </c>
      <c r="D16" s="67"/>
      <c r="E16" s="66" t="s">
        <v>14</v>
      </c>
      <c r="F16" s="66">
        <v>350</v>
      </c>
      <c r="G16" s="66">
        <v>210</v>
      </c>
      <c r="H16" s="67" t="s">
        <v>15</v>
      </c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 customHeight="1" spans="1:25">
      <c r="A17" s="66">
        <v>14</v>
      </c>
      <c r="B17" s="66" t="s">
        <v>28</v>
      </c>
      <c r="C17" s="67"/>
      <c r="D17" s="67"/>
      <c r="E17" s="66" t="s">
        <v>29</v>
      </c>
      <c r="F17" s="66">
        <v>350</v>
      </c>
      <c r="G17" s="66">
        <v>210</v>
      </c>
      <c r="H17" s="67" t="s">
        <v>15</v>
      </c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 customHeight="1" spans="1:25">
      <c r="A18" s="66">
        <v>15</v>
      </c>
      <c r="B18" s="66" t="s">
        <v>30</v>
      </c>
      <c r="C18" s="67"/>
      <c r="D18" s="67"/>
      <c r="E18" s="66" t="s">
        <v>29</v>
      </c>
      <c r="F18" s="66">
        <v>350</v>
      </c>
      <c r="G18" s="66">
        <v>210</v>
      </c>
      <c r="H18" s="67" t="s">
        <v>15</v>
      </c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 customHeight="1" spans="1:25">
      <c r="A19" s="66">
        <v>16</v>
      </c>
      <c r="B19" s="66" t="s">
        <v>31</v>
      </c>
      <c r="C19" s="67"/>
      <c r="D19" s="67"/>
      <c r="E19" s="66" t="s">
        <v>29</v>
      </c>
      <c r="F19" s="66">
        <v>350</v>
      </c>
      <c r="G19" s="66">
        <v>210</v>
      </c>
      <c r="H19" s="67" t="s">
        <v>15</v>
      </c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 customHeight="1" spans="1:25">
      <c r="A20" s="66">
        <v>17</v>
      </c>
      <c r="B20" s="66" t="s">
        <v>32</v>
      </c>
      <c r="C20" s="67"/>
      <c r="D20" s="66" t="s">
        <v>29</v>
      </c>
      <c r="E20" s="68"/>
      <c r="F20" s="66">
        <v>350</v>
      </c>
      <c r="G20" s="66">
        <v>210</v>
      </c>
      <c r="H20" s="67" t="s">
        <v>15</v>
      </c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 customHeight="1" spans="1:25">
      <c r="A21" s="66">
        <v>18</v>
      </c>
      <c r="B21" s="66" t="s">
        <v>33</v>
      </c>
      <c r="C21" s="67"/>
      <c r="D21" s="67"/>
      <c r="E21" s="66" t="s">
        <v>29</v>
      </c>
      <c r="F21" s="66">
        <v>350</v>
      </c>
      <c r="G21" s="66">
        <v>210</v>
      </c>
      <c r="H21" s="67" t="s">
        <v>15</v>
      </c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 customHeight="1" spans="1:25">
      <c r="A22" s="66">
        <v>19</v>
      </c>
      <c r="B22" s="66" t="s">
        <v>34</v>
      </c>
      <c r="C22" s="66">
        <v>15627822768</v>
      </c>
      <c r="D22" s="66" t="s">
        <v>29</v>
      </c>
      <c r="E22" s="67"/>
      <c r="F22" s="66">
        <v>350</v>
      </c>
      <c r="G22" s="66">
        <v>210</v>
      </c>
      <c r="H22" s="67" t="s">
        <v>15</v>
      </c>
      <c r="I22" s="60" t="s">
        <v>23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 customHeight="1" spans="1:25">
      <c r="A23" s="66">
        <v>20</v>
      </c>
      <c r="B23" s="66" t="s">
        <v>35</v>
      </c>
      <c r="C23" s="66">
        <v>13542480824</v>
      </c>
      <c r="D23" s="67"/>
      <c r="E23" s="66" t="s">
        <v>29</v>
      </c>
      <c r="F23" s="66">
        <v>350</v>
      </c>
      <c r="G23" s="66">
        <v>210</v>
      </c>
      <c r="H23" s="67" t="s">
        <v>15</v>
      </c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 customHeight="1" spans="1:25">
      <c r="A24" s="66">
        <v>21</v>
      </c>
      <c r="B24" s="66" t="s">
        <v>36</v>
      </c>
      <c r="C24" s="66">
        <v>15816205130</v>
      </c>
      <c r="D24" s="67"/>
      <c r="E24" s="66" t="s">
        <v>29</v>
      </c>
      <c r="F24" s="66">
        <v>350</v>
      </c>
      <c r="G24" s="66">
        <v>210</v>
      </c>
      <c r="H24" s="67"/>
      <c r="I24" s="60" t="s">
        <v>23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 customHeight="1" spans="1:25">
      <c r="A25" s="66">
        <v>22</v>
      </c>
      <c r="B25" s="66" t="s">
        <v>37</v>
      </c>
      <c r="C25" s="66">
        <v>13610531882</v>
      </c>
      <c r="D25" s="67"/>
      <c r="E25" s="66" t="s">
        <v>38</v>
      </c>
      <c r="F25" s="66">
        <v>350</v>
      </c>
      <c r="G25" s="66">
        <v>210</v>
      </c>
      <c r="H25" s="67" t="s">
        <v>15</v>
      </c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 customHeight="1" spans="1:25">
      <c r="A26" s="66">
        <v>24</v>
      </c>
      <c r="B26" s="67" t="s">
        <v>39</v>
      </c>
      <c r="C26" s="67"/>
      <c r="D26" s="67"/>
      <c r="E26" s="67"/>
      <c r="F26" s="66">
        <v>350</v>
      </c>
      <c r="G26" s="66">
        <v>210</v>
      </c>
      <c r="H26" s="67" t="s">
        <v>15</v>
      </c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 customHeight="1" spans="1:25">
      <c r="A27" s="66">
        <v>31</v>
      </c>
      <c r="B27" s="67" t="s">
        <v>40</v>
      </c>
      <c r="C27" s="67">
        <v>18922619723</v>
      </c>
      <c r="D27" s="67"/>
      <c r="E27" s="66" t="s">
        <v>29</v>
      </c>
      <c r="F27" s="66">
        <v>350</v>
      </c>
      <c r="G27" s="66">
        <v>210</v>
      </c>
      <c r="H27" s="67" t="s">
        <v>15</v>
      </c>
      <c r="I27" s="60" t="s">
        <v>41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 customHeight="1" spans="1:25">
      <c r="A28" s="66">
        <v>32</v>
      </c>
      <c r="B28" s="67"/>
      <c r="C28" s="67"/>
      <c r="D28" s="67"/>
      <c r="E28" s="67"/>
      <c r="F28" s="66">
        <v>350</v>
      </c>
      <c r="G28" s="66">
        <v>210</v>
      </c>
      <c r="H28" s="67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 customHeight="1" spans="1:25">
      <c r="A29" s="66">
        <v>33</v>
      </c>
      <c r="B29" s="67"/>
      <c r="C29" s="67"/>
      <c r="D29" s="67"/>
      <c r="E29" s="67"/>
      <c r="F29" s="66">
        <v>350</v>
      </c>
      <c r="G29" s="66">
        <v>210</v>
      </c>
      <c r="H29" s="67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customHeight="1" spans="1:25">
      <c r="A30" s="66">
        <v>34</v>
      </c>
      <c r="B30" s="67"/>
      <c r="C30" s="67"/>
      <c r="D30" s="67"/>
      <c r="E30" s="67"/>
      <c r="F30" s="66">
        <v>350</v>
      </c>
      <c r="G30" s="66">
        <v>210</v>
      </c>
      <c r="H30" s="67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 customHeight="1" spans="1:25">
      <c r="A31" s="66">
        <v>35</v>
      </c>
      <c r="B31" s="67"/>
      <c r="C31" s="67"/>
      <c r="D31" s="67"/>
      <c r="E31" s="67"/>
      <c r="F31" s="66">
        <v>350</v>
      </c>
      <c r="G31" s="66">
        <v>210</v>
      </c>
      <c r="H31" s="67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 customHeight="1" spans="1:25">
      <c r="A32" s="66">
        <v>36</v>
      </c>
      <c r="B32" s="67"/>
      <c r="C32" s="67"/>
      <c r="D32" s="67"/>
      <c r="E32" s="67"/>
      <c r="F32" s="66">
        <v>350</v>
      </c>
      <c r="G32" s="66">
        <v>210</v>
      </c>
      <c r="H32" s="67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 customHeight="1" spans="1:25">
      <c r="A33" s="66">
        <v>37</v>
      </c>
      <c r="B33" s="67"/>
      <c r="C33" s="67"/>
      <c r="D33" s="67"/>
      <c r="E33" s="67"/>
      <c r="F33" s="66">
        <v>350</v>
      </c>
      <c r="G33" s="66">
        <v>210</v>
      </c>
      <c r="H33" s="67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customHeight="1" spans="1:25">
      <c r="A34" s="66">
        <v>38</v>
      </c>
      <c r="B34" s="67"/>
      <c r="C34" s="67"/>
      <c r="D34" s="67"/>
      <c r="E34" s="67"/>
      <c r="F34" s="66">
        <v>350</v>
      </c>
      <c r="G34" s="66">
        <v>210</v>
      </c>
      <c r="H34" s="67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 customHeight="1" spans="1:25">
      <c r="A35" s="66">
        <v>39</v>
      </c>
      <c r="B35" s="67"/>
      <c r="C35" s="67"/>
      <c r="D35" s="67"/>
      <c r="E35" s="67"/>
      <c r="F35" s="66">
        <v>350</v>
      </c>
      <c r="G35" s="66">
        <v>210</v>
      </c>
      <c r="H35" s="67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 customHeight="1" spans="1:25">
      <c r="A36" s="66">
        <v>40</v>
      </c>
      <c r="B36" s="67"/>
      <c r="C36" s="67"/>
      <c r="D36" s="67"/>
      <c r="E36" s="67"/>
      <c r="F36" s="66">
        <v>350</v>
      </c>
      <c r="G36" s="66">
        <v>210</v>
      </c>
      <c r="H36" s="67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 customHeight="1" spans="1:25">
      <c r="A37" s="66">
        <v>41</v>
      </c>
      <c r="B37" s="67"/>
      <c r="C37" s="67"/>
      <c r="D37" s="67"/>
      <c r="E37" s="67"/>
      <c r="F37" s="66">
        <v>350</v>
      </c>
      <c r="G37" s="66">
        <v>210</v>
      </c>
      <c r="H37" s="67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 customHeight="1" spans="1:25">
      <c r="A38" s="66">
        <v>42</v>
      </c>
      <c r="B38" s="67"/>
      <c r="C38" s="67"/>
      <c r="D38" s="67"/>
      <c r="E38" s="67"/>
      <c r="F38" s="66">
        <v>350</v>
      </c>
      <c r="G38" s="66">
        <v>210</v>
      </c>
      <c r="H38" s="67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 customHeight="1" spans="1:25">
      <c r="A39" s="66">
        <v>43</v>
      </c>
      <c r="B39" s="67"/>
      <c r="C39" s="67"/>
      <c r="D39" s="67"/>
      <c r="E39" s="67"/>
      <c r="F39" s="66">
        <v>350</v>
      </c>
      <c r="G39" s="66">
        <v>210</v>
      </c>
      <c r="H39" s="67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 customHeight="1" spans="1:25">
      <c r="A40" s="66">
        <v>44</v>
      </c>
      <c r="B40" s="67"/>
      <c r="C40" s="67"/>
      <c r="D40" s="67"/>
      <c r="E40" s="67"/>
      <c r="F40" s="66">
        <v>350</v>
      </c>
      <c r="G40" s="66">
        <v>210</v>
      </c>
      <c r="H40" s="67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 customHeight="1" spans="1:25">
      <c r="A41" s="66">
        <v>45</v>
      </c>
      <c r="B41" s="67"/>
      <c r="C41" s="67"/>
      <c r="D41" s="67"/>
      <c r="E41" s="67"/>
      <c r="F41" s="66">
        <v>350</v>
      </c>
      <c r="G41" s="66">
        <v>210</v>
      </c>
      <c r="H41" s="67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 customHeight="1" spans="1: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 customHeight="1" spans="1: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 customHeight="1" spans="1: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 customHeight="1" spans="1: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 customHeight="1" spans="1: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 customHeight="1" spans="1: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 customHeight="1" spans="1: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 customHeight="1" spans="1: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 customHeight="1" spans="1: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 customHeight="1" spans="1: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 customHeight="1" spans="1: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 customHeight="1" spans="1: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 customHeight="1" spans="1: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 customHeight="1" spans="1: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 customHeight="1" spans="1: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 customHeight="1" spans="1: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 customHeight="1" spans="1: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 customHeight="1" spans="1: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 customHeight="1" spans="1: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 customHeight="1" spans="1: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 customHeight="1" spans="1: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 customHeight="1" spans="1: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 customHeight="1" spans="1: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 customHeight="1" spans="1: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 customHeight="1" spans="1: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 customHeight="1" spans="1: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 customHeight="1" spans="1: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 customHeight="1" spans="1: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 customHeight="1" spans="1: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 customHeight="1" spans="1: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 customHeight="1" spans="1: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 customHeight="1" spans="1: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 customHeight="1" spans="1: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 customHeight="1" spans="1: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 customHeight="1" spans="1: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 customHeight="1" spans="1: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 customHeight="1" spans="1: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 customHeight="1" spans="1: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 customHeight="1" spans="1: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 customHeight="1" spans="1: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 customHeight="1" spans="1: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 customHeight="1" spans="1: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 customHeight="1" spans="1: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 customHeight="1" spans="1: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 customHeight="1" spans="1: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 customHeight="1" spans="1: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 customHeight="1" spans="1: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 customHeight="1" spans="1: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 customHeight="1" spans="1: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 customHeight="1" spans="1: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 customHeight="1" spans="1: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 customHeight="1" spans="1: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 customHeight="1" spans="1: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 customHeight="1" spans="1: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 customHeight="1" spans="1: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 customHeight="1" spans="1: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 customHeight="1" spans="1: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 customHeight="1" spans="1: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 customHeight="1" spans="1: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 customHeight="1" spans="1: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 customHeight="1" spans="1: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 customHeight="1" spans="1: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 customHeight="1" spans="1: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 customHeight="1" spans="1: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 customHeight="1" spans="1: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 customHeight="1" spans="1: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 customHeight="1" spans="1: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 customHeight="1" spans="1: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 customHeight="1" spans="1: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 customHeight="1" spans="1: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 customHeight="1" spans="1: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 customHeight="1" spans="1: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 customHeight="1" spans="1: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 customHeight="1" spans="1: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 customHeight="1" spans="1: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 customHeight="1" spans="1: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 customHeight="1" spans="1: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 customHeight="1" spans="1: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 customHeight="1" spans="1: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 customHeight="1" spans="1: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 customHeight="1" spans="1: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 customHeight="1" spans="1: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 customHeight="1" spans="1: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 customHeight="1" spans="1: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 customHeight="1" spans="1: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 customHeight="1" spans="1: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 customHeight="1" spans="1: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 customHeight="1" spans="1: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 customHeight="1" spans="1: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 customHeight="1" spans="1: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 customHeight="1" spans="1: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 customHeight="1" spans="1: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 customHeight="1" spans="1: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 customHeight="1" spans="1: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 customHeight="1" spans="1: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 customHeight="1" spans="1: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 customHeight="1" spans="1: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 customHeight="1" spans="1: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 customHeight="1" spans="1: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 customHeight="1" spans="1: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 customHeight="1" spans="1: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 customHeight="1" spans="1: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 customHeight="1" spans="1: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 customHeight="1" spans="1: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 customHeight="1" spans="1: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 customHeight="1" spans="1: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 customHeight="1" spans="1: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 customHeight="1" spans="1: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 customHeight="1" spans="1: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 customHeight="1" spans="1: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 customHeight="1" spans="1: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 customHeight="1" spans="1: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 customHeight="1" spans="1: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 customHeight="1" spans="1: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 customHeight="1" spans="1: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 customHeight="1" spans="1: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 customHeight="1" spans="1: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 customHeight="1" spans="1: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 customHeight="1" spans="1: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 customHeight="1" spans="1: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 customHeight="1" spans="1: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 customHeight="1" spans="1: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 customHeight="1" spans="1: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 customHeight="1" spans="1: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 customHeight="1" spans="1: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 customHeight="1" spans="1: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 customHeight="1" spans="1: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 customHeight="1" spans="1: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 customHeight="1" spans="1: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 customHeight="1" spans="1: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 customHeight="1" spans="1: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 customHeight="1" spans="1: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 customHeight="1" spans="1: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 customHeight="1" spans="1: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 customHeight="1" spans="1: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 customHeight="1" spans="1: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 customHeight="1" spans="1: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 customHeight="1" spans="1: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 customHeight="1" spans="1: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 customHeight="1" spans="1: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 customHeight="1" spans="1: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 customHeight="1" spans="1: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 customHeight="1" spans="1: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 customHeight="1" spans="1: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 customHeight="1" spans="1: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 customHeight="1" spans="1: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</sheetData>
  <autoFilter xmlns:etc="http://www.wps.cn/officeDocument/2017/etCustomData" ref="A4:Y41" etc:filterBottomFollowUsedRange="0">
    <extLst/>
  </autoFilter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D19" sqref="D19"/>
    </sheetView>
  </sheetViews>
  <sheetFormatPr defaultColWidth="14" defaultRowHeight="18" customHeight="1"/>
  <sheetData>
    <row r="1" ht="20.25" customHeight="1" spans="1:25">
      <c r="A1" s="59" t="s">
        <v>42</v>
      </c>
      <c r="B1" s="59"/>
      <c r="C1" s="59"/>
      <c r="D1" s="59"/>
      <c r="E1" s="59"/>
      <c r="F1" s="59"/>
      <c r="G1" s="59"/>
      <c r="H1" s="59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ht="20.25" customHeight="1" spans="1:25">
      <c r="A2" s="61" t="s">
        <v>43</v>
      </c>
      <c r="B2" s="61"/>
      <c r="C2" s="61"/>
      <c r="D2" s="61"/>
      <c r="E2" s="61"/>
      <c r="F2" s="61"/>
      <c r="G2" s="61"/>
      <c r="H2" s="61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</row>
    <row r="3" customHeight="1" spans="1:25">
      <c r="A3" s="62" t="s">
        <v>2</v>
      </c>
      <c r="B3" s="62" t="s">
        <v>3</v>
      </c>
      <c r="C3" s="62" t="s">
        <v>4</v>
      </c>
      <c r="D3" s="63" t="s">
        <v>5</v>
      </c>
      <c r="E3" s="63"/>
      <c r="F3" s="63" t="s">
        <v>6</v>
      </c>
      <c r="G3" s="63"/>
      <c r="H3" s="62" t="s">
        <v>7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 ht="54" spans="1:25">
      <c r="A4" s="62"/>
      <c r="B4" s="62"/>
      <c r="C4" s="62"/>
      <c r="D4" s="64" t="s">
        <v>8</v>
      </c>
      <c r="E4" s="64" t="s">
        <v>9</v>
      </c>
      <c r="F4" s="64" t="s">
        <v>10</v>
      </c>
      <c r="G4" s="64" t="s">
        <v>11</v>
      </c>
      <c r="H4" s="65" t="s">
        <v>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 customHeight="1" spans="1:25">
      <c r="A5" s="66">
        <v>1</v>
      </c>
      <c r="B5" s="66" t="s">
        <v>39</v>
      </c>
      <c r="C5" s="66">
        <v>13828525988</v>
      </c>
      <c r="D5" s="66">
        <v>1</v>
      </c>
      <c r="E5" s="66">
        <v>1</v>
      </c>
      <c r="F5" s="66">
        <v>350</v>
      </c>
      <c r="G5" s="66">
        <v>210</v>
      </c>
      <c r="H5" s="67" t="s">
        <v>44</v>
      </c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 customHeight="1" spans="1:25">
      <c r="A6" s="66">
        <v>2</v>
      </c>
      <c r="B6" s="67"/>
      <c r="C6" s="67"/>
      <c r="D6" s="67"/>
      <c r="E6" s="67"/>
      <c r="F6" s="66">
        <v>350</v>
      </c>
      <c r="G6" s="66">
        <v>210</v>
      </c>
      <c r="H6" s="67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 customHeight="1" spans="1:25">
      <c r="A7" s="66">
        <v>3</v>
      </c>
      <c r="B7" s="67"/>
      <c r="C7" s="67"/>
      <c r="D7" s="67"/>
      <c r="E7" s="67"/>
      <c r="F7" s="66">
        <v>350</v>
      </c>
      <c r="G7" s="66">
        <v>210</v>
      </c>
      <c r="H7" s="67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 customHeight="1" spans="1:25">
      <c r="A8" s="66">
        <v>4</v>
      </c>
      <c r="B8" s="67"/>
      <c r="C8" s="67"/>
      <c r="D8" s="67"/>
      <c r="E8" s="67"/>
      <c r="F8" s="66">
        <v>350</v>
      </c>
      <c r="G8" s="66">
        <v>210</v>
      </c>
      <c r="H8" s="67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 customHeight="1" spans="1:25">
      <c r="A9" s="66">
        <v>5</v>
      </c>
      <c r="B9" s="67"/>
      <c r="C9" s="67"/>
      <c r="D9" s="67"/>
      <c r="E9" s="67"/>
      <c r="F9" s="66">
        <v>350</v>
      </c>
      <c r="G9" s="66">
        <v>210</v>
      </c>
      <c r="H9" s="67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 customHeight="1" spans="1:25">
      <c r="A10" s="66">
        <v>6</v>
      </c>
      <c r="B10" s="67"/>
      <c r="C10" s="67"/>
      <c r="D10" s="67"/>
      <c r="E10" s="67"/>
      <c r="F10" s="66">
        <v>350</v>
      </c>
      <c r="G10" s="66">
        <v>210</v>
      </c>
      <c r="H10" s="67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 customHeight="1" spans="1:25">
      <c r="A11" s="66">
        <v>7</v>
      </c>
      <c r="B11" s="67"/>
      <c r="C11" s="67"/>
      <c r="D11" s="67"/>
      <c r="E11" s="67"/>
      <c r="F11" s="66">
        <v>350</v>
      </c>
      <c r="G11" s="66">
        <v>210</v>
      </c>
      <c r="H11" s="67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 customHeight="1" spans="1:25">
      <c r="A12" s="66">
        <v>8</v>
      </c>
      <c r="B12" s="67"/>
      <c r="C12" s="67"/>
      <c r="D12" s="67"/>
      <c r="E12" s="67"/>
      <c r="F12" s="66">
        <v>350</v>
      </c>
      <c r="G12" s="66">
        <v>210</v>
      </c>
      <c r="H12" s="67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 customHeight="1" spans="1:25">
      <c r="A13" s="66">
        <v>9</v>
      </c>
      <c r="B13" s="67"/>
      <c r="C13" s="67"/>
      <c r="D13" s="67"/>
      <c r="E13" s="67"/>
      <c r="F13" s="66">
        <v>350</v>
      </c>
      <c r="G13" s="66">
        <v>210</v>
      </c>
      <c r="H13" s="67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 customHeight="1" spans="1:25">
      <c r="A14" s="66">
        <v>10</v>
      </c>
      <c r="B14" s="67"/>
      <c r="C14" s="67"/>
      <c r="D14" s="67"/>
      <c r="E14" s="67"/>
      <c r="F14" s="66">
        <v>350</v>
      </c>
      <c r="G14" s="66">
        <v>210</v>
      </c>
      <c r="H14" s="67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 customHeight="1" spans="1:25">
      <c r="A15" s="66">
        <v>11</v>
      </c>
      <c r="B15" s="67"/>
      <c r="C15" s="67"/>
      <c r="D15" s="67"/>
      <c r="E15" s="67"/>
      <c r="F15" s="66">
        <v>350</v>
      </c>
      <c r="G15" s="66">
        <v>210</v>
      </c>
      <c r="H15" s="67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 customHeight="1" spans="1:25">
      <c r="A16" s="66">
        <v>12</v>
      </c>
      <c r="B16" s="67"/>
      <c r="C16" s="67"/>
      <c r="D16" s="67"/>
      <c r="E16" s="67"/>
      <c r="F16" s="66">
        <v>350</v>
      </c>
      <c r="G16" s="66">
        <v>210</v>
      </c>
      <c r="H16" s="67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 customHeight="1" spans="1:25">
      <c r="A17" s="66">
        <v>13</v>
      </c>
      <c r="B17" s="67"/>
      <c r="C17" s="67"/>
      <c r="D17" s="67"/>
      <c r="E17" s="67"/>
      <c r="F17" s="66">
        <v>350</v>
      </c>
      <c r="G17" s="66">
        <v>210</v>
      </c>
      <c r="H17" s="67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 customHeight="1" spans="1:25">
      <c r="A18" s="66">
        <v>14</v>
      </c>
      <c r="B18" s="67"/>
      <c r="C18" s="67"/>
      <c r="D18" s="67"/>
      <c r="E18" s="67"/>
      <c r="F18" s="66">
        <v>350</v>
      </c>
      <c r="G18" s="66">
        <v>210</v>
      </c>
      <c r="H18" s="67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 customHeight="1" spans="1:25">
      <c r="A19" s="66">
        <v>15</v>
      </c>
      <c r="B19" s="67"/>
      <c r="C19" s="67"/>
      <c r="D19" s="67"/>
      <c r="E19" s="67"/>
      <c r="F19" s="66">
        <v>350</v>
      </c>
      <c r="G19" s="66">
        <v>210</v>
      </c>
      <c r="H19" s="67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 customHeight="1" spans="1:25">
      <c r="A20" s="66">
        <v>16</v>
      </c>
      <c r="B20" s="67"/>
      <c r="C20" s="67"/>
      <c r="D20" s="67"/>
      <c r="E20" s="67"/>
      <c r="F20" s="66">
        <v>350</v>
      </c>
      <c r="G20" s="66">
        <v>210</v>
      </c>
      <c r="H20" s="67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 customHeight="1" spans="1:25">
      <c r="A21" s="66">
        <v>17</v>
      </c>
      <c r="B21" s="67"/>
      <c r="C21" s="67"/>
      <c r="D21" s="67"/>
      <c r="E21" s="68"/>
      <c r="F21" s="66">
        <v>350</v>
      </c>
      <c r="G21" s="66">
        <v>210</v>
      </c>
      <c r="H21" s="67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 customHeight="1" spans="1:25">
      <c r="A22" s="66">
        <v>18</v>
      </c>
      <c r="B22" s="67"/>
      <c r="C22" s="67"/>
      <c r="D22" s="67"/>
      <c r="E22" s="67"/>
      <c r="F22" s="66">
        <v>350</v>
      </c>
      <c r="G22" s="66">
        <v>210</v>
      </c>
      <c r="H22" s="67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 customHeight="1" spans="1:25">
      <c r="A23" s="66">
        <v>19</v>
      </c>
      <c r="B23" s="67"/>
      <c r="C23" s="67"/>
      <c r="D23" s="67"/>
      <c r="E23" s="67"/>
      <c r="F23" s="66">
        <v>350</v>
      </c>
      <c r="G23" s="66">
        <v>210</v>
      </c>
      <c r="H23" s="67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 customHeight="1" spans="1:25">
      <c r="A24" s="66">
        <v>20</v>
      </c>
      <c r="B24" s="67"/>
      <c r="C24" s="67"/>
      <c r="D24" s="67"/>
      <c r="E24" s="67"/>
      <c r="F24" s="66">
        <v>350</v>
      </c>
      <c r="G24" s="66">
        <v>210</v>
      </c>
      <c r="H24" s="67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 customHeight="1" spans="1:25">
      <c r="A25" s="66">
        <v>21</v>
      </c>
      <c r="B25" s="67"/>
      <c r="C25" s="67"/>
      <c r="D25" s="67"/>
      <c r="E25" s="67"/>
      <c r="F25" s="66">
        <v>350</v>
      </c>
      <c r="G25" s="66">
        <v>210</v>
      </c>
      <c r="H25" s="67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 customHeight="1" spans="1:25">
      <c r="A26" s="66">
        <v>22</v>
      </c>
      <c r="B26" s="67"/>
      <c r="C26" s="67"/>
      <c r="D26" s="67"/>
      <c r="E26" s="67"/>
      <c r="F26" s="66">
        <v>350</v>
      </c>
      <c r="G26" s="66">
        <v>210</v>
      </c>
      <c r="H26" s="67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 customHeight="1" spans="1:25">
      <c r="A27" s="66">
        <v>23</v>
      </c>
      <c r="B27" s="67"/>
      <c r="C27" s="67"/>
      <c r="D27" s="67"/>
      <c r="E27" s="67"/>
      <c r="F27" s="66">
        <v>350</v>
      </c>
      <c r="G27" s="66">
        <v>210</v>
      </c>
      <c r="H27" s="67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 customHeight="1" spans="1:25">
      <c r="A28" s="66">
        <v>24</v>
      </c>
      <c r="B28" s="67"/>
      <c r="C28" s="67"/>
      <c r="D28" s="67"/>
      <c r="E28" s="67"/>
      <c r="F28" s="66">
        <v>350</v>
      </c>
      <c r="G28" s="66">
        <v>210</v>
      </c>
      <c r="H28" s="67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 customHeight="1" spans="1:25">
      <c r="A29" s="66">
        <v>31</v>
      </c>
      <c r="B29" s="67"/>
      <c r="C29" s="67"/>
      <c r="D29" s="67"/>
      <c r="E29" s="67"/>
      <c r="F29" s="66">
        <v>350</v>
      </c>
      <c r="G29" s="66">
        <v>210</v>
      </c>
      <c r="H29" s="67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customHeight="1" spans="1:25">
      <c r="A30" s="66">
        <v>32</v>
      </c>
      <c r="B30" s="67"/>
      <c r="C30" s="67"/>
      <c r="D30" s="67"/>
      <c r="E30" s="67"/>
      <c r="F30" s="66">
        <v>350</v>
      </c>
      <c r="G30" s="66">
        <v>210</v>
      </c>
      <c r="H30" s="67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 customHeight="1" spans="1:25">
      <c r="A31" s="66">
        <v>33</v>
      </c>
      <c r="B31" s="67"/>
      <c r="C31" s="67"/>
      <c r="D31" s="67"/>
      <c r="E31" s="67"/>
      <c r="F31" s="66">
        <v>350</v>
      </c>
      <c r="G31" s="66">
        <v>210</v>
      </c>
      <c r="H31" s="67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 customHeight="1" spans="1:25">
      <c r="A32" s="66">
        <v>34</v>
      </c>
      <c r="B32" s="67"/>
      <c r="C32" s="67"/>
      <c r="D32" s="67"/>
      <c r="E32" s="67"/>
      <c r="F32" s="66">
        <v>350</v>
      </c>
      <c r="G32" s="66">
        <v>210</v>
      </c>
      <c r="H32" s="67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 customHeight="1" spans="1:25">
      <c r="A33" s="66">
        <v>35</v>
      </c>
      <c r="B33" s="67"/>
      <c r="C33" s="67"/>
      <c r="D33" s="67"/>
      <c r="E33" s="67"/>
      <c r="F33" s="66">
        <v>350</v>
      </c>
      <c r="G33" s="66">
        <v>210</v>
      </c>
      <c r="H33" s="67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customHeight="1" spans="1:25">
      <c r="A34" s="66">
        <v>36</v>
      </c>
      <c r="B34" s="67"/>
      <c r="C34" s="67"/>
      <c r="D34" s="67"/>
      <c r="E34" s="67"/>
      <c r="F34" s="66">
        <v>350</v>
      </c>
      <c r="G34" s="66">
        <v>210</v>
      </c>
      <c r="H34" s="67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 customHeight="1" spans="1:25">
      <c r="A35" s="66">
        <v>37</v>
      </c>
      <c r="B35" s="67"/>
      <c r="C35" s="67"/>
      <c r="D35" s="67"/>
      <c r="E35" s="67"/>
      <c r="F35" s="66">
        <v>350</v>
      </c>
      <c r="G35" s="66">
        <v>210</v>
      </c>
      <c r="H35" s="67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 customHeight="1" spans="1:25">
      <c r="A36" s="66">
        <v>38</v>
      </c>
      <c r="B36" s="67"/>
      <c r="C36" s="67"/>
      <c r="D36" s="67"/>
      <c r="E36" s="67"/>
      <c r="F36" s="66">
        <v>350</v>
      </c>
      <c r="G36" s="66">
        <v>210</v>
      </c>
      <c r="H36" s="67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 customHeight="1" spans="1:25">
      <c r="A37" s="66">
        <v>39</v>
      </c>
      <c r="B37" s="67"/>
      <c r="C37" s="67"/>
      <c r="D37" s="67"/>
      <c r="E37" s="67"/>
      <c r="F37" s="66">
        <v>350</v>
      </c>
      <c r="G37" s="66">
        <v>210</v>
      </c>
      <c r="H37" s="67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 customHeight="1" spans="1:25">
      <c r="A38" s="66">
        <v>40</v>
      </c>
      <c r="B38" s="67"/>
      <c r="C38" s="67"/>
      <c r="D38" s="67"/>
      <c r="E38" s="67"/>
      <c r="F38" s="66">
        <v>350</v>
      </c>
      <c r="G38" s="66">
        <v>210</v>
      </c>
      <c r="H38" s="67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 customHeight="1" spans="1:25">
      <c r="A39" s="66">
        <v>41</v>
      </c>
      <c r="B39" s="67"/>
      <c r="C39" s="67"/>
      <c r="D39" s="67"/>
      <c r="E39" s="67"/>
      <c r="F39" s="66">
        <v>350</v>
      </c>
      <c r="G39" s="66">
        <v>210</v>
      </c>
      <c r="H39" s="67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 customHeight="1" spans="1:25">
      <c r="A40" s="66">
        <v>42</v>
      </c>
      <c r="B40" s="67"/>
      <c r="C40" s="67"/>
      <c r="D40" s="67"/>
      <c r="E40" s="67"/>
      <c r="F40" s="66">
        <v>350</v>
      </c>
      <c r="G40" s="66">
        <v>210</v>
      </c>
      <c r="H40" s="67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 customHeight="1" spans="1:25">
      <c r="A41" s="66">
        <v>43</v>
      </c>
      <c r="B41" s="67"/>
      <c r="C41" s="67"/>
      <c r="D41" s="67"/>
      <c r="E41" s="67"/>
      <c r="F41" s="66">
        <v>350</v>
      </c>
      <c r="G41" s="66">
        <v>210</v>
      </c>
      <c r="H41" s="67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 customHeight="1" spans="1:25">
      <c r="A42" s="66">
        <v>44</v>
      </c>
      <c r="B42" s="67"/>
      <c r="C42" s="67"/>
      <c r="D42" s="67"/>
      <c r="E42" s="67"/>
      <c r="F42" s="66">
        <v>350</v>
      </c>
      <c r="G42" s="66">
        <v>210</v>
      </c>
      <c r="H42" s="67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 customHeight="1" spans="1:25">
      <c r="A43" s="66">
        <v>45</v>
      </c>
      <c r="B43" s="67"/>
      <c r="C43" s="67"/>
      <c r="D43" s="67"/>
      <c r="E43" s="67"/>
      <c r="F43" s="66">
        <v>350</v>
      </c>
      <c r="G43" s="66">
        <v>210</v>
      </c>
      <c r="H43" s="67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 customHeight="1" spans="1: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 customHeight="1" spans="1: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 customHeight="1" spans="1: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 customHeight="1" spans="1: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 customHeight="1" spans="1: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 customHeight="1" spans="1: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 customHeight="1" spans="1: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 customHeight="1" spans="1: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 customHeight="1" spans="1: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 customHeight="1" spans="1: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 customHeight="1" spans="1: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 customHeight="1" spans="1: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 customHeight="1" spans="1: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 customHeight="1" spans="1: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 customHeight="1" spans="1: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 customHeight="1" spans="1: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 customHeight="1" spans="1: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 customHeight="1" spans="1: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 customHeight="1" spans="1: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 customHeight="1" spans="1: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 customHeight="1" spans="1: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 customHeight="1" spans="1: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 customHeight="1" spans="1: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 customHeight="1" spans="1: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 customHeight="1" spans="1: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 customHeight="1" spans="1: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 customHeight="1" spans="1: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 customHeight="1" spans="1: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 customHeight="1" spans="1: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 customHeight="1" spans="1: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 customHeight="1" spans="1: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 customHeight="1" spans="1: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 customHeight="1" spans="1: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 customHeight="1" spans="1: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 customHeight="1" spans="1: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 customHeight="1" spans="1: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 customHeight="1" spans="1: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 customHeight="1" spans="1: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 customHeight="1" spans="1: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 customHeight="1" spans="1: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 customHeight="1" spans="1: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 customHeight="1" spans="1: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 customHeight="1" spans="1: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 customHeight="1" spans="1: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 customHeight="1" spans="1: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 customHeight="1" spans="1: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 customHeight="1" spans="1: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 customHeight="1" spans="1: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 customHeight="1" spans="1: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 customHeight="1" spans="1: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 customHeight="1" spans="1: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 customHeight="1" spans="1: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 customHeight="1" spans="1: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 customHeight="1" spans="1: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 customHeight="1" spans="1: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 customHeight="1" spans="1: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 customHeight="1" spans="1: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 customHeight="1" spans="1: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 customHeight="1" spans="1: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 customHeight="1" spans="1: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 customHeight="1" spans="1: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 customHeight="1" spans="1: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 customHeight="1" spans="1: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 customHeight="1" spans="1: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 customHeight="1" spans="1: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 customHeight="1" spans="1: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 customHeight="1" spans="1: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 customHeight="1" spans="1: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 customHeight="1" spans="1: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 customHeight="1" spans="1: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 customHeight="1" spans="1: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 customHeight="1" spans="1: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 customHeight="1" spans="1: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 customHeight="1" spans="1: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 customHeight="1" spans="1: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 customHeight="1" spans="1: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 customHeight="1" spans="1: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 customHeight="1" spans="1: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 customHeight="1" spans="1: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 customHeight="1" spans="1: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 customHeight="1" spans="1: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 customHeight="1" spans="1: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 customHeight="1" spans="1: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 customHeight="1" spans="1: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 customHeight="1" spans="1: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 customHeight="1" spans="1: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 customHeight="1" spans="1: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 customHeight="1" spans="1: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 customHeight="1" spans="1: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 customHeight="1" spans="1: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 customHeight="1" spans="1: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 customHeight="1" spans="1: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 customHeight="1" spans="1: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 customHeight="1" spans="1: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 customHeight="1" spans="1: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 customHeight="1" spans="1: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 customHeight="1" spans="1: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 customHeight="1" spans="1: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 customHeight="1" spans="1: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 customHeight="1" spans="1: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 customHeight="1" spans="1: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 customHeight="1" spans="1: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 customHeight="1" spans="1: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 customHeight="1" spans="1: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 customHeight="1" spans="1: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 customHeight="1" spans="1: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 customHeight="1" spans="1: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 customHeight="1" spans="1: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 customHeight="1" spans="1: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 customHeight="1" spans="1: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 customHeight="1" spans="1: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 customHeight="1" spans="1: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 customHeight="1" spans="1: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 customHeight="1" spans="1: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 customHeight="1" spans="1: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 customHeight="1" spans="1: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 customHeight="1" spans="1: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 customHeight="1" spans="1: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 customHeight="1" spans="1: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 customHeight="1" spans="1: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 customHeight="1" spans="1: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 customHeight="1" spans="1: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 customHeight="1" spans="1: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 customHeight="1" spans="1: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 customHeight="1" spans="1: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 customHeight="1" spans="1: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 customHeight="1" spans="1: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 customHeight="1" spans="1: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 customHeight="1" spans="1: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 customHeight="1" spans="1: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 customHeight="1" spans="1: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 customHeight="1" spans="1: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 customHeight="1" spans="1: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 customHeight="1" spans="1: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 customHeight="1" spans="1: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 customHeight="1" spans="1: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 customHeight="1" spans="1: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 customHeight="1" spans="1: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 customHeight="1" spans="1: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 customHeight="1" spans="1: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 customHeight="1" spans="1: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 customHeight="1" spans="1: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 customHeight="1" spans="1: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 customHeight="1" spans="1: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 customHeight="1" spans="1: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 customHeight="1" spans="1: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51" customWidth="1"/>
    <col min="2" max="2" width="13.7142857142857" style="51" customWidth="1"/>
    <col min="3" max="3" width="4.42857142857143" style="49" customWidth="1"/>
    <col min="4" max="6" width="4" style="49" customWidth="1"/>
    <col min="7" max="7" width="3.87619047619048" style="49" customWidth="1"/>
    <col min="8" max="12" width="4.28571428571429" style="49" customWidth="1"/>
    <col min="13" max="13" width="4.00952380952381" style="49" customWidth="1"/>
    <col min="14" max="14" width="4.28571428571429" style="49" customWidth="1"/>
    <col min="15" max="15" width="4.00952380952381" style="49" customWidth="1"/>
    <col min="16" max="16" width="3.87619047619048" style="49" customWidth="1"/>
    <col min="17" max="17" width="4.28571428571429" style="49" customWidth="1"/>
    <col min="18" max="19" width="4.14285714285714" style="49" customWidth="1"/>
    <col min="20" max="20" width="4.57142857142857" style="49" customWidth="1"/>
    <col min="21" max="25" width="4.14285714285714" style="49" customWidth="1"/>
    <col min="26" max="27" width="4.57142857142857" style="49" customWidth="1"/>
    <col min="28" max="28" width="4.16190476190476" style="49" customWidth="1"/>
    <col min="29" max="30" width="4.28571428571429" style="49" customWidth="1"/>
    <col min="31" max="31" width="4.00952380952381" style="49" customWidth="1"/>
    <col min="32" max="32" width="3.85714285714286" style="49" customWidth="1"/>
    <col min="33" max="34" width="4.28571428571429" style="49" customWidth="1"/>
    <col min="35" max="36" width="4.57142857142857" style="49" customWidth="1"/>
    <col min="37" max="37" width="4.28571428571429" style="49" customWidth="1"/>
    <col min="38" max="38" width="3.85714285714286" style="49" customWidth="1"/>
    <col min="39" max="16384" width="10.2857142857143" style="49"/>
  </cols>
  <sheetData>
    <row r="1" s="49" customFormat="1" ht="26" customHeight="1" spans="1:38">
      <c r="A1" s="25" t="s">
        <v>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="49" customFormat="1" ht="26" customHeight="1" spans="1:38">
      <c r="A2" s="52" t="s">
        <v>46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</row>
    <row r="3" s="50" customFormat="1" ht="40" customHeight="1" spans="1:38">
      <c r="A3" s="53" t="s">
        <v>2</v>
      </c>
      <c r="B3" s="53" t="s">
        <v>47</v>
      </c>
      <c r="C3" s="26">
        <v>1</v>
      </c>
      <c r="D3" s="26">
        <v>2</v>
      </c>
      <c r="E3" s="26">
        <v>3</v>
      </c>
      <c r="F3" s="26">
        <v>4</v>
      </c>
      <c r="G3" s="26">
        <v>5</v>
      </c>
      <c r="H3" s="26">
        <v>6</v>
      </c>
      <c r="I3" s="26">
        <v>7</v>
      </c>
      <c r="J3" s="26">
        <v>8</v>
      </c>
      <c r="K3" s="26">
        <v>9</v>
      </c>
      <c r="L3" s="26">
        <v>10</v>
      </c>
      <c r="M3" s="26">
        <v>11</v>
      </c>
      <c r="N3" s="26">
        <v>12</v>
      </c>
      <c r="O3" s="26">
        <v>13</v>
      </c>
      <c r="P3" s="26">
        <v>14</v>
      </c>
      <c r="Q3" s="26">
        <v>15</v>
      </c>
      <c r="R3" s="26">
        <v>16</v>
      </c>
      <c r="S3" s="26">
        <v>17</v>
      </c>
      <c r="T3" s="26">
        <v>18</v>
      </c>
      <c r="U3" s="26">
        <v>19</v>
      </c>
      <c r="V3" s="26">
        <v>20</v>
      </c>
      <c r="W3" s="26">
        <v>21</v>
      </c>
      <c r="X3" s="26">
        <v>22</v>
      </c>
      <c r="Y3" s="26">
        <v>23</v>
      </c>
      <c r="Z3" s="26">
        <v>24</v>
      </c>
      <c r="AA3" s="26">
        <v>25</v>
      </c>
      <c r="AB3" s="26">
        <v>26</v>
      </c>
      <c r="AC3" s="26">
        <v>27</v>
      </c>
      <c r="AD3" s="26">
        <v>28</v>
      </c>
      <c r="AE3" s="26">
        <v>29</v>
      </c>
      <c r="AF3" s="26">
        <v>30</v>
      </c>
      <c r="AG3" s="26"/>
      <c r="AH3" s="26"/>
      <c r="AI3" s="26"/>
      <c r="AJ3" s="26"/>
      <c r="AK3" s="26"/>
      <c r="AL3" s="26"/>
    </row>
    <row r="4" s="49" customFormat="1" ht="25" customHeight="1" spans="1:38">
      <c r="A4" s="54">
        <v>1</v>
      </c>
      <c r="B4" s="55"/>
      <c r="C4" s="54"/>
      <c r="D4" s="54"/>
      <c r="E4" s="54"/>
      <c r="F4" s="54"/>
      <c r="G4" s="54"/>
      <c r="H4" s="54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</row>
    <row r="5" s="49" customFormat="1" ht="25" customHeight="1" spans="1:38">
      <c r="A5" s="54">
        <v>2</v>
      </c>
      <c r="B5" s="55"/>
      <c r="C5" s="54"/>
      <c r="D5" s="54"/>
      <c r="E5" s="54"/>
      <c r="F5" s="54"/>
      <c r="G5" s="54"/>
      <c r="H5" s="54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</row>
    <row r="6" s="49" customFormat="1" ht="25" customHeight="1" spans="1:38">
      <c r="A6" s="54">
        <v>3</v>
      </c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</row>
    <row r="7" s="49" customFormat="1" ht="25" customHeight="1" spans="1:38">
      <c r="A7" s="54">
        <v>13</v>
      </c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</row>
    <row r="8" s="49" customFormat="1" ht="25" customHeight="1" spans="1:38">
      <c r="A8" s="54">
        <v>14</v>
      </c>
      <c r="B8" s="55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</row>
    <row r="9" s="49" customFormat="1" ht="25" customHeight="1" spans="1:38">
      <c r="A9" s="54">
        <v>15</v>
      </c>
      <c r="B9" s="55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</row>
    <row r="10" s="49" customFormat="1" ht="25" customHeight="1" spans="1:38">
      <c r="A10" s="54">
        <v>16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</row>
    <row r="11" s="49" customFormat="1" ht="25" customHeight="1" spans="1:38">
      <c r="A11" s="54">
        <v>17</v>
      </c>
      <c r="B11" s="57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</row>
    <row r="12" s="49" customFormat="1" ht="25" customHeight="1" spans="1:38">
      <c r="A12" s="54">
        <v>18</v>
      </c>
      <c r="B12" s="57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</row>
    <row r="13" s="49" customFormat="1" ht="15" customHeight="1" spans="1:38">
      <c r="A13" s="58"/>
      <c r="B13" s="58"/>
    </row>
    <row r="14" s="49" customFormat="1" ht="15" customHeight="1" spans="1:38">
      <c r="A14" s="58"/>
      <c r="B14" s="58"/>
    </row>
    <row r="15" s="49" customFormat="1" ht="15" customHeight="1" spans="1:38">
      <c r="A15" s="58"/>
      <c r="B15" s="58"/>
    </row>
    <row r="16" s="49" customFormat="1" ht="15" customHeight="1" spans="1:38">
      <c r="A16" s="58"/>
      <c r="B16" s="58"/>
    </row>
    <row r="17" s="49" customFormat="1" ht="15" customHeight="1" spans="1:2">
      <c r="A17" s="58"/>
      <c r="B17" s="58"/>
    </row>
    <row r="18" s="49" customFormat="1" ht="15" customHeight="1" spans="1:2">
      <c r="A18" s="58"/>
      <c r="B18" s="58"/>
    </row>
    <row r="19" s="49" customFormat="1" ht="15" customHeight="1" spans="1:2">
      <c r="A19" s="58"/>
      <c r="B19" s="58"/>
    </row>
    <row r="20" s="49" customFormat="1" ht="15" customHeight="1" spans="1:2">
      <c r="A20" s="58"/>
      <c r="B20" s="58"/>
    </row>
    <row r="21" s="49" customFormat="1" ht="15" customHeight="1" spans="1:2">
      <c r="A21" s="58"/>
      <c r="B21" s="58"/>
    </row>
    <row r="22" s="49" customFormat="1" ht="15" customHeight="1" spans="1:2">
      <c r="A22" s="58"/>
      <c r="B22" s="58"/>
    </row>
    <row r="23" s="49" customFormat="1" ht="15" customHeight="1" spans="1:2">
      <c r="A23" s="58"/>
      <c r="B23" s="58"/>
    </row>
    <row r="24" s="49" customFormat="1" ht="15" customHeight="1" spans="1:2">
      <c r="A24" s="58"/>
      <c r="B24" s="58"/>
    </row>
    <row r="25" s="49" customFormat="1" ht="15" customHeight="1" spans="1:2">
      <c r="A25" s="58"/>
      <c r="B25" s="58"/>
    </row>
    <row r="26" s="49" customFormat="1" ht="15" customHeight="1" spans="1:2">
      <c r="A26" s="58"/>
      <c r="B26" s="58"/>
    </row>
    <row r="27" s="49" customFormat="1" ht="15" customHeight="1" spans="1:2">
      <c r="A27" s="58"/>
      <c r="B27" s="58"/>
    </row>
    <row r="28" s="49" customFormat="1" ht="15" customHeight="1" spans="1:2">
      <c r="A28" s="58"/>
      <c r="B28" s="58"/>
    </row>
    <row r="29" s="49" customFormat="1" ht="15" customHeight="1" spans="1:2">
      <c r="A29" s="58"/>
      <c r="B29" s="58"/>
    </row>
    <row r="30" s="49" customFormat="1" ht="15" customHeight="1" spans="1:2">
      <c r="A30" s="58"/>
      <c r="B30" s="58"/>
    </row>
    <row r="31" s="49" customFormat="1" ht="15" customHeight="1" spans="1:2">
      <c r="A31" s="58"/>
      <c r="B31" s="58"/>
    </row>
    <row r="32" s="49" customFormat="1" ht="15" customHeight="1" spans="1:2">
      <c r="A32" s="58"/>
      <c r="B32" s="58"/>
    </row>
    <row r="33" s="49" customFormat="1" ht="15" customHeight="1" spans="1:2">
      <c r="A33" s="58"/>
      <c r="B33" s="58"/>
    </row>
    <row r="34" s="49" customFormat="1" ht="15" customHeight="1" spans="1:2">
      <c r="A34" s="58"/>
      <c r="B34" s="58"/>
    </row>
    <row r="35" s="49" customFormat="1" ht="15" customHeight="1" spans="1:2">
      <c r="A35" s="58"/>
      <c r="B35" s="58"/>
    </row>
    <row r="36" s="49" customFormat="1" ht="15" customHeight="1" spans="1:2">
      <c r="A36" s="58"/>
      <c r="B36" s="58"/>
    </row>
    <row r="37" s="49" customFormat="1" ht="15" customHeight="1" spans="1:2">
      <c r="A37" s="58"/>
      <c r="B37" s="58"/>
    </row>
    <row r="38" s="49" customFormat="1" ht="15" customHeight="1" spans="1:2">
      <c r="A38" s="58"/>
      <c r="B38" s="58"/>
    </row>
    <row r="39" s="49" customFormat="1" ht="15" customHeight="1" spans="1:2">
      <c r="A39" s="58"/>
      <c r="B39" s="58"/>
    </row>
    <row r="40" s="49" customFormat="1" ht="15" customHeight="1" spans="1:2">
      <c r="A40" s="58"/>
      <c r="B40" s="58"/>
    </row>
    <row r="41" s="49" customFormat="1" ht="15" customHeight="1" spans="1:2">
      <c r="A41" s="58"/>
      <c r="B41" s="58"/>
    </row>
    <row r="42" s="49" customFormat="1" ht="15" customHeight="1" spans="1:2">
      <c r="A42" s="58"/>
      <c r="B42" s="58"/>
    </row>
    <row r="43" s="49" customFormat="1" ht="15" customHeight="1" spans="1:2">
      <c r="A43" s="58"/>
      <c r="B43" s="58"/>
    </row>
    <row r="44" s="49" customFormat="1" ht="15" customHeight="1" spans="1:2">
      <c r="A44" s="58"/>
      <c r="B44" s="58"/>
    </row>
    <row r="45" s="49" customFormat="1" ht="15" customHeight="1" spans="1:2">
      <c r="A45" s="58"/>
      <c r="B45" s="58"/>
    </row>
    <row r="46" s="49" customFormat="1" ht="15" customHeight="1" spans="1:2">
      <c r="A46" s="58"/>
      <c r="B46" s="58"/>
    </row>
    <row r="47" s="49" customFormat="1" ht="15" customHeight="1" spans="1:2">
      <c r="A47" s="58"/>
      <c r="B47" s="58"/>
    </row>
    <row r="48" s="49" customFormat="1" ht="15" customHeight="1" spans="1:2">
      <c r="A48" s="58"/>
      <c r="B48" s="58"/>
    </row>
    <row r="49" s="49" customFormat="1" ht="15" customHeight="1" spans="1:2">
      <c r="A49" s="58"/>
      <c r="B49" s="58"/>
    </row>
    <row r="50" s="49" customFormat="1" ht="15" customHeight="1" spans="1:2">
      <c r="A50" s="58"/>
      <c r="B50" s="58"/>
    </row>
    <row r="51" s="49" customFormat="1" ht="15" customHeight="1" spans="1:2">
      <c r="A51" s="58"/>
      <c r="B51" s="58"/>
    </row>
    <row r="52" s="49" customFormat="1" ht="15" customHeight="1" spans="1:2">
      <c r="A52" s="58"/>
      <c r="B52" s="58"/>
    </row>
    <row r="53" s="49" customFormat="1" ht="15" customHeight="1" spans="1:2">
      <c r="A53" s="58"/>
      <c r="B53" s="58"/>
    </row>
    <row r="54" s="49" customFormat="1" ht="15" customHeight="1" spans="1:2">
      <c r="A54" s="58"/>
      <c r="B54" s="58"/>
    </row>
    <row r="55" s="49" customFormat="1" ht="15" customHeight="1" spans="1:2">
      <c r="A55" s="58"/>
      <c r="B55" s="58"/>
    </row>
    <row r="56" s="49" customFormat="1" ht="15" customHeight="1" spans="1:2">
      <c r="A56" s="58"/>
      <c r="B56" s="58"/>
    </row>
    <row r="57" s="49" customFormat="1" ht="15" customHeight="1" spans="1:2">
      <c r="A57" s="58"/>
      <c r="B57" s="58"/>
    </row>
    <row r="58" s="49" customFormat="1" ht="15" customHeight="1" spans="1:2">
      <c r="A58" s="58"/>
      <c r="B58" s="58"/>
    </row>
    <row r="59" s="49" customFormat="1" ht="15" customHeight="1" spans="1:2">
      <c r="A59" s="58"/>
      <c r="B59" s="58"/>
    </row>
    <row r="60" s="49" customFormat="1" ht="15" customHeight="1" spans="1:2">
      <c r="A60" s="58"/>
      <c r="B60" s="58"/>
    </row>
    <row r="61" s="49" customFormat="1" ht="15" customHeight="1" spans="1:2">
      <c r="A61" s="58"/>
      <c r="B61" s="58"/>
    </row>
    <row r="62" s="49" customFormat="1" ht="15" customHeight="1" spans="1:2">
      <c r="A62" s="58"/>
      <c r="B62" s="58"/>
    </row>
    <row r="63" s="49" customFormat="1" ht="15" customHeight="1" spans="1:2">
      <c r="A63" s="58"/>
      <c r="B63" s="58"/>
    </row>
    <row r="64" s="49" customFormat="1" ht="15" customHeight="1" spans="1:2">
      <c r="A64" s="58"/>
      <c r="B64" s="58"/>
    </row>
    <row r="65" s="49" customFormat="1" ht="15" customHeight="1" spans="1:2">
      <c r="A65" s="58"/>
      <c r="B65" s="58"/>
    </row>
    <row r="66" s="49" customFormat="1" ht="15" customHeight="1" spans="1:2">
      <c r="A66" s="58"/>
      <c r="B66" s="58"/>
    </row>
    <row r="67" s="49" customFormat="1" ht="15" customHeight="1" spans="1:2">
      <c r="A67" s="58"/>
      <c r="B67" s="58"/>
    </row>
    <row r="68" s="49" customFormat="1" ht="15" customHeight="1" spans="1:2">
      <c r="A68" s="58"/>
      <c r="B68" s="58"/>
    </row>
    <row r="69" s="49" customFormat="1" ht="15" customHeight="1" spans="1:2">
      <c r="A69" s="58"/>
      <c r="B69" s="58"/>
    </row>
    <row r="70" s="49" customFormat="1" ht="15" customHeight="1" spans="1:2">
      <c r="A70" s="58"/>
      <c r="B70" s="58"/>
    </row>
    <row r="71" s="49" customFormat="1" spans="1:2">
      <c r="A71" s="51"/>
      <c r="B71" s="51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6"/>
  <sheetViews>
    <sheetView workbookViewId="0">
      <pane xSplit="3" ySplit="2" topLeftCell="D13" activePane="bottomRight" state="frozen"/>
      <selection/>
      <selection pane="topRight"/>
      <selection pane="bottomLeft"/>
      <selection pane="bottomRight" activeCell="J31" sqref="J31"/>
    </sheetView>
  </sheetViews>
  <sheetFormatPr defaultColWidth="9.14285714285714" defaultRowHeight="23" customHeight="1"/>
  <cols>
    <col min="1" max="1" width="9.14285714285714" style="28"/>
    <col min="2" max="2" width="10.7142857142857" style="28" customWidth="1"/>
    <col min="3" max="3" width="10" style="28" customWidth="1"/>
    <col min="4" max="17" width="7.42857142857143" style="28" customWidth="1"/>
    <col min="18" max="41" width="7" style="28" customWidth="1"/>
    <col min="42" max="16384" width="9.14285714285714" style="28"/>
  </cols>
  <sheetData>
    <row r="1" s="29" customFormat="1" customHeight="1" spans="1:44">
      <c r="A1" s="32" t="s">
        <v>48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</row>
    <row r="2" s="30" customFormat="1" ht="20" customHeight="1" spans="1:44">
      <c r="A2" s="34" t="s">
        <v>2</v>
      </c>
      <c r="B2" s="34" t="s">
        <v>47</v>
      </c>
      <c r="C2" s="35" t="s">
        <v>49</v>
      </c>
      <c r="D2" s="36">
        <v>46090</v>
      </c>
      <c r="E2" s="36">
        <v>46093</v>
      </c>
      <c r="F2" s="36">
        <v>46097</v>
      </c>
      <c r="G2" s="37">
        <v>46100</v>
      </c>
      <c r="H2" s="37">
        <v>46104</v>
      </c>
      <c r="I2" s="37">
        <v>46107</v>
      </c>
      <c r="J2" s="37">
        <v>46111</v>
      </c>
      <c r="K2" s="37">
        <v>46114</v>
      </c>
      <c r="L2" s="37">
        <v>46119</v>
      </c>
      <c r="M2" s="37">
        <v>46121</v>
      </c>
      <c r="N2" s="37">
        <v>46125</v>
      </c>
      <c r="O2" s="37">
        <v>46128</v>
      </c>
      <c r="P2" s="37">
        <v>46132</v>
      </c>
      <c r="Q2" s="37">
        <v>46135</v>
      </c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8" t="s">
        <v>50</v>
      </c>
      <c r="AQ2" s="30" t="s">
        <v>51</v>
      </c>
    </row>
    <row r="3" s="31" customFormat="1" customHeight="1" spans="1:44">
      <c r="A3" s="27">
        <v>1</v>
      </c>
      <c r="B3" s="10" t="s">
        <v>13</v>
      </c>
      <c r="C3" s="39">
        <v>100</v>
      </c>
      <c r="D3" s="39">
        <v>3</v>
      </c>
      <c r="E3" s="39">
        <v>4</v>
      </c>
      <c r="F3" s="39">
        <v>3</v>
      </c>
      <c r="G3" s="39">
        <v>4</v>
      </c>
      <c r="H3" s="39">
        <v>3</v>
      </c>
      <c r="I3" s="39">
        <v>4</v>
      </c>
      <c r="J3" s="39">
        <v>3</v>
      </c>
      <c r="K3" s="39">
        <v>4</v>
      </c>
      <c r="L3" s="39">
        <v>3</v>
      </c>
      <c r="M3" s="39">
        <v>4</v>
      </c>
      <c r="N3" s="39">
        <v>3</v>
      </c>
      <c r="O3" s="39">
        <v>4</v>
      </c>
      <c r="P3" s="39">
        <v>3</v>
      </c>
      <c r="Q3" s="39">
        <v>4</v>
      </c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40"/>
      <c r="AH3" s="39"/>
      <c r="AI3" s="39"/>
      <c r="AJ3" s="39"/>
      <c r="AK3" s="39"/>
      <c r="AL3" s="39"/>
      <c r="AM3" s="39"/>
      <c r="AN3" s="39"/>
      <c r="AO3" s="27"/>
      <c r="AP3" s="27">
        <f>SUM(D3:AO3)</f>
        <v>49</v>
      </c>
      <c r="AQ3" s="31">
        <f>100-AP3</f>
        <v>51</v>
      </c>
    </row>
    <row r="4" s="31" customFormat="1" customHeight="1" spans="1:44">
      <c r="A4" s="27">
        <v>2</v>
      </c>
      <c r="B4" s="10" t="s">
        <v>16</v>
      </c>
      <c r="C4" s="39">
        <v>100</v>
      </c>
      <c r="D4" s="39">
        <v>3</v>
      </c>
      <c r="E4" s="39">
        <v>4</v>
      </c>
      <c r="F4" s="39">
        <v>3</v>
      </c>
      <c r="G4" s="39">
        <v>4</v>
      </c>
      <c r="H4" s="39">
        <v>3</v>
      </c>
      <c r="I4" s="39">
        <v>4</v>
      </c>
      <c r="J4" s="39">
        <v>3</v>
      </c>
      <c r="K4" s="39">
        <v>4</v>
      </c>
      <c r="L4" s="39">
        <v>3</v>
      </c>
      <c r="M4" s="39">
        <v>4</v>
      </c>
      <c r="N4" s="39">
        <v>3</v>
      </c>
      <c r="O4" s="39">
        <v>4</v>
      </c>
      <c r="P4" s="39">
        <v>3</v>
      </c>
      <c r="Q4" s="39">
        <v>4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27"/>
      <c r="AP4" s="27">
        <f>SUM(D4:AO4)</f>
        <v>49</v>
      </c>
      <c r="AQ4" s="31">
        <f t="shared" ref="AQ4:AQ9" si="0">130-AP4</f>
        <v>81</v>
      </c>
      <c r="AR4" s="28" t="s">
        <v>52</v>
      </c>
    </row>
    <row r="5" s="31" customFormat="1" customHeight="1" spans="1:44">
      <c r="A5" s="27">
        <v>3</v>
      </c>
      <c r="B5" s="10" t="s">
        <v>17</v>
      </c>
      <c r="C5" s="39">
        <v>100</v>
      </c>
      <c r="D5" s="39">
        <v>3</v>
      </c>
      <c r="E5" s="39">
        <v>4</v>
      </c>
      <c r="F5" s="39">
        <v>3</v>
      </c>
      <c r="G5" s="39">
        <v>4</v>
      </c>
      <c r="H5" s="39">
        <v>3</v>
      </c>
      <c r="I5" s="39">
        <v>4</v>
      </c>
      <c r="J5" s="39">
        <v>3</v>
      </c>
      <c r="K5" s="39">
        <v>4</v>
      </c>
      <c r="L5" s="39">
        <v>3</v>
      </c>
      <c r="M5" s="39">
        <v>4</v>
      </c>
      <c r="N5" s="39">
        <v>3</v>
      </c>
      <c r="O5" s="39">
        <v>4</v>
      </c>
      <c r="P5" s="39">
        <v>3</v>
      </c>
      <c r="Q5" s="39">
        <v>4</v>
      </c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27"/>
      <c r="AP5" s="27">
        <f>SUM(D5:AO5)</f>
        <v>49</v>
      </c>
      <c r="AQ5" s="31">
        <f t="shared" si="0"/>
        <v>81</v>
      </c>
      <c r="AR5" s="28" t="s">
        <v>52</v>
      </c>
    </row>
    <row r="6" s="31" customFormat="1" customHeight="1" spans="1:44">
      <c r="A6" s="27">
        <v>4</v>
      </c>
      <c r="B6" s="10" t="s">
        <v>18</v>
      </c>
      <c r="C6" s="39">
        <v>100</v>
      </c>
      <c r="D6" s="39">
        <v>3</v>
      </c>
      <c r="E6" s="39">
        <v>4</v>
      </c>
      <c r="F6" s="39">
        <v>3</v>
      </c>
      <c r="G6" s="39">
        <v>4</v>
      </c>
      <c r="H6" s="39">
        <v>3</v>
      </c>
      <c r="I6" s="39">
        <v>4</v>
      </c>
      <c r="J6" s="39">
        <v>3</v>
      </c>
      <c r="K6" s="39">
        <v>4</v>
      </c>
      <c r="L6" s="39">
        <v>3</v>
      </c>
      <c r="M6" s="39">
        <v>4</v>
      </c>
      <c r="N6" s="39">
        <v>3</v>
      </c>
      <c r="O6" s="39">
        <v>4</v>
      </c>
      <c r="P6" s="39">
        <v>3</v>
      </c>
      <c r="Q6" s="39">
        <v>4</v>
      </c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27"/>
      <c r="AP6" s="27">
        <f t="shared" ref="AP6:AP32" si="1">SUM(D6:AO6)</f>
        <v>49</v>
      </c>
      <c r="AQ6" s="31">
        <f t="shared" ref="AQ4:AQ32" si="2">100-AP6</f>
        <v>51</v>
      </c>
    </row>
    <row r="7" s="31" customFormat="1" customHeight="1" spans="1:44">
      <c r="A7" s="27">
        <v>5</v>
      </c>
      <c r="B7" s="10" t="s">
        <v>19</v>
      </c>
      <c r="C7" s="39">
        <v>100</v>
      </c>
      <c r="D7" s="39">
        <v>3</v>
      </c>
      <c r="E7" s="39">
        <v>4</v>
      </c>
      <c r="F7" s="39">
        <v>3</v>
      </c>
      <c r="G7" s="39">
        <v>4</v>
      </c>
      <c r="H7" s="39">
        <v>3</v>
      </c>
      <c r="I7" s="39">
        <v>4</v>
      </c>
      <c r="J7" s="39">
        <v>3</v>
      </c>
      <c r="K7" s="39">
        <v>4</v>
      </c>
      <c r="L7" s="39">
        <v>3</v>
      </c>
      <c r="M7" s="39">
        <v>4</v>
      </c>
      <c r="N7" s="39">
        <v>3</v>
      </c>
      <c r="O7" s="39">
        <v>4</v>
      </c>
      <c r="P7" s="39">
        <v>3</v>
      </c>
      <c r="Q7" s="39">
        <v>4</v>
      </c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27"/>
      <c r="AP7" s="27">
        <f t="shared" si="1"/>
        <v>49</v>
      </c>
      <c r="AQ7" s="31">
        <f t="shared" si="2"/>
        <v>51</v>
      </c>
    </row>
    <row r="8" s="31" customFormat="1" customHeight="1" spans="1:44">
      <c r="A8" s="27">
        <v>6</v>
      </c>
      <c r="B8" s="10" t="s">
        <v>20</v>
      </c>
      <c r="C8" s="39">
        <v>100</v>
      </c>
      <c r="D8" s="39">
        <v>3</v>
      </c>
      <c r="E8" s="39">
        <v>4</v>
      </c>
      <c r="F8" s="39">
        <v>3</v>
      </c>
      <c r="G8" s="39">
        <v>4</v>
      </c>
      <c r="H8" s="39">
        <v>3</v>
      </c>
      <c r="I8" s="39">
        <v>4</v>
      </c>
      <c r="J8" s="39">
        <v>3</v>
      </c>
      <c r="K8" s="39">
        <v>4</v>
      </c>
      <c r="L8" s="39">
        <v>3</v>
      </c>
      <c r="M8" s="39">
        <v>4</v>
      </c>
      <c r="N8" s="39">
        <v>3</v>
      </c>
      <c r="O8" s="39">
        <v>4</v>
      </c>
      <c r="P8" s="39">
        <v>3</v>
      </c>
      <c r="Q8" s="39">
        <v>4</v>
      </c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27"/>
      <c r="AP8" s="27">
        <f t="shared" si="1"/>
        <v>49</v>
      </c>
      <c r="AQ8" s="31">
        <f t="shared" si="2"/>
        <v>51</v>
      </c>
    </row>
    <row r="9" s="31" customFormat="1" customHeight="1" spans="1:44">
      <c r="A9" s="27">
        <v>7</v>
      </c>
      <c r="B9" s="10" t="s">
        <v>21</v>
      </c>
      <c r="C9" s="39">
        <v>100</v>
      </c>
      <c r="D9" s="39">
        <v>3</v>
      </c>
      <c r="E9" s="39">
        <v>4</v>
      </c>
      <c r="F9" s="39">
        <v>3</v>
      </c>
      <c r="G9" s="39">
        <v>4</v>
      </c>
      <c r="H9" s="39">
        <v>3</v>
      </c>
      <c r="I9" s="39">
        <v>4</v>
      </c>
      <c r="J9" s="39">
        <v>3</v>
      </c>
      <c r="K9" s="39">
        <v>4</v>
      </c>
      <c r="L9" s="39">
        <v>3</v>
      </c>
      <c r="M9" s="39">
        <v>4</v>
      </c>
      <c r="N9" s="39">
        <v>3</v>
      </c>
      <c r="O9" s="39">
        <v>4</v>
      </c>
      <c r="P9" s="39">
        <v>3</v>
      </c>
      <c r="Q9" s="39">
        <v>4</v>
      </c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27"/>
      <c r="AP9" s="27">
        <f t="shared" si="1"/>
        <v>49</v>
      </c>
      <c r="AQ9" s="31">
        <f t="shared" si="0"/>
        <v>81</v>
      </c>
    </row>
    <row r="10" customHeight="1" spans="1:44">
      <c r="A10" s="27">
        <v>8</v>
      </c>
      <c r="B10" s="10" t="s">
        <v>22</v>
      </c>
      <c r="C10" s="39">
        <v>100</v>
      </c>
      <c r="D10" s="39">
        <v>3</v>
      </c>
      <c r="E10" s="39">
        <v>4</v>
      </c>
      <c r="F10" s="39">
        <v>3</v>
      </c>
      <c r="G10" s="39">
        <v>4</v>
      </c>
      <c r="H10" s="39">
        <v>3</v>
      </c>
      <c r="I10" s="39">
        <v>4</v>
      </c>
      <c r="J10" s="39">
        <v>3</v>
      </c>
      <c r="K10" s="39">
        <v>4</v>
      </c>
      <c r="L10" s="39">
        <v>3</v>
      </c>
      <c r="M10" s="39">
        <v>4</v>
      </c>
      <c r="N10" s="39">
        <v>3</v>
      </c>
      <c r="O10" s="39">
        <v>4</v>
      </c>
      <c r="P10" s="39">
        <v>3</v>
      </c>
      <c r="Q10" s="39">
        <v>4</v>
      </c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41"/>
      <c r="AP10" s="27">
        <f t="shared" si="1"/>
        <v>49</v>
      </c>
      <c r="AQ10" s="31">
        <f t="shared" si="2"/>
        <v>51</v>
      </c>
    </row>
    <row r="11" customHeight="1" spans="1:44">
      <c r="A11" s="27">
        <v>9</v>
      </c>
      <c r="B11" s="10" t="s">
        <v>24</v>
      </c>
      <c r="C11" s="39">
        <v>100</v>
      </c>
      <c r="D11" s="39">
        <v>3</v>
      </c>
      <c r="E11" s="39">
        <v>4</v>
      </c>
      <c r="F11" s="39">
        <v>3</v>
      </c>
      <c r="G11" s="39">
        <v>4</v>
      </c>
      <c r="H11" s="39">
        <v>3</v>
      </c>
      <c r="I11" s="39">
        <v>4</v>
      </c>
      <c r="J11" s="39">
        <v>3</v>
      </c>
      <c r="K11" s="39">
        <v>4</v>
      </c>
      <c r="L11" s="39">
        <v>3</v>
      </c>
      <c r="M11" s="39">
        <v>4</v>
      </c>
      <c r="N11" s="39">
        <v>3</v>
      </c>
      <c r="O11" s="39">
        <v>4</v>
      </c>
      <c r="P11" s="39">
        <v>3</v>
      </c>
      <c r="Q11" s="39">
        <v>4</v>
      </c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41"/>
      <c r="AP11" s="27">
        <f t="shared" si="1"/>
        <v>49</v>
      </c>
      <c r="AQ11" s="31">
        <f t="shared" si="2"/>
        <v>51</v>
      </c>
    </row>
    <row r="12" customHeight="1" spans="1:44">
      <c r="A12" s="27">
        <v>10</v>
      </c>
      <c r="B12" s="10" t="s">
        <v>25</v>
      </c>
      <c r="C12" s="39">
        <v>100</v>
      </c>
      <c r="D12" s="39">
        <v>3</v>
      </c>
      <c r="E12" s="39">
        <v>4</v>
      </c>
      <c r="F12" s="39">
        <v>3</v>
      </c>
      <c r="G12" s="39">
        <v>4</v>
      </c>
      <c r="H12" s="39">
        <v>3</v>
      </c>
      <c r="I12" s="39">
        <v>4</v>
      </c>
      <c r="J12" s="39">
        <v>3</v>
      </c>
      <c r="K12" s="39">
        <v>4</v>
      </c>
      <c r="L12" s="39">
        <v>3</v>
      </c>
      <c r="M12" s="39">
        <v>4</v>
      </c>
      <c r="N12" s="39">
        <v>3</v>
      </c>
      <c r="O12" s="39">
        <v>4</v>
      </c>
      <c r="P12" s="39">
        <v>3</v>
      </c>
      <c r="Q12" s="39">
        <v>4</v>
      </c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1"/>
      <c r="AP12" s="27">
        <f t="shared" si="1"/>
        <v>49</v>
      </c>
      <c r="AQ12" s="31">
        <f>130-AP12</f>
        <v>81</v>
      </c>
      <c r="AR12" s="28" t="s">
        <v>52</v>
      </c>
    </row>
    <row r="13" customHeight="1" spans="1:44">
      <c r="A13" s="27">
        <v>11</v>
      </c>
      <c r="B13" s="10" t="s">
        <v>26</v>
      </c>
      <c r="C13" s="39">
        <v>100</v>
      </c>
      <c r="D13" s="39">
        <v>3</v>
      </c>
      <c r="E13" s="39">
        <v>4</v>
      </c>
      <c r="F13" s="39">
        <v>3</v>
      </c>
      <c r="G13" s="39">
        <v>4</v>
      </c>
      <c r="H13" s="39">
        <v>3</v>
      </c>
      <c r="I13" s="39">
        <v>4</v>
      </c>
      <c r="J13" s="39">
        <v>3</v>
      </c>
      <c r="K13" s="39">
        <v>4</v>
      </c>
      <c r="L13" s="39">
        <v>3</v>
      </c>
      <c r="M13" s="39">
        <v>4</v>
      </c>
      <c r="N13" s="39">
        <v>3</v>
      </c>
      <c r="O13" s="39">
        <v>4</v>
      </c>
      <c r="P13" s="39">
        <v>3</v>
      </c>
      <c r="Q13" s="39">
        <v>4</v>
      </c>
      <c r="R13" s="39"/>
      <c r="S13" s="39"/>
      <c r="T13" s="39"/>
      <c r="U13" s="39"/>
      <c r="V13" s="39"/>
      <c r="W13" s="40"/>
      <c r="X13" s="40"/>
      <c r="Y13" s="40"/>
      <c r="Z13" s="40"/>
      <c r="AA13" s="40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41"/>
      <c r="AP13" s="27">
        <f t="shared" si="1"/>
        <v>49</v>
      </c>
      <c r="AQ13" s="31">
        <f t="shared" si="2"/>
        <v>51</v>
      </c>
    </row>
    <row r="14" customHeight="1" spans="1:44">
      <c r="A14" s="27">
        <v>12</v>
      </c>
      <c r="B14" s="10" t="s">
        <v>27</v>
      </c>
      <c r="C14" s="39">
        <v>100</v>
      </c>
      <c r="D14" s="39">
        <v>3</v>
      </c>
      <c r="E14" s="39">
        <v>4</v>
      </c>
      <c r="F14" s="39">
        <v>3</v>
      </c>
      <c r="G14" s="39">
        <v>4</v>
      </c>
      <c r="H14" s="39">
        <v>3</v>
      </c>
      <c r="I14" s="39">
        <v>4</v>
      </c>
      <c r="J14" s="39">
        <v>3</v>
      </c>
      <c r="K14" s="39">
        <v>4</v>
      </c>
      <c r="L14" s="39">
        <v>3</v>
      </c>
      <c r="M14" s="39">
        <v>4</v>
      </c>
      <c r="N14" s="39">
        <v>3</v>
      </c>
      <c r="O14" s="39">
        <v>4</v>
      </c>
      <c r="P14" s="39">
        <v>3</v>
      </c>
      <c r="Q14" s="39">
        <v>4</v>
      </c>
      <c r="R14" s="39"/>
      <c r="S14" s="39"/>
      <c r="T14" s="39"/>
      <c r="U14" s="39"/>
      <c r="V14" s="39"/>
      <c r="W14" s="40"/>
      <c r="X14" s="40"/>
      <c r="Y14" s="40"/>
      <c r="Z14" s="40"/>
      <c r="AA14" s="40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41"/>
      <c r="AP14" s="27">
        <f t="shared" si="1"/>
        <v>49</v>
      </c>
      <c r="AQ14" s="31">
        <f t="shared" si="2"/>
        <v>51</v>
      </c>
    </row>
    <row r="15" customHeight="1" spans="1:44">
      <c r="A15" s="27">
        <v>13</v>
      </c>
      <c r="B15" s="10" t="s">
        <v>28</v>
      </c>
      <c r="C15" s="39">
        <v>100</v>
      </c>
      <c r="D15" s="39">
        <v>3</v>
      </c>
      <c r="E15" s="39">
        <v>4</v>
      </c>
      <c r="F15" s="39">
        <v>3</v>
      </c>
      <c r="G15" s="39">
        <v>4</v>
      </c>
      <c r="H15" s="39">
        <v>3</v>
      </c>
      <c r="I15" s="39">
        <v>4</v>
      </c>
      <c r="J15" s="39">
        <v>3</v>
      </c>
      <c r="K15" s="39">
        <v>4</v>
      </c>
      <c r="L15" s="39">
        <v>3</v>
      </c>
      <c r="M15" s="39">
        <v>4</v>
      </c>
      <c r="N15" s="39">
        <v>3</v>
      </c>
      <c r="O15" s="39">
        <v>4</v>
      </c>
      <c r="P15" s="39">
        <v>3</v>
      </c>
      <c r="Q15" s="39">
        <v>4</v>
      </c>
      <c r="R15" s="39"/>
      <c r="S15" s="39"/>
      <c r="T15" s="39"/>
      <c r="U15" s="39"/>
      <c r="V15" s="39"/>
      <c r="W15" s="40"/>
      <c r="X15" s="40"/>
      <c r="Y15" s="40"/>
      <c r="Z15" s="40"/>
      <c r="AA15" s="40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41"/>
      <c r="AP15" s="27">
        <f t="shared" si="1"/>
        <v>49</v>
      </c>
      <c r="AQ15" s="31">
        <f t="shared" si="2"/>
        <v>51</v>
      </c>
    </row>
    <row r="16" customHeight="1" spans="1:44">
      <c r="A16" s="27">
        <v>14</v>
      </c>
      <c r="B16" s="10" t="s">
        <v>30</v>
      </c>
      <c r="C16" s="39">
        <v>100</v>
      </c>
      <c r="D16" s="39">
        <v>3</v>
      </c>
      <c r="E16" s="39">
        <v>4</v>
      </c>
      <c r="F16" s="39">
        <v>3</v>
      </c>
      <c r="G16" s="39">
        <v>4</v>
      </c>
      <c r="H16" s="39">
        <v>3</v>
      </c>
      <c r="I16" s="39">
        <v>4</v>
      </c>
      <c r="J16" s="39">
        <v>3</v>
      </c>
      <c r="K16" s="39">
        <v>4</v>
      </c>
      <c r="L16" s="39">
        <v>3</v>
      </c>
      <c r="M16" s="39">
        <v>4</v>
      </c>
      <c r="N16" s="39">
        <v>3</v>
      </c>
      <c r="O16" s="39">
        <v>4</v>
      </c>
      <c r="P16" s="39">
        <v>3</v>
      </c>
      <c r="Q16" s="39">
        <v>4</v>
      </c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41"/>
      <c r="AP16" s="27">
        <f t="shared" si="1"/>
        <v>49</v>
      </c>
      <c r="AQ16" s="31">
        <f t="shared" si="2"/>
        <v>51</v>
      </c>
    </row>
    <row r="17" customHeight="1" spans="1:44">
      <c r="A17" s="27">
        <v>15</v>
      </c>
      <c r="B17" s="10" t="s">
        <v>31</v>
      </c>
      <c r="C17" s="39">
        <v>100</v>
      </c>
      <c r="D17" s="39">
        <v>3</v>
      </c>
      <c r="E17" s="39">
        <v>4</v>
      </c>
      <c r="F17" s="39">
        <v>3</v>
      </c>
      <c r="G17" s="39">
        <v>4</v>
      </c>
      <c r="H17" s="39">
        <v>3</v>
      </c>
      <c r="I17" s="39">
        <v>4</v>
      </c>
      <c r="J17" s="39">
        <v>3</v>
      </c>
      <c r="K17" s="39">
        <v>4</v>
      </c>
      <c r="L17" s="39">
        <v>3</v>
      </c>
      <c r="M17" s="39">
        <v>4</v>
      </c>
      <c r="N17" s="39">
        <v>3</v>
      </c>
      <c r="O17" s="39">
        <v>4</v>
      </c>
      <c r="P17" s="39">
        <v>3</v>
      </c>
      <c r="Q17" s="39">
        <v>4</v>
      </c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1"/>
      <c r="AP17" s="27">
        <f t="shared" si="1"/>
        <v>49</v>
      </c>
      <c r="AQ17" s="31">
        <f t="shared" si="2"/>
        <v>51</v>
      </c>
    </row>
    <row r="18" customHeight="1" spans="1:44">
      <c r="A18" s="27">
        <v>16</v>
      </c>
      <c r="B18" s="10" t="s">
        <v>32</v>
      </c>
      <c r="C18" s="39">
        <v>100</v>
      </c>
      <c r="D18" s="39">
        <v>3</v>
      </c>
      <c r="E18" s="39">
        <v>4</v>
      </c>
      <c r="F18" s="39">
        <v>3</v>
      </c>
      <c r="G18" s="39">
        <v>4</v>
      </c>
      <c r="H18" s="39">
        <v>3</v>
      </c>
      <c r="I18" s="39">
        <v>4</v>
      </c>
      <c r="J18" s="39">
        <v>3</v>
      </c>
      <c r="K18" s="39">
        <v>4</v>
      </c>
      <c r="L18" s="39">
        <v>3</v>
      </c>
      <c r="M18" s="39">
        <v>4</v>
      </c>
      <c r="N18" s="39">
        <v>3</v>
      </c>
      <c r="O18" s="39">
        <v>4</v>
      </c>
      <c r="P18" s="39">
        <v>3</v>
      </c>
      <c r="Q18" s="39">
        <v>4</v>
      </c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41"/>
      <c r="AP18" s="27">
        <f t="shared" si="1"/>
        <v>49</v>
      </c>
      <c r="AQ18" s="31">
        <f t="shared" si="2"/>
        <v>51</v>
      </c>
    </row>
    <row r="19" customHeight="1" spans="1:44">
      <c r="A19" s="27">
        <v>17</v>
      </c>
      <c r="B19" s="10" t="s">
        <v>33</v>
      </c>
      <c r="C19" s="39">
        <v>100</v>
      </c>
      <c r="D19" s="39">
        <v>3</v>
      </c>
      <c r="E19" s="39">
        <v>4</v>
      </c>
      <c r="F19" s="39">
        <v>3</v>
      </c>
      <c r="G19" s="39">
        <v>4</v>
      </c>
      <c r="H19" s="39">
        <v>3</v>
      </c>
      <c r="I19" s="39">
        <v>4</v>
      </c>
      <c r="J19" s="39">
        <v>3</v>
      </c>
      <c r="K19" s="39">
        <v>4</v>
      </c>
      <c r="L19" s="39">
        <v>3</v>
      </c>
      <c r="M19" s="39">
        <v>4</v>
      </c>
      <c r="N19" s="39">
        <v>3</v>
      </c>
      <c r="O19" s="39">
        <v>4</v>
      </c>
      <c r="P19" s="39">
        <v>3</v>
      </c>
      <c r="Q19" s="39">
        <v>4</v>
      </c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41"/>
      <c r="AP19" s="27">
        <f t="shared" si="1"/>
        <v>49</v>
      </c>
      <c r="AQ19" s="31">
        <f t="shared" si="2"/>
        <v>51</v>
      </c>
    </row>
    <row r="20" customHeight="1" spans="1:44">
      <c r="A20" s="27">
        <v>18</v>
      </c>
      <c r="B20" s="10" t="s">
        <v>34</v>
      </c>
      <c r="C20" s="39">
        <v>100</v>
      </c>
      <c r="D20" s="39">
        <v>3</v>
      </c>
      <c r="E20" s="39">
        <v>4</v>
      </c>
      <c r="F20" s="39">
        <v>3</v>
      </c>
      <c r="G20" s="39">
        <v>4</v>
      </c>
      <c r="H20" s="39">
        <v>3</v>
      </c>
      <c r="I20" s="39">
        <v>4</v>
      </c>
      <c r="J20" s="39">
        <v>3</v>
      </c>
      <c r="K20" s="39">
        <v>4</v>
      </c>
      <c r="L20" s="39">
        <v>3</v>
      </c>
      <c r="M20" s="39">
        <v>4</v>
      </c>
      <c r="N20" s="39">
        <v>3</v>
      </c>
      <c r="O20" s="39">
        <v>4</v>
      </c>
      <c r="P20" s="39">
        <v>3</v>
      </c>
      <c r="Q20" s="39">
        <v>4</v>
      </c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41"/>
      <c r="AP20" s="27">
        <f t="shared" si="1"/>
        <v>49</v>
      </c>
      <c r="AQ20" s="31">
        <f>130-AP20</f>
        <v>81</v>
      </c>
      <c r="AR20" s="28" t="s">
        <v>52</v>
      </c>
    </row>
    <row r="21" customHeight="1" spans="1:44">
      <c r="A21" s="27">
        <v>19</v>
      </c>
      <c r="B21" s="10" t="s">
        <v>35</v>
      </c>
      <c r="C21" s="39">
        <v>100</v>
      </c>
      <c r="D21" s="39">
        <v>3</v>
      </c>
      <c r="E21" s="39">
        <v>4</v>
      </c>
      <c r="F21" s="39">
        <v>3</v>
      </c>
      <c r="G21" s="39">
        <v>4</v>
      </c>
      <c r="H21" s="39">
        <v>3</v>
      </c>
      <c r="I21" s="39">
        <v>4</v>
      </c>
      <c r="J21" s="39">
        <v>3</v>
      </c>
      <c r="K21" s="39">
        <v>4</v>
      </c>
      <c r="L21" s="39">
        <v>3</v>
      </c>
      <c r="M21" s="39">
        <v>4</v>
      </c>
      <c r="N21" s="39">
        <v>3</v>
      </c>
      <c r="O21" s="39">
        <v>4</v>
      </c>
      <c r="P21" s="39">
        <v>3</v>
      </c>
      <c r="Q21" s="39">
        <v>4</v>
      </c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41"/>
      <c r="AP21" s="27">
        <f t="shared" si="1"/>
        <v>49</v>
      </c>
      <c r="AQ21" s="31">
        <f>130-AP21</f>
        <v>81</v>
      </c>
      <c r="AR21" s="28" t="s">
        <v>52</v>
      </c>
    </row>
    <row r="22" customHeight="1" spans="1:44">
      <c r="A22" s="27">
        <v>20</v>
      </c>
      <c r="B22" s="10" t="s">
        <v>36</v>
      </c>
      <c r="C22" s="39">
        <v>100</v>
      </c>
      <c r="D22" s="39">
        <v>3</v>
      </c>
      <c r="E22" s="39">
        <v>4</v>
      </c>
      <c r="F22" s="39">
        <v>3</v>
      </c>
      <c r="G22" s="39">
        <v>4</v>
      </c>
      <c r="H22" s="39">
        <v>3</v>
      </c>
      <c r="I22" s="39">
        <v>4</v>
      </c>
      <c r="J22" s="39">
        <v>3</v>
      </c>
      <c r="K22" s="39">
        <v>4</v>
      </c>
      <c r="L22" s="39">
        <v>3</v>
      </c>
      <c r="M22" s="39">
        <v>4</v>
      </c>
      <c r="N22" s="39">
        <v>3</v>
      </c>
      <c r="O22" s="39">
        <v>4</v>
      </c>
      <c r="P22" s="39">
        <v>3</v>
      </c>
      <c r="Q22" s="39">
        <v>4</v>
      </c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41"/>
      <c r="AP22" s="27">
        <f t="shared" si="1"/>
        <v>49</v>
      </c>
      <c r="AQ22" s="31">
        <f t="shared" si="2"/>
        <v>51</v>
      </c>
    </row>
    <row r="23" customHeight="1" spans="1:44">
      <c r="A23" s="27">
        <v>21</v>
      </c>
      <c r="B23" s="10" t="s">
        <v>37</v>
      </c>
      <c r="C23" s="39">
        <v>100</v>
      </c>
      <c r="D23" s="39">
        <v>3</v>
      </c>
      <c r="E23" s="39">
        <v>4</v>
      </c>
      <c r="F23" s="39">
        <v>3</v>
      </c>
      <c r="G23" s="39">
        <v>4</v>
      </c>
      <c r="H23" s="39">
        <v>3</v>
      </c>
      <c r="I23" s="39">
        <v>4</v>
      </c>
      <c r="J23" s="39">
        <v>3</v>
      </c>
      <c r="K23" s="39">
        <v>4</v>
      </c>
      <c r="L23" s="39">
        <v>3</v>
      </c>
      <c r="M23" s="39">
        <v>4</v>
      </c>
      <c r="N23" s="39">
        <v>3</v>
      </c>
      <c r="O23" s="39">
        <v>4</v>
      </c>
      <c r="P23" s="39">
        <v>3</v>
      </c>
      <c r="Q23" s="39">
        <v>4</v>
      </c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41"/>
      <c r="AP23" s="27">
        <f t="shared" si="1"/>
        <v>49</v>
      </c>
      <c r="AQ23" s="31">
        <f t="shared" si="2"/>
        <v>51</v>
      </c>
    </row>
    <row r="24" customHeight="1" spans="1:44">
      <c r="A24" s="27">
        <v>22</v>
      </c>
      <c r="B24" s="10" t="s">
        <v>53</v>
      </c>
      <c r="C24" s="39">
        <v>100</v>
      </c>
      <c r="D24" s="39">
        <v>3</v>
      </c>
      <c r="E24" s="39">
        <v>4</v>
      </c>
      <c r="F24" s="39">
        <v>3</v>
      </c>
      <c r="G24" s="39">
        <v>4</v>
      </c>
      <c r="H24" s="39">
        <v>3</v>
      </c>
      <c r="I24" s="39">
        <v>4</v>
      </c>
      <c r="J24" s="39">
        <v>3</v>
      </c>
      <c r="K24" s="39">
        <v>4</v>
      </c>
      <c r="L24" s="39">
        <v>3</v>
      </c>
      <c r="M24" s="39">
        <v>4</v>
      </c>
      <c r="N24" s="39">
        <v>3</v>
      </c>
      <c r="O24" s="39">
        <v>4</v>
      </c>
      <c r="P24" s="39">
        <v>3</v>
      </c>
      <c r="Q24" s="39">
        <v>4</v>
      </c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41"/>
      <c r="AP24" s="27">
        <f t="shared" si="1"/>
        <v>49</v>
      </c>
      <c r="AQ24" s="31">
        <f t="shared" si="2"/>
        <v>51</v>
      </c>
    </row>
    <row r="25" customHeight="1" spans="1:44">
      <c r="A25" s="27">
        <v>23</v>
      </c>
      <c r="B25" s="10" t="s">
        <v>54</v>
      </c>
      <c r="C25" s="39">
        <v>100</v>
      </c>
      <c r="D25" s="39">
        <v>3</v>
      </c>
      <c r="E25" s="39">
        <v>4</v>
      </c>
      <c r="F25" s="39">
        <v>3</v>
      </c>
      <c r="G25" s="39">
        <v>4</v>
      </c>
      <c r="H25" s="39">
        <v>3</v>
      </c>
      <c r="I25" s="39">
        <v>4</v>
      </c>
      <c r="J25" s="39">
        <v>3</v>
      </c>
      <c r="K25" s="39">
        <v>4</v>
      </c>
      <c r="L25" s="39">
        <v>3</v>
      </c>
      <c r="M25" s="39">
        <v>4</v>
      </c>
      <c r="N25" s="39">
        <v>3</v>
      </c>
      <c r="O25" s="39">
        <v>4</v>
      </c>
      <c r="P25" s="39">
        <v>3</v>
      </c>
      <c r="Q25" s="39">
        <v>4</v>
      </c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41"/>
      <c r="AP25" s="27">
        <f t="shared" si="1"/>
        <v>49</v>
      </c>
      <c r="AQ25" s="31">
        <f t="shared" si="2"/>
        <v>51</v>
      </c>
      <c r="AR25" s="28" t="s">
        <v>52</v>
      </c>
    </row>
    <row r="26" customHeight="1" spans="1:44">
      <c r="A26" s="27">
        <v>24</v>
      </c>
      <c r="B26" s="10" t="s">
        <v>40</v>
      </c>
      <c r="C26" s="39">
        <v>100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>
        <v>6</v>
      </c>
      <c r="P26" s="39">
        <v>5</v>
      </c>
      <c r="Q26" s="39">
        <v>6</v>
      </c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41"/>
      <c r="AP26" s="27">
        <f t="shared" si="1"/>
        <v>17</v>
      </c>
      <c r="AQ26" s="31">
        <f>130-AP26</f>
        <v>113</v>
      </c>
      <c r="AR26" s="28" t="s">
        <v>52</v>
      </c>
    </row>
    <row r="27" customHeight="1" spans="1:44">
      <c r="A27" s="27">
        <v>25</v>
      </c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4"/>
      <c r="AP27" s="45"/>
      <c r="AQ27" s="31"/>
    </row>
    <row r="28" customHeight="1" spans="1:44">
      <c r="A28" s="27">
        <v>26</v>
      </c>
      <c r="B28" s="46"/>
      <c r="C28" s="43"/>
      <c r="D28" s="44">
        <f t="shared" ref="D28:Q28" si="3">SUM(D3:D26)</f>
        <v>69</v>
      </c>
      <c r="E28" s="44">
        <f t="shared" si="3"/>
        <v>92</v>
      </c>
      <c r="F28" s="44">
        <f t="shared" si="3"/>
        <v>69</v>
      </c>
      <c r="G28" s="44">
        <f t="shared" si="3"/>
        <v>92</v>
      </c>
      <c r="H28" s="44">
        <f t="shared" si="3"/>
        <v>69</v>
      </c>
      <c r="I28" s="44">
        <f t="shared" si="3"/>
        <v>92</v>
      </c>
      <c r="J28" s="44">
        <f t="shared" si="3"/>
        <v>69</v>
      </c>
      <c r="K28" s="44">
        <f t="shared" si="3"/>
        <v>92</v>
      </c>
      <c r="L28" s="44">
        <f t="shared" si="3"/>
        <v>69</v>
      </c>
      <c r="M28" s="44">
        <f t="shared" si="3"/>
        <v>92</v>
      </c>
      <c r="N28" s="44">
        <f t="shared" si="3"/>
        <v>69</v>
      </c>
      <c r="O28" s="44">
        <f t="shared" si="3"/>
        <v>98</v>
      </c>
      <c r="P28" s="44">
        <f t="shared" si="3"/>
        <v>74</v>
      </c>
      <c r="Q28" s="44">
        <f t="shared" si="3"/>
        <v>98</v>
      </c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4"/>
      <c r="AP28" s="45">
        <f t="shared" ref="AP28:AP33" si="4">SUM(D28:AO28)</f>
        <v>1144</v>
      </c>
      <c r="AQ28" s="31">
        <f>100-AP28</f>
        <v>-1044</v>
      </c>
    </row>
    <row r="29" customHeight="1" spans="1:44">
      <c r="A29" s="27">
        <v>27</v>
      </c>
      <c r="B29" s="47"/>
      <c r="C29" s="39"/>
      <c r="D29" s="41"/>
      <c r="E29" s="41"/>
      <c r="F29" s="41"/>
      <c r="G29" s="41"/>
      <c r="H29" s="39"/>
      <c r="I29" s="39"/>
      <c r="J29" s="44"/>
      <c r="K29" s="44"/>
      <c r="L29" s="44"/>
      <c r="M29" s="44"/>
      <c r="N29" s="44"/>
      <c r="O29" s="44"/>
      <c r="P29" s="44"/>
      <c r="Q29" s="44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43"/>
      <c r="AG29" s="43"/>
      <c r="AH29" s="43"/>
      <c r="AI29" s="43"/>
      <c r="AJ29" s="43"/>
      <c r="AK29" s="43"/>
      <c r="AL29" s="43"/>
      <c r="AM29" s="43"/>
      <c r="AN29" s="43"/>
      <c r="AO29" s="41"/>
      <c r="AP29" s="27">
        <f t="shared" si="4"/>
        <v>0</v>
      </c>
      <c r="AQ29" s="31">
        <f>100-AP29</f>
        <v>100</v>
      </c>
    </row>
    <row r="30" customHeight="1" spans="1:44">
      <c r="A30" s="27">
        <v>28</v>
      </c>
      <c r="B30" s="47"/>
      <c r="C30" s="39"/>
      <c r="D30" s="41"/>
      <c r="E30" s="41"/>
      <c r="F30" s="41"/>
      <c r="G30" s="41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43"/>
      <c r="AG30" s="43"/>
      <c r="AH30" s="43"/>
      <c r="AI30" s="43"/>
      <c r="AJ30" s="43"/>
      <c r="AK30" s="43"/>
      <c r="AL30" s="43"/>
      <c r="AM30" s="43"/>
      <c r="AN30" s="43"/>
      <c r="AO30" s="41"/>
      <c r="AP30" s="27">
        <f t="shared" si="4"/>
        <v>0</v>
      </c>
      <c r="AQ30" s="31">
        <f>100-AP30</f>
        <v>100</v>
      </c>
    </row>
    <row r="31" customHeight="1" spans="1:44">
      <c r="A31" s="27">
        <v>29</v>
      </c>
      <c r="B31" s="47"/>
      <c r="C31" s="39"/>
      <c r="D31" s="41"/>
      <c r="E31" s="41"/>
      <c r="F31" s="41"/>
      <c r="G31" s="41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41"/>
      <c r="AP31" s="27">
        <f t="shared" si="4"/>
        <v>0</v>
      </c>
      <c r="AQ31" s="31">
        <f t="shared" ref="AQ28:AQ33" si="5">130-AP31</f>
        <v>130</v>
      </c>
      <c r="AR31" s="28" t="s">
        <v>52</v>
      </c>
    </row>
    <row r="32" customHeight="1" spans="1:44">
      <c r="A32" s="27">
        <v>30</v>
      </c>
      <c r="B32" s="47"/>
      <c r="C32" s="39"/>
      <c r="D32" s="41"/>
      <c r="E32" s="41"/>
      <c r="F32" s="41"/>
      <c r="G32" s="41"/>
      <c r="H32" s="41"/>
      <c r="I32" s="41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41"/>
      <c r="AP32" s="27">
        <f t="shared" si="4"/>
        <v>0</v>
      </c>
      <c r="AQ32" s="31">
        <f t="shared" si="5"/>
        <v>130</v>
      </c>
      <c r="AR32" s="28" t="s">
        <v>52</v>
      </c>
    </row>
    <row r="33" customHeight="1" spans="1:44">
      <c r="A33" s="27">
        <v>31</v>
      </c>
      <c r="B33" s="47"/>
      <c r="C33" s="39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>
        <f t="shared" si="4"/>
        <v>0</v>
      </c>
      <c r="AQ33" s="31">
        <f t="shared" si="5"/>
        <v>130</v>
      </c>
      <c r="AR33" s="28" t="s">
        <v>52</v>
      </c>
    </row>
    <row r="34" customHeight="1" spans="1:44">
      <c r="A34" s="41"/>
      <c r="B34" s="48"/>
      <c r="C34" s="48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</row>
    <row r="35" customHeight="1" spans="1:44">
      <c r="A35" s="41"/>
      <c r="B35" s="48"/>
      <c r="C35" s="48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</row>
    <row r="36" customHeight="1" spans="1:44">
      <c r="A36" s="41"/>
      <c r="B36" s="48"/>
      <c r="C36" s="48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2" workbookViewId="0">
      <selection activeCell="K17" sqref="K17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2" customHeight="1" spans="1:6">
      <c r="A1" s="25" t="s">
        <v>55</v>
      </c>
      <c r="B1" s="25"/>
      <c r="C1" s="25"/>
      <c r="D1" s="25"/>
      <c r="E1" s="25"/>
      <c r="F1" s="25"/>
    </row>
    <row r="2" s="1" customFormat="1" ht="39" customHeight="1" spans="1:6">
      <c r="A2" s="7" t="s">
        <v>2</v>
      </c>
      <c r="B2" s="7" t="s">
        <v>56</v>
      </c>
      <c r="C2" s="7" t="s">
        <v>3</v>
      </c>
      <c r="D2" s="26" t="s">
        <v>57</v>
      </c>
      <c r="E2" s="7" t="s">
        <v>58</v>
      </c>
      <c r="F2" s="7" t="s">
        <v>7</v>
      </c>
    </row>
    <row r="3" ht="24" customHeight="1" spans="1:6">
      <c r="A3" s="27">
        <v>1</v>
      </c>
      <c r="B3" s="9">
        <v>46093</v>
      </c>
      <c r="C3" s="10" t="s">
        <v>13</v>
      </c>
      <c r="D3" s="17">
        <v>1</v>
      </c>
      <c r="E3" s="16"/>
      <c r="F3" s="11"/>
    </row>
    <row r="4" ht="24" customHeight="1" spans="1:6">
      <c r="A4" s="27">
        <v>2</v>
      </c>
      <c r="B4" s="9">
        <v>46093</v>
      </c>
      <c r="C4" s="10" t="s">
        <v>16</v>
      </c>
      <c r="D4" s="17">
        <v>1</v>
      </c>
      <c r="E4" s="16"/>
      <c r="F4" s="13"/>
    </row>
    <row r="5" ht="24" customHeight="1" spans="1:6">
      <c r="A5" s="27">
        <v>3</v>
      </c>
      <c r="B5" s="9">
        <v>46093</v>
      </c>
      <c r="C5" s="10" t="s">
        <v>17</v>
      </c>
      <c r="D5" s="17">
        <v>1</v>
      </c>
      <c r="E5" s="16"/>
      <c r="F5" s="13"/>
    </row>
    <row r="6" ht="24" customHeight="1" spans="1:6">
      <c r="A6" s="27">
        <v>4</v>
      </c>
      <c r="B6" s="9">
        <v>46093</v>
      </c>
      <c r="C6" s="10" t="s">
        <v>18</v>
      </c>
      <c r="D6" s="17">
        <v>1</v>
      </c>
      <c r="E6" s="16"/>
      <c r="F6" s="13"/>
    </row>
    <row r="7" ht="24" customHeight="1" spans="1:6">
      <c r="A7" s="27">
        <v>5</v>
      </c>
      <c r="B7" s="9">
        <v>46093</v>
      </c>
      <c r="C7" s="10" t="s">
        <v>19</v>
      </c>
      <c r="D7" s="17">
        <v>1</v>
      </c>
      <c r="E7" s="16"/>
      <c r="F7" s="13"/>
    </row>
    <row r="8" ht="24" customHeight="1" spans="1:6">
      <c r="A8" s="27">
        <v>6</v>
      </c>
      <c r="B8" s="9">
        <v>46093</v>
      </c>
      <c r="C8" s="10" t="s">
        <v>20</v>
      </c>
      <c r="D8" s="17">
        <v>1</v>
      </c>
      <c r="E8" s="16"/>
      <c r="F8" s="13"/>
    </row>
    <row r="9" ht="24" customHeight="1" spans="1:6">
      <c r="A9" s="27">
        <v>7</v>
      </c>
      <c r="B9" s="9">
        <v>46093</v>
      </c>
      <c r="C9" s="10" t="s">
        <v>21</v>
      </c>
      <c r="D9" s="17">
        <v>1</v>
      </c>
      <c r="E9" s="17"/>
      <c r="F9" s="14"/>
    </row>
    <row r="10" customFormat="1" ht="24" customHeight="1" spans="1:6">
      <c r="A10" s="27">
        <v>8</v>
      </c>
      <c r="B10" s="9">
        <v>46093</v>
      </c>
      <c r="C10" s="10" t="s">
        <v>22</v>
      </c>
      <c r="D10" s="17">
        <v>1</v>
      </c>
      <c r="E10" s="17"/>
      <c r="F10" s="14"/>
    </row>
    <row r="11" ht="24" customHeight="1" spans="1:6">
      <c r="A11" s="27">
        <v>9</v>
      </c>
      <c r="B11" s="9">
        <v>46093</v>
      </c>
      <c r="C11" s="10" t="s">
        <v>24</v>
      </c>
      <c r="D11" s="17">
        <v>1</v>
      </c>
      <c r="E11" s="17"/>
      <c r="F11" s="14"/>
    </row>
    <row r="12" ht="24" customHeight="1" spans="1:6">
      <c r="A12" s="27">
        <v>10</v>
      </c>
      <c r="B12" s="9">
        <v>46093</v>
      </c>
      <c r="C12" s="10" t="s">
        <v>25</v>
      </c>
      <c r="D12" s="17">
        <v>1</v>
      </c>
      <c r="E12" s="17"/>
      <c r="F12" s="14"/>
    </row>
    <row r="13" ht="24" customHeight="1" spans="1:6">
      <c r="A13" s="27">
        <v>11</v>
      </c>
      <c r="B13" s="9">
        <v>46093</v>
      </c>
      <c r="C13" s="10" t="s">
        <v>26</v>
      </c>
      <c r="D13" s="17">
        <v>1</v>
      </c>
      <c r="E13" s="17"/>
      <c r="F13" s="14"/>
    </row>
    <row r="14" ht="24" customHeight="1" spans="1:6">
      <c r="A14" s="27">
        <v>12</v>
      </c>
      <c r="B14" s="9">
        <v>46093</v>
      </c>
      <c r="C14" s="10" t="s">
        <v>27</v>
      </c>
      <c r="D14" s="17">
        <v>1</v>
      </c>
      <c r="E14" s="17"/>
      <c r="F14" s="14"/>
    </row>
    <row r="15" ht="24" customHeight="1" spans="1:6">
      <c r="A15" s="27">
        <v>13</v>
      </c>
      <c r="B15" s="9">
        <v>46093</v>
      </c>
      <c r="C15" s="10" t="s">
        <v>28</v>
      </c>
      <c r="D15" s="17">
        <v>1</v>
      </c>
      <c r="E15" s="17"/>
      <c r="F15" s="14"/>
    </row>
    <row r="16" ht="24" customHeight="1" spans="1:6">
      <c r="A16" s="27">
        <v>14</v>
      </c>
      <c r="B16" s="9">
        <v>46093</v>
      </c>
      <c r="C16" s="10" t="s">
        <v>30</v>
      </c>
      <c r="D16" s="17">
        <v>1</v>
      </c>
      <c r="E16" s="17"/>
      <c r="F16" s="14"/>
    </row>
    <row r="17" ht="24" customHeight="1" spans="1:6">
      <c r="A17" s="27">
        <v>15</v>
      </c>
      <c r="B17" s="9">
        <v>46093</v>
      </c>
      <c r="C17" s="10" t="s">
        <v>31</v>
      </c>
      <c r="D17" s="17">
        <v>1</v>
      </c>
      <c r="E17" s="17"/>
      <c r="F17" s="14"/>
    </row>
    <row r="18" ht="24" customHeight="1" spans="1:6">
      <c r="A18" s="27">
        <v>16</v>
      </c>
      <c r="B18" s="9">
        <v>46093</v>
      </c>
      <c r="C18" s="10" t="s">
        <v>32</v>
      </c>
      <c r="D18" s="17">
        <v>1</v>
      </c>
      <c r="E18" s="17"/>
      <c r="F18" s="14"/>
    </row>
    <row r="19" ht="24" customHeight="1" spans="1:6">
      <c r="A19" s="27">
        <v>17</v>
      </c>
      <c r="B19" s="9">
        <v>46093</v>
      </c>
      <c r="C19" s="10" t="s">
        <v>33</v>
      </c>
      <c r="D19" s="17">
        <v>1</v>
      </c>
      <c r="E19" s="17"/>
      <c r="F19" s="14"/>
    </row>
    <row r="20" ht="24" customHeight="1" spans="1:6">
      <c r="A20" s="27">
        <v>18</v>
      </c>
      <c r="B20" s="9">
        <v>46093</v>
      </c>
      <c r="C20" s="10" t="s">
        <v>34</v>
      </c>
      <c r="D20" s="17">
        <v>1</v>
      </c>
      <c r="E20" s="17"/>
      <c r="F20" s="14"/>
    </row>
    <row r="21" ht="24" customHeight="1" spans="1:6">
      <c r="A21" s="27">
        <v>19</v>
      </c>
      <c r="B21" s="9">
        <v>46093</v>
      </c>
      <c r="C21" s="10" t="s">
        <v>35</v>
      </c>
      <c r="D21" s="17">
        <v>1</v>
      </c>
      <c r="E21" s="17"/>
      <c r="F21" s="14"/>
    </row>
    <row r="22" ht="24" customHeight="1" spans="1:6">
      <c r="A22" s="27">
        <v>20</v>
      </c>
      <c r="B22" s="9">
        <v>46093</v>
      </c>
      <c r="C22" s="10" t="s">
        <v>36</v>
      </c>
      <c r="D22" s="17">
        <v>1</v>
      </c>
      <c r="E22" s="17"/>
      <c r="F22" s="14"/>
    </row>
    <row r="23" ht="24" customHeight="1" spans="1:6">
      <c r="A23" s="27">
        <v>21</v>
      </c>
      <c r="B23" s="9">
        <v>46093</v>
      </c>
      <c r="C23" s="10" t="s">
        <v>37</v>
      </c>
      <c r="D23" s="17">
        <v>1</v>
      </c>
      <c r="E23" s="17"/>
      <c r="F23" s="14"/>
    </row>
    <row r="24" ht="24" customHeight="1" spans="1:6">
      <c r="A24" s="27">
        <v>22</v>
      </c>
      <c r="B24" s="9">
        <v>46093</v>
      </c>
      <c r="C24" s="10" t="s">
        <v>53</v>
      </c>
      <c r="D24" s="17">
        <v>1</v>
      </c>
      <c r="E24" s="17"/>
      <c r="F24" s="14"/>
    </row>
    <row r="25" ht="24" customHeight="1" spans="1:6">
      <c r="A25" s="27">
        <v>23</v>
      </c>
      <c r="B25" s="9">
        <v>46093</v>
      </c>
      <c r="C25" s="10" t="s">
        <v>54</v>
      </c>
      <c r="D25" s="17">
        <v>1</v>
      </c>
      <c r="E25" s="17"/>
      <c r="F25" s="14"/>
    </row>
    <row r="26" ht="21" customHeight="1" spans="1:6">
      <c r="D26" s="28">
        <f>SUM(D3:D25)</f>
        <v>23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7" workbookViewId="0">
      <selection activeCell="B23" sqref="B23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46090</v>
      </c>
      <c r="C3" s="10" t="s">
        <v>13</v>
      </c>
      <c r="D3" s="10" t="s">
        <v>63</v>
      </c>
      <c r="E3" s="12"/>
      <c r="F3" s="10">
        <v>3</v>
      </c>
      <c r="G3" s="11"/>
    </row>
    <row r="4" ht="22" customHeight="1" spans="1:7">
      <c r="A4" s="8">
        <v>2</v>
      </c>
      <c r="B4" s="9">
        <v>46090</v>
      </c>
      <c r="C4" s="10" t="s">
        <v>16</v>
      </c>
      <c r="D4" s="10" t="s">
        <v>63</v>
      </c>
      <c r="E4" s="12"/>
      <c r="F4" s="10">
        <v>3</v>
      </c>
      <c r="G4" s="13"/>
    </row>
    <row r="5" ht="22" customHeight="1" spans="1:7">
      <c r="A5" s="8">
        <v>3</v>
      </c>
      <c r="B5" s="9">
        <v>46090</v>
      </c>
      <c r="C5" s="10" t="s">
        <v>17</v>
      </c>
      <c r="D5" s="10" t="s">
        <v>63</v>
      </c>
      <c r="E5" s="12"/>
      <c r="F5" s="10">
        <v>3</v>
      </c>
      <c r="G5" s="13"/>
    </row>
    <row r="6" ht="22" customHeight="1" spans="1:7">
      <c r="A6" s="8">
        <v>4</v>
      </c>
      <c r="B6" s="9">
        <v>46090</v>
      </c>
      <c r="C6" s="10" t="s">
        <v>18</v>
      </c>
      <c r="D6" s="10" t="s">
        <v>63</v>
      </c>
      <c r="E6" s="10">
        <v>3</v>
      </c>
      <c r="F6" s="12"/>
      <c r="G6" s="13"/>
    </row>
    <row r="7" ht="22" customHeight="1" spans="1:7">
      <c r="A7" s="8">
        <v>5</v>
      </c>
      <c r="B7" s="9">
        <v>46090</v>
      </c>
      <c r="C7" s="10" t="s">
        <v>19</v>
      </c>
      <c r="D7" s="10" t="s">
        <v>63</v>
      </c>
      <c r="E7" s="12"/>
      <c r="F7" s="10">
        <v>3</v>
      </c>
      <c r="G7" s="13"/>
    </row>
    <row r="8" ht="22" customHeight="1" spans="1:7">
      <c r="A8" s="8">
        <v>6</v>
      </c>
      <c r="B8" s="9">
        <v>46090</v>
      </c>
      <c r="C8" s="10" t="s">
        <v>20</v>
      </c>
      <c r="D8" s="10" t="s">
        <v>63</v>
      </c>
      <c r="E8" s="12"/>
      <c r="F8" s="10">
        <v>3</v>
      </c>
      <c r="G8" s="13"/>
    </row>
    <row r="9" ht="22" customHeight="1" spans="1:7">
      <c r="A9" s="8">
        <v>7</v>
      </c>
      <c r="B9" s="9">
        <v>46090</v>
      </c>
      <c r="C9" s="10" t="s">
        <v>21</v>
      </c>
      <c r="D9" s="10" t="s">
        <v>63</v>
      </c>
      <c r="E9" s="12"/>
      <c r="F9" s="10">
        <v>3</v>
      </c>
      <c r="G9" s="14"/>
    </row>
    <row r="10" customFormat="1" ht="22" customHeight="1" spans="1:7">
      <c r="A10" s="8">
        <v>8</v>
      </c>
      <c r="B10" s="9">
        <v>46090</v>
      </c>
      <c r="C10" s="10" t="s">
        <v>22</v>
      </c>
      <c r="D10" s="10" t="s">
        <v>63</v>
      </c>
      <c r="E10" s="10">
        <v>3</v>
      </c>
      <c r="F10" s="12"/>
      <c r="G10" s="14"/>
    </row>
    <row r="11" customFormat="1" ht="22" customHeight="1" spans="1:7">
      <c r="A11" s="8">
        <v>9</v>
      </c>
      <c r="B11" s="9">
        <v>46090</v>
      </c>
      <c r="C11" s="10" t="s">
        <v>24</v>
      </c>
      <c r="D11" s="10" t="s">
        <v>63</v>
      </c>
      <c r="E11" s="10">
        <v>3</v>
      </c>
      <c r="F11" s="12"/>
      <c r="G11" s="14"/>
    </row>
    <row r="12" customFormat="1" ht="22" customHeight="1" spans="1:7">
      <c r="A12" s="8">
        <v>10</v>
      </c>
      <c r="B12" s="9">
        <v>46090</v>
      </c>
      <c r="C12" s="10" t="s">
        <v>25</v>
      </c>
      <c r="D12" s="10" t="s">
        <v>63</v>
      </c>
      <c r="E12" s="10">
        <v>3</v>
      </c>
      <c r="F12" s="12"/>
      <c r="G12" s="14"/>
    </row>
    <row r="13" customFormat="1" ht="22" customHeight="1" spans="1:7">
      <c r="A13" s="8">
        <v>11</v>
      </c>
      <c r="B13" s="9">
        <v>46090</v>
      </c>
      <c r="C13" s="10" t="s">
        <v>26</v>
      </c>
      <c r="D13" s="10" t="s">
        <v>63</v>
      </c>
      <c r="E13" s="10">
        <v>3</v>
      </c>
      <c r="F13" s="12"/>
      <c r="G13" s="14"/>
    </row>
    <row r="14" customFormat="1" ht="22" customHeight="1" spans="1:7">
      <c r="A14" s="8">
        <v>12</v>
      </c>
      <c r="B14" s="9">
        <v>46090</v>
      </c>
      <c r="C14" s="10" t="s">
        <v>27</v>
      </c>
      <c r="D14" s="10" t="s">
        <v>63</v>
      </c>
      <c r="E14" s="12"/>
      <c r="F14" s="10">
        <v>3</v>
      </c>
      <c r="G14" s="14"/>
    </row>
    <row r="15" customFormat="1" ht="22" customHeight="1" spans="1:7">
      <c r="A15" s="8">
        <v>13</v>
      </c>
      <c r="B15" s="9">
        <v>46090</v>
      </c>
      <c r="C15" s="10" t="s">
        <v>28</v>
      </c>
      <c r="D15" s="10" t="s">
        <v>63</v>
      </c>
      <c r="E15" s="12"/>
      <c r="F15" s="10">
        <v>3</v>
      </c>
      <c r="G15" s="14"/>
    </row>
    <row r="16" customFormat="1" ht="22" customHeight="1" spans="1:7">
      <c r="A16" s="8">
        <v>14</v>
      </c>
      <c r="B16" s="9">
        <v>46090</v>
      </c>
      <c r="C16" s="10" t="s">
        <v>30</v>
      </c>
      <c r="D16" s="10" t="s">
        <v>63</v>
      </c>
      <c r="E16" s="12"/>
      <c r="F16" s="10">
        <v>3</v>
      </c>
      <c r="G16" s="14"/>
    </row>
    <row r="17" customFormat="1" ht="22" customHeight="1" spans="1:7">
      <c r="A17" s="8">
        <v>15</v>
      </c>
      <c r="B17" s="9">
        <v>46090</v>
      </c>
      <c r="C17" s="10" t="s">
        <v>31</v>
      </c>
      <c r="D17" s="10" t="s">
        <v>63</v>
      </c>
      <c r="E17" s="12"/>
      <c r="F17" s="10">
        <v>3</v>
      </c>
      <c r="G17" s="14"/>
    </row>
    <row r="18" customFormat="1" ht="22" customHeight="1" spans="1:7">
      <c r="A18" s="8">
        <v>16</v>
      </c>
      <c r="B18" s="9">
        <v>46090</v>
      </c>
      <c r="C18" s="10" t="s">
        <v>32</v>
      </c>
      <c r="D18" s="10" t="s">
        <v>63</v>
      </c>
      <c r="E18" s="10">
        <v>3</v>
      </c>
      <c r="F18" s="15"/>
      <c r="G18" s="14"/>
    </row>
    <row r="19" customFormat="1" ht="22" customHeight="1" spans="1:7">
      <c r="A19" s="8">
        <v>17</v>
      </c>
      <c r="B19" s="9">
        <v>46090</v>
      </c>
      <c r="C19" s="10" t="s">
        <v>33</v>
      </c>
      <c r="D19" s="10" t="s">
        <v>63</v>
      </c>
      <c r="E19" s="12"/>
      <c r="F19" s="10">
        <v>3</v>
      </c>
      <c r="G19" s="14"/>
    </row>
    <row r="20" customFormat="1" ht="22" customHeight="1" spans="1:7">
      <c r="A20" s="8">
        <v>18</v>
      </c>
      <c r="B20" s="9">
        <v>46090</v>
      </c>
      <c r="C20" s="10" t="s">
        <v>34</v>
      </c>
      <c r="D20" s="10" t="s">
        <v>63</v>
      </c>
      <c r="E20" s="10">
        <v>3</v>
      </c>
      <c r="F20" s="12"/>
      <c r="G20" s="14"/>
    </row>
    <row r="21" customFormat="1" ht="22" customHeight="1" spans="1:7">
      <c r="A21" s="8">
        <v>19</v>
      </c>
      <c r="B21" s="9">
        <v>46090</v>
      </c>
      <c r="C21" s="10" t="s">
        <v>35</v>
      </c>
      <c r="D21" s="10" t="s">
        <v>63</v>
      </c>
      <c r="E21" s="12"/>
      <c r="F21" s="10">
        <v>3</v>
      </c>
      <c r="G21" s="14"/>
    </row>
    <row r="22" customFormat="1" ht="22" customHeight="1" spans="1:7">
      <c r="A22" s="8">
        <v>20</v>
      </c>
      <c r="B22" s="9">
        <v>46090</v>
      </c>
      <c r="C22" s="10" t="s">
        <v>36</v>
      </c>
      <c r="D22" s="10" t="s">
        <v>63</v>
      </c>
      <c r="E22" s="12"/>
      <c r="F22" s="10">
        <v>3</v>
      </c>
      <c r="G22" s="14"/>
    </row>
    <row r="23" customFormat="1" ht="22" customHeight="1" spans="1:7">
      <c r="A23" s="8">
        <v>21</v>
      </c>
      <c r="B23" s="9">
        <v>46090</v>
      </c>
      <c r="C23" s="10" t="s">
        <v>37</v>
      </c>
      <c r="D23" s="10" t="s">
        <v>63</v>
      </c>
      <c r="E23" s="12"/>
      <c r="F23" s="10">
        <v>3</v>
      </c>
      <c r="G23" s="14"/>
    </row>
    <row r="24" customFormat="1" ht="22" customHeight="1" spans="1:7">
      <c r="A24" s="8">
        <v>22</v>
      </c>
      <c r="B24" s="9">
        <v>46090</v>
      </c>
      <c r="C24" s="10" t="s">
        <v>53</v>
      </c>
      <c r="D24" s="10" t="s">
        <v>63</v>
      </c>
      <c r="E24" s="16">
        <v>3</v>
      </c>
      <c r="F24" s="17"/>
      <c r="G24" s="14" t="s">
        <v>64</v>
      </c>
    </row>
    <row r="25" customFormat="1" ht="22" customHeight="1" spans="1:7">
      <c r="A25" s="8">
        <v>23</v>
      </c>
      <c r="B25" s="9">
        <v>46090</v>
      </c>
      <c r="C25" s="10" t="s">
        <v>54</v>
      </c>
      <c r="D25" s="10" t="s">
        <v>63</v>
      </c>
      <c r="E25" s="16"/>
      <c r="F25" s="17">
        <v>3</v>
      </c>
      <c r="G25" s="14" t="s">
        <v>64</v>
      </c>
    </row>
    <row r="26" customFormat="1" ht="22" customHeight="1" spans="1:7">
      <c r="A26" s="8"/>
      <c r="B26" s="21"/>
      <c r="C26" s="18"/>
      <c r="D26" s="22"/>
      <c r="E26" s="19"/>
      <c r="F26" s="16"/>
      <c r="G26" s="16"/>
    </row>
    <row r="27" ht="13.5" spans="1:7">
      <c r="E27" s="20">
        <f>SUM(E3:E26)</f>
        <v>24</v>
      </c>
      <c r="F27" s="20">
        <f>SUM(F3:F26)</f>
        <v>45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13</v>
      </c>
      <c r="D3" s="10" t="s">
        <v>65</v>
      </c>
      <c r="E3" s="12"/>
      <c r="F3" s="10">
        <v>4</v>
      </c>
      <c r="G3" s="11"/>
    </row>
    <row r="4" ht="22" customHeight="1" spans="1:7">
      <c r="A4" s="8">
        <v>2</v>
      </c>
      <c r="B4" s="9">
        <v>46093</v>
      </c>
      <c r="C4" s="10" t="s">
        <v>16</v>
      </c>
      <c r="D4" s="10" t="s">
        <v>65</v>
      </c>
      <c r="E4" s="12"/>
      <c r="F4" s="10">
        <v>4</v>
      </c>
      <c r="G4" s="13"/>
    </row>
    <row r="5" ht="22" customHeight="1" spans="1:7">
      <c r="A5" s="8">
        <v>3</v>
      </c>
      <c r="B5" s="9">
        <v>46093</v>
      </c>
      <c r="C5" s="10" t="s">
        <v>17</v>
      </c>
      <c r="D5" s="10" t="s">
        <v>65</v>
      </c>
      <c r="E5" s="12"/>
      <c r="F5" s="10">
        <v>4</v>
      </c>
      <c r="G5" s="13"/>
    </row>
    <row r="6" ht="22" customHeight="1" spans="1:7">
      <c r="A6" s="8">
        <v>4</v>
      </c>
      <c r="B6" s="9">
        <v>46093</v>
      </c>
      <c r="C6" s="10" t="s">
        <v>18</v>
      </c>
      <c r="D6" s="10" t="s">
        <v>65</v>
      </c>
      <c r="E6" s="10">
        <v>4</v>
      </c>
      <c r="F6" s="12"/>
      <c r="G6" s="13"/>
    </row>
    <row r="7" ht="22" customHeight="1" spans="1:7">
      <c r="A7" s="8">
        <v>5</v>
      </c>
      <c r="B7" s="9">
        <v>46093</v>
      </c>
      <c r="C7" s="10" t="s">
        <v>19</v>
      </c>
      <c r="D7" s="10" t="s">
        <v>65</v>
      </c>
      <c r="E7" s="12"/>
      <c r="F7" s="10">
        <v>4</v>
      </c>
      <c r="G7" s="13"/>
    </row>
    <row r="8" ht="22" customHeight="1" spans="1:7">
      <c r="A8" s="8">
        <v>6</v>
      </c>
      <c r="B8" s="9">
        <v>46093</v>
      </c>
      <c r="C8" s="10" t="s">
        <v>20</v>
      </c>
      <c r="D8" s="10" t="s">
        <v>65</v>
      </c>
      <c r="E8" s="12"/>
      <c r="F8" s="10">
        <v>4</v>
      </c>
      <c r="G8" s="13"/>
    </row>
    <row r="9" ht="22" customHeight="1" spans="1:7">
      <c r="A9" s="8">
        <v>7</v>
      </c>
      <c r="B9" s="9">
        <v>46093</v>
      </c>
      <c r="C9" s="10" t="s">
        <v>21</v>
      </c>
      <c r="D9" s="10" t="s">
        <v>65</v>
      </c>
      <c r="E9" s="12"/>
      <c r="F9" s="10">
        <v>4</v>
      </c>
      <c r="G9" s="14"/>
    </row>
    <row r="10" customFormat="1" ht="22" customHeight="1" spans="1:7">
      <c r="A10" s="8">
        <v>8</v>
      </c>
      <c r="B10" s="9">
        <v>46093</v>
      </c>
      <c r="C10" s="10" t="s">
        <v>22</v>
      </c>
      <c r="D10" s="10" t="s">
        <v>65</v>
      </c>
      <c r="E10" s="10">
        <v>4</v>
      </c>
      <c r="F10" s="12"/>
      <c r="G10" s="14"/>
    </row>
    <row r="11" customFormat="1" ht="22" customHeight="1" spans="1:7">
      <c r="A11" s="8">
        <v>9</v>
      </c>
      <c r="B11" s="9">
        <v>46093</v>
      </c>
      <c r="C11" s="10" t="s">
        <v>24</v>
      </c>
      <c r="D11" s="10" t="s">
        <v>65</v>
      </c>
      <c r="E11" s="10">
        <v>4</v>
      </c>
      <c r="F11" s="12"/>
      <c r="G11" s="14"/>
    </row>
    <row r="12" customFormat="1" ht="22" customHeight="1" spans="1:7">
      <c r="A12" s="8">
        <v>10</v>
      </c>
      <c r="B12" s="9">
        <v>46093</v>
      </c>
      <c r="C12" s="10" t="s">
        <v>25</v>
      </c>
      <c r="D12" s="10" t="s">
        <v>65</v>
      </c>
      <c r="E12" s="10">
        <v>4</v>
      </c>
      <c r="F12" s="12"/>
      <c r="G12" s="14"/>
    </row>
    <row r="13" customFormat="1" ht="22" customHeight="1" spans="1:7">
      <c r="A13" s="8">
        <v>11</v>
      </c>
      <c r="B13" s="9">
        <v>46093</v>
      </c>
      <c r="C13" s="10" t="s">
        <v>26</v>
      </c>
      <c r="D13" s="10" t="s">
        <v>65</v>
      </c>
      <c r="E13" s="10">
        <v>4</v>
      </c>
      <c r="F13" s="12"/>
      <c r="G13" s="14"/>
    </row>
    <row r="14" customFormat="1" ht="22" customHeight="1" spans="1:7">
      <c r="A14" s="8">
        <v>12</v>
      </c>
      <c r="B14" s="9">
        <v>46093</v>
      </c>
      <c r="C14" s="10" t="s">
        <v>27</v>
      </c>
      <c r="D14" s="10" t="s">
        <v>65</v>
      </c>
      <c r="E14" s="12"/>
      <c r="F14" s="10">
        <v>4</v>
      </c>
      <c r="G14" s="14"/>
    </row>
    <row r="15" customFormat="1" ht="22" customHeight="1" spans="1:7">
      <c r="A15" s="8">
        <v>13</v>
      </c>
      <c r="B15" s="9">
        <v>46093</v>
      </c>
      <c r="C15" s="10" t="s">
        <v>28</v>
      </c>
      <c r="D15" s="10" t="s">
        <v>65</v>
      </c>
      <c r="E15" s="12"/>
      <c r="F15" s="10">
        <v>4</v>
      </c>
      <c r="G15" s="14"/>
    </row>
    <row r="16" customFormat="1" ht="22" customHeight="1" spans="1:7">
      <c r="A16" s="8">
        <v>14</v>
      </c>
      <c r="B16" s="9">
        <v>46093</v>
      </c>
      <c r="C16" s="10" t="s">
        <v>30</v>
      </c>
      <c r="D16" s="10" t="s">
        <v>65</v>
      </c>
      <c r="E16" s="12"/>
      <c r="F16" s="10">
        <v>4</v>
      </c>
      <c r="G16" s="14"/>
    </row>
    <row r="17" customFormat="1" ht="22" customHeight="1" spans="1:7">
      <c r="A17" s="8">
        <v>15</v>
      </c>
      <c r="B17" s="9">
        <v>46093</v>
      </c>
      <c r="C17" s="10" t="s">
        <v>31</v>
      </c>
      <c r="D17" s="10" t="s">
        <v>65</v>
      </c>
      <c r="E17" s="12"/>
      <c r="F17" s="10">
        <v>4</v>
      </c>
      <c r="G17" s="14"/>
    </row>
    <row r="18" customFormat="1" ht="22" customHeight="1" spans="1:7">
      <c r="A18" s="8">
        <v>16</v>
      </c>
      <c r="B18" s="9">
        <v>46093</v>
      </c>
      <c r="C18" s="10" t="s">
        <v>32</v>
      </c>
      <c r="D18" s="10" t="s">
        <v>65</v>
      </c>
      <c r="E18" s="10">
        <v>4</v>
      </c>
      <c r="F18" s="15"/>
      <c r="G18" s="14"/>
    </row>
    <row r="19" customFormat="1" ht="22" customHeight="1" spans="1:7">
      <c r="A19" s="8">
        <v>17</v>
      </c>
      <c r="B19" s="9">
        <v>46093</v>
      </c>
      <c r="C19" s="10" t="s">
        <v>33</v>
      </c>
      <c r="D19" s="10" t="s">
        <v>65</v>
      </c>
      <c r="E19" s="12"/>
      <c r="F19" s="10">
        <v>4</v>
      </c>
      <c r="G19" s="14"/>
    </row>
    <row r="20" customFormat="1" ht="22" customHeight="1" spans="1:7">
      <c r="A20" s="8">
        <v>18</v>
      </c>
      <c r="B20" s="9">
        <v>46093</v>
      </c>
      <c r="C20" s="10" t="s">
        <v>34</v>
      </c>
      <c r="D20" s="10" t="s">
        <v>65</v>
      </c>
      <c r="E20" s="10">
        <v>4</v>
      </c>
      <c r="F20" s="12"/>
      <c r="G20" s="14"/>
    </row>
    <row r="21" customFormat="1" ht="22" customHeight="1" spans="1:7">
      <c r="A21" s="8">
        <v>19</v>
      </c>
      <c r="B21" s="9">
        <v>46093</v>
      </c>
      <c r="C21" s="10" t="s">
        <v>35</v>
      </c>
      <c r="D21" s="10" t="s">
        <v>65</v>
      </c>
      <c r="E21" s="12"/>
      <c r="F21" s="10">
        <v>4</v>
      </c>
      <c r="G21" s="14"/>
    </row>
    <row r="22" customFormat="1" ht="22" customHeight="1" spans="1:7">
      <c r="A22" s="8">
        <v>20</v>
      </c>
      <c r="B22" s="9">
        <v>46093</v>
      </c>
      <c r="C22" s="10" t="s">
        <v>36</v>
      </c>
      <c r="D22" s="10" t="s">
        <v>65</v>
      </c>
      <c r="E22" s="12"/>
      <c r="F22" s="10">
        <v>4</v>
      </c>
      <c r="G22" s="14"/>
    </row>
    <row r="23" customFormat="1" ht="22" customHeight="1" spans="1:7">
      <c r="A23" s="8">
        <v>21</v>
      </c>
      <c r="B23" s="9">
        <v>46093</v>
      </c>
      <c r="C23" s="10" t="s">
        <v>37</v>
      </c>
      <c r="D23" s="10" t="s">
        <v>65</v>
      </c>
      <c r="E23" s="12"/>
      <c r="F23" s="10">
        <v>4</v>
      </c>
      <c r="G23" s="14"/>
    </row>
    <row r="24" customFormat="1" ht="22" customHeight="1" spans="1:7">
      <c r="A24" s="8">
        <v>22</v>
      </c>
      <c r="B24" s="9">
        <v>46093</v>
      </c>
      <c r="C24" s="10" t="s">
        <v>53</v>
      </c>
      <c r="D24" s="10" t="s">
        <v>65</v>
      </c>
      <c r="E24" s="16">
        <v>4</v>
      </c>
      <c r="F24" s="17"/>
      <c r="G24" s="14"/>
    </row>
    <row r="25" customFormat="1" ht="22" customHeight="1" spans="1:7">
      <c r="A25" s="8">
        <v>23</v>
      </c>
      <c r="B25" s="9">
        <v>46093</v>
      </c>
      <c r="C25" s="10" t="s">
        <v>54</v>
      </c>
      <c r="D25" s="10" t="s">
        <v>65</v>
      </c>
      <c r="E25" s="16"/>
      <c r="F25" s="17">
        <v>4</v>
      </c>
      <c r="G25" s="14"/>
    </row>
    <row r="26" customFormat="1" ht="22" customHeight="1" spans="1:7">
      <c r="A26" s="8"/>
      <c r="B26" s="9"/>
      <c r="C26" s="10"/>
      <c r="D26" s="24"/>
      <c r="E26" s="16"/>
      <c r="F26" s="17"/>
      <c r="G26" s="14"/>
    </row>
    <row r="27" customFormat="1" ht="22" customHeight="1" spans="1:7">
      <c r="A27" s="8"/>
      <c r="B27" s="9"/>
      <c r="C27" s="10"/>
      <c r="D27" s="24"/>
      <c r="E27" s="16"/>
      <c r="F27" s="17"/>
      <c r="G27" s="14"/>
    </row>
    <row r="28" customFormat="1" ht="22" customHeight="1" spans="1:7">
      <c r="A28" s="8"/>
      <c r="B28" s="21"/>
      <c r="C28" s="18"/>
      <c r="D28" s="22"/>
      <c r="E28" s="19"/>
      <c r="F28" s="16"/>
      <c r="G28" s="16"/>
    </row>
    <row r="29" ht="13.5" spans="1:7">
      <c r="E29" s="20">
        <f>SUM(E3:E28)</f>
        <v>32</v>
      </c>
      <c r="F29" s="20">
        <f>SUM(F3:F28)</f>
        <v>60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46097</v>
      </c>
      <c r="C3" s="10" t="s">
        <v>13</v>
      </c>
      <c r="D3" s="10" t="s">
        <v>63</v>
      </c>
      <c r="E3" s="12"/>
      <c r="F3" s="10">
        <v>3</v>
      </c>
      <c r="G3" s="11"/>
    </row>
    <row r="4" ht="22" customHeight="1" spans="1:7">
      <c r="A4" s="8">
        <v>2</v>
      </c>
      <c r="B4" s="9">
        <v>46097</v>
      </c>
      <c r="C4" s="10" t="s">
        <v>16</v>
      </c>
      <c r="D4" s="10" t="s">
        <v>63</v>
      </c>
      <c r="E4" s="12"/>
      <c r="F4" s="10">
        <v>3</v>
      </c>
      <c r="G4" s="13"/>
    </row>
    <row r="5" ht="22" customHeight="1" spans="1:7">
      <c r="A5" s="8">
        <v>3</v>
      </c>
      <c r="B5" s="9">
        <v>46097</v>
      </c>
      <c r="C5" s="10" t="s">
        <v>17</v>
      </c>
      <c r="D5" s="10" t="s">
        <v>63</v>
      </c>
      <c r="E5" s="12"/>
      <c r="F5" s="10">
        <v>3</v>
      </c>
      <c r="G5" s="13"/>
    </row>
    <row r="6" ht="22" customHeight="1" spans="1:7">
      <c r="A6" s="8">
        <v>4</v>
      </c>
      <c r="B6" s="9">
        <v>46097</v>
      </c>
      <c r="C6" s="10" t="s">
        <v>18</v>
      </c>
      <c r="D6" s="10" t="s">
        <v>63</v>
      </c>
      <c r="E6" s="10">
        <v>3</v>
      </c>
      <c r="F6" s="12"/>
      <c r="G6" s="13"/>
    </row>
    <row r="7" ht="22" customHeight="1" spans="1:7">
      <c r="A7" s="8">
        <v>5</v>
      </c>
      <c r="B7" s="9">
        <v>46097</v>
      </c>
      <c r="C7" s="10" t="s">
        <v>19</v>
      </c>
      <c r="D7" s="10" t="s">
        <v>63</v>
      </c>
      <c r="E7" s="12"/>
      <c r="F7" s="10">
        <v>3</v>
      </c>
      <c r="G7" s="13"/>
    </row>
    <row r="8" ht="22" customHeight="1" spans="1:7">
      <c r="A8" s="8">
        <v>6</v>
      </c>
      <c r="B8" s="9">
        <v>46097</v>
      </c>
      <c r="C8" s="10" t="s">
        <v>20</v>
      </c>
      <c r="D8" s="10" t="s">
        <v>63</v>
      </c>
      <c r="E8" s="12"/>
      <c r="F8" s="10">
        <v>3</v>
      </c>
      <c r="G8" s="13"/>
    </row>
    <row r="9" ht="22" customHeight="1" spans="1:7">
      <c r="A9" s="8">
        <v>7</v>
      </c>
      <c r="B9" s="9">
        <v>46097</v>
      </c>
      <c r="C9" s="10" t="s">
        <v>21</v>
      </c>
      <c r="D9" s="10" t="s">
        <v>63</v>
      </c>
      <c r="E9" s="12"/>
      <c r="F9" s="10">
        <v>3</v>
      </c>
      <c r="G9" s="14"/>
    </row>
    <row r="10" customFormat="1" ht="22" customHeight="1" spans="1:7">
      <c r="A10" s="8">
        <v>8</v>
      </c>
      <c r="B10" s="9">
        <v>46097</v>
      </c>
      <c r="C10" s="10" t="s">
        <v>22</v>
      </c>
      <c r="D10" s="10" t="s">
        <v>63</v>
      </c>
      <c r="E10" s="10">
        <v>3</v>
      </c>
      <c r="F10" s="12"/>
      <c r="G10" s="14"/>
    </row>
    <row r="11" customFormat="1" ht="22" customHeight="1" spans="1:7">
      <c r="A11" s="8">
        <v>9</v>
      </c>
      <c r="B11" s="9">
        <v>46097</v>
      </c>
      <c r="C11" s="10" t="s">
        <v>24</v>
      </c>
      <c r="D11" s="10" t="s">
        <v>63</v>
      </c>
      <c r="E11" s="10">
        <v>3</v>
      </c>
      <c r="F11" s="12"/>
      <c r="G11" s="14"/>
    </row>
    <row r="12" customFormat="1" ht="22" customHeight="1" spans="1:7">
      <c r="A12" s="8">
        <v>10</v>
      </c>
      <c r="B12" s="9">
        <v>46097</v>
      </c>
      <c r="C12" s="10" t="s">
        <v>25</v>
      </c>
      <c r="D12" s="10" t="s">
        <v>63</v>
      </c>
      <c r="E12" s="10">
        <v>3</v>
      </c>
      <c r="F12" s="12"/>
      <c r="G12" s="14"/>
    </row>
    <row r="13" customFormat="1" ht="22" customHeight="1" spans="1:7">
      <c r="A13" s="8">
        <v>11</v>
      </c>
      <c r="B13" s="9">
        <v>46097</v>
      </c>
      <c r="C13" s="10" t="s">
        <v>26</v>
      </c>
      <c r="D13" s="10" t="s">
        <v>63</v>
      </c>
      <c r="E13" s="10">
        <v>3</v>
      </c>
      <c r="F13" s="12"/>
      <c r="G13" s="14"/>
    </row>
    <row r="14" customFormat="1" ht="22" customHeight="1" spans="1:7">
      <c r="A14" s="8">
        <v>12</v>
      </c>
      <c r="B14" s="9">
        <v>46097</v>
      </c>
      <c r="C14" s="10" t="s">
        <v>27</v>
      </c>
      <c r="D14" s="10" t="s">
        <v>63</v>
      </c>
      <c r="E14" s="12"/>
      <c r="F14" s="10">
        <v>3</v>
      </c>
      <c r="G14" s="14"/>
    </row>
    <row r="15" customFormat="1" ht="22" customHeight="1" spans="1:7">
      <c r="A15" s="8">
        <v>13</v>
      </c>
      <c r="B15" s="9">
        <v>46097</v>
      </c>
      <c r="C15" s="10" t="s">
        <v>28</v>
      </c>
      <c r="D15" s="10" t="s">
        <v>63</v>
      </c>
      <c r="E15" s="12"/>
      <c r="F15" s="10">
        <v>3</v>
      </c>
      <c r="G15" s="14"/>
    </row>
    <row r="16" customFormat="1" ht="22" customHeight="1" spans="1:7">
      <c r="A16" s="8">
        <v>14</v>
      </c>
      <c r="B16" s="9">
        <v>46097</v>
      </c>
      <c r="C16" s="10" t="s">
        <v>30</v>
      </c>
      <c r="D16" s="10" t="s">
        <v>63</v>
      </c>
      <c r="E16" s="12"/>
      <c r="F16" s="10">
        <v>3</v>
      </c>
      <c r="G16" s="14"/>
    </row>
    <row r="17" customFormat="1" ht="22" customHeight="1" spans="1:7">
      <c r="A17" s="8">
        <v>15</v>
      </c>
      <c r="B17" s="9">
        <v>46097</v>
      </c>
      <c r="C17" s="10" t="s">
        <v>31</v>
      </c>
      <c r="D17" s="10" t="s">
        <v>63</v>
      </c>
      <c r="E17" s="12"/>
      <c r="F17" s="10">
        <v>3</v>
      </c>
      <c r="G17" s="14"/>
    </row>
    <row r="18" customFormat="1" ht="22" customHeight="1" spans="1:7">
      <c r="A18" s="8">
        <v>16</v>
      </c>
      <c r="B18" s="9">
        <v>46097</v>
      </c>
      <c r="C18" s="10" t="s">
        <v>32</v>
      </c>
      <c r="D18" s="10" t="s">
        <v>63</v>
      </c>
      <c r="E18" s="10">
        <v>3</v>
      </c>
      <c r="F18" s="15"/>
      <c r="G18" s="14"/>
    </row>
    <row r="19" customFormat="1" ht="22" customHeight="1" spans="1:7">
      <c r="A19" s="8">
        <v>17</v>
      </c>
      <c r="B19" s="9">
        <v>46097</v>
      </c>
      <c r="C19" s="10" t="s">
        <v>33</v>
      </c>
      <c r="D19" s="10" t="s">
        <v>63</v>
      </c>
      <c r="E19" s="12"/>
      <c r="F19" s="10">
        <v>3</v>
      </c>
      <c r="G19" s="14"/>
    </row>
    <row r="20" customFormat="1" ht="22" customHeight="1" spans="1:7">
      <c r="A20" s="8">
        <v>18</v>
      </c>
      <c r="B20" s="9">
        <v>46097</v>
      </c>
      <c r="C20" s="10" t="s">
        <v>34</v>
      </c>
      <c r="D20" s="10" t="s">
        <v>63</v>
      </c>
      <c r="E20" s="10">
        <v>3</v>
      </c>
      <c r="F20" s="12"/>
      <c r="G20" s="14"/>
    </row>
    <row r="21" customFormat="1" ht="22" customHeight="1" spans="1:7">
      <c r="A21" s="8">
        <v>19</v>
      </c>
      <c r="B21" s="9">
        <v>46097</v>
      </c>
      <c r="C21" s="10" t="s">
        <v>35</v>
      </c>
      <c r="D21" s="10" t="s">
        <v>63</v>
      </c>
      <c r="E21" s="12"/>
      <c r="F21" s="10">
        <v>3</v>
      </c>
      <c r="G21" s="14"/>
    </row>
    <row r="22" customFormat="1" ht="22" customHeight="1" spans="1:7">
      <c r="A22" s="8">
        <v>20</v>
      </c>
      <c r="B22" s="9">
        <v>46097</v>
      </c>
      <c r="C22" s="10" t="s">
        <v>36</v>
      </c>
      <c r="D22" s="10" t="s">
        <v>63</v>
      </c>
      <c r="E22" s="12"/>
      <c r="F22" s="10">
        <v>3</v>
      </c>
      <c r="G22" s="14"/>
    </row>
    <row r="23" customFormat="1" ht="22" customHeight="1" spans="1:7">
      <c r="A23" s="8">
        <v>21</v>
      </c>
      <c r="B23" s="9">
        <v>46097</v>
      </c>
      <c r="C23" s="10" t="s">
        <v>37</v>
      </c>
      <c r="D23" s="10" t="s">
        <v>63</v>
      </c>
      <c r="E23" s="12"/>
      <c r="F23" s="10">
        <v>3</v>
      </c>
      <c r="G23" s="14"/>
    </row>
    <row r="24" customFormat="1" ht="22" customHeight="1" spans="1:7">
      <c r="A24" s="8">
        <v>22</v>
      </c>
      <c r="B24" s="9">
        <v>46097</v>
      </c>
      <c r="C24" s="10" t="s">
        <v>53</v>
      </c>
      <c r="D24" s="10" t="s">
        <v>63</v>
      </c>
      <c r="E24" s="16">
        <v>3</v>
      </c>
      <c r="F24" s="17"/>
      <c r="G24" s="14"/>
    </row>
    <row r="25" customFormat="1" ht="22" customHeight="1" spans="1:7">
      <c r="A25" s="8">
        <v>23</v>
      </c>
      <c r="B25" s="9">
        <v>46097</v>
      </c>
      <c r="C25" s="10" t="s">
        <v>54</v>
      </c>
      <c r="D25" s="10" t="s">
        <v>63</v>
      </c>
      <c r="E25" s="16"/>
      <c r="F25" s="17">
        <v>3</v>
      </c>
      <c r="G25" s="14"/>
    </row>
    <row r="26" customFormat="1" ht="22" customHeight="1" spans="1:7">
      <c r="A26" s="8"/>
      <c r="B26" s="21"/>
      <c r="C26" s="18"/>
      <c r="D26" s="22"/>
      <c r="E26" s="19"/>
      <c r="F26" s="16"/>
      <c r="G26" s="16"/>
    </row>
    <row r="27" ht="13.5" spans="1:7">
      <c r="E27" s="20">
        <f>SUM(E3:E26)</f>
        <v>24</v>
      </c>
      <c r="F27" s="20">
        <f>SUM(F3:F26)</f>
        <v>45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F13" sqref="F13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46100</v>
      </c>
      <c r="C3" s="10" t="s">
        <v>13</v>
      </c>
      <c r="D3" s="10" t="s">
        <v>65</v>
      </c>
      <c r="E3" s="12"/>
      <c r="F3" s="10">
        <v>4</v>
      </c>
      <c r="G3" s="11"/>
    </row>
    <row r="4" ht="22" customHeight="1" spans="1:7">
      <c r="A4" s="8">
        <v>2</v>
      </c>
      <c r="B4" s="9">
        <v>46100</v>
      </c>
      <c r="C4" s="10" t="s">
        <v>16</v>
      </c>
      <c r="D4" s="10" t="s">
        <v>65</v>
      </c>
      <c r="E4" s="12"/>
      <c r="F4" s="10">
        <v>4</v>
      </c>
      <c r="G4" s="13"/>
    </row>
    <row r="5" ht="22" customHeight="1" spans="1:7">
      <c r="A5" s="8">
        <v>3</v>
      </c>
      <c r="B5" s="9">
        <v>46100</v>
      </c>
      <c r="C5" s="10" t="s">
        <v>17</v>
      </c>
      <c r="D5" s="10" t="s">
        <v>65</v>
      </c>
      <c r="E5" s="12"/>
      <c r="F5" s="10">
        <v>4</v>
      </c>
      <c r="G5" s="13"/>
    </row>
    <row r="6" ht="22" customHeight="1" spans="1:7">
      <c r="A6" s="8">
        <v>4</v>
      </c>
      <c r="B6" s="9">
        <v>46100</v>
      </c>
      <c r="C6" s="10" t="s">
        <v>18</v>
      </c>
      <c r="D6" s="10" t="s">
        <v>65</v>
      </c>
      <c r="E6" s="10">
        <v>4</v>
      </c>
      <c r="F6" s="12"/>
      <c r="G6" s="13"/>
    </row>
    <row r="7" ht="22" customHeight="1" spans="1:7">
      <c r="A7" s="8">
        <v>5</v>
      </c>
      <c r="B7" s="9">
        <v>46100</v>
      </c>
      <c r="C7" s="10" t="s">
        <v>19</v>
      </c>
      <c r="D7" s="10" t="s">
        <v>65</v>
      </c>
      <c r="E7" s="12"/>
      <c r="F7" s="10">
        <v>4</v>
      </c>
      <c r="G7" s="13"/>
    </row>
    <row r="8" ht="22" customHeight="1" spans="1:7">
      <c r="A8" s="8">
        <v>6</v>
      </c>
      <c r="B8" s="9">
        <v>46100</v>
      </c>
      <c r="C8" s="10" t="s">
        <v>20</v>
      </c>
      <c r="D8" s="10" t="s">
        <v>65</v>
      </c>
      <c r="E8" s="12"/>
      <c r="F8" s="10">
        <v>4</v>
      </c>
      <c r="G8" s="13"/>
    </row>
    <row r="9" ht="22" customHeight="1" spans="1:7">
      <c r="A9" s="8">
        <v>7</v>
      </c>
      <c r="B9" s="9">
        <v>46100</v>
      </c>
      <c r="C9" s="10" t="s">
        <v>21</v>
      </c>
      <c r="D9" s="10" t="s">
        <v>65</v>
      </c>
      <c r="E9" s="12"/>
      <c r="F9" s="10">
        <v>4</v>
      </c>
      <c r="G9" s="14"/>
    </row>
    <row r="10" customFormat="1" ht="22" customHeight="1" spans="1:7">
      <c r="A10" s="8">
        <v>8</v>
      </c>
      <c r="B10" s="9">
        <v>46100</v>
      </c>
      <c r="C10" s="10" t="s">
        <v>22</v>
      </c>
      <c r="D10" s="10" t="s">
        <v>65</v>
      </c>
      <c r="E10" s="10">
        <v>4</v>
      </c>
      <c r="F10" s="12"/>
      <c r="G10" s="14"/>
    </row>
    <row r="11" customFormat="1" ht="22" customHeight="1" spans="1:7">
      <c r="A11" s="8">
        <v>9</v>
      </c>
      <c r="B11" s="9">
        <v>46100</v>
      </c>
      <c r="C11" s="10" t="s">
        <v>24</v>
      </c>
      <c r="D11" s="10" t="s">
        <v>65</v>
      </c>
      <c r="E11" s="10">
        <v>4</v>
      </c>
      <c r="F11" s="12"/>
      <c r="G11" s="14"/>
    </row>
    <row r="12" customFormat="1" ht="22" customHeight="1" spans="1:7">
      <c r="A12" s="8">
        <v>10</v>
      </c>
      <c r="B12" s="9">
        <v>46100</v>
      </c>
      <c r="C12" s="10" t="s">
        <v>25</v>
      </c>
      <c r="D12" s="10" t="s">
        <v>65</v>
      </c>
      <c r="E12" s="10">
        <v>4</v>
      </c>
      <c r="F12" s="12"/>
      <c r="G12" s="14"/>
    </row>
    <row r="13" customFormat="1" ht="22" customHeight="1" spans="1:7">
      <c r="A13" s="8">
        <v>11</v>
      </c>
      <c r="B13" s="9">
        <v>46100</v>
      </c>
      <c r="C13" s="10" t="s">
        <v>26</v>
      </c>
      <c r="D13" s="10" t="s">
        <v>65</v>
      </c>
      <c r="E13" s="10">
        <v>4</v>
      </c>
      <c r="F13" s="12"/>
      <c r="G13" s="14"/>
    </row>
    <row r="14" customFormat="1" ht="22" customHeight="1" spans="1:7">
      <c r="A14" s="8">
        <v>12</v>
      </c>
      <c r="B14" s="9">
        <v>46100</v>
      </c>
      <c r="C14" s="10" t="s">
        <v>27</v>
      </c>
      <c r="D14" s="10" t="s">
        <v>65</v>
      </c>
      <c r="E14" s="12"/>
      <c r="F14" s="10">
        <v>4</v>
      </c>
      <c r="G14" s="14"/>
    </row>
    <row r="15" customFormat="1" ht="22" customHeight="1" spans="1:7">
      <c r="A15" s="8">
        <v>13</v>
      </c>
      <c r="B15" s="9">
        <v>46100</v>
      </c>
      <c r="C15" s="10" t="s">
        <v>28</v>
      </c>
      <c r="D15" s="10" t="s">
        <v>65</v>
      </c>
      <c r="E15" s="12"/>
      <c r="F15" s="10">
        <v>4</v>
      </c>
      <c r="G15" s="14"/>
    </row>
    <row r="16" customFormat="1" ht="22" customHeight="1" spans="1:7">
      <c r="A16" s="8">
        <v>14</v>
      </c>
      <c r="B16" s="9">
        <v>46100</v>
      </c>
      <c r="C16" s="10" t="s">
        <v>30</v>
      </c>
      <c r="D16" s="10" t="s">
        <v>65</v>
      </c>
      <c r="E16" s="12"/>
      <c r="F16" s="10">
        <v>4</v>
      </c>
      <c r="G16" s="14"/>
    </row>
    <row r="17" customFormat="1" ht="22" customHeight="1" spans="1:7">
      <c r="A17" s="8">
        <v>15</v>
      </c>
      <c r="B17" s="9">
        <v>46100</v>
      </c>
      <c r="C17" s="10" t="s">
        <v>31</v>
      </c>
      <c r="D17" s="10" t="s">
        <v>65</v>
      </c>
      <c r="E17" s="12"/>
      <c r="F17" s="10">
        <v>4</v>
      </c>
      <c r="G17" s="14"/>
    </row>
    <row r="18" customFormat="1" ht="22" customHeight="1" spans="1:7">
      <c r="A18" s="8">
        <v>16</v>
      </c>
      <c r="B18" s="9">
        <v>46100</v>
      </c>
      <c r="C18" s="10" t="s">
        <v>32</v>
      </c>
      <c r="D18" s="10" t="s">
        <v>65</v>
      </c>
      <c r="E18" s="10">
        <v>4</v>
      </c>
      <c r="F18" s="15"/>
      <c r="G18" s="14"/>
    </row>
    <row r="19" customFormat="1" ht="22" customHeight="1" spans="1:7">
      <c r="A19" s="8">
        <v>17</v>
      </c>
      <c r="B19" s="9">
        <v>46100</v>
      </c>
      <c r="C19" s="10" t="s">
        <v>33</v>
      </c>
      <c r="D19" s="10" t="s">
        <v>65</v>
      </c>
      <c r="E19" s="12"/>
      <c r="F19" s="10">
        <v>4</v>
      </c>
      <c r="G19" s="14"/>
    </row>
    <row r="20" customFormat="1" ht="22" customHeight="1" spans="1:7">
      <c r="A20" s="8">
        <v>18</v>
      </c>
      <c r="B20" s="9">
        <v>46100</v>
      </c>
      <c r="C20" s="10" t="s">
        <v>34</v>
      </c>
      <c r="D20" s="10" t="s">
        <v>65</v>
      </c>
      <c r="E20" s="10">
        <v>4</v>
      </c>
      <c r="F20" s="12"/>
      <c r="G20" s="14"/>
    </row>
    <row r="21" customFormat="1" ht="22" customHeight="1" spans="1:7">
      <c r="A21" s="8">
        <v>19</v>
      </c>
      <c r="B21" s="9">
        <v>46100</v>
      </c>
      <c r="C21" s="10" t="s">
        <v>35</v>
      </c>
      <c r="D21" s="10" t="s">
        <v>65</v>
      </c>
      <c r="E21" s="12"/>
      <c r="F21" s="10">
        <v>4</v>
      </c>
      <c r="G21" s="14"/>
    </row>
    <row r="22" customFormat="1" ht="22" customHeight="1" spans="1:7">
      <c r="A22" s="8">
        <v>20</v>
      </c>
      <c r="B22" s="9">
        <v>46100</v>
      </c>
      <c r="C22" s="10" t="s">
        <v>36</v>
      </c>
      <c r="D22" s="10" t="s">
        <v>65</v>
      </c>
      <c r="E22" s="12"/>
      <c r="F22" s="10">
        <v>4</v>
      </c>
      <c r="G22" s="14"/>
    </row>
    <row r="23" customFormat="1" ht="22" customHeight="1" spans="1:7">
      <c r="A23" s="8">
        <v>21</v>
      </c>
      <c r="B23" s="9">
        <v>46100</v>
      </c>
      <c r="C23" s="10" t="s">
        <v>37</v>
      </c>
      <c r="D23" s="10" t="s">
        <v>65</v>
      </c>
      <c r="E23" s="12"/>
      <c r="F23" s="10">
        <v>4</v>
      </c>
      <c r="G23" s="14"/>
    </row>
    <row r="24" customFormat="1" ht="22" customHeight="1" spans="1:7">
      <c r="A24" s="8">
        <v>22</v>
      </c>
      <c r="B24" s="9">
        <v>46100</v>
      </c>
      <c r="C24" s="10" t="s">
        <v>53</v>
      </c>
      <c r="D24" s="10" t="s">
        <v>65</v>
      </c>
      <c r="E24" s="16">
        <v>4</v>
      </c>
      <c r="F24" s="17"/>
      <c r="G24" s="14"/>
    </row>
    <row r="25" customFormat="1" ht="22" customHeight="1" spans="1:7">
      <c r="A25" s="8">
        <v>23</v>
      </c>
      <c r="B25" s="9">
        <v>46100</v>
      </c>
      <c r="C25" s="10" t="s">
        <v>54</v>
      </c>
      <c r="D25" s="10" t="s">
        <v>65</v>
      </c>
      <c r="E25" s="16"/>
      <c r="F25" s="17">
        <v>4</v>
      </c>
      <c r="G25" s="14"/>
    </row>
    <row r="26" customFormat="1" ht="22" customHeight="1" spans="1:7">
      <c r="A26" s="8"/>
      <c r="B26" s="9"/>
      <c r="C26" s="10"/>
      <c r="D26" s="24"/>
      <c r="E26" s="16"/>
      <c r="F26" s="17"/>
      <c r="G26" s="14"/>
    </row>
    <row r="27" customFormat="1" ht="22" customHeight="1" spans="1:7">
      <c r="A27" s="8"/>
      <c r="B27" s="9"/>
      <c r="C27" s="10"/>
      <c r="D27" s="24"/>
      <c r="E27" s="16"/>
      <c r="F27" s="17"/>
      <c r="G27" s="14"/>
    </row>
    <row r="28" customFormat="1" ht="22" customHeight="1" spans="1:7">
      <c r="A28" s="8"/>
      <c r="B28" s="21"/>
      <c r="C28" s="18"/>
      <c r="D28" s="22"/>
      <c r="E28" s="19"/>
      <c r="F28" s="16"/>
      <c r="G28" s="16"/>
    </row>
    <row r="30" ht="13.5" spans="1:7">
      <c r="E30" s="20">
        <f>SUM(E3:E28)</f>
        <v>32</v>
      </c>
      <c r="F30" s="20">
        <f>SUM(F3:F28)</f>
        <v>60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27" sqref="E27:F27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46104</v>
      </c>
      <c r="C3" s="10" t="s">
        <v>13</v>
      </c>
      <c r="D3" s="10" t="s">
        <v>63</v>
      </c>
      <c r="E3" s="12"/>
      <c r="F3" s="10">
        <v>3</v>
      </c>
      <c r="G3" s="11"/>
    </row>
    <row r="4" ht="22" customHeight="1" spans="1:7">
      <c r="A4" s="8">
        <v>2</v>
      </c>
      <c r="B4" s="9">
        <v>46104</v>
      </c>
      <c r="C4" s="10" t="s">
        <v>16</v>
      </c>
      <c r="D4" s="10" t="s">
        <v>63</v>
      </c>
      <c r="E4" s="12"/>
      <c r="F4" s="10">
        <v>3</v>
      </c>
      <c r="G4" s="13"/>
    </row>
    <row r="5" ht="22" customHeight="1" spans="1:7">
      <c r="A5" s="8">
        <v>3</v>
      </c>
      <c r="B5" s="9">
        <v>46104</v>
      </c>
      <c r="C5" s="10" t="s">
        <v>17</v>
      </c>
      <c r="D5" s="10" t="s">
        <v>63</v>
      </c>
      <c r="E5" s="12"/>
      <c r="F5" s="10">
        <v>3</v>
      </c>
      <c r="G5" s="13"/>
    </row>
    <row r="6" ht="22" customHeight="1" spans="1:7">
      <c r="A6" s="8">
        <v>4</v>
      </c>
      <c r="B6" s="9">
        <v>46104</v>
      </c>
      <c r="C6" s="10" t="s">
        <v>18</v>
      </c>
      <c r="D6" s="10" t="s">
        <v>63</v>
      </c>
      <c r="E6" s="10">
        <v>3</v>
      </c>
      <c r="F6" s="12"/>
      <c r="G6" s="13"/>
    </row>
    <row r="7" ht="22" customHeight="1" spans="1:7">
      <c r="A7" s="8">
        <v>5</v>
      </c>
      <c r="B7" s="9">
        <v>46104</v>
      </c>
      <c r="C7" s="10" t="s">
        <v>19</v>
      </c>
      <c r="D7" s="10" t="s">
        <v>63</v>
      </c>
      <c r="E7" s="12"/>
      <c r="F7" s="10">
        <v>3</v>
      </c>
      <c r="G7" s="13"/>
    </row>
    <row r="8" ht="22" customHeight="1" spans="1:7">
      <c r="A8" s="8">
        <v>6</v>
      </c>
      <c r="B8" s="9">
        <v>46104</v>
      </c>
      <c r="C8" s="10" t="s">
        <v>20</v>
      </c>
      <c r="D8" s="10" t="s">
        <v>63</v>
      </c>
      <c r="E8" s="12"/>
      <c r="F8" s="10">
        <v>3</v>
      </c>
      <c r="G8" s="13"/>
    </row>
    <row r="9" ht="22" customHeight="1" spans="1:7">
      <c r="A9" s="8">
        <v>7</v>
      </c>
      <c r="B9" s="9">
        <v>46104</v>
      </c>
      <c r="C9" s="10" t="s">
        <v>21</v>
      </c>
      <c r="D9" s="10" t="s">
        <v>63</v>
      </c>
      <c r="E9" s="12"/>
      <c r="F9" s="10">
        <v>3</v>
      </c>
      <c r="G9" s="14"/>
    </row>
    <row r="10" customFormat="1" ht="22" customHeight="1" spans="1:7">
      <c r="A10" s="8">
        <v>8</v>
      </c>
      <c r="B10" s="9">
        <v>46104</v>
      </c>
      <c r="C10" s="10" t="s">
        <v>22</v>
      </c>
      <c r="D10" s="10" t="s">
        <v>63</v>
      </c>
      <c r="E10" s="10">
        <v>3</v>
      </c>
      <c r="F10" s="12"/>
      <c r="G10" s="14"/>
    </row>
    <row r="11" customFormat="1" ht="22" customHeight="1" spans="1:7">
      <c r="A11" s="8">
        <v>9</v>
      </c>
      <c r="B11" s="9">
        <v>46104</v>
      </c>
      <c r="C11" s="10" t="s">
        <v>24</v>
      </c>
      <c r="D11" s="10" t="s">
        <v>63</v>
      </c>
      <c r="E11" s="10">
        <v>3</v>
      </c>
      <c r="F11" s="12"/>
      <c r="G11" s="14"/>
    </row>
    <row r="12" customFormat="1" ht="22" customHeight="1" spans="1:7">
      <c r="A12" s="8">
        <v>10</v>
      </c>
      <c r="B12" s="9">
        <v>46104</v>
      </c>
      <c r="C12" s="10" t="s">
        <v>25</v>
      </c>
      <c r="D12" s="10" t="s">
        <v>63</v>
      </c>
      <c r="E12" s="10">
        <v>3</v>
      </c>
      <c r="F12" s="12"/>
      <c r="G12" s="14"/>
    </row>
    <row r="13" customFormat="1" ht="22" customHeight="1" spans="1:7">
      <c r="A13" s="8">
        <v>11</v>
      </c>
      <c r="B13" s="9">
        <v>46104</v>
      </c>
      <c r="C13" s="10" t="s">
        <v>26</v>
      </c>
      <c r="D13" s="10" t="s">
        <v>63</v>
      </c>
      <c r="E13" s="10">
        <v>3</v>
      </c>
      <c r="F13" s="12"/>
      <c r="G13" s="14"/>
    </row>
    <row r="14" customFormat="1" ht="22" customHeight="1" spans="1:7">
      <c r="A14" s="8">
        <v>12</v>
      </c>
      <c r="B14" s="9">
        <v>46104</v>
      </c>
      <c r="C14" s="10" t="s">
        <v>27</v>
      </c>
      <c r="D14" s="10" t="s">
        <v>63</v>
      </c>
      <c r="E14" s="12"/>
      <c r="F14" s="10">
        <v>3</v>
      </c>
      <c r="G14" s="14"/>
    </row>
    <row r="15" customFormat="1" ht="22" customHeight="1" spans="1:7">
      <c r="A15" s="8">
        <v>13</v>
      </c>
      <c r="B15" s="9">
        <v>46104</v>
      </c>
      <c r="C15" s="10" t="s">
        <v>28</v>
      </c>
      <c r="D15" s="10" t="s">
        <v>63</v>
      </c>
      <c r="E15" s="12"/>
      <c r="F15" s="10">
        <v>3</v>
      </c>
      <c r="G15" s="14"/>
    </row>
    <row r="16" customFormat="1" ht="22" customHeight="1" spans="1:7">
      <c r="A16" s="8">
        <v>14</v>
      </c>
      <c r="B16" s="9">
        <v>46104</v>
      </c>
      <c r="C16" s="10" t="s">
        <v>30</v>
      </c>
      <c r="D16" s="10" t="s">
        <v>63</v>
      </c>
      <c r="E16" s="12"/>
      <c r="F16" s="10">
        <v>3</v>
      </c>
      <c r="G16" s="14"/>
    </row>
    <row r="17" customFormat="1" ht="22" customHeight="1" spans="1:7">
      <c r="A17" s="8">
        <v>15</v>
      </c>
      <c r="B17" s="9">
        <v>46104</v>
      </c>
      <c r="C17" s="10" t="s">
        <v>31</v>
      </c>
      <c r="D17" s="10" t="s">
        <v>63</v>
      </c>
      <c r="E17" s="12"/>
      <c r="F17" s="10">
        <v>3</v>
      </c>
      <c r="G17" s="14"/>
    </row>
    <row r="18" customFormat="1" ht="22" customHeight="1" spans="1:7">
      <c r="A18" s="8">
        <v>16</v>
      </c>
      <c r="B18" s="9">
        <v>46104</v>
      </c>
      <c r="C18" s="10" t="s">
        <v>32</v>
      </c>
      <c r="D18" s="10" t="s">
        <v>63</v>
      </c>
      <c r="E18" s="10">
        <v>3</v>
      </c>
      <c r="F18" s="15"/>
      <c r="G18" s="14"/>
    </row>
    <row r="19" customFormat="1" ht="22" customHeight="1" spans="1:7">
      <c r="A19" s="8">
        <v>17</v>
      </c>
      <c r="B19" s="9">
        <v>46104</v>
      </c>
      <c r="C19" s="10" t="s">
        <v>33</v>
      </c>
      <c r="D19" s="10" t="s">
        <v>63</v>
      </c>
      <c r="E19" s="12"/>
      <c r="F19" s="10">
        <v>3</v>
      </c>
      <c r="G19" s="14"/>
    </row>
    <row r="20" customFormat="1" ht="22" customHeight="1" spans="1:7">
      <c r="A20" s="8">
        <v>18</v>
      </c>
      <c r="B20" s="9">
        <v>46104</v>
      </c>
      <c r="C20" s="10" t="s">
        <v>34</v>
      </c>
      <c r="D20" s="10" t="s">
        <v>63</v>
      </c>
      <c r="E20" s="10">
        <v>3</v>
      </c>
      <c r="F20" s="12"/>
      <c r="G20" s="14"/>
    </row>
    <row r="21" customFormat="1" ht="22" customHeight="1" spans="1:7">
      <c r="A21" s="8">
        <v>19</v>
      </c>
      <c r="B21" s="9">
        <v>46104</v>
      </c>
      <c r="C21" s="10" t="s">
        <v>35</v>
      </c>
      <c r="D21" s="10" t="s">
        <v>63</v>
      </c>
      <c r="E21" s="12"/>
      <c r="F21" s="10">
        <v>3</v>
      </c>
      <c r="G21" s="14"/>
    </row>
    <row r="22" customFormat="1" ht="22" customHeight="1" spans="1:7">
      <c r="A22" s="8">
        <v>20</v>
      </c>
      <c r="B22" s="9">
        <v>46104</v>
      </c>
      <c r="C22" s="10" t="s">
        <v>36</v>
      </c>
      <c r="D22" s="10" t="s">
        <v>63</v>
      </c>
      <c r="E22" s="12"/>
      <c r="F22" s="10">
        <v>3</v>
      </c>
      <c r="G22" s="14"/>
    </row>
    <row r="23" customFormat="1" ht="22" customHeight="1" spans="1:7">
      <c r="A23" s="8">
        <v>21</v>
      </c>
      <c r="B23" s="9">
        <v>46104</v>
      </c>
      <c r="C23" s="10" t="s">
        <v>37</v>
      </c>
      <c r="D23" s="10" t="s">
        <v>63</v>
      </c>
      <c r="E23" s="12"/>
      <c r="F23" s="10">
        <v>3</v>
      </c>
      <c r="G23" s="14"/>
    </row>
    <row r="24" customFormat="1" ht="22" customHeight="1" spans="1:7">
      <c r="A24" s="8">
        <v>22</v>
      </c>
      <c r="B24" s="9">
        <v>46104</v>
      </c>
      <c r="C24" s="10" t="s">
        <v>53</v>
      </c>
      <c r="D24" s="10" t="s">
        <v>63</v>
      </c>
      <c r="E24" s="16">
        <v>3</v>
      </c>
      <c r="F24" s="17"/>
      <c r="G24" s="14"/>
    </row>
    <row r="25" customFormat="1" ht="22" customHeight="1" spans="1:7">
      <c r="A25" s="8">
        <v>23</v>
      </c>
      <c r="B25" s="9">
        <v>46104</v>
      </c>
      <c r="C25" s="10" t="s">
        <v>54</v>
      </c>
      <c r="D25" s="10" t="s">
        <v>63</v>
      </c>
      <c r="E25" s="16"/>
      <c r="F25" s="17">
        <v>3</v>
      </c>
      <c r="G25" s="14"/>
    </row>
    <row r="26" customFormat="1" ht="22" customHeight="1" spans="1:7">
      <c r="A26" s="8"/>
      <c r="B26" s="21"/>
      <c r="C26" s="18"/>
      <c r="D26" s="22"/>
      <c r="E26" s="19"/>
      <c r="F26" s="16"/>
      <c r="G26" s="16"/>
    </row>
    <row r="27" customFormat="1" ht="13.5" spans="1:7">
      <c r="E27" s="20">
        <f>SUM(E3:E26)</f>
        <v>24</v>
      </c>
      <c r="F27" s="20">
        <f>SUM(F3:F26)</f>
        <v>45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F3" sqref="F3:F4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46107</v>
      </c>
      <c r="C3" s="10" t="s">
        <v>13</v>
      </c>
      <c r="D3" s="10" t="s">
        <v>65</v>
      </c>
      <c r="E3" s="12"/>
      <c r="F3" s="10">
        <v>4</v>
      </c>
      <c r="G3" s="11"/>
    </row>
    <row r="4" ht="22" customHeight="1" spans="1:7">
      <c r="A4" s="8">
        <v>2</v>
      </c>
      <c r="B4" s="9">
        <v>46107</v>
      </c>
      <c r="C4" s="10" t="s">
        <v>16</v>
      </c>
      <c r="D4" s="10" t="s">
        <v>65</v>
      </c>
      <c r="E4" s="12"/>
      <c r="F4" s="10">
        <v>4</v>
      </c>
      <c r="G4" s="13"/>
    </row>
    <row r="5" ht="22" customHeight="1" spans="1:7">
      <c r="A5" s="8">
        <v>3</v>
      </c>
      <c r="B5" s="9">
        <v>46107</v>
      </c>
      <c r="C5" s="10" t="s">
        <v>17</v>
      </c>
      <c r="D5" s="10" t="s">
        <v>65</v>
      </c>
      <c r="E5" s="12"/>
      <c r="F5" s="10">
        <v>4</v>
      </c>
      <c r="G5" s="13"/>
    </row>
    <row r="6" ht="22" customHeight="1" spans="1:7">
      <c r="A6" s="8">
        <v>4</v>
      </c>
      <c r="B6" s="9">
        <v>46107</v>
      </c>
      <c r="C6" s="10" t="s">
        <v>18</v>
      </c>
      <c r="D6" s="10" t="s">
        <v>65</v>
      </c>
      <c r="E6" s="10">
        <v>4</v>
      </c>
      <c r="F6" s="12"/>
      <c r="G6" s="13"/>
    </row>
    <row r="7" ht="22" customHeight="1" spans="1:7">
      <c r="A7" s="8">
        <v>5</v>
      </c>
      <c r="B7" s="9">
        <v>46107</v>
      </c>
      <c r="C7" s="10" t="s">
        <v>19</v>
      </c>
      <c r="D7" s="10" t="s">
        <v>65</v>
      </c>
      <c r="E7" s="12"/>
      <c r="F7" s="10">
        <v>4</v>
      </c>
      <c r="G7" s="13"/>
    </row>
    <row r="8" ht="22" customHeight="1" spans="1:7">
      <c r="A8" s="8">
        <v>6</v>
      </c>
      <c r="B8" s="9">
        <v>46107</v>
      </c>
      <c r="C8" s="10" t="s">
        <v>20</v>
      </c>
      <c r="D8" s="10" t="s">
        <v>65</v>
      </c>
      <c r="E8" s="12"/>
      <c r="F8" s="10">
        <v>4</v>
      </c>
      <c r="G8" s="13"/>
    </row>
    <row r="9" ht="22" customHeight="1" spans="1:7">
      <c r="A9" s="8">
        <v>7</v>
      </c>
      <c r="B9" s="9">
        <v>46107</v>
      </c>
      <c r="C9" s="10" t="s">
        <v>21</v>
      </c>
      <c r="D9" s="10" t="s">
        <v>65</v>
      </c>
      <c r="E9" s="12"/>
      <c r="F9" s="10">
        <v>4</v>
      </c>
      <c r="G9" s="14"/>
    </row>
    <row r="10" customFormat="1" ht="22" customHeight="1" spans="1:7">
      <c r="A10" s="8">
        <v>8</v>
      </c>
      <c r="B10" s="9">
        <v>46107</v>
      </c>
      <c r="C10" s="10" t="s">
        <v>22</v>
      </c>
      <c r="D10" s="10" t="s">
        <v>65</v>
      </c>
      <c r="E10" s="10">
        <v>4</v>
      </c>
      <c r="F10" s="12"/>
      <c r="G10" s="14"/>
    </row>
    <row r="11" customFormat="1" ht="22" customHeight="1" spans="1:7">
      <c r="A11" s="8">
        <v>9</v>
      </c>
      <c r="B11" s="9">
        <v>46107</v>
      </c>
      <c r="C11" s="10" t="s">
        <v>24</v>
      </c>
      <c r="D11" s="10" t="s">
        <v>65</v>
      </c>
      <c r="E11" s="10">
        <v>4</v>
      </c>
      <c r="F11" s="12"/>
      <c r="G11" s="14"/>
    </row>
    <row r="12" customFormat="1" ht="22" customHeight="1" spans="1:7">
      <c r="A12" s="8">
        <v>10</v>
      </c>
      <c r="B12" s="9">
        <v>46107</v>
      </c>
      <c r="C12" s="10" t="s">
        <v>25</v>
      </c>
      <c r="D12" s="10" t="s">
        <v>65</v>
      </c>
      <c r="E12" s="10">
        <v>4</v>
      </c>
      <c r="F12" s="12"/>
      <c r="G12" s="14"/>
    </row>
    <row r="13" customFormat="1" ht="22" customHeight="1" spans="1:7">
      <c r="A13" s="8">
        <v>11</v>
      </c>
      <c r="B13" s="9">
        <v>46107</v>
      </c>
      <c r="C13" s="10" t="s">
        <v>26</v>
      </c>
      <c r="D13" s="10" t="s">
        <v>65</v>
      </c>
      <c r="E13" s="10">
        <v>4</v>
      </c>
      <c r="F13" s="12"/>
      <c r="G13" s="14"/>
    </row>
    <row r="14" customFormat="1" ht="22" customHeight="1" spans="1:7">
      <c r="A14" s="8">
        <v>12</v>
      </c>
      <c r="B14" s="9">
        <v>46107</v>
      </c>
      <c r="C14" s="10" t="s">
        <v>27</v>
      </c>
      <c r="D14" s="10" t="s">
        <v>65</v>
      </c>
      <c r="E14" s="12"/>
      <c r="F14" s="10">
        <v>4</v>
      </c>
      <c r="G14" s="14"/>
    </row>
    <row r="15" customFormat="1" ht="22" customHeight="1" spans="1:7">
      <c r="A15" s="8">
        <v>13</v>
      </c>
      <c r="B15" s="9">
        <v>46107</v>
      </c>
      <c r="C15" s="10" t="s">
        <v>28</v>
      </c>
      <c r="D15" s="10" t="s">
        <v>65</v>
      </c>
      <c r="E15" s="12"/>
      <c r="F15" s="10">
        <v>4</v>
      </c>
      <c r="G15" s="14"/>
    </row>
    <row r="16" customFormat="1" ht="22" customHeight="1" spans="1:7">
      <c r="A16" s="8">
        <v>14</v>
      </c>
      <c r="B16" s="9">
        <v>46107</v>
      </c>
      <c r="C16" s="10" t="s">
        <v>30</v>
      </c>
      <c r="D16" s="10" t="s">
        <v>65</v>
      </c>
      <c r="E16" s="12"/>
      <c r="F16" s="10">
        <v>4</v>
      </c>
      <c r="G16" s="14"/>
    </row>
    <row r="17" customFormat="1" ht="22" customHeight="1" spans="1:7">
      <c r="A17" s="8">
        <v>15</v>
      </c>
      <c r="B17" s="9">
        <v>46107</v>
      </c>
      <c r="C17" s="10" t="s">
        <v>31</v>
      </c>
      <c r="D17" s="10" t="s">
        <v>65</v>
      </c>
      <c r="E17" s="12"/>
      <c r="F17" s="10">
        <v>4</v>
      </c>
      <c r="G17" s="14"/>
    </row>
    <row r="18" customFormat="1" ht="22" customHeight="1" spans="1:7">
      <c r="A18" s="8">
        <v>16</v>
      </c>
      <c r="B18" s="9">
        <v>46107</v>
      </c>
      <c r="C18" s="10" t="s">
        <v>32</v>
      </c>
      <c r="D18" s="10" t="s">
        <v>65</v>
      </c>
      <c r="E18" s="10">
        <v>4</v>
      </c>
      <c r="F18" s="15"/>
      <c r="G18" s="14"/>
    </row>
    <row r="19" customFormat="1" ht="22" customHeight="1" spans="1:7">
      <c r="A19" s="8">
        <v>17</v>
      </c>
      <c r="B19" s="9">
        <v>46107</v>
      </c>
      <c r="C19" s="10" t="s">
        <v>33</v>
      </c>
      <c r="D19" s="10" t="s">
        <v>65</v>
      </c>
      <c r="E19" s="12"/>
      <c r="F19" s="10">
        <v>4</v>
      </c>
      <c r="G19" s="14"/>
    </row>
    <row r="20" customFormat="1" ht="22" customHeight="1" spans="1:7">
      <c r="A20" s="8">
        <v>18</v>
      </c>
      <c r="B20" s="9">
        <v>46107</v>
      </c>
      <c r="C20" s="10" t="s">
        <v>34</v>
      </c>
      <c r="D20" s="10" t="s">
        <v>65</v>
      </c>
      <c r="E20" s="10">
        <v>4</v>
      </c>
      <c r="F20" s="12"/>
      <c r="G20" s="14"/>
    </row>
    <row r="21" customFormat="1" ht="22" customHeight="1" spans="1:7">
      <c r="A21" s="8">
        <v>19</v>
      </c>
      <c r="B21" s="9">
        <v>46107</v>
      </c>
      <c r="C21" s="10" t="s">
        <v>35</v>
      </c>
      <c r="D21" s="10" t="s">
        <v>65</v>
      </c>
      <c r="E21" s="12"/>
      <c r="F21" s="10">
        <v>4</v>
      </c>
      <c r="G21" s="14"/>
    </row>
    <row r="22" customFormat="1" ht="22" customHeight="1" spans="1:7">
      <c r="A22" s="8">
        <v>20</v>
      </c>
      <c r="B22" s="9">
        <v>46107</v>
      </c>
      <c r="C22" s="10" t="s">
        <v>36</v>
      </c>
      <c r="D22" s="10" t="s">
        <v>65</v>
      </c>
      <c r="E22" s="12"/>
      <c r="F22" s="10">
        <v>4</v>
      </c>
      <c r="G22" s="14"/>
    </row>
    <row r="23" customFormat="1" ht="22" customHeight="1" spans="1:7">
      <c r="A23" s="8">
        <v>21</v>
      </c>
      <c r="B23" s="9">
        <v>46107</v>
      </c>
      <c r="C23" s="10" t="s">
        <v>37</v>
      </c>
      <c r="D23" s="10" t="s">
        <v>65</v>
      </c>
      <c r="E23" s="12"/>
      <c r="F23" s="10">
        <v>4</v>
      </c>
      <c r="G23" s="14"/>
    </row>
    <row r="24" customFormat="1" ht="22" customHeight="1" spans="1:7">
      <c r="A24" s="8">
        <v>22</v>
      </c>
      <c r="B24" s="9">
        <v>46107</v>
      </c>
      <c r="C24" s="10" t="s">
        <v>53</v>
      </c>
      <c r="D24" s="10" t="s">
        <v>65</v>
      </c>
      <c r="E24" s="16">
        <v>4</v>
      </c>
      <c r="F24" s="17"/>
      <c r="G24" s="14"/>
    </row>
    <row r="25" customFormat="1" ht="22" customHeight="1" spans="1:7">
      <c r="A25" s="8">
        <v>23</v>
      </c>
      <c r="B25" s="9">
        <v>46107</v>
      </c>
      <c r="C25" s="10" t="s">
        <v>54</v>
      </c>
      <c r="D25" s="10" t="s">
        <v>65</v>
      </c>
      <c r="E25" s="16"/>
      <c r="F25" s="17">
        <v>4</v>
      </c>
      <c r="G25" s="14"/>
    </row>
    <row r="26" customFormat="1" ht="22" customHeight="1" spans="1:7">
      <c r="A26" s="8"/>
      <c r="B26" s="9"/>
      <c r="C26" s="10"/>
      <c r="D26" s="24"/>
      <c r="E26" s="16"/>
      <c r="F26" s="17"/>
      <c r="G26" s="14"/>
    </row>
    <row r="27" customFormat="1" ht="22" customHeight="1" spans="1:7">
      <c r="A27" s="8"/>
      <c r="B27" s="9"/>
      <c r="C27" s="10"/>
      <c r="D27" s="24"/>
      <c r="E27" s="16"/>
      <c r="F27" s="17"/>
      <c r="G27" s="14"/>
    </row>
    <row r="28" customFormat="1" ht="22" customHeight="1" spans="1:7">
      <c r="A28" s="8"/>
      <c r="B28" s="21"/>
      <c r="C28" s="18"/>
      <c r="D28" s="22"/>
      <c r="E28" s="19"/>
      <c r="F28" s="16"/>
      <c r="G28" s="16"/>
    </row>
    <row r="30" ht="13.5" spans="1:7">
      <c r="E30" s="20">
        <f>SUM(E3:E28)</f>
        <v>32</v>
      </c>
      <c r="F30" s="20">
        <f>SUM(F3:F28)</f>
        <v>60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3" sqref="E3:F4"/>
    </sheetView>
  </sheetViews>
  <sheetFormatPr defaultColWidth="9.14285714285714" defaultRowHeight="12" outlineLevelCol="6"/>
  <cols>
    <col min="1" max="1" width="8.14285714285714" customWidth="1"/>
    <col min="2" max="2" width="12.8571428571429" customWidth="1"/>
    <col min="3" max="3" width="15.4285714285714" customWidth="1"/>
    <col min="4" max="4" width="12.1428571428571" customWidth="1"/>
    <col min="5" max="6" width="9.7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46111</v>
      </c>
      <c r="C3" s="10" t="s">
        <v>13</v>
      </c>
      <c r="D3" s="10" t="s">
        <v>63</v>
      </c>
      <c r="E3" s="12">
        <v>3</v>
      </c>
      <c r="F3" s="10"/>
      <c r="G3" s="11" t="s">
        <v>66</v>
      </c>
    </row>
    <row r="4" ht="22" customHeight="1" spans="1:7">
      <c r="A4" s="8">
        <v>2</v>
      </c>
      <c r="B4" s="9">
        <v>46111</v>
      </c>
      <c r="C4" s="10" t="s">
        <v>16</v>
      </c>
      <c r="D4" s="10" t="s">
        <v>63</v>
      </c>
      <c r="E4" s="12"/>
      <c r="F4" s="10">
        <v>3</v>
      </c>
      <c r="G4" s="13"/>
    </row>
    <row r="5" ht="22" customHeight="1" spans="1:7">
      <c r="A5" s="8">
        <v>3</v>
      </c>
      <c r="B5" s="9">
        <v>46111</v>
      </c>
      <c r="C5" s="10" t="s">
        <v>17</v>
      </c>
      <c r="D5" s="10" t="s">
        <v>63</v>
      </c>
      <c r="E5" s="12"/>
      <c r="F5" s="10">
        <v>3</v>
      </c>
      <c r="G5" s="13"/>
    </row>
    <row r="6" ht="22" customHeight="1" spans="1:7">
      <c r="A6" s="8">
        <v>4</v>
      </c>
      <c r="B6" s="9">
        <v>46111</v>
      </c>
      <c r="C6" s="10" t="s">
        <v>18</v>
      </c>
      <c r="D6" s="10" t="s">
        <v>63</v>
      </c>
      <c r="E6" s="10">
        <v>3</v>
      </c>
      <c r="F6" s="12"/>
      <c r="G6" s="13"/>
    </row>
    <row r="7" ht="22" customHeight="1" spans="1:7">
      <c r="A7" s="8">
        <v>5</v>
      </c>
      <c r="B7" s="9">
        <v>46111</v>
      </c>
      <c r="C7" s="10" t="s">
        <v>19</v>
      </c>
      <c r="D7" s="10" t="s">
        <v>63</v>
      </c>
      <c r="E7" s="12"/>
      <c r="F7" s="10">
        <v>3</v>
      </c>
      <c r="G7" s="13"/>
    </row>
    <row r="8" ht="22" customHeight="1" spans="1:7">
      <c r="A8" s="8">
        <v>6</v>
      </c>
      <c r="B8" s="9">
        <v>46111</v>
      </c>
      <c r="C8" s="10" t="s">
        <v>20</v>
      </c>
      <c r="D8" s="10" t="s">
        <v>63</v>
      </c>
      <c r="E8" s="12"/>
      <c r="F8" s="10">
        <v>3</v>
      </c>
      <c r="G8" s="13"/>
    </row>
    <row r="9" ht="22" customHeight="1" spans="1:7">
      <c r="A9" s="8">
        <v>7</v>
      </c>
      <c r="B9" s="9">
        <v>46111</v>
      </c>
      <c r="C9" s="10" t="s">
        <v>21</v>
      </c>
      <c r="D9" s="10" t="s">
        <v>63</v>
      </c>
      <c r="E9" s="12"/>
      <c r="F9" s="10">
        <v>3</v>
      </c>
      <c r="G9" s="14"/>
    </row>
    <row r="10" customFormat="1" ht="22" customHeight="1" spans="1:7">
      <c r="A10" s="8">
        <v>8</v>
      </c>
      <c r="B10" s="9">
        <v>46111</v>
      </c>
      <c r="C10" s="10" t="s">
        <v>22</v>
      </c>
      <c r="D10" s="10" t="s">
        <v>63</v>
      </c>
      <c r="E10" s="10">
        <v>3</v>
      </c>
      <c r="F10" s="12"/>
      <c r="G10" s="14"/>
    </row>
    <row r="11" customFormat="1" ht="22" customHeight="1" spans="1:7">
      <c r="A11" s="8">
        <v>9</v>
      </c>
      <c r="B11" s="9">
        <v>46111</v>
      </c>
      <c r="C11" s="10" t="s">
        <v>24</v>
      </c>
      <c r="D11" s="10" t="s">
        <v>63</v>
      </c>
      <c r="E11" s="10">
        <v>3</v>
      </c>
      <c r="F11" s="12"/>
      <c r="G11" s="14"/>
    </row>
    <row r="12" customFormat="1" ht="22" customHeight="1" spans="1:7">
      <c r="A12" s="8">
        <v>10</v>
      </c>
      <c r="B12" s="9">
        <v>46111</v>
      </c>
      <c r="C12" s="10" t="s">
        <v>25</v>
      </c>
      <c r="D12" s="10" t="s">
        <v>63</v>
      </c>
      <c r="E12" s="10">
        <v>3</v>
      </c>
      <c r="F12" s="12"/>
      <c r="G12" s="14"/>
    </row>
    <row r="13" customFormat="1" ht="22" customHeight="1" spans="1:7">
      <c r="A13" s="8">
        <v>11</v>
      </c>
      <c r="B13" s="9">
        <v>46111</v>
      </c>
      <c r="C13" s="10" t="s">
        <v>26</v>
      </c>
      <c r="D13" s="10" t="s">
        <v>63</v>
      </c>
      <c r="E13" s="10">
        <v>3</v>
      </c>
      <c r="F13" s="12"/>
      <c r="G13" s="14"/>
    </row>
    <row r="14" customFormat="1" ht="22" customHeight="1" spans="1:7">
      <c r="A14" s="8">
        <v>12</v>
      </c>
      <c r="B14" s="9">
        <v>46111</v>
      </c>
      <c r="C14" s="10" t="s">
        <v>27</v>
      </c>
      <c r="D14" s="10" t="s">
        <v>63</v>
      </c>
      <c r="E14" s="12"/>
      <c r="F14" s="10">
        <v>3</v>
      </c>
      <c r="G14" s="14"/>
    </row>
    <row r="15" customFormat="1" ht="22" customHeight="1" spans="1:7">
      <c r="A15" s="8">
        <v>13</v>
      </c>
      <c r="B15" s="9">
        <v>46111</v>
      </c>
      <c r="C15" s="10" t="s">
        <v>28</v>
      </c>
      <c r="D15" s="10" t="s">
        <v>63</v>
      </c>
      <c r="E15" s="12"/>
      <c r="F15" s="10">
        <v>3</v>
      </c>
      <c r="G15" s="14"/>
    </row>
    <row r="16" customFormat="1" ht="22" customHeight="1" spans="1:7">
      <c r="A16" s="8">
        <v>14</v>
      </c>
      <c r="B16" s="9">
        <v>46111</v>
      </c>
      <c r="C16" s="10" t="s">
        <v>30</v>
      </c>
      <c r="D16" s="10" t="s">
        <v>63</v>
      </c>
      <c r="E16" s="12"/>
      <c r="F16" s="10">
        <v>3</v>
      </c>
      <c r="G16" s="14"/>
    </row>
    <row r="17" customFormat="1" ht="22" customHeight="1" spans="1:7">
      <c r="A17" s="8">
        <v>15</v>
      </c>
      <c r="B17" s="9">
        <v>46111</v>
      </c>
      <c r="C17" s="10" t="s">
        <v>31</v>
      </c>
      <c r="D17" s="10" t="s">
        <v>63</v>
      </c>
      <c r="E17" s="12"/>
      <c r="F17" s="10">
        <v>3</v>
      </c>
      <c r="G17" s="14"/>
    </row>
    <row r="18" customFormat="1" ht="22" customHeight="1" spans="1:7">
      <c r="A18" s="8">
        <v>16</v>
      </c>
      <c r="B18" s="9">
        <v>46111</v>
      </c>
      <c r="C18" s="10" t="s">
        <v>32</v>
      </c>
      <c r="D18" s="10" t="s">
        <v>63</v>
      </c>
      <c r="E18" s="10">
        <v>3</v>
      </c>
      <c r="F18" s="15"/>
      <c r="G18" s="14"/>
    </row>
    <row r="19" customFormat="1" ht="22" customHeight="1" spans="1:7">
      <c r="A19" s="8">
        <v>17</v>
      </c>
      <c r="B19" s="9">
        <v>46111</v>
      </c>
      <c r="C19" s="10" t="s">
        <v>33</v>
      </c>
      <c r="D19" s="10" t="s">
        <v>63</v>
      </c>
      <c r="E19" s="12"/>
      <c r="F19" s="10">
        <v>3</v>
      </c>
      <c r="G19" s="14"/>
    </row>
    <row r="20" customFormat="1" ht="22" customHeight="1" spans="1:7">
      <c r="A20" s="8">
        <v>18</v>
      </c>
      <c r="B20" s="9">
        <v>46111</v>
      </c>
      <c r="C20" s="10" t="s">
        <v>34</v>
      </c>
      <c r="D20" s="10" t="s">
        <v>63</v>
      </c>
      <c r="E20" s="10">
        <v>3</v>
      </c>
      <c r="F20" s="12"/>
      <c r="G20" s="14"/>
    </row>
    <row r="21" customFormat="1" ht="22" customHeight="1" spans="1:7">
      <c r="A21" s="8">
        <v>19</v>
      </c>
      <c r="B21" s="9">
        <v>46111</v>
      </c>
      <c r="C21" s="10" t="s">
        <v>35</v>
      </c>
      <c r="D21" s="10" t="s">
        <v>63</v>
      </c>
      <c r="E21" s="12"/>
      <c r="F21" s="10">
        <v>3</v>
      </c>
      <c r="G21" s="14"/>
    </row>
    <row r="22" customFormat="1" ht="22" customHeight="1" spans="1:7">
      <c r="A22" s="8">
        <v>20</v>
      </c>
      <c r="B22" s="9">
        <v>46111</v>
      </c>
      <c r="C22" s="10" t="s">
        <v>36</v>
      </c>
      <c r="D22" s="10" t="s">
        <v>63</v>
      </c>
      <c r="E22" s="12"/>
      <c r="F22" s="10">
        <v>3</v>
      </c>
      <c r="G22" s="14"/>
    </row>
    <row r="23" customFormat="1" ht="22" customHeight="1" spans="1:7">
      <c r="A23" s="8">
        <v>21</v>
      </c>
      <c r="B23" s="9">
        <v>46111</v>
      </c>
      <c r="C23" s="10" t="s">
        <v>37</v>
      </c>
      <c r="D23" s="10" t="s">
        <v>63</v>
      </c>
      <c r="E23" s="12"/>
      <c r="F23" s="10">
        <v>3</v>
      </c>
      <c r="G23" s="14"/>
    </row>
    <row r="24" customFormat="1" ht="22" customHeight="1" spans="1:7">
      <c r="A24" s="8">
        <v>22</v>
      </c>
      <c r="B24" s="9">
        <v>46111</v>
      </c>
      <c r="C24" s="10" t="s">
        <v>53</v>
      </c>
      <c r="D24" s="10" t="s">
        <v>63</v>
      </c>
      <c r="E24" s="16">
        <v>3</v>
      </c>
      <c r="F24" s="17"/>
      <c r="G24" s="14"/>
    </row>
    <row r="25" customFormat="1" ht="22" customHeight="1" spans="1:7">
      <c r="A25" s="8">
        <v>23</v>
      </c>
      <c r="B25" s="9">
        <v>46111</v>
      </c>
      <c r="C25" s="10" t="s">
        <v>54</v>
      </c>
      <c r="D25" s="10" t="s">
        <v>63</v>
      </c>
      <c r="E25" s="16"/>
      <c r="F25" s="17">
        <v>3</v>
      </c>
      <c r="G25" s="14"/>
    </row>
    <row r="26" customFormat="1" ht="22" customHeight="1" spans="1:7">
      <c r="A26" s="8"/>
      <c r="B26" s="21"/>
      <c r="C26" s="18"/>
      <c r="D26" s="22"/>
      <c r="E26" s="19"/>
      <c r="F26" s="16"/>
      <c r="G26" s="16"/>
    </row>
    <row r="27" customFormat="1" ht="13.5" spans="1:7">
      <c r="E27" s="20">
        <f>SUM(E3:E26)</f>
        <v>27</v>
      </c>
      <c r="F27" s="20">
        <f>SUM(F3:F26)</f>
        <v>42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F40" sqref="F40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46114</v>
      </c>
      <c r="C3" s="10" t="s">
        <v>13</v>
      </c>
      <c r="D3" s="10" t="s">
        <v>65</v>
      </c>
      <c r="E3" s="23"/>
      <c r="F3" s="10">
        <v>4</v>
      </c>
      <c r="G3" s="11" t="s">
        <v>67</v>
      </c>
    </row>
    <row r="4" ht="22" customHeight="1" spans="1:7">
      <c r="A4" s="8">
        <v>2</v>
      </c>
      <c r="B4" s="9">
        <v>46114</v>
      </c>
      <c r="C4" s="10" t="s">
        <v>16</v>
      </c>
      <c r="D4" s="10" t="s">
        <v>65</v>
      </c>
      <c r="E4" s="12"/>
      <c r="F4" s="10">
        <v>4</v>
      </c>
      <c r="G4" s="13"/>
    </row>
    <row r="5" ht="22" customHeight="1" spans="1:7">
      <c r="A5" s="8">
        <v>3</v>
      </c>
      <c r="B5" s="9">
        <v>46114</v>
      </c>
      <c r="C5" s="10" t="s">
        <v>17</v>
      </c>
      <c r="D5" s="10" t="s">
        <v>65</v>
      </c>
      <c r="E5" s="12"/>
      <c r="F5" s="10">
        <v>4</v>
      </c>
      <c r="G5" s="13"/>
    </row>
    <row r="6" ht="22" customHeight="1" spans="1:7">
      <c r="A6" s="8">
        <v>4</v>
      </c>
      <c r="B6" s="9">
        <v>46114</v>
      </c>
      <c r="C6" s="10" t="s">
        <v>18</v>
      </c>
      <c r="D6" s="10" t="s">
        <v>65</v>
      </c>
      <c r="E6" s="10">
        <v>4</v>
      </c>
      <c r="F6" s="12"/>
      <c r="G6" s="13"/>
    </row>
    <row r="7" ht="22" customHeight="1" spans="1:7">
      <c r="A7" s="8">
        <v>5</v>
      </c>
      <c r="B7" s="9">
        <v>46114</v>
      </c>
      <c r="C7" s="10" t="s">
        <v>19</v>
      </c>
      <c r="D7" s="10" t="s">
        <v>65</v>
      </c>
      <c r="E7" s="12"/>
      <c r="F7" s="10">
        <v>4</v>
      </c>
      <c r="G7" s="13"/>
    </row>
    <row r="8" ht="22" customHeight="1" spans="1:7">
      <c r="A8" s="8">
        <v>6</v>
      </c>
      <c r="B8" s="9">
        <v>46114</v>
      </c>
      <c r="C8" s="10" t="s">
        <v>20</v>
      </c>
      <c r="D8" s="10" t="s">
        <v>65</v>
      </c>
      <c r="E8" s="12"/>
      <c r="F8" s="10">
        <v>4</v>
      </c>
      <c r="G8" s="13"/>
    </row>
    <row r="9" ht="22" customHeight="1" spans="1:7">
      <c r="A9" s="8">
        <v>7</v>
      </c>
      <c r="B9" s="9">
        <v>46114</v>
      </c>
      <c r="C9" s="10" t="s">
        <v>21</v>
      </c>
      <c r="D9" s="10" t="s">
        <v>65</v>
      </c>
      <c r="E9" s="12"/>
      <c r="F9" s="10">
        <v>4</v>
      </c>
      <c r="G9" s="14"/>
    </row>
    <row r="10" customFormat="1" ht="22" customHeight="1" spans="1:7">
      <c r="A10" s="8">
        <v>8</v>
      </c>
      <c r="B10" s="9">
        <v>46114</v>
      </c>
      <c r="C10" s="10" t="s">
        <v>22</v>
      </c>
      <c r="D10" s="10" t="s">
        <v>65</v>
      </c>
      <c r="E10" s="10">
        <v>4</v>
      </c>
      <c r="F10" s="12"/>
      <c r="G10" s="14"/>
    </row>
    <row r="11" customFormat="1" ht="22" customHeight="1" spans="1:7">
      <c r="A11" s="8">
        <v>9</v>
      </c>
      <c r="B11" s="9">
        <v>46114</v>
      </c>
      <c r="C11" s="10" t="s">
        <v>24</v>
      </c>
      <c r="D11" s="10" t="s">
        <v>65</v>
      </c>
      <c r="E11" s="10">
        <v>4</v>
      </c>
      <c r="F11" s="12"/>
      <c r="G11" s="14"/>
    </row>
    <row r="12" customFormat="1" ht="22" customHeight="1" spans="1:7">
      <c r="A12" s="8">
        <v>10</v>
      </c>
      <c r="B12" s="9">
        <v>46114</v>
      </c>
      <c r="C12" s="10" t="s">
        <v>25</v>
      </c>
      <c r="D12" s="10" t="s">
        <v>65</v>
      </c>
      <c r="E12" s="10">
        <v>4</v>
      </c>
      <c r="F12" s="12"/>
      <c r="G12" s="14"/>
    </row>
    <row r="13" customFormat="1" ht="22" customHeight="1" spans="1:7">
      <c r="A13" s="8">
        <v>11</v>
      </c>
      <c r="B13" s="9">
        <v>46114</v>
      </c>
      <c r="C13" s="10" t="s">
        <v>26</v>
      </c>
      <c r="D13" s="10" t="s">
        <v>65</v>
      </c>
      <c r="E13" s="10">
        <v>4</v>
      </c>
      <c r="F13" s="12"/>
      <c r="G13" s="14"/>
    </row>
    <row r="14" customFormat="1" ht="22" customHeight="1" spans="1:7">
      <c r="A14" s="8">
        <v>12</v>
      </c>
      <c r="B14" s="9">
        <v>46114</v>
      </c>
      <c r="C14" s="10" t="s">
        <v>27</v>
      </c>
      <c r="D14" s="10" t="s">
        <v>65</v>
      </c>
      <c r="E14" s="12"/>
      <c r="F14" s="10">
        <v>4</v>
      </c>
      <c r="G14" s="14"/>
    </row>
    <row r="15" customFormat="1" ht="22" customHeight="1" spans="1:7">
      <c r="A15" s="8">
        <v>13</v>
      </c>
      <c r="B15" s="9">
        <v>46114</v>
      </c>
      <c r="C15" s="10" t="s">
        <v>28</v>
      </c>
      <c r="D15" s="10" t="s">
        <v>65</v>
      </c>
      <c r="E15" s="12"/>
      <c r="F15" s="10">
        <v>4</v>
      </c>
      <c r="G15" s="14"/>
    </row>
    <row r="16" customFormat="1" ht="22" customHeight="1" spans="1:7">
      <c r="A16" s="8">
        <v>14</v>
      </c>
      <c r="B16" s="9">
        <v>46114</v>
      </c>
      <c r="C16" s="10" t="s">
        <v>30</v>
      </c>
      <c r="D16" s="10" t="s">
        <v>65</v>
      </c>
      <c r="E16" s="12"/>
      <c r="F16" s="10">
        <v>4</v>
      </c>
      <c r="G16" s="14"/>
    </row>
    <row r="17" customFormat="1" ht="22" customHeight="1" spans="1:7">
      <c r="A17" s="8">
        <v>15</v>
      </c>
      <c r="B17" s="9">
        <v>46114</v>
      </c>
      <c r="C17" s="10" t="s">
        <v>31</v>
      </c>
      <c r="D17" s="10" t="s">
        <v>65</v>
      </c>
      <c r="E17" s="12"/>
      <c r="F17" s="10">
        <v>4</v>
      </c>
      <c r="G17" s="14"/>
    </row>
    <row r="18" customFormat="1" ht="22" customHeight="1" spans="1:7">
      <c r="A18" s="8">
        <v>16</v>
      </c>
      <c r="B18" s="9">
        <v>46114</v>
      </c>
      <c r="C18" s="10" t="s">
        <v>32</v>
      </c>
      <c r="D18" s="10" t="s">
        <v>65</v>
      </c>
      <c r="E18" s="10">
        <v>4</v>
      </c>
      <c r="F18" s="15"/>
      <c r="G18" s="14"/>
    </row>
    <row r="19" customFormat="1" ht="22" customHeight="1" spans="1:7">
      <c r="A19" s="8">
        <v>17</v>
      </c>
      <c r="B19" s="9">
        <v>46114</v>
      </c>
      <c r="C19" s="10" t="s">
        <v>33</v>
      </c>
      <c r="D19" s="10" t="s">
        <v>65</v>
      </c>
      <c r="E19" s="12"/>
      <c r="F19" s="10">
        <v>4</v>
      </c>
      <c r="G19" s="14"/>
    </row>
    <row r="20" customFormat="1" ht="22" customHeight="1" spans="1:7">
      <c r="A20" s="8">
        <v>18</v>
      </c>
      <c r="B20" s="9">
        <v>46114</v>
      </c>
      <c r="C20" s="10" t="s">
        <v>34</v>
      </c>
      <c r="D20" s="10" t="s">
        <v>65</v>
      </c>
      <c r="E20" s="10">
        <v>4</v>
      </c>
      <c r="F20" s="12"/>
      <c r="G20" s="14"/>
    </row>
    <row r="21" customFormat="1" ht="22" customHeight="1" spans="1:7">
      <c r="A21" s="8">
        <v>19</v>
      </c>
      <c r="B21" s="9">
        <v>46114</v>
      </c>
      <c r="C21" s="10" t="s">
        <v>35</v>
      </c>
      <c r="D21" s="10" t="s">
        <v>65</v>
      </c>
      <c r="E21" s="12"/>
      <c r="F21" s="10">
        <v>4</v>
      </c>
      <c r="G21" s="14"/>
    </row>
    <row r="22" customFormat="1" ht="22" customHeight="1" spans="1:7">
      <c r="A22" s="8">
        <v>20</v>
      </c>
      <c r="B22" s="9">
        <v>46114</v>
      </c>
      <c r="C22" s="10" t="s">
        <v>36</v>
      </c>
      <c r="D22" s="10" t="s">
        <v>65</v>
      </c>
      <c r="E22" s="12"/>
      <c r="F22" s="10">
        <v>4</v>
      </c>
      <c r="G22" s="14"/>
    </row>
    <row r="23" customFormat="1" ht="22" customHeight="1" spans="1:7">
      <c r="A23" s="8">
        <v>21</v>
      </c>
      <c r="B23" s="9">
        <v>46114</v>
      </c>
      <c r="C23" s="10" t="s">
        <v>37</v>
      </c>
      <c r="D23" s="10" t="s">
        <v>65</v>
      </c>
      <c r="E23" s="12"/>
      <c r="F23" s="10">
        <v>4</v>
      </c>
      <c r="G23" s="14"/>
    </row>
    <row r="24" customFormat="1" ht="22" customHeight="1" spans="1:7">
      <c r="A24" s="8">
        <v>22</v>
      </c>
      <c r="B24" s="9">
        <v>46114</v>
      </c>
      <c r="C24" s="10" t="s">
        <v>53</v>
      </c>
      <c r="D24" s="10" t="s">
        <v>65</v>
      </c>
      <c r="E24" s="16">
        <v>4</v>
      </c>
      <c r="F24" s="17"/>
      <c r="G24" s="14"/>
    </row>
    <row r="25" customFormat="1" ht="22" customHeight="1" spans="1:7">
      <c r="A25" s="8">
        <v>23</v>
      </c>
      <c r="B25" s="9">
        <v>46114</v>
      </c>
      <c r="C25" s="10" t="s">
        <v>54</v>
      </c>
      <c r="D25" s="10" t="s">
        <v>65</v>
      </c>
      <c r="E25" s="16"/>
      <c r="F25" s="17">
        <v>4</v>
      </c>
      <c r="G25" s="14"/>
    </row>
    <row r="26" customFormat="1" ht="22" customHeight="1" spans="1:7">
      <c r="A26" s="8"/>
      <c r="B26" s="21"/>
      <c r="C26" s="18"/>
      <c r="D26" s="22"/>
      <c r="E26" s="19"/>
      <c r="F26" s="16"/>
      <c r="G26" s="16"/>
    </row>
    <row r="28" ht="13.5" spans="1:7">
      <c r="E28" s="20">
        <f>SUM(E3:E26)</f>
        <v>32</v>
      </c>
      <c r="F28" s="20">
        <f>SUM(F3:F26)</f>
        <v>60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G3" sqref="G3"/>
    </sheetView>
  </sheetViews>
  <sheetFormatPr defaultColWidth="9.14285714285714" defaultRowHeight="12" outlineLevelCol="6"/>
  <cols>
    <col min="1" max="1" width="8.14285714285714" customWidth="1"/>
    <col min="2" max="2" width="12.8571428571429" customWidth="1"/>
    <col min="3" max="3" width="15.4285714285714" customWidth="1"/>
    <col min="4" max="4" width="12.1428571428571" customWidth="1"/>
    <col min="5" max="6" width="9.7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46119</v>
      </c>
      <c r="C3" s="10" t="s">
        <v>13</v>
      </c>
      <c r="D3" s="10" t="s">
        <v>63</v>
      </c>
      <c r="E3" s="12">
        <v>3</v>
      </c>
      <c r="F3" s="10"/>
      <c r="G3" s="11" t="s">
        <v>66</v>
      </c>
    </row>
    <row r="4" ht="22" customHeight="1" spans="1:7">
      <c r="A4" s="8">
        <v>2</v>
      </c>
      <c r="B4" s="9">
        <v>46119</v>
      </c>
      <c r="C4" s="10" t="s">
        <v>16</v>
      </c>
      <c r="D4" s="10" t="s">
        <v>63</v>
      </c>
      <c r="E4" s="12"/>
      <c r="F4" s="10">
        <v>3</v>
      </c>
      <c r="G4" s="13"/>
    </row>
    <row r="5" ht="22" customHeight="1" spans="1:7">
      <c r="A5" s="8">
        <v>3</v>
      </c>
      <c r="B5" s="9">
        <v>46119</v>
      </c>
      <c r="C5" s="10" t="s">
        <v>17</v>
      </c>
      <c r="D5" s="10" t="s">
        <v>63</v>
      </c>
      <c r="E5" s="12"/>
      <c r="F5" s="10">
        <v>3</v>
      </c>
      <c r="G5" s="13"/>
    </row>
    <row r="6" ht="22" customHeight="1" spans="1:7">
      <c r="A6" s="8">
        <v>4</v>
      </c>
      <c r="B6" s="9">
        <v>46119</v>
      </c>
      <c r="C6" s="10" t="s">
        <v>18</v>
      </c>
      <c r="D6" s="10" t="s">
        <v>63</v>
      </c>
      <c r="E6" s="10">
        <v>3</v>
      </c>
      <c r="F6" s="12"/>
      <c r="G6" s="13"/>
    </row>
    <row r="7" ht="22" customHeight="1" spans="1:7">
      <c r="A7" s="8">
        <v>5</v>
      </c>
      <c r="B7" s="9">
        <v>46119</v>
      </c>
      <c r="C7" s="10" t="s">
        <v>19</v>
      </c>
      <c r="D7" s="10" t="s">
        <v>63</v>
      </c>
      <c r="E7" s="12"/>
      <c r="F7" s="10">
        <v>3</v>
      </c>
      <c r="G7" s="13"/>
    </row>
    <row r="8" ht="22" customHeight="1" spans="1:7">
      <c r="A8" s="8">
        <v>6</v>
      </c>
      <c r="B8" s="9">
        <v>46119</v>
      </c>
      <c r="C8" s="10" t="s">
        <v>20</v>
      </c>
      <c r="D8" s="10" t="s">
        <v>63</v>
      </c>
      <c r="E8" s="12"/>
      <c r="F8" s="10">
        <v>3</v>
      </c>
      <c r="G8" s="13"/>
    </row>
    <row r="9" ht="22" customHeight="1" spans="1:7">
      <c r="A9" s="8">
        <v>7</v>
      </c>
      <c r="B9" s="9">
        <v>46119</v>
      </c>
      <c r="C9" s="10" t="s">
        <v>21</v>
      </c>
      <c r="D9" s="10" t="s">
        <v>63</v>
      </c>
      <c r="E9" s="12"/>
      <c r="F9" s="10">
        <v>3</v>
      </c>
      <c r="G9" s="14"/>
    </row>
    <row r="10" customFormat="1" ht="22" customHeight="1" spans="1:7">
      <c r="A10" s="8">
        <v>8</v>
      </c>
      <c r="B10" s="9">
        <v>46119</v>
      </c>
      <c r="C10" s="10" t="s">
        <v>22</v>
      </c>
      <c r="D10" s="10" t="s">
        <v>63</v>
      </c>
      <c r="E10" s="10">
        <v>3</v>
      </c>
      <c r="F10" s="12"/>
      <c r="G10" s="14"/>
    </row>
    <row r="11" customFormat="1" ht="22" customHeight="1" spans="1:7">
      <c r="A11" s="8">
        <v>9</v>
      </c>
      <c r="B11" s="9">
        <v>46119</v>
      </c>
      <c r="C11" s="10" t="s">
        <v>24</v>
      </c>
      <c r="D11" s="10" t="s">
        <v>63</v>
      </c>
      <c r="E11" s="10">
        <v>3</v>
      </c>
      <c r="F11" s="12"/>
      <c r="G11" s="14"/>
    </row>
    <row r="12" customFormat="1" ht="22" customHeight="1" spans="1:7">
      <c r="A12" s="8">
        <v>10</v>
      </c>
      <c r="B12" s="9">
        <v>46119</v>
      </c>
      <c r="C12" s="10" t="s">
        <v>25</v>
      </c>
      <c r="D12" s="10" t="s">
        <v>63</v>
      </c>
      <c r="E12" s="10">
        <v>3</v>
      </c>
      <c r="F12" s="12"/>
      <c r="G12" s="14"/>
    </row>
    <row r="13" customFormat="1" ht="22" customHeight="1" spans="1:7">
      <c r="A13" s="8">
        <v>11</v>
      </c>
      <c r="B13" s="9">
        <v>46119</v>
      </c>
      <c r="C13" s="10" t="s">
        <v>26</v>
      </c>
      <c r="D13" s="10" t="s">
        <v>63</v>
      </c>
      <c r="E13" s="10">
        <v>3</v>
      </c>
      <c r="F13" s="12"/>
      <c r="G13" s="14"/>
    </row>
    <row r="14" customFormat="1" ht="22" customHeight="1" spans="1:7">
      <c r="A14" s="8">
        <v>12</v>
      </c>
      <c r="B14" s="9">
        <v>46119</v>
      </c>
      <c r="C14" s="10" t="s">
        <v>27</v>
      </c>
      <c r="D14" s="10" t="s">
        <v>63</v>
      </c>
      <c r="E14" s="12"/>
      <c r="F14" s="10">
        <v>3</v>
      </c>
      <c r="G14" s="14"/>
    </row>
    <row r="15" customFormat="1" ht="22" customHeight="1" spans="1:7">
      <c r="A15" s="8">
        <v>13</v>
      </c>
      <c r="B15" s="9">
        <v>46119</v>
      </c>
      <c r="C15" s="10" t="s">
        <v>28</v>
      </c>
      <c r="D15" s="10" t="s">
        <v>63</v>
      </c>
      <c r="E15" s="12"/>
      <c r="F15" s="10">
        <v>3</v>
      </c>
      <c r="G15" s="14"/>
    </row>
    <row r="16" customFormat="1" ht="22" customHeight="1" spans="1:7">
      <c r="A16" s="8">
        <v>14</v>
      </c>
      <c r="B16" s="9">
        <v>46119</v>
      </c>
      <c r="C16" s="10" t="s">
        <v>30</v>
      </c>
      <c r="D16" s="10" t="s">
        <v>63</v>
      </c>
      <c r="E16" s="12"/>
      <c r="F16" s="10">
        <v>3</v>
      </c>
      <c r="G16" s="14"/>
    </row>
    <row r="17" customFormat="1" ht="22" customHeight="1" spans="1:7">
      <c r="A17" s="8">
        <v>15</v>
      </c>
      <c r="B17" s="9">
        <v>46119</v>
      </c>
      <c r="C17" s="10" t="s">
        <v>31</v>
      </c>
      <c r="D17" s="10" t="s">
        <v>63</v>
      </c>
      <c r="E17" s="12"/>
      <c r="F17" s="10">
        <v>3</v>
      </c>
      <c r="G17" s="14"/>
    </row>
    <row r="18" customFormat="1" ht="22" customHeight="1" spans="1:7">
      <c r="A18" s="8">
        <v>16</v>
      </c>
      <c r="B18" s="9">
        <v>46119</v>
      </c>
      <c r="C18" s="10" t="s">
        <v>32</v>
      </c>
      <c r="D18" s="10" t="s">
        <v>63</v>
      </c>
      <c r="E18" s="10">
        <v>3</v>
      </c>
      <c r="F18" s="15"/>
      <c r="G18" s="14"/>
    </row>
    <row r="19" customFormat="1" ht="22" customHeight="1" spans="1:7">
      <c r="A19" s="8">
        <v>17</v>
      </c>
      <c r="B19" s="9">
        <v>46119</v>
      </c>
      <c r="C19" s="10" t="s">
        <v>33</v>
      </c>
      <c r="D19" s="10" t="s">
        <v>63</v>
      </c>
      <c r="E19" s="12"/>
      <c r="F19" s="10">
        <v>3</v>
      </c>
      <c r="G19" s="14"/>
    </row>
    <row r="20" customFormat="1" ht="22" customHeight="1" spans="1:7">
      <c r="A20" s="8">
        <v>18</v>
      </c>
      <c r="B20" s="9">
        <v>46119</v>
      </c>
      <c r="C20" s="10" t="s">
        <v>34</v>
      </c>
      <c r="D20" s="10" t="s">
        <v>63</v>
      </c>
      <c r="E20" s="10">
        <v>3</v>
      </c>
      <c r="F20" s="12"/>
      <c r="G20" s="14"/>
    </row>
    <row r="21" customFormat="1" ht="22" customHeight="1" spans="1:7">
      <c r="A21" s="8">
        <v>19</v>
      </c>
      <c r="B21" s="9">
        <v>46119</v>
      </c>
      <c r="C21" s="10" t="s">
        <v>35</v>
      </c>
      <c r="D21" s="10" t="s">
        <v>63</v>
      </c>
      <c r="E21" s="12"/>
      <c r="F21" s="10">
        <v>3</v>
      </c>
      <c r="G21" s="14"/>
    </row>
    <row r="22" customFormat="1" ht="22" customHeight="1" spans="1:7">
      <c r="A22" s="8">
        <v>20</v>
      </c>
      <c r="B22" s="9">
        <v>46119</v>
      </c>
      <c r="C22" s="10" t="s">
        <v>36</v>
      </c>
      <c r="D22" s="10" t="s">
        <v>63</v>
      </c>
      <c r="E22" s="12"/>
      <c r="F22" s="10">
        <v>3</v>
      </c>
      <c r="G22" s="14"/>
    </row>
    <row r="23" customFormat="1" ht="22" customHeight="1" spans="1:7">
      <c r="A23" s="8">
        <v>21</v>
      </c>
      <c r="B23" s="9">
        <v>46119</v>
      </c>
      <c r="C23" s="10" t="s">
        <v>37</v>
      </c>
      <c r="D23" s="10" t="s">
        <v>63</v>
      </c>
      <c r="E23" s="12"/>
      <c r="F23" s="10">
        <v>3</v>
      </c>
      <c r="G23" s="14"/>
    </row>
    <row r="24" customFormat="1" ht="22" customHeight="1" spans="1:7">
      <c r="A24" s="8">
        <v>22</v>
      </c>
      <c r="B24" s="9">
        <v>46119</v>
      </c>
      <c r="C24" s="10" t="s">
        <v>53</v>
      </c>
      <c r="D24" s="10" t="s">
        <v>63</v>
      </c>
      <c r="E24" s="16">
        <v>3</v>
      </c>
      <c r="F24" s="17"/>
      <c r="G24" s="14"/>
    </row>
    <row r="25" customFormat="1" ht="22" customHeight="1" spans="1:7">
      <c r="A25" s="8">
        <v>23</v>
      </c>
      <c r="B25" s="9">
        <v>46119</v>
      </c>
      <c r="C25" s="10" t="s">
        <v>54</v>
      </c>
      <c r="D25" s="10" t="s">
        <v>63</v>
      </c>
      <c r="E25" s="16"/>
      <c r="F25" s="17">
        <v>3</v>
      </c>
      <c r="G25" s="14"/>
    </row>
    <row r="26" customFormat="1" ht="22" customHeight="1" spans="1:7">
      <c r="A26" s="8"/>
      <c r="B26" s="21"/>
      <c r="C26" s="18"/>
      <c r="D26" s="22"/>
      <c r="E26" s="19"/>
      <c r="F26" s="16"/>
      <c r="G26" s="16"/>
    </row>
    <row r="27" customFormat="1" ht="13.5" spans="1:7">
      <c r="E27" s="20">
        <f>SUM(E3:E26)</f>
        <v>27</v>
      </c>
      <c r="F27" s="20">
        <f>SUM(F3:F26)</f>
        <v>42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pane ySplit="2" topLeftCell="A3" activePane="bottomLeft" state="frozen"/>
      <selection/>
      <selection pane="bottomLeft" activeCell="A2" sqref="$A1:$XFD2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16.571428571428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46121</v>
      </c>
      <c r="C3" s="10" t="s">
        <v>13</v>
      </c>
      <c r="D3" s="10" t="s">
        <v>65</v>
      </c>
      <c r="E3" s="10">
        <v>4</v>
      </c>
      <c r="F3" s="10"/>
      <c r="G3" s="11" t="s">
        <v>66</v>
      </c>
    </row>
    <row r="4" ht="22" customHeight="1" spans="1:7">
      <c r="A4" s="8">
        <v>2</v>
      </c>
      <c r="B4" s="9">
        <v>46121</v>
      </c>
      <c r="C4" s="10" t="s">
        <v>16</v>
      </c>
      <c r="D4" s="10" t="s">
        <v>65</v>
      </c>
      <c r="E4" s="12"/>
      <c r="F4" s="10">
        <v>4</v>
      </c>
      <c r="G4" s="13"/>
    </row>
    <row r="5" ht="22" customHeight="1" spans="1:7">
      <c r="A5" s="8">
        <v>3</v>
      </c>
      <c r="B5" s="9">
        <v>46121</v>
      </c>
      <c r="C5" s="10" t="s">
        <v>17</v>
      </c>
      <c r="D5" s="10" t="s">
        <v>65</v>
      </c>
      <c r="E5" s="12"/>
      <c r="F5" s="10">
        <v>4</v>
      </c>
      <c r="G5" s="13"/>
    </row>
    <row r="6" ht="22" customHeight="1" spans="1:7">
      <c r="A6" s="8">
        <v>4</v>
      </c>
      <c r="B6" s="9">
        <v>46121</v>
      </c>
      <c r="C6" s="10" t="s">
        <v>18</v>
      </c>
      <c r="D6" s="10" t="s">
        <v>65</v>
      </c>
      <c r="E6" s="10">
        <v>4</v>
      </c>
      <c r="F6" s="12"/>
      <c r="G6" s="13"/>
    </row>
    <row r="7" ht="22" customHeight="1" spans="1:7">
      <c r="A7" s="8">
        <v>5</v>
      </c>
      <c r="B7" s="9">
        <v>46121</v>
      </c>
      <c r="C7" s="10" t="s">
        <v>19</v>
      </c>
      <c r="D7" s="10" t="s">
        <v>65</v>
      </c>
      <c r="E7" s="12"/>
      <c r="F7" s="10">
        <v>4</v>
      </c>
      <c r="G7" s="13"/>
    </row>
    <row r="8" ht="22" customHeight="1" spans="1:7">
      <c r="A8" s="8">
        <v>6</v>
      </c>
      <c r="B8" s="9">
        <v>46121</v>
      </c>
      <c r="C8" s="10" t="s">
        <v>20</v>
      </c>
      <c r="D8" s="10" t="s">
        <v>65</v>
      </c>
      <c r="E8" s="12"/>
      <c r="F8" s="10">
        <v>4</v>
      </c>
      <c r="G8" s="13"/>
    </row>
    <row r="9" ht="22" customHeight="1" spans="1:7">
      <c r="A9" s="8">
        <v>7</v>
      </c>
      <c r="B9" s="9">
        <v>46121</v>
      </c>
      <c r="C9" s="10" t="s">
        <v>21</v>
      </c>
      <c r="D9" s="10" t="s">
        <v>65</v>
      </c>
      <c r="E9" s="12"/>
      <c r="F9" s="10">
        <v>4</v>
      </c>
      <c r="G9" s="14"/>
    </row>
    <row r="10" customFormat="1" ht="22" customHeight="1" spans="1:7">
      <c r="A10" s="8">
        <v>8</v>
      </c>
      <c r="B10" s="9">
        <v>46121</v>
      </c>
      <c r="C10" s="10" t="s">
        <v>22</v>
      </c>
      <c r="D10" s="10" t="s">
        <v>65</v>
      </c>
      <c r="E10" s="10">
        <v>4</v>
      </c>
      <c r="F10" s="12"/>
      <c r="G10" s="14"/>
    </row>
    <row r="11" customFormat="1" ht="22" customHeight="1" spans="1:7">
      <c r="A11" s="8">
        <v>9</v>
      </c>
      <c r="B11" s="9">
        <v>46121</v>
      </c>
      <c r="C11" s="10" t="s">
        <v>24</v>
      </c>
      <c r="D11" s="10" t="s">
        <v>65</v>
      </c>
      <c r="E11" s="10">
        <v>4</v>
      </c>
      <c r="F11" s="12"/>
      <c r="G11" s="14"/>
    </row>
    <row r="12" customFormat="1" ht="22" customHeight="1" spans="1:7">
      <c r="A12" s="8">
        <v>10</v>
      </c>
      <c r="B12" s="9">
        <v>46121</v>
      </c>
      <c r="C12" s="10" t="s">
        <v>25</v>
      </c>
      <c r="D12" s="10" t="s">
        <v>65</v>
      </c>
      <c r="E12" s="10">
        <v>4</v>
      </c>
      <c r="F12" s="12"/>
      <c r="G12" s="14"/>
    </row>
    <row r="13" customFormat="1" ht="22" customHeight="1" spans="1:7">
      <c r="A13" s="8">
        <v>11</v>
      </c>
      <c r="B13" s="9">
        <v>46121</v>
      </c>
      <c r="C13" s="10" t="s">
        <v>26</v>
      </c>
      <c r="D13" s="10" t="s">
        <v>65</v>
      </c>
      <c r="E13" s="10">
        <v>4</v>
      </c>
      <c r="F13" s="12"/>
      <c r="G13" s="14"/>
    </row>
    <row r="14" customFormat="1" ht="22" customHeight="1" spans="1:7">
      <c r="A14" s="8">
        <v>12</v>
      </c>
      <c r="B14" s="9">
        <v>46121</v>
      </c>
      <c r="C14" s="10" t="s">
        <v>27</v>
      </c>
      <c r="D14" s="10" t="s">
        <v>65</v>
      </c>
      <c r="E14" s="12"/>
      <c r="F14" s="10">
        <v>4</v>
      </c>
      <c r="G14" s="14"/>
    </row>
    <row r="15" customFormat="1" ht="22" customHeight="1" spans="1:7">
      <c r="A15" s="8">
        <v>13</v>
      </c>
      <c r="B15" s="9">
        <v>46121</v>
      </c>
      <c r="C15" s="10" t="s">
        <v>28</v>
      </c>
      <c r="D15" s="10" t="s">
        <v>65</v>
      </c>
      <c r="E15" s="12"/>
      <c r="F15" s="10">
        <v>4</v>
      </c>
      <c r="G15" s="14"/>
    </row>
    <row r="16" customFormat="1" ht="22" customHeight="1" spans="1:7">
      <c r="A16" s="8">
        <v>14</v>
      </c>
      <c r="B16" s="9">
        <v>46121</v>
      </c>
      <c r="C16" s="10" t="s">
        <v>30</v>
      </c>
      <c r="D16" s="10" t="s">
        <v>65</v>
      </c>
      <c r="E16" s="12"/>
      <c r="F16" s="10">
        <v>4</v>
      </c>
      <c r="G16" s="14"/>
    </row>
    <row r="17" customFormat="1" ht="22" customHeight="1" spans="1:7">
      <c r="A17" s="8">
        <v>15</v>
      </c>
      <c r="B17" s="9">
        <v>46121</v>
      </c>
      <c r="C17" s="10" t="s">
        <v>31</v>
      </c>
      <c r="D17" s="10" t="s">
        <v>65</v>
      </c>
      <c r="E17" s="12"/>
      <c r="F17" s="10">
        <v>4</v>
      </c>
      <c r="G17" s="14"/>
    </row>
    <row r="18" customFormat="1" ht="22" customHeight="1" spans="1:7">
      <c r="A18" s="8">
        <v>16</v>
      </c>
      <c r="B18" s="9">
        <v>46121</v>
      </c>
      <c r="C18" s="10" t="s">
        <v>32</v>
      </c>
      <c r="D18" s="10" t="s">
        <v>65</v>
      </c>
      <c r="E18" s="10">
        <v>4</v>
      </c>
      <c r="F18" s="15"/>
      <c r="G18" s="14"/>
    </row>
    <row r="19" customFormat="1" ht="22" customHeight="1" spans="1:7">
      <c r="A19" s="8">
        <v>17</v>
      </c>
      <c r="B19" s="9">
        <v>46121</v>
      </c>
      <c r="C19" s="10" t="s">
        <v>33</v>
      </c>
      <c r="D19" s="10" t="s">
        <v>65</v>
      </c>
      <c r="E19" s="12"/>
      <c r="F19" s="10">
        <v>4</v>
      </c>
      <c r="G19" s="14"/>
    </row>
    <row r="20" customFormat="1" ht="22" customHeight="1" spans="1:7">
      <c r="A20" s="8">
        <v>18</v>
      </c>
      <c r="B20" s="9">
        <v>46121</v>
      </c>
      <c r="C20" s="10" t="s">
        <v>34</v>
      </c>
      <c r="D20" s="10" t="s">
        <v>65</v>
      </c>
      <c r="E20" s="10">
        <v>4</v>
      </c>
      <c r="F20" s="12"/>
      <c r="G20" s="14"/>
    </row>
    <row r="21" customFormat="1" ht="22" customHeight="1" spans="1:7">
      <c r="A21" s="8">
        <v>19</v>
      </c>
      <c r="B21" s="9">
        <v>46121</v>
      </c>
      <c r="C21" s="10" t="s">
        <v>35</v>
      </c>
      <c r="D21" s="10" t="s">
        <v>65</v>
      </c>
      <c r="E21" s="12"/>
      <c r="F21" s="10">
        <v>4</v>
      </c>
      <c r="G21" s="14"/>
    </row>
    <row r="22" customFormat="1" ht="22" customHeight="1" spans="1:7">
      <c r="A22" s="8">
        <v>20</v>
      </c>
      <c r="B22" s="9">
        <v>46121</v>
      </c>
      <c r="C22" s="10" t="s">
        <v>36</v>
      </c>
      <c r="D22" s="10" t="s">
        <v>65</v>
      </c>
      <c r="E22" s="12"/>
      <c r="F22" s="10">
        <v>4</v>
      </c>
      <c r="G22" s="14"/>
    </row>
    <row r="23" customFormat="1" ht="22" customHeight="1" spans="1:7">
      <c r="A23" s="8">
        <v>21</v>
      </c>
      <c r="B23" s="9">
        <v>46121</v>
      </c>
      <c r="C23" s="10" t="s">
        <v>37</v>
      </c>
      <c r="D23" s="10" t="s">
        <v>65</v>
      </c>
      <c r="E23" s="12"/>
      <c r="F23" s="10">
        <v>4</v>
      </c>
      <c r="G23" s="14"/>
    </row>
    <row r="24" customFormat="1" ht="22" customHeight="1" spans="1:7">
      <c r="A24" s="8">
        <v>22</v>
      </c>
      <c r="B24" s="9">
        <v>46121</v>
      </c>
      <c r="C24" s="10" t="s">
        <v>53</v>
      </c>
      <c r="D24" s="10" t="s">
        <v>65</v>
      </c>
      <c r="E24" s="16">
        <v>4</v>
      </c>
      <c r="F24" s="17"/>
      <c r="G24" s="14"/>
    </row>
    <row r="25" customFormat="1" ht="22" customHeight="1" spans="1:7">
      <c r="A25" s="8">
        <v>23</v>
      </c>
      <c r="B25" s="9">
        <v>46121</v>
      </c>
      <c r="C25" s="10" t="s">
        <v>54</v>
      </c>
      <c r="D25" s="10" t="s">
        <v>65</v>
      </c>
      <c r="E25" s="16"/>
      <c r="F25" s="17">
        <v>4</v>
      </c>
      <c r="G25" s="14"/>
    </row>
    <row r="26" customFormat="1" ht="22" customHeight="1" spans="1:7">
      <c r="A26" s="8"/>
      <c r="B26" s="21"/>
      <c r="C26" s="18"/>
      <c r="D26" s="22"/>
      <c r="E26" s="19"/>
      <c r="F26" s="16"/>
      <c r="G26" s="16"/>
    </row>
    <row r="28" ht="13.5" spans="1:7">
      <c r="E28" s="20">
        <f>SUM(E3:E26)</f>
        <v>36</v>
      </c>
      <c r="F28" s="20">
        <f>SUM(F3:F26)</f>
        <v>56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pane ySplit="2" topLeftCell="A17" activePane="bottomLeft" state="frozen"/>
      <selection/>
      <selection pane="bottomLeft" activeCell="I44" sqref="I44"/>
    </sheetView>
  </sheetViews>
  <sheetFormatPr defaultColWidth="9.14285714285714" defaultRowHeight="12" outlineLevelCol="6"/>
  <cols>
    <col min="1" max="1" width="8.14285714285714" customWidth="1"/>
    <col min="2" max="2" width="12.8571428571429" customWidth="1"/>
    <col min="3" max="3" width="15.4285714285714" customWidth="1"/>
    <col min="4" max="4" width="12.1428571428571" customWidth="1"/>
    <col min="5" max="6" width="9.7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46125</v>
      </c>
      <c r="C3" s="10" t="s">
        <v>13</v>
      </c>
      <c r="D3" s="10" t="s">
        <v>63</v>
      </c>
      <c r="E3" s="12">
        <v>3</v>
      </c>
      <c r="F3" s="10"/>
      <c r="G3" s="11" t="s">
        <v>66</v>
      </c>
    </row>
    <row r="4" ht="22" customHeight="1" spans="1:7">
      <c r="A4" s="8">
        <v>2</v>
      </c>
      <c r="B4" s="9">
        <v>46125</v>
      </c>
      <c r="C4" s="10" t="s">
        <v>16</v>
      </c>
      <c r="D4" s="10" t="s">
        <v>63</v>
      </c>
      <c r="E4" s="12"/>
      <c r="F4" s="10">
        <v>3</v>
      </c>
      <c r="G4" s="13"/>
    </row>
    <row r="5" ht="22" customHeight="1" spans="1:7">
      <c r="A5" s="8">
        <v>3</v>
      </c>
      <c r="B5" s="9">
        <v>46125</v>
      </c>
      <c r="C5" s="10" t="s">
        <v>17</v>
      </c>
      <c r="D5" s="10" t="s">
        <v>63</v>
      </c>
      <c r="E5" s="12"/>
      <c r="F5" s="10">
        <v>3</v>
      </c>
      <c r="G5" s="13"/>
    </row>
    <row r="6" ht="22" customHeight="1" spans="1:7">
      <c r="A6" s="8">
        <v>4</v>
      </c>
      <c r="B6" s="9">
        <v>46125</v>
      </c>
      <c r="C6" s="10" t="s">
        <v>18</v>
      </c>
      <c r="D6" s="10" t="s">
        <v>63</v>
      </c>
      <c r="E6" s="10">
        <v>3</v>
      </c>
      <c r="F6" s="12"/>
      <c r="G6" s="13"/>
    </row>
    <row r="7" ht="22" customHeight="1" spans="1:7">
      <c r="A7" s="8">
        <v>5</v>
      </c>
      <c r="B7" s="9">
        <v>46125</v>
      </c>
      <c r="C7" s="10" t="s">
        <v>19</v>
      </c>
      <c r="D7" s="10" t="s">
        <v>63</v>
      </c>
      <c r="E7" s="12"/>
      <c r="F7" s="10">
        <v>3</v>
      </c>
      <c r="G7" s="13"/>
    </row>
    <row r="8" ht="22" customHeight="1" spans="1:7">
      <c r="A8" s="8">
        <v>6</v>
      </c>
      <c r="B8" s="9">
        <v>46125</v>
      </c>
      <c r="C8" s="10" t="s">
        <v>20</v>
      </c>
      <c r="D8" s="10" t="s">
        <v>63</v>
      </c>
      <c r="E8" s="12"/>
      <c r="F8" s="10">
        <v>3</v>
      </c>
      <c r="G8" s="13"/>
    </row>
    <row r="9" ht="22" customHeight="1" spans="1:7">
      <c r="A9" s="8">
        <v>7</v>
      </c>
      <c r="B9" s="9">
        <v>46125</v>
      </c>
      <c r="C9" s="10" t="s">
        <v>21</v>
      </c>
      <c r="D9" s="10" t="s">
        <v>63</v>
      </c>
      <c r="E9" s="12"/>
      <c r="F9" s="10">
        <v>3</v>
      </c>
      <c r="G9" s="14"/>
    </row>
    <row r="10" customFormat="1" ht="22" customHeight="1" spans="1:7">
      <c r="A10" s="8">
        <v>8</v>
      </c>
      <c r="B10" s="9">
        <v>46125</v>
      </c>
      <c r="C10" s="10" t="s">
        <v>22</v>
      </c>
      <c r="D10" s="10" t="s">
        <v>63</v>
      </c>
      <c r="E10" s="10">
        <v>3</v>
      </c>
      <c r="F10" s="12"/>
      <c r="G10" s="14"/>
    </row>
    <row r="11" customFormat="1" ht="22" customHeight="1" spans="1:7">
      <c r="A11" s="8">
        <v>9</v>
      </c>
      <c r="B11" s="9">
        <v>46125</v>
      </c>
      <c r="C11" s="10" t="s">
        <v>24</v>
      </c>
      <c r="D11" s="10" t="s">
        <v>63</v>
      </c>
      <c r="E11" s="10">
        <v>3</v>
      </c>
      <c r="F11" s="12"/>
      <c r="G11" s="14"/>
    </row>
    <row r="12" customFormat="1" ht="22" customHeight="1" spans="1:7">
      <c r="A12" s="8">
        <v>10</v>
      </c>
      <c r="B12" s="9">
        <v>46125</v>
      </c>
      <c r="C12" s="10" t="s">
        <v>25</v>
      </c>
      <c r="D12" s="10" t="s">
        <v>63</v>
      </c>
      <c r="E12" s="10">
        <v>3</v>
      </c>
      <c r="F12" s="12"/>
      <c r="G12" s="14"/>
    </row>
    <row r="13" customFormat="1" ht="22" customHeight="1" spans="1:7">
      <c r="A13" s="8">
        <v>11</v>
      </c>
      <c r="B13" s="9">
        <v>46125</v>
      </c>
      <c r="C13" s="10" t="s">
        <v>26</v>
      </c>
      <c r="D13" s="10" t="s">
        <v>63</v>
      </c>
      <c r="E13" s="10">
        <v>3</v>
      </c>
      <c r="F13" s="12"/>
      <c r="G13" s="14"/>
    </row>
    <row r="14" customFormat="1" ht="22" customHeight="1" spans="1:7">
      <c r="A14" s="8">
        <v>12</v>
      </c>
      <c r="B14" s="9">
        <v>46125</v>
      </c>
      <c r="C14" s="10" t="s">
        <v>27</v>
      </c>
      <c r="D14" s="10" t="s">
        <v>63</v>
      </c>
      <c r="E14" s="12"/>
      <c r="F14" s="10">
        <v>3</v>
      </c>
      <c r="G14" s="14"/>
    </row>
    <row r="15" customFormat="1" ht="22" customHeight="1" spans="1:7">
      <c r="A15" s="8">
        <v>13</v>
      </c>
      <c r="B15" s="9">
        <v>46125</v>
      </c>
      <c r="C15" s="10" t="s">
        <v>28</v>
      </c>
      <c r="D15" s="10" t="s">
        <v>63</v>
      </c>
      <c r="E15" s="12"/>
      <c r="F15" s="10">
        <v>3</v>
      </c>
      <c r="G15" s="14"/>
    </row>
    <row r="16" customFormat="1" ht="22" customHeight="1" spans="1:7">
      <c r="A16" s="8">
        <v>14</v>
      </c>
      <c r="B16" s="9">
        <v>46125</v>
      </c>
      <c r="C16" s="10" t="s">
        <v>30</v>
      </c>
      <c r="D16" s="10" t="s">
        <v>63</v>
      </c>
      <c r="E16" s="12"/>
      <c r="F16" s="10">
        <v>3</v>
      </c>
      <c r="G16" s="14"/>
    </row>
    <row r="17" customFormat="1" ht="22" customHeight="1" spans="1:7">
      <c r="A17" s="8">
        <v>15</v>
      </c>
      <c r="B17" s="9">
        <v>46125</v>
      </c>
      <c r="C17" s="10" t="s">
        <v>31</v>
      </c>
      <c r="D17" s="10" t="s">
        <v>63</v>
      </c>
      <c r="E17" s="12"/>
      <c r="F17" s="10">
        <v>3</v>
      </c>
      <c r="G17" s="14"/>
    </row>
    <row r="18" customFormat="1" ht="22" customHeight="1" spans="1:7">
      <c r="A18" s="8">
        <v>16</v>
      </c>
      <c r="B18" s="9">
        <v>46125</v>
      </c>
      <c r="C18" s="10" t="s">
        <v>32</v>
      </c>
      <c r="D18" s="10" t="s">
        <v>63</v>
      </c>
      <c r="E18" s="10">
        <v>3</v>
      </c>
      <c r="F18" s="15"/>
      <c r="G18" s="14"/>
    </row>
    <row r="19" customFormat="1" ht="22" customHeight="1" spans="1:7">
      <c r="A19" s="8">
        <v>17</v>
      </c>
      <c r="B19" s="9">
        <v>46125</v>
      </c>
      <c r="C19" s="10" t="s">
        <v>33</v>
      </c>
      <c r="D19" s="10" t="s">
        <v>63</v>
      </c>
      <c r="E19" s="12"/>
      <c r="F19" s="10">
        <v>3</v>
      </c>
      <c r="G19" s="14"/>
    </row>
    <row r="20" customFormat="1" ht="22" customHeight="1" spans="1:7">
      <c r="A20" s="8">
        <v>18</v>
      </c>
      <c r="B20" s="9">
        <v>46125</v>
      </c>
      <c r="C20" s="10" t="s">
        <v>34</v>
      </c>
      <c r="D20" s="10" t="s">
        <v>63</v>
      </c>
      <c r="E20" s="10">
        <v>3</v>
      </c>
      <c r="F20" s="12"/>
      <c r="G20" s="14"/>
    </row>
    <row r="21" customFormat="1" ht="22" customHeight="1" spans="1:7">
      <c r="A21" s="8">
        <v>19</v>
      </c>
      <c r="B21" s="9">
        <v>46125</v>
      </c>
      <c r="C21" s="10" t="s">
        <v>35</v>
      </c>
      <c r="D21" s="10" t="s">
        <v>63</v>
      </c>
      <c r="E21" s="12"/>
      <c r="F21" s="10">
        <v>3</v>
      </c>
      <c r="G21" s="14"/>
    </row>
    <row r="22" customFormat="1" ht="22" customHeight="1" spans="1:7">
      <c r="A22" s="8">
        <v>20</v>
      </c>
      <c r="B22" s="9">
        <v>46125</v>
      </c>
      <c r="C22" s="10" t="s">
        <v>36</v>
      </c>
      <c r="D22" s="10" t="s">
        <v>63</v>
      </c>
      <c r="E22" s="12"/>
      <c r="F22" s="10">
        <v>3</v>
      </c>
      <c r="G22" s="14"/>
    </row>
    <row r="23" customFormat="1" ht="22" customHeight="1" spans="1:7">
      <c r="A23" s="8">
        <v>21</v>
      </c>
      <c r="B23" s="9">
        <v>46125</v>
      </c>
      <c r="C23" s="10" t="s">
        <v>37</v>
      </c>
      <c r="D23" s="10" t="s">
        <v>63</v>
      </c>
      <c r="E23" s="12"/>
      <c r="F23" s="10">
        <v>3</v>
      </c>
      <c r="G23" s="14"/>
    </row>
    <row r="24" customFormat="1" ht="22" customHeight="1" spans="1:7">
      <c r="A24" s="8">
        <v>22</v>
      </c>
      <c r="B24" s="9">
        <v>46125</v>
      </c>
      <c r="C24" s="10" t="s">
        <v>53</v>
      </c>
      <c r="D24" s="10" t="s">
        <v>63</v>
      </c>
      <c r="E24" s="16">
        <v>3</v>
      </c>
      <c r="F24" s="17"/>
      <c r="G24" s="14"/>
    </row>
    <row r="25" customFormat="1" ht="22" customHeight="1" spans="1:7">
      <c r="A25" s="8">
        <v>23</v>
      </c>
      <c r="B25" s="9">
        <v>46125</v>
      </c>
      <c r="C25" s="10" t="s">
        <v>54</v>
      </c>
      <c r="D25" s="10" t="s">
        <v>63</v>
      </c>
      <c r="E25" s="16"/>
      <c r="F25" s="17">
        <v>3</v>
      </c>
      <c r="G25" s="14"/>
    </row>
    <row r="26" customFormat="1" ht="22" customHeight="1" spans="1:7">
      <c r="A26" s="8"/>
      <c r="B26" s="21"/>
      <c r="C26" s="18"/>
      <c r="D26" s="22"/>
      <c r="E26" s="19"/>
      <c r="F26" s="16"/>
      <c r="G26" s="16"/>
    </row>
    <row r="27" customFormat="1" ht="13.5" spans="1:7">
      <c r="E27" s="20">
        <f>SUM(E3:E26)</f>
        <v>27</v>
      </c>
      <c r="F27" s="20">
        <f>SUM(F3:F26)</f>
        <v>42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pane ySplit="2" topLeftCell="A11" activePane="bottomLeft" state="frozen"/>
      <selection/>
      <selection pane="bottomLeft" activeCell="G26" sqref="G2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16.571428571428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46128</v>
      </c>
      <c r="C3" s="10" t="s">
        <v>13</v>
      </c>
      <c r="D3" s="10" t="s">
        <v>65</v>
      </c>
      <c r="E3" s="10">
        <v>4</v>
      </c>
      <c r="F3" s="10"/>
      <c r="G3" s="11" t="s">
        <v>66</v>
      </c>
    </row>
    <row r="4" ht="22" customHeight="1" spans="1:7">
      <c r="A4" s="8">
        <v>2</v>
      </c>
      <c r="B4" s="9">
        <v>46128</v>
      </c>
      <c r="C4" s="10" t="s">
        <v>16</v>
      </c>
      <c r="D4" s="10" t="s">
        <v>65</v>
      </c>
      <c r="E4" s="12"/>
      <c r="F4" s="10">
        <v>4</v>
      </c>
      <c r="G4" s="13"/>
    </row>
    <row r="5" ht="22" customHeight="1" spans="1:7">
      <c r="A5" s="8">
        <v>3</v>
      </c>
      <c r="B5" s="9">
        <v>46128</v>
      </c>
      <c r="C5" s="10" t="s">
        <v>17</v>
      </c>
      <c r="D5" s="10" t="s">
        <v>65</v>
      </c>
      <c r="E5" s="12"/>
      <c r="F5" s="10">
        <v>4</v>
      </c>
      <c r="G5" s="13"/>
    </row>
    <row r="6" ht="22" customHeight="1" spans="1:7">
      <c r="A6" s="8">
        <v>4</v>
      </c>
      <c r="B6" s="9">
        <v>46128</v>
      </c>
      <c r="C6" s="10" t="s">
        <v>18</v>
      </c>
      <c r="D6" s="10" t="s">
        <v>65</v>
      </c>
      <c r="E6" s="10">
        <v>4</v>
      </c>
      <c r="F6" s="12"/>
      <c r="G6" s="13"/>
    </row>
    <row r="7" ht="22" customHeight="1" spans="1:7">
      <c r="A7" s="8">
        <v>5</v>
      </c>
      <c r="B7" s="9">
        <v>46128</v>
      </c>
      <c r="C7" s="10" t="s">
        <v>19</v>
      </c>
      <c r="D7" s="10" t="s">
        <v>65</v>
      </c>
      <c r="E7" s="12"/>
      <c r="F7" s="10">
        <v>4</v>
      </c>
      <c r="G7" s="13"/>
    </row>
    <row r="8" ht="22" customHeight="1" spans="1:7">
      <c r="A8" s="8">
        <v>6</v>
      </c>
      <c r="B8" s="9">
        <v>46128</v>
      </c>
      <c r="C8" s="10" t="s">
        <v>20</v>
      </c>
      <c r="D8" s="10" t="s">
        <v>65</v>
      </c>
      <c r="E8" s="12"/>
      <c r="F8" s="10">
        <v>4</v>
      </c>
      <c r="G8" s="13"/>
    </row>
    <row r="9" ht="22" customHeight="1" spans="1:7">
      <c r="A9" s="8">
        <v>7</v>
      </c>
      <c r="B9" s="9">
        <v>46128</v>
      </c>
      <c r="C9" s="10" t="s">
        <v>21</v>
      </c>
      <c r="D9" s="10" t="s">
        <v>65</v>
      </c>
      <c r="E9" s="12"/>
      <c r="F9" s="10">
        <v>4</v>
      </c>
      <c r="G9" s="14"/>
    </row>
    <row r="10" customFormat="1" ht="22" customHeight="1" spans="1:7">
      <c r="A10" s="8">
        <v>8</v>
      </c>
      <c r="B10" s="9">
        <v>46128</v>
      </c>
      <c r="C10" s="10" t="s">
        <v>22</v>
      </c>
      <c r="D10" s="10" t="s">
        <v>65</v>
      </c>
      <c r="E10" s="10">
        <v>4</v>
      </c>
      <c r="F10" s="12"/>
      <c r="G10" s="14"/>
    </row>
    <row r="11" customFormat="1" ht="22" customHeight="1" spans="1:7">
      <c r="A11" s="8">
        <v>9</v>
      </c>
      <c r="B11" s="9">
        <v>46128</v>
      </c>
      <c r="C11" s="10" t="s">
        <v>24</v>
      </c>
      <c r="D11" s="10" t="s">
        <v>65</v>
      </c>
      <c r="E11" s="10">
        <v>4</v>
      </c>
      <c r="F11" s="12"/>
      <c r="G11" s="14"/>
    </row>
    <row r="12" customFormat="1" ht="22" customHeight="1" spans="1:7">
      <c r="A12" s="8">
        <v>10</v>
      </c>
      <c r="B12" s="9">
        <v>46128</v>
      </c>
      <c r="C12" s="10" t="s">
        <v>25</v>
      </c>
      <c r="D12" s="10" t="s">
        <v>65</v>
      </c>
      <c r="E12" s="10">
        <v>4</v>
      </c>
      <c r="F12" s="12"/>
      <c r="G12" s="14"/>
    </row>
    <row r="13" customFormat="1" ht="22" customHeight="1" spans="1:7">
      <c r="A13" s="8">
        <v>11</v>
      </c>
      <c r="B13" s="9">
        <v>46128</v>
      </c>
      <c r="C13" s="10" t="s">
        <v>26</v>
      </c>
      <c r="D13" s="10" t="s">
        <v>65</v>
      </c>
      <c r="E13" s="10">
        <v>4</v>
      </c>
      <c r="F13" s="12"/>
      <c r="G13" s="14"/>
    </row>
    <row r="14" customFormat="1" ht="22" customHeight="1" spans="1:7">
      <c r="A14" s="8">
        <v>12</v>
      </c>
      <c r="B14" s="9">
        <v>46128</v>
      </c>
      <c r="C14" s="10" t="s">
        <v>27</v>
      </c>
      <c r="D14" s="10" t="s">
        <v>65</v>
      </c>
      <c r="E14" s="12"/>
      <c r="F14" s="10">
        <v>4</v>
      </c>
      <c r="G14" s="14"/>
    </row>
    <row r="15" customFormat="1" ht="22" customHeight="1" spans="1:7">
      <c r="A15" s="8">
        <v>13</v>
      </c>
      <c r="B15" s="9">
        <v>46128</v>
      </c>
      <c r="C15" s="10" t="s">
        <v>28</v>
      </c>
      <c r="D15" s="10" t="s">
        <v>65</v>
      </c>
      <c r="E15" s="12"/>
      <c r="F15" s="10">
        <v>4</v>
      </c>
      <c r="G15" s="14"/>
    </row>
    <row r="16" customFormat="1" ht="22" customHeight="1" spans="1:7">
      <c r="A16" s="8">
        <v>14</v>
      </c>
      <c r="B16" s="9">
        <v>46128</v>
      </c>
      <c r="C16" s="10" t="s">
        <v>30</v>
      </c>
      <c r="D16" s="10" t="s">
        <v>65</v>
      </c>
      <c r="E16" s="12"/>
      <c r="F16" s="10">
        <v>4</v>
      </c>
      <c r="G16" s="14"/>
    </row>
    <row r="17" customFormat="1" ht="22" customHeight="1" spans="1:7">
      <c r="A17" s="8">
        <v>15</v>
      </c>
      <c r="B17" s="9">
        <v>46128</v>
      </c>
      <c r="C17" s="10" t="s">
        <v>31</v>
      </c>
      <c r="D17" s="10" t="s">
        <v>65</v>
      </c>
      <c r="E17" s="12"/>
      <c r="F17" s="10">
        <v>4</v>
      </c>
      <c r="G17" s="14"/>
    </row>
    <row r="18" customFormat="1" ht="22" customHeight="1" spans="1:7">
      <c r="A18" s="8">
        <v>16</v>
      </c>
      <c r="B18" s="9">
        <v>46128</v>
      </c>
      <c r="C18" s="10" t="s">
        <v>32</v>
      </c>
      <c r="D18" s="10" t="s">
        <v>65</v>
      </c>
      <c r="E18" s="10">
        <v>4</v>
      </c>
      <c r="F18" s="15"/>
      <c r="G18" s="14"/>
    </row>
    <row r="19" customFormat="1" ht="22" customHeight="1" spans="1:7">
      <c r="A19" s="8">
        <v>17</v>
      </c>
      <c r="B19" s="9">
        <v>46128</v>
      </c>
      <c r="C19" s="10" t="s">
        <v>33</v>
      </c>
      <c r="D19" s="10" t="s">
        <v>65</v>
      </c>
      <c r="E19" s="12"/>
      <c r="F19" s="10">
        <v>4</v>
      </c>
      <c r="G19" s="14"/>
    </row>
    <row r="20" customFormat="1" ht="22" customHeight="1" spans="1:7">
      <c r="A20" s="8">
        <v>18</v>
      </c>
      <c r="B20" s="9">
        <v>46128</v>
      </c>
      <c r="C20" s="10" t="s">
        <v>34</v>
      </c>
      <c r="D20" s="10" t="s">
        <v>65</v>
      </c>
      <c r="E20" s="10">
        <v>4</v>
      </c>
      <c r="F20" s="12"/>
      <c r="G20" s="14"/>
    </row>
    <row r="21" customFormat="1" ht="22" customHeight="1" spans="1:7">
      <c r="A21" s="8">
        <v>19</v>
      </c>
      <c r="B21" s="9">
        <v>46128</v>
      </c>
      <c r="C21" s="10" t="s">
        <v>35</v>
      </c>
      <c r="D21" s="10" t="s">
        <v>65</v>
      </c>
      <c r="E21" s="12"/>
      <c r="F21" s="10">
        <v>4</v>
      </c>
      <c r="G21" s="14"/>
    </row>
    <row r="22" customFormat="1" ht="22" customHeight="1" spans="1:7">
      <c r="A22" s="8">
        <v>20</v>
      </c>
      <c r="B22" s="9">
        <v>46128</v>
      </c>
      <c r="C22" s="10" t="s">
        <v>36</v>
      </c>
      <c r="D22" s="10" t="s">
        <v>65</v>
      </c>
      <c r="E22" s="12"/>
      <c r="F22" s="10">
        <v>4</v>
      </c>
      <c r="G22" s="14"/>
    </row>
    <row r="23" customFormat="1" ht="22" customHeight="1" spans="1:7">
      <c r="A23" s="8">
        <v>21</v>
      </c>
      <c r="B23" s="9">
        <v>46128</v>
      </c>
      <c r="C23" s="10" t="s">
        <v>37</v>
      </c>
      <c r="D23" s="10" t="s">
        <v>65</v>
      </c>
      <c r="E23" s="12"/>
      <c r="F23" s="10">
        <v>4</v>
      </c>
      <c r="G23" s="14"/>
    </row>
    <row r="24" customFormat="1" ht="22" customHeight="1" spans="1:7">
      <c r="A24" s="8">
        <v>22</v>
      </c>
      <c r="B24" s="9">
        <v>46128</v>
      </c>
      <c r="C24" s="10" t="s">
        <v>53</v>
      </c>
      <c r="D24" s="10" t="s">
        <v>65</v>
      </c>
      <c r="E24" s="16">
        <v>4</v>
      </c>
      <c r="F24" s="17"/>
      <c r="G24" s="14"/>
    </row>
    <row r="25" customFormat="1" ht="22" customHeight="1" spans="1:7">
      <c r="A25" s="8">
        <v>23</v>
      </c>
      <c r="B25" s="9">
        <v>46128</v>
      </c>
      <c r="C25" s="10" t="s">
        <v>54</v>
      </c>
      <c r="D25" s="10" t="s">
        <v>65</v>
      </c>
      <c r="E25" s="16"/>
      <c r="F25" s="17">
        <v>4</v>
      </c>
      <c r="G25" s="14"/>
    </row>
    <row r="26" customFormat="1" ht="22" customHeight="1" spans="1:7">
      <c r="A26" s="8">
        <v>24</v>
      </c>
      <c r="B26" s="9">
        <v>46128</v>
      </c>
      <c r="C26" s="18" t="s">
        <v>40</v>
      </c>
      <c r="D26" s="10" t="s">
        <v>65</v>
      </c>
      <c r="E26" s="19"/>
      <c r="F26" s="16">
        <v>6</v>
      </c>
      <c r="G26" s="16" t="s">
        <v>68</v>
      </c>
    </row>
    <row r="28" ht="13.5" spans="1:7">
      <c r="E28" s="20">
        <f>SUM(E3:E26)</f>
        <v>36</v>
      </c>
      <c r="F28" s="20">
        <f>SUM(F3:F26)</f>
        <v>62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tabSelected="1" workbookViewId="0">
      <pane ySplit="2" topLeftCell="A7" activePane="bottomLeft" state="frozen"/>
      <selection/>
      <selection pane="bottomLeft" activeCell="S22" sqref="S22"/>
    </sheetView>
  </sheetViews>
  <sheetFormatPr defaultColWidth="9.14285714285714" defaultRowHeight="12"/>
  <cols>
    <col min="1" max="1" width="8.14285714285714" customWidth="1"/>
    <col min="2" max="2" width="12.8571428571429" customWidth="1"/>
    <col min="3" max="3" width="15.4285714285714" customWidth="1"/>
    <col min="4" max="4" width="12.1428571428571" customWidth="1"/>
    <col min="5" max="6" width="9.7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46132</v>
      </c>
      <c r="C3" s="10" t="s">
        <v>13</v>
      </c>
      <c r="D3" s="10" t="s">
        <v>63</v>
      </c>
      <c r="E3" s="12">
        <v>3</v>
      </c>
      <c r="F3" s="10"/>
      <c r="G3" s="11" t="s">
        <v>66</v>
      </c>
    </row>
    <row r="4" ht="22" customHeight="1" spans="1:7">
      <c r="A4" s="8">
        <v>2</v>
      </c>
      <c r="B4" s="9">
        <v>46132</v>
      </c>
      <c r="C4" s="10" t="s">
        <v>16</v>
      </c>
      <c r="D4" s="10" t="s">
        <v>63</v>
      </c>
      <c r="E4" s="12"/>
      <c r="F4" s="10">
        <v>3</v>
      </c>
      <c r="G4" s="13"/>
    </row>
    <row r="5" ht="22" customHeight="1" spans="1:7">
      <c r="A5" s="8">
        <v>3</v>
      </c>
      <c r="B5" s="9">
        <v>46132</v>
      </c>
      <c r="C5" s="10" t="s">
        <v>17</v>
      </c>
      <c r="D5" s="10" t="s">
        <v>63</v>
      </c>
      <c r="E5" s="12"/>
      <c r="F5" s="10">
        <v>3</v>
      </c>
      <c r="G5" s="13"/>
    </row>
    <row r="6" ht="22" customHeight="1" spans="1:7">
      <c r="A6" s="8">
        <v>4</v>
      </c>
      <c r="B6" s="9">
        <v>46132</v>
      </c>
      <c r="C6" s="10" t="s">
        <v>18</v>
      </c>
      <c r="D6" s="10" t="s">
        <v>63</v>
      </c>
      <c r="E6" s="10">
        <v>3</v>
      </c>
      <c r="F6" s="12"/>
      <c r="G6" s="13"/>
    </row>
    <row r="7" ht="22" customHeight="1" spans="1:7">
      <c r="A7" s="8">
        <v>5</v>
      </c>
      <c r="B7" s="9">
        <v>46132</v>
      </c>
      <c r="C7" s="10" t="s">
        <v>19</v>
      </c>
      <c r="D7" s="10" t="s">
        <v>63</v>
      </c>
      <c r="E7" s="12"/>
      <c r="F7" s="10">
        <v>3</v>
      </c>
      <c r="G7" s="13"/>
    </row>
    <row r="8" ht="22" customHeight="1" spans="1:7">
      <c r="A8" s="8">
        <v>6</v>
      </c>
      <c r="B8" s="9">
        <v>46132</v>
      </c>
      <c r="C8" s="10" t="s">
        <v>20</v>
      </c>
      <c r="D8" s="10" t="s">
        <v>63</v>
      </c>
      <c r="E8" s="12"/>
      <c r="F8" s="10">
        <v>3</v>
      </c>
      <c r="G8" s="13"/>
    </row>
    <row r="9" ht="22" customHeight="1" spans="1:7">
      <c r="A9" s="8">
        <v>7</v>
      </c>
      <c r="B9" s="9">
        <v>46132</v>
      </c>
      <c r="C9" s="10" t="s">
        <v>21</v>
      </c>
      <c r="D9" s="10" t="s">
        <v>63</v>
      </c>
      <c r="E9" s="12"/>
      <c r="F9" s="10">
        <v>3</v>
      </c>
      <c r="G9" s="14"/>
    </row>
    <row r="10" customFormat="1" ht="22" customHeight="1" spans="1:7">
      <c r="A10" s="8">
        <v>8</v>
      </c>
      <c r="B10" s="9">
        <v>46132</v>
      </c>
      <c r="C10" s="10" t="s">
        <v>22</v>
      </c>
      <c r="D10" s="10" t="s">
        <v>63</v>
      </c>
      <c r="E10" s="10">
        <v>3</v>
      </c>
      <c r="F10" s="12"/>
      <c r="G10" s="14"/>
    </row>
    <row r="11" customFormat="1" ht="22" customHeight="1" spans="1:7">
      <c r="A11" s="8">
        <v>9</v>
      </c>
      <c r="B11" s="9">
        <v>46132</v>
      </c>
      <c r="C11" s="10" t="s">
        <v>24</v>
      </c>
      <c r="D11" s="10" t="s">
        <v>63</v>
      </c>
      <c r="E11" s="10">
        <v>3</v>
      </c>
      <c r="F11" s="12"/>
      <c r="G11" s="14"/>
    </row>
    <row r="12" customFormat="1" ht="22" customHeight="1" spans="1:7">
      <c r="A12" s="8">
        <v>10</v>
      </c>
      <c r="B12" s="9">
        <v>46132</v>
      </c>
      <c r="C12" s="10" t="s">
        <v>25</v>
      </c>
      <c r="D12" s="10" t="s">
        <v>63</v>
      </c>
      <c r="E12" s="10">
        <v>3</v>
      </c>
      <c r="F12" s="12"/>
      <c r="G12" s="14"/>
    </row>
    <row r="13" customFormat="1" ht="22" customHeight="1" spans="1:7">
      <c r="A13" s="8">
        <v>11</v>
      </c>
      <c r="B13" s="9">
        <v>46132</v>
      </c>
      <c r="C13" s="10" t="s">
        <v>26</v>
      </c>
      <c r="D13" s="10" t="s">
        <v>63</v>
      </c>
      <c r="E13" s="10">
        <v>3</v>
      </c>
      <c r="F13" s="12"/>
      <c r="G13" s="14"/>
    </row>
    <row r="14" customFormat="1" ht="22" customHeight="1" spans="1:7">
      <c r="A14" s="8">
        <v>12</v>
      </c>
      <c r="B14" s="9">
        <v>46132</v>
      </c>
      <c r="C14" s="10" t="s">
        <v>27</v>
      </c>
      <c r="D14" s="10" t="s">
        <v>63</v>
      </c>
      <c r="E14" s="12"/>
      <c r="F14" s="10">
        <v>3</v>
      </c>
      <c r="G14" s="14"/>
    </row>
    <row r="15" customFormat="1" ht="22" customHeight="1" spans="1:7">
      <c r="A15" s="8">
        <v>13</v>
      </c>
      <c r="B15" s="9">
        <v>46132</v>
      </c>
      <c r="C15" s="10" t="s">
        <v>28</v>
      </c>
      <c r="D15" s="10" t="s">
        <v>63</v>
      </c>
      <c r="E15" s="12"/>
      <c r="F15" s="10">
        <v>3</v>
      </c>
      <c r="G15" s="14"/>
    </row>
    <row r="16" customFormat="1" ht="22" customHeight="1" spans="1:7">
      <c r="A16" s="8">
        <v>14</v>
      </c>
      <c r="B16" s="9">
        <v>46132</v>
      </c>
      <c r="C16" s="10" t="s">
        <v>30</v>
      </c>
      <c r="D16" s="10" t="s">
        <v>63</v>
      </c>
      <c r="E16" s="12"/>
      <c r="F16" s="10">
        <v>3</v>
      </c>
      <c r="G16" s="14"/>
    </row>
    <row r="17" customFormat="1" ht="22" customHeight="1" spans="1:18">
      <c r="A17" s="8">
        <v>15</v>
      </c>
      <c r="B17" s="9">
        <v>46132</v>
      </c>
      <c r="C17" s="10" t="s">
        <v>31</v>
      </c>
      <c r="D17" s="10" t="s">
        <v>63</v>
      </c>
      <c r="E17" s="12"/>
      <c r="F17" s="10">
        <v>3</v>
      </c>
      <c r="G17" s="14"/>
    </row>
    <row r="18" customFormat="1" ht="22" customHeight="1" spans="1:18">
      <c r="A18" s="8">
        <v>16</v>
      </c>
      <c r="B18" s="9">
        <v>46132</v>
      </c>
      <c r="C18" s="10" t="s">
        <v>32</v>
      </c>
      <c r="D18" s="10" t="s">
        <v>63</v>
      </c>
      <c r="E18" s="10">
        <v>3</v>
      </c>
      <c r="F18" s="15"/>
      <c r="G18" s="14"/>
    </row>
    <row r="19" customFormat="1" ht="22" customHeight="1" spans="1:18">
      <c r="A19" s="8">
        <v>17</v>
      </c>
      <c r="B19" s="9">
        <v>46132</v>
      </c>
      <c r="C19" s="10" t="s">
        <v>33</v>
      </c>
      <c r="D19" s="10" t="s">
        <v>63</v>
      </c>
      <c r="E19" s="12"/>
      <c r="F19" s="10">
        <v>3</v>
      </c>
      <c r="G19" s="14"/>
    </row>
    <row r="20" customFormat="1" ht="22" customHeight="1" spans="1:18">
      <c r="A20" s="8">
        <v>18</v>
      </c>
      <c r="B20" s="9">
        <v>46132</v>
      </c>
      <c r="C20" s="10" t="s">
        <v>34</v>
      </c>
      <c r="D20" s="10" t="s">
        <v>63</v>
      </c>
      <c r="E20" s="10">
        <v>3</v>
      </c>
      <c r="F20" s="12"/>
      <c r="G20" s="14"/>
    </row>
    <row r="21" customFormat="1" ht="22" customHeight="1" spans="1:18">
      <c r="A21" s="8">
        <v>19</v>
      </c>
      <c r="B21" s="9">
        <v>46132</v>
      </c>
      <c r="C21" s="10" t="s">
        <v>35</v>
      </c>
      <c r="D21" s="10" t="s">
        <v>63</v>
      </c>
      <c r="E21" s="12"/>
      <c r="F21" s="10">
        <v>3</v>
      </c>
      <c r="G21" s="14"/>
    </row>
    <row r="22" customFormat="1" ht="22" customHeight="1" spans="1:18">
      <c r="A22" s="8">
        <v>20</v>
      </c>
      <c r="B22" s="9">
        <v>46132</v>
      </c>
      <c r="C22" s="10" t="s">
        <v>36</v>
      </c>
      <c r="D22" s="10" t="s">
        <v>63</v>
      </c>
      <c r="E22" s="12"/>
      <c r="F22" s="10">
        <v>3</v>
      </c>
      <c r="G22" s="14"/>
      <c r="R22">
        <f>19+3</f>
        <v>22</v>
      </c>
    </row>
    <row r="23" customFormat="1" ht="22" customHeight="1" spans="1:18">
      <c r="A23" s="8">
        <v>21</v>
      </c>
      <c r="B23" s="9">
        <v>46132</v>
      </c>
      <c r="C23" s="10" t="s">
        <v>37</v>
      </c>
      <c r="D23" s="10" t="s">
        <v>63</v>
      </c>
      <c r="E23" s="12"/>
      <c r="F23" s="10">
        <v>3</v>
      </c>
      <c r="G23" s="14"/>
    </row>
    <row r="24" customFormat="1" ht="22" customHeight="1" spans="1:18">
      <c r="A24" s="8">
        <v>22</v>
      </c>
      <c r="B24" s="9">
        <v>46132</v>
      </c>
      <c r="C24" s="10" t="s">
        <v>53</v>
      </c>
      <c r="D24" s="10" t="s">
        <v>63</v>
      </c>
      <c r="E24" s="16">
        <v>3</v>
      </c>
      <c r="F24" s="17"/>
      <c r="G24" s="14"/>
    </row>
    <row r="25" customFormat="1" ht="22" customHeight="1" spans="1:18">
      <c r="A25" s="8">
        <v>23</v>
      </c>
      <c r="B25" s="9">
        <v>46132</v>
      </c>
      <c r="C25" s="10" t="s">
        <v>54</v>
      </c>
      <c r="D25" s="10" t="s">
        <v>63</v>
      </c>
      <c r="E25" s="16"/>
      <c r="F25" s="17">
        <v>3</v>
      </c>
      <c r="G25" s="14"/>
    </row>
    <row r="26" customFormat="1" ht="22" customHeight="1" spans="1:18">
      <c r="A26" s="8">
        <v>24</v>
      </c>
      <c r="B26" s="9">
        <v>46132</v>
      </c>
      <c r="C26" s="18" t="s">
        <v>40</v>
      </c>
      <c r="D26" s="10" t="s">
        <v>63</v>
      </c>
      <c r="E26" s="19"/>
      <c r="F26" s="17">
        <v>5</v>
      </c>
      <c r="G26" s="16" t="s">
        <v>68</v>
      </c>
    </row>
    <row r="27" customFormat="1" ht="22" customHeight="1" spans="1:18">
      <c r="A27" s="8"/>
      <c r="B27" s="9"/>
      <c r="C27" s="10"/>
      <c r="D27" s="10"/>
      <c r="E27" s="19"/>
      <c r="F27" s="17"/>
      <c r="G27" s="14"/>
    </row>
    <row r="28" customFormat="1" ht="22" customHeight="1" spans="1:18">
      <c r="A28" s="8"/>
      <c r="B28" s="9"/>
      <c r="C28" s="10"/>
      <c r="D28" s="10"/>
      <c r="E28" s="19"/>
      <c r="F28" s="17"/>
      <c r="G28" s="16"/>
    </row>
    <row r="29" customFormat="1" ht="13.5" spans="1:18">
      <c r="E29" s="20">
        <f>SUM(E3:E28)</f>
        <v>27</v>
      </c>
      <c r="F29" s="20">
        <f>SUM(F3:F28)</f>
        <v>47</v>
      </c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pane ySplit="2" topLeftCell="A15" activePane="bottomLeft" state="frozen"/>
      <selection/>
      <selection pane="bottomLeft" activeCell="F33" sqref="F33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16.5714285714286" customWidth="1"/>
    <col min="4" max="6" width="12.1428571428571" customWidth="1"/>
    <col min="7" max="7" width="25.2857142857143" customWidth="1"/>
  </cols>
  <sheetData>
    <row r="1" ht="38" customHeight="1" spans="1:7">
      <c r="A1" s="2" t="s">
        <v>59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56</v>
      </c>
      <c r="C2" s="5" t="s">
        <v>3</v>
      </c>
      <c r="D2" s="6" t="s">
        <v>60</v>
      </c>
      <c r="E2" s="7" t="s">
        <v>61</v>
      </c>
      <c r="F2" s="7" t="s">
        <v>62</v>
      </c>
      <c r="G2" s="7" t="s">
        <v>7</v>
      </c>
    </row>
    <row r="3" ht="22" customHeight="1" spans="1:7">
      <c r="A3" s="8">
        <v>1</v>
      </c>
      <c r="B3" s="9">
        <v>46135</v>
      </c>
      <c r="C3" s="10" t="s">
        <v>13</v>
      </c>
      <c r="D3" s="10" t="s">
        <v>65</v>
      </c>
      <c r="E3" s="10">
        <v>4</v>
      </c>
      <c r="F3" s="10"/>
      <c r="G3" s="11" t="s">
        <v>66</v>
      </c>
    </row>
    <row r="4" ht="22" customHeight="1" spans="1:7">
      <c r="A4" s="8">
        <v>2</v>
      </c>
      <c r="B4" s="9">
        <v>46135</v>
      </c>
      <c r="C4" s="10" t="s">
        <v>16</v>
      </c>
      <c r="D4" s="10" t="s">
        <v>65</v>
      </c>
      <c r="E4" s="12"/>
      <c r="F4" s="10">
        <v>4</v>
      </c>
      <c r="G4" s="13"/>
    </row>
    <row r="5" ht="22" customHeight="1" spans="1:7">
      <c r="A5" s="8">
        <v>3</v>
      </c>
      <c r="B5" s="9">
        <v>46135</v>
      </c>
      <c r="C5" s="10" t="s">
        <v>17</v>
      </c>
      <c r="D5" s="10" t="s">
        <v>65</v>
      </c>
      <c r="E5" s="12"/>
      <c r="F5" s="10">
        <v>4</v>
      </c>
      <c r="G5" s="13"/>
    </row>
    <row r="6" ht="22" customHeight="1" spans="1:7">
      <c r="A6" s="8">
        <v>4</v>
      </c>
      <c r="B6" s="9">
        <v>46135</v>
      </c>
      <c r="C6" s="10" t="s">
        <v>18</v>
      </c>
      <c r="D6" s="10" t="s">
        <v>65</v>
      </c>
      <c r="E6" s="10">
        <v>4</v>
      </c>
      <c r="F6" s="12"/>
      <c r="G6" s="13"/>
    </row>
    <row r="7" ht="22" customHeight="1" spans="1:7">
      <c r="A7" s="8">
        <v>5</v>
      </c>
      <c r="B7" s="9">
        <v>46135</v>
      </c>
      <c r="C7" s="10" t="s">
        <v>19</v>
      </c>
      <c r="D7" s="10" t="s">
        <v>65</v>
      </c>
      <c r="E7" s="12"/>
      <c r="F7" s="10">
        <v>4</v>
      </c>
      <c r="G7" s="13"/>
    </row>
    <row r="8" ht="22" customHeight="1" spans="1:7">
      <c r="A8" s="8">
        <v>6</v>
      </c>
      <c r="B8" s="9">
        <v>46135</v>
      </c>
      <c r="C8" s="10" t="s">
        <v>20</v>
      </c>
      <c r="D8" s="10" t="s">
        <v>65</v>
      </c>
      <c r="E8" s="12"/>
      <c r="F8" s="10">
        <v>4</v>
      </c>
      <c r="G8" s="13"/>
    </row>
    <row r="9" ht="22" customHeight="1" spans="1:7">
      <c r="A9" s="8">
        <v>7</v>
      </c>
      <c r="B9" s="9">
        <v>46135</v>
      </c>
      <c r="C9" s="10" t="s">
        <v>21</v>
      </c>
      <c r="D9" s="10" t="s">
        <v>65</v>
      </c>
      <c r="E9" s="12"/>
      <c r="F9" s="10">
        <v>4</v>
      </c>
      <c r="G9" s="14"/>
    </row>
    <row r="10" customFormat="1" ht="22" customHeight="1" spans="1:7">
      <c r="A10" s="8">
        <v>8</v>
      </c>
      <c r="B10" s="9">
        <v>46135</v>
      </c>
      <c r="C10" s="10" t="s">
        <v>22</v>
      </c>
      <c r="D10" s="10" t="s">
        <v>65</v>
      </c>
      <c r="E10" s="10">
        <v>4</v>
      </c>
      <c r="F10" s="12"/>
      <c r="G10" s="14"/>
    </row>
    <row r="11" customFormat="1" ht="22" customHeight="1" spans="1:7">
      <c r="A11" s="8">
        <v>9</v>
      </c>
      <c r="B11" s="9">
        <v>46135</v>
      </c>
      <c r="C11" s="10" t="s">
        <v>24</v>
      </c>
      <c r="D11" s="10" t="s">
        <v>65</v>
      </c>
      <c r="E11" s="10">
        <v>4</v>
      </c>
      <c r="F11" s="12"/>
      <c r="G11" s="14"/>
    </row>
    <row r="12" customFormat="1" ht="22" customHeight="1" spans="1:7">
      <c r="A12" s="8">
        <v>10</v>
      </c>
      <c r="B12" s="9">
        <v>46135</v>
      </c>
      <c r="C12" s="10" t="s">
        <v>25</v>
      </c>
      <c r="D12" s="10" t="s">
        <v>65</v>
      </c>
      <c r="E12" s="10">
        <v>4</v>
      </c>
      <c r="F12" s="12"/>
      <c r="G12" s="14"/>
    </row>
    <row r="13" customFormat="1" ht="22" customHeight="1" spans="1:7">
      <c r="A13" s="8">
        <v>11</v>
      </c>
      <c r="B13" s="9">
        <v>46135</v>
      </c>
      <c r="C13" s="10" t="s">
        <v>26</v>
      </c>
      <c r="D13" s="10" t="s">
        <v>65</v>
      </c>
      <c r="E13" s="10">
        <v>4</v>
      </c>
      <c r="F13" s="12"/>
      <c r="G13" s="14"/>
    </row>
    <row r="14" customFormat="1" ht="22" customHeight="1" spans="1:7">
      <c r="A14" s="8">
        <v>12</v>
      </c>
      <c r="B14" s="9">
        <v>46135</v>
      </c>
      <c r="C14" s="10" t="s">
        <v>27</v>
      </c>
      <c r="D14" s="10" t="s">
        <v>65</v>
      </c>
      <c r="E14" s="12"/>
      <c r="F14" s="10">
        <v>4</v>
      </c>
      <c r="G14" s="14"/>
    </row>
    <row r="15" customFormat="1" ht="22" customHeight="1" spans="1:7">
      <c r="A15" s="8">
        <v>13</v>
      </c>
      <c r="B15" s="9">
        <v>46135</v>
      </c>
      <c r="C15" s="10" t="s">
        <v>28</v>
      </c>
      <c r="D15" s="10" t="s">
        <v>65</v>
      </c>
      <c r="E15" s="12"/>
      <c r="F15" s="10">
        <v>4</v>
      </c>
      <c r="G15" s="14"/>
    </row>
    <row r="16" customFormat="1" ht="22" customHeight="1" spans="1:7">
      <c r="A16" s="8">
        <v>14</v>
      </c>
      <c r="B16" s="9">
        <v>46135</v>
      </c>
      <c r="C16" s="10" t="s">
        <v>30</v>
      </c>
      <c r="D16" s="10" t="s">
        <v>65</v>
      </c>
      <c r="E16" s="12"/>
      <c r="F16" s="10">
        <v>4</v>
      </c>
      <c r="G16" s="14"/>
    </row>
    <row r="17" customFormat="1" ht="22" customHeight="1" spans="1:7">
      <c r="A17" s="8">
        <v>15</v>
      </c>
      <c r="B17" s="9">
        <v>46135</v>
      </c>
      <c r="C17" s="10" t="s">
        <v>31</v>
      </c>
      <c r="D17" s="10" t="s">
        <v>65</v>
      </c>
      <c r="E17" s="12"/>
      <c r="F17" s="10">
        <v>4</v>
      </c>
      <c r="G17" s="14"/>
    </row>
    <row r="18" customFormat="1" ht="22" customHeight="1" spans="1:7">
      <c r="A18" s="8">
        <v>16</v>
      </c>
      <c r="B18" s="9">
        <v>46135</v>
      </c>
      <c r="C18" s="10" t="s">
        <v>32</v>
      </c>
      <c r="D18" s="10" t="s">
        <v>65</v>
      </c>
      <c r="E18" s="10">
        <v>4</v>
      </c>
      <c r="F18" s="15"/>
      <c r="G18" s="14"/>
    </row>
    <row r="19" customFormat="1" ht="22" customHeight="1" spans="1:7">
      <c r="A19" s="8">
        <v>17</v>
      </c>
      <c r="B19" s="9">
        <v>46135</v>
      </c>
      <c r="C19" s="10" t="s">
        <v>33</v>
      </c>
      <c r="D19" s="10" t="s">
        <v>65</v>
      </c>
      <c r="E19" s="12"/>
      <c r="F19" s="10">
        <v>4</v>
      </c>
      <c r="G19" s="14"/>
    </row>
    <row r="20" customFormat="1" ht="22" customHeight="1" spans="1:7">
      <c r="A20" s="8">
        <v>18</v>
      </c>
      <c r="B20" s="9">
        <v>46135</v>
      </c>
      <c r="C20" s="10" t="s">
        <v>34</v>
      </c>
      <c r="D20" s="10" t="s">
        <v>65</v>
      </c>
      <c r="E20" s="10">
        <v>4</v>
      </c>
      <c r="F20" s="12"/>
      <c r="G20" s="14"/>
    </row>
    <row r="21" customFormat="1" ht="22" customHeight="1" spans="1:7">
      <c r="A21" s="8">
        <v>19</v>
      </c>
      <c r="B21" s="9">
        <v>46135</v>
      </c>
      <c r="C21" s="10" t="s">
        <v>35</v>
      </c>
      <c r="D21" s="10" t="s">
        <v>65</v>
      </c>
      <c r="E21" s="12"/>
      <c r="F21" s="10">
        <v>4</v>
      </c>
      <c r="G21" s="14"/>
    </row>
    <row r="22" customFormat="1" ht="22" customHeight="1" spans="1:7">
      <c r="A22" s="8">
        <v>20</v>
      </c>
      <c r="B22" s="9">
        <v>46135</v>
      </c>
      <c r="C22" s="10" t="s">
        <v>36</v>
      </c>
      <c r="D22" s="10" t="s">
        <v>65</v>
      </c>
      <c r="E22" s="12"/>
      <c r="F22" s="10">
        <v>4</v>
      </c>
      <c r="G22" s="14"/>
    </row>
    <row r="23" customFormat="1" ht="22" customHeight="1" spans="1:7">
      <c r="A23" s="8">
        <v>21</v>
      </c>
      <c r="B23" s="9">
        <v>46135</v>
      </c>
      <c r="C23" s="10" t="s">
        <v>37</v>
      </c>
      <c r="D23" s="10" t="s">
        <v>65</v>
      </c>
      <c r="E23" s="12"/>
      <c r="F23" s="10">
        <v>4</v>
      </c>
      <c r="G23" s="14"/>
    </row>
    <row r="24" customFormat="1" ht="22" customHeight="1" spans="1:7">
      <c r="A24" s="8">
        <v>22</v>
      </c>
      <c r="B24" s="9">
        <v>46135</v>
      </c>
      <c r="C24" s="10" t="s">
        <v>53</v>
      </c>
      <c r="D24" s="10" t="s">
        <v>65</v>
      </c>
      <c r="E24" s="16">
        <v>4</v>
      </c>
      <c r="F24" s="17"/>
      <c r="G24" s="14"/>
    </row>
    <row r="25" customFormat="1" ht="22" customHeight="1" spans="1:7">
      <c r="A25" s="8">
        <v>23</v>
      </c>
      <c r="B25" s="9">
        <v>46135</v>
      </c>
      <c r="C25" s="10" t="s">
        <v>54</v>
      </c>
      <c r="D25" s="10" t="s">
        <v>65</v>
      </c>
      <c r="E25" s="16"/>
      <c r="F25" s="17">
        <v>4</v>
      </c>
      <c r="G25" s="14"/>
    </row>
    <row r="26" customFormat="1" ht="22" customHeight="1" spans="1:7">
      <c r="A26" s="8">
        <v>24</v>
      </c>
      <c r="B26" s="9">
        <v>46135</v>
      </c>
      <c r="C26" s="18" t="s">
        <v>40</v>
      </c>
      <c r="D26" s="10" t="s">
        <v>65</v>
      </c>
      <c r="E26" s="19"/>
      <c r="F26" s="16">
        <v>6</v>
      </c>
      <c r="G26" s="16" t="s">
        <v>68</v>
      </c>
    </row>
    <row r="28" ht="13.5" spans="1:7">
      <c r="E28" s="20">
        <f>SUM(E3:E26)</f>
        <v>36</v>
      </c>
      <c r="F28" s="20">
        <f>SUM(F3:F26)</f>
        <v>62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黎路金</vt:lpstr>
      <vt:lpstr>领奶表</vt:lpstr>
      <vt:lpstr>配送汇总</vt:lpstr>
      <vt:lpstr>签收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2026-04-17T12:53:52Z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