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老师" sheetId="1" r:id="rId1"/>
    <sheet name="领奶表" sheetId="5" r:id="rId2"/>
    <sheet name="配送汇总" sheetId="6" r:id="rId3"/>
    <sheet name="签收" sheetId="9" r:id="rId4"/>
    <sheet name="3.9" sheetId="2" r:id="rId5"/>
    <sheet name="3.9 (旧)" sheetId="8" r:id="rId6"/>
    <sheet name="3.12" sheetId="7" r:id="rId7"/>
    <sheet name="3.16" sheetId="10" r:id="rId8"/>
    <sheet name="3.19" sheetId="11" r:id="rId9"/>
    <sheet name="3.23（周一）" sheetId="12" r:id="rId10"/>
    <sheet name="3.26（周四）" sheetId="13" r:id="rId11"/>
  </sheets>
  <definedNames>
    <definedName name="_xlnm._FilterDatabase" localSheetId="0" hidden="1">老师!$A$4:$W$31</definedName>
    <definedName name="_xlnm._FilterDatabase" localSheetId="2" hidden="1">配送汇总!$A$1:$Y$20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<sst xmlns="http://schemas.openxmlformats.org/spreadsheetml/2006/main" count="656" uniqueCount="98">
  <si>
    <t>2026春季大湾镇中心小学教职工巴氏鲜奶补贴订购申请表（20份起送，特殊申请除外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</si>
  <si>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</si>
  <si>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</si>
  <si>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</si>
  <si>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</si>
  <si>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</si>
  <si>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</si>
  <si>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</si>
  <si>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</si>
  <si>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</si>
  <si>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</si>
  <si>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</si>
  <si>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</si>
  <si>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叶小琼</t>
  </si>
  <si>
    <t>✔</t>
  </si>
  <si>
    <t>内宿</t>
  </si>
  <si>
    <t>杨志平</t>
  </si>
  <si>
    <t>黄建霞</t>
  </si>
  <si>
    <t>外宿</t>
  </si>
  <si>
    <t>何秀芬</t>
  </si>
  <si>
    <t>罗秀坚</t>
  </si>
  <si>
    <t>√</t>
  </si>
  <si>
    <t>赖月珍</t>
  </si>
  <si>
    <t>外宿区</t>
  </si>
  <si>
    <t>何金葵</t>
  </si>
  <si>
    <t>高秀霞</t>
  </si>
  <si>
    <t>✓</t>
  </si>
  <si>
    <t>吴小燕</t>
  </si>
  <si>
    <t>陈石宁1</t>
  </si>
  <si>
    <t>邹土娇</t>
  </si>
  <si>
    <t>顾杏怡</t>
  </si>
  <si>
    <t>卢元芳</t>
  </si>
  <si>
    <t>李芷盼</t>
  </si>
  <si>
    <t>✔️</t>
  </si>
  <si>
    <t>梁记娣</t>
  </si>
  <si>
    <t>陈善坚</t>
  </si>
  <si>
    <t>梁国球</t>
  </si>
  <si>
    <t>刘焕文</t>
  </si>
  <si>
    <t>李广羚</t>
  </si>
  <si>
    <t>吴惠莲</t>
  </si>
  <si>
    <t>陈成汉</t>
  </si>
  <si>
    <t>已付款</t>
  </si>
  <si>
    <t>陈洁文</t>
  </si>
  <si>
    <t>3/12新增</t>
  </si>
  <si>
    <t>廖沛宜</t>
  </si>
  <si>
    <t>赖细奀</t>
  </si>
  <si>
    <t>外宿区，保安大叔</t>
  </si>
  <si>
    <t>陈石宁2</t>
  </si>
  <si>
    <t>英德市大湾镇中心小学教师鲜奶领奶表</t>
  </si>
  <si>
    <t>（ ）月份（填写领取数量/盒）</t>
  </si>
  <si>
    <t>姓名</t>
  </si>
  <si>
    <t xml:space="preserve">                                                   英德市大湾镇中心小学教师鲜奶领奶表</t>
  </si>
  <si>
    <t>订购份数</t>
  </si>
  <si>
    <t>总计</t>
  </si>
  <si>
    <t>剩余</t>
  </si>
  <si>
    <t>续订已收款</t>
  </si>
  <si>
    <t>顾杏怡1</t>
  </si>
  <si>
    <t>顾杏怡2</t>
  </si>
  <si>
    <t>刘焕文1</t>
  </si>
  <si>
    <t>刘焕文2</t>
  </si>
  <si>
    <t>大湾镇中心小学教师鲜奶赠品领取表（内宿）</t>
  </si>
  <si>
    <t>配送日期</t>
  </si>
  <si>
    <t>礼品份数
（笔记本+笔）</t>
  </si>
  <si>
    <t>签名</t>
  </si>
  <si>
    <t>3.19送</t>
  </si>
  <si>
    <t>大湾镇中心小学教师鲜奶领奶表（内宿）</t>
  </si>
  <si>
    <t>配送天数</t>
  </si>
  <si>
    <t>鲜</t>
  </si>
  <si>
    <t>酸</t>
  </si>
  <si>
    <t>3天</t>
  </si>
  <si>
    <t>内宿区多</t>
  </si>
  <si>
    <t>赖育婷</t>
  </si>
  <si>
    <t>原酸3</t>
  </si>
  <si>
    <t>李广羚1</t>
  </si>
  <si>
    <t>原鲜3</t>
  </si>
  <si>
    <t>李广羚2</t>
  </si>
  <si>
    <t>邹土娇1</t>
  </si>
  <si>
    <t>邹土娇2</t>
  </si>
  <si>
    <t>吴小燕1</t>
  </si>
  <si>
    <t>原鲜2酸1</t>
  </si>
  <si>
    <t>关伟</t>
  </si>
  <si>
    <t>罗丽芳</t>
  </si>
  <si>
    <t>赖月珍1</t>
  </si>
  <si>
    <t>朱北辉</t>
  </si>
  <si>
    <t>赖月珍2</t>
  </si>
  <si>
    <t>毛春梅1</t>
  </si>
  <si>
    <t>陈石宁</t>
  </si>
  <si>
    <t>毛春梅2</t>
  </si>
  <si>
    <t>吴小燕2</t>
  </si>
  <si>
    <t>谭小芳</t>
  </si>
  <si>
    <t>张晓丽</t>
  </si>
  <si>
    <t>蓝燕婵</t>
  </si>
  <si>
    <t>洪英华</t>
  </si>
  <si>
    <t>改为一般鲜一般酸</t>
  </si>
  <si>
    <t>补发</t>
  </si>
  <si>
    <t>改为一半鲜一半酸</t>
  </si>
  <si>
    <t>周一3支 周四4支</t>
  </si>
  <si>
    <t>周一配3支 周四配4支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</si>
</sst>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33" fillId="5" borderId="16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0" xfId="0" applyFont="1">
      <alignment vertical="center"/>
    </xf>
    <xf numFmtId="58" fontId="4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0" fillId="2" borderId="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 wrapText="1"/>
    </xf>
    <xf numFmtId="58" fontId="14" fillId="0" borderId="4" xfId="0" applyNumberFormat="1" applyFont="1" applyFill="1" applyBorder="1" applyAlignment="1">
      <alignment horizontal="center" vertical="center" wrapText="1"/>
    </xf>
    <xf numFmtId="58" fontId="14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7" fillId="0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5" fillId="0" borderId="4" xfId="0" applyNumberFormat="1" applyFont="1" applyFill="1" applyBorder="1" applyAlignment="1">
      <alignment vertical="center"/>
    </xf>
    <xf numFmtId="0" fontId="18" fillId="0" borderId="4" xfId="0" applyNumberFormat="1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9"/>
  <sheetViews>
    <sheetView tabSelected="1" topLeftCell="A3" workbookViewId="0">
      <selection activeCell="H15" sqref="H15"/>
    </sheetView>
  </sheetViews>
  <sheetFormatPr defaultColWidth="14" defaultRowHeight="18" customHeight="1"/>
  <cols>
    <col min="8" max="8" width="18.1428571428571" customWidth="1"/>
  </cols>
  <sheetData>
    <row r="1" customFormat="1" ht="20.25" customHeight="1" spans="1:23">
      <c r="A1" s="80" t="s">
        <v>0</v>
      </c>
      <c r="B1" s="80"/>
      <c r="C1" s="80"/>
      <c r="D1" s="80"/>
      <c r="E1" s="80"/>
      <c r="F1" s="80"/>
      <c r="G1" s="80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customFormat="1" ht="20.25" customHeight="1" spans="1:23">
      <c r="A2" s="82" t="s">
        <v>1</v>
      </c>
      <c r="B2" s="82"/>
      <c r="C2" s="82"/>
      <c r="D2" s="82"/>
      <c r="E2" s="82"/>
      <c r="F2" s="82"/>
      <c r="G2" s="82"/>
      <c r="H2" s="82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</row>
    <row r="3" customFormat="1" customHeight="1" spans="1:23">
      <c r="A3" s="83" t="s">
        <v>2</v>
      </c>
      <c r="B3" s="83" t="s">
        <v>3</v>
      </c>
      <c r="C3" s="83" t="s">
        <v>4</v>
      </c>
      <c r="D3" s="84" t="s">
        <v>5</v>
      </c>
      <c r="E3" s="84"/>
      <c r="F3" s="84" t="s">
        <v>6</v>
      </c>
      <c r="G3" s="84"/>
      <c r="H3" s="83" t="s">
        <v>7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</row>
    <row r="4" customFormat="1" ht="54" spans="1:23">
      <c r="A4" s="83"/>
      <c r="B4" s="83"/>
      <c r="C4" s="83"/>
      <c r="D4" s="85" t="s">
        <v>8</v>
      </c>
      <c r="E4" s="85" t="s">
        <v>9</v>
      </c>
      <c r="F4" s="85" t="s">
        <v>10</v>
      </c>
      <c r="G4" s="85" t="s">
        <v>11</v>
      </c>
      <c r="H4" s="86" t="s">
        <v>12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</row>
    <row r="5" customFormat="1" customHeight="1" spans="1:23">
      <c r="A5" s="54">
        <v>1</v>
      </c>
      <c r="B5" s="87" t="s">
        <v>13</v>
      </c>
      <c r="C5" s="54">
        <v>13431957462</v>
      </c>
      <c r="D5" s="54" t="s">
        <v>14</v>
      </c>
      <c r="E5" s="88"/>
      <c r="F5" s="54">
        <v>350</v>
      </c>
      <c r="G5" s="54">
        <v>210</v>
      </c>
      <c r="H5" s="54" t="s">
        <v>15</v>
      </c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</row>
    <row r="6" customFormat="1" customHeight="1" spans="1:23">
      <c r="A6" s="54">
        <v>2</v>
      </c>
      <c r="B6" s="87" t="s">
        <v>16</v>
      </c>
      <c r="C6" s="54">
        <v>15917601225</v>
      </c>
      <c r="D6" s="54" t="s">
        <v>14</v>
      </c>
      <c r="E6" s="88"/>
      <c r="F6" s="54">
        <v>350</v>
      </c>
      <c r="G6" s="54">
        <v>210</v>
      </c>
      <c r="H6" s="54" t="s">
        <v>15</v>
      </c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</row>
    <row r="7" customFormat="1" customHeight="1" spans="1:23">
      <c r="A7" s="54">
        <v>3</v>
      </c>
      <c r="B7" s="87" t="s">
        <v>17</v>
      </c>
      <c r="C7" s="54">
        <v>13729684320</v>
      </c>
      <c r="D7" s="54" t="s">
        <v>14</v>
      </c>
      <c r="E7" s="88"/>
      <c r="F7" s="54">
        <v>350</v>
      </c>
      <c r="G7" s="54">
        <v>210</v>
      </c>
      <c r="H7" s="54" t="s">
        <v>18</v>
      </c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</row>
    <row r="8" customFormat="1" customHeight="1" spans="1:23">
      <c r="A8" s="54">
        <v>4</v>
      </c>
      <c r="B8" s="87" t="s">
        <v>19</v>
      </c>
      <c r="C8" s="54">
        <v>15975861397</v>
      </c>
      <c r="D8" s="54" t="s">
        <v>14</v>
      </c>
      <c r="E8" s="88"/>
      <c r="F8" s="54">
        <v>350</v>
      </c>
      <c r="G8" s="54">
        <v>210</v>
      </c>
      <c r="H8" s="54" t="s">
        <v>18</v>
      </c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</row>
    <row r="9" customFormat="1" customHeight="1" spans="1:23">
      <c r="A9" s="54">
        <v>5</v>
      </c>
      <c r="B9" s="87" t="s">
        <v>20</v>
      </c>
      <c r="C9" s="54">
        <v>13653012400</v>
      </c>
      <c r="D9" s="88"/>
      <c r="E9" s="54" t="s">
        <v>21</v>
      </c>
      <c r="F9" s="54">
        <v>350</v>
      </c>
      <c r="G9" s="54">
        <v>210</v>
      </c>
      <c r="H9" s="54" t="s">
        <v>15</v>
      </c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</row>
    <row r="10" customFormat="1" customHeight="1" spans="1:23">
      <c r="A10" s="54">
        <v>6</v>
      </c>
      <c r="B10" s="87" t="s">
        <v>22</v>
      </c>
      <c r="C10" s="54">
        <v>13631058001</v>
      </c>
      <c r="D10" s="88"/>
      <c r="E10" s="54" t="s">
        <v>21</v>
      </c>
      <c r="F10" s="54">
        <v>350</v>
      </c>
      <c r="G10" s="54">
        <v>210</v>
      </c>
      <c r="H10" s="54" t="s">
        <v>23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</row>
    <row r="11" customFormat="1" customHeight="1" spans="1:23">
      <c r="A11" s="54">
        <v>7</v>
      </c>
      <c r="B11" s="87" t="s">
        <v>22</v>
      </c>
      <c r="C11" s="54">
        <v>13631058001</v>
      </c>
      <c r="D11" s="54" t="s">
        <v>21</v>
      </c>
      <c r="E11" s="88"/>
      <c r="F11" s="54">
        <v>350</v>
      </c>
      <c r="G11" s="54">
        <v>210</v>
      </c>
      <c r="H11" s="54" t="s">
        <v>23</v>
      </c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</row>
    <row r="12" customFormat="1" customHeight="1" spans="1:23">
      <c r="A12" s="54">
        <v>8</v>
      </c>
      <c r="B12" s="87" t="s">
        <v>24</v>
      </c>
      <c r="C12" s="54">
        <v>15915170806</v>
      </c>
      <c r="D12" s="54" t="s">
        <v>14</v>
      </c>
      <c r="E12" s="54" t="s">
        <v>14</v>
      </c>
      <c r="F12" s="54">
        <v>350</v>
      </c>
      <c r="G12" s="54">
        <v>210</v>
      </c>
      <c r="H12" s="54" t="s">
        <v>15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</row>
    <row r="13" customFormat="1" customHeight="1" spans="1:23">
      <c r="A13" s="54">
        <v>9</v>
      </c>
      <c r="B13" s="87" t="s">
        <v>25</v>
      </c>
      <c r="C13" s="54">
        <v>15917627409</v>
      </c>
      <c r="D13" s="54" t="s">
        <v>26</v>
      </c>
      <c r="E13" s="88"/>
      <c r="F13" s="54">
        <v>350</v>
      </c>
      <c r="G13" s="54">
        <v>210</v>
      </c>
      <c r="H13" s="54" t="s">
        <v>15</v>
      </c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</row>
    <row r="14" customFormat="1" customHeight="1" spans="1:23">
      <c r="A14" s="54">
        <v>10</v>
      </c>
      <c r="B14" s="87" t="s">
        <v>27</v>
      </c>
      <c r="C14" s="54">
        <v>15917613313</v>
      </c>
      <c r="D14" s="54" t="s">
        <v>26</v>
      </c>
      <c r="E14" s="88"/>
      <c r="F14" s="54">
        <v>350</v>
      </c>
      <c r="G14" s="54">
        <v>210</v>
      </c>
      <c r="H14" s="54" t="s">
        <v>15</v>
      </c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</row>
    <row r="15" customFormat="1" customHeight="1" spans="1:23">
      <c r="A15" s="54">
        <v>11</v>
      </c>
      <c r="B15" s="87" t="s">
        <v>28</v>
      </c>
      <c r="C15" s="54">
        <v>13539522446</v>
      </c>
      <c r="D15" s="54" t="s">
        <v>14</v>
      </c>
      <c r="E15" s="54"/>
      <c r="F15" s="54">
        <v>350</v>
      </c>
      <c r="G15" s="54">
        <v>210</v>
      </c>
      <c r="H15" s="54" t="s">
        <v>18</v>
      </c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</row>
    <row r="16" customFormat="1" customHeight="1" spans="1:23">
      <c r="A16" s="54">
        <v>12</v>
      </c>
      <c r="B16" s="87" t="s">
        <v>29</v>
      </c>
      <c r="C16" s="54">
        <v>15915184804</v>
      </c>
      <c r="D16" s="88"/>
      <c r="E16" s="54" t="s">
        <v>14</v>
      </c>
      <c r="F16" s="54">
        <v>350</v>
      </c>
      <c r="G16" s="54">
        <v>210</v>
      </c>
      <c r="H16" s="54" t="s">
        <v>15</v>
      </c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</row>
    <row r="17" customFormat="1" customHeight="1" spans="1:23">
      <c r="A17" s="54">
        <v>13</v>
      </c>
      <c r="B17" s="87" t="s">
        <v>30</v>
      </c>
      <c r="C17" s="54">
        <v>13610590470</v>
      </c>
      <c r="D17" s="54" t="s">
        <v>14</v>
      </c>
      <c r="E17" s="88"/>
      <c r="F17" s="54">
        <v>350</v>
      </c>
      <c r="G17" s="54">
        <v>210</v>
      </c>
      <c r="H17" s="54" t="s">
        <v>15</v>
      </c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</row>
    <row r="18" customFormat="1" customHeight="1" spans="1:23">
      <c r="A18" s="54">
        <v>14</v>
      </c>
      <c r="B18" s="87" t="s">
        <v>30</v>
      </c>
      <c r="C18" s="54">
        <v>13610590470</v>
      </c>
      <c r="D18" s="88"/>
      <c r="E18" s="54" t="s">
        <v>14</v>
      </c>
      <c r="F18" s="54">
        <v>350</v>
      </c>
      <c r="G18" s="54">
        <v>210</v>
      </c>
      <c r="H18" s="54" t="s">
        <v>15</v>
      </c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</row>
    <row r="19" customFormat="1" customHeight="1" spans="1:23">
      <c r="A19" s="54">
        <v>15</v>
      </c>
      <c r="B19" s="87" t="s">
        <v>31</v>
      </c>
      <c r="C19" s="54">
        <v>13631077459</v>
      </c>
      <c r="D19" s="54" t="s">
        <v>21</v>
      </c>
      <c r="E19" s="54" t="s">
        <v>21</v>
      </c>
      <c r="F19" s="54">
        <v>350</v>
      </c>
      <c r="G19" s="54">
        <v>210</v>
      </c>
      <c r="H19" s="54" t="s">
        <v>23</v>
      </c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</row>
    <row r="20" customFormat="1" customHeight="1" spans="1:23">
      <c r="A20" s="54">
        <v>16</v>
      </c>
      <c r="B20" s="87" t="s">
        <v>32</v>
      </c>
      <c r="C20" s="54">
        <v>18900898321</v>
      </c>
      <c r="D20" s="54" t="s">
        <v>33</v>
      </c>
      <c r="E20" s="89"/>
      <c r="F20" s="54">
        <v>350</v>
      </c>
      <c r="G20" s="54">
        <v>210</v>
      </c>
      <c r="H20" s="54" t="s">
        <v>23</v>
      </c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</row>
    <row r="21" customFormat="1" customHeight="1" spans="1:23">
      <c r="A21" s="54">
        <v>17</v>
      </c>
      <c r="B21" s="87" t="s">
        <v>34</v>
      </c>
      <c r="C21" s="54">
        <v>13415264811</v>
      </c>
      <c r="D21" s="88"/>
      <c r="E21" s="54" t="s">
        <v>14</v>
      </c>
      <c r="F21" s="54">
        <v>350</v>
      </c>
      <c r="G21" s="54">
        <v>210</v>
      </c>
      <c r="H21" s="54" t="s">
        <v>15</v>
      </c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</row>
    <row r="22" customFormat="1" customHeight="1" spans="1:23">
      <c r="A22" s="54">
        <v>18</v>
      </c>
      <c r="B22" s="87" t="s">
        <v>35</v>
      </c>
      <c r="C22" s="54">
        <v>13631056586</v>
      </c>
      <c r="D22" s="88"/>
      <c r="E22" s="54" t="s">
        <v>14</v>
      </c>
      <c r="F22" s="54">
        <v>350</v>
      </c>
      <c r="G22" s="54">
        <v>210</v>
      </c>
      <c r="H22" s="54" t="s">
        <v>23</v>
      </c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</row>
    <row r="23" customFormat="1" customHeight="1" spans="1:23">
      <c r="A23" s="54">
        <v>19</v>
      </c>
      <c r="B23" s="87" t="s">
        <v>36</v>
      </c>
      <c r="C23" s="54">
        <v>13610537850</v>
      </c>
      <c r="D23" s="54" t="s">
        <v>21</v>
      </c>
      <c r="E23" s="88"/>
      <c r="F23" s="54">
        <v>350</v>
      </c>
      <c r="G23" s="54">
        <v>210</v>
      </c>
      <c r="H23" s="54" t="s">
        <v>15</v>
      </c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</row>
    <row r="24" customFormat="1" customHeight="1" spans="1:23">
      <c r="A24" s="54">
        <v>20</v>
      </c>
      <c r="B24" s="87" t="s">
        <v>37</v>
      </c>
      <c r="C24" s="54">
        <v>13413592703</v>
      </c>
      <c r="D24" s="88"/>
      <c r="E24" s="54" t="s">
        <v>14</v>
      </c>
      <c r="F24" s="54">
        <v>350</v>
      </c>
      <c r="G24" s="54">
        <v>210</v>
      </c>
      <c r="H24" s="54" t="s">
        <v>15</v>
      </c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</row>
    <row r="25" customFormat="1" customHeight="1" spans="1:23">
      <c r="A25" s="54">
        <v>21</v>
      </c>
      <c r="B25" s="87" t="s">
        <v>37</v>
      </c>
      <c r="C25" s="54">
        <v>13413592703</v>
      </c>
      <c r="D25" s="88"/>
      <c r="E25" s="54" t="s">
        <v>14</v>
      </c>
      <c r="F25" s="54">
        <v>350</v>
      </c>
      <c r="G25" s="54">
        <v>210</v>
      </c>
      <c r="H25" s="54" t="s">
        <v>15</v>
      </c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</row>
    <row r="26" customFormat="1" customHeight="1" spans="1:23">
      <c r="A26" s="54">
        <v>22</v>
      </c>
      <c r="B26" s="87" t="s">
        <v>38</v>
      </c>
      <c r="C26" s="54">
        <v>13416582336</v>
      </c>
      <c r="D26" s="54" t="s">
        <v>14</v>
      </c>
      <c r="E26" s="54" t="s">
        <v>14</v>
      </c>
      <c r="F26" s="54">
        <v>350</v>
      </c>
      <c r="G26" s="54">
        <v>210</v>
      </c>
      <c r="H26" s="54" t="s">
        <v>15</v>
      </c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</row>
    <row r="27" customFormat="1" customHeight="1" spans="1:23">
      <c r="A27" s="54">
        <v>23</v>
      </c>
      <c r="B27" s="87" t="s">
        <v>39</v>
      </c>
      <c r="C27" s="54">
        <v>13729600552</v>
      </c>
      <c r="D27" s="88"/>
      <c r="E27" s="54" t="s">
        <v>21</v>
      </c>
      <c r="F27" s="54">
        <v>350</v>
      </c>
      <c r="G27" s="54">
        <v>210</v>
      </c>
      <c r="H27" s="54" t="s">
        <v>15</v>
      </c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</row>
    <row r="28" customFormat="1" customHeight="1" spans="1:23">
      <c r="A28" s="54">
        <v>24</v>
      </c>
      <c r="B28" s="88" t="s">
        <v>40</v>
      </c>
      <c r="C28" s="88">
        <v>13610569686</v>
      </c>
      <c r="D28" s="54" t="s">
        <v>26</v>
      </c>
      <c r="E28" s="88"/>
      <c r="F28" s="54">
        <v>350</v>
      </c>
      <c r="G28" s="54">
        <v>210</v>
      </c>
      <c r="H28" s="54" t="s">
        <v>15</v>
      </c>
      <c r="I28" s="90" t="s">
        <v>41</v>
      </c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</row>
    <row r="29" customFormat="1" customHeight="1" spans="1:23">
      <c r="A29" s="54">
        <v>31</v>
      </c>
      <c r="B29" s="88" t="s">
        <v>42</v>
      </c>
      <c r="C29" s="88"/>
      <c r="D29" s="54" t="s">
        <v>26</v>
      </c>
      <c r="E29" s="88"/>
      <c r="F29" s="54">
        <v>350</v>
      </c>
      <c r="G29" s="54">
        <v>210</v>
      </c>
      <c r="H29" s="54" t="s">
        <v>15</v>
      </c>
      <c r="I29" s="81" t="s">
        <v>43</v>
      </c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</row>
    <row r="30" customFormat="1" customHeight="1" spans="1:23">
      <c r="A30" s="54">
        <v>32</v>
      </c>
      <c r="B30" s="88" t="s">
        <v>44</v>
      </c>
      <c r="C30" s="88"/>
      <c r="D30" s="54" t="s">
        <v>26</v>
      </c>
      <c r="E30" s="88"/>
      <c r="F30" s="54">
        <v>350</v>
      </c>
      <c r="G30" s="54">
        <v>210</v>
      </c>
      <c r="H30" s="54" t="s">
        <v>15</v>
      </c>
      <c r="I30" s="81" t="s">
        <v>43</v>
      </c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</row>
    <row r="31" customFormat="1" customHeight="1" spans="1:23">
      <c r="A31" s="54">
        <v>33</v>
      </c>
      <c r="B31" s="88" t="s">
        <v>45</v>
      </c>
      <c r="C31" s="88">
        <v>13727107369</v>
      </c>
      <c r="D31" s="54" t="s">
        <v>26</v>
      </c>
      <c r="E31" s="88"/>
      <c r="F31" s="54">
        <v>350</v>
      </c>
      <c r="G31" s="54">
        <v>210</v>
      </c>
      <c r="H31" s="54" t="s">
        <v>46</v>
      </c>
      <c r="I31" s="81" t="s">
        <v>43</v>
      </c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</row>
    <row r="32" customFormat="1" customHeight="1" spans="1:23">
      <c r="A32" s="54">
        <v>34</v>
      </c>
      <c r="B32" s="91" t="s">
        <v>47</v>
      </c>
      <c r="C32" s="88"/>
      <c r="D32" s="88"/>
      <c r="E32" s="54" t="s">
        <v>21</v>
      </c>
      <c r="F32" s="54">
        <v>350</v>
      </c>
      <c r="G32" s="54">
        <v>210</v>
      </c>
      <c r="H32" s="88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</row>
    <row r="33" customFormat="1" customHeight="1" spans="1:23">
      <c r="A33" s="54">
        <v>35</v>
      </c>
      <c r="B33" s="88"/>
      <c r="C33" s="88"/>
      <c r="D33" s="88"/>
      <c r="E33" s="88"/>
      <c r="F33" s="54">
        <v>350</v>
      </c>
      <c r="G33" s="54">
        <v>210</v>
      </c>
      <c r="H33" s="88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</row>
    <row r="34" customFormat="1" customHeight="1" spans="1:23">
      <c r="A34" s="54">
        <v>36</v>
      </c>
      <c r="B34" s="88"/>
      <c r="C34" s="88"/>
      <c r="D34" s="88"/>
      <c r="E34" s="88"/>
      <c r="F34" s="54">
        <v>350</v>
      </c>
      <c r="G34" s="54">
        <v>210</v>
      </c>
      <c r="H34" s="88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</row>
    <row r="35" customFormat="1" customHeight="1" spans="1:23">
      <c r="A35" s="54">
        <v>37</v>
      </c>
      <c r="B35" s="88"/>
      <c r="C35" s="88"/>
      <c r="D35" s="88"/>
      <c r="E35" s="88"/>
      <c r="F35" s="54">
        <v>350</v>
      </c>
      <c r="G35" s="54">
        <v>210</v>
      </c>
      <c r="H35" s="88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</row>
    <row r="36" customFormat="1" customHeight="1" spans="1:23">
      <c r="A36" s="54">
        <v>38</v>
      </c>
      <c r="B36" s="88"/>
      <c r="C36" s="88"/>
      <c r="D36" s="88"/>
      <c r="E36" s="88"/>
      <c r="F36" s="54">
        <v>350</v>
      </c>
      <c r="G36" s="54">
        <v>210</v>
      </c>
      <c r="H36" s="88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</row>
    <row r="37" customFormat="1" customHeight="1" spans="1:23">
      <c r="A37" s="54">
        <v>39</v>
      </c>
      <c r="B37" s="88"/>
      <c r="C37" s="88"/>
      <c r="D37" s="88"/>
      <c r="E37" s="88"/>
      <c r="F37" s="54">
        <v>350</v>
      </c>
      <c r="G37" s="54">
        <v>210</v>
      </c>
      <c r="H37" s="88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</row>
    <row r="38" customFormat="1" customHeight="1" spans="1:23">
      <c r="A38" s="54">
        <v>40</v>
      </c>
      <c r="B38" s="88"/>
      <c r="C38" s="88"/>
      <c r="D38" s="88"/>
      <c r="E38" s="88"/>
      <c r="F38" s="54">
        <v>350</v>
      </c>
      <c r="G38" s="54">
        <v>210</v>
      </c>
      <c r="H38" s="88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</row>
    <row r="39" customFormat="1" customHeight="1" spans="1:23">
      <c r="A39" s="54">
        <v>41</v>
      </c>
      <c r="B39" s="88"/>
      <c r="C39" s="88"/>
      <c r="D39" s="88"/>
      <c r="E39" s="88"/>
      <c r="F39" s="54">
        <v>350</v>
      </c>
      <c r="G39" s="54">
        <v>210</v>
      </c>
      <c r="H39" s="88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</row>
    <row r="40" customFormat="1" customHeight="1" spans="1:23">
      <c r="A40" s="54">
        <v>42</v>
      </c>
      <c r="B40" s="88"/>
      <c r="C40" s="88"/>
      <c r="D40" s="88"/>
      <c r="E40" s="88"/>
      <c r="F40" s="54">
        <v>350</v>
      </c>
      <c r="G40" s="54">
        <v>210</v>
      </c>
      <c r="H40" s="88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</row>
    <row r="41" customFormat="1" customHeight="1" spans="1:23">
      <c r="A41" s="54">
        <v>43</v>
      </c>
      <c r="B41" s="88"/>
      <c r="C41" s="88"/>
      <c r="D41" s="88"/>
      <c r="E41" s="88"/>
      <c r="F41" s="54">
        <v>350</v>
      </c>
      <c r="G41" s="54">
        <v>210</v>
      </c>
      <c r="H41" s="88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</row>
    <row r="42" customFormat="1" customHeight="1" spans="1:23">
      <c r="A42" s="54">
        <v>44</v>
      </c>
      <c r="B42" s="88"/>
      <c r="C42" s="88"/>
      <c r="D42" s="88"/>
      <c r="E42" s="88"/>
      <c r="F42" s="54">
        <v>350</v>
      </c>
      <c r="G42" s="54">
        <v>210</v>
      </c>
      <c r="H42" s="88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</row>
    <row r="43" customFormat="1" customHeight="1" spans="1:23">
      <c r="A43" s="54">
        <v>45</v>
      </c>
      <c r="B43" s="88"/>
      <c r="C43" s="88"/>
      <c r="D43" s="88"/>
      <c r="E43" s="88"/>
      <c r="F43" s="54">
        <v>350</v>
      </c>
      <c r="G43" s="54">
        <v>210</v>
      </c>
      <c r="H43" s="88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</row>
    <row r="44" customFormat="1" customHeight="1" spans="1:23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</row>
    <row r="45" customFormat="1" customHeight="1" spans="1:23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</row>
    <row r="46" customFormat="1" customHeight="1" spans="1:23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</row>
    <row r="47" customFormat="1" customHeight="1" spans="1:23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</row>
    <row r="48" customFormat="1" customHeight="1" spans="1:23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</row>
    <row r="49" customFormat="1" customHeight="1" spans="1:23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</row>
    <row r="50" customFormat="1" customHeight="1" spans="1:23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</row>
    <row r="51" customFormat="1" customHeight="1" spans="1:23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</row>
    <row r="52" customFormat="1" customHeight="1" spans="1:23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</row>
    <row r="53" customFormat="1" customHeight="1" spans="1:2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</row>
    <row r="54" customFormat="1" customHeight="1" spans="1:23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</row>
    <row r="55" customFormat="1" customHeight="1" spans="1:23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</row>
    <row r="56" customFormat="1" customHeight="1" spans="1:23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</row>
    <row r="57" customFormat="1" customHeight="1" spans="1:23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</row>
    <row r="58" customFormat="1" customHeight="1" spans="1:23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</row>
    <row r="59" customFormat="1" customHeight="1" spans="1:23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</row>
    <row r="60" customFormat="1" customHeight="1" spans="1:23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customFormat="1" customHeight="1" spans="1:23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</row>
    <row r="62" customFormat="1" customHeight="1" spans="1:23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</row>
    <row r="63" customFormat="1" customHeight="1" spans="1:2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</row>
    <row r="64" customFormat="1" customHeight="1" spans="1:23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</row>
    <row r="65" customFormat="1" customHeight="1" spans="1:23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</row>
    <row r="66" customFormat="1" customHeight="1" spans="1:23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</row>
    <row r="67" customFormat="1" customHeight="1" spans="1:23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</row>
    <row r="68" customFormat="1" customHeight="1" spans="1:23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</row>
    <row r="69" customFormat="1" customHeight="1" spans="1:23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</row>
    <row r="70" customFormat="1" customHeight="1" spans="1:23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</row>
    <row r="71" customFormat="1" customHeight="1" spans="1:23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</row>
    <row r="72" customFormat="1" customHeight="1" spans="1:23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</row>
    <row r="73" customFormat="1" customHeight="1" spans="1:2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</row>
    <row r="74" customFormat="1" customHeight="1" spans="1:23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</row>
    <row r="75" customFormat="1" customHeight="1" spans="1:23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</row>
    <row r="76" customFormat="1" customHeight="1" spans="1:23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</row>
    <row r="77" customFormat="1" customHeight="1" spans="1:23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</row>
    <row r="78" customFormat="1" customHeight="1" spans="1:23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</row>
    <row r="79" customFormat="1" customHeight="1" spans="1:23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</row>
    <row r="80" customFormat="1" customHeight="1" spans="1:23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</row>
    <row r="81" customFormat="1" customHeight="1" spans="1:23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</row>
    <row r="82" customFormat="1" customHeight="1" spans="1:23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</row>
    <row r="83" customFormat="1" customHeight="1" spans="1:2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</row>
    <row r="84" customFormat="1" customHeight="1" spans="1:23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</row>
    <row r="85" customFormat="1" customHeight="1" spans="1:23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</row>
    <row r="86" customFormat="1" customHeight="1" spans="1:23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</row>
    <row r="87" customFormat="1" customHeight="1" spans="1:23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</row>
    <row r="88" customFormat="1" customHeight="1" spans="1:23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</row>
    <row r="89" customFormat="1" customHeight="1" spans="1:23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</row>
    <row r="90" customFormat="1" customHeight="1" spans="1:23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</row>
    <row r="91" customFormat="1" customHeight="1" spans="1:23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</row>
    <row r="92" customFormat="1" customHeight="1" spans="1:23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</row>
    <row r="93" customFormat="1" customHeight="1" spans="1:2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</row>
    <row r="94" customFormat="1" customHeight="1" spans="1:23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</row>
    <row r="95" customFormat="1" customHeight="1" spans="1:23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</row>
    <row r="96" customFormat="1" customHeight="1" spans="1:23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</row>
    <row r="97" customFormat="1" customHeight="1" spans="1:23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</row>
    <row r="98" customFormat="1" customHeight="1" spans="1:23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</row>
    <row r="99" customFormat="1" customHeight="1" spans="1:23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</row>
    <row r="100" customFormat="1" customHeight="1" spans="1:23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</row>
    <row r="101" customFormat="1" customHeight="1" spans="1:23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</row>
    <row r="102" customFormat="1" customHeight="1" spans="1:23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</row>
    <row r="103" customFormat="1" customHeight="1" spans="1:2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</row>
    <row r="104" customFormat="1" customHeight="1" spans="1:23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</row>
    <row r="105" customFormat="1" customHeight="1" spans="1:23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</row>
    <row r="106" customFormat="1" customHeight="1" spans="1:23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</row>
    <row r="107" customFormat="1" customHeight="1" spans="1:23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</row>
    <row r="108" customFormat="1" customHeight="1" spans="1:23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</row>
    <row r="109" customFormat="1" customHeight="1" spans="1:23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</row>
    <row r="110" customFormat="1" customHeight="1" spans="1:23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</row>
    <row r="111" customFormat="1" customHeight="1" spans="1:23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</row>
    <row r="112" customFormat="1" customHeight="1" spans="1:23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</row>
    <row r="113" customFormat="1" customHeight="1" spans="1:2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</row>
    <row r="114" customFormat="1" customHeight="1" spans="1:23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</row>
    <row r="115" customFormat="1" customHeight="1" spans="1:23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</row>
    <row r="116" customFormat="1" customHeight="1" spans="1:23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</row>
    <row r="117" customFormat="1" customHeight="1" spans="1:23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</row>
    <row r="118" customFormat="1" customHeight="1" spans="1:23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</row>
    <row r="119" customFormat="1" customHeight="1" spans="1:23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</row>
    <row r="120" customFormat="1" customHeight="1" spans="1:23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</row>
    <row r="121" customFormat="1" customHeight="1" spans="1:23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</row>
    <row r="122" customFormat="1" customHeight="1" spans="1:23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</row>
    <row r="123" customFormat="1" customHeight="1" spans="1: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</row>
    <row r="124" customFormat="1" customHeight="1" spans="1:23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</row>
    <row r="125" customFormat="1" customHeight="1" spans="1:23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</row>
    <row r="126" customFormat="1" customHeight="1" spans="1:23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</row>
    <row r="127" customFormat="1" customHeight="1" spans="1:23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</row>
    <row r="128" customFormat="1" customHeight="1" spans="1:23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</row>
    <row r="129" customFormat="1" customHeight="1" spans="1:23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</row>
    <row r="130" customFormat="1" customHeight="1" spans="1:23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</row>
    <row r="131" customFormat="1" customHeight="1" spans="1:23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</row>
    <row r="132" customFormat="1" customHeight="1" spans="1:23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</row>
    <row r="133" customFormat="1" customHeight="1" spans="1:2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</row>
    <row r="134" customFormat="1" customHeight="1" spans="1:23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</row>
    <row r="135" customFormat="1" customHeight="1" spans="1:23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</row>
    <row r="136" customFormat="1" customHeight="1" spans="1:23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</row>
    <row r="137" customFormat="1" customHeight="1" spans="1:23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</row>
    <row r="138" customFormat="1" customHeight="1" spans="1:23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</row>
    <row r="139" customFormat="1" customHeight="1" spans="1:23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</row>
    <row r="140" customFormat="1" customHeight="1" spans="1:23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</row>
    <row r="141" customFormat="1" customHeight="1" spans="1:23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</row>
    <row r="142" customFormat="1" customHeight="1" spans="1:23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</row>
    <row r="143" customFormat="1" customHeight="1" spans="1:2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</row>
    <row r="144" customFormat="1" customHeight="1" spans="1:23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</row>
    <row r="145" customFormat="1" customHeight="1" spans="1:23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</row>
    <row r="146" customFormat="1" customHeight="1" spans="1:23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</row>
    <row r="147" customFormat="1" customHeight="1" spans="1:23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</row>
    <row r="148" customFormat="1" customHeight="1" spans="1:23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</row>
    <row r="149" customFormat="1" customHeight="1" spans="1:23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</row>
    <row r="150" customFormat="1" customHeight="1" spans="1:23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</row>
    <row r="151" customFormat="1" customHeight="1" spans="1:23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</row>
    <row r="152" customFormat="1" customHeight="1" spans="1:23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</row>
    <row r="153" customFormat="1" customHeight="1" spans="1:2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</row>
    <row r="154" customFormat="1" customHeight="1" spans="1:23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</row>
    <row r="155" customFormat="1" customHeight="1" spans="1:23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</row>
    <row r="156" customFormat="1" customHeight="1" spans="1:23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</row>
    <row r="157" customFormat="1" customHeight="1" spans="1:23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</row>
    <row r="158" customFormat="1" customHeight="1" spans="1:23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</row>
    <row r="159" customFormat="1" customHeight="1" spans="1:23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</row>
    <row r="160" customFormat="1" customHeight="1" spans="1:23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</row>
    <row r="161" customFormat="1" customHeight="1" spans="1:23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</row>
    <row r="162" customFormat="1" customHeight="1" spans="1:23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</row>
    <row r="163" customFormat="1" customHeight="1" spans="1:2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</row>
    <row r="164" customFormat="1" customHeight="1" spans="1:23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</row>
    <row r="165" customFormat="1" customHeight="1" spans="1:23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</row>
    <row r="166" customFormat="1" customHeight="1" spans="1:23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</row>
    <row r="167" customFormat="1" customHeight="1" spans="1:23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</row>
    <row r="168" customFormat="1" customHeight="1" spans="1:23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</row>
    <row r="169" customFormat="1" customHeight="1" spans="1:23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</row>
    <row r="170" customFormat="1" customHeight="1" spans="1:23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</row>
    <row r="171" customFormat="1" customHeight="1" spans="1:23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</row>
    <row r="172" customFormat="1" customHeight="1" spans="1:23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</row>
    <row r="173" customFormat="1" customHeight="1" spans="1:2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</row>
    <row r="174" customFormat="1" customHeight="1" spans="1:23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</row>
    <row r="175" customFormat="1" customHeight="1" spans="1:23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</row>
    <row r="176" customFormat="1" customHeight="1" spans="1:23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</row>
    <row r="177" customFormat="1" customHeight="1" spans="1:23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</row>
    <row r="178" customFormat="1" customHeight="1" spans="1:23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</row>
    <row r="179" customFormat="1" customHeight="1" spans="1:23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</row>
    <row r="180" customFormat="1" customHeight="1" spans="1:23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</row>
    <row r="181" customFormat="1" customHeight="1" spans="1:23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</row>
    <row r="182" customFormat="1" customHeight="1" spans="1:23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</row>
    <row r="183" customFormat="1" customHeight="1" spans="1:2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</row>
    <row r="184" customFormat="1" customHeight="1" spans="1:23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</row>
    <row r="185" customFormat="1" customHeight="1" spans="1:23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</row>
    <row r="186" customFormat="1" customHeight="1" spans="1:23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</row>
    <row r="187" customFormat="1" customHeight="1" spans="1:23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</row>
    <row r="188" customFormat="1" customHeight="1" spans="1:23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</row>
    <row r="189" customFormat="1" customHeight="1" spans="1:23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2" customWidth="1"/>
    <col min="2" max="2" width="13.7142857142857" style="72" customWidth="1"/>
    <col min="3" max="3" width="4.42857142857143" style="70" customWidth="1"/>
    <col min="4" max="6" width="4" style="70" customWidth="1"/>
    <col min="7" max="7" width="3.87619047619048" style="70" customWidth="1"/>
    <col min="8" max="12" width="4.28571428571429" style="70" customWidth="1"/>
    <col min="13" max="13" width="4.00952380952381" style="70" customWidth="1"/>
    <col min="14" max="14" width="4.28571428571429" style="70" customWidth="1"/>
    <col min="15" max="15" width="4.00952380952381" style="70" customWidth="1"/>
    <col min="16" max="16" width="3.87619047619048" style="70" customWidth="1"/>
    <col min="17" max="17" width="4.28571428571429" style="70" customWidth="1"/>
    <col min="18" max="19" width="4.14285714285714" style="70" customWidth="1"/>
    <col min="20" max="20" width="4.57142857142857" style="70" customWidth="1"/>
    <col min="21" max="25" width="4.14285714285714" style="70" customWidth="1"/>
    <col min="26" max="27" width="4.57142857142857" style="70" customWidth="1"/>
    <col min="28" max="28" width="4.16190476190476" style="70" customWidth="1"/>
    <col min="29" max="30" width="4.28571428571429" style="70" customWidth="1"/>
    <col min="31" max="31" width="4.00952380952381" style="70" customWidth="1"/>
    <col min="32" max="32" width="3.85714285714286" style="70" customWidth="1"/>
    <col min="33" max="34" width="4.28571428571429" style="70" customWidth="1"/>
    <col min="35" max="36" width="4.57142857142857" style="70" customWidth="1"/>
    <col min="37" max="37" width="4.28571428571429" style="70" customWidth="1"/>
    <col min="38" max="38" width="3.85714285714286" style="70" customWidth="1"/>
    <col min="39" max="16384" width="10.2857142857143" style="70"/>
  </cols>
  <sheetData>
    <row r="1" s="70" customFormat="1" ht="26" customHeight="1" spans="1:38">
      <c r="A1" s="55" t="s">
        <v>48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</row>
    <row r="2" s="70" customFormat="1" ht="26" customHeight="1" spans="1:38">
      <c r="A2" s="73" t="s">
        <v>49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</row>
    <row r="3" s="71" customFormat="1" ht="40" customHeight="1" spans="1:38">
      <c r="A3" s="74" t="s">
        <v>2</v>
      </c>
      <c r="B3" s="74" t="s">
        <v>50</v>
      </c>
      <c r="C3" s="56">
        <v>1</v>
      </c>
      <c r="D3" s="56">
        <v>2</v>
      </c>
      <c r="E3" s="56">
        <v>3</v>
      </c>
      <c r="F3" s="56">
        <v>4</v>
      </c>
      <c r="G3" s="56">
        <v>5</v>
      </c>
      <c r="H3" s="56">
        <v>6</v>
      </c>
      <c r="I3" s="56">
        <v>7</v>
      </c>
      <c r="J3" s="56">
        <v>8</v>
      </c>
      <c r="K3" s="56">
        <v>9</v>
      </c>
      <c r="L3" s="56">
        <v>10</v>
      </c>
      <c r="M3" s="56">
        <v>11</v>
      </c>
      <c r="N3" s="56">
        <v>12</v>
      </c>
      <c r="O3" s="56">
        <v>13</v>
      </c>
      <c r="P3" s="56">
        <v>14</v>
      </c>
      <c r="Q3" s="56">
        <v>15</v>
      </c>
      <c r="R3" s="56">
        <v>16</v>
      </c>
      <c r="S3" s="56">
        <v>17</v>
      </c>
      <c r="T3" s="56">
        <v>18</v>
      </c>
      <c r="U3" s="56">
        <v>19</v>
      </c>
      <c r="V3" s="56">
        <v>20</v>
      </c>
      <c r="W3" s="56">
        <v>21</v>
      </c>
      <c r="X3" s="56">
        <v>22</v>
      </c>
      <c r="Y3" s="56">
        <v>23</v>
      </c>
      <c r="Z3" s="56">
        <v>24</v>
      </c>
      <c r="AA3" s="56">
        <v>25</v>
      </c>
      <c r="AB3" s="56">
        <v>26</v>
      </c>
      <c r="AC3" s="56">
        <v>27</v>
      </c>
      <c r="AD3" s="56">
        <v>28</v>
      </c>
      <c r="AE3" s="56">
        <v>29</v>
      </c>
      <c r="AF3" s="56">
        <v>30</v>
      </c>
      <c r="AG3" s="56"/>
      <c r="AH3" s="56"/>
      <c r="AI3" s="56"/>
      <c r="AJ3" s="56"/>
      <c r="AK3" s="56"/>
      <c r="AL3" s="56"/>
    </row>
    <row r="4" s="70" customFormat="1" ht="25" customHeight="1" spans="1:38">
      <c r="A4" s="75">
        <v>1</v>
      </c>
      <c r="B4" s="76"/>
      <c r="C4" s="75"/>
      <c r="D4" s="75"/>
      <c r="E4" s="75"/>
      <c r="F4" s="75"/>
      <c r="G4" s="75"/>
      <c r="H4" s="75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</row>
    <row r="5" s="70" customFormat="1" ht="25" customHeight="1" spans="1:38">
      <c r="A5" s="75">
        <v>2</v>
      </c>
      <c r="B5" s="76"/>
      <c r="C5" s="75"/>
      <c r="D5" s="75"/>
      <c r="E5" s="75"/>
      <c r="F5" s="75"/>
      <c r="G5" s="75"/>
      <c r="H5" s="75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</row>
    <row r="6" s="70" customFormat="1" ht="25" customHeight="1" spans="1:38">
      <c r="A6" s="75">
        <v>3</v>
      </c>
      <c r="B6" s="76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</row>
    <row r="7" s="70" customFormat="1" ht="25" customHeight="1" spans="1:38">
      <c r="A7" s="75">
        <v>13</v>
      </c>
      <c r="B7" s="76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</row>
    <row r="8" s="70" customFormat="1" ht="25" customHeight="1" spans="1:38">
      <c r="A8" s="75">
        <v>14</v>
      </c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</row>
    <row r="9" s="70" customFormat="1" ht="25" customHeight="1" spans="1:38">
      <c r="A9" s="75">
        <v>15</v>
      </c>
      <c r="B9" s="76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</row>
    <row r="10" s="70" customFormat="1" ht="25" customHeight="1" spans="1:38">
      <c r="A10" s="75">
        <v>16</v>
      </c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</row>
    <row r="11" s="70" customFormat="1" ht="25" customHeight="1" spans="1:38">
      <c r="A11" s="75">
        <v>17</v>
      </c>
      <c r="B11" s="78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</row>
    <row r="12" s="70" customFormat="1" ht="25" customHeight="1" spans="1:38">
      <c r="A12" s="75">
        <v>18</v>
      </c>
      <c r="B12" s="78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</row>
    <row r="13" s="70" customFormat="1" ht="15" customHeight="1" spans="1:38">
      <c r="A13" s="79"/>
      <c r="B13" s="79"/>
    </row>
    <row r="14" s="70" customFormat="1" ht="15" customHeight="1" spans="1:38">
      <c r="A14" s="79"/>
      <c r="B14" s="79"/>
    </row>
    <row r="15" s="70" customFormat="1" ht="15" customHeight="1" spans="1:38">
      <c r="A15" s="79"/>
      <c r="B15" s="79"/>
    </row>
    <row r="16" s="70" customFormat="1" ht="15" customHeight="1" spans="1:38">
      <c r="A16" s="79"/>
      <c r="B16" s="79"/>
    </row>
    <row r="17" s="70" customFormat="1" ht="15" customHeight="1" spans="1:2">
      <c r="A17" s="79"/>
      <c r="B17" s="79"/>
    </row>
    <row r="18" s="70" customFormat="1" ht="15" customHeight="1" spans="1:2">
      <c r="A18" s="79"/>
      <c r="B18" s="79"/>
    </row>
    <row r="19" s="70" customFormat="1" ht="15" customHeight="1" spans="1:2">
      <c r="A19" s="79"/>
      <c r="B19" s="79"/>
    </row>
    <row r="20" s="70" customFormat="1" ht="15" customHeight="1" spans="1:2">
      <c r="A20" s="79"/>
      <c r="B20" s="79"/>
    </row>
    <row r="21" s="70" customFormat="1" ht="15" customHeight="1" spans="1:2">
      <c r="A21" s="79"/>
      <c r="B21" s="79"/>
    </row>
    <row r="22" s="70" customFormat="1" ht="15" customHeight="1" spans="1:2">
      <c r="A22" s="79"/>
      <c r="B22" s="79"/>
    </row>
    <row r="23" s="70" customFormat="1" ht="15" customHeight="1" spans="1:2">
      <c r="A23" s="79"/>
      <c r="B23" s="79"/>
    </row>
    <row r="24" s="70" customFormat="1" ht="15" customHeight="1" spans="1:2">
      <c r="A24" s="79"/>
      <c r="B24" s="79"/>
    </row>
    <row r="25" s="70" customFormat="1" ht="15" customHeight="1" spans="1:2">
      <c r="A25" s="79"/>
      <c r="B25" s="79"/>
    </row>
    <row r="26" s="70" customFormat="1" ht="15" customHeight="1" spans="1:2">
      <c r="A26" s="79"/>
      <c r="B26" s="79"/>
    </row>
    <row r="27" s="70" customFormat="1" ht="15" customHeight="1" spans="1:2">
      <c r="A27" s="79"/>
      <c r="B27" s="79"/>
    </row>
    <row r="28" s="70" customFormat="1" ht="15" customHeight="1" spans="1:2">
      <c r="A28" s="79"/>
      <c r="B28" s="79"/>
    </row>
    <row r="29" s="70" customFormat="1" ht="15" customHeight="1" spans="1:2">
      <c r="A29" s="79"/>
      <c r="B29" s="79"/>
    </row>
    <row r="30" s="70" customFormat="1" ht="15" customHeight="1" spans="1:2">
      <c r="A30" s="79"/>
      <c r="B30" s="79"/>
    </row>
    <row r="31" s="70" customFormat="1" ht="15" customHeight="1" spans="1:2">
      <c r="A31" s="79"/>
      <c r="B31" s="79"/>
    </row>
    <row r="32" s="70" customFormat="1" ht="15" customHeight="1" spans="1:2">
      <c r="A32" s="79"/>
      <c r="B32" s="79"/>
    </row>
    <row r="33" s="70" customFormat="1" ht="15" customHeight="1" spans="1:2">
      <c r="A33" s="79"/>
      <c r="B33" s="79"/>
    </row>
    <row r="34" s="70" customFormat="1" ht="15" customHeight="1" spans="1:2">
      <c r="A34" s="79"/>
      <c r="B34" s="79"/>
    </row>
    <row r="35" s="70" customFormat="1" ht="15" customHeight="1" spans="1:2">
      <c r="A35" s="79"/>
      <c r="B35" s="79"/>
    </row>
    <row r="36" s="70" customFormat="1" ht="15" customHeight="1" spans="1:2">
      <c r="A36" s="79"/>
      <c r="B36" s="79"/>
    </row>
    <row r="37" s="70" customFormat="1" ht="15" customHeight="1" spans="1:2">
      <c r="A37" s="79"/>
      <c r="B37" s="79"/>
    </row>
    <row r="38" s="70" customFormat="1" ht="15" customHeight="1" spans="1:2">
      <c r="A38" s="79"/>
      <c r="B38" s="79"/>
    </row>
    <row r="39" s="70" customFormat="1" ht="15" customHeight="1" spans="1:2">
      <c r="A39" s="79"/>
      <c r="B39" s="79"/>
    </row>
    <row r="40" s="70" customFormat="1" ht="15" customHeight="1" spans="1:2">
      <c r="A40" s="79"/>
      <c r="B40" s="79"/>
    </row>
    <row r="41" s="70" customFormat="1" ht="15" customHeight="1" spans="1:2">
      <c r="A41" s="79"/>
      <c r="B41" s="79"/>
    </row>
    <row r="42" s="70" customFormat="1" ht="15" customHeight="1" spans="1:2">
      <c r="A42" s="79"/>
      <c r="B42" s="79"/>
    </row>
    <row r="43" s="70" customFormat="1" ht="15" customHeight="1" spans="1:2">
      <c r="A43" s="79"/>
      <c r="B43" s="79"/>
    </row>
    <row r="44" s="70" customFormat="1" ht="15" customHeight="1" spans="1:2">
      <c r="A44" s="79"/>
      <c r="B44" s="79"/>
    </row>
    <row r="45" s="70" customFormat="1" ht="15" customHeight="1" spans="1:2">
      <c r="A45" s="79"/>
      <c r="B45" s="79"/>
    </row>
    <row r="46" s="70" customFormat="1" ht="15" customHeight="1" spans="1:2">
      <c r="A46" s="79"/>
      <c r="B46" s="79"/>
    </row>
    <row r="47" s="70" customFormat="1" ht="15" customHeight="1" spans="1:2">
      <c r="A47" s="79"/>
      <c r="B47" s="79"/>
    </row>
    <row r="48" s="70" customFormat="1" ht="15" customHeight="1" spans="1:2">
      <c r="A48" s="79"/>
      <c r="B48" s="79"/>
    </row>
    <row r="49" s="70" customFormat="1" ht="15" customHeight="1" spans="1:2">
      <c r="A49" s="79"/>
      <c r="B49" s="79"/>
    </row>
    <row r="50" s="70" customFormat="1" ht="15" customHeight="1" spans="1:2">
      <c r="A50" s="79"/>
      <c r="B50" s="79"/>
    </row>
    <row r="51" s="70" customFormat="1" ht="15" customHeight="1" spans="1:2">
      <c r="A51" s="79"/>
      <c r="B51" s="79"/>
    </row>
    <row r="52" s="70" customFormat="1" ht="15" customHeight="1" spans="1:2">
      <c r="A52" s="79"/>
      <c r="B52" s="79"/>
    </row>
    <row r="53" s="70" customFormat="1" ht="15" customHeight="1" spans="1:2">
      <c r="A53" s="79"/>
      <c r="B53" s="79"/>
    </row>
    <row r="54" s="70" customFormat="1" ht="15" customHeight="1" spans="1:2">
      <c r="A54" s="79"/>
      <c r="B54" s="79"/>
    </row>
    <row r="55" s="70" customFormat="1" ht="15" customHeight="1" spans="1:2">
      <c r="A55" s="79"/>
      <c r="B55" s="79"/>
    </row>
    <row r="56" s="70" customFormat="1" ht="15" customHeight="1" spans="1:2">
      <c r="A56" s="79"/>
      <c r="B56" s="79"/>
    </row>
    <row r="57" s="70" customFormat="1" ht="15" customHeight="1" spans="1:2">
      <c r="A57" s="79"/>
      <c r="B57" s="79"/>
    </row>
    <row r="58" s="70" customFormat="1" ht="15" customHeight="1" spans="1:2">
      <c r="A58" s="79"/>
      <c r="B58" s="79"/>
    </row>
    <row r="59" s="70" customFormat="1" ht="15" customHeight="1" spans="1:2">
      <c r="A59" s="79"/>
      <c r="B59" s="79"/>
    </row>
    <row r="60" s="70" customFormat="1" ht="15" customHeight="1" spans="1:2">
      <c r="A60" s="79"/>
      <c r="B60" s="79"/>
    </row>
    <row r="61" s="70" customFormat="1" ht="15" customHeight="1" spans="1:2">
      <c r="A61" s="79"/>
      <c r="B61" s="79"/>
    </row>
    <row r="62" s="70" customFormat="1" ht="15" customHeight="1" spans="1:2">
      <c r="A62" s="79"/>
      <c r="B62" s="79"/>
    </row>
    <row r="63" s="70" customFormat="1" ht="15" customHeight="1" spans="1:2">
      <c r="A63" s="79"/>
      <c r="B63" s="79"/>
    </row>
    <row r="64" s="70" customFormat="1" ht="15" customHeight="1" spans="1:2">
      <c r="A64" s="79"/>
      <c r="B64" s="79"/>
    </row>
    <row r="65" s="70" customFormat="1" ht="15" customHeight="1" spans="1:2">
      <c r="A65" s="79"/>
      <c r="B65" s="79"/>
    </row>
    <row r="66" s="70" customFormat="1" ht="15" customHeight="1" spans="1:2">
      <c r="A66" s="79"/>
      <c r="B66" s="79"/>
    </row>
    <row r="67" s="70" customFormat="1" ht="15" customHeight="1" spans="1:2">
      <c r="A67" s="79"/>
      <c r="B67" s="79"/>
    </row>
    <row r="68" s="70" customFormat="1" ht="15" customHeight="1" spans="1:2">
      <c r="A68" s="79"/>
      <c r="B68" s="79"/>
    </row>
    <row r="69" s="70" customFormat="1" ht="15" customHeight="1" spans="1:2">
      <c r="A69" s="79"/>
      <c r="B69" s="79"/>
    </row>
    <row r="70" s="70" customFormat="1" ht="15" customHeight="1" spans="1:2">
      <c r="A70" s="79"/>
      <c r="B70" s="79"/>
    </row>
    <row r="71" s="70" customFormat="1" spans="1:2">
      <c r="A71" s="72"/>
      <c r="B71" s="72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B20" sqref="B20"/>
    </sheetView>
  </sheetViews>
  <sheetFormatPr defaultColWidth="9.14285714285714" defaultRowHeight="23" customHeight="1"/>
  <cols>
    <col min="1" max="1" width="9.14285714285714" style="15"/>
    <col min="2" max="2" width="10.7142857142857" style="15" customWidth="1"/>
    <col min="3" max="3" width="10" style="15" customWidth="1"/>
    <col min="4" max="12" width="7.42857142857143" style="15" customWidth="1"/>
    <col min="13" max="22" width="7" style="15" customWidth="1"/>
    <col min="23" max="16384" width="9.14285714285714" style="15"/>
  </cols>
  <sheetData>
    <row r="1" s="57" customFormat="1" customHeight="1" spans="1:25">
      <c r="A1" s="59" t="s">
        <v>51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="58" customFormat="1" ht="20" customHeight="1" spans="1:25">
      <c r="A2" s="61" t="s">
        <v>2</v>
      </c>
      <c r="B2" s="61" t="s">
        <v>50</v>
      </c>
      <c r="C2" s="62" t="s">
        <v>52</v>
      </c>
      <c r="D2" s="63">
        <v>46090</v>
      </c>
      <c r="E2" s="63">
        <v>46093</v>
      </c>
      <c r="F2" s="63">
        <v>46097</v>
      </c>
      <c r="G2" s="64">
        <v>46100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5" t="s">
        <v>53</v>
      </c>
      <c r="X2" s="58" t="s">
        <v>54</v>
      </c>
    </row>
    <row r="3" s="14" customFormat="1" customHeight="1" spans="1:25">
      <c r="A3" s="12">
        <v>1</v>
      </c>
      <c r="B3" s="9" t="s">
        <v>25</v>
      </c>
      <c r="C3" s="66">
        <v>100</v>
      </c>
      <c r="D3" s="66">
        <v>3</v>
      </c>
      <c r="E3" s="66">
        <v>6</v>
      </c>
      <c r="F3" s="66">
        <v>3</v>
      </c>
      <c r="G3" s="66">
        <v>3</v>
      </c>
      <c r="H3" s="66"/>
      <c r="I3" s="66"/>
      <c r="J3" s="66"/>
      <c r="K3" s="66"/>
      <c r="L3" s="66"/>
      <c r="M3" s="66"/>
      <c r="N3" s="67"/>
      <c r="O3" s="66"/>
      <c r="P3" s="66"/>
      <c r="Q3" s="66"/>
      <c r="R3" s="66"/>
      <c r="S3" s="66"/>
      <c r="T3" s="66"/>
      <c r="U3" s="66"/>
      <c r="V3" s="12"/>
      <c r="W3" s="12">
        <f>SUM(D3:V3)</f>
        <v>15</v>
      </c>
      <c r="X3" s="14">
        <f>100-W3</f>
        <v>85</v>
      </c>
    </row>
    <row r="4" s="14" customFormat="1" customHeight="1" spans="1:25">
      <c r="A4" s="12">
        <v>2</v>
      </c>
      <c r="B4" s="9" t="s">
        <v>13</v>
      </c>
      <c r="C4" s="66">
        <v>100</v>
      </c>
      <c r="D4" s="66">
        <v>3</v>
      </c>
      <c r="E4" s="66">
        <v>3</v>
      </c>
      <c r="F4" s="66">
        <v>3</v>
      </c>
      <c r="G4" s="66">
        <v>3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12"/>
      <c r="W4" s="12">
        <f>SUM(D4:V4)</f>
        <v>12</v>
      </c>
      <c r="X4" s="14">
        <f t="shared" ref="X4:X9" si="0">130-W4</f>
        <v>118</v>
      </c>
      <c r="Y4" s="15" t="s">
        <v>55</v>
      </c>
    </row>
    <row r="5" s="14" customFormat="1" customHeight="1" spans="1:25">
      <c r="A5" s="12">
        <v>3</v>
      </c>
      <c r="B5" s="9" t="s">
        <v>16</v>
      </c>
      <c r="C5" s="66">
        <v>100</v>
      </c>
      <c r="D5" s="66">
        <v>3</v>
      </c>
      <c r="E5" s="66">
        <v>6</v>
      </c>
      <c r="F5" s="66">
        <v>3</v>
      </c>
      <c r="G5" s="66">
        <v>3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12"/>
      <c r="W5" s="12">
        <f>SUM(D5:V5)</f>
        <v>15</v>
      </c>
      <c r="X5" s="14">
        <f t="shared" si="0"/>
        <v>115</v>
      </c>
      <c r="Y5" s="15" t="s">
        <v>55</v>
      </c>
    </row>
    <row r="6" s="14" customFormat="1" customHeight="1" spans="1:25">
      <c r="A6" s="12">
        <v>4</v>
      </c>
      <c r="B6" s="9" t="s">
        <v>38</v>
      </c>
      <c r="C6" s="66">
        <v>100</v>
      </c>
      <c r="D6" s="66">
        <v>3</v>
      </c>
      <c r="E6" s="66">
        <v>3</v>
      </c>
      <c r="F6" s="66">
        <v>3</v>
      </c>
      <c r="G6" s="66">
        <v>3</v>
      </c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12"/>
      <c r="W6" s="12">
        <f t="shared" ref="W6:W32" si="1">SUM(D6:V6)</f>
        <v>12</v>
      </c>
      <c r="X6" s="14">
        <f t="shared" ref="X4:X32" si="2">100-W6</f>
        <v>88</v>
      </c>
    </row>
    <row r="7" s="14" customFormat="1" customHeight="1" spans="1:25">
      <c r="A7" s="12">
        <v>5</v>
      </c>
      <c r="B7" s="9" t="s">
        <v>29</v>
      </c>
      <c r="C7" s="66">
        <v>100</v>
      </c>
      <c r="D7" s="66">
        <v>3</v>
      </c>
      <c r="E7" s="66">
        <v>3</v>
      </c>
      <c r="F7" s="66">
        <v>3</v>
      </c>
      <c r="G7" s="66">
        <v>3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12"/>
      <c r="W7" s="12">
        <f t="shared" si="1"/>
        <v>12</v>
      </c>
      <c r="X7" s="14">
        <f t="shared" si="2"/>
        <v>88</v>
      </c>
    </row>
    <row r="8" s="14" customFormat="1" customHeight="1" spans="1:25">
      <c r="A8" s="12">
        <v>6</v>
      </c>
      <c r="B8" s="9" t="s">
        <v>39</v>
      </c>
      <c r="C8" s="66">
        <v>100</v>
      </c>
      <c r="D8" s="66">
        <v>3</v>
      </c>
      <c r="E8" s="66">
        <v>3</v>
      </c>
      <c r="F8" s="66">
        <v>3</v>
      </c>
      <c r="G8" s="66">
        <v>3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12"/>
      <c r="W8" s="12">
        <f t="shared" si="1"/>
        <v>12</v>
      </c>
      <c r="X8" s="14">
        <f t="shared" si="2"/>
        <v>88</v>
      </c>
    </row>
    <row r="9" s="14" customFormat="1" customHeight="1" spans="1:25">
      <c r="A9" s="12">
        <v>7</v>
      </c>
      <c r="B9" s="9" t="s">
        <v>34</v>
      </c>
      <c r="C9" s="66">
        <v>100</v>
      </c>
      <c r="D9" s="66">
        <v>3</v>
      </c>
      <c r="E9" s="66">
        <v>3</v>
      </c>
      <c r="F9" s="66">
        <v>3</v>
      </c>
      <c r="G9" s="66">
        <v>3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12"/>
      <c r="W9" s="12">
        <f t="shared" si="1"/>
        <v>12</v>
      </c>
      <c r="X9" s="14">
        <f t="shared" si="0"/>
        <v>118</v>
      </c>
    </row>
    <row r="10" customHeight="1" spans="1:25">
      <c r="A10" s="12">
        <v>8</v>
      </c>
      <c r="B10" s="9" t="s">
        <v>36</v>
      </c>
      <c r="C10" s="66">
        <v>100</v>
      </c>
      <c r="D10" s="66">
        <v>3</v>
      </c>
      <c r="E10" s="66">
        <v>4</v>
      </c>
      <c r="F10" s="66">
        <v>3</v>
      </c>
      <c r="G10" s="66">
        <v>3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8"/>
      <c r="W10" s="12">
        <f t="shared" si="1"/>
        <v>13</v>
      </c>
      <c r="X10" s="14">
        <f t="shared" si="2"/>
        <v>87</v>
      </c>
    </row>
    <row r="11" customHeight="1" spans="1:25">
      <c r="A11" s="12">
        <v>9</v>
      </c>
      <c r="B11" s="9" t="s">
        <v>24</v>
      </c>
      <c r="C11" s="66">
        <v>100</v>
      </c>
      <c r="D11" s="66">
        <v>3</v>
      </c>
      <c r="E11" s="66">
        <v>3</v>
      </c>
      <c r="F11" s="66">
        <v>3</v>
      </c>
      <c r="G11" s="66">
        <v>3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8"/>
      <c r="W11" s="12">
        <f t="shared" si="1"/>
        <v>12</v>
      </c>
      <c r="X11" s="14">
        <f t="shared" si="2"/>
        <v>88</v>
      </c>
    </row>
    <row r="12" customHeight="1" spans="1:25">
      <c r="A12" s="12">
        <v>10</v>
      </c>
      <c r="B12" s="9" t="s">
        <v>56</v>
      </c>
      <c r="C12" s="66">
        <v>100</v>
      </c>
      <c r="D12" s="66">
        <v>3</v>
      </c>
      <c r="E12" s="66">
        <v>3</v>
      </c>
      <c r="F12" s="66">
        <v>3</v>
      </c>
      <c r="G12" s="66">
        <v>3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8"/>
      <c r="W12" s="12">
        <f t="shared" si="1"/>
        <v>12</v>
      </c>
      <c r="X12" s="14">
        <f>130-W12</f>
        <v>118</v>
      </c>
      <c r="Y12" s="15" t="s">
        <v>55</v>
      </c>
    </row>
    <row r="13" customHeight="1" spans="1:25">
      <c r="A13" s="12">
        <v>11</v>
      </c>
      <c r="B13" s="9" t="s">
        <v>57</v>
      </c>
      <c r="C13" s="66">
        <v>100</v>
      </c>
      <c r="D13" s="66">
        <v>3</v>
      </c>
      <c r="E13" s="66">
        <v>3</v>
      </c>
      <c r="F13" s="66">
        <v>3</v>
      </c>
      <c r="G13" s="66">
        <v>3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8"/>
      <c r="W13" s="12">
        <f t="shared" si="1"/>
        <v>12</v>
      </c>
      <c r="X13" s="14">
        <f t="shared" si="2"/>
        <v>88</v>
      </c>
    </row>
    <row r="14" customHeight="1" spans="1:25">
      <c r="A14" s="12">
        <v>12</v>
      </c>
      <c r="B14" s="9" t="s">
        <v>58</v>
      </c>
      <c r="C14" s="66">
        <v>100</v>
      </c>
      <c r="D14" s="66">
        <v>3</v>
      </c>
      <c r="E14" s="66">
        <v>3</v>
      </c>
      <c r="F14" s="66">
        <v>3</v>
      </c>
      <c r="G14" s="66">
        <v>3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8"/>
      <c r="W14" s="12">
        <f t="shared" si="1"/>
        <v>12</v>
      </c>
      <c r="X14" s="14">
        <f t="shared" si="2"/>
        <v>88</v>
      </c>
    </row>
    <row r="15" customHeight="1" spans="1:25">
      <c r="A15" s="12">
        <v>13</v>
      </c>
      <c r="B15" s="9" t="s">
        <v>59</v>
      </c>
      <c r="C15" s="66">
        <v>100</v>
      </c>
      <c r="D15" s="66">
        <v>3</v>
      </c>
      <c r="E15" s="66">
        <v>3</v>
      </c>
      <c r="F15" s="66">
        <v>3</v>
      </c>
      <c r="G15" s="66">
        <v>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8"/>
      <c r="W15" s="12">
        <f t="shared" si="1"/>
        <v>12</v>
      </c>
      <c r="X15" s="14">
        <f t="shared" si="2"/>
        <v>88</v>
      </c>
    </row>
    <row r="16" customHeight="1" spans="1:25">
      <c r="A16" s="12">
        <v>14</v>
      </c>
      <c r="B16" s="9" t="s">
        <v>27</v>
      </c>
      <c r="C16" s="66">
        <v>100</v>
      </c>
      <c r="D16" s="66">
        <v>3</v>
      </c>
      <c r="E16" s="66">
        <v>6</v>
      </c>
      <c r="F16" s="66">
        <v>3</v>
      </c>
      <c r="G16" s="66">
        <v>3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8"/>
      <c r="W16" s="12">
        <f t="shared" si="1"/>
        <v>15</v>
      </c>
      <c r="X16" s="14">
        <f t="shared" si="2"/>
        <v>85</v>
      </c>
    </row>
    <row r="17" customHeight="1" spans="1:25">
      <c r="A17" s="12">
        <v>15</v>
      </c>
      <c r="B17" s="9" t="s">
        <v>20</v>
      </c>
      <c r="C17" s="66">
        <v>100</v>
      </c>
      <c r="D17" s="66">
        <v>3</v>
      </c>
      <c r="E17" s="66">
        <v>3</v>
      </c>
      <c r="F17" s="66">
        <v>3</v>
      </c>
      <c r="G17" s="66">
        <v>3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8"/>
      <c r="W17" s="12">
        <f t="shared" si="1"/>
        <v>12</v>
      </c>
      <c r="X17" s="14">
        <f t="shared" si="2"/>
        <v>88</v>
      </c>
    </row>
    <row r="18" customHeight="1" spans="1:25">
      <c r="A18" s="12">
        <v>16</v>
      </c>
      <c r="B18" s="9" t="s">
        <v>40</v>
      </c>
      <c r="C18" s="66">
        <v>100</v>
      </c>
      <c r="D18" s="66">
        <v>3</v>
      </c>
      <c r="E18" s="66">
        <v>3</v>
      </c>
      <c r="F18" s="66">
        <v>3</v>
      </c>
      <c r="G18" s="66">
        <v>3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8"/>
      <c r="W18" s="12">
        <f t="shared" si="1"/>
        <v>12</v>
      </c>
      <c r="X18" s="14">
        <f t="shared" si="2"/>
        <v>88</v>
      </c>
    </row>
    <row r="19" customHeight="1" spans="1:25">
      <c r="A19" s="12">
        <v>17</v>
      </c>
      <c r="B19" s="9" t="s">
        <v>42</v>
      </c>
      <c r="C19" s="66">
        <v>100</v>
      </c>
      <c r="D19" s="12">
        <v>0</v>
      </c>
      <c r="E19" s="12">
        <v>0</v>
      </c>
      <c r="F19" s="12">
        <v>6</v>
      </c>
      <c r="G19" s="12">
        <v>6</v>
      </c>
      <c r="H19" s="12"/>
      <c r="I19" s="12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12"/>
      <c r="W19" s="12">
        <f t="shared" si="1"/>
        <v>12</v>
      </c>
      <c r="X19" s="14">
        <f>130-W19</f>
        <v>118</v>
      </c>
      <c r="Y19" s="15" t="s">
        <v>55</v>
      </c>
    </row>
    <row r="20" customHeight="1" spans="1:25">
      <c r="A20" s="12">
        <v>18</v>
      </c>
      <c r="B20" s="9" t="s">
        <v>44</v>
      </c>
      <c r="C20" s="66">
        <v>100</v>
      </c>
      <c r="D20" s="12">
        <v>0</v>
      </c>
      <c r="E20" s="12">
        <v>0</v>
      </c>
      <c r="F20" s="12">
        <v>6</v>
      </c>
      <c r="G20" s="12">
        <v>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68">
        <f t="shared" si="1"/>
        <v>12</v>
      </c>
      <c r="X20" s="14">
        <f>130-W20</f>
        <v>118</v>
      </c>
      <c r="Y20" s="15" t="s">
        <v>55</v>
      </c>
    </row>
    <row r="21" customHeight="1" spans="1:25">
      <c r="A21" s="68"/>
      <c r="B21" s="69"/>
      <c r="C21" s="69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68"/>
    </row>
    <row r="22" customHeight="1" spans="1:25">
      <c r="A22" s="68"/>
      <c r="B22" s="69"/>
      <c r="C22" s="6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68"/>
    </row>
    <row r="23" customHeight="1" spans="1:25">
      <c r="A23" s="68"/>
      <c r="B23" s="69"/>
      <c r="C23" s="69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68"/>
    </row>
  </sheetData>
  <mergeCells count="1">
    <mergeCell ref="A1:W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2" workbookViewId="0">
      <selection activeCell="F9" sqref="F8:F9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55" t="s">
        <v>60</v>
      </c>
      <c r="B1" s="55"/>
      <c r="C1" s="55"/>
      <c r="D1" s="55"/>
      <c r="E1" s="55"/>
      <c r="F1" s="55"/>
    </row>
    <row r="2" s="1" customFormat="1" ht="39" customHeight="1" spans="1:6">
      <c r="A2" s="6" t="s">
        <v>2</v>
      </c>
      <c r="B2" s="6" t="s">
        <v>61</v>
      </c>
      <c r="C2" s="6" t="s">
        <v>3</v>
      </c>
      <c r="D2" s="56" t="s">
        <v>62</v>
      </c>
      <c r="E2" s="6" t="s">
        <v>63</v>
      </c>
      <c r="F2" s="6" t="s">
        <v>7</v>
      </c>
    </row>
    <row r="3" ht="28" customHeight="1" spans="1:6">
      <c r="A3" s="12">
        <v>1</v>
      </c>
      <c r="B3" s="8">
        <v>46093</v>
      </c>
      <c r="C3" s="9" t="s">
        <v>25</v>
      </c>
      <c r="D3" s="46">
        <v>1</v>
      </c>
      <c r="E3" s="33"/>
      <c r="F3" s="10"/>
    </row>
    <row r="4" ht="28" customHeight="1" spans="1:6">
      <c r="A4" s="12">
        <v>2</v>
      </c>
      <c r="B4" s="8">
        <v>46093</v>
      </c>
      <c r="C4" s="9" t="s">
        <v>13</v>
      </c>
      <c r="D4" s="46">
        <v>1</v>
      </c>
      <c r="E4" s="33"/>
      <c r="F4" s="11"/>
    </row>
    <row r="5" ht="28" customHeight="1" spans="1:6">
      <c r="A5" s="12">
        <v>3</v>
      </c>
      <c r="B5" s="8">
        <v>46093</v>
      </c>
      <c r="C5" s="9" t="s">
        <v>16</v>
      </c>
      <c r="D5" s="46">
        <v>1</v>
      </c>
      <c r="E5" s="33"/>
      <c r="F5" s="11"/>
    </row>
    <row r="6" ht="28" customHeight="1" spans="1:6">
      <c r="A6" s="12">
        <v>4</v>
      </c>
      <c r="B6" s="8">
        <v>46093</v>
      </c>
      <c r="C6" s="9" t="s">
        <v>38</v>
      </c>
      <c r="D6" s="46">
        <v>1</v>
      </c>
      <c r="E6" s="33"/>
      <c r="F6" s="11"/>
    </row>
    <row r="7" ht="28" customHeight="1" spans="1:6">
      <c r="A7" s="12">
        <v>5</v>
      </c>
      <c r="B7" s="8">
        <v>46093</v>
      </c>
      <c r="C7" s="9" t="s">
        <v>29</v>
      </c>
      <c r="D7" s="46">
        <v>1</v>
      </c>
      <c r="E7" s="33"/>
      <c r="F7" s="11"/>
    </row>
    <row r="8" ht="28" customHeight="1" spans="1:6">
      <c r="A8" s="12">
        <v>6</v>
      </c>
      <c r="B8" s="8">
        <v>46093</v>
      </c>
      <c r="C8" s="9" t="s">
        <v>39</v>
      </c>
      <c r="D8" s="46">
        <v>1</v>
      </c>
      <c r="E8" s="33"/>
      <c r="F8" s="11"/>
    </row>
    <row r="9" ht="28" customHeight="1" spans="1:6">
      <c r="A9" s="12">
        <v>7</v>
      </c>
      <c r="B9" s="8">
        <v>46093</v>
      </c>
      <c r="C9" s="9" t="s">
        <v>34</v>
      </c>
      <c r="D9" s="46">
        <v>1</v>
      </c>
      <c r="E9" s="46"/>
      <c r="F9" s="22"/>
    </row>
    <row r="10" customFormat="1" ht="28" customHeight="1" spans="1:6">
      <c r="A10" s="12">
        <v>8</v>
      </c>
      <c r="B10" s="8">
        <v>46093</v>
      </c>
      <c r="C10" s="9" t="s">
        <v>36</v>
      </c>
      <c r="D10" s="46">
        <v>1</v>
      </c>
      <c r="E10" s="46"/>
      <c r="F10" s="22"/>
    </row>
    <row r="11" ht="28" customHeight="1" spans="1:6">
      <c r="A11" s="12">
        <v>9</v>
      </c>
      <c r="B11" s="8">
        <v>46093</v>
      </c>
      <c r="C11" s="9" t="s">
        <v>24</v>
      </c>
      <c r="D11" s="46">
        <v>1</v>
      </c>
      <c r="E11" s="46"/>
      <c r="F11" s="22"/>
    </row>
    <row r="12" ht="28" customHeight="1" spans="1:6">
      <c r="A12" s="12">
        <v>10</v>
      </c>
      <c r="B12" s="8">
        <v>46093</v>
      </c>
      <c r="C12" s="9" t="s">
        <v>56</v>
      </c>
      <c r="D12" s="46">
        <v>1</v>
      </c>
      <c r="E12" s="46"/>
      <c r="F12" s="22"/>
    </row>
    <row r="13" ht="28" customHeight="1" spans="1:6">
      <c r="A13" s="12">
        <v>11</v>
      </c>
      <c r="B13" s="8">
        <v>46093</v>
      </c>
      <c r="C13" s="9" t="s">
        <v>57</v>
      </c>
      <c r="D13" s="46">
        <v>1</v>
      </c>
      <c r="E13" s="46"/>
      <c r="F13" s="22"/>
    </row>
    <row r="14" ht="28" customHeight="1" spans="1:6">
      <c r="A14" s="12">
        <v>12</v>
      </c>
      <c r="B14" s="8">
        <v>46093</v>
      </c>
      <c r="C14" s="9" t="s">
        <v>58</v>
      </c>
      <c r="D14" s="46">
        <v>1</v>
      </c>
      <c r="E14" s="46"/>
      <c r="F14" s="22"/>
    </row>
    <row r="15" ht="28" customHeight="1" spans="1:6">
      <c r="A15" s="12">
        <v>13</v>
      </c>
      <c r="B15" s="8">
        <v>46093</v>
      </c>
      <c r="C15" s="9" t="s">
        <v>59</v>
      </c>
      <c r="D15" s="46">
        <v>1</v>
      </c>
      <c r="E15" s="46"/>
      <c r="F15" s="22"/>
    </row>
    <row r="16" ht="28" customHeight="1" spans="1:6">
      <c r="A16" s="12">
        <v>14</v>
      </c>
      <c r="B16" s="8">
        <v>46093</v>
      </c>
      <c r="C16" s="9" t="s">
        <v>27</v>
      </c>
      <c r="D16" s="46">
        <v>1</v>
      </c>
      <c r="E16" s="46"/>
      <c r="F16" s="22"/>
    </row>
    <row r="17" ht="28" customHeight="1" spans="1:6">
      <c r="A17" s="12">
        <v>15</v>
      </c>
      <c r="B17" s="8">
        <v>46093</v>
      </c>
      <c r="C17" s="9" t="s">
        <v>20</v>
      </c>
      <c r="D17" s="46">
        <v>1</v>
      </c>
      <c r="E17" s="46"/>
      <c r="F17" s="22"/>
    </row>
    <row r="18" ht="28" customHeight="1" spans="1:6">
      <c r="A18" s="12">
        <v>16</v>
      </c>
      <c r="B18" s="8">
        <v>46093</v>
      </c>
      <c r="C18" s="9" t="s">
        <v>40</v>
      </c>
      <c r="D18" s="46">
        <v>1</v>
      </c>
      <c r="E18" s="46"/>
      <c r="F18" s="22"/>
    </row>
    <row r="19" ht="18" customHeight="1" spans="1:6">
      <c r="D19" s="15">
        <f>SUM(D3:D18)</f>
        <v>16</v>
      </c>
    </row>
    <row r="20" ht="14.25" spans="1:6">
      <c r="A20">
        <v>17</v>
      </c>
      <c r="B20" s="8">
        <v>46093</v>
      </c>
      <c r="C20" s="9" t="s">
        <v>42</v>
      </c>
      <c r="D20" s="46">
        <v>1</v>
      </c>
      <c r="F20" t="s">
        <v>64</v>
      </c>
    </row>
    <row r="21" ht="14.25" spans="1:6">
      <c r="A21">
        <v>18</v>
      </c>
      <c r="B21" s="8">
        <v>46093</v>
      </c>
      <c r="C21" s="9" t="s">
        <v>44</v>
      </c>
      <c r="D21" s="46">
        <v>1</v>
      </c>
      <c r="F21" t="s">
        <v>64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26" sqref="E2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6" t="s">
        <v>61</v>
      </c>
      <c r="C2" s="6" t="s">
        <v>3</v>
      </c>
      <c r="D2" s="6" t="s">
        <v>66</v>
      </c>
      <c r="E2" s="6" t="s">
        <v>67</v>
      </c>
      <c r="F2" s="6" t="s">
        <v>68</v>
      </c>
      <c r="G2" s="6" t="s">
        <v>7</v>
      </c>
    </row>
    <row r="3" ht="22" customHeight="1" spans="1:7">
      <c r="A3" s="7">
        <v>1</v>
      </c>
      <c r="B3" s="8">
        <v>46090</v>
      </c>
      <c r="C3" s="9" t="s">
        <v>25</v>
      </c>
      <c r="D3" s="10" t="s">
        <v>69</v>
      </c>
      <c r="E3" s="10">
        <v>3</v>
      </c>
      <c r="F3" s="11"/>
      <c r="G3" s="9" t="s">
        <v>15</v>
      </c>
    </row>
    <row r="4" customFormat="1" ht="22" customHeight="1" spans="1:7">
      <c r="A4" s="7">
        <v>2</v>
      </c>
      <c r="B4" s="8">
        <v>46090</v>
      </c>
      <c r="C4" s="9" t="s">
        <v>13</v>
      </c>
      <c r="D4" s="10" t="s">
        <v>69</v>
      </c>
      <c r="E4" s="10">
        <v>3</v>
      </c>
      <c r="F4" s="11"/>
      <c r="G4" s="9" t="s">
        <v>15</v>
      </c>
    </row>
    <row r="5" customFormat="1" ht="22" customHeight="1" spans="1:7">
      <c r="A5" s="7">
        <v>3</v>
      </c>
      <c r="B5" s="8">
        <v>46090</v>
      </c>
      <c r="C5" s="9" t="s">
        <v>16</v>
      </c>
      <c r="D5" s="10" t="s">
        <v>69</v>
      </c>
      <c r="E5" s="10">
        <v>3</v>
      </c>
      <c r="F5" s="11"/>
      <c r="G5" s="9" t="s">
        <v>15</v>
      </c>
    </row>
    <row r="6" customFormat="1" ht="22" customHeight="1" spans="1:7">
      <c r="A6" s="7">
        <v>4</v>
      </c>
      <c r="B6" s="8">
        <v>46090</v>
      </c>
      <c r="C6" s="9" t="s">
        <v>38</v>
      </c>
      <c r="D6" s="10" t="s">
        <v>69</v>
      </c>
      <c r="E6" s="10">
        <v>2</v>
      </c>
      <c r="F6" s="11">
        <v>1</v>
      </c>
      <c r="G6" s="9" t="s">
        <v>15</v>
      </c>
    </row>
    <row r="7" customFormat="1" ht="22" customHeight="1" spans="1:7">
      <c r="A7" s="7">
        <v>5</v>
      </c>
      <c r="B7" s="8">
        <v>46090</v>
      </c>
      <c r="C7" s="9" t="s">
        <v>29</v>
      </c>
      <c r="D7" s="10" t="s">
        <v>69</v>
      </c>
      <c r="E7" s="10"/>
      <c r="F7" s="11">
        <v>3</v>
      </c>
      <c r="G7" s="9" t="s">
        <v>15</v>
      </c>
    </row>
    <row r="8" customFormat="1" ht="22" customHeight="1" spans="1:7">
      <c r="A8" s="7">
        <v>6</v>
      </c>
      <c r="B8" s="8">
        <v>46090</v>
      </c>
      <c r="C8" s="9" t="s">
        <v>39</v>
      </c>
      <c r="D8" s="10" t="s">
        <v>69</v>
      </c>
      <c r="E8" s="10"/>
      <c r="F8" s="11">
        <v>3</v>
      </c>
      <c r="G8" s="9" t="s">
        <v>15</v>
      </c>
    </row>
    <row r="9" customFormat="1" ht="22" customHeight="1" spans="1:7">
      <c r="A9" s="7">
        <v>7</v>
      </c>
      <c r="B9" s="8">
        <v>46090</v>
      </c>
      <c r="C9" s="9" t="s">
        <v>34</v>
      </c>
      <c r="D9" s="10" t="s">
        <v>69</v>
      </c>
      <c r="E9" s="10"/>
      <c r="F9" s="11">
        <v>3</v>
      </c>
      <c r="G9" s="9" t="s">
        <v>15</v>
      </c>
    </row>
    <row r="10" customFormat="1" ht="22" customHeight="1" spans="1:7">
      <c r="A10" s="7">
        <v>8</v>
      </c>
      <c r="B10" s="8">
        <v>46090</v>
      </c>
      <c r="C10" s="9" t="s">
        <v>36</v>
      </c>
      <c r="D10" s="10" t="s">
        <v>69</v>
      </c>
      <c r="E10" s="10">
        <v>3</v>
      </c>
      <c r="F10" s="11"/>
      <c r="G10" s="9" t="s">
        <v>15</v>
      </c>
    </row>
    <row r="11" customFormat="1" ht="22" customHeight="1" spans="1:7">
      <c r="A11" s="7">
        <v>9</v>
      </c>
      <c r="B11" s="8">
        <v>46090</v>
      </c>
      <c r="C11" s="9" t="s">
        <v>24</v>
      </c>
      <c r="D11" s="10" t="s">
        <v>69</v>
      </c>
      <c r="E11" s="10">
        <v>2</v>
      </c>
      <c r="F11" s="11">
        <v>1</v>
      </c>
      <c r="G11" s="9" t="s">
        <v>15</v>
      </c>
    </row>
    <row r="12" customFormat="1" ht="22" customHeight="1" spans="1:7">
      <c r="A12" s="7">
        <v>10</v>
      </c>
      <c r="B12" s="8">
        <v>46090</v>
      </c>
      <c r="C12" s="9" t="s">
        <v>56</v>
      </c>
      <c r="D12" s="10" t="s">
        <v>69</v>
      </c>
      <c r="E12" s="10"/>
      <c r="F12" s="11">
        <v>3</v>
      </c>
      <c r="G12" s="9" t="s">
        <v>15</v>
      </c>
    </row>
    <row r="13" customFormat="1" ht="22" customHeight="1" spans="1:7">
      <c r="A13" s="7">
        <v>19</v>
      </c>
      <c r="B13" s="8">
        <v>46090</v>
      </c>
      <c r="C13" s="9" t="s">
        <v>57</v>
      </c>
      <c r="D13" s="10" t="s">
        <v>69</v>
      </c>
      <c r="E13" s="10">
        <v>3</v>
      </c>
      <c r="F13" s="11"/>
      <c r="G13" s="9" t="s">
        <v>15</v>
      </c>
    </row>
    <row r="14" customFormat="1" ht="22" customHeight="1" spans="1:7">
      <c r="A14" s="7">
        <v>11</v>
      </c>
      <c r="B14" s="8">
        <v>46090</v>
      </c>
      <c r="C14" s="9" t="s">
        <v>58</v>
      </c>
      <c r="D14" s="10" t="s">
        <v>69</v>
      </c>
      <c r="E14" s="10"/>
      <c r="F14" s="11">
        <v>3</v>
      </c>
      <c r="G14" s="9" t="s">
        <v>15</v>
      </c>
    </row>
    <row r="15" customFormat="1" ht="22" customHeight="1" spans="1:7">
      <c r="A15" s="7">
        <v>23</v>
      </c>
      <c r="B15" s="8">
        <v>46090</v>
      </c>
      <c r="C15" s="9" t="s">
        <v>59</v>
      </c>
      <c r="D15" s="10" t="s">
        <v>69</v>
      </c>
      <c r="E15" s="10"/>
      <c r="F15" s="11">
        <v>3</v>
      </c>
      <c r="G15" s="9" t="s">
        <v>15</v>
      </c>
    </row>
    <row r="16" customFormat="1" ht="22" customHeight="1" spans="1:7">
      <c r="A16" s="7">
        <v>12</v>
      </c>
      <c r="B16" s="8">
        <v>46090</v>
      </c>
      <c r="C16" s="9" t="s">
        <v>27</v>
      </c>
      <c r="D16" s="10" t="s">
        <v>69</v>
      </c>
      <c r="E16" s="10">
        <v>3</v>
      </c>
      <c r="F16" s="11"/>
      <c r="G16" s="9" t="s">
        <v>15</v>
      </c>
    </row>
    <row r="17" customFormat="1" ht="22" customHeight="1" spans="1:7">
      <c r="A17" s="7">
        <v>13</v>
      </c>
      <c r="B17" s="8">
        <v>46090</v>
      </c>
      <c r="C17" s="9" t="s">
        <v>20</v>
      </c>
      <c r="D17" s="10" t="s">
        <v>69</v>
      </c>
      <c r="E17" s="10"/>
      <c r="F17" s="11">
        <v>3</v>
      </c>
      <c r="G17" s="9" t="s">
        <v>15</v>
      </c>
    </row>
    <row r="18" customFormat="1" ht="22" customHeight="1" spans="1:7">
      <c r="A18" s="7">
        <v>14</v>
      </c>
      <c r="B18" s="8">
        <v>46090</v>
      </c>
      <c r="C18" s="9" t="s">
        <v>40</v>
      </c>
      <c r="D18" s="10" t="s">
        <v>69</v>
      </c>
      <c r="E18" s="10">
        <v>3</v>
      </c>
      <c r="F18" s="11"/>
      <c r="G18" s="9" t="s">
        <v>15</v>
      </c>
    </row>
    <row r="19" ht="22" customHeight="1" spans="1:7">
      <c r="C19" s="13"/>
      <c r="D19" s="13"/>
      <c r="E19" s="14">
        <f>SUM(E3:E18)</f>
        <v>25</v>
      </c>
      <c r="F19" s="14">
        <f>SUM(F3:F18)</f>
        <v>23</v>
      </c>
      <c r="G19" s="13"/>
    </row>
    <row r="20" spans="1:7">
      <c r="E20">
        <v>40</v>
      </c>
      <c r="F20">
        <v>44</v>
      </c>
    </row>
    <row r="21" spans="1:7">
      <c r="D21" s="15"/>
      <c r="E21" s="15" t="s">
        <v>67</v>
      </c>
      <c r="F21" s="15" t="s">
        <v>68</v>
      </c>
    </row>
    <row r="22" spans="1:7">
      <c r="D22" s="15" t="s">
        <v>70</v>
      </c>
      <c r="E22" s="15">
        <f>E20-E19</f>
        <v>15</v>
      </c>
      <c r="F22" s="15">
        <f>F20-F19</f>
        <v>21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topLeftCell="A7" workbookViewId="0">
      <selection activeCell="L30" sqref="L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1" max="13" width="11.4285714285714" customWidth="1"/>
  </cols>
  <sheetData>
    <row r="1" ht="38" customHeight="1" spans="1:18">
      <c r="A1" s="2" t="s">
        <v>65</v>
      </c>
      <c r="B1" s="2"/>
      <c r="C1" s="2"/>
      <c r="D1" s="2"/>
      <c r="E1" s="2"/>
      <c r="F1" s="3"/>
      <c r="G1" s="4"/>
      <c r="J1" s="2" t="s">
        <v>65</v>
      </c>
      <c r="K1" s="2"/>
      <c r="L1" s="2"/>
      <c r="M1" s="2"/>
      <c r="N1" s="2"/>
      <c r="O1" s="3"/>
      <c r="P1" s="4"/>
    </row>
    <row r="2" s="1" customFormat="1" ht="32" customHeight="1" spans="1:18">
      <c r="A2" s="5" t="s">
        <v>2</v>
      </c>
      <c r="B2" s="6" t="s">
        <v>61</v>
      </c>
      <c r="C2" s="6" t="s">
        <v>3</v>
      </c>
      <c r="D2" s="6" t="s">
        <v>66</v>
      </c>
      <c r="E2" s="6" t="s">
        <v>67</v>
      </c>
      <c r="F2" s="6" t="s">
        <v>68</v>
      </c>
      <c r="G2" s="6" t="s">
        <v>7</v>
      </c>
      <c r="J2" s="16" t="s">
        <v>2</v>
      </c>
      <c r="K2" s="16" t="s">
        <v>61</v>
      </c>
      <c r="L2" s="16" t="s">
        <v>3</v>
      </c>
      <c r="M2" s="17" t="s">
        <v>66</v>
      </c>
      <c r="N2" s="6" t="s">
        <v>67</v>
      </c>
      <c r="O2" s="6" t="s">
        <v>68</v>
      </c>
      <c r="P2" s="6" t="s">
        <v>7</v>
      </c>
    </row>
    <row r="3" ht="22" customHeight="1" spans="1:18">
      <c r="A3" s="7">
        <v>1</v>
      </c>
      <c r="B3" s="25">
        <v>46090</v>
      </c>
      <c r="C3" s="26" t="s">
        <v>25</v>
      </c>
      <c r="D3" s="27" t="s">
        <v>69</v>
      </c>
      <c r="E3" s="27">
        <v>3</v>
      </c>
      <c r="F3" s="28"/>
      <c r="G3" s="29" t="s">
        <v>15</v>
      </c>
      <c r="J3" s="12">
        <v>1</v>
      </c>
      <c r="K3" s="25">
        <v>46090</v>
      </c>
      <c r="L3" s="30" t="s">
        <v>25</v>
      </c>
      <c r="M3" s="31" t="s">
        <v>69</v>
      </c>
      <c r="N3" s="31">
        <v>3</v>
      </c>
      <c r="O3" s="20"/>
      <c r="P3" s="32"/>
      <c r="R3" t="s">
        <v>15</v>
      </c>
    </row>
    <row r="4" ht="22" customHeight="1" spans="1:18">
      <c r="A4" s="7">
        <v>2</v>
      </c>
      <c r="B4" s="25">
        <v>46090</v>
      </c>
      <c r="C4" s="26" t="s">
        <v>13</v>
      </c>
      <c r="D4" s="27" t="s">
        <v>69</v>
      </c>
      <c r="E4" s="27">
        <v>3</v>
      </c>
      <c r="F4" s="33"/>
      <c r="G4" s="29" t="s">
        <v>15</v>
      </c>
      <c r="J4" s="12">
        <v>2</v>
      </c>
      <c r="K4" s="8">
        <v>46090</v>
      </c>
      <c r="L4" s="23" t="s">
        <v>71</v>
      </c>
      <c r="M4" s="19" t="s">
        <v>69</v>
      </c>
      <c r="N4" s="19">
        <v>3</v>
      </c>
      <c r="O4" s="20"/>
      <c r="P4" s="34"/>
      <c r="R4" t="s">
        <v>15</v>
      </c>
    </row>
    <row r="5" ht="22" customHeight="1" spans="1:18">
      <c r="A5" s="7">
        <v>3</v>
      </c>
      <c r="B5" s="25">
        <v>46090</v>
      </c>
      <c r="C5" s="26" t="s">
        <v>16</v>
      </c>
      <c r="D5" s="27" t="s">
        <v>69</v>
      </c>
      <c r="E5" s="27">
        <v>3</v>
      </c>
      <c r="F5" s="33"/>
      <c r="G5" s="29" t="s">
        <v>15</v>
      </c>
      <c r="J5" s="12">
        <v>3</v>
      </c>
      <c r="K5" s="25">
        <v>46090</v>
      </c>
      <c r="L5" s="30" t="s">
        <v>13</v>
      </c>
      <c r="M5" s="31" t="s">
        <v>69</v>
      </c>
      <c r="N5" s="31">
        <v>3</v>
      </c>
      <c r="O5" s="21"/>
      <c r="P5" s="35"/>
      <c r="R5" t="s">
        <v>15</v>
      </c>
    </row>
    <row r="6" ht="22" customHeight="1" spans="1:18">
      <c r="A6" s="7">
        <v>4</v>
      </c>
      <c r="B6" s="25">
        <v>46090</v>
      </c>
      <c r="C6" s="26" t="s">
        <v>38</v>
      </c>
      <c r="D6" s="27" t="s">
        <v>69</v>
      </c>
      <c r="E6" s="36">
        <v>2</v>
      </c>
      <c r="F6" s="37">
        <v>1</v>
      </c>
      <c r="G6" s="29" t="s">
        <v>15</v>
      </c>
      <c r="H6" t="s">
        <v>72</v>
      </c>
      <c r="J6" s="12">
        <v>4</v>
      </c>
      <c r="K6" s="25">
        <v>46090</v>
      </c>
      <c r="L6" s="30" t="s">
        <v>16</v>
      </c>
      <c r="M6" s="31" t="s">
        <v>69</v>
      </c>
      <c r="N6" s="31">
        <v>3</v>
      </c>
      <c r="O6" s="21"/>
      <c r="P6" s="38"/>
      <c r="R6" t="s">
        <v>15</v>
      </c>
    </row>
    <row r="7" ht="22" customHeight="1" spans="1:18">
      <c r="A7" s="7">
        <v>5</v>
      </c>
      <c r="B7" s="25">
        <v>46090</v>
      </c>
      <c r="C7" s="26" t="s">
        <v>29</v>
      </c>
      <c r="D7" s="27" t="s">
        <v>69</v>
      </c>
      <c r="E7" s="39"/>
      <c r="F7" s="27">
        <v>3</v>
      </c>
      <c r="G7" s="29" t="s">
        <v>15</v>
      </c>
      <c r="J7" s="12">
        <v>5</v>
      </c>
      <c r="K7" s="25">
        <v>46090</v>
      </c>
      <c r="L7" s="30" t="s">
        <v>73</v>
      </c>
      <c r="M7" s="31" t="s">
        <v>69</v>
      </c>
      <c r="N7" s="40"/>
      <c r="O7" s="41">
        <v>3</v>
      </c>
      <c r="P7" s="42"/>
      <c r="Q7" t="s">
        <v>72</v>
      </c>
      <c r="R7" t="s">
        <v>15</v>
      </c>
    </row>
    <row r="8" ht="22" customHeight="1" spans="1:18">
      <c r="A8" s="7">
        <v>6</v>
      </c>
      <c r="B8" s="25">
        <v>46090</v>
      </c>
      <c r="C8" s="26" t="s">
        <v>39</v>
      </c>
      <c r="D8" s="27" t="s">
        <v>69</v>
      </c>
      <c r="E8" s="27"/>
      <c r="F8" s="36">
        <v>3</v>
      </c>
      <c r="G8" s="29" t="s">
        <v>15</v>
      </c>
      <c r="H8" t="s">
        <v>74</v>
      </c>
      <c r="J8" s="12">
        <v>6</v>
      </c>
      <c r="K8" s="8">
        <v>46090</v>
      </c>
      <c r="L8" s="23" t="s">
        <v>75</v>
      </c>
      <c r="M8" s="19" t="s">
        <v>69</v>
      </c>
      <c r="N8" s="21"/>
      <c r="O8" s="19">
        <v>3</v>
      </c>
      <c r="P8" s="42"/>
      <c r="R8" t="s">
        <v>15</v>
      </c>
    </row>
    <row r="9" ht="22" customHeight="1" spans="1:18">
      <c r="A9" s="7">
        <v>7</v>
      </c>
      <c r="B9" s="25">
        <v>46090</v>
      </c>
      <c r="C9" s="26" t="s">
        <v>34</v>
      </c>
      <c r="D9" s="27" t="s">
        <v>69</v>
      </c>
      <c r="E9" s="39"/>
      <c r="F9" s="27">
        <v>3</v>
      </c>
      <c r="G9" s="29" t="s">
        <v>15</v>
      </c>
      <c r="J9" s="12">
        <v>7</v>
      </c>
      <c r="K9" s="25">
        <v>46090</v>
      </c>
      <c r="L9" s="30" t="s">
        <v>76</v>
      </c>
      <c r="M9" s="31" t="s">
        <v>69</v>
      </c>
      <c r="N9" s="43"/>
      <c r="O9" s="31">
        <v>3</v>
      </c>
      <c r="P9" s="42"/>
      <c r="R9" t="s">
        <v>15</v>
      </c>
    </row>
    <row r="10" ht="22" customHeight="1" spans="1:18">
      <c r="A10" s="7">
        <v>8</v>
      </c>
      <c r="B10" s="25">
        <v>46090</v>
      </c>
      <c r="C10" s="26" t="s">
        <v>36</v>
      </c>
      <c r="D10" s="27" t="s">
        <v>69</v>
      </c>
      <c r="E10" s="27">
        <v>3</v>
      </c>
      <c r="F10" s="33"/>
      <c r="G10" s="29" t="s">
        <v>15</v>
      </c>
      <c r="J10" s="12">
        <v>8</v>
      </c>
      <c r="K10" s="8">
        <v>46090</v>
      </c>
      <c r="L10" s="23" t="s">
        <v>77</v>
      </c>
      <c r="M10" s="19" t="s">
        <v>69</v>
      </c>
      <c r="N10" s="21"/>
      <c r="O10" s="19">
        <v>3</v>
      </c>
      <c r="P10" s="42"/>
      <c r="R10" t="s">
        <v>15</v>
      </c>
    </row>
    <row r="11" ht="22" customHeight="1" spans="1:18">
      <c r="A11" s="7">
        <v>9</v>
      </c>
      <c r="B11" s="25">
        <v>46090</v>
      </c>
      <c r="C11" s="26" t="s">
        <v>24</v>
      </c>
      <c r="D11" s="27" t="s">
        <v>69</v>
      </c>
      <c r="E11" s="37">
        <v>2</v>
      </c>
      <c r="F11" s="44">
        <v>1</v>
      </c>
      <c r="G11" s="29" t="s">
        <v>15</v>
      </c>
      <c r="H11" t="s">
        <v>74</v>
      </c>
      <c r="J11" s="12">
        <v>9</v>
      </c>
      <c r="K11" s="25">
        <v>46090</v>
      </c>
      <c r="L11" s="30" t="s">
        <v>39</v>
      </c>
      <c r="M11" s="31" t="s">
        <v>69</v>
      </c>
      <c r="N11" s="31">
        <v>3</v>
      </c>
      <c r="O11" s="40"/>
      <c r="P11" s="38"/>
      <c r="Q11" t="s">
        <v>74</v>
      </c>
      <c r="R11" t="s">
        <v>15</v>
      </c>
    </row>
    <row r="12" ht="22" customHeight="1" spans="1:18">
      <c r="A12" s="7">
        <v>10</v>
      </c>
      <c r="B12" s="25">
        <v>46090</v>
      </c>
      <c r="C12" s="26" t="s">
        <v>56</v>
      </c>
      <c r="D12" s="27" t="s">
        <v>69</v>
      </c>
      <c r="E12" s="39"/>
      <c r="F12" s="27">
        <v>3</v>
      </c>
      <c r="G12" s="29" t="s">
        <v>15</v>
      </c>
      <c r="J12" s="12">
        <v>10</v>
      </c>
      <c r="K12" s="25">
        <v>46090</v>
      </c>
      <c r="L12" s="30" t="s">
        <v>34</v>
      </c>
      <c r="M12" s="31" t="s">
        <v>69</v>
      </c>
      <c r="N12" s="43"/>
      <c r="O12" s="31">
        <v>3</v>
      </c>
      <c r="P12" s="38"/>
      <c r="R12" t="s">
        <v>15</v>
      </c>
    </row>
    <row r="13" customFormat="1" ht="22" customHeight="1" spans="1:18">
      <c r="A13" s="7">
        <v>11</v>
      </c>
      <c r="B13" s="25">
        <v>46090</v>
      </c>
      <c r="C13" s="26" t="s">
        <v>58</v>
      </c>
      <c r="D13" s="27" t="s">
        <v>69</v>
      </c>
      <c r="E13" s="39"/>
      <c r="F13" s="27">
        <v>3</v>
      </c>
      <c r="G13" s="29" t="s">
        <v>15</v>
      </c>
      <c r="J13" s="12">
        <v>11</v>
      </c>
      <c r="K13" s="25">
        <v>46090</v>
      </c>
      <c r="L13" s="30" t="s">
        <v>36</v>
      </c>
      <c r="M13" s="31" t="s">
        <v>69</v>
      </c>
      <c r="N13" s="31">
        <v>3</v>
      </c>
      <c r="O13" s="21"/>
      <c r="P13" s="38"/>
      <c r="R13" t="s">
        <v>15</v>
      </c>
    </row>
    <row r="14" customFormat="1" ht="22" customHeight="1" spans="1:18">
      <c r="A14" s="7">
        <v>12</v>
      </c>
      <c r="B14" s="25">
        <v>46090</v>
      </c>
      <c r="C14" s="26" t="s">
        <v>78</v>
      </c>
      <c r="D14" s="27" t="s">
        <v>69</v>
      </c>
      <c r="E14" s="45">
        <v>3</v>
      </c>
      <c r="F14" s="46"/>
      <c r="G14" s="29" t="s">
        <v>15</v>
      </c>
      <c r="H14" t="s">
        <v>79</v>
      </c>
      <c r="J14" s="12">
        <v>12</v>
      </c>
      <c r="K14" s="25">
        <v>46090</v>
      </c>
      <c r="L14" s="30" t="s">
        <v>24</v>
      </c>
      <c r="M14" s="31" t="s">
        <v>69</v>
      </c>
      <c r="N14" s="41">
        <v>3</v>
      </c>
      <c r="O14" s="47"/>
      <c r="P14" s="38"/>
      <c r="Q14" t="s">
        <v>74</v>
      </c>
      <c r="R14" t="s">
        <v>15</v>
      </c>
    </row>
    <row r="15" customFormat="1" ht="22" customHeight="1" spans="1:18">
      <c r="A15" s="7">
        <v>13</v>
      </c>
      <c r="B15" s="25">
        <v>46090</v>
      </c>
      <c r="C15" s="26" t="s">
        <v>20</v>
      </c>
      <c r="D15" s="27" t="s">
        <v>69</v>
      </c>
      <c r="E15" s="39"/>
      <c r="F15" s="27">
        <v>3</v>
      </c>
      <c r="G15" s="29" t="s">
        <v>15</v>
      </c>
      <c r="J15" s="12">
        <v>13</v>
      </c>
      <c r="K15" s="8">
        <v>46090</v>
      </c>
      <c r="L15" s="23" t="s">
        <v>80</v>
      </c>
      <c r="M15" s="19" t="s">
        <v>69</v>
      </c>
      <c r="N15" s="21"/>
      <c r="O15" s="19">
        <v>3</v>
      </c>
      <c r="P15" s="38"/>
      <c r="R15" t="s">
        <v>15</v>
      </c>
    </row>
    <row r="16" customFormat="1" ht="22" customHeight="1" spans="1:18">
      <c r="A16" s="7">
        <v>14</v>
      </c>
      <c r="B16" s="25">
        <v>46090</v>
      </c>
      <c r="C16" s="29" t="s">
        <v>17</v>
      </c>
      <c r="D16" s="27" t="s">
        <v>69</v>
      </c>
      <c r="E16" s="48">
        <v>3</v>
      </c>
      <c r="F16" s="49"/>
      <c r="G16" s="29" t="s">
        <v>18</v>
      </c>
      <c r="J16" s="12">
        <v>14</v>
      </c>
      <c r="K16" s="8">
        <v>46090</v>
      </c>
      <c r="L16" s="23" t="s">
        <v>81</v>
      </c>
      <c r="M16" s="19" t="s">
        <v>69</v>
      </c>
      <c r="N16" s="19">
        <v>3</v>
      </c>
      <c r="O16" s="21"/>
      <c r="P16" s="38"/>
      <c r="R16" t="s">
        <v>15</v>
      </c>
    </row>
    <row r="17" customFormat="1" ht="22" customHeight="1" spans="1:18">
      <c r="A17" s="7">
        <v>15</v>
      </c>
      <c r="B17" s="25">
        <v>46090</v>
      </c>
      <c r="C17" s="29" t="s">
        <v>19</v>
      </c>
      <c r="D17" s="27" t="s">
        <v>69</v>
      </c>
      <c r="E17" s="48">
        <v>3</v>
      </c>
      <c r="F17" s="49"/>
      <c r="G17" s="29" t="s">
        <v>18</v>
      </c>
      <c r="J17" s="12">
        <v>15</v>
      </c>
      <c r="K17" s="25">
        <v>46090</v>
      </c>
      <c r="L17" s="30" t="s">
        <v>56</v>
      </c>
      <c r="M17" s="31" t="s">
        <v>69</v>
      </c>
      <c r="N17" s="43"/>
      <c r="O17" s="31">
        <v>3</v>
      </c>
      <c r="P17" s="38"/>
      <c r="R17" t="s">
        <v>15</v>
      </c>
    </row>
    <row r="18" customFormat="1" ht="22" customHeight="1" spans="1:18">
      <c r="A18" s="7">
        <v>16</v>
      </c>
      <c r="B18" s="25">
        <v>46090</v>
      </c>
      <c r="C18" s="29" t="s">
        <v>82</v>
      </c>
      <c r="D18" s="27" t="s">
        <v>69</v>
      </c>
      <c r="E18" s="48">
        <v>3</v>
      </c>
      <c r="F18" s="49"/>
      <c r="G18" s="29" t="s">
        <v>23</v>
      </c>
      <c r="J18" s="12">
        <v>16</v>
      </c>
      <c r="K18" s="8">
        <v>46090</v>
      </c>
      <c r="L18" s="23" t="s">
        <v>83</v>
      </c>
      <c r="M18" s="19" t="s">
        <v>69</v>
      </c>
      <c r="N18" s="21"/>
      <c r="O18" s="19">
        <v>3</v>
      </c>
      <c r="P18" s="38"/>
      <c r="R18" t="s">
        <v>15</v>
      </c>
    </row>
    <row r="19" customFormat="1" ht="22" customHeight="1" spans="1:18">
      <c r="A19" s="7">
        <v>17</v>
      </c>
      <c r="B19" s="25">
        <v>46090</v>
      </c>
      <c r="C19" s="29" t="s">
        <v>84</v>
      </c>
      <c r="D19" s="27" t="s">
        <v>69</v>
      </c>
      <c r="E19" s="49"/>
      <c r="F19" s="48">
        <v>3</v>
      </c>
      <c r="G19" s="29" t="s">
        <v>23</v>
      </c>
      <c r="J19" s="12">
        <v>17</v>
      </c>
      <c r="K19" s="8">
        <v>46090</v>
      </c>
      <c r="L19" s="23" t="s">
        <v>85</v>
      </c>
      <c r="M19" s="19" t="s">
        <v>69</v>
      </c>
      <c r="N19" s="23">
        <v>2</v>
      </c>
      <c r="O19" s="23">
        <v>1</v>
      </c>
      <c r="P19" s="42"/>
      <c r="R19" t="s">
        <v>15</v>
      </c>
    </row>
    <row r="20" customFormat="1" ht="22" customHeight="1" spans="1:18">
      <c r="A20" s="7">
        <v>18</v>
      </c>
      <c r="B20" s="25">
        <v>46090</v>
      </c>
      <c r="C20" s="29" t="s">
        <v>86</v>
      </c>
      <c r="D20" s="27" t="s">
        <v>69</v>
      </c>
      <c r="E20" s="49">
        <v>2</v>
      </c>
      <c r="F20" s="49">
        <v>1</v>
      </c>
      <c r="G20" s="29" t="s">
        <v>18</v>
      </c>
      <c r="J20" s="12">
        <v>18</v>
      </c>
      <c r="K20" s="8">
        <v>46090</v>
      </c>
      <c r="L20" s="23" t="s">
        <v>87</v>
      </c>
      <c r="M20" s="19" t="s">
        <v>69</v>
      </c>
      <c r="N20" s="23">
        <v>2</v>
      </c>
      <c r="O20" s="23">
        <v>1</v>
      </c>
      <c r="P20" s="42"/>
      <c r="R20" t="s">
        <v>15</v>
      </c>
    </row>
    <row r="21" customFormat="1" ht="22" customHeight="1" spans="1:18">
      <c r="A21" s="7">
        <v>19</v>
      </c>
      <c r="B21" s="25">
        <v>46090</v>
      </c>
      <c r="C21" s="26" t="s">
        <v>57</v>
      </c>
      <c r="D21" s="27" t="s">
        <v>69</v>
      </c>
      <c r="E21" s="49">
        <v>3</v>
      </c>
      <c r="F21" s="49"/>
      <c r="G21" s="29" t="s">
        <v>15</v>
      </c>
      <c r="J21" s="12">
        <v>19</v>
      </c>
      <c r="K21" s="25">
        <v>46090</v>
      </c>
      <c r="L21" s="30" t="s">
        <v>58</v>
      </c>
      <c r="M21" s="31" t="s">
        <v>69</v>
      </c>
      <c r="N21" s="43"/>
      <c r="O21" s="31">
        <v>3</v>
      </c>
      <c r="P21" s="42"/>
      <c r="R21" t="s">
        <v>15</v>
      </c>
    </row>
    <row r="22" customFormat="1" ht="22" customHeight="1" spans="1:18">
      <c r="A22" s="7">
        <v>20</v>
      </c>
      <c r="B22" s="25">
        <v>46090</v>
      </c>
      <c r="C22" s="29" t="s">
        <v>31</v>
      </c>
      <c r="D22" s="27" t="s">
        <v>69</v>
      </c>
      <c r="E22" s="49">
        <v>2</v>
      </c>
      <c r="F22" s="49">
        <v>1</v>
      </c>
      <c r="G22" s="29" t="s">
        <v>23</v>
      </c>
      <c r="J22" s="12">
        <v>20</v>
      </c>
      <c r="K22" s="8">
        <v>46090</v>
      </c>
      <c r="L22" s="23" t="s">
        <v>59</v>
      </c>
      <c r="M22" s="19" t="s">
        <v>69</v>
      </c>
      <c r="N22" s="21"/>
      <c r="O22" s="19">
        <v>3</v>
      </c>
      <c r="P22" s="42"/>
      <c r="R22" t="s">
        <v>15</v>
      </c>
    </row>
    <row r="23" customFormat="1" ht="22" customHeight="1" spans="1:18">
      <c r="A23" s="7">
        <v>21</v>
      </c>
      <c r="B23" s="25">
        <v>46090</v>
      </c>
      <c r="C23" s="29" t="s">
        <v>32</v>
      </c>
      <c r="D23" s="27" t="s">
        <v>69</v>
      </c>
      <c r="E23" s="49">
        <v>3</v>
      </c>
      <c r="F23" s="49"/>
      <c r="G23" s="29" t="s">
        <v>23</v>
      </c>
      <c r="J23" s="12">
        <v>21</v>
      </c>
      <c r="K23" s="25">
        <v>46090</v>
      </c>
      <c r="L23" s="30" t="s">
        <v>78</v>
      </c>
      <c r="M23" s="31" t="s">
        <v>69</v>
      </c>
      <c r="N23" s="50">
        <v>2</v>
      </c>
      <c r="O23" s="23">
        <v>1</v>
      </c>
      <c r="P23" s="42"/>
      <c r="Q23" t="s">
        <v>79</v>
      </c>
      <c r="R23" t="s">
        <v>15</v>
      </c>
    </row>
    <row r="24" customFormat="1" ht="22" customHeight="1" spans="1:18">
      <c r="A24" s="7">
        <v>22</v>
      </c>
      <c r="B24" s="25">
        <v>46090</v>
      </c>
      <c r="C24" s="29" t="s">
        <v>35</v>
      </c>
      <c r="D24" s="27" t="s">
        <v>69</v>
      </c>
      <c r="E24" s="49"/>
      <c r="F24" s="49">
        <v>3</v>
      </c>
      <c r="G24" s="29" t="s">
        <v>23</v>
      </c>
      <c r="J24" s="12">
        <v>22</v>
      </c>
      <c r="K24" s="8">
        <v>46090</v>
      </c>
      <c r="L24" s="23" t="s">
        <v>88</v>
      </c>
      <c r="M24" s="19" t="s">
        <v>69</v>
      </c>
      <c r="N24" s="23">
        <v>2</v>
      </c>
      <c r="O24" s="23">
        <v>1</v>
      </c>
      <c r="P24" s="42"/>
      <c r="R24" t="s">
        <v>15</v>
      </c>
    </row>
    <row r="25" customFormat="1" ht="22" customHeight="1" spans="1:18">
      <c r="A25" s="7">
        <v>23</v>
      </c>
      <c r="B25" s="25">
        <v>46090</v>
      </c>
      <c r="C25" s="26" t="s">
        <v>59</v>
      </c>
      <c r="D25" s="27" t="s">
        <v>69</v>
      </c>
      <c r="E25" s="49"/>
      <c r="F25" s="49">
        <v>3</v>
      </c>
      <c r="G25" s="49"/>
      <c r="J25" s="12">
        <v>23</v>
      </c>
      <c r="K25" s="8">
        <v>46090</v>
      </c>
      <c r="L25" s="23" t="s">
        <v>89</v>
      </c>
      <c r="M25" s="19" t="s">
        <v>69</v>
      </c>
      <c r="N25" s="23">
        <v>2</v>
      </c>
      <c r="O25" s="23">
        <v>1</v>
      </c>
      <c r="P25" s="38"/>
      <c r="R25" t="s">
        <v>15</v>
      </c>
    </row>
    <row r="26" customFormat="1" ht="22" customHeight="1" spans="1:18">
      <c r="A26" s="18">
        <v>24</v>
      </c>
      <c r="J26" s="12">
        <v>24</v>
      </c>
      <c r="K26" s="8">
        <v>46090</v>
      </c>
      <c r="L26" s="23" t="s">
        <v>89</v>
      </c>
      <c r="M26" s="19" t="s">
        <v>69</v>
      </c>
      <c r="N26" s="21"/>
      <c r="O26" s="19">
        <v>3</v>
      </c>
      <c r="P26" s="38"/>
      <c r="R26" t="s">
        <v>15</v>
      </c>
    </row>
    <row r="27" customFormat="1" ht="22" customHeight="1" spans="1:18">
      <c r="A27" s="18">
        <v>25</v>
      </c>
      <c r="J27" s="12">
        <v>25</v>
      </c>
      <c r="K27" s="25">
        <v>46090</v>
      </c>
      <c r="L27" s="30" t="s">
        <v>20</v>
      </c>
      <c r="M27" s="31" t="s">
        <v>69</v>
      </c>
      <c r="N27" s="43"/>
      <c r="O27" s="31">
        <v>3</v>
      </c>
      <c r="P27" s="38"/>
      <c r="R27" t="s">
        <v>15</v>
      </c>
    </row>
    <row r="28" customFormat="1" ht="22" customHeight="1" spans="1:18">
      <c r="A28" s="18">
        <v>26</v>
      </c>
      <c r="J28" s="12">
        <v>26</v>
      </c>
      <c r="K28" s="8">
        <v>46090</v>
      </c>
      <c r="L28" s="23" t="s">
        <v>90</v>
      </c>
      <c r="M28" s="19" t="s">
        <v>69</v>
      </c>
      <c r="N28" s="21"/>
      <c r="O28" s="19">
        <v>3</v>
      </c>
      <c r="P28" s="38"/>
      <c r="R28" t="s">
        <v>15</v>
      </c>
    </row>
    <row r="29" customFormat="1" ht="22" customHeight="1" spans="1:18">
      <c r="A29" s="18">
        <v>27</v>
      </c>
      <c r="J29" s="12">
        <v>27</v>
      </c>
      <c r="K29" s="8">
        <v>46090</v>
      </c>
      <c r="L29" s="23" t="s">
        <v>91</v>
      </c>
      <c r="M29" s="19" t="s">
        <v>69</v>
      </c>
      <c r="N29" s="19">
        <v>3</v>
      </c>
      <c r="O29" s="21"/>
      <c r="P29" s="51"/>
      <c r="R29" t="s">
        <v>15</v>
      </c>
    </row>
    <row r="30" customFormat="1" ht="22" customHeight="1" spans="1:18">
      <c r="A30" s="18">
        <v>28</v>
      </c>
      <c r="J30" s="12">
        <v>28</v>
      </c>
      <c r="K30" s="8">
        <v>46090</v>
      </c>
      <c r="L30" s="21" t="s">
        <v>40</v>
      </c>
      <c r="M30" s="19" t="s">
        <v>69</v>
      </c>
      <c r="N30" s="19">
        <v>3</v>
      </c>
      <c r="O30" s="21"/>
      <c r="P30" s="21"/>
      <c r="R30" t="s">
        <v>15</v>
      </c>
    </row>
    <row r="31" ht="14.25" spans="1:18">
      <c r="K31" s="8">
        <v>46090</v>
      </c>
      <c r="L31" s="52" t="s">
        <v>19</v>
      </c>
      <c r="M31" s="53" t="s">
        <v>69</v>
      </c>
      <c r="N31" s="23">
        <v>3</v>
      </c>
      <c r="O31" s="21"/>
      <c r="R31" t="s">
        <v>18</v>
      </c>
    </row>
    <row r="32" ht="14.25" spans="1:18">
      <c r="K32" s="8">
        <v>46090</v>
      </c>
      <c r="L32" s="52" t="s">
        <v>22</v>
      </c>
      <c r="M32" s="53" t="s">
        <v>69</v>
      </c>
      <c r="N32" s="23">
        <v>3</v>
      </c>
      <c r="O32" s="21"/>
      <c r="R32" t="s">
        <v>18</v>
      </c>
    </row>
    <row r="33" ht="14.25" spans="11:18">
      <c r="K33" s="8">
        <v>46090</v>
      </c>
      <c r="L33" s="54" t="s">
        <v>86</v>
      </c>
      <c r="M33" s="53" t="s">
        <v>69</v>
      </c>
      <c r="N33" s="21"/>
      <c r="O33" s="23">
        <v>3</v>
      </c>
      <c r="R33" t="s">
        <v>18</v>
      </c>
    </row>
    <row r="34" ht="14.25" spans="11:18">
      <c r="K34" s="8">
        <v>46090</v>
      </c>
      <c r="L34" s="54" t="s">
        <v>92</v>
      </c>
      <c r="M34" s="53" t="s">
        <v>69</v>
      </c>
      <c r="N34" s="23">
        <v>3</v>
      </c>
      <c r="O34" s="21"/>
      <c r="R34" t="s">
        <v>18</v>
      </c>
    </row>
    <row r="35" spans="11:18">
      <c r="N35">
        <f>SUM(N3:N34)</f>
        <v>49</v>
      </c>
      <c r="O35">
        <f>SUM(O3:O34)</f>
        <v>47</v>
      </c>
    </row>
  </sheetData>
  <mergeCells count="2">
    <mergeCell ref="A1:G1"/>
    <mergeCell ref="J1:P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C20" sqref="C2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65</v>
      </c>
      <c r="B1" s="2"/>
      <c r="C1" s="2"/>
      <c r="D1" s="2"/>
      <c r="E1" s="2"/>
      <c r="F1" s="3"/>
      <c r="G1" s="4"/>
    </row>
    <row r="2" s="1" customFormat="1" ht="32" customHeight="1" spans="1:11">
      <c r="A2" s="16" t="s">
        <v>2</v>
      </c>
      <c r="B2" s="16" t="s">
        <v>61</v>
      </c>
      <c r="C2" s="16" t="s">
        <v>3</v>
      </c>
      <c r="D2" s="17" t="s">
        <v>66</v>
      </c>
      <c r="E2" s="6" t="s">
        <v>67</v>
      </c>
      <c r="F2" s="6" t="s">
        <v>68</v>
      </c>
      <c r="G2" s="6" t="s">
        <v>7</v>
      </c>
      <c r="K2"/>
    </row>
    <row r="3" ht="22" customHeight="1" spans="1:11">
      <c r="A3" s="18">
        <v>1</v>
      </c>
      <c r="B3" s="8">
        <v>46093</v>
      </c>
      <c r="C3" s="9" t="s">
        <v>25</v>
      </c>
      <c r="D3" s="19" t="s">
        <v>69</v>
      </c>
      <c r="E3" s="19">
        <v>3</v>
      </c>
      <c r="F3" s="20"/>
      <c r="G3" s="10"/>
    </row>
    <row r="4" ht="22" customHeight="1" spans="1:11">
      <c r="A4" s="18">
        <v>2</v>
      </c>
      <c r="B4" s="8">
        <v>46093</v>
      </c>
      <c r="C4" s="9" t="s">
        <v>13</v>
      </c>
      <c r="D4" s="19" t="s">
        <v>69</v>
      </c>
      <c r="E4" s="19">
        <v>3</v>
      </c>
      <c r="F4" s="20"/>
      <c r="G4" s="11"/>
    </row>
    <row r="5" ht="22" customHeight="1" spans="1:11">
      <c r="A5" s="18">
        <v>3</v>
      </c>
      <c r="B5" s="8">
        <v>46093</v>
      </c>
      <c r="C5" s="9" t="s">
        <v>16</v>
      </c>
      <c r="D5" s="19" t="s">
        <v>69</v>
      </c>
      <c r="E5" s="19">
        <v>3</v>
      </c>
      <c r="F5" s="21"/>
      <c r="G5" s="11"/>
    </row>
    <row r="6" ht="22" customHeight="1" spans="1:11">
      <c r="A6" s="18">
        <v>4</v>
      </c>
      <c r="B6" s="8">
        <v>46093</v>
      </c>
      <c r="C6" s="9" t="s">
        <v>38</v>
      </c>
      <c r="D6" s="19" t="s">
        <v>69</v>
      </c>
      <c r="E6" s="19">
        <v>3</v>
      </c>
      <c r="F6" s="21"/>
      <c r="G6" s="11"/>
    </row>
    <row r="7" ht="22" customHeight="1" spans="1:11">
      <c r="A7" s="18">
        <v>5</v>
      </c>
      <c r="B7" s="8">
        <v>46093</v>
      </c>
      <c r="C7" s="9" t="s">
        <v>29</v>
      </c>
      <c r="D7" s="19" t="s">
        <v>69</v>
      </c>
      <c r="E7" s="21"/>
      <c r="F7" s="19">
        <v>3</v>
      </c>
      <c r="G7" s="11"/>
    </row>
    <row r="8" ht="22" customHeight="1" spans="1:11">
      <c r="A8" s="18">
        <v>6</v>
      </c>
      <c r="B8" s="8">
        <v>46093</v>
      </c>
      <c r="C8" s="9" t="s">
        <v>39</v>
      </c>
      <c r="D8" s="19" t="s">
        <v>69</v>
      </c>
      <c r="E8" s="21"/>
      <c r="F8" s="19">
        <v>3</v>
      </c>
      <c r="G8" s="11"/>
      <c r="H8" t="s">
        <v>93</v>
      </c>
    </row>
    <row r="9" ht="22" customHeight="1" spans="1:11">
      <c r="A9" s="18">
        <v>7</v>
      </c>
      <c r="B9" s="8">
        <v>46093</v>
      </c>
      <c r="C9" s="9" t="s">
        <v>34</v>
      </c>
      <c r="D9" s="19" t="s">
        <v>69</v>
      </c>
      <c r="E9" s="21"/>
      <c r="F9" s="19">
        <v>3</v>
      </c>
      <c r="G9" s="22"/>
    </row>
    <row r="10" ht="22" customHeight="1" spans="1:11">
      <c r="A10" s="18">
        <v>8</v>
      </c>
      <c r="B10" s="8">
        <v>46093</v>
      </c>
      <c r="C10" s="9" t="s">
        <v>36</v>
      </c>
      <c r="D10" s="19" t="s">
        <v>69</v>
      </c>
      <c r="E10" s="21"/>
      <c r="F10" s="19">
        <v>4</v>
      </c>
      <c r="G10" s="22"/>
    </row>
    <row r="11" customFormat="1" ht="22" customHeight="1" spans="1:11">
      <c r="A11" s="18">
        <v>9</v>
      </c>
      <c r="B11" s="8">
        <v>46093</v>
      </c>
      <c r="C11" s="9" t="s">
        <v>24</v>
      </c>
      <c r="D11" s="19" t="s">
        <v>69</v>
      </c>
      <c r="E11" s="19">
        <v>3</v>
      </c>
      <c r="F11" s="21"/>
      <c r="G11" s="22"/>
    </row>
    <row r="12" customFormat="1" ht="22" customHeight="1" spans="1:11">
      <c r="A12" s="18">
        <v>10</v>
      </c>
      <c r="B12" s="8">
        <v>46093</v>
      </c>
      <c r="C12" s="9" t="s">
        <v>56</v>
      </c>
      <c r="D12" s="19" t="s">
        <v>69</v>
      </c>
      <c r="E12" s="21"/>
      <c r="F12" s="19">
        <v>3</v>
      </c>
      <c r="G12" s="22"/>
    </row>
    <row r="13" customFormat="1" ht="22" customHeight="1" spans="1:11">
      <c r="A13" s="18">
        <v>11</v>
      </c>
      <c r="B13" s="8">
        <v>46093</v>
      </c>
      <c r="C13" s="9" t="s">
        <v>57</v>
      </c>
      <c r="D13" s="19" t="s">
        <v>69</v>
      </c>
      <c r="E13" s="19">
        <v>3</v>
      </c>
      <c r="F13" s="21"/>
      <c r="G13" s="22"/>
    </row>
    <row r="14" customFormat="1" ht="22" customHeight="1" spans="1:11">
      <c r="A14" s="18">
        <v>12</v>
      </c>
      <c r="B14" s="8">
        <v>46093</v>
      </c>
      <c r="C14" s="9" t="s">
        <v>58</v>
      </c>
      <c r="D14" s="19" t="s">
        <v>69</v>
      </c>
      <c r="E14" s="19">
        <v>3</v>
      </c>
      <c r="F14" s="21"/>
      <c r="G14" s="22"/>
    </row>
    <row r="15" customFormat="1" ht="22" customHeight="1" spans="1:11">
      <c r="A15" s="18">
        <v>13</v>
      </c>
      <c r="B15" s="8">
        <v>46093</v>
      </c>
      <c r="C15" s="9" t="s">
        <v>59</v>
      </c>
      <c r="D15" s="19" t="s">
        <v>69</v>
      </c>
      <c r="E15" s="21"/>
      <c r="F15" s="19">
        <v>3</v>
      </c>
      <c r="G15" s="22"/>
    </row>
    <row r="16" customFormat="1" ht="22" customHeight="1" spans="1:11">
      <c r="A16" s="18">
        <v>14</v>
      </c>
      <c r="B16" s="8">
        <v>46093</v>
      </c>
      <c r="C16" s="9" t="s">
        <v>27</v>
      </c>
      <c r="D16" s="19" t="s">
        <v>69</v>
      </c>
      <c r="E16" s="19">
        <v>3</v>
      </c>
      <c r="F16" s="21"/>
      <c r="G16" s="22"/>
    </row>
    <row r="17" customFormat="1" ht="22" customHeight="1" spans="1:7">
      <c r="A17" s="18">
        <v>15</v>
      </c>
      <c r="B17" s="8">
        <v>46093</v>
      </c>
      <c r="C17" s="9" t="s">
        <v>20</v>
      </c>
      <c r="D17" s="19" t="s">
        <v>69</v>
      </c>
      <c r="E17" s="21"/>
      <c r="F17" s="19">
        <v>3</v>
      </c>
      <c r="G17" s="22"/>
    </row>
    <row r="18" customFormat="1" ht="22" customHeight="1" spans="1:7">
      <c r="A18" s="18">
        <v>16</v>
      </c>
      <c r="B18" s="8">
        <v>46093</v>
      </c>
      <c r="C18" s="9" t="s">
        <v>40</v>
      </c>
      <c r="D18" s="19" t="s">
        <v>69</v>
      </c>
      <c r="E18" s="21"/>
      <c r="F18" s="19">
        <v>3</v>
      </c>
      <c r="G18" s="22"/>
    </row>
    <row r="19" customFormat="1" ht="22" customHeight="1" spans="1:7">
      <c r="A19" s="18">
        <v>17</v>
      </c>
      <c r="B19" s="8">
        <v>46093</v>
      </c>
      <c r="C19" s="9" t="s">
        <v>27</v>
      </c>
      <c r="D19" s="19" t="s">
        <v>69</v>
      </c>
      <c r="E19" s="19">
        <v>3</v>
      </c>
      <c r="F19" s="19"/>
      <c r="G19" s="22" t="s">
        <v>94</v>
      </c>
    </row>
    <row r="20" customFormat="1" ht="22" customHeight="1" spans="1:7">
      <c r="A20" s="18">
        <v>18</v>
      </c>
      <c r="B20" s="8">
        <v>46093</v>
      </c>
      <c r="C20" s="9" t="s">
        <v>25</v>
      </c>
      <c r="D20" s="19" t="s">
        <v>69</v>
      </c>
      <c r="E20" s="19">
        <v>3</v>
      </c>
      <c r="F20" s="19"/>
      <c r="G20" s="22" t="s">
        <v>94</v>
      </c>
    </row>
    <row r="21" customFormat="1" ht="22" customHeight="1" spans="1:7">
      <c r="A21" s="18">
        <v>19</v>
      </c>
      <c r="B21" s="8">
        <v>46093</v>
      </c>
      <c r="C21" s="23" t="s">
        <v>16</v>
      </c>
      <c r="D21" s="19" t="s">
        <v>69</v>
      </c>
      <c r="E21" s="19">
        <v>3</v>
      </c>
      <c r="F21" s="21"/>
      <c r="G21" s="22" t="s">
        <v>94</v>
      </c>
    </row>
    <row r="22" customFormat="1" ht="22" customHeight="1" spans="1:7">
      <c r="A22" s="18"/>
      <c r="B22" s="8"/>
      <c r="C22" s="21"/>
      <c r="D22" s="19"/>
      <c r="E22" s="19"/>
      <c r="F22" s="21"/>
      <c r="G22" s="22"/>
    </row>
    <row r="23" ht="13.5" spans="1:7">
      <c r="E23" s="24">
        <f>SUM(E3:E22)</f>
        <v>33</v>
      </c>
      <c r="F23" s="24">
        <f>SUM(F3:F22)</f>
        <v>25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G14" sqref="G1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6" t="s">
        <v>61</v>
      </c>
      <c r="C2" s="6" t="s">
        <v>3</v>
      </c>
      <c r="D2" s="6" t="s">
        <v>66</v>
      </c>
      <c r="E2" s="6" t="s">
        <v>67</v>
      </c>
      <c r="F2" s="6" t="s">
        <v>68</v>
      </c>
      <c r="G2" s="6" t="s">
        <v>7</v>
      </c>
    </row>
    <row r="3" ht="22" customHeight="1" spans="1:7">
      <c r="A3" s="7">
        <v>1</v>
      </c>
      <c r="B3" s="8">
        <v>46097</v>
      </c>
      <c r="C3" s="9" t="s">
        <v>25</v>
      </c>
      <c r="D3" s="10" t="s">
        <v>69</v>
      </c>
      <c r="E3" s="10">
        <v>3</v>
      </c>
      <c r="F3" s="11"/>
      <c r="G3" s="9"/>
    </row>
    <row r="4" customFormat="1" ht="22" customHeight="1" spans="1:7">
      <c r="A4" s="7">
        <v>2</v>
      </c>
      <c r="B4" s="8">
        <v>46097</v>
      </c>
      <c r="C4" s="9" t="s">
        <v>13</v>
      </c>
      <c r="D4" s="10" t="s">
        <v>69</v>
      </c>
      <c r="E4" s="10">
        <v>3</v>
      </c>
      <c r="F4" s="11"/>
      <c r="G4" s="9"/>
    </row>
    <row r="5" customFormat="1" ht="22" customHeight="1" spans="1:7">
      <c r="A5" s="7">
        <v>3</v>
      </c>
      <c r="B5" s="8">
        <v>46097</v>
      </c>
      <c r="C5" s="9" t="s">
        <v>16</v>
      </c>
      <c r="D5" s="10" t="s">
        <v>69</v>
      </c>
      <c r="E5" s="10">
        <v>3</v>
      </c>
      <c r="F5" s="11"/>
      <c r="G5" s="9"/>
    </row>
    <row r="6" customFormat="1" ht="22" customHeight="1" spans="1:7">
      <c r="A6" s="7">
        <v>4</v>
      </c>
      <c r="B6" s="8">
        <v>46097</v>
      </c>
      <c r="C6" s="9" t="s">
        <v>38</v>
      </c>
      <c r="D6" s="10" t="s">
        <v>69</v>
      </c>
      <c r="E6" s="10">
        <v>2</v>
      </c>
      <c r="F6" s="11">
        <v>1</v>
      </c>
      <c r="G6" s="9"/>
    </row>
    <row r="7" customFormat="1" ht="22" customHeight="1" spans="1:7">
      <c r="A7" s="7">
        <v>5</v>
      </c>
      <c r="B7" s="8">
        <v>46097</v>
      </c>
      <c r="C7" s="9" t="s">
        <v>29</v>
      </c>
      <c r="D7" s="10" t="s">
        <v>69</v>
      </c>
      <c r="E7" s="10"/>
      <c r="F7" s="11">
        <v>3</v>
      </c>
      <c r="G7" s="9"/>
    </row>
    <row r="8" customFormat="1" ht="22" customHeight="1" spans="1:7">
      <c r="A8" s="7">
        <v>6</v>
      </c>
      <c r="B8" s="8">
        <v>46097</v>
      </c>
      <c r="C8" s="9" t="s">
        <v>39</v>
      </c>
      <c r="D8" s="10" t="s">
        <v>69</v>
      </c>
      <c r="E8" s="10"/>
      <c r="F8" s="11">
        <v>3</v>
      </c>
      <c r="G8" s="12" t="s">
        <v>95</v>
      </c>
    </row>
    <row r="9" customFormat="1" ht="22" customHeight="1" spans="1:7">
      <c r="A9" s="7">
        <v>7</v>
      </c>
      <c r="B9" s="8">
        <v>46097</v>
      </c>
      <c r="C9" s="9" t="s">
        <v>34</v>
      </c>
      <c r="D9" s="10" t="s">
        <v>69</v>
      </c>
      <c r="E9" s="10">
        <v>2</v>
      </c>
      <c r="F9" s="11">
        <v>1</v>
      </c>
      <c r="G9" s="9"/>
    </row>
    <row r="10" customFormat="1" ht="22" customHeight="1" spans="1:7">
      <c r="A10" s="7">
        <v>8</v>
      </c>
      <c r="B10" s="8">
        <v>46097</v>
      </c>
      <c r="C10" s="9" t="s">
        <v>36</v>
      </c>
      <c r="D10" s="10" t="s">
        <v>69</v>
      </c>
      <c r="E10" s="10">
        <v>3</v>
      </c>
      <c r="F10" s="11"/>
      <c r="G10" s="9" t="s">
        <v>96</v>
      </c>
    </row>
    <row r="11" customFormat="1" ht="22" customHeight="1" spans="1:7">
      <c r="A11" s="7">
        <v>9</v>
      </c>
      <c r="B11" s="8">
        <v>46097</v>
      </c>
      <c r="C11" s="9" t="s">
        <v>24</v>
      </c>
      <c r="D11" s="10" t="s">
        <v>69</v>
      </c>
      <c r="E11" s="10">
        <v>2</v>
      </c>
      <c r="F11" s="11">
        <v>1</v>
      </c>
      <c r="G11" s="9"/>
    </row>
    <row r="12" customFormat="1" ht="22" customHeight="1" spans="1:7">
      <c r="A12" s="7">
        <v>10</v>
      </c>
      <c r="B12" s="8">
        <v>46097</v>
      </c>
      <c r="C12" s="9" t="s">
        <v>56</v>
      </c>
      <c r="D12" s="10" t="s">
        <v>69</v>
      </c>
      <c r="E12" s="10"/>
      <c r="F12" s="11">
        <v>3</v>
      </c>
      <c r="G12" s="9"/>
    </row>
    <row r="13" customFormat="1" ht="22" customHeight="1" spans="1:7">
      <c r="A13" s="7">
        <v>11</v>
      </c>
      <c r="B13" s="8">
        <v>46097</v>
      </c>
      <c r="C13" s="9" t="s">
        <v>57</v>
      </c>
      <c r="D13" s="10" t="s">
        <v>69</v>
      </c>
      <c r="E13" s="10">
        <v>3</v>
      </c>
      <c r="F13" s="11"/>
      <c r="G13" s="9"/>
    </row>
    <row r="14" customFormat="1" ht="22" customHeight="1" spans="1:7">
      <c r="A14" s="7">
        <v>12</v>
      </c>
      <c r="B14" s="8">
        <v>46097</v>
      </c>
      <c r="C14" s="9" t="s">
        <v>58</v>
      </c>
      <c r="D14" s="10" t="s">
        <v>69</v>
      </c>
      <c r="E14" s="10"/>
      <c r="F14" s="11">
        <v>3</v>
      </c>
      <c r="G14" s="9"/>
    </row>
    <row r="15" customFormat="1" ht="22" customHeight="1" spans="1:7">
      <c r="A15" s="7">
        <v>13</v>
      </c>
      <c r="B15" s="8">
        <v>46097</v>
      </c>
      <c r="C15" s="9" t="s">
        <v>59</v>
      </c>
      <c r="D15" s="10" t="s">
        <v>69</v>
      </c>
      <c r="E15" s="10"/>
      <c r="F15" s="11">
        <v>3</v>
      </c>
      <c r="G15" s="9"/>
    </row>
    <row r="16" customFormat="1" ht="22" customHeight="1" spans="1:7">
      <c r="A16" s="7">
        <v>14</v>
      </c>
      <c r="B16" s="8">
        <v>46097</v>
      </c>
      <c r="C16" s="9" t="s">
        <v>27</v>
      </c>
      <c r="D16" s="10" t="s">
        <v>69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46097</v>
      </c>
      <c r="C17" s="9" t="s">
        <v>20</v>
      </c>
      <c r="D17" s="10" t="s">
        <v>69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46097</v>
      </c>
      <c r="C18" s="9" t="s">
        <v>40</v>
      </c>
      <c r="D18" s="10" t="s">
        <v>69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46097</v>
      </c>
      <c r="C19" s="9" t="s">
        <v>42</v>
      </c>
      <c r="D19" s="10" t="s">
        <v>69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46097</v>
      </c>
      <c r="C20" s="9" t="s">
        <v>44</v>
      </c>
      <c r="D20" s="10" t="s">
        <v>69</v>
      </c>
      <c r="E20" s="10">
        <v>3</v>
      </c>
      <c r="F20" s="11"/>
      <c r="G20" s="9"/>
    </row>
    <row r="21" customFormat="1" ht="22" customHeight="1" spans="1:7">
      <c r="A21" s="7">
        <v>19</v>
      </c>
      <c r="B21" s="8">
        <v>46097</v>
      </c>
      <c r="C21" s="9" t="s">
        <v>42</v>
      </c>
      <c r="D21" s="10" t="s">
        <v>69</v>
      </c>
      <c r="E21" s="10">
        <v>3</v>
      </c>
      <c r="F21" s="11"/>
      <c r="G21" s="9" t="s">
        <v>94</v>
      </c>
    </row>
    <row r="22" customFormat="1" ht="22" customHeight="1" spans="1:7">
      <c r="A22" s="7">
        <v>20</v>
      </c>
      <c r="B22" s="8">
        <v>46097</v>
      </c>
      <c r="C22" s="9" t="s">
        <v>44</v>
      </c>
      <c r="D22" s="10" t="s">
        <v>69</v>
      </c>
      <c r="E22" s="10">
        <v>3</v>
      </c>
      <c r="F22" s="11"/>
      <c r="G22" s="9" t="s">
        <v>94</v>
      </c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ht="22" customHeight="1" spans="1:7">
      <c r="C24" s="13"/>
      <c r="D24" s="13"/>
      <c r="E24" s="14">
        <f>SUM(E3:E23)</f>
        <v>39</v>
      </c>
      <c r="F24" s="14">
        <f>SUM(F3:F23)</f>
        <v>21</v>
      </c>
      <c r="G24" s="13"/>
    </row>
    <row r="26" spans="1:7">
      <c r="D26" s="15"/>
      <c r="E26" s="15"/>
      <c r="F26" s="15"/>
    </row>
    <row r="27" spans="1:7">
      <c r="D27" s="15"/>
      <c r="E27" s="15"/>
      <c r="F27" s="15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F23" sqref="F2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6" t="s">
        <v>61</v>
      </c>
      <c r="C2" s="6" t="s">
        <v>3</v>
      </c>
      <c r="D2" s="6" t="s">
        <v>66</v>
      </c>
      <c r="E2" s="6" t="s">
        <v>67</v>
      </c>
      <c r="F2" s="6" t="s">
        <v>68</v>
      </c>
      <c r="G2" s="6" t="s">
        <v>7</v>
      </c>
    </row>
    <row r="3" ht="22" customHeight="1" spans="1:7">
      <c r="A3" s="7">
        <v>1</v>
      </c>
      <c r="B3" s="8">
        <v>46100</v>
      </c>
      <c r="C3" s="9" t="s">
        <v>25</v>
      </c>
      <c r="D3" s="10" t="s">
        <v>69</v>
      </c>
      <c r="E3" s="10">
        <v>3</v>
      </c>
      <c r="F3" s="11"/>
      <c r="G3" s="9"/>
    </row>
    <row r="4" customFormat="1" ht="22" customHeight="1" spans="1:7">
      <c r="A4" s="7">
        <v>2</v>
      </c>
      <c r="B4" s="8">
        <v>46100</v>
      </c>
      <c r="C4" s="9" t="s">
        <v>13</v>
      </c>
      <c r="D4" s="10" t="s">
        <v>69</v>
      </c>
      <c r="E4" s="10">
        <v>3</v>
      </c>
      <c r="F4" s="11"/>
      <c r="G4" s="9"/>
    </row>
    <row r="5" customFormat="1" ht="22" customHeight="1" spans="1:7">
      <c r="A5" s="7">
        <v>3</v>
      </c>
      <c r="B5" s="8">
        <v>46100</v>
      </c>
      <c r="C5" s="9" t="s">
        <v>16</v>
      </c>
      <c r="D5" s="10" t="s">
        <v>69</v>
      </c>
      <c r="E5" s="10">
        <v>3</v>
      </c>
      <c r="F5" s="11"/>
      <c r="G5" s="9"/>
    </row>
    <row r="6" customFormat="1" ht="22" customHeight="1" spans="1:7">
      <c r="A6" s="7">
        <v>4</v>
      </c>
      <c r="B6" s="8">
        <v>46100</v>
      </c>
      <c r="C6" s="9" t="s">
        <v>38</v>
      </c>
      <c r="D6" s="10" t="s">
        <v>69</v>
      </c>
      <c r="E6" s="10">
        <v>2</v>
      </c>
      <c r="F6" s="11">
        <v>1</v>
      </c>
      <c r="G6" s="9"/>
    </row>
    <row r="7" customFormat="1" ht="22" customHeight="1" spans="1:7">
      <c r="A7" s="7">
        <v>5</v>
      </c>
      <c r="B7" s="8">
        <v>46100</v>
      </c>
      <c r="C7" s="9" t="s">
        <v>29</v>
      </c>
      <c r="D7" s="10" t="s">
        <v>69</v>
      </c>
      <c r="E7" s="10"/>
      <c r="F7" s="11">
        <v>3</v>
      </c>
      <c r="G7" s="9"/>
    </row>
    <row r="8" customFormat="1" ht="22" customHeight="1" spans="1:7">
      <c r="A8" s="7">
        <v>6</v>
      </c>
      <c r="B8" s="8">
        <v>46100</v>
      </c>
      <c r="C8" s="9" t="s">
        <v>39</v>
      </c>
      <c r="D8" s="10" t="s">
        <v>69</v>
      </c>
      <c r="E8" s="10"/>
      <c r="F8" s="11">
        <v>3</v>
      </c>
      <c r="G8" s="9" t="s">
        <v>93</v>
      </c>
    </row>
    <row r="9" customFormat="1" ht="22" customHeight="1" spans="1:7">
      <c r="A9" s="7">
        <v>7</v>
      </c>
      <c r="B9" s="8">
        <v>46100</v>
      </c>
      <c r="C9" s="9" t="s">
        <v>34</v>
      </c>
      <c r="D9" s="10" t="s">
        <v>69</v>
      </c>
      <c r="E9" s="10">
        <v>2</v>
      </c>
      <c r="F9" s="11">
        <v>1</v>
      </c>
      <c r="G9" s="9"/>
    </row>
    <row r="10" customFormat="1" ht="22" customHeight="1" spans="1:7">
      <c r="A10" s="7">
        <v>8</v>
      </c>
      <c r="B10" s="8">
        <v>46100</v>
      </c>
      <c r="C10" s="9" t="s">
        <v>36</v>
      </c>
      <c r="D10" s="10" t="s">
        <v>69</v>
      </c>
      <c r="E10" s="10">
        <v>3</v>
      </c>
      <c r="F10" s="11"/>
      <c r="G10" s="9" t="s">
        <v>97</v>
      </c>
    </row>
    <row r="11" customFormat="1" ht="22" customHeight="1" spans="1:7">
      <c r="A11" s="7">
        <v>9</v>
      </c>
      <c r="B11" s="8">
        <v>46100</v>
      </c>
      <c r="C11" s="9" t="s">
        <v>24</v>
      </c>
      <c r="D11" s="10" t="s">
        <v>69</v>
      </c>
      <c r="E11" s="10">
        <v>2</v>
      </c>
      <c r="F11" s="11">
        <v>1</v>
      </c>
      <c r="G11" s="9"/>
    </row>
    <row r="12" customFormat="1" ht="22" customHeight="1" spans="1:7">
      <c r="A12" s="7">
        <v>10</v>
      </c>
      <c r="B12" s="8">
        <v>46100</v>
      </c>
      <c r="C12" s="9" t="s">
        <v>56</v>
      </c>
      <c r="D12" s="10" t="s">
        <v>69</v>
      </c>
      <c r="E12" s="10"/>
      <c r="F12" s="11">
        <v>3</v>
      </c>
      <c r="G12" s="9"/>
    </row>
    <row r="13" customFormat="1" ht="22" customHeight="1" spans="1:7">
      <c r="A13" s="7">
        <v>11</v>
      </c>
      <c r="B13" s="8">
        <v>46100</v>
      </c>
      <c r="C13" s="9" t="s">
        <v>57</v>
      </c>
      <c r="D13" s="10" t="s">
        <v>69</v>
      </c>
      <c r="E13" s="10">
        <v>3</v>
      </c>
      <c r="F13" s="11"/>
      <c r="G13" s="9"/>
    </row>
    <row r="14" customFormat="1" ht="22" customHeight="1" spans="1:7">
      <c r="A14" s="7">
        <v>12</v>
      </c>
      <c r="B14" s="8">
        <v>46100</v>
      </c>
      <c r="C14" s="9" t="s">
        <v>58</v>
      </c>
      <c r="D14" s="10" t="s">
        <v>69</v>
      </c>
      <c r="E14" s="10"/>
      <c r="F14" s="11">
        <v>3</v>
      </c>
      <c r="G14" s="9"/>
    </row>
    <row r="15" customFormat="1" ht="22" customHeight="1" spans="1:7">
      <c r="A15" s="7">
        <v>13</v>
      </c>
      <c r="B15" s="8">
        <v>46100</v>
      </c>
      <c r="C15" s="9" t="s">
        <v>59</v>
      </c>
      <c r="D15" s="10" t="s">
        <v>69</v>
      </c>
      <c r="E15" s="10"/>
      <c r="F15" s="11">
        <v>3</v>
      </c>
      <c r="G15" s="9"/>
    </row>
    <row r="16" customFormat="1" ht="22" customHeight="1" spans="1:7">
      <c r="A16" s="7">
        <v>14</v>
      </c>
      <c r="B16" s="8">
        <v>46100</v>
      </c>
      <c r="C16" s="9" t="s">
        <v>27</v>
      </c>
      <c r="D16" s="10" t="s">
        <v>69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46100</v>
      </c>
      <c r="C17" s="9" t="s">
        <v>20</v>
      </c>
      <c r="D17" s="10" t="s">
        <v>69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46100</v>
      </c>
      <c r="C18" s="9" t="s">
        <v>40</v>
      </c>
      <c r="D18" s="10" t="s">
        <v>69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46100</v>
      </c>
      <c r="C19" s="9" t="s">
        <v>42</v>
      </c>
      <c r="D19" s="10" t="s">
        <v>69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46100</v>
      </c>
      <c r="C20" s="9" t="s">
        <v>44</v>
      </c>
      <c r="D20" s="10" t="s">
        <v>69</v>
      </c>
      <c r="E20" s="10">
        <v>3</v>
      </c>
      <c r="F20" s="11"/>
      <c r="G20" s="9"/>
    </row>
    <row r="21" customFormat="1" ht="22" customHeight="1" spans="1:7">
      <c r="A21" s="7">
        <v>19</v>
      </c>
      <c r="B21" s="8">
        <v>46100</v>
      </c>
      <c r="C21" s="9" t="s">
        <v>42</v>
      </c>
      <c r="D21" s="10" t="s">
        <v>69</v>
      </c>
      <c r="E21" s="10">
        <v>3</v>
      </c>
      <c r="F21" s="11"/>
      <c r="G21" s="9" t="s">
        <v>94</v>
      </c>
    </row>
    <row r="22" customFormat="1" ht="22" customHeight="1" spans="1:7">
      <c r="A22" s="7">
        <v>20</v>
      </c>
      <c r="B22" s="8">
        <v>46100</v>
      </c>
      <c r="C22" s="9" t="s">
        <v>44</v>
      </c>
      <c r="D22" s="10" t="s">
        <v>69</v>
      </c>
      <c r="E22" s="10">
        <v>3</v>
      </c>
      <c r="F22" s="11"/>
      <c r="G22" s="9" t="s">
        <v>94</v>
      </c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customFormat="1" ht="22" customHeight="1" spans="1:7">
      <c r="C24" s="13"/>
      <c r="D24" s="13"/>
      <c r="E24" s="14">
        <f>SUM(E3:E23)</f>
        <v>39</v>
      </c>
      <c r="F24" s="14">
        <f>SUM(F3:F23)</f>
        <v>21</v>
      </c>
      <c r="G24" s="13"/>
    </row>
    <row r="26" customFormat="1" spans="1:7">
      <c r="D26" s="15"/>
      <c r="E26" s="15"/>
      <c r="F26" s="15"/>
    </row>
    <row r="27" customFormat="1" spans="1:7">
      <c r="D27" s="15"/>
      <c r="E27" s="15"/>
      <c r="F27" s="15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G22" sqref="G2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6" t="s">
        <v>61</v>
      </c>
      <c r="C2" s="6" t="s">
        <v>3</v>
      </c>
      <c r="D2" s="6" t="s">
        <v>66</v>
      </c>
      <c r="E2" s="6" t="s">
        <v>67</v>
      </c>
      <c r="F2" s="6" t="s">
        <v>68</v>
      </c>
      <c r="G2" s="6" t="s">
        <v>7</v>
      </c>
    </row>
    <row r="3" ht="22" customHeight="1" spans="1:7">
      <c r="A3" s="7">
        <v>1</v>
      </c>
      <c r="B3" s="8">
        <v>46104</v>
      </c>
      <c r="C3" s="9" t="s">
        <v>25</v>
      </c>
      <c r="D3" s="10" t="s">
        <v>69</v>
      </c>
      <c r="E3" s="10">
        <v>3</v>
      </c>
      <c r="F3" s="11"/>
      <c r="G3" s="9"/>
    </row>
    <row r="4" customFormat="1" ht="22" customHeight="1" spans="1:7">
      <c r="A4" s="7">
        <v>2</v>
      </c>
      <c r="B4" s="8">
        <v>46104</v>
      </c>
      <c r="C4" s="9" t="s">
        <v>13</v>
      </c>
      <c r="D4" s="10" t="s">
        <v>69</v>
      </c>
      <c r="E4" s="10">
        <v>3</v>
      </c>
      <c r="F4" s="11"/>
      <c r="G4" s="9"/>
    </row>
    <row r="5" customFormat="1" ht="22" customHeight="1" spans="1:7">
      <c r="A5" s="7">
        <v>3</v>
      </c>
      <c r="B5" s="8">
        <v>46104</v>
      </c>
      <c r="C5" s="9" t="s">
        <v>16</v>
      </c>
      <c r="D5" s="10" t="s">
        <v>69</v>
      </c>
      <c r="E5" s="10">
        <v>3</v>
      </c>
      <c r="F5" s="11"/>
      <c r="G5" s="9"/>
    </row>
    <row r="6" customFormat="1" ht="22" customHeight="1" spans="1:7">
      <c r="A6" s="7">
        <v>4</v>
      </c>
      <c r="B6" s="8">
        <v>46104</v>
      </c>
      <c r="C6" s="9" t="s">
        <v>38</v>
      </c>
      <c r="D6" s="10" t="s">
        <v>69</v>
      </c>
      <c r="E6" s="10">
        <v>2</v>
      </c>
      <c r="F6" s="11">
        <v>1</v>
      </c>
      <c r="G6" s="9"/>
    </row>
    <row r="7" customFormat="1" ht="22" customHeight="1" spans="1:7">
      <c r="A7" s="7">
        <v>5</v>
      </c>
      <c r="B7" s="8">
        <v>46104</v>
      </c>
      <c r="C7" s="9" t="s">
        <v>29</v>
      </c>
      <c r="D7" s="10" t="s">
        <v>69</v>
      </c>
      <c r="E7" s="10"/>
      <c r="F7" s="11">
        <v>3</v>
      </c>
      <c r="G7" s="9"/>
    </row>
    <row r="8" customFormat="1" ht="22" customHeight="1" spans="1:7">
      <c r="A8" s="7">
        <v>6</v>
      </c>
      <c r="B8" s="8">
        <v>46104</v>
      </c>
      <c r="C8" s="9" t="s">
        <v>39</v>
      </c>
      <c r="D8" s="10" t="s">
        <v>69</v>
      </c>
      <c r="E8" s="10">
        <v>2</v>
      </c>
      <c r="F8" s="11">
        <v>1</v>
      </c>
      <c r="G8" s="12" t="s">
        <v>95</v>
      </c>
    </row>
    <row r="9" customFormat="1" ht="22" customHeight="1" spans="1:7">
      <c r="A9" s="7">
        <v>7</v>
      </c>
      <c r="B9" s="8">
        <v>46104</v>
      </c>
      <c r="C9" s="9" t="s">
        <v>34</v>
      </c>
      <c r="D9" s="10" t="s">
        <v>69</v>
      </c>
      <c r="E9" s="10">
        <v>2</v>
      </c>
      <c r="F9" s="11">
        <v>1</v>
      </c>
      <c r="G9" s="9"/>
    </row>
    <row r="10" customFormat="1" ht="22" customHeight="1" spans="1:7">
      <c r="A10" s="7">
        <v>8</v>
      </c>
      <c r="B10" s="8">
        <v>46104</v>
      </c>
      <c r="C10" s="9" t="s">
        <v>36</v>
      </c>
      <c r="D10" s="10" t="s">
        <v>69</v>
      </c>
      <c r="E10" s="10">
        <v>3</v>
      </c>
      <c r="F10" s="11"/>
      <c r="G10" s="9" t="s">
        <v>96</v>
      </c>
    </row>
    <row r="11" customFormat="1" ht="22" customHeight="1" spans="1:7">
      <c r="A11" s="7">
        <v>9</v>
      </c>
      <c r="B11" s="8">
        <v>46104</v>
      </c>
      <c r="C11" s="9" t="s">
        <v>24</v>
      </c>
      <c r="D11" s="10" t="s">
        <v>69</v>
      </c>
      <c r="E11" s="10">
        <v>2</v>
      </c>
      <c r="F11" s="11">
        <v>1</v>
      </c>
      <c r="G11" s="9"/>
    </row>
    <row r="12" customFormat="1" ht="22" customHeight="1" spans="1:7">
      <c r="A12" s="7">
        <v>10</v>
      </c>
      <c r="B12" s="8">
        <v>46104</v>
      </c>
      <c r="C12" s="9" t="s">
        <v>56</v>
      </c>
      <c r="D12" s="10" t="s">
        <v>69</v>
      </c>
      <c r="E12" s="10"/>
      <c r="F12" s="11">
        <v>3</v>
      </c>
      <c r="G12" s="9"/>
    </row>
    <row r="13" customFormat="1" ht="22" customHeight="1" spans="1:7">
      <c r="A13" s="7">
        <v>11</v>
      </c>
      <c r="B13" s="8">
        <v>46104</v>
      </c>
      <c r="C13" s="9" t="s">
        <v>57</v>
      </c>
      <c r="D13" s="10" t="s">
        <v>69</v>
      </c>
      <c r="E13" s="10">
        <v>3</v>
      </c>
      <c r="F13" s="11"/>
      <c r="G13" s="9"/>
    </row>
    <row r="14" customFormat="1" ht="22" customHeight="1" spans="1:7">
      <c r="A14" s="7">
        <v>12</v>
      </c>
      <c r="B14" s="8">
        <v>46104</v>
      </c>
      <c r="C14" s="9" t="s">
        <v>58</v>
      </c>
      <c r="D14" s="10" t="s">
        <v>69</v>
      </c>
      <c r="E14" s="10"/>
      <c r="F14" s="11">
        <v>3</v>
      </c>
      <c r="G14" s="9"/>
    </row>
    <row r="15" customFormat="1" ht="22" customHeight="1" spans="1:7">
      <c r="A15" s="7">
        <v>13</v>
      </c>
      <c r="B15" s="8">
        <v>46104</v>
      </c>
      <c r="C15" s="9" t="s">
        <v>59</v>
      </c>
      <c r="D15" s="10" t="s">
        <v>69</v>
      </c>
      <c r="E15" s="10"/>
      <c r="F15" s="11">
        <v>3</v>
      </c>
      <c r="G15" s="9"/>
    </row>
    <row r="16" customFormat="1" ht="22" customHeight="1" spans="1:7">
      <c r="A16" s="7">
        <v>14</v>
      </c>
      <c r="B16" s="8">
        <v>46104</v>
      </c>
      <c r="C16" s="9" t="s">
        <v>27</v>
      </c>
      <c r="D16" s="10" t="s">
        <v>69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46104</v>
      </c>
      <c r="C17" s="9" t="s">
        <v>20</v>
      </c>
      <c r="D17" s="10" t="s">
        <v>69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46104</v>
      </c>
      <c r="C18" s="9" t="s">
        <v>40</v>
      </c>
      <c r="D18" s="10" t="s">
        <v>69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46104</v>
      </c>
      <c r="C19" s="9" t="s">
        <v>42</v>
      </c>
      <c r="D19" s="10" t="s">
        <v>69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46104</v>
      </c>
      <c r="C20" s="9" t="s">
        <v>44</v>
      </c>
      <c r="D20" s="10" t="s">
        <v>69</v>
      </c>
      <c r="E20" s="10">
        <v>3</v>
      </c>
      <c r="F20" s="11"/>
      <c r="G20" s="9"/>
    </row>
    <row r="21" customFormat="1" ht="22" customHeight="1" spans="1:7">
      <c r="A21" s="7"/>
      <c r="B21" s="8"/>
      <c r="C21" s="9"/>
      <c r="D21" s="10"/>
      <c r="E21" s="10"/>
      <c r="F21" s="11"/>
      <c r="G21" s="9"/>
    </row>
    <row r="22" customFormat="1" ht="22" customHeight="1" spans="1:7">
      <c r="A22" s="7"/>
      <c r="B22" s="8"/>
      <c r="C22" s="9"/>
      <c r="D22" s="10"/>
      <c r="E22" s="10"/>
      <c r="F22" s="11"/>
      <c r="G22" s="9"/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customFormat="1" ht="22" customHeight="1" spans="1:7">
      <c r="C24" s="13"/>
      <c r="D24" s="13"/>
      <c r="E24" s="14">
        <f>SUM(E3:E23)</f>
        <v>35</v>
      </c>
      <c r="F24" s="14">
        <f>SUM(F3:F23)</f>
        <v>19</v>
      </c>
      <c r="G24" s="13"/>
    </row>
    <row r="25" customFormat="1"/>
    <row r="26" customFormat="1" spans="1:7">
      <c r="D26" s="15"/>
      <c r="E26" s="15"/>
      <c r="F26" s="15"/>
    </row>
    <row r="27" customFormat="1" spans="1:7">
      <c r="D27" s="15"/>
      <c r="E27" s="15"/>
      <c r="F27" s="15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C18" sqref="C1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6" t="s">
        <v>61</v>
      </c>
      <c r="C2" s="6" t="s">
        <v>3</v>
      </c>
      <c r="D2" s="6" t="s">
        <v>66</v>
      </c>
      <c r="E2" s="6" t="s">
        <v>67</v>
      </c>
      <c r="F2" s="6" t="s">
        <v>68</v>
      </c>
      <c r="G2" s="6" t="s">
        <v>7</v>
      </c>
    </row>
    <row r="3" ht="22" customHeight="1" spans="1:7">
      <c r="A3" s="7">
        <v>1</v>
      </c>
      <c r="B3" s="8">
        <v>46104</v>
      </c>
      <c r="C3" s="9" t="s">
        <v>25</v>
      </c>
      <c r="D3" s="10" t="s">
        <v>69</v>
      </c>
      <c r="E3" s="10">
        <v>3</v>
      </c>
      <c r="F3" s="11"/>
      <c r="G3" s="9"/>
    </row>
    <row r="4" customFormat="1" ht="22" customHeight="1" spans="1:7">
      <c r="A4" s="7">
        <v>2</v>
      </c>
      <c r="B4" s="8">
        <v>46104</v>
      </c>
      <c r="C4" s="9" t="s">
        <v>13</v>
      </c>
      <c r="D4" s="10" t="s">
        <v>69</v>
      </c>
      <c r="E4" s="10">
        <v>3</v>
      </c>
      <c r="F4" s="11"/>
      <c r="G4" s="9"/>
    </row>
    <row r="5" customFormat="1" ht="22" customHeight="1" spans="1:7">
      <c r="A5" s="7">
        <v>3</v>
      </c>
      <c r="B5" s="8">
        <v>46104</v>
      </c>
      <c r="C5" s="9" t="s">
        <v>16</v>
      </c>
      <c r="D5" s="10" t="s">
        <v>69</v>
      </c>
      <c r="E5" s="10">
        <v>3</v>
      </c>
      <c r="F5" s="11"/>
      <c r="G5" s="9"/>
    </row>
    <row r="6" customFormat="1" ht="22" customHeight="1" spans="1:7">
      <c r="A6" s="7">
        <v>4</v>
      </c>
      <c r="B6" s="8">
        <v>46104</v>
      </c>
      <c r="C6" s="9" t="s">
        <v>38</v>
      </c>
      <c r="D6" s="10" t="s">
        <v>69</v>
      </c>
      <c r="E6" s="10">
        <v>2</v>
      </c>
      <c r="F6" s="11">
        <v>1</v>
      </c>
      <c r="G6" s="9"/>
    </row>
    <row r="7" customFormat="1" ht="22" customHeight="1" spans="1:7">
      <c r="A7" s="7">
        <v>5</v>
      </c>
      <c r="B7" s="8">
        <v>46104</v>
      </c>
      <c r="C7" s="9" t="s">
        <v>29</v>
      </c>
      <c r="D7" s="10" t="s">
        <v>69</v>
      </c>
      <c r="E7" s="10"/>
      <c r="F7" s="11">
        <v>3</v>
      </c>
      <c r="G7" s="9"/>
    </row>
    <row r="8" customFormat="1" ht="22" customHeight="1" spans="1:7">
      <c r="A8" s="7">
        <v>6</v>
      </c>
      <c r="B8" s="8">
        <v>46104</v>
      </c>
      <c r="C8" s="9" t="s">
        <v>39</v>
      </c>
      <c r="D8" s="10" t="s">
        <v>69</v>
      </c>
      <c r="E8" s="10">
        <v>2</v>
      </c>
      <c r="F8" s="11">
        <v>1</v>
      </c>
      <c r="G8" s="12" t="s">
        <v>95</v>
      </c>
    </row>
    <row r="9" customFormat="1" ht="22" customHeight="1" spans="1:7">
      <c r="A9" s="7">
        <v>7</v>
      </c>
      <c r="B9" s="8">
        <v>46104</v>
      </c>
      <c r="C9" s="9" t="s">
        <v>34</v>
      </c>
      <c r="D9" s="10" t="s">
        <v>69</v>
      </c>
      <c r="E9" s="10">
        <v>2</v>
      </c>
      <c r="F9" s="11">
        <v>1</v>
      </c>
      <c r="G9" s="9"/>
    </row>
    <row r="10" customFormat="1" ht="22" customHeight="1" spans="1:7">
      <c r="A10" s="7">
        <v>8</v>
      </c>
      <c r="B10" s="8">
        <v>46104</v>
      </c>
      <c r="C10" s="9" t="s">
        <v>36</v>
      </c>
      <c r="D10" s="10" t="s">
        <v>69</v>
      </c>
      <c r="E10" s="10">
        <v>4</v>
      </c>
      <c r="F10" s="11"/>
      <c r="G10" s="9" t="s">
        <v>96</v>
      </c>
    </row>
    <row r="11" customFormat="1" ht="22" customHeight="1" spans="1:7">
      <c r="A11" s="7">
        <v>9</v>
      </c>
      <c r="B11" s="8">
        <v>46104</v>
      </c>
      <c r="C11" s="9" t="s">
        <v>24</v>
      </c>
      <c r="D11" s="10" t="s">
        <v>69</v>
      </c>
      <c r="E11" s="10">
        <v>2</v>
      </c>
      <c r="F11" s="11">
        <v>1</v>
      </c>
      <c r="G11" s="9"/>
    </row>
    <row r="12" customFormat="1" ht="22" customHeight="1" spans="1:7">
      <c r="A12" s="7">
        <v>10</v>
      </c>
      <c r="B12" s="8">
        <v>46104</v>
      </c>
      <c r="C12" s="9" t="s">
        <v>56</v>
      </c>
      <c r="D12" s="10" t="s">
        <v>69</v>
      </c>
      <c r="E12" s="10"/>
      <c r="F12" s="11">
        <v>3</v>
      </c>
      <c r="G12" s="9"/>
    </row>
    <row r="13" customFormat="1" ht="22" customHeight="1" spans="1:7">
      <c r="A13" s="7">
        <v>11</v>
      </c>
      <c r="B13" s="8">
        <v>46104</v>
      </c>
      <c r="C13" s="9" t="s">
        <v>57</v>
      </c>
      <c r="D13" s="10" t="s">
        <v>69</v>
      </c>
      <c r="E13" s="10">
        <v>3</v>
      </c>
      <c r="F13" s="11"/>
      <c r="G13" s="9"/>
    </row>
    <row r="14" customFormat="1" ht="22" customHeight="1" spans="1:7">
      <c r="A14" s="7">
        <v>12</v>
      </c>
      <c r="B14" s="8">
        <v>46104</v>
      </c>
      <c r="C14" s="9" t="s">
        <v>58</v>
      </c>
      <c r="D14" s="10" t="s">
        <v>69</v>
      </c>
      <c r="E14" s="10"/>
      <c r="F14" s="11">
        <v>3</v>
      </c>
      <c r="G14" s="9"/>
    </row>
    <row r="15" customFormat="1" ht="22" customHeight="1" spans="1:7">
      <c r="A15" s="7">
        <v>13</v>
      </c>
      <c r="B15" s="8">
        <v>46104</v>
      </c>
      <c r="C15" s="9" t="s">
        <v>59</v>
      </c>
      <c r="D15" s="10" t="s">
        <v>69</v>
      </c>
      <c r="E15" s="10"/>
      <c r="F15" s="11">
        <v>3</v>
      </c>
      <c r="G15" s="9"/>
    </row>
    <row r="16" customFormat="1" ht="22" customHeight="1" spans="1:7">
      <c r="A16" s="7">
        <v>14</v>
      </c>
      <c r="B16" s="8">
        <v>46104</v>
      </c>
      <c r="C16" s="9" t="s">
        <v>27</v>
      </c>
      <c r="D16" s="10" t="s">
        <v>69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46104</v>
      </c>
      <c r="C17" s="9" t="s">
        <v>20</v>
      </c>
      <c r="D17" s="10" t="s">
        <v>69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46104</v>
      </c>
      <c r="C18" s="9" t="s">
        <v>40</v>
      </c>
      <c r="D18" s="10" t="s">
        <v>69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46104</v>
      </c>
      <c r="C19" s="9" t="s">
        <v>42</v>
      </c>
      <c r="D19" s="10" t="s">
        <v>69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46104</v>
      </c>
      <c r="C20" s="9" t="s">
        <v>44</v>
      </c>
      <c r="D20" s="10" t="s">
        <v>69</v>
      </c>
      <c r="E20" s="10">
        <v>3</v>
      </c>
      <c r="F20" s="11"/>
      <c r="G20" s="9"/>
    </row>
    <row r="21" customFormat="1" ht="22" customHeight="1" spans="1:7">
      <c r="A21" s="7"/>
      <c r="B21" s="8"/>
      <c r="C21" s="9"/>
      <c r="D21" s="10"/>
      <c r="E21" s="10"/>
      <c r="F21" s="11"/>
      <c r="G21" s="9"/>
    </row>
    <row r="22" customFormat="1" ht="22" customHeight="1" spans="1:7">
      <c r="A22" s="7"/>
      <c r="B22" s="8"/>
      <c r="C22" s="9"/>
      <c r="D22" s="10"/>
      <c r="E22" s="10"/>
      <c r="F22" s="11"/>
      <c r="G22" s="9"/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customFormat="1" ht="22" customHeight="1" spans="1:7">
      <c r="C24" s="13"/>
      <c r="D24" s="13"/>
      <c r="E24" s="14">
        <f>SUM(E3:E23)</f>
        <v>36</v>
      </c>
      <c r="F24" s="14">
        <f>SUM(F3:F23)</f>
        <v>19</v>
      </c>
      <c r="G24" s="13"/>
    </row>
    <row r="26" customFormat="1" spans="1:7">
      <c r="D26" s="15"/>
      <c r="E26" s="15"/>
      <c r="F26" s="15"/>
    </row>
    <row r="27" customFormat="1" spans="1:7">
      <c r="D27" s="15"/>
      <c r="E27" s="15"/>
      <c r="F27" s="15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老师</vt:lpstr>
      <vt:lpstr>领奶表</vt:lpstr>
      <vt:lpstr>配送汇总</vt:lpstr>
      <vt:lpstr>签收</vt:lpstr>
      <vt:lpstr>3.9</vt:lpstr>
      <vt:lpstr>3.9 (旧)</vt:lpstr>
      <vt:lpstr>3.12</vt:lpstr>
      <vt:lpstr>3.16</vt:lpstr>
      <vt:lpstr>3.19</vt:lpstr>
      <vt:lpstr>3.23（周一）</vt:lpstr>
      <vt:lpstr>3.26（周四）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2025-02-18T07:47:00Z</dcterms:created>
  <dcterms:modified xsi:type="dcterms:W3CDTF">2026-03-19T07:17:03Z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EE58EE844AE746149BA9D5ECDB44B970_13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