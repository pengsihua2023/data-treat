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firstSheet="3" activeTab="3"/>
  </bookViews>
  <sheets>
    <sheet name="老师" sheetId="1" r:id="rId1"/>
    <sheet name="领奶表" sheetId="5" r:id="rId2"/>
    <sheet name="礼品" sheetId="9" r:id="rId3"/>
    <sheet name="配送汇总" sheetId="6" r:id="rId4"/>
    <sheet name="3.9" sheetId="2" r:id="rId5"/>
    <sheet name="3.12" sheetId="7" r:id="rId6"/>
    <sheet name="3.16" sheetId="8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</sheets>
  <definedNames>
    <definedName name="_xlnm._FilterDatabase" localSheetId="3" hidden="1">配送汇总!$A$1:$AR$33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<sst xmlns="http://schemas.openxmlformats.org/spreadsheetml/2006/main" count="1367" uniqueCount="116">
  <si>
    <t>2026春季大站中心小学教职工巴氏鲜奶补贴订购申请表（20份起送，特殊申请除外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</si>
  <si>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</si>
  <si>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</si>
  <si>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</si>
  <si>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</si>
  <si>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</si>
  <si>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</si>
  <si>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</si>
  <si>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</si>
  <si>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</si>
  <si>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</si>
  <si>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</si>
  <si>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</si>
  <si>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黄惠思</t>
  </si>
  <si>
    <t>√</t>
  </si>
  <si>
    <t>已收款</t>
  </si>
  <si>
    <t>陈娘生</t>
  </si>
  <si>
    <t>只要鲜奶，周末不领</t>
  </si>
  <si>
    <t>司徒爱好</t>
  </si>
  <si>
    <t>只要酸奶，周末不领</t>
  </si>
  <si>
    <t>潘小玲</t>
  </si>
  <si>
    <t>张万芬</t>
  </si>
  <si>
    <t>王苗苗</t>
  </si>
  <si>
    <t>胡丽雅</t>
  </si>
  <si>
    <t>曾俐雅1</t>
  </si>
  <si>
    <t>只要酸奶</t>
  </si>
  <si>
    <t>曾俐雅2</t>
  </si>
  <si>
    <t>罗桂满</t>
  </si>
  <si>
    <t>钟美英200支</t>
  </si>
  <si>
    <t>每天各1，周末不领</t>
  </si>
  <si>
    <t>林晓嘉</t>
  </si>
  <si>
    <t>只送工作日</t>
  </si>
  <si>
    <t>张悦</t>
  </si>
  <si>
    <t>潘燕</t>
  </si>
  <si>
    <t>许志琴</t>
  </si>
  <si>
    <t>一星期2支鲜奶，5支酸奶</t>
  </si>
  <si>
    <t>陆春媚</t>
  </si>
  <si>
    <t>包翠琼</t>
  </si>
  <si>
    <t>刘秀珍1</t>
  </si>
  <si>
    <t>林嘉莉</t>
  </si>
  <si>
    <t>✓</t>
  </si>
  <si>
    <t>李年双</t>
  </si>
  <si>
    <t>每天鲜、酸各一</t>
  </si>
  <si>
    <t>严美萍</t>
  </si>
  <si>
    <t>李春兰</t>
  </si>
  <si>
    <t>邓树清</t>
  </si>
  <si>
    <t>邹家礼</t>
  </si>
  <si>
    <t>每天两盒，周末不领</t>
  </si>
  <si>
    <t>李玉环</t>
  </si>
  <si>
    <t>廖思艳</t>
  </si>
  <si>
    <t>每天两盒</t>
  </si>
  <si>
    <t>陈代僚</t>
  </si>
  <si>
    <t>每天各1</t>
  </si>
  <si>
    <t>朱素芬</t>
  </si>
  <si>
    <t>陈春玲</t>
  </si>
  <si>
    <t>✔</t>
  </si>
  <si>
    <t>曾永情</t>
  </si>
  <si>
    <t>每天1盒</t>
  </si>
  <si>
    <t>冯卫庭</t>
  </si>
  <si>
    <t>牛奶酸奶每天各2盒</t>
  </si>
  <si>
    <t>阮敏英</t>
  </si>
  <si>
    <t>彭小芬</t>
  </si>
  <si>
    <t xml:space="preserve">吴卫红 </t>
  </si>
  <si>
    <t>英德市大站中心小学教师鲜奶领奶表</t>
  </si>
  <si>
    <t>（ 3）月份（填写领取数量/盒）</t>
  </si>
  <si>
    <t>姓名</t>
  </si>
  <si>
    <t>大站中心小学教师赠品配送表</t>
  </si>
  <si>
    <t>配送日期</t>
  </si>
  <si>
    <t>礼品份（笔记本+笔）</t>
  </si>
  <si>
    <t>签名</t>
  </si>
  <si>
    <t>1份</t>
  </si>
  <si>
    <t>已送</t>
  </si>
  <si>
    <t>钟美英</t>
  </si>
  <si>
    <t xml:space="preserve">                                                   英德市大站中心小学教师鲜奶领奶表</t>
  </si>
  <si>
    <t>订购份数</t>
  </si>
  <si>
    <t>总数</t>
  </si>
  <si>
    <t>总计</t>
  </si>
  <si>
    <t>剩余</t>
  </si>
  <si>
    <t>100支</t>
  </si>
  <si>
    <t>2</t>
  </si>
  <si>
    <t>续订已收款</t>
  </si>
  <si>
    <t>钟美英1</t>
  </si>
  <si>
    <t>钟美英2</t>
  </si>
  <si>
    <t>刘秀珍</t>
  </si>
  <si>
    <t>大站中心小学教师鲜奶领奶表</t>
  </si>
  <si>
    <t>配送天数</t>
  </si>
  <si>
    <t>鲜</t>
  </si>
  <si>
    <t>酸</t>
  </si>
  <si>
    <t>3天</t>
  </si>
  <si>
    <t>4天</t>
  </si>
  <si>
    <t>补</t>
  </si>
  <si>
    <t>2天</t>
  </si>
  <si>
    <t>周末不领</t>
  </si>
  <si>
    <t>只要鲜奶</t>
  </si>
  <si>
    <t>一天两瓶同口味，周末不领</t>
  </si>
  <si>
    <t>补3.26漏发两支</t>
  </si>
  <si>
    <t>每天鲜、酸各一，只领工作日</t>
  </si>
  <si>
    <t>每天鲜一周末不领</t>
  </si>
  <si>
    <t>只要酸奶，只送工作日</t>
  </si>
  <si>
    <t>只领工作日，周末不领</t>
  </si>
  <si>
    <t>只送工作日，周末不送</t>
  </si>
  <si>
    <t>只要酸奶，只领工作日</t>
  </si>
  <si>
    <t>只要鲜奶，只领工作日</t>
  </si>
  <si>
    <t>每天各1，只领工作日</t>
  </si>
  <si>
    <t>只要鲜奶，只领工作日，周末不领</t>
  </si>
  <si>
    <t>每天一鲜，只领工作日</t>
  </si>
  <si>
    <t>每天2酸,，周末不领</t>
  </si>
  <si>
    <t>每天各1，只要酸奶</t>
  </si>
  <si>
    <t>只领工作日</t>
  </si>
  <si>
    <t>4.20只要酸奶，只领工作日</t>
  </si>
  <si>
    <t>补4.7</t>
  </si>
  <si>
    <t>4.19号要求送3鲜和2酸只送工作日</t>
  </si>
  <si>
    <t>4.20每天一支酸奶</t>
  </si>
  <si>
    <t>吴卫红</t>
  </si>
  <si>
    <t>每天2酸，周末不领</t>
  </si>
  <si>
    <t>备用奶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</si>
</sst>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6">
    <font>
      <sz val="1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11"/>
      <color rgb="FF7030A0"/>
      <name val="宋体"/>
      <charset val="134"/>
    </font>
    <font>
      <sz val="12"/>
      <color rgb="FF7030A0"/>
      <name val="宋体"/>
      <charset val="134"/>
    </font>
    <font>
      <sz val="10"/>
      <color rgb="FF7030A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b/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</font>
    <font>
      <sz val="16"/>
      <name val="宋体"/>
      <charset val="134"/>
    </font>
    <font>
      <sz val="16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b/>
      <sz val="12"/>
      <color theme="1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4" borderId="21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5" borderId="24" applyNumberFormat="0" applyAlignment="0" applyProtection="0">
      <alignment vertical="center"/>
    </xf>
    <xf numFmtId="0" fontId="46" fillId="6" borderId="25" applyNumberFormat="0" applyAlignment="0" applyProtection="0">
      <alignment vertical="center"/>
    </xf>
    <xf numFmtId="0" fontId="47" fillId="6" borderId="24" applyNumberFormat="0" applyAlignment="0" applyProtection="0">
      <alignment vertical="center"/>
    </xf>
    <xf numFmtId="0" fontId="48" fillId="7" borderId="26" applyNumberFormat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50" fillId="0" borderId="28" applyNumberFormat="0" applyFill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</cellStyleXfs>
  <cellXfs count="18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0" fillId="2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9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49" fontId="6" fillId="0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14" fillId="0" borderId="2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4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14" fontId="4" fillId="0" borderId="13" xfId="0" applyNumberFormat="1" applyFont="1" applyBorder="1" applyAlignment="1">
      <alignment horizontal="center" vertical="center"/>
    </xf>
    <xf numFmtId="14" fontId="4" fillId="0" borderId="14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6" fillId="0" borderId="0" xfId="0" applyFont="1">
      <alignment vertical="center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58" fontId="3" fillId="0" borderId="9" xfId="0" applyNumberFormat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" fillId="0" borderId="17" xfId="0" applyNumberFormat="1" applyFont="1" applyFill="1" applyBorder="1" applyAlignment="1">
      <alignment horizontal="center" vertical="center"/>
    </xf>
    <xf numFmtId="0" fontId="1" fillId="0" borderId="18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28" fillId="0" borderId="0" xfId="0" applyNumberFormat="1" applyFont="1" applyFill="1" applyBorder="1" applyAlignment="1">
      <alignment horizontal="center" vertical="center"/>
    </xf>
    <xf numFmtId="0" fontId="29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0" fillId="0" borderId="18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0" fontId="31" fillId="0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 wrapText="1"/>
    </xf>
    <xf numFmtId="58" fontId="31" fillId="0" borderId="1" xfId="0" applyNumberFormat="1" applyFont="1" applyFill="1" applyBorder="1" applyAlignment="1">
      <alignment horizontal="center" vertical="center" wrapText="1"/>
    </xf>
    <xf numFmtId="58" fontId="3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29" fillId="0" borderId="1" xfId="0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49" fontId="6" fillId="0" borderId="14" xfId="0" applyNumberFormat="1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>
      <alignment vertical="center"/>
    </xf>
    <xf numFmtId="14" fontId="0" fillId="0" borderId="1" xfId="0" applyNumberFormat="1" applyBorder="1">
      <alignment vertical="center"/>
    </xf>
    <xf numFmtId="14" fontId="0" fillId="0" borderId="7" xfId="0" applyNumberFormat="1" applyBorder="1">
      <alignment vertical="center"/>
    </xf>
    <xf numFmtId="0" fontId="8" fillId="0" borderId="7" xfId="0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vertical="center"/>
    </xf>
    <xf numFmtId="0" fontId="33" fillId="0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3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0"/>
  <sheetViews>
    <sheetView topLeftCell="A22" workbookViewId="0">
      <selection activeCell="B5" sqref="B5:C39"/>
    </sheetView>
  </sheetViews>
  <sheetFormatPr defaultColWidth="14" defaultRowHeight="18" customHeight="1"/>
  <cols>
    <col min="8" max="8" width="27.1428571428571" customWidth="1"/>
  </cols>
  <sheetData>
    <row r="1" ht="20.25" customHeight="1" spans="1:25">
      <c r="A1" s="178" t="s">
        <v>0</v>
      </c>
      <c r="B1" s="178"/>
      <c r="C1" s="178"/>
      <c r="D1" s="178"/>
      <c r="E1" s="178"/>
      <c r="F1" s="178"/>
      <c r="G1" s="178"/>
      <c r="H1" s="178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</row>
    <row r="2" ht="20.25" customHeight="1" spans="1:25">
      <c r="A2" s="180" t="s">
        <v>1</v>
      </c>
      <c r="B2" s="180"/>
      <c r="C2" s="180"/>
      <c r="D2" s="180"/>
      <c r="E2" s="180"/>
      <c r="F2" s="180"/>
      <c r="G2" s="180"/>
      <c r="H2" s="180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</row>
    <row r="3" customHeight="1" spans="1:25">
      <c r="A3" s="181" t="s">
        <v>2</v>
      </c>
      <c r="B3" s="181" t="s">
        <v>3</v>
      </c>
      <c r="C3" s="181" t="s">
        <v>4</v>
      </c>
      <c r="D3" s="182" t="s">
        <v>5</v>
      </c>
      <c r="E3" s="182"/>
      <c r="F3" s="182" t="s">
        <v>6</v>
      </c>
      <c r="G3" s="182"/>
      <c r="H3" s="181" t="s">
        <v>7</v>
      </c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</row>
    <row r="4" ht="54" spans="1:25">
      <c r="A4" s="181"/>
      <c r="B4" s="181"/>
      <c r="C4" s="181"/>
      <c r="D4" s="183" t="s">
        <v>8</v>
      </c>
      <c r="E4" s="183" t="s">
        <v>9</v>
      </c>
      <c r="F4" s="183" t="s">
        <v>10</v>
      </c>
      <c r="G4" s="183" t="s">
        <v>11</v>
      </c>
      <c r="H4" s="184" t="s">
        <v>12</v>
      </c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</row>
    <row r="5" customHeight="1" spans="1:25">
      <c r="A5" s="6">
        <v>1</v>
      </c>
      <c r="B5" s="6" t="s">
        <v>13</v>
      </c>
      <c r="C5" s="6">
        <v>13422074123</v>
      </c>
      <c r="D5" s="6" t="s">
        <v>14</v>
      </c>
      <c r="E5" s="6" t="s">
        <v>14</v>
      </c>
      <c r="F5" s="6">
        <v>350</v>
      </c>
      <c r="G5" s="6">
        <v>210</v>
      </c>
      <c r="H5" s="12"/>
      <c r="I5" s="179" t="s">
        <v>15</v>
      </c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</row>
    <row r="6" customHeight="1" spans="1:25">
      <c r="A6" s="6">
        <v>2</v>
      </c>
      <c r="B6" s="60" t="s">
        <v>16</v>
      </c>
      <c r="C6" s="6">
        <v>13828522389</v>
      </c>
      <c r="D6" s="6" t="s">
        <v>14</v>
      </c>
      <c r="E6" s="6" t="s">
        <v>14</v>
      </c>
      <c r="F6" s="6">
        <v>350</v>
      </c>
      <c r="G6" s="6">
        <v>210</v>
      </c>
      <c r="H6" s="52" t="s">
        <v>17</v>
      </c>
      <c r="I6" s="179" t="s">
        <v>15</v>
      </c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</row>
    <row r="7" customHeight="1" spans="1:25">
      <c r="A7" s="6">
        <v>3</v>
      </c>
      <c r="B7" s="13" t="s">
        <v>18</v>
      </c>
      <c r="C7" s="6">
        <v>15521014862</v>
      </c>
      <c r="D7" s="37"/>
      <c r="E7" s="6" t="s">
        <v>14</v>
      </c>
      <c r="F7" s="6">
        <v>350</v>
      </c>
      <c r="G7" s="6">
        <v>210</v>
      </c>
      <c r="H7" s="52" t="s">
        <v>19</v>
      </c>
      <c r="I7" s="179" t="s">
        <v>15</v>
      </c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</row>
    <row r="8" customHeight="1" spans="1:25">
      <c r="A8" s="6">
        <v>4</v>
      </c>
      <c r="B8" s="6" t="s">
        <v>20</v>
      </c>
      <c r="C8" s="6">
        <v>13416558182</v>
      </c>
      <c r="D8" s="6" t="s">
        <v>14</v>
      </c>
      <c r="E8" s="6"/>
      <c r="F8" s="6">
        <v>350</v>
      </c>
      <c r="G8" s="6">
        <v>210</v>
      </c>
      <c r="H8" s="52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</row>
    <row r="9" customHeight="1" spans="1:25">
      <c r="A9" s="6">
        <v>5</v>
      </c>
      <c r="B9" s="13" t="s">
        <v>21</v>
      </c>
      <c r="C9" s="6">
        <v>19878083622</v>
      </c>
      <c r="D9" s="6"/>
      <c r="E9" s="6" t="s">
        <v>14</v>
      </c>
      <c r="F9" s="6">
        <v>350</v>
      </c>
      <c r="G9" s="6">
        <v>210</v>
      </c>
      <c r="H9" s="52"/>
      <c r="I9" s="179" t="s">
        <v>15</v>
      </c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</row>
    <row r="10" customHeight="1" spans="1:25">
      <c r="A10" s="6">
        <v>6</v>
      </c>
      <c r="B10" s="6" t="s">
        <v>22</v>
      </c>
      <c r="C10" s="6">
        <v>13232966585</v>
      </c>
      <c r="D10" s="6" t="s">
        <v>14</v>
      </c>
      <c r="E10" s="6"/>
      <c r="F10" s="6">
        <v>350</v>
      </c>
      <c r="G10" s="6">
        <v>210</v>
      </c>
      <c r="H10" s="179" t="s">
        <v>15</v>
      </c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</row>
    <row r="11" customHeight="1" spans="1:25">
      <c r="A11" s="6">
        <v>7</v>
      </c>
      <c r="B11" s="6" t="s">
        <v>23</v>
      </c>
      <c r="C11" s="6">
        <v>13542465555</v>
      </c>
      <c r="D11" s="6" t="s">
        <v>14</v>
      </c>
      <c r="E11" s="6"/>
      <c r="F11" s="6">
        <v>350</v>
      </c>
      <c r="G11" s="6">
        <v>210</v>
      </c>
      <c r="H11" s="40"/>
      <c r="I11" s="179" t="s">
        <v>15</v>
      </c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</row>
    <row r="12" customHeight="1" spans="1:25">
      <c r="A12" s="6">
        <v>8</v>
      </c>
      <c r="B12" s="6" t="s">
        <v>24</v>
      </c>
      <c r="C12" s="6">
        <v>18023308177</v>
      </c>
      <c r="D12" s="6" t="s">
        <v>14</v>
      </c>
      <c r="E12" s="6" t="s">
        <v>14</v>
      </c>
      <c r="F12" s="6">
        <v>350</v>
      </c>
      <c r="G12" s="6">
        <v>210</v>
      </c>
      <c r="H12" s="40" t="s">
        <v>25</v>
      </c>
      <c r="I12" s="179" t="s">
        <v>15</v>
      </c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</row>
    <row r="13" customHeight="1" spans="1:25">
      <c r="A13" s="6">
        <v>9</v>
      </c>
      <c r="B13" s="6" t="s">
        <v>26</v>
      </c>
      <c r="C13" s="6">
        <v>18023308177</v>
      </c>
      <c r="D13" s="6" t="s">
        <v>14</v>
      </c>
      <c r="E13" s="6" t="s">
        <v>14</v>
      </c>
      <c r="F13" s="6">
        <v>350</v>
      </c>
      <c r="G13" s="6">
        <v>210</v>
      </c>
      <c r="H13" s="40"/>
      <c r="I13" s="179" t="s">
        <v>15</v>
      </c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</row>
    <row r="14" customHeight="1" spans="1:25">
      <c r="A14" s="6">
        <v>10</v>
      </c>
      <c r="B14" s="6" t="s">
        <v>27</v>
      </c>
      <c r="C14" s="6">
        <v>13828558886</v>
      </c>
      <c r="D14" s="6" t="s">
        <v>14</v>
      </c>
      <c r="E14" s="6"/>
      <c r="F14" s="6">
        <v>350</v>
      </c>
      <c r="G14" s="6">
        <v>210</v>
      </c>
      <c r="H14" s="40"/>
      <c r="I14" s="179" t="s">
        <v>15</v>
      </c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</row>
    <row r="15" customHeight="1" spans="1:25">
      <c r="A15" s="6">
        <v>11</v>
      </c>
      <c r="B15" s="6" t="s">
        <v>28</v>
      </c>
      <c r="C15" s="6">
        <v>13727128768</v>
      </c>
      <c r="D15" s="6" t="s">
        <v>14</v>
      </c>
      <c r="E15" s="6"/>
      <c r="F15" s="6">
        <v>350</v>
      </c>
      <c r="G15" s="6">
        <v>210</v>
      </c>
      <c r="H15" s="13" t="s">
        <v>29</v>
      </c>
      <c r="I15" s="179" t="s">
        <v>15</v>
      </c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</row>
    <row r="16" customHeight="1" spans="1:25">
      <c r="A16" s="6">
        <v>12</v>
      </c>
      <c r="B16" s="6" t="s">
        <v>30</v>
      </c>
      <c r="C16" s="6">
        <v>15767292501</v>
      </c>
      <c r="D16" s="6" t="s">
        <v>14</v>
      </c>
      <c r="E16" s="37"/>
      <c r="F16" s="6">
        <v>350</v>
      </c>
      <c r="G16" s="6">
        <v>210</v>
      </c>
      <c r="H16" s="40" t="s">
        <v>31</v>
      </c>
      <c r="I16" s="179" t="s">
        <v>15</v>
      </c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</row>
    <row r="17" customHeight="1" spans="1:25">
      <c r="A17" s="6">
        <v>13</v>
      </c>
      <c r="B17" s="6" t="s">
        <v>32</v>
      </c>
      <c r="C17" s="6">
        <v>13927634568</v>
      </c>
      <c r="D17" s="6" t="s">
        <v>14</v>
      </c>
      <c r="E17" s="6"/>
      <c r="F17" s="6">
        <v>350</v>
      </c>
      <c r="G17" s="6">
        <v>210</v>
      </c>
      <c r="H17" s="40"/>
      <c r="I17" s="179" t="s">
        <v>15</v>
      </c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</row>
    <row r="18" customHeight="1" spans="1:25">
      <c r="A18" s="6">
        <v>14</v>
      </c>
      <c r="B18" s="6" t="s">
        <v>33</v>
      </c>
      <c r="C18" s="6">
        <v>13610505377</v>
      </c>
      <c r="D18" s="6" t="s">
        <v>14</v>
      </c>
      <c r="E18" s="37"/>
      <c r="F18" s="6">
        <v>350</v>
      </c>
      <c r="G18" s="6">
        <v>210</v>
      </c>
      <c r="H18" s="40"/>
      <c r="I18" s="179" t="s">
        <v>15</v>
      </c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</row>
    <row r="19" customHeight="1" spans="1:25">
      <c r="A19" s="6">
        <v>15</v>
      </c>
      <c r="B19" s="6" t="s">
        <v>34</v>
      </c>
      <c r="C19" s="6">
        <v>18938623456</v>
      </c>
      <c r="D19" s="6" t="s">
        <v>14</v>
      </c>
      <c r="E19" s="6" t="s">
        <v>14</v>
      </c>
      <c r="F19" s="6">
        <v>350</v>
      </c>
      <c r="G19" s="6">
        <v>210</v>
      </c>
      <c r="H19" s="40" t="s">
        <v>35</v>
      </c>
      <c r="I19" s="179" t="s">
        <v>15</v>
      </c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</row>
    <row r="20" customHeight="1" spans="1:25">
      <c r="A20" s="6">
        <v>16</v>
      </c>
      <c r="B20" s="6" t="s">
        <v>36</v>
      </c>
      <c r="C20" s="6">
        <v>15975893658</v>
      </c>
      <c r="D20" s="6" t="s">
        <v>14</v>
      </c>
      <c r="E20" s="6" t="s">
        <v>14</v>
      </c>
      <c r="F20" s="6">
        <v>350</v>
      </c>
      <c r="G20" s="6">
        <v>210</v>
      </c>
      <c r="H20" s="40"/>
      <c r="I20" s="179" t="s">
        <v>15</v>
      </c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</row>
    <row r="21" customHeight="1" spans="1:25">
      <c r="A21" s="6">
        <v>17</v>
      </c>
      <c r="B21" s="37" t="s">
        <v>37</v>
      </c>
      <c r="C21" s="37">
        <v>13413511370</v>
      </c>
      <c r="D21" s="6" t="s">
        <v>14</v>
      </c>
      <c r="E21" s="6" t="s">
        <v>14</v>
      </c>
      <c r="F21" s="6">
        <v>350</v>
      </c>
      <c r="G21" s="6">
        <v>210</v>
      </c>
      <c r="H21" s="13" t="s">
        <v>29</v>
      </c>
      <c r="I21" s="179" t="s">
        <v>15</v>
      </c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</row>
    <row r="22" customHeight="1" spans="1:25">
      <c r="A22" s="6">
        <v>18</v>
      </c>
      <c r="B22" s="37" t="s">
        <v>38</v>
      </c>
      <c r="C22" s="6">
        <v>13553951733</v>
      </c>
      <c r="D22" s="6" t="s">
        <v>14</v>
      </c>
      <c r="E22" s="6" t="s">
        <v>14</v>
      </c>
      <c r="F22" s="6">
        <v>350</v>
      </c>
      <c r="G22" s="6">
        <v>210</v>
      </c>
      <c r="H22" s="13" t="s">
        <v>29</v>
      </c>
      <c r="I22" s="179" t="s">
        <v>15</v>
      </c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</row>
    <row r="23" customHeight="1" spans="1:25">
      <c r="A23" s="6">
        <v>19</v>
      </c>
      <c r="B23" s="6" t="s">
        <v>39</v>
      </c>
      <c r="C23" s="6">
        <v>13729810313</v>
      </c>
      <c r="D23" s="6" t="s">
        <v>40</v>
      </c>
      <c r="E23" s="37"/>
      <c r="F23" s="6">
        <v>350</v>
      </c>
      <c r="G23" s="6">
        <v>210</v>
      </c>
      <c r="H23" s="37"/>
      <c r="I23" s="179" t="s">
        <v>15</v>
      </c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</row>
    <row r="24" customHeight="1" spans="1:25">
      <c r="A24" s="6">
        <v>20</v>
      </c>
      <c r="B24" s="6" t="s">
        <v>41</v>
      </c>
      <c r="C24" s="6">
        <v>13727120956</v>
      </c>
      <c r="D24" s="6" t="s">
        <v>40</v>
      </c>
      <c r="E24" s="6" t="s">
        <v>40</v>
      </c>
      <c r="F24" s="6">
        <v>350</v>
      </c>
      <c r="G24" s="6">
        <v>210</v>
      </c>
      <c r="H24" s="6" t="s">
        <v>42</v>
      </c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</row>
    <row r="25" customHeight="1" spans="1:25">
      <c r="A25" s="6">
        <v>21</v>
      </c>
      <c r="B25" s="6" t="s">
        <v>43</v>
      </c>
      <c r="C25" s="6">
        <v>13413525923</v>
      </c>
      <c r="D25" s="6" t="s">
        <v>14</v>
      </c>
      <c r="E25" s="6" t="s">
        <v>14</v>
      </c>
      <c r="F25" s="6">
        <v>350</v>
      </c>
      <c r="G25" s="6">
        <v>210</v>
      </c>
      <c r="H25" s="37"/>
      <c r="I25" s="179" t="s">
        <v>15</v>
      </c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</row>
    <row r="26" customHeight="1" spans="1:25">
      <c r="A26" s="6">
        <v>22</v>
      </c>
      <c r="B26" s="6" t="s">
        <v>44</v>
      </c>
      <c r="C26" s="6">
        <v>15767247815</v>
      </c>
      <c r="D26" s="6" t="s">
        <v>40</v>
      </c>
      <c r="E26" s="6" t="s">
        <v>40</v>
      </c>
      <c r="F26" s="6">
        <v>350</v>
      </c>
      <c r="G26" s="6">
        <v>210</v>
      </c>
      <c r="H26" s="6" t="s">
        <v>42</v>
      </c>
      <c r="I26" s="179" t="s">
        <v>15</v>
      </c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</row>
    <row r="27" customHeight="1" spans="1:25">
      <c r="A27" s="6">
        <v>23</v>
      </c>
      <c r="B27" s="6" t="s">
        <v>45</v>
      </c>
      <c r="C27" s="6">
        <v>13076697497</v>
      </c>
      <c r="D27" s="6" t="s">
        <v>40</v>
      </c>
      <c r="E27" s="6" t="s">
        <v>40</v>
      </c>
      <c r="F27" s="6">
        <v>350</v>
      </c>
      <c r="G27" s="6">
        <v>210</v>
      </c>
      <c r="H27" s="37"/>
      <c r="I27" s="179" t="s">
        <v>15</v>
      </c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</row>
    <row r="28" customHeight="1" spans="1:25">
      <c r="A28" s="6">
        <v>24</v>
      </c>
      <c r="B28" s="6" t="s">
        <v>46</v>
      </c>
      <c r="C28" s="6">
        <v>13824919887</v>
      </c>
      <c r="D28" s="37"/>
      <c r="E28" s="6" t="s">
        <v>40</v>
      </c>
      <c r="F28" s="6">
        <v>350</v>
      </c>
      <c r="G28" s="6">
        <v>210</v>
      </c>
      <c r="H28" s="38" t="s">
        <v>47</v>
      </c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</row>
    <row r="29" customHeight="1" spans="1:25">
      <c r="A29" s="6">
        <v>25</v>
      </c>
      <c r="B29" s="6" t="s">
        <v>48</v>
      </c>
      <c r="C29" s="6">
        <v>15992000398</v>
      </c>
      <c r="D29" s="6" t="s">
        <v>40</v>
      </c>
      <c r="E29" s="37"/>
      <c r="F29" s="6">
        <v>350</v>
      </c>
      <c r="G29" s="6">
        <v>210</v>
      </c>
      <c r="H29" s="13" t="s">
        <v>29</v>
      </c>
      <c r="I29" s="179" t="s">
        <v>15</v>
      </c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</row>
    <row r="30" customHeight="1" spans="1:25">
      <c r="A30" s="6">
        <v>26</v>
      </c>
      <c r="B30" s="6" t="s">
        <v>49</v>
      </c>
      <c r="C30" s="6">
        <v>15915195500</v>
      </c>
      <c r="D30" s="6" t="s">
        <v>40</v>
      </c>
      <c r="E30" s="37"/>
      <c r="F30" s="6">
        <v>350</v>
      </c>
      <c r="G30" s="6">
        <v>210</v>
      </c>
      <c r="H30" s="53" t="s">
        <v>50</v>
      </c>
      <c r="I30" s="179" t="s">
        <v>15</v>
      </c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</row>
    <row r="31" customHeight="1" spans="1:25">
      <c r="A31" s="6">
        <v>27</v>
      </c>
      <c r="B31" s="6" t="s">
        <v>51</v>
      </c>
      <c r="C31" s="6">
        <v>13926633788</v>
      </c>
      <c r="D31" s="6" t="s">
        <v>40</v>
      </c>
      <c r="E31" s="6" t="s">
        <v>40</v>
      </c>
      <c r="F31" s="6">
        <v>350</v>
      </c>
      <c r="G31" s="6">
        <v>210</v>
      </c>
      <c r="H31" s="6" t="s">
        <v>52</v>
      </c>
      <c r="I31" s="179" t="s">
        <v>15</v>
      </c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</row>
    <row r="32" customHeight="1" spans="1:25">
      <c r="A32" s="6">
        <v>28</v>
      </c>
      <c r="B32" s="6" t="s">
        <v>53</v>
      </c>
      <c r="C32" s="6">
        <v>13729638133</v>
      </c>
      <c r="D32" s="6" t="s">
        <v>40</v>
      </c>
      <c r="E32" s="6" t="s">
        <v>40</v>
      </c>
      <c r="F32" s="6">
        <v>350</v>
      </c>
      <c r="G32" s="6">
        <v>210</v>
      </c>
      <c r="H32" s="13" t="s">
        <v>29</v>
      </c>
      <c r="I32" s="179" t="s">
        <v>15</v>
      </c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</row>
    <row r="33" customHeight="1" spans="1:25">
      <c r="A33" s="6">
        <v>29</v>
      </c>
      <c r="B33" s="6" t="s">
        <v>54</v>
      </c>
      <c r="C33" s="6">
        <v>13679518111</v>
      </c>
      <c r="D33" s="6" t="s">
        <v>55</v>
      </c>
      <c r="E33" s="37"/>
      <c r="F33" s="6">
        <v>350</v>
      </c>
      <c r="G33" s="6">
        <v>210</v>
      </c>
      <c r="H33" s="37"/>
      <c r="I33" s="179" t="s">
        <v>15</v>
      </c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</row>
    <row r="34" customHeight="1" spans="1:25">
      <c r="A34" s="6">
        <v>30</v>
      </c>
      <c r="B34" s="6" t="s">
        <v>56</v>
      </c>
      <c r="C34" s="6">
        <v>15362751580</v>
      </c>
      <c r="D34" s="6" t="s">
        <v>14</v>
      </c>
      <c r="E34" s="37"/>
      <c r="F34" s="6">
        <v>350</v>
      </c>
      <c r="G34" s="6">
        <v>210</v>
      </c>
      <c r="H34" s="6" t="s">
        <v>57</v>
      </c>
      <c r="I34" s="179" t="s">
        <v>15</v>
      </c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</row>
    <row r="35" customHeight="1" spans="1:25">
      <c r="A35" s="6">
        <v>31</v>
      </c>
      <c r="B35" s="6" t="s">
        <v>58</v>
      </c>
      <c r="C35" s="6">
        <v>17703071983</v>
      </c>
      <c r="D35" s="6" t="s">
        <v>55</v>
      </c>
      <c r="E35" s="6" t="s">
        <v>55</v>
      </c>
      <c r="F35" s="6">
        <v>350</v>
      </c>
      <c r="G35" s="6">
        <v>210</v>
      </c>
      <c r="H35" s="6" t="s">
        <v>59</v>
      </c>
      <c r="I35" s="179" t="s">
        <v>15</v>
      </c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</row>
    <row r="36" customHeight="1" spans="1:25">
      <c r="A36" s="6">
        <v>32</v>
      </c>
      <c r="B36" s="6" t="s">
        <v>60</v>
      </c>
      <c r="C36" s="6">
        <v>13760649026</v>
      </c>
      <c r="D36" s="6" t="s">
        <v>40</v>
      </c>
      <c r="E36" s="6" t="s">
        <v>40</v>
      </c>
      <c r="F36" s="6">
        <v>350</v>
      </c>
      <c r="G36" s="6">
        <v>210</v>
      </c>
      <c r="H36" s="54" t="s">
        <v>29</v>
      </c>
      <c r="I36" s="179" t="s">
        <v>15</v>
      </c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</row>
    <row r="37" customHeight="1" spans="1:25">
      <c r="A37" s="6">
        <v>33</v>
      </c>
      <c r="B37" s="6" t="s">
        <v>20</v>
      </c>
      <c r="C37" s="6">
        <v>13416558182</v>
      </c>
      <c r="D37" s="6" t="s">
        <v>14</v>
      </c>
      <c r="E37" s="6"/>
      <c r="F37" s="6">
        <v>350</v>
      </c>
      <c r="G37" s="6">
        <v>210</v>
      </c>
      <c r="H37" s="40"/>
      <c r="I37" s="179" t="s">
        <v>15</v>
      </c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</row>
    <row r="38" customHeight="1" spans="1:25">
      <c r="A38" s="6">
        <v>34</v>
      </c>
      <c r="B38" s="37" t="s">
        <v>61</v>
      </c>
      <c r="C38" s="37">
        <v>18820577728</v>
      </c>
      <c r="D38" s="37"/>
      <c r="E38" s="6" t="s">
        <v>14</v>
      </c>
      <c r="F38" s="6">
        <v>350</v>
      </c>
      <c r="G38" s="6">
        <v>210</v>
      </c>
      <c r="H38" s="40"/>
      <c r="I38" s="179" t="s">
        <v>15</v>
      </c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</row>
    <row r="39" customHeight="1" spans="1:25">
      <c r="A39" s="6">
        <v>40</v>
      </c>
      <c r="B39" s="37" t="s">
        <v>62</v>
      </c>
      <c r="C39" s="37">
        <v>13631055632</v>
      </c>
      <c r="D39" s="6" t="s">
        <v>40</v>
      </c>
      <c r="E39" s="6" t="s">
        <v>40</v>
      </c>
      <c r="F39" s="6">
        <v>350</v>
      </c>
      <c r="G39" s="6">
        <v>210</v>
      </c>
      <c r="H39" s="37"/>
      <c r="I39" s="179" t="s">
        <v>15</v>
      </c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</row>
    <row r="40" customHeight="1" spans="1:25">
      <c r="A40" s="6">
        <v>41</v>
      </c>
      <c r="B40" s="37"/>
      <c r="C40" s="37"/>
      <c r="D40" s="37"/>
      <c r="E40" s="37"/>
      <c r="F40" s="6">
        <v>350</v>
      </c>
      <c r="G40" s="6">
        <v>210</v>
      </c>
      <c r="H40" s="37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</row>
    <row r="41" customHeight="1" spans="1:25">
      <c r="A41" s="6">
        <v>42</v>
      </c>
      <c r="B41" s="37"/>
      <c r="C41" s="37"/>
      <c r="D41" s="37"/>
      <c r="E41" s="37"/>
      <c r="F41" s="6">
        <v>350</v>
      </c>
      <c r="G41" s="6">
        <v>210</v>
      </c>
      <c r="H41" s="37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</row>
    <row r="42" customHeight="1" spans="1:25">
      <c r="A42" s="6">
        <v>43</v>
      </c>
      <c r="B42" s="37"/>
      <c r="C42" s="37"/>
      <c r="D42" s="37"/>
      <c r="E42" s="37"/>
      <c r="F42" s="6">
        <v>350</v>
      </c>
      <c r="G42" s="6">
        <v>210</v>
      </c>
      <c r="H42" s="37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</row>
    <row r="43" customHeight="1" spans="1:25">
      <c r="A43" s="6">
        <v>44</v>
      </c>
      <c r="B43" s="37"/>
      <c r="C43" s="37"/>
      <c r="D43" s="37"/>
      <c r="E43" s="37"/>
      <c r="F43" s="6">
        <v>350</v>
      </c>
      <c r="G43" s="6">
        <v>210</v>
      </c>
      <c r="H43" s="37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</row>
    <row r="44" customHeight="1" spans="1:25">
      <c r="A44" s="6">
        <v>45</v>
      </c>
      <c r="B44" s="37"/>
      <c r="C44" s="37"/>
      <c r="D44" s="37"/>
      <c r="E44" s="37"/>
      <c r="F44" s="6">
        <v>350</v>
      </c>
      <c r="G44" s="6">
        <v>210</v>
      </c>
      <c r="H44" s="37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</row>
    <row r="45" customHeight="1" spans="1:25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</row>
    <row r="46" customHeight="1" spans="1:25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</row>
    <row r="47" customHeight="1" spans="1:25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</row>
    <row r="48" customHeight="1" spans="1:25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</row>
    <row r="49" customHeight="1" spans="1:25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</row>
    <row r="50" customHeight="1" spans="1:25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</row>
    <row r="51" customHeight="1" spans="1:25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</row>
    <row r="52" customHeight="1" spans="1:25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</row>
    <row r="53" customHeight="1" spans="1:25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</row>
    <row r="54" customHeight="1" spans="1:25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</row>
    <row r="55" customHeight="1" spans="1:25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</row>
    <row r="56" customHeight="1" spans="1:25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</row>
    <row r="57" customHeight="1" spans="1:25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</row>
    <row r="58" customHeight="1" spans="1:25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</row>
    <row r="59" customHeight="1" spans="1:25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</row>
    <row r="60" customHeight="1" spans="1:25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</row>
    <row r="61" customHeight="1" spans="1:25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</row>
    <row r="62" customHeight="1" spans="1:25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</row>
    <row r="63" customHeight="1" spans="1:25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</row>
    <row r="64" customHeight="1" spans="1:25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</row>
    <row r="65" customHeight="1" spans="1:25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</row>
    <row r="66" customHeight="1" spans="1:25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</row>
    <row r="67" customHeight="1" spans="1:25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</row>
    <row r="68" customHeight="1" spans="1:25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</row>
    <row r="69" customHeight="1" spans="1:25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</row>
    <row r="70" customHeight="1" spans="1:25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</row>
    <row r="71" customHeight="1" spans="1:25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</row>
    <row r="72" customHeight="1" spans="1:25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</row>
    <row r="73" customHeight="1" spans="1:25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</row>
    <row r="74" customHeight="1" spans="1:25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</row>
    <row r="75" customHeight="1" spans="1:25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</row>
    <row r="76" customHeight="1" spans="1:25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</row>
    <row r="77" customHeight="1" spans="1:25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</row>
    <row r="78" customHeight="1" spans="1:25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</row>
    <row r="79" customHeight="1" spans="1:25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</row>
    <row r="80" customHeight="1" spans="1:25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</row>
    <row r="81" customHeight="1" spans="1:25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</row>
    <row r="82" customHeight="1" spans="1:25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</row>
    <row r="83" customHeight="1" spans="1:25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</row>
    <row r="84" customHeight="1" spans="1:25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</row>
    <row r="85" customHeight="1" spans="1:25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</row>
    <row r="86" customHeight="1" spans="1:25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</row>
    <row r="87" customHeight="1" spans="1:25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</row>
    <row r="88" customHeight="1" spans="1:25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</row>
    <row r="89" customHeight="1" spans="1:25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</row>
    <row r="90" customHeight="1" spans="1:25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</row>
    <row r="91" customHeight="1" spans="1:25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</row>
    <row r="92" customHeight="1" spans="1:25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</row>
    <row r="93" customHeight="1" spans="1:25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</row>
    <row r="94" customHeight="1" spans="1:25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</row>
    <row r="95" customHeight="1" spans="1:25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</row>
    <row r="96" customHeight="1" spans="1:25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</row>
    <row r="97" customHeight="1" spans="1:25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</row>
    <row r="98" customHeight="1" spans="1:25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</row>
    <row r="99" customHeight="1" spans="1:25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</row>
    <row r="100" customHeight="1" spans="1:25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</row>
    <row r="101" customHeight="1" spans="1:25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</row>
    <row r="102" customHeight="1" spans="1:25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</row>
    <row r="103" customHeight="1" spans="1:25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</row>
    <row r="104" customHeight="1" spans="1:25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</row>
    <row r="105" customHeight="1" spans="1:25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</row>
    <row r="106" customHeight="1" spans="1:25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</row>
    <row r="107" customHeight="1" spans="1:25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</row>
    <row r="108" customHeight="1" spans="1:25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</row>
    <row r="109" customHeight="1" spans="1:25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</row>
    <row r="110" customHeight="1" spans="1:25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</row>
    <row r="111" customHeight="1" spans="1:25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</row>
    <row r="112" customHeight="1" spans="1:25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</row>
    <row r="113" customHeight="1" spans="1:25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</row>
    <row r="114" customHeight="1" spans="1:25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</row>
    <row r="115" customHeight="1" spans="1:25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</row>
    <row r="116" customHeight="1" spans="1:25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</row>
    <row r="117" customHeight="1" spans="1:25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</row>
    <row r="118" customHeight="1" spans="1:25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</row>
    <row r="119" customHeight="1" spans="1:25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</row>
    <row r="120" customHeight="1" spans="1:25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</row>
    <row r="121" customHeight="1" spans="1:25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</row>
    <row r="122" customHeight="1" spans="1:25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</row>
    <row r="123" customHeight="1" spans="1:25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</row>
    <row r="124" customHeight="1" spans="1:25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</row>
    <row r="125" customHeight="1" spans="1:25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</row>
    <row r="126" customHeight="1" spans="1:25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</row>
    <row r="127" customHeight="1" spans="1:25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</row>
    <row r="128" customHeight="1" spans="1:25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</row>
    <row r="129" customHeight="1" spans="1:25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</row>
    <row r="130" customHeight="1" spans="1:25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</row>
    <row r="131" customHeight="1" spans="1:25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</row>
    <row r="132" customHeight="1" spans="1:25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</row>
    <row r="133" customHeight="1" spans="1:25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</row>
    <row r="134" customHeight="1" spans="1:25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</row>
    <row r="135" customHeight="1" spans="1:25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</row>
    <row r="136" customHeight="1" spans="1:25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</row>
    <row r="137" customHeight="1" spans="1:25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</row>
    <row r="138" customHeight="1" spans="1:25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</row>
    <row r="139" customHeight="1" spans="1:25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</row>
    <row r="140" customHeight="1" spans="1:25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</row>
    <row r="141" customHeight="1" spans="1:25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</row>
    <row r="142" customHeight="1" spans="1:25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</row>
    <row r="143" customHeight="1" spans="1:25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</row>
    <row r="144" customHeight="1" spans="1:25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</row>
    <row r="145" customHeight="1" spans="1:25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</row>
    <row r="146" customHeight="1" spans="1:25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</row>
    <row r="147" customHeight="1" spans="1:25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</row>
    <row r="148" customHeight="1" spans="1:25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</row>
    <row r="149" customHeight="1" spans="1:25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</row>
    <row r="150" customHeight="1" spans="1:25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</row>
    <row r="151" customHeight="1" spans="1:25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</row>
    <row r="152" customHeight="1" spans="1:25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</row>
    <row r="153" customHeight="1" spans="1:25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</row>
    <row r="154" customHeight="1" spans="1:25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</row>
    <row r="155" customHeight="1" spans="1:25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</row>
    <row r="156" customHeight="1" spans="1:25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</row>
    <row r="157" customHeight="1" spans="1:25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</row>
    <row r="158" customHeight="1" spans="1:25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</row>
    <row r="159" customHeight="1" spans="1:25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</row>
    <row r="160" customHeight="1" spans="1:25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</row>
    <row r="161" customHeight="1" spans="1:25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</row>
    <row r="162" customHeight="1" spans="1:25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</row>
    <row r="163" customHeight="1" spans="1:25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</row>
    <row r="164" customHeight="1" spans="1:25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</row>
    <row r="165" customHeight="1" spans="1:2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</row>
    <row r="166" customHeight="1" spans="1:25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</row>
    <row r="167" customHeight="1" spans="1:25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</row>
    <row r="168" customHeight="1" spans="1:25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</row>
    <row r="169" customHeight="1" spans="1:25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</row>
    <row r="170" customHeight="1" spans="1:25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</row>
    <row r="171" customHeight="1" spans="1:25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</row>
    <row r="172" customHeight="1" spans="1:25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</row>
    <row r="173" customHeight="1" spans="1:25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</row>
    <row r="174" customHeight="1" spans="1:25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</row>
    <row r="175" customHeight="1" spans="1:25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</row>
    <row r="176" customHeight="1" spans="1:25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</row>
    <row r="177" customHeight="1" spans="1:25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</row>
    <row r="178" customHeight="1" spans="1:25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</row>
    <row r="179" customHeight="1" spans="1:25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</row>
    <row r="180" customHeight="1" spans="1:25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</row>
    <row r="181" customHeight="1" spans="1:25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</row>
    <row r="182" customHeight="1" spans="1:25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</row>
    <row r="183" customHeight="1" spans="1:25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</row>
    <row r="184" customHeight="1" spans="1:25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</row>
    <row r="185" customHeight="1" spans="1:25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</row>
    <row r="186" customHeight="1" spans="1:25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</row>
    <row r="187" customHeight="1" spans="1:25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</row>
    <row r="188" customHeight="1" spans="1:25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</row>
    <row r="189" customHeight="1" spans="1:25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</row>
    <row r="190" customHeight="1" spans="1:25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T24" sqref="T24"/>
    </sheetView>
  </sheetViews>
  <sheetFormatPr defaultColWidth="10.2857142857143" defaultRowHeight="13.5"/>
  <cols>
    <col min="1" max="1" width="3.88571428571429" style="170" customWidth="1"/>
    <col min="2" max="2" width="13.7142857142857" style="170" customWidth="1"/>
    <col min="3" max="3" width="4.42857142857143" style="168" customWidth="1"/>
    <col min="4" max="6" width="4" style="168" customWidth="1"/>
    <col min="7" max="7" width="3.87619047619048" style="168" customWidth="1"/>
    <col min="8" max="12" width="4.28571428571429" style="168" customWidth="1"/>
    <col min="13" max="13" width="4.00952380952381" style="168" customWidth="1"/>
    <col min="14" max="14" width="4.28571428571429" style="168" customWidth="1"/>
    <col min="15" max="15" width="4.00952380952381" style="168" customWidth="1"/>
    <col min="16" max="16" width="3.87619047619048" style="168" customWidth="1"/>
    <col min="17" max="17" width="4.28571428571429" style="168" customWidth="1"/>
    <col min="18" max="19" width="4.14285714285714" style="168" customWidth="1"/>
    <col min="20" max="20" width="4.57142857142857" style="168" customWidth="1"/>
    <col min="21" max="25" width="4.14285714285714" style="168" customWidth="1"/>
    <col min="26" max="27" width="4.57142857142857" style="168" customWidth="1"/>
    <col min="28" max="28" width="4.16190476190476" style="168" customWidth="1"/>
    <col min="29" max="30" width="4.28571428571429" style="168" customWidth="1"/>
    <col min="31" max="31" width="4.00952380952381" style="168" customWidth="1"/>
    <col min="32" max="32" width="3.85714285714286" style="168" customWidth="1"/>
    <col min="33" max="34" width="4.28571428571429" style="168" customWidth="1"/>
    <col min="35" max="36" width="4.57142857142857" style="168" customWidth="1"/>
    <col min="37" max="37" width="4.28571428571429" style="168" customWidth="1"/>
    <col min="38" max="38" width="3.85714285714286" style="168" customWidth="1"/>
    <col min="39" max="16384" width="10.2857142857143" style="168"/>
  </cols>
  <sheetData>
    <row r="1" s="168" customFormat="1" ht="26" customHeight="1" spans="1:38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="168" customFormat="1" ht="26" customHeight="1" spans="1:38">
      <c r="A2" s="171" t="s">
        <v>64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</row>
    <row r="3" s="169" customFormat="1" ht="40" customHeight="1" spans="1:38">
      <c r="A3" s="172" t="s">
        <v>2</v>
      </c>
      <c r="B3" s="172" t="s">
        <v>65</v>
      </c>
      <c r="C3" s="173">
        <v>1</v>
      </c>
      <c r="D3" s="173">
        <v>2</v>
      </c>
      <c r="E3" s="173">
        <v>3</v>
      </c>
      <c r="F3" s="173">
        <v>4</v>
      </c>
      <c r="G3" s="173">
        <v>5</v>
      </c>
      <c r="H3" s="173">
        <v>6</v>
      </c>
      <c r="I3" s="173">
        <v>7</v>
      </c>
      <c r="J3" s="173">
        <v>8</v>
      </c>
      <c r="K3" s="173">
        <v>9</v>
      </c>
      <c r="L3" s="173">
        <v>10</v>
      </c>
      <c r="M3" s="173">
        <v>11</v>
      </c>
      <c r="N3" s="173">
        <v>12</v>
      </c>
      <c r="O3" s="173">
        <v>13</v>
      </c>
      <c r="P3" s="173">
        <v>14</v>
      </c>
      <c r="Q3" s="173">
        <v>15</v>
      </c>
      <c r="R3" s="173">
        <v>16</v>
      </c>
      <c r="S3" s="173">
        <v>17</v>
      </c>
      <c r="T3" s="173">
        <v>18</v>
      </c>
      <c r="U3" s="173">
        <v>19</v>
      </c>
      <c r="V3" s="173">
        <v>20</v>
      </c>
      <c r="W3" s="173">
        <v>21</v>
      </c>
      <c r="X3" s="173">
        <v>22</v>
      </c>
      <c r="Y3" s="173">
        <v>23</v>
      </c>
      <c r="Z3" s="173">
        <v>24</v>
      </c>
      <c r="AA3" s="173">
        <v>25</v>
      </c>
      <c r="AB3" s="173">
        <v>26</v>
      </c>
      <c r="AC3" s="173">
        <v>27</v>
      </c>
      <c r="AD3" s="173">
        <v>28</v>
      </c>
      <c r="AE3" s="173">
        <v>29</v>
      </c>
      <c r="AF3" s="173">
        <v>30</v>
      </c>
      <c r="AG3" s="173"/>
      <c r="AH3" s="173"/>
      <c r="AI3" s="173"/>
      <c r="AJ3" s="173"/>
      <c r="AK3" s="173"/>
      <c r="AL3" s="173"/>
    </row>
    <row r="4" s="168" customFormat="1" ht="25" customHeight="1" spans="1:38">
      <c r="A4" s="141">
        <v>1</v>
      </c>
      <c r="B4" s="174"/>
      <c r="C4" s="141"/>
      <c r="D4" s="141"/>
      <c r="E4" s="141"/>
      <c r="F4" s="141"/>
      <c r="G4" s="141"/>
      <c r="H4" s="141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</row>
    <row r="5" s="168" customFormat="1" ht="25" customHeight="1" spans="1:38">
      <c r="A5" s="141">
        <v>2</v>
      </c>
      <c r="B5" s="174"/>
      <c r="C5" s="141"/>
      <c r="D5" s="141"/>
      <c r="E5" s="141"/>
      <c r="F5" s="141"/>
      <c r="G5" s="141"/>
      <c r="H5" s="141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</row>
    <row r="6" s="168" customFormat="1" ht="25" customHeight="1" spans="1:38">
      <c r="A6" s="141">
        <v>3</v>
      </c>
      <c r="B6" s="174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</row>
    <row r="7" s="168" customFormat="1" ht="25" customHeight="1" spans="1:38">
      <c r="A7" s="141">
        <v>13</v>
      </c>
      <c r="B7" s="174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</row>
    <row r="8" s="168" customFormat="1" ht="25" customHeight="1" spans="1:38">
      <c r="A8" s="141">
        <v>14</v>
      </c>
      <c r="B8" s="174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</row>
    <row r="9" s="168" customFormat="1" ht="25" customHeight="1" spans="1:38">
      <c r="A9" s="141">
        <v>15</v>
      </c>
      <c r="B9" s="174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</row>
    <row r="10" s="168" customFormat="1" ht="25" customHeight="1" spans="1:38">
      <c r="A10" s="141">
        <v>16</v>
      </c>
      <c r="B10" s="174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</row>
    <row r="11" s="168" customFormat="1" ht="25" customHeight="1" spans="1:38">
      <c r="A11" s="141">
        <v>17</v>
      </c>
      <c r="B11" s="176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</row>
    <row r="12" s="168" customFormat="1" ht="25" customHeight="1" spans="1:38">
      <c r="A12" s="141">
        <v>18</v>
      </c>
      <c r="B12" s="176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</row>
    <row r="13" s="168" customFormat="1" ht="15" customHeight="1" spans="1:38">
      <c r="A13" s="177"/>
      <c r="B13" s="177"/>
    </row>
    <row r="14" s="168" customFormat="1" ht="15" customHeight="1" spans="1:38">
      <c r="A14" s="177"/>
      <c r="B14" s="177"/>
    </row>
    <row r="15" s="168" customFormat="1" ht="15" customHeight="1" spans="1:38">
      <c r="A15" s="177"/>
      <c r="B15" s="177"/>
    </row>
    <row r="16" s="168" customFormat="1" ht="15" customHeight="1" spans="1:38">
      <c r="A16" s="177"/>
      <c r="B16" s="177"/>
    </row>
    <row r="17" s="168" customFormat="1" ht="15" customHeight="1" spans="1:2">
      <c r="A17" s="177"/>
      <c r="B17" s="177"/>
    </row>
    <row r="18" s="168" customFormat="1" ht="15" customHeight="1" spans="1:2">
      <c r="A18" s="177"/>
      <c r="B18" s="177"/>
    </row>
    <row r="19" s="168" customFormat="1" ht="15" customHeight="1" spans="1:2">
      <c r="A19" s="177"/>
      <c r="B19" s="177"/>
    </row>
    <row r="20" s="168" customFormat="1" ht="15" customHeight="1" spans="1:2">
      <c r="A20" s="177"/>
      <c r="B20" s="177"/>
    </row>
    <row r="21" s="168" customFormat="1" ht="15" customHeight="1" spans="1:2">
      <c r="A21" s="177"/>
      <c r="B21" s="177"/>
    </row>
    <row r="22" s="168" customFormat="1" ht="15" customHeight="1" spans="1:2">
      <c r="A22" s="177"/>
      <c r="B22" s="177"/>
    </row>
    <row r="23" s="168" customFormat="1" ht="15" customHeight="1" spans="1:2">
      <c r="A23" s="177"/>
      <c r="B23" s="177"/>
    </row>
    <row r="24" s="168" customFormat="1" ht="15" customHeight="1" spans="1:2">
      <c r="A24" s="177"/>
      <c r="B24" s="177"/>
    </row>
    <row r="25" s="168" customFormat="1" ht="15" customHeight="1" spans="1:2">
      <c r="A25" s="177"/>
      <c r="B25" s="177"/>
    </row>
    <row r="26" s="168" customFormat="1" ht="15" customHeight="1" spans="1:2">
      <c r="A26" s="177"/>
      <c r="B26" s="177"/>
    </row>
    <row r="27" s="168" customFormat="1" ht="15" customHeight="1" spans="1:2">
      <c r="A27" s="177"/>
      <c r="B27" s="177"/>
    </row>
    <row r="28" s="168" customFormat="1" ht="15" customHeight="1" spans="1:2">
      <c r="A28" s="177"/>
      <c r="B28" s="177"/>
    </row>
    <row r="29" s="168" customFormat="1" ht="15" customHeight="1" spans="1:2">
      <c r="A29" s="177"/>
      <c r="B29" s="177"/>
    </row>
    <row r="30" s="168" customFormat="1" ht="15" customHeight="1" spans="1:2">
      <c r="A30" s="177"/>
      <c r="B30" s="177"/>
    </row>
    <row r="31" s="168" customFormat="1" ht="15" customHeight="1" spans="1:2">
      <c r="A31" s="177"/>
      <c r="B31" s="177"/>
    </row>
    <row r="32" s="168" customFormat="1" ht="15" customHeight="1" spans="1:2">
      <c r="A32" s="177"/>
      <c r="B32" s="177"/>
    </row>
    <row r="33" s="168" customFormat="1" ht="15" customHeight="1" spans="1:2">
      <c r="A33" s="177"/>
      <c r="B33" s="177"/>
    </row>
    <row r="34" s="168" customFormat="1" ht="15" customHeight="1" spans="1:2">
      <c r="A34" s="177"/>
      <c r="B34" s="177"/>
    </row>
    <row r="35" s="168" customFormat="1" ht="15" customHeight="1" spans="1:2">
      <c r="A35" s="177"/>
      <c r="B35" s="177"/>
    </row>
    <row r="36" s="168" customFormat="1" ht="15" customHeight="1" spans="1:2">
      <c r="A36" s="177"/>
      <c r="B36" s="177"/>
    </row>
    <row r="37" s="168" customFormat="1" ht="15" customHeight="1" spans="1:2">
      <c r="A37" s="177"/>
      <c r="B37" s="177"/>
    </row>
    <row r="38" s="168" customFormat="1" ht="15" customHeight="1" spans="1:2">
      <c r="A38" s="177"/>
      <c r="B38" s="177"/>
    </row>
    <row r="39" s="168" customFormat="1" ht="15" customHeight="1" spans="1:2">
      <c r="A39" s="177"/>
      <c r="B39" s="177"/>
    </row>
    <row r="40" s="168" customFormat="1" ht="15" customHeight="1" spans="1:2">
      <c r="A40" s="177"/>
      <c r="B40" s="177"/>
    </row>
    <row r="41" s="168" customFormat="1" ht="15" customHeight="1" spans="1:2">
      <c r="A41" s="177"/>
      <c r="B41" s="177"/>
    </row>
    <row r="42" s="168" customFormat="1" ht="15" customHeight="1" spans="1:2">
      <c r="A42" s="177"/>
      <c r="B42" s="177"/>
    </row>
    <row r="43" s="168" customFormat="1" ht="15" customHeight="1" spans="1:2">
      <c r="A43" s="177"/>
      <c r="B43" s="177"/>
    </row>
    <row r="44" s="168" customFormat="1" ht="15" customHeight="1" spans="1:2">
      <c r="A44" s="177"/>
      <c r="B44" s="177"/>
    </row>
    <row r="45" s="168" customFormat="1" ht="15" customHeight="1" spans="1:2">
      <c r="A45" s="177"/>
      <c r="B45" s="177"/>
    </row>
    <row r="46" s="168" customFormat="1" ht="15" customHeight="1" spans="1:2">
      <c r="A46" s="177"/>
      <c r="B46" s="177"/>
    </row>
    <row r="47" s="168" customFormat="1" ht="15" customHeight="1" spans="1:2">
      <c r="A47" s="177"/>
      <c r="B47" s="177"/>
    </row>
    <row r="48" s="168" customFormat="1" ht="15" customHeight="1" spans="1:2">
      <c r="A48" s="177"/>
      <c r="B48" s="177"/>
    </row>
    <row r="49" s="168" customFormat="1" ht="15" customHeight="1" spans="1:2">
      <c r="A49" s="177"/>
      <c r="B49" s="177"/>
    </row>
    <row r="50" s="168" customFormat="1" ht="15" customHeight="1" spans="1:2">
      <c r="A50" s="177"/>
      <c r="B50" s="177"/>
    </row>
    <row r="51" s="168" customFormat="1" ht="15" customHeight="1" spans="1:2">
      <c r="A51" s="177"/>
      <c r="B51" s="177"/>
    </row>
    <row r="52" s="168" customFormat="1" ht="15" customHeight="1" spans="1:2">
      <c r="A52" s="177"/>
      <c r="B52" s="177"/>
    </row>
    <row r="53" s="168" customFormat="1" ht="15" customHeight="1" spans="1:2">
      <c r="A53" s="177"/>
      <c r="B53" s="177"/>
    </row>
    <row r="54" s="168" customFormat="1" ht="15" customHeight="1" spans="1:2">
      <c r="A54" s="177"/>
      <c r="B54" s="177"/>
    </row>
    <row r="55" s="168" customFormat="1" ht="15" customHeight="1" spans="1:2">
      <c r="A55" s="177"/>
      <c r="B55" s="177"/>
    </row>
    <row r="56" s="168" customFormat="1" ht="15" customHeight="1" spans="1:2">
      <c r="A56" s="177"/>
      <c r="B56" s="177"/>
    </row>
    <row r="57" s="168" customFormat="1" ht="15" customHeight="1" spans="1:2">
      <c r="A57" s="177"/>
      <c r="B57" s="177"/>
    </row>
    <row r="58" s="168" customFormat="1" ht="15" customHeight="1" spans="1:2">
      <c r="A58" s="177"/>
      <c r="B58" s="177"/>
    </row>
    <row r="59" s="168" customFormat="1" ht="15" customHeight="1" spans="1:2">
      <c r="A59" s="177"/>
      <c r="B59" s="177"/>
    </row>
    <row r="60" s="168" customFormat="1" ht="15" customHeight="1" spans="1:2">
      <c r="A60" s="177"/>
      <c r="B60" s="177"/>
    </row>
    <row r="61" s="168" customFormat="1" ht="15" customHeight="1" spans="1:2">
      <c r="A61" s="177"/>
      <c r="B61" s="177"/>
    </row>
    <row r="62" s="168" customFormat="1" ht="15" customHeight="1" spans="1:2">
      <c r="A62" s="177"/>
      <c r="B62" s="177"/>
    </row>
    <row r="63" s="168" customFormat="1" ht="15" customHeight="1" spans="1:2">
      <c r="A63" s="177"/>
      <c r="B63" s="177"/>
    </row>
    <row r="64" s="168" customFormat="1" ht="15" customHeight="1" spans="1:2">
      <c r="A64" s="177"/>
      <c r="B64" s="177"/>
    </row>
    <row r="65" s="168" customFormat="1" ht="15" customHeight="1" spans="1:2">
      <c r="A65" s="177"/>
      <c r="B65" s="177"/>
    </row>
    <row r="66" s="168" customFormat="1" ht="15" customHeight="1" spans="1:2">
      <c r="A66" s="177"/>
      <c r="B66" s="177"/>
    </row>
    <row r="67" s="168" customFormat="1" ht="15" customHeight="1" spans="1:2">
      <c r="A67" s="177"/>
      <c r="B67" s="177"/>
    </row>
    <row r="68" s="168" customFormat="1" ht="15" customHeight="1" spans="1:2">
      <c r="A68" s="177"/>
      <c r="B68" s="177"/>
    </row>
    <row r="69" s="168" customFormat="1" ht="15" customHeight="1" spans="1:2">
      <c r="A69" s="177"/>
      <c r="B69" s="177"/>
    </row>
    <row r="70" s="168" customFormat="1" ht="15" customHeight="1" spans="1:2">
      <c r="A70" s="177"/>
      <c r="B70" s="177"/>
    </row>
    <row r="71" s="168" customFormat="1" spans="1:2">
      <c r="A71" s="170"/>
      <c r="B71" s="170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pane ySplit="2" topLeftCell="A19" activePane="bottomLeft" state="frozen"/>
      <selection/>
      <selection pane="bottomLeft" activeCell="B28" sqref="B28"/>
    </sheetView>
  </sheetViews>
  <sheetFormatPr defaultColWidth="13.7142857142857" defaultRowHeight="25" customHeight="1" outlineLevelCol="5"/>
  <cols>
    <col min="1" max="16384" width="13.7142857142857" customWidth="1"/>
  </cols>
  <sheetData>
    <row r="1" customHeight="1" spans="1:6">
      <c r="A1" s="1" t="s">
        <v>66</v>
      </c>
      <c r="B1" s="1"/>
      <c r="C1" s="1"/>
      <c r="D1" s="1"/>
      <c r="E1" s="1"/>
      <c r="F1" s="1"/>
    </row>
    <row r="2" customHeight="1" spans="1:6">
      <c r="A2" s="2" t="s">
        <v>2</v>
      </c>
      <c r="B2" s="2" t="s">
        <v>67</v>
      </c>
      <c r="C2" s="2" t="s">
        <v>3</v>
      </c>
      <c r="D2" s="2" t="s">
        <v>68</v>
      </c>
      <c r="E2" s="2" t="s">
        <v>69</v>
      </c>
      <c r="F2" s="2" t="s">
        <v>7</v>
      </c>
    </row>
    <row r="3" customHeight="1" spans="1:6">
      <c r="A3" s="3">
        <v>1</v>
      </c>
      <c r="B3" s="109">
        <v>46093</v>
      </c>
      <c r="C3" s="19" t="s">
        <v>13</v>
      </c>
      <c r="D3" s="19" t="s">
        <v>70</v>
      </c>
      <c r="E3" s="19"/>
      <c r="F3" s="12" t="s">
        <v>71</v>
      </c>
    </row>
    <row r="4" customHeight="1" spans="1:6">
      <c r="A4" s="3">
        <v>2</v>
      </c>
      <c r="B4" s="109">
        <v>46093</v>
      </c>
      <c r="C4" s="60" t="s">
        <v>16</v>
      </c>
      <c r="D4" s="19" t="s">
        <v>70</v>
      </c>
      <c r="E4" s="19"/>
      <c r="F4" s="12" t="s">
        <v>71</v>
      </c>
    </row>
    <row r="5" customHeight="1" spans="1:6">
      <c r="A5" s="3">
        <v>3</v>
      </c>
      <c r="B5" s="109">
        <v>46093</v>
      </c>
      <c r="C5" s="12" t="s">
        <v>18</v>
      </c>
      <c r="D5" s="19" t="s">
        <v>70</v>
      </c>
      <c r="E5" s="12"/>
      <c r="F5" s="12" t="s">
        <v>71</v>
      </c>
    </row>
    <row r="6" customHeight="1" spans="1:6">
      <c r="A6" s="3">
        <v>4</v>
      </c>
      <c r="B6" s="121">
        <v>46104</v>
      </c>
      <c r="C6" s="19" t="s">
        <v>20</v>
      </c>
      <c r="D6" s="19" t="s">
        <v>70</v>
      </c>
      <c r="E6" s="12"/>
      <c r="F6" s="12" t="s">
        <v>71</v>
      </c>
    </row>
    <row r="7" customHeight="1" spans="1:6">
      <c r="A7" s="3">
        <v>5</v>
      </c>
      <c r="B7" s="121">
        <v>46104</v>
      </c>
      <c r="C7" s="157" t="s">
        <v>21</v>
      </c>
      <c r="D7" s="19" t="s">
        <v>70</v>
      </c>
      <c r="E7" s="12"/>
      <c r="F7" s="12" t="s">
        <v>71</v>
      </c>
    </row>
    <row r="8" customHeight="1" spans="1:6">
      <c r="A8" s="3">
        <v>6</v>
      </c>
      <c r="B8" s="121">
        <v>46104</v>
      </c>
      <c r="C8" s="19" t="s">
        <v>22</v>
      </c>
      <c r="D8" s="19" t="s">
        <v>70</v>
      </c>
      <c r="E8" s="12"/>
      <c r="F8" s="12" t="s">
        <v>71</v>
      </c>
    </row>
    <row r="9" customHeight="1" spans="1:6">
      <c r="A9" s="3">
        <v>7</v>
      </c>
      <c r="B9" s="121">
        <v>46104</v>
      </c>
      <c r="C9" s="19" t="s">
        <v>23</v>
      </c>
      <c r="D9" s="19" t="s">
        <v>70</v>
      </c>
      <c r="E9" s="12"/>
      <c r="F9" s="12" t="s">
        <v>71</v>
      </c>
    </row>
    <row r="10" customHeight="1" spans="1:6">
      <c r="A10" s="3">
        <v>8</v>
      </c>
      <c r="B10" s="121">
        <v>46104</v>
      </c>
      <c r="C10" s="19" t="s">
        <v>24</v>
      </c>
      <c r="D10" s="19" t="s">
        <v>70</v>
      </c>
      <c r="E10" s="12"/>
      <c r="F10" s="12" t="s">
        <v>71</v>
      </c>
    </row>
    <row r="11" customHeight="1" spans="1:6">
      <c r="A11" s="3">
        <v>9</v>
      </c>
      <c r="B11" s="121">
        <v>46104</v>
      </c>
      <c r="C11" s="19" t="s">
        <v>26</v>
      </c>
      <c r="D11" s="19" t="s">
        <v>70</v>
      </c>
      <c r="E11" s="12"/>
      <c r="F11" s="12" t="s">
        <v>71</v>
      </c>
    </row>
    <row r="12" customHeight="1" spans="1:6">
      <c r="A12" s="3">
        <v>10</v>
      </c>
      <c r="B12" s="121">
        <v>46104</v>
      </c>
      <c r="C12" s="19" t="s">
        <v>27</v>
      </c>
      <c r="D12" s="19" t="s">
        <v>70</v>
      </c>
      <c r="E12" s="12"/>
      <c r="F12" s="12" t="s">
        <v>71</v>
      </c>
    </row>
    <row r="13" customHeight="1" spans="1:6">
      <c r="A13" s="3">
        <v>11</v>
      </c>
      <c r="B13" s="121">
        <v>46104</v>
      </c>
      <c r="C13" s="19" t="s">
        <v>72</v>
      </c>
      <c r="D13" s="19" t="s">
        <v>70</v>
      </c>
      <c r="E13" s="12"/>
      <c r="F13" s="12" t="s">
        <v>71</v>
      </c>
    </row>
    <row r="14" customHeight="1" spans="1:6">
      <c r="A14" s="3">
        <v>12</v>
      </c>
      <c r="B14" s="121">
        <v>46104</v>
      </c>
      <c r="C14" s="19" t="s">
        <v>30</v>
      </c>
      <c r="D14" s="19" t="s">
        <v>70</v>
      </c>
      <c r="E14" s="12"/>
      <c r="F14" s="12" t="s">
        <v>71</v>
      </c>
    </row>
    <row r="15" customHeight="1" spans="1:6">
      <c r="A15" s="3">
        <v>13</v>
      </c>
      <c r="B15" s="121">
        <v>46104</v>
      </c>
      <c r="C15" s="19" t="s">
        <v>32</v>
      </c>
      <c r="D15" s="19" t="s">
        <v>70</v>
      </c>
      <c r="E15" s="12"/>
      <c r="F15" s="12" t="s">
        <v>71</v>
      </c>
    </row>
    <row r="16" customHeight="1" spans="1:6">
      <c r="A16" s="3">
        <v>14</v>
      </c>
      <c r="B16" s="121">
        <v>46104</v>
      </c>
      <c r="C16" s="19" t="s">
        <v>33</v>
      </c>
      <c r="D16" s="19" t="s">
        <v>70</v>
      </c>
      <c r="E16" s="40"/>
      <c r="F16" s="12" t="s">
        <v>71</v>
      </c>
    </row>
    <row r="17" customHeight="1" spans="1:6">
      <c r="A17" s="3">
        <v>15</v>
      </c>
      <c r="B17" s="121">
        <v>46104</v>
      </c>
      <c r="C17" s="19" t="s">
        <v>34</v>
      </c>
      <c r="D17" s="19" t="s">
        <v>70</v>
      </c>
      <c r="E17" s="40"/>
      <c r="F17" s="12" t="s">
        <v>71</v>
      </c>
    </row>
    <row r="18" customHeight="1" spans="1:6">
      <c r="A18" s="3">
        <v>16</v>
      </c>
      <c r="B18" s="121">
        <v>46104</v>
      </c>
      <c r="C18" s="19" t="s">
        <v>36</v>
      </c>
      <c r="D18" s="19" t="s">
        <v>70</v>
      </c>
      <c r="E18" s="40"/>
      <c r="F18" s="12" t="s">
        <v>71</v>
      </c>
    </row>
    <row r="19" customHeight="1" spans="1:6">
      <c r="A19" s="3">
        <v>17</v>
      </c>
      <c r="B19" s="121">
        <v>46104</v>
      </c>
      <c r="C19" s="45" t="s">
        <v>37</v>
      </c>
      <c r="D19" s="19" t="s">
        <v>70</v>
      </c>
      <c r="E19" s="40"/>
      <c r="F19" s="12" t="s">
        <v>71</v>
      </c>
    </row>
    <row r="20" customHeight="1" spans="1:6">
      <c r="A20" s="3">
        <v>18</v>
      </c>
      <c r="B20" s="121">
        <v>46104</v>
      </c>
      <c r="C20" s="37" t="s">
        <v>38</v>
      </c>
      <c r="D20" s="19" t="s">
        <v>70</v>
      </c>
      <c r="E20" s="40"/>
      <c r="F20" s="12" t="s">
        <v>71</v>
      </c>
    </row>
    <row r="21" customHeight="1" spans="1:6">
      <c r="A21" s="3">
        <v>19</v>
      </c>
      <c r="B21" s="121">
        <v>46104</v>
      </c>
      <c r="C21" s="6" t="s">
        <v>39</v>
      </c>
      <c r="D21" s="19" t="s">
        <v>70</v>
      </c>
      <c r="E21" s="40"/>
      <c r="F21" s="12" t="s">
        <v>71</v>
      </c>
    </row>
    <row r="22" customHeight="1" spans="1:6">
      <c r="A22" s="3">
        <v>20</v>
      </c>
      <c r="B22" s="165">
        <v>46107</v>
      </c>
      <c r="C22" s="6" t="s">
        <v>41</v>
      </c>
      <c r="D22" s="19" t="s">
        <v>70</v>
      </c>
      <c r="E22" s="40"/>
      <c r="F22" s="12" t="s">
        <v>71</v>
      </c>
    </row>
    <row r="23" customHeight="1" spans="1:6">
      <c r="A23" s="3">
        <v>21</v>
      </c>
      <c r="B23" s="165">
        <v>46107</v>
      </c>
      <c r="C23" s="6" t="s">
        <v>43</v>
      </c>
      <c r="D23" s="19" t="s">
        <v>70</v>
      </c>
      <c r="E23" s="40"/>
      <c r="F23" s="12" t="s">
        <v>71</v>
      </c>
    </row>
    <row r="24" customHeight="1" spans="1:6">
      <c r="A24" s="3">
        <v>22</v>
      </c>
      <c r="B24" s="165">
        <v>46107</v>
      </c>
      <c r="C24" s="6" t="s">
        <v>44</v>
      </c>
      <c r="D24" s="19" t="s">
        <v>70</v>
      </c>
      <c r="E24" s="40"/>
      <c r="F24" s="12" t="s">
        <v>71</v>
      </c>
    </row>
    <row r="25" customHeight="1" spans="1:6">
      <c r="A25" s="3">
        <v>23</v>
      </c>
      <c r="B25" s="165">
        <v>46107</v>
      </c>
      <c r="C25" s="6" t="s">
        <v>45</v>
      </c>
      <c r="D25" s="19" t="s">
        <v>70</v>
      </c>
      <c r="E25" s="40"/>
      <c r="F25" s="12" t="s">
        <v>71</v>
      </c>
    </row>
    <row r="26" customHeight="1" spans="1:6">
      <c r="A26" s="3">
        <v>24</v>
      </c>
      <c r="B26" s="165">
        <v>46107</v>
      </c>
      <c r="C26" s="6" t="s">
        <v>46</v>
      </c>
      <c r="D26" s="19" t="s">
        <v>70</v>
      </c>
      <c r="E26" s="40"/>
      <c r="F26" s="12" t="s">
        <v>71</v>
      </c>
    </row>
    <row r="27" customHeight="1" spans="1:6">
      <c r="A27" s="3">
        <v>25</v>
      </c>
      <c r="B27" s="165">
        <v>46107</v>
      </c>
      <c r="C27" s="6" t="s">
        <v>48</v>
      </c>
      <c r="D27" s="19" t="s">
        <v>70</v>
      </c>
      <c r="E27" s="40"/>
      <c r="F27" s="12" t="s">
        <v>71</v>
      </c>
    </row>
    <row r="28" customHeight="1" spans="1:6">
      <c r="A28" s="26">
        <v>26</v>
      </c>
      <c r="B28" s="166">
        <v>46107</v>
      </c>
      <c r="C28" s="38" t="s">
        <v>49</v>
      </c>
      <c r="D28" s="23" t="s">
        <v>70</v>
      </c>
      <c r="E28" s="43"/>
      <c r="F28" s="167" t="s">
        <v>71</v>
      </c>
    </row>
    <row r="29" customHeight="1" spans="1:6">
      <c r="A29" s="3">
        <v>27</v>
      </c>
      <c r="B29" s="40"/>
      <c r="C29" s="19" t="s">
        <v>51</v>
      </c>
      <c r="D29" s="40"/>
      <c r="E29" s="40"/>
      <c r="F29" s="40"/>
    </row>
    <row r="30" customHeight="1" spans="1:6">
      <c r="A30" s="3">
        <v>28</v>
      </c>
      <c r="B30" s="40"/>
      <c r="C30" s="19" t="s">
        <v>53</v>
      </c>
      <c r="D30" s="40"/>
      <c r="E30" s="40"/>
      <c r="F30" s="40"/>
    </row>
    <row r="31" customHeight="1" spans="1:6">
      <c r="A31" s="3">
        <v>29</v>
      </c>
      <c r="B31" s="40"/>
      <c r="C31" s="19" t="s">
        <v>54</v>
      </c>
      <c r="D31" s="40"/>
      <c r="E31" s="40"/>
      <c r="F31" s="40"/>
    </row>
    <row r="32" customHeight="1" spans="1:6">
      <c r="A32" s="3">
        <v>30</v>
      </c>
      <c r="B32" s="40"/>
      <c r="C32" s="19" t="s">
        <v>56</v>
      </c>
      <c r="D32" s="40"/>
      <c r="E32" s="40"/>
      <c r="F32" s="40"/>
    </row>
    <row r="33" customHeight="1" spans="1:6">
      <c r="A33" s="3">
        <v>31</v>
      </c>
      <c r="B33" s="40"/>
      <c r="C33" s="19" t="s">
        <v>58</v>
      </c>
      <c r="D33" s="40"/>
      <c r="E33" s="40"/>
      <c r="F33" s="40"/>
    </row>
    <row r="34" customHeight="1" spans="1:6">
      <c r="A34" s="3">
        <v>32</v>
      </c>
      <c r="B34" s="40"/>
      <c r="C34" s="19" t="s">
        <v>60</v>
      </c>
      <c r="D34" s="40"/>
      <c r="E34" s="40"/>
      <c r="F34" s="40"/>
    </row>
    <row r="35" customHeight="1" spans="1:6">
      <c r="A35" s="3">
        <v>33</v>
      </c>
      <c r="B35" s="40"/>
      <c r="C35" s="19" t="s">
        <v>20</v>
      </c>
      <c r="D35" s="40"/>
      <c r="E35" s="40"/>
      <c r="F35" s="40"/>
    </row>
    <row r="36" customHeight="1" spans="1:6">
      <c r="A36" s="3">
        <v>34</v>
      </c>
      <c r="B36" s="40"/>
      <c r="C36" s="45" t="s">
        <v>61</v>
      </c>
      <c r="D36" s="40"/>
      <c r="E36" s="40"/>
      <c r="F36" s="40"/>
    </row>
    <row r="37" customHeight="1" spans="1:6">
      <c r="A37" s="3">
        <v>35</v>
      </c>
      <c r="C37" s="37" t="s">
        <v>62</v>
      </c>
    </row>
  </sheetData>
  <mergeCells count="1">
    <mergeCell ref="A1:F1"/>
  </mergeCells>
  <pageMargins left="0.75" right="0.75" top="1" bottom="1" header="0.5" footer="0.5"/>
  <pageSetup paperSize="14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40"/>
  <sheetViews>
    <sheetView tabSelected="1" workbookViewId="0">
      <pane ySplit="2" topLeftCell="A3" activePane="bottomLeft" state="frozen"/>
      <selection/>
      <selection pane="bottomLeft" activeCell="C7" sqref="C7"/>
    </sheetView>
  </sheetViews>
  <sheetFormatPr defaultColWidth="9.14285714285714" defaultRowHeight="23" customHeight="1"/>
  <cols>
    <col min="1" max="1" width="9.14285714285714" style="51"/>
    <col min="2" max="2" width="10.7142857142857" style="51" customWidth="1"/>
    <col min="3" max="3" width="10" style="51" customWidth="1"/>
    <col min="4" max="17" width="7.42857142857143" style="51" customWidth="1"/>
    <col min="18" max="18" width="7" style="51" customWidth="1"/>
    <col min="19" max="19" width="8.28571428571429" style="51" customWidth="1"/>
    <col min="20" max="41" width="7" style="51" customWidth="1"/>
    <col min="42" max="16384" width="9.14285714285714" style="51"/>
  </cols>
  <sheetData>
    <row r="1" s="142" customFormat="1" customHeight="1" spans="1:44">
      <c r="A1" s="145" t="s">
        <v>73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</row>
    <row r="2" s="143" customFormat="1" ht="20" customHeight="1" spans="1:44">
      <c r="A2" s="147" t="s">
        <v>2</v>
      </c>
      <c r="B2" s="147" t="s">
        <v>65</v>
      </c>
      <c r="C2" s="148" t="s">
        <v>74</v>
      </c>
      <c r="D2" s="149">
        <v>46090</v>
      </c>
      <c r="E2" s="149">
        <v>46093</v>
      </c>
      <c r="F2" s="149">
        <v>46097</v>
      </c>
      <c r="G2" s="150">
        <v>46100</v>
      </c>
      <c r="H2" s="150">
        <v>46104</v>
      </c>
      <c r="I2" s="150">
        <v>46107</v>
      </c>
      <c r="J2" s="150">
        <v>46111</v>
      </c>
      <c r="K2" s="150">
        <v>46114</v>
      </c>
      <c r="L2" s="150">
        <v>46119</v>
      </c>
      <c r="M2" s="150">
        <v>46121</v>
      </c>
      <c r="N2" s="150">
        <v>46125</v>
      </c>
      <c r="O2" s="150">
        <v>46128</v>
      </c>
      <c r="P2" s="150">
        <v>46132</v>
      </c>
      <c r="Q2" s="150">
        <v>46135</v>
      </c>
      <c r="R2" s="150"/>
      <c r="S2" s="2"/>
      <c r="T2" s="2"/>
      <c r="U2" s="2" t="s">
        <v>75</v>
      </c>
      <c r="V2" s="2"/>
      <c r="W2" s="151"/>
      <c r="X2" s="6"/>
      <c r="Y2" s="6"/>
      <c r="Z2" s="6"/>
      <c r="AA2" s="6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2" t="s">
        <v>76</v>
      </c>
      <c r="AQ2" s="143" t="s">
        <v>77</v>
      </c>
    </row>
    <row r="3" s="144" customFormat="1" customHeight="1" spans="1:44">
      <c r="A3" s="3">
        <v>1</v>
      </c>
      <c r="B3" s="6" t="s">
        <v>13</v>
      </c>
      <c r="C3" s="76" t="s">
        <v>78</v>
      </c>
      <c r="D3" s="76">
        <v>3</v>
      </c>
      <c r="E3" s="76">
        <v>4</v>
      </c>
      <c r="F3" s="76">
        <v>3</v>
      </c>
      <c r="G3" s="76">
        <v>4</v>
      </c>
      <c r="H3" s="76">
        <v>3</v>
      </c>
      <c r="I3" s="76">
        <v>4</v>
      </c>
      <c r="J3" s="76">
        <v>3</v>
      </c>
      <c r="K3" s="76">
        <v>4</v>
      </c>
      <c r="L3" s="76">
        <v>3</v>
      </c>
      <c r="M3" s="3">
        <v>4</v>
      </c>
      <c r="N3" s="30">
        <v>3</v>
      </c>
      <c r="O3" s="153">
        <v>2</v>
      </c>
      <c r="P3" s="6">
        <v>3</v>
      </c>
      <c r="Q3" s="6">
        <v>2</v>
      </c>
      <c r="R3" s="6"/>
      <c r="S3" s="6"/>
      <c r="T3" s="6"/>
      <c r="U3" s="6">
        <f>SUM(D3:T3)</f>
        <v>45</v>
      </c>
      <c r="V3" s="6">
        <f>100-U3</f>
        <v>55</v>
      </c>
      <c r="W3" s="6"/>
      <c r="X3" s="5"/>
      <c r="Y3" s="6"/>
      <c r="Z3" s="6"/>
      <c r="AA3" s="6"/>
      <c r="AB3" s="76"/>
      <c r="AC3" s="76"/>
      <c r="AD3" s="76"/>
      <c r="AE3" s="76"/>
      <c r="AF3" s="76"/>
      <c r="AG3" s="154"/>
      <c r="AH3" s="76"/>
      <c r="AI3" s="76"/>
      <c r="AJ3" s="76"/>
      <c r="AK3" s="76"/>
      <c r="AL3" s="76"/>
      <c r="AM3" s="76"/>
      <c r="AN3" s="76"/>
      <c r="AO3" s="3"/>
      <c r="AP3" s="3">
        <f t="shared" ref="AP3:AP9" si="0">SUM(D3:AO3)</f>
        <v>145</v>
      </c>
      <c r="AQ3" s="144">
        <f>100-AP3</f>
        <v>-45</v>
      </c>
    </row>
    <row r="4" s="144" customFormat="1" customHeight="1" spans="1:44">
      <c r="A4" s="3">
        <v>2</v>
      </c>
      <c r="B4" s="60" t="s">
        <v>16</v>
      </c>
      <c r="C4" s="76" t="s">
        <v>78</v>
      </c>
      <c r="D4" s="76">
        <v>3</v>
      </c>
      <c r="E4" s="76">
        <v>4</v>
      </c>
      <c r="F4" s="76">
        <v>3</v>
      </c>
      <c r="G4" s="76">
        <v>4</v>
      </c>
      <c r="H4" s="76">
        <v>3</v>
      </c>
      <c r="I4" s="76">
        <v>4</v>
      </c>
      <c r="J4" s="76">
        <v>2</v>
      </c>
      <c r="K4" s="76">
        <v>2</v>
      </c>
      <c r="L4" s="76">
        <v>3</v>
      </c>
      <c r="M4" s="3">
        <v>2</v>
      </c>
      <c r="N4" s="30">
        <v>3</v>
      </c>
      <c r="O4" s="155" t="s">
        <v>79</v>
      </c>
      <c r="P4" s="6">
        <v>3</v>
      </c>
      <c r="Q4" s="6">
        <v>2</v>
      </c>
      <c r="R4" s="6"/>
      <c r="S4" s="60"/>
      <c r="T4" s="6"/>
      <c r="U4" s="6">
        <f t="shared" ref="U4:U38" si="1">SUM(D4:T4)</f>
        <v>38</v>
      </c>
      <c r="V4" s="6">
        <f t="shared" ref="V4:V38" si="2">100-U4</f>
        <v>62</v>
      </c>
      <c r="W4" s="6"/>
      <c r="X4" s="8"/>
      <c r="Y4" s="9"/>
      <c r="Z4" s="6"/>
      <c r="AA4" s="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3"/>
      <c r="AP4" s="3">
        <f t="shared" si="0"/>
        <v>138</v>
      </c>
      <c r="AQ4" s="144">
        <f t="shared" ref="AQ4:AQ9" si="3">130-AP4</f>
        <v>-8</v>
      </c>
      <c r="AR4" s="51" t="s">
        <v>80</v>
      </c>
    </row>
    <row r="5" s="144" customFormat="1" customHeight="1" spans="1:44">
      <c r="A5" s="3">
        <v>3</v>
      </c>
      <c r="B5" s="13" t="s">
        <v>18</v>
      </c>
      <c r="C5" s="76" t="s">
        <v>78</v>
      </c>
      <c r="D5" s="76"/>
      <c r="E5" s="76">
        <v>8</v>
      </c>
      <c r="F5" s="76">
        <v>3</v>
      </c>
      <c r="G5" s="76">
        <v>4</v>
      </c>
      <c r="H5" s="76">
        <v>3</v>
      </c>
      <c r="I5" s="76">
        <v>4</v>
      </c>
      <c r="J5" s="76">
        <v>4</v>
      </c>
      <c r="K5" s="76">
        <v>2</v>
      </c>
      <c r="L5" s="76">
        <v>3</v>
      </c>
      <c r="M5" s="3">
        <v>2</v>
      </c>
      <c r="N5" s="30">
        <v>3</v>
      </c>
      <c r="O5" s="156">
        <v>2</v>
      </c>
      <c r="P5" s="6">
        <v>3</v>
      </c>
      <c r="Q5" s="12">
        <v>2</v>
      </c>
      <c r="R5" s="12"/>
      <c r="S5" s="12"/>
      <c r="T5" s="6"/>
      <c r="U5" s="6">
        <f t="shared" si="1"/>
        <v>43</v>
      </c>
      <c r="V5" s="6">
        <f t="shared" si="2"/>
        <v>57</v>
      </c>
      <c r="W5" s="12"/>
      <c r="X5" s="11"/>
      <c r="Y5" s="9"/>
      <c r="Z5" s="12"/>
      <c r="AA5" s="12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3"/>
      <c r="AP5" s="3">
        <f t="shared" si="0"/>
        <v>143</v>
      </c>
      <c r="AQ5" s="144">
        <f t="shared" si="3"/>
        <v>-13</v>
      </c>
      <c r="AR5" s="51" t="s">
        <v>80</v>
      </c>
    </row>
    <row r="6" s="144" customFormat="1" customHeight="1" spans="1:44">
      <c r="A6" s="3">
        <v>4</v>
      </c>
      <c r="B6" s="19" t="s">
        <v>20</v>
      </c>
      <c r="C6" s="76" t="s">
        <v>78</v>
      </c>
      <c r="D6" s="76"/>
      <c r="E6" s="76"/>
      <c r="F6" s="76"/>
      <c r="G6" s="76"/>
      <c r="H6" s="76">
        <v>3</v>
      </c>
      <c r="I6" s="76">
        <v>4</v>
      </c>
      <c r="J6" s="76">
        <v>3</v>
      </c>
      <c r="K6" s="76">
        <v>4</v>
      </c>
      <c r="L6" s="76">
        <v>3</v>
      </c>
      <c r="M6" s="3">
        <v>4</v>
      </c>
      <c r="N6" s="30">
        <v>3</v>
      </c>
      <c r="O6" s="153">
        <v>2</v>
      </c>
      <c r="P6" s="6">
        <v>3</v>
      </c>
      <c r="Q6" s="6">
        <v>2</v>
      </c>
      <c r="R6" s="6"/>
      <c r="S6" s="6"/>
      <c r="T6" s="6"/>
      <c r="U6" s="6">
        <f t="shared" si="1"/>
        <v>31</v>
      </c>
      <c r="V6" s="6">
        <f t="shared" si="2"/>
        <v>69</v>
      </c>
      <c r="W6" s="6"/>
      <c r="X6" s="5"/>
      <c r="Y6" s="9"/>
      <c r="Z6" s="6"/>
      <c r="AA6" s="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3"/>
      <c r="AP6" s="3">
        <f t="shared" si="0"/>
        <v>131</v>
      </c>
      <c r="AQ6" s="144">
        <f>100-AP6</f>
        <v>-31</v>
      </c>
    </row>
    <row r="7" s="144" customFormat="1" customHeight="1" spans="1:44">
      <c r="A7" s="3">
        <v>5</v>
      </c>
      <c r="B7" s="157" t="s">
        <v>21</v>
      </c>
      <c r="C7" s="76" t="s">
        <v>78</v>
      </c>
      <c r="D7" s="76"/>
      <c r="E7" s="76"/>
      <c r="F7" s="76"/>
      <c r="G7" s="76"/>
      <c r="H7" s="76">
        <v>3</v>
      </c>
      <c r="I7" s="76">
        <v>4</v>
      </c>
      <c r="J7" s="76">
        <v>3</v>
      </c>
      <c r="K7" s="76">
        <v>4</v>
      </c>
      <c r="L7" s="76">
        <v>3</v>
      </c>
      <c r="M7" s="3">
        <v>4</v>
      </c>
      <c r="N7" s="30">
        <v>3</v>
      </c>
      <c r="O7" s="158">
        <v>4</v>
      </c>
      <c r="P7" s="6">
        <v>3</v>
      </c>
      <c r="Q7" s="6">
        <v>4</v>
      </c>
      <c r="R7" s="14"/>
      <c r="S7" s="13"/>
      <c r="T7" s="6"/>
      <c r="U7" s="6">
        <f t="shared" si="1"/>
        <v>35</v>
      </c>
      <c r="V7" s="6">
        <f t="shared" si="2"/>
        <v>65</v>
      </c>
      <c r="W7" s="6"/>
      <c r="X7" s="13"/>
      <c r="Y7" s="9"/>
      <c r="Z7" s="6"/>
      <c r="AA7" s="14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3"/>
      <c r="AP7" s="3">
        <f t="shared" si="0"/>
        <v>135</v>
      </c>
      <c r="AQ7" s="144">
        <f>100-AP7</f>
        <v>-35</v>
      </c>
    </row>
    <row r="8" s="144" customFormat="1" customHeight="1" spans="1:44">
      <c r="A8" s="3">
        <v>6</v>
      </c>
      <c r="B8" s="19" t="s">
        <v>22</v>
      </c>
      <c r="C8" s="76" t="s">
        <v>78</v>
      </c>
      <c r="D8" s="76"/>
      <c r="E8" s="76"/>
      <c r="F8" s="76"/>
      <c r="G8" s="76"/>
      <c r="H8" s="76">
        <v>3</v>
      </c>
      <c r="I8" s="76">
        <v>4</v>
      </c>
      <c r="J8" s="76">
        <v>3</v>
      </c>
      <c r="K8" s="76">
        <v>2</v>
      </c>
      <c r="L8" s="76">
        <v>3</v>
      </c>
      <c r="M8" s="3">
        <v>2</v>
      </c>
      <c r="N8" s="30">
        <v>3</v>
      </c>
      <c r="O8" s="153">
        <v>2</v>
      </c>
      <c r="P8" s="6">
        <v>3</v>
      </c>
      <c r="Q8" s="6">
        <v>2</v>
      </c>
      <c r="R8" s="14"/>
      <c r="S8" s="6"/>
      <c r="T8" s="6"/>
      <c r="U8" s="6">
        <f t="shared" si="1"/>
        <v>27</v>
      </c>
      <c r="V8" s="6">
        <f t="shared" si="2"/>
        <v>73</v>
      </c>
      <c r="W8" s="6"/>
      <c r="X8" s="5"/>
      <c r="Y8" s="9"/>
      <c r="Z8" s="6"/>
      <c r="AA8" s="14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3"/>
      <c r="AP8" s="3">
        <f t="shared" si="0"/>
        <v>127</v>
      </c>
      <c r="AQ8" s="144">
        <f>100-AP8</f>
        <v>-27</v>
      </c>
    </row>
    <row r="9" s="144" customFormat="1" customHeight="1" spans="1:44">
      <c r="A9" s="3">
        <v>7</v>
      </c>
      <c r="B9" s="19" t="s">
        <v>23</v>
      </c>
      <c r="C9" s="76" t="s">
        <v>78</v>
      </c>
      <c r="D9" s="76"/>
      <c r="E9" s="76"/>
      <c r="F9" s="76"/>
      <c r="G9" s="76"/>
      <c r="H9" s="76">
        <v>3</v>
      </c>
      <c r="I9" s="76">
        <v>4</v>
      </c>
      <c r="J9" s="76">
        <v>3</v>
      </c>
      <c r="K9" s="76">
        <v>4</v>
      </c>
      <c r="L9" s="76">
        <v>3</v>
      </c>
      <c r="M9" s="3">
        <v>4</v>
      </c>
      <c r="N9" s="30">
        <v>3</v>
      </c>
      <c r="O9" s="153">
        <v>4</v>
      </c>
      <c r="P9" s="6">
        <v>3</v>
      </c>
      <c r="Q9" s="6">
        <v>4</v>
      </c>
      <c r="R9" s="14"/>
      <c r="S9" s="6"/>
      <c r="T9" s="6"/>
      <c r="U9" s="6">
        <f t="shared" si="1"/>
        <v>35</v>
      </c>
      <c r="V9" s="6">
        <f t="shared" si="2"/>
        <v>65</v>
      </c>
      <c r="W9" s="6"/>
      <c r="X9" s="6"/>
      <c r="Y9" s="9"/>
      <c r="Z9" s="6"/>
      <c r="AA9" s="14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3"/>
      <c r="AP9" s="3">
        <f t="shared" si="0"/>
        <v>135</v>
      </c>
      <c r="AQ9" s="144">
        <f t="shared" si="3"/>
        <v>-5</v>
      </c>
    </row>
    <row r="10" s="144" customFormat="1" customHeight="1" spans="1:44">
      <c r="A10" s="3">
        <v>8</v>
      </c>
      <c r="B10" s="19" t="s">
        <v>24</v>
      </c>
      <c r="C10" s="76" t="s">
        <v>78</v>
      </c>
      <c r="D10" s="76"/>
      <c r="E10" s="76"/>
      <c r="F10" s="76"/>
      <c r="G10" s="76"/>
      <c r="H10" s="76">
        <v>3</v>
      </c>
      <c r="I10" s="76">
        <v>2</v>
      </c>
      <c r="J10" s="76">
        <v>3</v>
      </c>
      <c r="K10" s="76">
        <v>4</v>
      </c>
      <c r="L10" s="76">
        <v>3</v>
      </c>
      <c r="M10" s="3">
        <v>4</v>
      </c>
      <c r="N10" s="30">
        <v>3</v>
      </c>
      <c r="O10" s="153">
        <v>4</v>
      </c>
      <c r="P10" s="6">
        <v>3</v>
      </c>
      <c r="Q10" s="6">
        <v>4</v>
      </c>
      <c r="R10" s="14"/>
      <c r="S10" s="6"/>
      <c r="T10" s="6"/>
      <c r="U10" s="6">
        <f t="shared" si="1"/>
        <v>33</v>
      </c>
      <c r="V10" s="6">
        <f t="shared" si="2"/>
        <v>67</v>
      </c>
      <c r="W10" s="6"/>
      <c r="X10" s="6"/>
      <c r="Y10" s="9"/>
      <c r="Z10" s="6"/>
      <c r="AA10" s="14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3"/>
      <c r="AP10" s="3"/>
    </row>
    <row r="11" customHeight="1" spans="1:44">
      <c r="A11" s="3">
        <v>9</v>
      </c>
      <c r="B11" s="19" t="s">
        <v>26</v>
      </c>
      <c r="C11" s="76" t="s">
        <v>78</v>
      </c>
      <c r="D11" s="76"/>
      <c r="E11" s="76"/>
      <c r="F11" s="76"/>
      <c r="G11" s="76"/>
      <c r="H11" s="76">
        <v>3</v>
      </c>
      <c r="I11" s="76">
        <v>4</v>
      </c>
      <c r="J11" s="76">
        <v>3</v>
      </c>
      <c r="K11" s="76">
        <v>4</v>
      </c>
      <c r="L11" s="76">
        <v>3</v>
      </c>
      <c r="M11" s="3">
        <v>4</v>
      </c>
      <c r="N11" s="30">
        <v>3</v>
      </c>
      <c r="O11" s="153">
        <v>4</v>
      </c>
      <c r="P11" s="6">
        <v>3</v>
      </c>
      <c r="Q11" s="6">
        <v>4</v>
      </c>
      <c r="R11" s="14"/>
      <c r="S11" s="6"/>
      <c r="T11" s="6"/>
      <c r="U11" s="6">
        <f t="shared" si="1"/>
        <v>35</v>
      </c>
      <c r="V11" s="6">
        <f t="shared" si="2"/>
        <v>65</v>
      </c>
      <c r="W11" s="6"/>
      <c r="X11" s="6"/>
      <c r="Y11" s="9"/>
      <c r="Z11" s="6"/>
      <c r="AA11" s="14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30"/>
      <c r="AP11" s="3">
        <f>SUM(D11:AO11)</f>
        <v>135</v>
      </c>
      <c r="AQ11" s="144">
        <f>100-AP11</f>
        <v>-35</v>
      </c>
    </row>
    <row r="12" customHeight="1" spans="1:44">
      <c r="A12" s="3">
        <v>10</v>
      </c>
      <c r="B12" s="19" t="s">
        <v>27</v>
      </c>
      <c r="C12" s="76" t="s">
        <v>78</v>
      </c>
      <c r="D12" s="76"/>
      <c r="E12" s="76"/>
      <c r="F12" s="76"/>
      <c r="G12" s="76"/>
      <c r="H12" s="76">
        <v>3</v>
      </c>
      <c r="I12" s="76">
        <v>4</v>
      </c>
      <c r="J12" s="76">
        <v>3</v>
      </c>
      <c r="K12" s="76">
        <v>4</v>
      </c>
      <c r="L12" s="76">
        <v>3</v>
      </c>
      <c r="M12" s="3">
        <v>4</v>
      </c>
      <c r="N12" s="30">
        <v>3</v>
      </c>
      <c r="O12" s="153">
        <v>2</v>
      </c>
      <c r="P12" s="6">
        <v>3</v>
      </c>
      <c r="Q12" s="6">
        <v>2</v>
      </c>
      <c r="R12" s="14"/>
      <c r="S12" s="6"/>
      <c r="T12" s="6"/>
      <c r="U12" s="6">
        <f t="shared" si="1"/>
        <v>31</v>
      </c>
      <c r="V12" s="6">
        <f t="shared" si="2"/>
        <v>69</v>
      </c>
      <c r="W12" s="6"/>
      <c r="X12" s="5"/>
      <c r="Y12" s="9"/>
      <c r="Z12" s="6"/>
      <c r="AA12" s="14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30"/>
      <c r="AP12" s="3">
        <f>SUM(D12:AO12)</f>
        <v>131</v>
      </c>
      <c r="AQ12" s="144">
        <f>100-AP12</f>
        <v>-31</v>
      </c>
    </row>
    <row r="13" customHeight="1" spans="1:44">
      <c r="A13" s="3">
        <v>11</v>
      </c>
      <c r="B13" s="19" t="s">
        <v>81</v>
      </c>
      <c r="C13" s="76" t="s">
        <v>78</v>
      </c>
      <c r="D13" s="76"/>
      <c r="E13" s="76"/>
      <c r="F13" s="76"/>
      <c r="G13" s="76"/>
      <c r="H13" s="76">
        <v>3</v>
      </c>
      <c r="I13" s="76">
        <v>4</v>
      </c>
      <c r="J13" s="76">
        <v>4</v>
      </c>
      <c r="K13" s="76">
        <v>4</v>
      </c>
      <c r="L13" s="76">
        <v>3</v>
      </c>
      <c r="M13" s="3">
        <v>2</v>
      </c>
      <c r="N13" s="30">
        <v>3</v>
      </c>
      <c r="O13" s="153">
        <v>2</v>
      </c>
      <c r="P13" s="6">
        <v>3</v>
      </c>
      <c r="Q13" s="6">
        <v>2</v>
      </c>
      <c r="R13" s="14"/>
      <c r="S13" s="6"/>
      <c r="T13" s="6"/>
      <c r="U13" s="6">
        <f t="shared" si="1"/>
        <v>30</v>
      </c>
      <c r="V13" s="6">
        <f t="shared" si="2"/>
        <v>70</v>
      </c>
      <c r="W13" s="6"/>
      <c r="X13" s="5"/>
      <c r="Y13" s="9"/>
      <c r="Z13" s="6"/>
      <c r="AA13" s="14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30"/>
      <c r="AP13" s="3">
        <f>SUM(D13:AO13)</f>
        <v>130</v>
      </c>
      <c r="AQ13" s="144">
        <f>130-AP13</f>
        <v>0</v>
      </c>
      <c r="AR13" s="51" t="s">
        <v>80</v>
      </c>
    </row>
    <row r="14" customHeight="1" spans="1:44">
      <c r="A14" s="3">
        <v>12</v>
      </c>
      <c r="B14" s="19" t="s">
        <v>82</v>
      </c>
      <c r="C14" s="76" t="s">
        <v>78</v>
      </c>
      <c r="D14" s="76"/>
      <c r="E14" s="76"/>
      <c r="F14" s="76"/>
      <c r="G14" s="76"/>
      <c r="H14" s="76"/>
      <c r="I14" s="76"/>
      <c r="J14" s="76"/>
      <c r="K14" s="76"/>
      <c r="L14" s="76">
        <v>3</v>
      </c>
      <c r="M14" s="3">
        <v>2</v>
      </c>
      <c r="N14" s="30">
        <v>3</v>
      </c>
      <c r="O14" s="159">
        <v>2</v>
      </c>
      <c r="P14" s="6">
        <v>3</v>
      </c>
      <c r="Q14" s="38">
        <v>2</v>
      </c>
      <c r="R14" s="18"/>
      <c r="S14" s="6"/>
      <c r="T14" s="6"/>
      <c r="U14" s="6">
        <f t="shared" si="1"/>
        <v>15</v>
      </c>
      <c r="V14" s="6">
        <f t="shared" si="2"/>
        <v>85</v>
      </c>
      <c r="W14" s="6"/>
      <c r="X14" s="5"/>
      <c r="Y14" s="9"/>
      <c r="Z14" s="6"/>
      <c r="AA14" s="14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30"/>
      <c r="AP14" s="3"/>
      <c r="AQ14" s="144"/>
    </row>
    <row r="15" customHeight="1" spans="1:44">
      <c r="A15" s="3">
        <v>13</v>
      </c>
      <c r="B15" s="19" t="s">
        <v>30</v>
      </c>
      <c r="C15" s="76" t="s">
        <v>78</v>
      </c>
      <c r="D15" s="76"/>
      <c r="E15" s="76"/>
      <c r="F15" s="76"/>
      <c r="G15" s="76"/>
      <c r="H15" s="76">
        <v>3</v>
      </c>
      <c r="I15" s="76">
        <v>4</v>
      </c>
      <c r="J15" s="76">
        <v>2</v>
      </c>
      <c r="K15" s="76">
        <v>2</v>
      </c>
      <c r="L15" s="76">
        <v>3</v>
      </c>
      <c r="M15" s="3">
        <v>2</v>
      </c>
      <c r="N15" s="30">
        <v>3</v>
      </c>
      <c r="O15" s="159">
        <v>2</v>
      </c>
      <c r="P15" s="6">
        <v>3</v>
      </c>
      <c r="Q15" s="38">
        <v>2</v>
      </c>
      <c r="R15" s="18"/>
      <c r="S15" s="38"/>
      <c r="T15" s="6"/>
      <c r="U15" s="6">
        <f t="shared" si="1"/>
        <v>26</v>
      </c>
      <c r="V15" s="6">
        <f t="shared" si="2"/>
        <v>74</v>
      </c>
      <c r="W15" s="6"/>
      <c r="X15" s="17"/>
      <c r="Y15" s="9"/>
      <c r="Z15" s="6"/>
      <c r="AA15" s="18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30"/>
      <c r="AP15" s="3">
        <f t="shared" ref="AP15:AP21" si="4">SUM(D15:AO15)</f>
        <v>126</v>
      </c>
      <c r="AQ15" s="144">
        <f t="shared" ref="AQ15:AQ21" si="5">100-AP15</f>
        <v>-26</v>
      </c>
    </row>
    <row r="16" customHeight="1" spans="1:44">
      <c r="A16" s="3">
        <v>14</v>
      </c>
      <c r="B16" s="19" t="s">
        <v>32</v>
      </c>
      <c r="C16" s="76" t="s">
        <v>78</v>
      </c>
      <c r="D16" s="76"/>
      <c r="E16" s="76"/>
      <c r="F16" s="76"/>
      <c r="G16" s="76"/>
      <c r="H16" s="76">
        <v>3</v>
      </c>
      <c r="I16" s="76">
        <v>4</v>
      </c>
      <c r="J16" s="76">
        <v>3</v>
      </c>
      <c r="K16" s="76">
        <v>4</v>
      </c>
      <c r="L16" s="76">
        <v>3</v>
      </c>
      <c r="M16" s="3">
        <v>4</v>
      </c>
      <c r="N16" s="30">
        <v>3</v>
      </c>
      <c r="O16" s="160">
        <v>4</v>
      </c>
      <c r="P16" s="6">
        <v>3</v>
      </c>
      <c r="Q16" s="19">
        <v>4</v>
      </c>
      <c r="R16" s="20"/>
      <c r="S16" s="19"/>
      <c r="T16" s="6"/>
      <c r="U16" s="6">
        <f t="shared" si="1"/>
        <v>35</v>
      </c>
      <c r="V16" s="6">
        <f t="shared" si="2"/>
        <v>65</v>
      </c>
      <c r="W16" s="6"/>
      <c r="X16" s="19"/>
      <c r="Y16" s="9"/>
      <c r="Z16" s="6"/>
      <c r="AA16" s="20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30"/>
      <c r="AP16" s="3">
        <f t="shared" si="4"/>
        <v>135</v>
      </c>
      <c r="AQ16" s="144">
        <f t="shared" si="5"/>
        <v>-35</v>
      </c>
    </row>
    <row r="17" customHeight="1" spans="1:44">
      <c r="A17" s="3">
        <v>15</v>
      </c>
      <c r="B17" s="19" t="s">
        <v>33</v>
      </c>
      <c r="C17" s="76" t="s">
        <v>78</v>
      </c>
      <c r="D17" s="76"/>
      <c r="E17" s="76"/>
      <c r="F17" s="76"/>
      <c r="G17" s="76"/>
      <c r="H17" s="76">
        <v>3</v>
      </c>
      <c r="I17" s="76">
        <v>4</v>
      </c>
      <c r="J17" s="76">
        <v>3</v>
      </c>
      <c r="K17" s="76">
        <v>4</v>
      </c>
      <c r="L17" s="76">
        <v>3</v>
      </c>
      <c r="M17" s="3">
        <v>4</v>
      </c>
      <c r="N17" s="30">
        <v>3</v>
      </c>
      <c r="O17" s="160">
        <v>4</v>
      </c>
      <c r="P17" s="6">
        <v>3</v>
      </c>
      <c r="Q17" s="19">
        <v>4</v>
      </c>
      <c r="R17" s="21"/>
      <c r="S17" s="19"/>
      <c r="T17" s="6"/>
      <c r="U17" s="6">
        <f t="shared" si="1"/>
        <v>35</v>
      </c>
      <c r="V17" s="6">
        <f t="shared" si="2"/>
        <v>65</v>
      </c>
      <c r="W17" s="6"/>
      <c r="X17" s="19"/>
      <c r="Y17" s="9"/>
      <c r="Z17" s="6"/>
      <c r="AA17" s="21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30"/>
      <c r="AP17" s="3">
        <f t="shared" si="4"/>
        <v>135</v>
      </c>
      <c r="AQ17" s="144">
        <f t="shared" si="5"/>
        <v>-35</v>
      </c>
    </row>
    <row r="18" customHeight="1" spans="1:44">
      <c r="A18" s="3">
        <v>16</v>
      </c>
      <c r="B18" s="19" t="s">
        <v>34</v>
      </c>
      <c r="C18" s="76" t="s">
        <v>78</v>
      </c>
      <c r="D18" s="76"/>
      <c r="E18" s="76"/>
      <c r="F18" s="76"/>
      <c r="G18" s="76"/>
      <c r="H18" s="76">
        <v>3</v>
      </c>
      <c r="I18" s="76">
        <v>4</v>
      </c>
      <c r="J18" s="76">
        <v>3</v>
      </c>
      <c r="K18" s="76">
        <v>4</v>
      </c>
      <c r="L18" s="76">
        <v>3</v>
      </c>
      <c r="M18" s="3">
        <v>4</v>
      </c>
      <c r="N18" s="30">
        <v>3</v>
      </c>
      <c r="O18" s="160">
        <v>4</v>
      </c>
      <c r="P18" s="6">
        <v>3</v>
      </c>
      <c r="Q18" s="19">
        <v>4</v>
      </c>
      <c r="R18" s="20"/>
      <c r="S18" s="19"/>
      <c r="T18" s="6"/>
      <c r="U18" s="6">
        <f t="shared" si="1"/>
        <v>35</v>
      </c>
      <c r="V18" s="6">
        <f t="shared" si="2"/>
        <v>65</v>
      </c>
      <c r="W18" s="19"/>
      <c r="X18" s="19"/>
      <c r="Y18" s="9"/>
      <c r="Z18" s="19"/>
      <c r="AA18" s="20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30"/>
      <c r="AP18" s="3">
        <f t="shared" si="4"/>
        <v>135</v>
      </c>
      <c r="AQ18" s="144">
        <f t="shared" si="5"/>
        <v>-35</v>
      </c>
    </row>
    <row r="19" customHeight="1" spans="1:44">
      <c r="A19" s="3">
        <v>17</v>
      </c>
      <c r="B19" s="19" t="s">
        <v>36</v>
      </c>
      <c r="C19" s="76" t="s">
        <v>78</v>
      </c>
      <c r="D19" s="76"/>
      <c r="E19" s="76"/>
      <c r="F19" s="76"/>
      <c r="G19" s="76"/>
      <c r="H19" s="76">
        <v>3</v>
      </c>
      <c r="I19" s="76">
        <v>4</v>
      </c>
      <c r="J19" s="76">
        <v>3</v>
      </c>
      <c r="K19" s="76">
        <v>4</v>
      </c>
      <c r="L19" s="76">
        <v>3</v>
      </c>
      <c r="M19" s="3">
        <v>4</v>
      </c>
      <c r="N19" s="161">
        <v>3</v>
      </c>
      <c r="O19" s="160">
        <v>4</v>
      </c>
      <c r="P19" s="6">
        <v>3</v>
      </c>
      <c r="Q19" s="19">
        <v>4</v>
      </c>
      <c r="R19" s="20"/>
      <c r="S19" s="19"/>
      <c r="T19" s="6"/>
      <c r="U19" s="6">
        <f t="shared" si="1"/>
        <v>35</v>
      </c>
      <c r="V19" s="6">
        <f t="shared" si="2"/>
        <v>65</v>
      </c>
      <c r="W19" s="19"/>
      <c r="X19" s="19"/>
      <c r="Y19" s="9"/>
      <c r="Z19" s="19"/>
      <c r="AA19" s="20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30"/>
      <c r="AP19" s="3">
        <f t="shared" si="4"/>
        <v>135</v>
      </c>
      <c r="AQ19" s="144">
        <f t="shared" si="5"/>
        <v>-35</v>
      </c>
    </row>
    <row r="20" customHeight="1" spans="1:44">
      <c r="A20" s="3">
        <v>18</v>
      </c>
      <c r="B20" s="45" t="s">
        <v>37</v>
      </c>
      <c r="C20" s="76" t="s">
        <v>78</v>
      </c>
      <c r="D20" s="76"/>
      <c r="E20" s="76"/>
      <c r="F20" s="76"/>
      <c r="G20" s="76"/>
      <c r="H20" s="76">
        <v>6</v>
      </c>
      <c r="I20" s="76">
        <v>8</v>
      </c>
      <c r="J20" s="76">
        <v>4</v>
      </c>
      <c r="K20" s="76">
        <v>4</v>
      </c>
      <c r="L20" s="76">
        <v>6</v>
      </c>
      <c r="M20" s="3">
        <v>4</v>
      </c>
      <c r="N20" s="161">
        <v>6</v>
      </c>
      <c r="O20" s="62">
        <v>4</v>
      </c>
      <c r="P20" s="6">
        <v>6</v>
      </c>
      <c r="Q20" s="23">
        <v>4</v>
      </c>
      <c r="R20" s="24"/>
      <c r="S20" s="62"/>
      <c r="T20" s="6"/>
      <c r="U20" s="6">
        <f t="shared" si="1"/>
        <v>52</v>
      </c>
      <c r="V20" s="6">
        <f t="shared" si="2"/>
        <v>48</v>
      </c>
      <c r="W20" s="23"/>
      <c r="X20" s="22"/>
      <c r="Y20" s="9"/>
      <c r="Z20" s="23"/>
      <c r="AA20" s="24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30"/>
      <c r="AP20" s="3">
        <f t="shared" si="4"/>
        <v>152</v>
      </c>
      <c r="AQ20" s="144">
        <f t="shared" si="5"/>
        <v>-52</v>
      </c>
    </row>
    <row r="21" customHeight="1" spans="1:44">
      <c r="A21" s="3">
        <v>19</v>
      </c>
      <c r="B21" s="37" t="s">
        <v>83</v>
      </c>
      <c r="C21" s="76" t="s">
        <v>78</v>
      </c>
      <c r="D21" s="76"/>
      <c r="E21" s="76"/>
      <c r="F21" s="76"/>
      <c r="G21" s="76"/>
      <c r="H21" s="76">
        <v>6</v>
      </c>
      <c r="I21" s="76">
        <v>8</v>
      </c>
      <c r="J21" s="76">
        <v>4</v>
      </c>
      <c r="K21" s="76">
        <v>4</v>
      </c>
      <c r="L21" s="76">
        <v>6</v>
      </c>
      <c r="M21" s="3">
        <v>4</v>
      </c>
      <c r="N21" s="161">
        <v>6</v>
      </c>
      <c r="O21" s="45">
        <v>4</v>
      </c>
      <c r="P21" s="6">
        <v>6</v>
      </c>
      <c r="Q21" s="23">
        <v>4</v>
      </c>
      <c r="R21" s="24"/>
      <c r="S21" s="45"/>
      <c r="T21" s="6"/>
      <c r="U21" s="6">
        <f t="shared" si="1"/>
        <v>52</v>
      </c>
      <c r="V21" s="6">
        <f t="shared" si="2"/>
        <v>48</v>
      </c>
      <c r="W21" s="23"/>
      <c r="X21" s="25"/>
      <c r="Y21" s="9"/>
      <c r="Z21" s="23"/>
      <c r="AA21" s="24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30"/>
      <c r="AP21" s="3">
        <f t="shared" si="4"/>
        <v>152</v>
      </c>
      <c r="AQ21" s="144">
        <f t="shared" si="5"/>
        <v>-52</v>
      </c>
    </row>
    <row r="22" customHeight="1" spans="1:44">
      <c r="A22" s="3">
        <v>20</v>
      </c>
      <c r="B22" s="6" t="s">
        <v>39</v>
      </c>
      <c r="C22" s="76" t="s">
        <v>78</v>
      </c>
      <c r="D22" s="76"/>
      <c r="E22" s="76"/>
      <c r="F22" s="76"/>
      <c r="G22" s="76"/>
      <c r="H22" s="76">
        <v>3</v>
      </c>
      <c r="I22" s="76">
        <v>4</v>
      </c>
      <c r="J22" s="76">
        <v>3</v>
      </c>
      <c r="K22" s="76">
        <v>4</v>
      </c>
      <c r="L22" s="76">
        <v>3</v>
      </c>
      <c r="M22" s="26">
        <v>4</v>
      </c>
      <c r="N22" s="161">
        <v>3</v>
      </c>
      <c r="O22" s="23">
        <v>2</v>
      </c>
      <c r="P22" s="6">
        <v>3</v>
      </c>
      <c r="Q22" s="28">
        <v>2</v>
      </c>
      <c r="R22" s="28"/>
      <c r="S22" s="23"/>
      <c r="T22" s="6"/>
      <c r="U22" s="6">
        <f t="shared" si="1"/>
        <v>31</v>
      </c>
      <c r="V22" s="6">
        <f t="shared" si="2"/>
        <v>69</v>
      </c>
      <c r="W22" s="28"/>
      <c r="X22" s="27"/>
      <c r="Y22" s="9"/>
      <c r="Z22" s="28"/>
      <c r="AA22" s="28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30"/>
      <c r="AP22" s="3">
        <f t="shared" ref="AP22:AP33" si="6">SUM(D22:AO22)</f>
        <v>131</v>
      </c>
      <c r="AQ22" s="144">
        <f>130-AP22</f>
        <v>-1</v>
      </c>
      <c r="AR22" s="51" t="s">
        <v>80</v>
      </c>
    </row>
    <row r="23" customHeight="1" spans="1:44">
      <c r="A23" s="3">
        <v>21</v>
      </c>
      <c r="B23" s="6" t="s">
        <v>41</v>
      </c>
      <c r="C23" s="76" t="s">
        <v>78</v>
      </c>
      <c r="D23" s="76"/>
      <c r="E23" s="76"/>
      <c r="F23" s="76"/>
      <c r="G23" s="76"/>
      <c r="H23" s="76"/>
      <c r="I23" s="76">
        <v>8</v>
      </c>
      <c r="J23" s="76">
        <v>6</v>
      </c>
      <c r="K23" s="76">
        <v>8</v>
      </c>
      <c r="L23" s="76">
        <v>6</v>
      </c>
      <c r="M23" s="26">
        <v>8</v>
      </c>
      <c r="N23" s="161">
        <v>6</v>
      </c>
      <c r="O23" s="19">
        <v>8</v>
      </c>
      <c r="P23" s="6">
        <v>6</v>
      </c>
      <c r="Q23" s="30">
        <v>8</v>
      </c>
      <c r="R23" s="30"/>
      <c r="S23" s="19"/>
      <c r="T23" s="6"/>
      <c r="U23" s="6">
        <f t="shared" si="1"/>
        <v>64</v>
      </c>
      <c r="V23" s="6">
        <f t="shared" si="2"/>
        <v>36</v>
      </c>
      <c r="W23" s="30"/>
      <c r="X23" s="19"/>
      <c r="Y23" s="9"/>
      <c r="Z23" s="30"/>
      <c r="AA23" s="30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30"/>
      <c r="AP23" s="3">
        <f t="shared" si="6"/>
        <v>164</v>
      </c>
      <c r="AQ23" s="144">
        <f t="shared" ref="AQ22:AQ33" si="7">100-AP23</f>
        <v>-64</v>
      </c>
    </row>
    <row r="24" customHeight="1" spans="1:44">
      <c r="A24" s="3">
        <v>22</v>
      </c>
      <c r="B24" s="6" t="s">
        <v>43</v>
      </c>
      <c r="C24" s="76" t="s">
        <v>78</v>
      </c>
      <c r="D24" s="76"/>
      <c r="E24" s="76"/>
      <c r="F24" s="76"/>
      <c r="G24" s="76"/>
      <c r="H24" s="76"/>
      <c r="I24" s="76">
        <v>4</v>
      </c>
      <c r="J24" s="76">
        <v>3</v>
      </c>
      <c r="K24" s="76">
        <v>4</v>
      </c>
      <c r="L24" s="76">
        <v>3</v>
      </c>
      <c r="M24" s="26">
        <v>4</v>
      </c>
      <c r="N24" s="161">
        <v>3</v>
      </c>
      <c r="O24" s="19">
        <v>4</v>
      </c>
      <c r="P24" s="6">
        <v>3</v>
      </c>
      <c r="Q24" s="30">
        <v>4</v>
      </c>
      <c r="R24" s="30"/>
      <c r="S24" s="19"/>
      <c r="T24" s="6"/>
      <c r="U24" s="6">
        <f t="shared" si="1"/>
        <v>32</v>
      </c>
      <c r="V24" s="6">
        <f t="shared" si="2"/>
        <v>68</v>
      </c>
      <c r="W24" s="30"/>
      <c r="X24" s="19"/>
      <c r="Y24" s="9"/>
      <c r="Z24" s="30"/>
      <c r="AA24" s="30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30"/>
      <c r="AP24" s="3">
        <f t="shared" si="6"/>
        <v>132</v>
      </c>
      <c r="AQ24" s="144">
        <f t="shared" si="7"/>
        <v>-32</v>
      </c>
    </row>
    <row r="25" customHeight="1" spans="1:44">
      <c r="A25" s="3">
        <v>23</v>
      </c>
      <c r="B25" s="6" t="s">
        <v>44</v>
      </c>
      <c r="C25" s="76" t="s">
        <v>78</v>
      </c>
      <c r="D25" s="76"/>
      <c r="E25" s="76"/>
      <c r="F25" s="76"/>
      <c r="G25" s="76"/>
      <c r="H25" s="76"/>
      <c r="I25" s="76">
        <v>8</v>
      </c>
      <c r="J25" s="76">
        <v>6</v>
      </c>
      <c r="K25" s="76">
        <v>8</v>
      </c>
      <c r="L25" s="76">
        <v>6</v>
      </c>
      <c r="M25" s="26">
        <v>8</v>
      </c>
      <c r="N25" s="161">
        <v>6</v>
      </c>
      <c r="O25" s="19">
        <v>4</v>
      </c>
      <c r="P25" s="6">
        <v>6</v>
      </c>
      <c r="Q25" s="30">
        <v>4</v>
      </c>
      <c r="R25" s="30"/>
      <c r="S25" s="19"/>
      <c r="T25" s="6"/>
      <c r="U25" s="6">
        <f t="shared" si="1"/>
        <v>56</v>
      </c>
      <c r="V25" s="6">
        <f t="shared" si="2"/>
        <v>44</v>
      </c>
      <c r="W25" s="30"/>
      <c r="X25" s="32"/>
      <c r="Y25" s="9"/>
      <c r="Z25" s="30"/>
      <c r="AA25" s="30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30"/>
      <c r="AP25" s="3">
        <f t="shared" si="6"/>
        <v>156</v>
      </c>
      <c r="AQ25" s="144">
        <f t="shared" si="7"/>
        <v>-56</v>
      </c>
    </row>
    <row r="26" customHeight="1" spans="1:44">
      <c r="A26" s="3">
        <v>24</v>
      </c>
      <c r="B26" s="6" t="s">
        <v>45</v>
      </c>
      <c r="C26" s="76" t="s">
        <v>78</v>
      </c>
      <c r="D26" s="76"/>
      <c r="E26" s="76"/>
      <c r="F26" s="76"/>
      <c r="G26" s="76"/>
      <c r="H26" s="76"/>
      <c r="I26" s="76">
        <v>4</v>
      </c>
      <c r="J26" s="76">
        <v>3</v>
      </c>
      <c r="K26" s="76">
        <v>4</v>
      </c>
      <c r="L26" s="76">
        <v>3</v>
      </c>
      <c r="M26" s="26">
        <v>4</v>
      </c>
      <c r="N26" s="161">
        <v>3</v>
      </c>
      <c r="O26" s="19">
        <v>4</v>
      </c>
      <c r="P26" s="6">
        <v>3</v>
      </c>
      <c r="Q26" s="30">
        <v>4</v>
      </c>
      <c r="R26" s="30"/>
      <c r="S26" s="19"/>
      <c r="T26" s="6"/>
      <c r="U26" s="6">
        <f t="shared" si="1"/>
        <v>32</v>
      </c>
      <c r="V26" s="6">
        <f t="shared" si="2"/>
        <v>68</v>
      </c>
      <c r="W26" s="30"/>
      <c r="X26" s="19"/>
      <c r="Y26" s="9"/>
      <c r="Z26" s="30"/>
      <c r="AA26" s="30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30"/>
      <c r="AP26" s="3">
        <f t="shared" si="6"/>
        <v>132</v>
      </c>
      <c r="AQ26" s="144">
        <f t="shared" si="7"/>
        <v>-32</v>
      </c>
      <c r="AR26" s="51" t="s">
        <v>80</v>
      </c>
    </row>
    <row r="27" customHeight="1" spans="1:44">
      <c r="A27" s="3">
        <v>25</v>
      </c>
      <c r="B27" s="6" t="s">
        <v>46</v>
      </c>
      <c r="C27" s="76" t="s">
        <v>78</v>
      </c>
      <c r="D27" s="76"/>
      <c r="E27" s="76"/>
      <c r="F27" s="76"/>
      <c r="G27" s="76"/>
      <c r="H27" s="76"/>
      <c r="I27" s="76">
        <v>8</v>
      </c>
      <c r="J27" s="76">
        <v>4</v>
      </c>
      <c r="K27" s="76">
        <v>4</v>
      </c>
      <c r="L27" s="76">
        <v>6</v>
      </c>
      <c r="M27" s="26">
        <v>4</v>
      </c>
      <c r="N27" s="161">
        <v>6</v>
      </c>
      <c r="O27" s="23">
        <v>4</v>
      </c>
      <c r="P27" s="6">
        <v>6</v>
      </c>
      <c r="Q27" s="28">
        <v>4</v>
      </c>
      <c r="R27" s="28"/>
      <c r="S27" s="23"/>
      <c r="T27" s="6"/>
      <c r="U27" s="6">
        <f t="shared" si="1"/>
        <v>46</v>
      </c>
      <c r="V27" s="6">
        <f t="shared" si="2"/>
        <v>54</v>
      </c>
      <c r="W27" s="28"/>
      <c r="X27" s="27"/>
      <c r="Y27" s="9"/>
      <c r="Z27" s="28"/>
      <c r="AA27" s="28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30"/>
      <c r="AP27" s="3">
        <f t="shared" si="6"/>
        <v>146</v>
      </c>
      <c r="AQ27" s="144">
        <f t="shared" ref="AQ27:AQ33" si="8">130-AP27</f>
        <v>-16</v>
      </c>
      <c r="AR27" s="51" t="s">
        <v>80</v>
      </c>
    </row>
    <row r="28" customHeight="1" spans="1:44">
      <c r="A28" s="3">
        <v>26</v>
      </c>
      <c r="B28" s="6" t="s">
        <v>48</v>
      </c>
      <c r="C28" s="76" t="s">
        <v>78</v>
      </c>
      <c r="D28" s="76"/>
      <c r="E28" s="76"/>
      <c r="F28" s="28"/>
      <c r="G28" s="28"/>
      <c r="H28" s="162"/>
      <c r="I28" s="162">
        <v>4</v>
      </c>
      <c r="J28" s="162">
        <v>4</v>
      </c>
      <c r="K28" s="162">
        <v>4</v>
      </c>
      <c r="L28" s="162">
        <v>3</v>
      </c>
      <c r="M28" s="3">
        <v>2</v>
      </c>
      <c r="N28" s="161">
        <v>3</v>
      </c>
      <c r="O28" s="19">
        <v>2</v>
      </c>
      <c r="P28" s="6">
        <v>3</v>
      </c>
      <c r="Q28" s="30">
        <v>2</v>
      </c>
      <c r="R28" s="30"/>
      <c r="S28" s="19"/>
      <c r="T28" s="6"/>
      <c r="U28" s="6">
        <f t="shared" si="1"/>
        <v>27</v>
      </c>
      <c r="V28" s="6">
        <f t="shared" si="2"/>
        <v>73</v>
      </c>
      <c r="W28" s="30"/>
      <c r="X28" s="32"/>
      <c r="Y28" s="9"/>
      <c r="Z28" s="30"/>
      <c r="AA28" s="30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28"/>
      <c r="AP28" s="26">
        <f t="shared" si="6"/>
        <v>127</v>
      </c>
      <c r="AQ28" s="144">
        <f t="shared" si="7"/>
        <v>-27</v>
      </c>
    </row>
    <row r="29" customHeight="1" spans="1:44">
      <c r="A29" s="3">
        <v>27</v>
      </c>
      <c r="B29" s="6" t="s">
        <v>49</v>
      </c>
      <c r="C29" s="76" t="s">
        <v>78</v>
      </c>
      <c r="D29" s="76"/>
      <c r="E29" s="76"/>
      <c r="F29" s="30"/>
      <c r="G29" s="30"/>
      <c r="H29" s="76"/>
      <c r="I29" s="76">
        <v>8</v>
      </c>
      <c r="J29" s="76">
        <v>6</v>
      </c>
      <c r="K29" s="76">
        <v>8</v>
      </c>
      <c r="L29" s="76">
        <v>6</v>
      </c>
      <c r="M29" s="34">
        <v>8</v>
      </c>
      <c r="N29" s="161">
        <v>6</v>
      </c>
      <c r="O29" s="19">
        <v>8</v>
      </c>
      <c r="P29" s="6">
        <v>6</v>
      </c>
      <c r="Q29" s="30">
        <v>8</v>
      </c>
      <c r="R29" s="35"/>
      <c r="S29" s="19"/>
      <c r="T29" s="6"/>
      <c r="U29" s="6">
        <f t="shared" si="1"/>
        <v>64</v>
      </c>
      <c r="V29" s="6">
        <f t="shared" si="2"/>
        <v>36</v>
      </c>
      <c r="W29" s="30"/>
      <c r="X29" s="19"/>
      <c r="Y29" s="9"/>
      <c r="Z29" s="30"/>
      <c r="AA29" s="35"/>
      <c r="AB29" s="76"/>
      <c r="AC29" s="76"/>
      <c r="AD29" s="76"/>
      <c r="AE29" s="76"/>
      <c r="AF29" s="162"/>
      <c r="AG29" s="162"/>
      <c r="AH29" s="162"/>
      <c r="AI29" s="162"/>
      <c r="AJ29" s="162"/>
      <c r="AK29" s="162"/>
      <c r="AL29" s="162"/>
      <c r="AM29" s="162"/>
      <c r="AN29" s="162"/>
      <c r="AO29" s="30"/>
      <c r="AP29" s="3">
        <f t="shared" si="6"/>
        <v>164</v>
      </c>
      <c r="AQ29" s="144">
        <f t="shared" si="7"/>
        <v>-64</v>
      </c>
    </row>
    <row r="30" customHeight="1" spans="1:44">
      <c r="A30" s="3">
        <v>28</v>
      </c>
      <c r="B30" s="6" t="s">
        <v>51</v>
      </c>
      <c r="C30" s="76" t="s">
        <v>78</v>
      </c>
      <c r="D30" s="76"/>
      <c r="E30" s="76"/>
      <c r="F30" s="30"/>
      <c r="G30" s="30"/>
      <c r="H30" s="76"/>
      <c r="I30" s="76">
        <v>8</v>
      </c>
      <c r="J30" s="76">
        <v>6</v>
      </c>
      <c r="K30" s="76">
        <v>8</v>
      </c>
      <c r="L30" s="76">
        <v>6</v>
      </c>
      <c r="M30" s="34">
        <v>8</v>
      </c>
      <c r="N30" s="161">
        <v>6</v>
      </c>
      <c r="O30" s="6">
        <v>8</v>
      </c>
      <c r="P30" s="6">
        <v>3</v>
      </c>
      <c r="Q30" s="6">
        <v>4</v>
      </c>
      <c r="R30" s="6"/>
      <c r="S30" s="6"/>
      <c r="T30" s="6"/>
      <c r="U30" s="6">
        <f t="shared" si="1"/>
        <v>57</v>
      </c>
      <c r="V30" s="6">
        <f t="shared" si="2"/>
        <v>43</v>
      </c>
      <c r="W30" s="6"/>
      <c r="X30" s="6"/>
      <c r="Y30" s="9"/>
      <c r="Z30" s="6"/>
      <c r="AA30" s="6"/>
      <c r="AB30" s="76"/>
      <c r="AC30" s="76"/>
      <c r="AD30" s="76"/>
      <c r="AE30" s="76"/>
      <c r="AF30" s="162"/>
      <c r="AG30" s="162"/>
      <c r="AH30" s="162"/>
      <c r="AI30" s="162"/>
      <c r="AJ30" s="162"/>
      <c r="AK30" s="162"/>
      <c r="AL30" s="162"/>
      <c r="AM30" s="162"/>
      <c r="AN30" s="162"/>
      <c r="AO30" s="30"/>
      <c r="AP30" s="3">
        <f t="shared" si="6"/>
        <v>157</v>
      </c>
      <c r="AQ30" s="144">
        <f t="shared" si="7"/>
        <v>-57</v>
      </c>
    </row>
    <row r="31" customHeight="1" spans="1:44">
      <c r="A31" s="3">
        <v>29</v>
      </c>
      <c r="B31" s="6" t="s">
        <v>53</v>
      </c>
      <c r="C31" s="76" t="s">
        <v>78</v>
      </c>
      <c r="D31" s="76"/>
      <c r="E31" s="76"/>
      <c r="F31" s="30"/>
      <c r="G31" s="30"/>
      <c r="H31" s="76"/>
      <c r="I31" s="76">
        <v>8</v>
      </c>
      <c r="J31" s="76">
        <v>8</v>
      </c>
      <c r="K31" s="76">
        <v>4</v>
      </c>
      <c r="L31" s="76">
        <v>6</v>
      </c>
      <c r="M31" s="34">
        <v>4</v>
      </c>
      <c r="N31" s="161">
        <v>6</v>
      </c>
      <c r="O31" s="6">
        <v>4</v>
      </c>
      <c r="P31" s="6">
        <v>6</v>
      </c>
      <c r="Q31" s="6">
        <v>4</v>
      </c>
      <c r="R31" s="6"/>
      <c r="S31" s="6"/>
      <c r="T31" s="6"/>
      <c r="U31" s="6">
        <f t="shared" si="1"/>
        <v>50</v>
      </c>
      <c r="V31" s="6">
        <f t="shared" si="2"/>
        <v>50</v>
      </c>
      <c r="W31" s="6"/>
      <c r="X31" s="5"/>
      <c r="Y31" s="9"/>
      <c r="Z31" s="6"/>
      <c r="AA31" s="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30"/>
      <c r="AP31" s="3">
        <f t="shared" si="6"/>
        <v>150</v>
      </c>
      <c r="AQ31" s="144">
        <f t="shared" si="8"/>
        <v>-20</v>
      </c>
      <c r="AR31" s="51" t="s">
        <v>80</v>
      </c>
    </row>
    <row r="32" customHeight="1" spans="1:44">
      <c r="A32" s="3">
        <v>30</v>
      </c>
      <c r="B32" s="6" t="s">
        <v>54</v>
      </c>
      <c r="C32" s="76" t="s">
        <v>78</v>
      </c>
      <c r="D32" s="76"/>
      <c r="E32" s="76"/>
      <c r="F32" s="30"/>
      <c r="G32" s="30"/>
      <c r="H32" s="30"/>
      <c r="I32" s="30">
        <v>4</v>
      </c>
      <c r="J32" s="76">
        <v>3</v>
      </c>
      <c r="K32" s="76">
        <v>4</v>
      </c>
      <c r="L32" s="76">
        <v>6</v>
      </c>
      <c r="M32" s="34">
        <v>8</v>
      </c>
      <c r="N32" s="161">
        <v>3</v>
      </c>
      <c r="O32" s="6">
        <v>8</v>
      </c>
      <c r="P32" s="6">
        <v>3</v>
      </c>
      <c r="Q32" s="6">
        <v>4</v>
      </c>
      <c r="R32" s="37"/>
      <c r="S32" s="6"/>
      <c r="T32" s="6"/>
      <c r="U32" s="6">
        <f t="shared" si="1"/>
        <v>43</v>
      </c>
      <c r="V32" s="6">
        <f t="shared" si="2"/>
        <v>57</v>
      </c>
      <c r="W32" s="6"/>
      <c r="X32" s="6"/>
      <c r="Y32" s="9"/>
      <c r="Z32" s="6"/>
      <c r="AA32" s="37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30"/>
      <c r="AP32" s="3">
        <f t="shared" si="6"/>
        <v>143</v>
      </c>
      <c r="AQ32" s="144">
        <f t="shared" si="8"/>
        <v>-13</v>
      </c>
      <c r="AR32" s="51" t="s">
        <v>80</v>
      </c>
    </row>
    <row r="33" customHeight="1" spans="1:44">
      <c r="A33" s="3">
        <v>31</v>
      </c>
      <c r="B33" s="6" t="s">
        <v>56</v>
      </c>
      <c r="C33" s="76" t="s">
        <v>78</v>
      </c>
      <c r="D33" s="76"/>
      <c r="E33" s="76"/>
      <c r="F33" s="30"/>
      <c r="G33" s="30"/>
      <c r="H33" s="30"/>
      <c r="I33" s="30">
        <v>4</v>
      </c>
      <c r="J33" s="30">
        <v>3</v>
      </c>
      <c r="K33" s="30">
        <v>4</v>
      </c>
      <c r="L33" s="30">
        <v>3</v>
      </c>
      <c r="M33" s="34">
        <v>4</v>
      </c>
      <c r="N33" s="161">
        <v>6</v>
      </c>
      <c r="O33" s="6">
        <v>4</v>
      </c>
      <c r="P33" s="6">
        <v>6</v>
      </c>
      <c r="Q33" s="6">
        <v>4</v>
      </c>
      <c r="R33" s="37"/>
      <c r="S33" s="6"/>
      <c r="T33" s="6"/>
      <c r="U33" s="6">
        <f t="shared" si="1"/>
        <v>38</v>
      </c>
      <c r="V33" s="6">
        <f t="shared" si="2"/>
        <v>62</v>
      </c>
      <c r="W33" s="6"/>
      <c r="X33" s="6"/>
      <c r="Y33" s="9"/>
      <c r="Z33" s="6"/>
      <c r="AA33" s="37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>
        <f t="shared" si="6"/>
        <v>138</v>
      </c>
      <c r="AQ33" s="144">
        <f t="shared" si="8"/>
        <v>-8</v>
      </c>
      <c r="AR33" s="51" t="s">
        <v>80</v>
      </c>
    </row>
    <row r="34" customHeight="1" spans="1:44">
      <c r="A34" s="3">
        <v>32</v>
      </c>
      <c r="B34" s="6" t="s">
        <v>58</v>
      </c>
      <c r="C34" s="76" t="s">
        <v>78</v>
      </c>
      <c r="D34" s="76"/>
      <c r="E34" s="76"/>
      <c r="F34" s="30"/>
      <c r="G34" s="30"/>
      <c r="H34" s="30"/>
      <c r="I34" s="30">
        <v>16</v>
      </c>
      <c r="J34" s="30">
        <v>6</v>
      </c>
      <c r="K34" s="30">
        <v>8</v>
      </c>
      <c r="L34" s="30">
        <v>6</v>
      </c>
      <c r="M34" s="34">
        <v>8</v>
      </c>
      <c r="N34" s="161">
        <v>12</v>
      </c>
      <c r="O34" s="6">
        <v>16</v>
      </c>
      <c r="P34" s="6">
        <v>12</v>
      </c>
      <c r="Q34" s="6">
        <v>16</v>
      </c>
      <c r="R34" s="6"/>
      <c r="S34" s="6"/>
      <c r="T34" s="6"/>
      <c r="U34" s="6">
        <f t="shared" si="1"/>
        <v>100</v>
      </c>
      <c r="V34" s="6">
        <f t="shared" si="2"/>
        <v>0</v>
      </c>
      <c r="W34" s="6"/>
      <c r="X34" s="6"/>
      <c r="Y34" s="9"/>
      <c r="Z34" s="6"/>
      <c r="AA34" s="6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</row>
    <row r="35" customHeight="1" spans="1:44">
      <c r="A35" s="3">
        <v>33</v>
      </c>
      <c r="B35" s="6" t="s">
        <v>60</v>
      </c>
      <c r="C35" s="76" t="s">
        <v>78</v>
      </c>
      <c r="D35" s="76"/>
      <c r="E35" s="76"/>
      <c r="F35" s="28"/>
      <c r="G35" s="28"/>
      <c r="H35" s="28"/>
      <c r="I35" s="28">
        <v>8</v>
      </c>
      <c r="J35" s="28">
        <v>6</v>
      </c>
      <c r="K35" s="28">
        <v>4</v>
      </c>
      <c r="L35" s="28">
        <v>6</v>
      </c>
      <c r="M35" s="26">
        <v>4</v>
      </c>
      <c r="N35" s="161">
        <v>6</v>
      </c>
      <c r="O35" s="38">
        <v>4</v>
      </c>
      <c r="P35" s="38">
        <v>6</v>
      </c>
      <c r="Q35" s="38">
        <v>4</v>
      </c>
      <c r="R35" s="38"/>
      <c r="S35" s="38"/>
      <c r="T35" s="6"/>
      <c r="U35" s="6">
        <f t="shared" si="1"/>
        <v>48</v>
      </c>
      <c r="V35" s="6">
        <f t="shared" si="2"/>
        <v>52</v>
      </c>
      <c r="W35" s="38"/>
      <c r="X35" s="17"/>
      <c r="Y35" s="9"/>
      <c r="Z35" s="38"/>
      <c r="AA35" s="38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</row>
    <row r="36" customHeight="1" spans="1:44">
      <c r="A36" s="3">
        <v>34</v>
      </c>
      <c r="B36" s="19" t="s">
        <v>20</v>
      </c>
      <c r="C36" s="76" t="s">
        <v>78</v>
      </c>
      <c r="D36" s="76"/>
      <c r="E36" s="76"/>
      <c r="F36" s="30"/>
      <c r="G36" s="30"/>
      <c r="H36" s="30"/>
      <c r="I36" s="30"/>
      <c r="J36" s="30">
        <v>3</v>
      </c>
      <c r="K36" s="30">
        <v>4</v>
      </c>
      <c r="L36" s="30">
        <v>3</v>
      </c>
      <c r="M36" s="3">
        <v>4</v>
      </c>
      <c r="N36" s="161">
        <v>3</v>
      </c>
      <c r="O36" s="19">
        <v>2</v>
      </c>
      <c r="P36" s="163">
        <v>3</v>
      </c>
      <c r="Q36" s="163">
        <v>2</v>
      </c>
      <c r="R36" s="40"/>
      <c r="S36" s="19"/>
      <c r="T36" s="6"/>
      <c r="U36" s="6">
        <f t="shared" si="1"/>
        <v>24</v>
      </c>
      <c r="V36" s="6">
        <f t="shared" si="2"/>
        <v>76</v>
      </c>
      <c r="W36" s="40"/>
      <c r="X36" s="32"/>
      <c r="Y36" s="9"/>
      <c r="Z36" s="40"/>
      <c r="AA36" s="4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</row>
    <row r="37" customHeight="1" spans="1:44">
      <c r="A37" s="3">
        <v>35</v>
      </c>
      <c r="B37" s="37" t="s">
        <v>61</v>
      </c>
      <c r="C37" s="76" t="s">
        <v>78</v>
      </c>
      <c r="D37" s="76"/>
      <c r="E37" s="76"/>
      <c r="F37" s="30"/>
      <c r="G37" s="30"/>
      <c r="H37" s="30"/>
      <c r="I37" s="30"/>
      <c r="J37" s="30"/>
      <c r="K37" s="30">
        <v>2</v>
      </c>
      <c r="L37" s="30">
        <v>3</v>
      </c>
      <c r="M37" s="3">
        <v>2</v>
      </c>
      <c r="N37" s="161">
        <v>6</v>
      </c>
      <c r="O37" s="19">
        <v>4</v>
      </c>
      <c r="P37" s="163">
        <v>6</v>
      </c>
      <c r="Q37" s="163">
        <v>4</v>
      </c>
      <c r="R37" s="40"/>
      <c r="S37" s="37"/>
      <c r="T37" s="6"/>
      <c r="U37" s="6">
        <f t="shared" si="1"/>
        <v>27</v>
      </c>
      <c r="V37" s="6">
        <f t="shared" si="2"/>
        <v>73</v>
      </c>
      <c r="W37" s="40"/>
      <c r="X37" s="41"/>
      <c r="Y37" s="42"/>
      <c r="Z37" s="43"/>
      <c r="AA37" s="43"/>
    </row>
    <row r="38" customHeight="1" spans="1:44">
      <c r="A38" s="3">
        <v>36</v>
      </c>
      <c r="B38" s="37" t="s">
        <v>62</v>
      </c>
      <c r="C38" s="76" t="s">
        <v>78</v>
      </c>
      <c r="D38" s="76"/>
      <c r="E38" s="76"/>
      <c r="F38" s="30"/>
      <c r="G38" s="30"/>
      <c r="H38" s="30"/>
      <c r="I38" s="30"/>
      <c r="J38" s="30"/>
      <c r="K38" s="30"/>
      <c r="L38" s="30">
        <v>6</v>
      </c>
      <c r="M38" s="40">
        <v>8</v>
      </c>
      <c r="N38" s="161">
        <v>6</v>
      </c>
      <c r="O38" s="30">
        <v>8</v>
      </c>
      <c r="P38" s="163">
        <v>6</v>
      </c>
      <c r="Q38" s="163">
        <v>8</v>
      </c>
      <c r="R38" s="40"/>
      <c r="S38" s="37"/>
      <c r="T38" s="6"/>
      <c r="U38" s="6">
        <f t="shared" si="1"/>
        <v>42</v>
      </c>
      <c r="V38" s="6">
        <f t="shared" si="2"/>
        <v>58</v>
      </c>
      <c r="W38" s="40"/>
      <c r="X38" s="45"/>
      <c r="Y38" s="19"/>
      <c r="Z38" s="40"/>
      <c r="AA38" s="40"/>
    </row>
    <row r="39" customHeight="1" spans="1:44">
      <c r="N39" s="164"/>
      <c r="S39" s="34"/>
      <c r="T39" s="4"/>
      <c r="U39" s="37"/>
      <c r="V39" s="6"/>
      <c r="W39" s="40"/>
      <c r="X39" s="19"/>
      <c r="Y39" s="40"/>
      <c r="Z39" s="40"/>
      <c r="AA39" s="40"/>
    </row>
    <row r="40" customHeight="1" spans="1:44">
      <c r="X40"/>
      <c r="Y40"/>
      <c r="Z40"/>
      <c r="AA40"/>
    </row>
  </sheetData>
  <mergeCells count="1">
    <mergeCell ref="A1:AP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opLeftCell="A5" workbookViewId="0">
      <selection activeCell="F6" sqref="F6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  <col min="10" max="10" width="12.1428571428571" customWidth="1"/>
    <col min="11" max="11" width="9.85714285714286" customWidth="1"/>
    <col min="12" max="12" width="11.5714285714286" customWidth="1"/>
    <col min="15" max="15" width="25.7142857142857" customWidth="1"/>
  </cols>
  <sheetData>
    <row r="1" ht="38" customHeight="1" spans="1:15">
      <c r="A1" s="136" t="s">
        <v>84</v>
      </c>
      <c r="B1" s="136"/>
      <c r="C1" s="136"/>
      <c r="D1" s="136"/>
      <c r="E1" s="136"/>
      <c r="F1" s="137"/>
      <c r="G1" s="74"/>
      <c r="I1" s="1"/>
      <c r="J1" s="1"/>
      <c r="K1" s="1"/>
      <c r="L1" s="1"/>
      <c r="M1" s="1"/>
      <c r="N1" s="1"/>
      <c r="O1" s="1"/>
    </row>
    <row r="2" s="120" customFormat="1" ht="32" customHeight="1" spans="1:15">
      <c r="A2" s="138" t="s">
        <v>2</v>
      </c>
      <c r="B2" s="138" t="s">
        <v>67</v>
      </c>
      <c r="C2" s="138" t="s">
        <v>3</v>
      </c>
      <c r="D2" s="139" t="s">
        <v>85</v>
      </c>
      <c r="E2" s="2" t="s">
        <v>86</v>
      </c>
      <c r="F2" s="2" t="s">
        <v>87</v>
      </c>
      <c r="G2" s="2" t="s">
        <v>7</v>
      </c>
      <c r="I2" s="2"/>
      <c r="J2" s="2"/>
      <c r="K2" s="2"/>
      <c r="L2" s="2"/>
      <c r="M2" s="2"/>
      <c r="N2" s="2"/>
      <c r="O2" s="2"/>
    </row>
    <row r="3" ht="22" customHeight="1" spans="1:15">
      <c r="A3" s="127">
        <v>1</v>
      </c>
      <c r="B3" s="4">
        <v>46090</v>
      </c>
      <c r="C3" s="6" t="s">
        <v>13</v>
      </c>
      <c r="D3" s="6" t="s">
        <v>88</v>
      </c>
      <c r="E3" s="6">
        <v>2</v>
      </c>
      <c r="F3" s="6">
        <v>1</v>
      </c>
      <c r="G3" s="12"/>
      <c r="I3" s="3"/>
      <c r="J3" s="109"/>
      <c r="K3" s="130"/>
      <c r="L3" s="19"/>
      <c r="M3" s="19"/>
      <c r="N3" s="19"/>
      <c r="O3" s="130"/>
    </row>
    <row r="4" ht="22" customHeight="1" spans="1:15">
      <c r="A4" s="127">
        <v>2</v>
      </c>
      <c r="B4" s="4"/>
      <c r="C4" s="60"/>
      <c r="D4" s="6"/>
      <c r="E4" s="6"/>
      <c r="F4" s="6"/>
      <c r="G4" s="52"/>
      <c r="I4" s="3"/>
      <c r="J4" s="109"/>
      <c r="K4" s="130"/>
      <c r="L4" s="19"/>
      <c r="M4" s="12"/>
      <c r="N4" s="12"/>
      <c r="O4" s="130"/>
    </row>
    <row r="5" ht="22" customHeight="1" spans="1:15">
      <c r="A5" s="127">
        <v>3</v>
      </c>
      <c r="B5" s="121"/>
      <c r="C5" s="140"/>
      <c r="D5" s="129"/>
      <c r="E5" s="12"/>
      <c r="F5" s="12"/>
      <c r="G5" s="52"/>
      <c r="I5" s="3"/>
      <c r="J5" s="109"/>
      <c r="K5" s="130"/>
      <c r="L5" s="19"/>
      <c r="M5" s="12"/>
      <c r="N5" s="12"/>
      <c r="O5" s="130"/>
    </row>
    <row r="6" ht="22" customHeight="1" spans="1:15">
      <c r="A6" s="127">
        <v>4</v>
      </c>
      <c r="B6" s="121"/>
      <c r="C6" s="140"/>
      <c r="D6" s="129"/>
      <c r="E6" s="12"/>
      <c r="F6" s="12"/>
      <c r="G6" s="52"/>
      <c r="I6" s="3"/>
      <c r="J6" s="109"/>
      <c r="K6" s="130"/>
      <c r="L6" s="19"/>
      <c r="M6" s="12"/>
      <c r="N6" s="12"/>
      <c r="O6" s="130"/>
    </row>
    <row r="7" ht="22" customHeight="1" spans="1:15">
      <c r="A7" s="127">
        <v>5</v>
      </c>
      <c r="B7" s="121"/>
      <c r="C7" s="140"/>
      <c r="D7" s="129"/>
      <c r="E7" s="12"/>
      <c r="F7" s="12"/>
      <c r="G7" s="52"/>
      <c r="I7" s="3"/>
      <c r="J7" s="109"/>
      <c r="K7" s="130"/>
      <c r="L7" s="19"/>
      <c r="M7" s="12"/>
      <c r="N7" s="12"/>
      <c r="O7" s="130"/>
    </row>
    <row r="8" ht="22" customHeight="1" spans="1:15">
      <c r="A8" s="127">
        <v>6</v>
      </c>
      <c r="B8" s="121"/>
      <c r="C8" s="140"/>
      <c r="D8" s="129"/>
      <c r="E8" s="12"/>
      <c r="F8" s="12"/>
      <c r="G8" s="52"/>
      <c r="I8" s="3"/>
      <c r="J8" s="109"/>
      <c r="K8" s="130"/>
      <c r="L8" s="19"/>
      <c r="M8" s="12"/>
      <c r="N8" s="12"/>
      <c r="O8" s="130"/>
    </row>
    <row r="9" ht="22" customHeight="1" spans="1:15">
      <c r="A9" s="127">
        <v>7</v>
      </c>
      <c r="B9" s="121"/>
      <c r="C9" s="140"/>
      <c r="D9" s="129"/>
      <c r="E9" s="12"/>
      <c r="F9" s="105"/>
      <c r="G9" s="105"/>
      <c r="I9" s="3"/>
      <c r="J9" s="109"/>
      <c r="K9" s="130"/>
      <c r="L9" s="19"/>
      <c r="M9" s="12"/>
      <c r="N9" s="105"/>
      <c r="O9" s="130"/>
    </row>
    <row r="10" ht="22" customHeight="1" spans="1:15">
      <c r="A10" s="127">
        <v>8</v>
      </c>
      <c r="B10" s="121"/>
      <c r="C10" s="128"/>
      <c r="D10" s="129"/>
      <c r="E10" s="12"/>
      <c r="F10" s="105"/>
      <c r="G10" s="105"/>
      <c r="I10" s="3"/>
      <c r="J10" s="109"/>
      <c r="K10" s="130"/>
      <c r="L10" s="19"/>
      <c r="M10" s="12"/>
      <c r="N10" s="105"/>
      <c r="O10" s="130"/>
    </row>
    <row r="11" customFormat="1" ht="22" customHeight="1" spans="1:15">
      <c r="A11" s="127">
        <v>9</v>
      </c>
      <c r="B11" s="121"/>
      <c r="C11" s="128"/>
      <c r="D11" s="129"/>
      <c r="E11" s="12"/>
      <c r="F11" s="105"/>
      <c r="G11" s="105"/>
      <c r="I11" s="3"/>
      <c r="J11" s="109"/>
      <c r="K11" s="130"/>
      <c r="L11" s="19"/>
      <c r="M11" s="12"/>
      <c r="N11" s="105"/>
      <c r="O11" s="130"/>
    </row>
    <row r="12" customFormat="1" ht="22" customHeight="1" spans="1:15">
      <c r="A12" s="127">
        <v>10</v>
      </c>
      <c r="B12" s="121"/>
      <c r="C12" s="128"/>
      <c r="D12" s="129"/>
      <c r="E12" s="12"/>
      <c r="F12" s="105"/>
      <c r="G12" s="105"/>
      <c r="I12" s="3"/>
      <c r="J12" s="109"/>
      <c r="K12" s="130"/>
      <c r="L12" s="19"/>
      <c r="M12" s="12"/>
      <c r="N12" s="105"/>
      <c r="O12" s="130"/>
    </row>
    <row r="13" customFormat="1" ht="22" customHeight="1" spans="1:15">
      <c r="A13" s="127">
        <v>11</v>
      </c>
      <c r="B13" s="121"/>
      <c r="C13" s="128"/>
      <c r="D13" s="129"/>
      <c r="E13" s="12"/>
      <c r="F13" s="105"/>
      <c r="G13" s="105"/>
      <c r="I13" s="3"/>
      <c r="J13" s="109"/>
      <c r="K13" s="130"/>
      <c r="L13" s="19"/>
      <c r="M13" s="12"/>
      <c r="N13" s="105"/>
      <c r="O13" s="130"/>
    </row>
    <row r="14" customFormat="1" ht="22" customHeight="1" spans="1:15">
      <c r="A14" s="127">
        <v>12</v>
      </c>
      <c r="B14" s="121"/>
      <c r="C14" s="128"/>
      <c r="D14" s="129"/>
      <c r="E14" s="12"/>
      <c r="F14" s="105"/>
      <c r="G14" s="105"/>
      <c r="I14" s="3"/>
      <c r="J14" s="109"/>
      <c r="K14" s="130"/>
      <c r="L14" s="19"/>
      <c r="M14" s="12"/>
      <c r="N14" s="105"/>
      <c r="O14" s="130"/>
    </row>
    <row r="15" customFormat="1" ht="22" customHeight="1" spans="1:15">
      <c r="A15" s="127">
        <v>13</v>
      </c>
      <c r="B15" s="121"/>
      <c r="C15" s="128"/>
      <c r="D15" s="129"/>
      <c r="E15" s="12"/>
      <c r="F15" s="105"/>
      <c r="G15" s="105"/>
      <c r="I15" s="3"/>
      <c r="J15" s="109"/>
      <c r="K15" s="130"/>
      <c r="L15" s="19"/>
      <c r="M15" s="12"/>
      <c r="N15" s="105"/>
      <c r="O15" s="130"/>
    </row>
    <row r="16" customFormat="1" ht="22" customHeight="1" spans="1:15">
      <c r="A16" s="127">
        <v>14</v>
      </c>
      <c r="B16" s="121"/>
      <c r="C16" s="128"/>
      <c r="D16" s="129"/>
      <c r="E16" s="12"/>
      <c r="F16" s="105"/>
      <c r="G16" s="105"/>
      <c r="I16" s="3"/>
      <c r="J16" s="109"/>
      <c r="K16" s="130"/>
      <c r="L16" s="19"/>
      <c r="M16" s="12"/>
      <c r="N16" s="105"/>
      <c r="O16" s="130"/>
    </row>
    <row r="17" customFormat="1" ht="22" customHeight="1" spans="1:15">
      <c r="A17" s="127">
        <v>15</v>
      </c>
      <c r="B17" s="121"/>
      <c r="C17" s="128"/>
      <c r="D17" s="129"/>
      <c r="E17" s="12"/>
      <c r="F17" s="105"/>
      <c r="G17" s="105"/>
      <c r="I17" s="3"/>
      <c r="J17" s="109"/>
      <c r="K17" s="130"/>
      <c r="L17" s="19"/>
      <c r="M17" s="12"/>
      <c r="N17" s="105"/>
      <c r="O17" s="130"/>
    </row>
    <row r="18" customFormat="1" ht="22" customHeight="1" spans="1:15">
      <c r="A18" s="127">
        <v>16</v>
      </c>
      <c r="B18" s="121"/>
      <c r="C18" s="128"/>
      <c r="D18" s="129"/>
      <c r="E18" s="12"/>
      <c r="F18" s="105"/>
      <c r="G18" s="105"/>
      <c r="I18" s="3"/>
      <c r="J18" s="109"/>
      <c r="K18" s="130"/>
      <c r="L18" s="19"/>
      <c r="M18" s="12"/>
      <c r="N18" s="105"/>
      <c r="O18" s="130"/>
    </row>
    <row r="19" customFormat="1" ht="22" customHeight="1" spans="1:15">
      <c r="A19" s="127">
        <v>17</v>
      </c>
      <c r="B19" s="121"/>
      <c r="C19" s="128"/>
      <c r="D19" s="129"/>
      <c r="E19" s="12"/>
      <c r="F19" s="105"/>
      <c r="G19" s="105"/>
      <c r="I19" s="3"/>
      <c r="J19" s="109"/>
      <c r="K19" s="130"/>
      <c r="L19" s="19"/>
      <c r="M19" s="12"/>
      <c r="N19" s="105"/>
      <c r="O19" s="130"/>
    </row>
    <row r="20" customFormat="1" ht="22" customHeight="1" spans="1:15">
      <c r="A20" s="127">
        <v>18</v>
      </c>
      <c r="B20" s="121"/>
      <c r="C20" s="128"/>
      <c r="D20" s="129"/>
      <c r="E20" s="12"/>
      <c r="F20" s="105"/>
      <c r="G20" s="105"/>
      <c r="I20" s="3"/>
      <c r="J20" s="109"/>
      <c r="K20" s="130"/>
      <c r="L20" s="19"/>
      <c r="M20" s="12"/>
      <c r="N20" s="105"/>
      <c r="O20" s="130"/>
    </row>
    <row r="21" customFormat="1" ht="22" customHeight="1" spans="1:15">
      <c r="A21" s="127">
        <v>19</v>
      </c>
      <c r="B21" s="121"/>
      <c r="C21" s="128"/>
      <c r="D21" s="129"/>
      <c r="E21" s="12"/>
      <c r="F21" s="105"/>
      <c r="G21" s="105"/>
      <c r="I21" s="3"/>
      <c r="J21" s="109"/>
      <c r="K21" s="130"/>
      <c r="L21" s="19"/>
      <c r="M21" s="12"/>
      <c r="N21" s="105"/>
      <c r="O21" s="130"/>
    </row>
    <row r="22" customFormat="1" ht="22" customHeight="1" spans="1:15">
      <c r="A22" s="127">
        <v>20</v>
      </c>
      <c r="B22" s="121"/>
      <c r="C22" s="128"/>
      <c r="D22" s="129"/>
      <c r="E22" s="12"/>
      <c r="F22" s="105"/>
      <c r="G22" s="105"/>
      <c r="I22" s="3"/>
      <c r="J22" s="109"/>
      <c r="K22" s="130"/>
      <c r="L22" s="19"/>
      <c r="M22" s="12"/>
      <c r="N22" s="105"/>
      <c r="O22" s="130"/>
    </row>
    <row r="23" customFormat="1" ht="22" customHeight="1" spans="1:15">
      <c r="A23" s="127">
        <v>21</v>
      </c>
      <c r="B23" s="121"/>
      <c r="C23" s="128"/>
      <c r="D23" s="129"/>
      <c r="E23" s="12"/>
      <c r="F23" s="105"/>
      <c r="G23" s="105"/>
      <c r="I23" s="3"/>
      <c r="J23" s="109"/>
      <c r="K23" s="130"/>
      <c r="L23" s="19"/>
      <c r="M23" s="12"/>
      <c r="N23" s="105"/>
      <c r="O23" s="130"/>
    </row>
    <row r="24" customFormat="1" ht="22" customHeight="1" spans="1:15">
      <c r="A24" s="127"/>
      <c r="B24" s="121"/>
      <c r="C24" s="128"/>
      <c r="D24" s="129"/>
      <c r="E24" s="12"/>
      <c r="F24" s="105"/>
      <c r="G24" s="105"/>
      <c r="I24" s="3"/>
      <c r="J24" s="109"/>
      <c r="K24" s="130"/>
      <c r="L24" s="19"/>
      <c r="M24" s="12"/>
      <c r="N24" s="105"/>
      <c r="O24" s="130"/>
    </row>
    <row r="25" customFormat="1" ht="22" customHeight="1" spans="1:15">
      <c r="A25" s="127"/>
      <c r="B25" s="131"/>
      <c r="C25" s="128"/>
      <c r="D25" s="132"/>
      <c r="E25" s="133"/>
      <c r="F25" s="134"/>
      <c r="G25" s="134"/>
      <c r="I25" s="3"/>
      <c r="J25" s="109"/>
      <c r="K25" s="130"/>
      <c r="L25" s="19"/>
      <c r="M25" s="12"/>
      <c r="N25" s="134"/>
      <c r="O25" s="130"/>
    </row>
    <row r="26" ht="22" customHeight="1" spans="1:15">
      <c r="E26" s="135">
        <f>SUM(E3:E25)</f>
        <v>2</v>
      </c>
      <c r="F26" s="135">
        <f>SUM(F3:F25)</f>
        <v>1</v>
      </c>
      <c r="I26" s="3"/>
      <c r="J26" s="109"/>
      <c r="K26" s="130"/>
      <c r="L26" s="19"/>
      <c r="M26" s="12"/>
      <c r="N26" s="40"/>
      <c r="O26" s="130"/>
    </row>
    <row r="27" ht="22" customHeight="1" spans="1:15">
      <c r="I27" s="3"/>
      <c r="J27" s="109"/>
      <c r="K27" s="130"/>
      <c r="L27" s="19"/>
      <c r="M27" s="12"/>
      <c r="N27" s="40"/>
      <c r="O27" s="130"/>
    </row>
    <row r="28" ht="22" customHeight="1" spans="1:15">
      <c r="I28" s="3"/>
      <c r="J28" s="109"/>
      <c r="K28" s="130"/>
      <c r="L28" s="19"/>
      <c r="M28" s="12"/>
      <c r="N28" s="40"/>
      <c r="O28" s="130"/>
    </row>
    <row r="29" ht="22" customHeight="1" spans="1:15">
      <c r="I29" s="3"/>
      <c r="J29" s="109"/>
      <c r="K29" s="130"/>
      <c r="L29" s="19"/>
      <c r="M29" s="12"/>
      <c r="N29" s="40"/>
      <c r="O29" s="130"/>
    </row>
    <row r="30" ht="22" customHeight="1" spans="1:15">
      <c r="I30" s="3"/>
      <c r="J30" s="109"/>
      <c r="K30" s="130"/>
      <c r="L30" s="19"/>
      <c r="M30" s="12"/>
      <c r="N30" s="40"/>
      <c r="O30" s="130"/>
    </row>
    <row r="31" ht="22" customHeight="1" spans="1:15">
      <c r="I31" s="3"/>
      <c r="J31" s="109"/>
      <c r="K31" s="130"/>
      <c r="L31" s="19"/>
      <c r="M31" s="12"/>
      <c r="N31" s="40"/>
      <c r="O31" s="130"/>
    </row>
    <row r="32" ht="22" customHeight="1" spans="1:15">
      <c r="I32" s="3"/>
      <c r="J32" s="109"/>
      <c r="K32" s="130"/>
      <c r="L32" s="19"/>
      <c r="M32" s="12"/>
      <c r="N32" s="40"/>
      <c r="O32" s="130"/>
    </row>
    <row r="33" ht="22" customHeight="1" spans="9:15">
      <c r="I33" s="3"/>
      <c r="J33" s="109"/>
      <c r="K33" s="130"/>
      <c r="L33" s="19"/>
      <c r="M33" s="12"/>
      <c r="N33" s="40"/>
      <c r="O33" s="130"/>
    </row>
    <row r="34" ht="22" customHeight="1" spans="9:15">
      <c r="I34" s="3"/>
      <c r="J34" s="109"/>
      <c r="K34" s="130"/>
      <c r="L34" s="19"/>
      <c r="M34" s="12"/>
      <c r="N34" s="40"/>
      <c r="O34" s="130"/>
    </row>
    <row r="35" ht="22" customHeight="1" spans="9:15">
      <c r="I35" s="3"/>
      <c r="J35" s="109"/>
      <c r="K35" s="130"/>
      <c r="L35" s="19"/>
      <c r="M35" s="12"/>
      <c r="N35" s="40"/>
      <c r="O35" s="130"/>
    </row>
    <row r="36" ht="22" customHeight="1" spans="9:15">
      <c r="I36" s="3"/>
      <c r="J36" s="109"/>
      <c r="K36" s="130"/>
      <c r="L36" s="19"/>
      <c r="M36" s="30"/>
      <c r="N36" s="40"/>
      <c r="O36" s="141"/>
    </row>
    <row r="37" ht="22" customHeight="1" spans="9:15">
      <c r="I37" s="40"/>
      <c r="J37" s="40"/>
      <c r="K37" s="40"/>
      <c r="L37" s="40"/>
      <c r="M37" s="40"/>
      <c r="N37" s="40"/>
      <c r="O37" s="40"/>
    </row>
    <row r="38" spans="9:15">
      <c r="I38" s="40"/>
      <c r="J38" s="40"/>
      <c r="K38" s="40"/>
      <c r="L38" s="40"/>
      <c r="M38" s="40"/>
      <c r="N38" s="40"/>
      <c r="O38" s="40"/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workbookViewId="0">
      <selection activeCell="F6" sqref="F6"/>
    </sheetView>
  </sheetViews>
  <sheetFormatPr defaultColWidth="9.14285714285714" defaultRowHeight="12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  <col min="10" max="10" width="12.8571428571429" customWidth="1"/>
    <col min="12" max="12" width="10.5714285714286" customWidth="1"/>
    <col min="15" max="15" width="16.1428571428571" customWidth="1"/>
  </cols>
  <sheetData>
    <row r="1" ht="22" customHeight="1" spans="1:15">
      <c r="A1" s="1" t="s">
        <v>84</v>
      </c>
      <c r="B1" s="1"/>
      <c r="C1" s="1"/>
      <c r="D1" s="1"/>
      <c r="E1" s="1"/>
      <c r="F1" s="1"/>
      <c r="G1" s="1"/>
      <c r="I1" s="1"/>
      <c r="J1" s="1"/>
      <c r="K1" s="1"/>
      <c r="L1" s="1"/>
      <c r="M1" s="1"/>
      <c r="N1" s="1"/>
      <c r="O1" s="1"/>
    </row>
    <row r="2" ht="22" customHeight="1" spans="1:15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  <c r="I2" s="2"/>
      <c r="J2" s="2"/>
      <c r="K2" s="2"/>
      <c r="L2" s="2"/>
      <c r="M2" s="2"/>
      <c r="N2" s="2"/>
      <c r="O2" s="2"/>
    </row>
    <row r="3" ht="22" customHeight="1" spans="1:15">
      <c r="A3" s="3">
        <v>1</v>
      </c>
      <c r="B3" s="4">
        <v>46093</v>
      </c>
      <c r="C3" s="6" t="s">
        <v>13</v>
      </c>
      <c r="D3" s="6" t="s">
        <v>89</v>
      </c>
      <c r="E3" s="6">
        <v>2</v>
      </c>
      <c r="F3" s="6">
        <v>2</v>
      </c>
      <c r="G3" s="12"/>
      <c r="I3" s="3"/>
      <c r="J3" s="109"/>
      <c r="K3" s="130"/>
      <c r="L3" s="19"/>
      <c r="M3" s="19"/>
      <c r="N3" s="19"/>
      <c r="O3" s="130"/>
    </row>
    <row r="4" ht="22" customHeight="1" spans="1:15">
      <c r="A4" s="3">
        <v>2</v>
      </c>
      <c r="B4" s="4">
        <v>46093</v>
      </c>
      <c r="C4" s="60" t="s">
        <v>16</v>
      </c>
      <c r="D4" s="6" t="s">
        <v>89</v>
      </c>
      <c r="E4" s="6">
        <v>2</v>
      </c>
      <c r="F4" s="6">
        <v>2</v>
      </c>
      <c r="G4" s="52"/>
      <c r="I4" s="3"/>
      <c r="J4" s="109"/>
      <c r="K4" s="130"/>
      <c r="L4" s="19"/>
      <c r="M4" s="12"/>
      <c r="N4" s="12"/>
      <c r="O4" s="130"/>
    </row>
    <row r="5" ht="22" customHeight="1" spans="1:15">
      <c r="A5" s="3">
        <v>3</v>
      </c>
      <c r="B5" s="4">
        <v>46093</v>
      </c>
      <c r="C5" s="60" t="s">
        <v>16</v>
      </c>
      <c r="D5" s="76" t="s">
        <v>90</v>
      </c>
      <c r="E5" s="12">
        <v>2</v>
      </c>
      <c r="F5" s="12">
        <v>1</v>
      </c>
      <c r="G5" s="52"/>
      <c r="I5" s="3"/>
      <c r="J5" s="109"/>
      <c r="K5" s="130"/>
      <c r="L5" s="19"/>
      <c r="M5" s="12"/>
      <c r="N5" s="12"/>
      <c r="O5" s="130"/>
    </row>
    <row r="6" ht="22" customHeight="1" spans="1:15">
      <c r="A6" s="3">
        <v>4</v>
      </c>
      <c r="B6" s="4">
        <v>46093</v>
      </c>
      <c r="C6" s="12" t="s">
        <v>18</v>
      </c>
      <c r="D6" s="76" t="s">
        <v>89</v>
      </c>
      <c r="E6" s="12"/>
      <c r="F6" s="12">
        <v>8</v>
      </c>
      <c r="G6" s="52"/>
      <c r="I6" s="3"/>
      <c r="J6" s="109"/>
      <c r="K6" s="130"/>
      <c r="L6" s="19"/>
      <c r="M6" s="12"/>
      <c r="N6" s="12"/>
      <c r="O6" s="130"/>
    </row>
    <row r="7" ht="22" customHeight="1" spans="1:15">
      <c r="A7" s="3">
        <v>5</v>
      </c>
      <c r="B7" s="121"/>
      <c r="C7" s="12"/>
      <c r="D7" s="76"/>
      <c r="E7" s="12"/>
      <c r="F7" s="12"/>
      <c r="G7" s="52"/>
      <c r="I7" s="3"/>
      <c r="J7" s="109"/>
      <c r="K7" s="130"/>
      <c r="L7" s="19"/>
      <c r="M7" s="12"/>
      <c r="N7" s="12"/>
      <c r="O7" s="130"/>
    </row>
    <row r="8" ht="22" customHeight="1" spans="1:15">
      <c r="A8" s="3">
        <v>6</v>
      </c>
      <c r="B8" s="121"/>
      <c r="C8" s="12"/>
      <c r="D8" s="76"/>
      <c r="E8" s="12"/>
      <c r="F8" s="12"/>
      <c r="G8" s="52"/>
      <c r="I8" s="3"/>
      <c r="J8" s="109"/>
      <c r="K8" s="130"/>
      <c r="L8" s="19"/>
      <c r="M8" s="12"/>
      <c r="N8" s="12"/>
      <c r="O8" s="130"/>
    </row>
    <row r="9" ht="22" customHeight="1" spans="1:15">
      <c r="A9" s="3">
        <v>7</v>
      </c>
      <c r="B9" s="121"/>
      <c r="C9" s="12"/>
      <c r="D9" s="76"/>
      <c r="E9" s="12"/>
      <c r="F9" s="105"/>
      <c r="G9" s="105"/>
      <c r="I9" s="3"/>
      <c r="J9" s="109"/>
      <c r="K9" s="130"/>
      <c r="L9" s="19"/>
      <c r="M9" s="12"/>
      <c r="N9" s="105"/>
      <c r="O9" s="130"/>
    </row>
    <row r="10" ht="22" customHeight="1" spans="1:15">
      <c r="A10" s="122">
        <v>8</v>
      </c>
      <c r="B10" s="123"/>
      <c r="C10" s="124"/>
      <c r="D10" s="125"/>
      <c r="E10" s="126"/>
      <c r="F10" s="106"/>
      <c r="G10" s="106"/>
      <c r="I10" s="3"/>
      <c r="J10" s="109"/>
      <c r="K10" s="130"/>
      <c r="L10" s="19"/>
      <c r="M10" s="12"/>
      <c r="N10" s="105"/>
      <c r="O10" s="130"/>
    </row>
    <row r="11" ht="22" customHeight="1" spans="1:15">
      <c r="A11" s="127">
        <v>9</v>
      </c>
      <c r="B11" s="121"/>
      <c r="C11" s="128"/>
      <c r="D11" s="129"/>
      <c r="E11" s="12"/>
      <c r="F11" s="105"/>
      <c r="G11" s="105"/>
      <c r="I11" s="3"/>
      <c r="J11" s="109"/>
      <c r="K11" s="130"/>
      <c r="L11" s="19"/>
      <c r="M11" s="12"/>
      <c r="N11" s="105"/>
      <c r="O11" s="130"/>
    </row>
    <row r="12" ht="22" customHeight="1" spans="1:15">
      <c r="A12" s="127">
        <v>10</v>
      </c>
      <c r="B12" s="121"/>
      <c r="C12" s="128"/>
      <c r="D12" s="129"/>
      <c r="E12" s="12"/>
      <c r="F12" s="105"/>
      <c r="G12" s="105"/>
      <c r="I12" s="3"/>
      <c r="J12" s="109"/>
      <c r="K12" s="130"/>
      <c r="L12" s="19"/>
      <c r="M12" s="12"/>
      <c r="N12" s="105"/>
      <c r="O12" s="130"/>
    </row>
    <row r="13" ht="22" customHeight="1" spans="1:15">
      <c r="A13" s="127">
        <v>11</v>
      </c>
      <c r="B13" s="121"/>
      <c r="C13" s="128"/>
      <c r="D13" s="129"/>
      <c r="E13" s="12"/>
      <c r="F13" s="105"/>
      <c r="G13" s="105"/>
      <c r="I13" s="3"/>
      <c r="J13" s="109"/>
      <c r="K13" s="130"/>
      <c r="L13" s="19"/>
      <c r="M13" s="12"/>
      <c r="N13" s="105"/>
      <c r="O13" s="130"/>
    </row>
    <row r="14" ht="22" customHeight="1" spans="1:15">
      <c r="A14" s="127">
        <v>12</v>
      </c>
      <c r="B14" s="121"/>
      <c r="C14" s="128"/>
      <c r="D14" s="129"/>
      <c r="E14" s="12"/>
      <c r="F14" s="105"/>
      <c r="G14" s="105"/>
      <c r="I14" s="3"/>
      <c r="J14" s="109"/>
      <c r="K14" s="130"/>
      <c r="L14" s="19"/>
      <c r="M14" s="12"/>
      <c r="N14" s="105"/>
      <c r="O14" s="130"/>
    </row>
    <row r="15" ht="22" customHeight="1" spans="1:15">
      <c r="A15" s="127">
        <v>13</v>
      </c>
      <c r="B15" s="121"/>
      <c r="C15" s="128"/>
      <c r="D15" s="129"/>
      <c r="E15" s="12"/>
      <c r="F15" s="105"/>
      <c r="G15" s="105"/>
      <c r="I15" s="3"/>
      <c r="J15" s="109"/>
      <c r="K15" s="130"/>
      <c r="L15" s="19"/>
      <c r="M15" s="12"/>
      <c r="N15" s="105"/>
      <c r="O15" s="130"/>
    </row>
    <row r="16" ht="22" customHeight="1" spans="1:15">
      <c r="A16" s="127">
        <v>14</v>
      </c>
      <c r="B16" s="121"/>
      <c r="C16" s="128"/>
      <c r="D16" s="129"/>
      <c r="E16" s="12"/>
      <c r="F16" s="105"/>
      <c r="G16" s="105"/>
      <c r="I16" s="3"/>
      <c r="J16" s="109"/>
      <c r="K16" s="130"/>
      <c r="L16" s="19"/>
      <c r="M16" s="12"/>
      <c r="N16" s="105"/>
      <c r="O16" s="130"/>
    </row>
    <row r="17" ht="22" customHeight="1" spans="1:15">
      <c r="A17" s="127">
        <v>15</v>
      </c>
      <c r="B17" s="121"/>
      <c r="C17" s="128"/>
      <c r="D17" s="129"/>
      <c r="E17" s="12"/>
      <c r="F17" s="105"/>
      <c r="G17" s="105"/>
      <c r="I17" s="3"/>
      <c r="J17" s="109"/>
      <c r="K17" s="130"/>
      <c r="L17" s="19"/>
      <c r="M17" s="12"/>
      <c r="N17" s="105"/>
      <c r="O17" s="130"/>
    </row>
    <row r="18" ht="22" customHeight="1" spans="1:15">
      <c r="A18" s="127">
        <v>16</v>
      </c>
      <c r="B18" s="121"/>
      <c r="C18" s="128"/>
      <c r="D18" s="129"/>
      <c r="E18" s="12"/>
      <c r="F18" s="105"/>
      <c r="G18" s="105"/>
      <c r="I18" s="3"/>
      <c r="J18" s="109"/>
      <c r="K18" s="130"/>
      <c r="L18" s="19"/>
      <c r="M18" s="12"/>
      <c r="N18" s="105"/>
      <c r="O18" s="130"/>
    </row>
    <row r="19" ht="22" customHeight="1" spans="1:15">
      <c r="A19" s="127">
        <v>17</v>
      </c>
      <c r="B19" s="121"/>
      <c r="C19" s="128"/>
      <c r="D19" s="129"/>
      <c r="E19" s="12"/>
      <c r="F19" s="105"/>
      <c r="G19" s="105"/>
      <c r="I19" s="3"/>
      <c r="J19" s="109"/>
      <c r="K19" s="130"/>
      <c r="L19" s="19"/>
      <c r="M19" s="12"/>
      <c r="N19" s="105"/>
      <c r="O19" s="130"/>
    </row>
    <row r="20" ht="22" customHeight="1" spans="1:15">
      <c r="A20" s="127">
        <v>18</v>
      </c>
      <c r="B20" s="121"/>
      <c r="C20" s="128"/>
      <c r="D20" s="129"/>
      <c r="E20" s="12"/>
      <c r="F20" s="105"/>
      <c r="G20" s="105"/>
      <c r="I20" s="3"/>
      <c r="J20" s="109"/>
      <c r="K20" s="130"/>
      <c r="L20" s="19"/>
      <c r="M20" s="12"/>
      <c r="N20" s="105"/>
      <c r="O20" s="130"/>
    </row>
    <row r="21" ht="22" customHeight="1" spans="1:15">
      <c r="A21" s="127">
        <v>19</v>
      </c>
      <c r="B21" s="121"/>
      <c r="C21" s="128"/>
      <c r="D21" s="129"/>
      <c r="E21" s="12"/>
      <c r="F21" s="105"/>
      <c r="G21" s="105"/>
      <c r="I21" s="3"/>
      <c r="J21" s="109"/>
      <c r="K21" s="130"/>
      <c r="L21" s="19"/>
      <c r="M21" s="12"/>
      <c r="N21" s="105"/>
      <c r="O21" s="130"/>
    </row>
    <row r="22" ht="22" customHeight="1" spans="1:15">
      <c r="A22" s="127">
        <v>20</v>
      </c>
      <c r="B22" s="121"/>
      <c r="C22" s="128"/>
      <c r="D22" s="129"/>
      <c r="E22" s="12"/>
      <c r="F22" s="105"/>
      <c r="G22" s="105"/>
      <c r="I22" s="3"/>
      <c r="J22" s="109"/>
      <c r="K22" s="130"/>
      <c r="L22" s="19"/>
      <c r="M22" s="12"/>
      <c r="N22" s="105"/>
      <c r="O22" s="130"/>
    </row>
    <row r="23" ht="22" customHeight="1" spans="1:15">
      <c r="A23" s="127">
        <v>21</v>
      </c>
      <c r="B23" s="121"/>
      <c r="C23" s="128"/>
      <c r="D23" s="129"/>
      <c r="E23" s="12"/>
      <c r="F23" s="105"/>
      <c r="G23" s="105"/>
      <c r="I23" s="3"/>
      <c r="J23" s="109"/>
      <c r="K23" s="130"/>
      <c r="L23" s="19"/>
      <c r="M23" s="12"/>
      <c r="N23" s="105"/>
      <c r="O23" s="130"/>
    </row>
    <row r="24" ht="22" customHeight="1" spans="1:15">
      <c r="A24" s="127"/>
      <c r="B24" s="121"/>
      <c r="C24" s="128"/>
      <c r="D24" s="129"/>
      <c r="E24" s="12"/>
      <c r="F24" s="105"/>
      <c r="G24" s="105"/>
      <c r="I24" s="3"/>
      <c r="J24" s="109"/>
      <c r="K24" s="130"/>
      <c r="L24" s="19"/>
      <c r="M24" s="12"/>
      <c r="N24" s="105"/>
      <c r="O24" s="130"/>
    </row>
    <row r="25" ht="22" customHeight="1" spans="1:15">
      <c r="A25" s="127"/>
      <c r="B25" s="131"/>
      <c r="C25" s="128"/>
      <c r="D25" s="132"/>
      <c r="E25" s="133"/>
      <c r="F25" s="134"/>
      <c r="G25" s="134"/>
      <c r="I25" s="3"/>
      <c r="J25" s="109"/>
      <c r="K25" s="130"/>
      <c r="L25" s="19"/>
      <c r="M25" s="12"/>
      <c r="N25" s="134"/>
      <c r="O25" s="130"/>
    </row>
    <row r="26" ht="22" customHeight="1" spans="1:15">
      <c r="E26" s="135">
        <f>SUM(E3:E25)</f>
        <v>6</v>
      </c>
      <c r="F26" s="135">
        <f>SUM(F3:F25)</f>
        <v>13</v>
      </c>
      <c r="I26" s="3"/>
      <c r="J26" s="109"/>
      <c r="K26" s="130"/>
      <c r="L26" s="19"/>
      <c r="M26" s="12"/>
      <c r="N26" s="40"/>
      <c r="O26" s="130"/>
    </row>
    <row r="27" ht="22" customHeight="1" spans="1:15">
      <c r="I27" s="3"/>
      <c r="J27" s="109"/>
      <c r="K27" s="130"/>
      <c r="L27" s="19"/>
      <c r="M27" s="12"/>
      <c r="N27" s="40"/>
      <c r="O27" s="130"/>
    </row>
    <row r="28" ht="22" customHeight="1" spans="1:15">
      <c r="I28" s="3"/>
      <c r="J28" s="109"/>
      <c r="K28" s="130"/>
      <c r="L28" s="19"/>
      <c r="M28" s="12"/>
      <c r="N28" s="40"/>
      <c r="O28" s="130"/>
    </row>
    <row r="29" ht="22" customHeight="1" spans="1:15">
      <c r="I29" s="3"/>
      <c r="J29" s="109"/>
      <c r="K29" s="130"/>
      <c r="L29" s="19"/>
      <c r="M29" s="12"/>
      <c r="N29" s="40"/>
      <c r="O29" s="130"/>
    </row>
    <row r="30" ht="22" customHeight="1" spans="1:15">
      <c r="I30" s="3"/>
      <c r="J30" s="109"/>
      <c r="K30" s="130"/>
      <c r="L30" s="19"/>
      <c r="M30" s="12"/>
      <c r="N30" s="40"/>
      <c r="O30" s="130"/>
    </row>
    <row r="31" ht="22" customHeight="1" spans="1:15">
      <c r="I31" s="3"/>
      <c r="J31" s="109"/>
      <c r="K31" s="130"/>
      <c r="L31" s="19"/>
      <c r="M31" s="12"/>
      <c r="N31" s="40"/>
      <c r="O31" s="130"/>
    </row>
    <row r="32" ht="22" customHeight="1" spans="1:15">
      <c r="I32" s="3"/>
      <c r="J32" s="109"/>
      <c r="K32" s="130"/>
      <c r="L32" s="19"/>
      <c r="M32" s="12"/>
      <c r="N32" s="40"/>
      <c r="O32" s="130"/>
    </row>
    <row r="33" ht="22" customHeight="1" spans="9:15">
      <c r="I33" s="3"/>
      <c r="J33" s="109"/>
      <c r="K33" s="130"/>
      <c r="L33" s="19"/>
      <c r="M33" s="12"/>
      <c r="N33" s="40"/>
      <c r="O33" s="130"/>
    </row>
    <row r="34" ht="22" customHeight="1" spans="9:15">
      <c r="I34" s="3"/>
      <c r="J34" s="109"/>
      <c r="K34" s="130"/>
      <c r="L34" s="19"/>
      <c r="M34" s="12"/>
      <c r="N34" s="40"/>
      <c r="O34" s="130"/>
    </row>
    <row r="35" ht="22" customHeight="1" spans="9:15">
      <c r="I35" s="3"/>
      <c r="J35" s="109"/>
      <c r="K35" s="130"/>
      <c r="L35" s="19"/>
      <c r="M35" s="12"/>
      <c r="N35" s="40"/>
      <c r="O35" s="130"/>
    </row>
    <row r="36" ht="22" customHeight="1" spans="9:15">
      <c r="I36" s="3"/>
      <c r="J36" s="109"/>
      <c r="K36" s="130"/>
      <c r="L36" s="19"/>
      <c r="M36" s="30"/>
      <c r="N36" s="40"/>
      <c r="O36" s="130"/>
    </row>
    <row r="37" spans="9:15">
      <c r="I37" s="59"/>
      <c r="J37" s="59"/>
      <c r="K37" s="59"/>
      <c r="L37" s="59"/>
      <c r="M37" s="59"/>
      <c r="N37" s="59"/>
      <c r="O37" s="50"/>
    </row>
    <row r="38" spans="9:15">
      <c r="I38" s="59"/>
      <c r="J38" s="59"/>
      <c r="K38" s="59"/>
      <c r="L38" s="59"/>
      <c r="M38" s="59"/>
      <c r="N38" s="59"/>
      <c r="O38" s="59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F6" sqref="F6"/>
    </sheetView>
  </sheetViews>
  <sheetFormatPr defaultColWidth="9.14285714285714" defaultRowHeight="12" outlineLevelCol="6"/>
  <cols>
    <col min="1" max="1" width="13.1428571428571" customWidth="1"/>
    <col min="2" max="2" width="16.2857142857143" customWidth="1"/>
    <col min="3" max="3" width="17.1428571428571" customWidth="1"/>
    <col min="4" max="4" width="12.5714285714286" customWidth="1"/>
    <col min="5" max="5" width="15.1428571428571" customWidth="1"/>
    <col min="6" max="6" width="12.1428571428571" customWidth="1"/>
    <col min="7" max="7" width="15.5714285714286" customWidth="1"/>
  </cols>
  <sheetData>
    <row r="1" ht="22" customHeight="1" spans="1:7">
      <c r="A1" s="1" t="s">
        <v>84</v>
      </c>
      <c r="B1" s="1"/>
      <c r="C1" s="1"/>
      <c r="D1" s="1"/>
      <c r="E1" s="1"/>
      <c r="F1" s="1"/>
      <c r="G1" s="1"/>
    </row>
    <row r="2" ht="22" customHeight="1" spans="1:7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</row>
    <row r="3" ht="22" customHeight="1" spans="1:7">
      <c r="A3" s="3">
        <v>1</v>
      </c>
      <c r="B3" s="4">
        <v>46097</v>
      </c>
      <c r="C3" s="6" t="s">
        <v>13</v>
      </c>
      <c r="D3" s="6" t="s">
        <v>88</v>
      </c>
      <c r="E3" s="6">
        <v>2</v>
      </c>
      <c r="F3" s="6">
        <v>1</v>
      </c>
      <c r="G3" s="12"/>
    </row>
    <row r="4" ht="22" customHeight="1" spans="1:7">
      <c r="A4" s="3">
        <v>2</v>
      </c>
      <c r="B4" s="4">
        <v>46097</v>
      </c>
      <c r="C4" s="60" t="s">
        <v>16</v>
      </c>
      <c r="D4" s="6" t="s">
        <v>88</v>
      </c>
      <c r="E4" s="6">
        <v>2</v>
      </c>
      <c r="F4" s="6">
        <v>1</v>
      </c>
      <c r="G4" s="52"/>
    </row>
    <row r="5" ht="22" customHeight="1" spans="1:7">
      <c r="A5" s="3">
        <v>4</v>
      </c>
      <c r="B5" s="4">
        <v>46097</v>
      </c>
      <c r="C5" s="12" t="s">
        <v>18</v>
      </c>
      <c r="D5" s="6" t="s">
        <v>88</v>
      </c>
      <c r="E5" s="12"/>
      <c r="F5" s="12">
        <v>3</v>
      </c>
      <c r="G5" s="52" t="s">
        <v>25</v>
      </c>
    </row>
    <row r="6" ht="22" customHeight="1" spans="1:7">
      <c r="A6" s="3">
        <v>5</v>
      </c>
      <c r="B6" s="121"/>
      <c r="C6" s="12"/>
      <c r="D6" s="76"/>
      <c r="E6" s="12">
        <f>SUM(E3:E4)</f>
        <v>4</v>
      </c>
      <c r="F6" s="12">
        <f>SUM(F3:F5)</f>
        <v>5</v>
      </c>
      <c r="G6" s="52"/>
    </row>
    <row r="7" ht="22" customHeight="1" spans="1:7">
      <c r="A7" s="3">
        <v>6</v>
      </c>
      <c r="B7" s="121"/>
      <c r="C7" s="12"/>
      <c r="D7" s="76"/>
      <c r="E7" s="12"/>
      <c r="F7" s="12"/>
      <c r="G7" s="52"/>
    </row>
    <row r="8" ht="22" customHeight="1" spans="1:7">
      <c r="A8" s="3">
        <v>7</v>
      </c>
      <c r="B8" s="121"/>
      <c r="C8" s="12"/>
      <c r="D8" s="76"/>
      <c r="E8" s="12"/>
      <c r="F8" s="105"/>
      <c r="G8" s="105"/>
    </row>
    <row r="9" ht="22" customHeight="1" spans="1:7">
      <c r="A9" s="122">
        <v>8</v>
      </c>
      <c r="B9" s="123"/>
      <c r="C9" s="124"/>
      <c r="D9" s="125"/>
      <c r="E9" s="126"/>
      <c r="F9" s="106"/>
      <c r="G9" s="106"/>
    </row>
    <row r="10" ht="22" customHeight="1" spans="1:7">
      <c r="A10" s="127">
        <v>9</v>
      </c>
      <c r="B10" s="121"/>
      <c r="C10" s="128"/>
      <c r="D10" s="129"/>
      <c r="E10" s="12"/>
      <c r="F10" s="105"/>
      <c r="G10" s="105"/>
    </row>
    <row r="11" ht="22" customHeight="1" spans="1:7">
      <c r="A11" s="127">
        <v>10</v>
      </c>
      <c r="B11" s="121"/>
      <c r="C11" s="128"/>
      <c r="D11" s="129"/>
      <c r="E11" s="12"/>
      <c r="F11" s="105"/>
      <c r="G11" s="105"/>
    </row>
    <row r="12" ht="22" customHeight="1" spans="1:7">
      <c r="A12" s="127">
        <v>11</v>
      </c>
      <c r="B12" s="121"/>
      <c r="C12" s="128"/>
      <c r="D12" s="129"/>
      <c r="E12" s="12"/>
      <c r="F12" s="105"/>
      <c r="G12" s="105"/>
    </row>
    <row r="13" ht="22" customHeight="1" spans="1:7">
      <c r="A13" s="127">
        <v>12</v>
      </c>
      <c r="B13" s="121"/>
      <c r="C13" s="128"/>
      <c r="D13" s="129"/>
      <c r="E13" s="12"/>
      <c r="F13" s="105"/>
      <c r="G13" s="105"/>
    </row>
    <row r="14" ht="22" customHeight="1" spans="1:7">
      <c r="A14" s="127">
        <v>13</v>
      </c>
      <c r="B14" s="121"/>
      <c r="C14" s="128"/>
      <c r="D14" s="129"/>
      <c r="E14" s="12"/>
      <c r="F14" s="105"/>
      <c r="G14" s="105"/>
    </row>
    <row r="15" ht="22" customHeight="1"/>
    <row r="16" ht="22" customHeight="1"/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F6" sqref="F6"/>
    </sheetView>
  </sheetViews>
  <sheetFormatPr defaultColWidth="9.14285714285714" defaultRowHeight="12" outlineLevelRow="5" outlineLevelCol="6"/>
  <cols>
    <col min="1" max="1" width="12.1428571428571" customWidth="1"/>
    <col min="2" max="2" width="15.1428571428571" customWidth="1"/>
    <col min="3" max="3" width="13.1428571428571" customWidth="1"/>
    <col min="4" max="4" width="14.5714285714286" customWidth="1"/>
    <col min="5" max="6" width="12.1428571428571" customWidth="1"/>
    <col min="7" max="7" width="14.7142857142857" customWidth="1"/>
  </cols>
  <sheetData>
    <row r="1" ht="20.25" spans="1:7">
      <c r="A1" s="111" t="s">
        <v>84</v>
      </c>
      <c r="B1" s="111"/>
      <c r="C1" s="111"/>
      <c r="D1" s="111"/>
      <c r="E1" s="111"/>
      <c r="F1" s="111"/>
      <c r="G1" s="111"/>
    </row>
    <row r="2" ht="34" customHeight="1" spans="1:7">
      <c r="A2" s="111" t="s">
        <v>2</v>
      </c>
      <c r="B2" s="111" t="s">
        <v>67</v>
      </c>
      <c r="C2" s="111" t="s">
        <v>3</v>
      </c>
      <c r="D2" s="111" t="s">
        <v>85</v>
      </c>
      <c r="E2" s="111" t="s">
        <v>86</v>
      </c>
      <c r="F2" s="111" t="s">
        <v>87</v>
      </c>
      <c r="G2" s="111" t="s">
        <v>7</v>
      </c>
    </row>
    <row r="3" ht="32" customHeight="1" spans="1:7">
      <c r="A3" s="112">
        <v>1</v>
      </c>
      <c r="B3" s="113">
        <v>46100</v>
      </c>
      <c r="C3" s="114" t="s">
        <v>13</v>
      </c>
      <c r="D3" s="114" t="s">
        <v>89</v>
      </c>
      <c r="E3" s="114">
        <v>2</v>
      </c>
      <c r="F3" s="114">
        <v>2</v>
      </c>
      <c r="G3" s="115"/>
    </row>
    <row r="4" ht="32" customHeight="1" spans="1:7">
      <c r="A4" s="112">
        <v>2</v>
      </c>
      <c r="B4" s="113">
        <v>46100</v>
      </c>
      <c r="C4" s="116" t="s">
        <v>16</v>
      </c>
      <c r="D4" s="114" t="s">
        <v>89</v>
      </c>
      <c r="E4" s="114">
        <v>2</v>
      </c>
      <c r="F4" s="114">
        <v>2</v>
      </c>
      <c r="G4" s="117"/>
    </row>
    <row r="5" ht="48" customHeight="1" spans="1:7">
      <c r="A5" s="112">
        <v>3</v>
      </c>
      <c r="B5" s="113">
        <v>46100</v>
      </c>
      <c r="C5" s="115" t="s">
        <v>18</v>
      </c>
      <c r="D5" s="118" t="s">
        <v>89</v>
      </c>
      <c r="E5" s="115"/>
      <c r="F5" s="119">
        <v>4</v>
      </c>
      <c r="G5" s="117" t="s">
        <v>25</v>
      </c>
    </row>
    <row r="6" ht="30" customHeight="1" spans="1:7">
      <c r="E6" s="120">
        <f>SUM(E3:E5)</f>
        <v>4</v>
      </c>
      <c r="F6" s="120">
        <f>SUM(F3:F5)</f>
        <v>8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E17" sqref="E17"/>
    </sheetView>
  </sheetViews>
  <sheetFormatPr defaultColWidth="13.7142857142857" defaultRowHeight="25" customHeight="1" outlineLevelCol="6"/>
  <cols>
    <col min="1" max="6" width="13.7142857142857" customWidth="1"/>
    <col min="7" max="7" width="21.8571428571429" customWidth="1"/>
    <col min="8" max="16384" width="13.7142857142857" customWidth="1"/>
  </cols>
  <sheetData>
    <row r="1" customHeight="1" spans="1:7">
      <c r="A1" s="1" t="s">
        <v>84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</row>
    <row r="3" customHeight="1" spans="1:7">
      <c r="A3" s="3">
        <v>1</v>
      </c>
      <c r="B3" s="4">
        <v>46104</v>
      </c>
      <c r="C3" s="6" t="s">
        <v>13</v>
      </c>
      <c r="D3" s="6" t="s">
        <v>88</v>
      </c>
      <c r="E3" s="6">
        <v>2</v>
      </c>
      <c r="F3" s="6">
        <v>1</v>
      </c>
      <c r="G3" s="12"/>
    </row>
    <row r="4" customHeight="1" spans="1:7">
      <c r="A4" s="3">
        <v>2</v>
      </c>
      <c r="B4" s="4">
        <v>46104</v>
      </c>
      <c r="C4" s="60" t="s">
        <v>16</v>
      </c>
      <c r="D4" s="6" t="s">
        <v>88</v>
      </c>
      <c r="E4" s="6">
        <v>2</v>
      </c>
      <c r="F4" s="6">
        <v>1</v>
      </c>
      <c r="G4" s="52"/>
    </row>
    <row r="5" customHeight="1" spans="1:7">
      <c r="A5" s="3">
        <v>3</v>
      </c>
      <c r="B5" s="4">
        <v>46104</v>
      </c>
      <c r="C5" s="12" t="s">
        <v>18</v>
      </c>
      <c r="D5" s="6" t="s">
        <v>88</v>
      </c>
      <c r="E5" s="12"/>
      <c r="F5" s="12">
        <v>3</v>
      </c>
      <c r="G5" s="52" t="s">
        <v>25</v>
      </c>
    </row>
    <row r="6" customHeight="1" spans="1:7">
      <c r="A6" s="3">
        <v>4</v>
      </c>
      <c r="B6" s="4">
        <v>46104</v>
      </c>
      <c r="C6" s="6" t="s">
        <v>20</v>
      </c>
      <c r="D6" s="6" t="s">
        <v>88</v>
      </c>
      <c r="E6" s="6">
        <v>2</v>
      </c>
      <c r="F6" s="6">
        <v>1</v>
      </c>
      <c r="G6" s="52"/>
    </row>
    <row r="7" customHeight="1" spans="1:7">
      <c r="A7" s="3">
        <v>5</v>
      </c>
      <c r="B7" s="4">
        <v>46104</v>
      </c>
      <c r="C7" s="13" t="s">
        <v>21</v>
      </c>
      <c r="D7" s="6" t="s">
        <v>88</v>
      </c>
      <c r="E7" s="6"/>
      <c r="F7" s="6">
        <v>3</v>
      </c>
      <c r="G7" s="52"/>
    </row>
    <row r="8" customHeight="1" spans="1:7">
      <c r="A8" s="3">
        <v>6</v>
      </c>
      <c r="B8" s="4">
        <v>46104</v>
      </c>
      <c r="C8" s="6" t="s">
        <v>22</v>
      </c>
      <c r="D8" s="6" t="s">
        <v>88</v>
      </c>
      <c r="E8" s="6">
        <v>3</v>
      </c>
      <c r="F8" s="6"/>
      <c r="G8" s="105"/>
    </row>
    <row r="9" customHeight="1" spans="1:7">
      <c r="A9" s="3">
        <v>7</v>
      </c>
      <c r="B9" s="4">
        <v>46104</v>
      </c>
      <c r="C9" s="6" t="s">
        <v>23</v>
      </c>
      <c r="D9" s="6" t="s">
        <v>88</v>
      </c>
      <c r="E9" s="6">
        <v>3</v>
      </c>
      <c r="F9" s="6"/>
      <c r="G9" s="106"/>
    </row>
    <row r="10" customHeight="1" spans="1:7">
      <c r="A10" s="3">
        <v>8</v>
      </c>
      <c r="B10" s="4">
        <v>46104</v>
      </c>
      <c r="C10" s="6" t="s">
        <v>24</v>
      </c>
      <c r="D10" s="6" t="s">
        <v>88</v>
      </c>
      <c r="E10" s="6">
        <v>2</v>
      </c>
      <c r="F10" s="6">
        <v>1</v>
      </c>
      <c r="G10" s="105"/>
    </row>
    <row r="11" customHeight="1" spans="1:7">
      <c r="A11" s="3">
        <v>9</v>
      </c>
      <c r="B11" s="4">
        <v>46104</v>
      </c>
      <c r="C11" s="6" t="s">
        <v>26</v>
      </c>
      <c r="D11" s="6" t="s">
        <v>88</v>
      </c>
      <c r="E11" s="6">
        <v>1</v>
      </c>
      <c r="F11" s="6">
        <v>2</v>
      </c>
      <c r="G11" s="105"/>
    </row>
    <row r="12" customHeight="1" spans="1:7">
      <c r="A12" s="3">
        <v>10</v>
      </c>
      <c r="B12" s="4">
        <v>46104</v>
      </c>
      <c r="C12" s="6" t="s">
        <v>27</v>
      </c>
      <c r="D12" s="6" t="s">
        <v>88</v>
      </c>
      <c r="E12" s="6">
        <v>3</v>
      </c>
      <c r="F12" s="6"/>
      <c r="G12" s="105"/>
    </row>
    <row r="13" customHeight="1" spans="1:7">
      <c r="A13" s="3">
        <v>11</v>
      </c>
      <c r="B13" s="4">
        <v>46104</v>
      </c>
      <c r="C13" s="6" t="s">
        <v>72</v>
      </c>
      <c r="D13" s="6" t="s">
        <v>88</v>
      </c>
      <c r="E13" s="6">
        <v>3</v>
      </c>
      <c r="F13" s="6"/>
      <c r="G13" s="105"/>
    </row>
    <row r="14" customHeight="1" spans="1:7">
      <c r="A14" s="3">
        <v>12</v>
      </c>
      <c r="B14" s="4">
        <v>46104</v>
      </c>
      <c r="C14" s="38" t="s">
        <v>30</v>
      </c>
      <c r="D14" s="6" t="s">
        <v>88</v>
      </c>
      <c r="E14" s="38">
        <v>3</v>
      </c>
      <c r="F14" s="70"/>
      <c r="G14" s="107"/>
    </row>
    <row r="15" customHeight="1" spans="1:7">
      <c r="A15" s="3">
        <v>13</v>
      </c>
      <c r="B15" s="4">
        <v>46104</v>
      </c>
      <c r="C15" s="19" t="s">
        <v>32</v>
      </c>
      <c r="D15" s="6" t="s">
        <v>88</v>
      </c>
      <c r="E15" s="19">
        <v>3</v>
      </c>
      <c r="F15" s="19"/>
      <c r="G15" s="105"/>
    </row>
    <row r="16" customHeight="1" spans="1:7">
      <c r="A16" s="3">
        <v>14</v>
      </c>
      <c r="B16" s="4">
        <v>46104</v>
      </c>
      <c r="C16" s="19" t="s">
        <v>33</v>
      </c>
      <c r="D16" s="6" t="s">
        <v>88</v>
      </c>
      <c r="E16" s="19">
        <v>3</v>
      </c>
      <c r="F16" s="45"/>
      <c r="G16" s="40"/>
    </row>
    <row r="17" customHeight="1" spans="1:7">
      <c r="A17" s="3">
        <v>15</v>
      </c>
      <c r="B17" s="4">
        <v>46104</v>
      </c>
      <c r="C17" s="19" t="s">
        <v>34</v>
      </c>
      <c r="D17" s="6" t="s">
        <v>88</v>
      </c>
      <c r="E17" s="19">
        <v>2</v>
      </c>
      <c r="F17" s="19">
        <v>1</v>
      </c>
      <c r="G17" s="40"/>
    </row>
    <row r="18" customHeight="1" spans="1:7">
      <c r="A18" s="3">
        <v>16</v>
      </c>
      <c r="B18" s="108">
        <v>46104</v>
      </c>
      <c r="C18" s="23" t="s">
        <v>36</v>
      </c>
      <c r="D18" s="38" t="s">
        <v>88</v>
      </c>
      <c r="E18" s="23">
        <v>2</v>
      </c>
      <c r="F18" s="23">
        <v>1</v>
      </c>
      <c r="G18" s="43"/>
    </row>
    <row r="19" customHeight="1" spans="1:7">
      <c r="A19" s="3">
        <v>17</v>
      </c>
      <c r="B19" s="109">
        <v>46104</v>
      </c>
      <c r="C19" s="45" t="s">
        <v>37</v>
      </c>
      <c r="D19" s="19" t="s">
        <v>88</v>
      </c>
      <c r="E19" s="19">
        <v>3</v>
      </c>
      <c r="F19" s="19">
        <v>3</v>
      </c>
      <c r="G19" s="6" t="s">
        <v>42</v>
      </c>
    </row>
    <row r="20" customHeight="1" spans="1:7">
      <c r="A20" s="3">
        <v>18</v>
      </c>
      <c r="B20" s="109">
        <v>46104</v>
      </c>
      <c r="C20" s="45" t="s">
        <v>38</v>
      </c>
      <c r="D20" s="19" t="s">
        <v>88</v>
      </c>
      <c r="E20" s="30">
        <v>3</v>
      </c>
      <c r="F20" s="30">
        <v>3</v>
      </c>
      <c r="G20" s="6" t="s">
        <v>42</v>
      </c>
    </row>
    <row r="21" customHeight="1" spans="1:7">
      <c r="A21" s="3">
        <v>20</v>
      </c>
      <c r="B21" s="104">
        <v>46104</v>
      </c>
      <c r="C21" s="19" t="s">
        <v>39</v>
      </c>
      <c r="D21" s="19" t="s">
        <v>88</v>
      </c>
      <c r="E21" s="30">
        <v>3</v>
      </c>
      <c r="F21" s="30"/>
      <c r="G21" s="40"/>
    </row>
    <row r="22" customHeight="1" spans="1:7">
      <c r="A22" s="110"/>
      <c r="E22">
        <f>SUM(E3:E21)</f>
        <v>43</v>
      </c>
      <c r="F22">
        <f>SUM(F3:F21)</f>
        <v>20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J30" sqref="J30"/>
    </sheetView>
  </sheetViews>
  <sheetFormatPr defaultColWidth="13.7142857142857" defaultRowHeight="25" customHeight="1" outlineLevelCol="6"/>
  <cols>
    <col min="1" max="6" width="13.7142857142857" customWidth="1"/>
    <col min="7" max="7" width="18.2857142857143" customWidth="1"/>
    <col min="8" max="16384" width="13.7142857142857" customWidth="1"/>
  </cols>
  <sheetData>
    <row r="1" customHeight="1" spans="1:7">
      <c r="A1" s="1" t="s">
        <v>84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</row>
    <row r="3" customHeight="1" spans="1:7">
      <c r="A3" s="3">
        <v>1</v>
      </c>
      <c r="B3" s="4">
        <v>46107</v>
      </c>
      <c r="C3" s="6" t="s">
        <v>13</v>
      </c>
      <c r="D3" s="6" t="s">
        <v>89</v>
      </c>
      <c r="E3" s="6">
        <v>2</v>
      </c>
      <c r="F3" s="6">
        <v>2</v>
      </c>
      <c r="G3" s="12"/>
    </row>
    <row r="4" customHeight="1" spans="1:7">
      <c r="A4" s="3">
        <v>2</v>
      </c>
      <c r="B4" s="4">
        <v>46107</v>
      </c>
      <c r="C4" s="60" t="s">
        <v>16</v>
      </c>
      <c r="D4" s="6" t="s">
        <v>89</v>
      </c>
      <c r="E4" s="6">
        <v>2</v>
      </c>
      <c r="F4" s="6">
        <v>2</v>
      </c>
      <c r="G4" s="52"/>
    </row>
    <row r="5" customHeight="1" spans="1:7">
      <c r="A5" s="3">
        <v>3</v>
      </c>
      <c r="B5" s="4">
        <v>46107</v>
      </c>
      <c r="C5" s="12" t="s">
        <v>18</v>
      </c>
      <c r="D5" s="6" t="s">
        <v>89</v>
      </c>
      <c r="E5" s="12"/>
      <c r="F5" s="12">
        <v>4</v>
      </c>
      <c r="G5" s="52" t="s">
        <v>25</v>
      </c>
    </row>
    <row r="6" customHeight="1" spans="1:7">
      <c r="A6" s="3">
        <v>4</v>
      </c>
      <c r="B6" s="4">
        <v>46107</v>
      </c>
      <c r="C6" s="6" t="s">
        <v>20</v>
      </c>
      <c r="D6" s="6" t="s">
        <v>89</v>
      </c>
      <c r="E6" s="6">
        <v>2</v>
      </c>
      <c r="F6" s="6">
        <v>2</v>
      </c>
      <c r="G6" s="52"/>
    </row>
    <row r="7" customHeight="1" spans="1:7">
      <c r="A7" s="3">
        <v>5</v>
      </c>
      <c r="B7" s="4">
        <v>46107</v>
      </c>
      <c r="C7" s="13" t="s">
        <v>21</v>
      </c>
      <c r="D7" s="6" t="s">
        <v>89</v>
      </c>
      <c r="E7" s="6"/>
      <c r="F7" s="14">
        <v>4</v>
      </c>
      <c r="G7" s="52"/>
    </row>
    <row r="8" customHeight="1" spans="1:7">
      <c r="A8" s="3">
        <v>6</v>
      </c>
      <c r="B8" s="4">
        <v>46107</v>
      </c>
      <c r="C8" s="6" t="s">
        <v>22</v>
      </c>
      <c r="D8" s="6" t="s">
        <v>89</v>
      </c>
      <c r="E8" s="6">
        <v>4</v>
      </c>
      <c r="F8" s="14"/>
      <c r="G8" s="40"/>
    </row>
    <row r="9" customHeight="1" spans="1:7">
      <c r="A9" s="3">
        <v>7</v>
      </c>
      <c r="B9" s="4">
        <v>46107</v>
      </c>
      <c r="C9" s="6" t="s">
        <v>23</v>
      </c>
      <c r="D9" s="6" t="s">
        <v>89</v>
      </c>
      <c r="E9" s="6">
        <v>4</v>
      </c>
      <c r="F9" s="14"/>
      <c r="G9" s="40"/>
    </row>
    <row r="10" customHeight="1" spans="1:7">
      <c r="A10" s="3">
        <v>8</v>
      </c>
      <c r="B10" s="4">
        <v>46107</v>
      </c>
      <c r="C10" s="6" t="s">
        <v>24</v>
      </c>
      <c r="D10" s="6" t="s">
        <v>89</v>
      </c>
      <c r="E10" s="6">
        <v>1</v>
      </c>
      <c r="F10" s="14">
        <v>1</v>
      </c>
      <c r="G10" s="40" t="s">
        <v>25</v>
      </c>
    </row>
    <row r="11" customHeight="1" spans="1:7">
      <c r="A11" s="3">
        <v>9</v>
      </c>
      <c r="B11" s="4">
        <v>46107</v>
      </c>
      <c r="C11" s="6" t="s">
        <v>26</v>
      </c>
      <c r="D11" s="6" t="s">
        <v>89</v>
      </c>
      <c r="E11" s="6">
        <v>2</v>
      </c>
      <c r="F11" s="14">
        <v>2</v>
      </c>
      <c r="G11" s="40" t="s">
        <v>25</v>
      </c>
    </row>
    <row r="12" customHeight="1" spans="1:7">
      <c r="A12" s="3">
        <v>10</v>
      </c>
      <c r="B12" s="4">
        <v>46107</v>
      </c>
      <c r="C12" s="6" t="s">
        <v>27</v>
      </c>
      <c r="D12" s="6" t="s">
        <v>89</v>
      </c>
      <c r="E12" s="6">
        <v>4</v>
      </c>
      <c r="F12" s="14"/>
      <c r="G12" s="40"/>
    </row>
    <row r="13" customHeight="1" spans="1:7">
      <c r="A13" s="3">
        <v>11</v>
      </c>
      <c r="B13" s="4">
        <v>46107</v>
      </c>
      <c r="C13" s="6" t="s">
        <v>72</v>
      </c>
      <c r="D13" s="6" t="s">
        <v>89</v>
      </c>
      <c r="E13" s="6">
        <v>4</v>
      </c>
      <c r="F13" s="14"/>
      <c r="G13" s="40"/>
    </row>
    <row r="14" customHeight="1" spans="1:7">
      <c r="A14" s="3">
        <v>12</v>
      </c>
      <c r="B14" s="4">
        <v>46107</v>
      </c>
      <c r="C14" s="38" t="s">
        <v>30</v>
      </c>
      <c r="D14" s="6" t="s">
        <v>89</v>
      </c>
      <c r="E14" s="38">
        <v>4</v>
      </c>
      <c r="F14" s="18"/>
      <c r="G14" s="40"/>
    </row>
    <row r="15" customHeight="1" spans="1:7">
      <c r="A15" s="3">
        <v>13</v>
      </c>
      <c r="B15" s="4">
        <v>46107</v>
      </c>
      <c r="C15" s="19" t="s">
        <v>32</v>
      </c>
      <c r="D15" s="6" t="s">
        <v>89</v>
      </c>
      <c r="E15" s="19">
        <v>4</v>
      </c>
      <c r="F15" s="20"/>
      <c r="G15" s="40"/>
    </row>
    <row r="16" customHeight="1" spans="1:7">
      <c r="A16" s="3">
        <v>14</v>
      </c>
      <c r="B16" s="4">
        <v>46107</v>
      </c>
      <c r="C16" s="19" t="s">
        <v>33</v>
      </c>
      <c r="D16" s="6" t="s">
        <v>89</v>
      </c>
      <c r="E16" s="19">
        <v>4</v>
      </c>
      <c r="F16" s="21"/>
      <c r="G16" s="40"/>
    </row>
    <row r="17" customHeight="1" spans="1:7">
      <c r="A17" s="3">
        <v>15</v>
      </c>
      <c r="B17" s="4">
        <v>46107</v>
      </c>
      <c r="C17" s="19" t="s">
        <v>34</v>
      </c>
      <c r="D17" s="6" t="s">
        <v>89</v>
      </c>
      <c r="E17" s="19">
        <v>2</v>
      </c>
      <c r="F17" s="20">
        <v>2</v>
      </c>
      <c r="G17" s="40"/>
    </row>
    <row r="18" customHeight="1" spans="1:7">
      <c r="A18" s="3">
        <v>16</v>
      </c>
      <c r="B18" s="4">
        <v>46107</v>
      </c>
      <c r="C18" s="19" t="s">
        <v>36</v>
      </c>
      <c r="D18" s="6" t="s">
        <v>89</v>
      </c>
      <c r="E18" s="19">
        <v>2</v>
      </c>
      <c r="F18" s="20">
        <v>2</v>
      </c>
      <c r="G18" s="40"/>
    </row>
    <row r="19" customHeight="1" spans="1:7">
      <c r="A19" s="3">
        <v>17</v>
      </c>
      <c r="B19" s="4">
        <v>46107</v>
      </c>
      <c r="C19" s="62" t="s">
        <v>37</v>
      </c>
      <c r="D19" s="38" t="s">
        <v>89</v>
      </c>
      <c r="E19" s="23">
        <v>4</v>
      </c>
      <c r="F19" s="24">
        <v>4</v>
      </c>
      <c r="G19" s="6" t="s">
        <v>42</v>
      </c>
    </row>
    <row r="20" customHeight="1" spans="1:7">
      <c r="A20" s="3">
        <v>18</v>
      </c>
      <c r="B20" s="4">
        <v>46107</v>
      </c>
      <c r="C20" s="45" t="s">
        <v>38</v>
      </c>
      <c r="D20" s="38" t="s">
        <v>89</v>
      </c>
      <c r="E20" s="30">
        <v>4</v>
      </c>
      <c r="F20" s="30">
        <v>4</v>
      </c>
      <c r="G20" s="6" t="s">
        <v>42</v>
      </c>
    </row>
    <row r="21" customHeight="1" spans="1:7">
      <c r="A21" s="26">
        <v>20</v>
      </c>
      <c r="B21" s="4">
        <v>46107</v>
      </c>
      <c r="C21" s="23" t="s">
        <v>39</v>
      </c>
      <c r="D21" s="38" t="s">
        <v>89</v>
      </c>
      <c r="E21" s="28">
        <v>2</v>
      </c>
      <c r="F21" s="28">
        <v>2</v>
      </c>
      <c r="G21" s="37"/>
    </row>
    <row r="22" customHeight="1" spans="1:7">
      <c r="A22" s="26">
        <v>21</v>
      </c>
      <c r="B22" s="4">
        <v>46107</v>
      </c>
      <c r="C22" s="19" t="s">
        <v>41</v>
      </c>
      <c r="D22" s="38" t="s">
        <v>89</v>
      </c>
      <c r="E22" s="30">
        <v>4</v>
      </c>
      <c r="F22" s="30">
        <v>4</v>
      </c>
      <c r="G22" s="6" t="s">
        <v>42</v>
      </c>
    </row>
    <row r="23" customHeight="1" spans="1:7">
      <c r="A23" s="26">
        <v>22</v>
      </c>
      <c r="B23" s="4">
        <v>46107</v>
      </c>
      <c r="C23" s="19" t="s">
        <v>43</v>
      </c>
      <c r="D23" s="38" t="s">
        <v>89</v>
      </c>
      <c r="E23" s="30">
        <v>2</v>
      </c>
      <c r="F23" s="30">
        <v>2</v>
      </c>
      <c r="G23" s="37"/>
    </row>
    <row r="24" customHeight="1" spans="1:7">
      <c r="A24" s="26">
        <v>23</v>
      </c>
      <c r="B24" s="4">
        <v>46107</v>
      </c>
      <c r="C24" s="19" t="s">
        <v>44</v>
      </c>
      <c r="D24" s="38" t="s">
        <v>89</v>
      </c>
      <c r="E24" s="30">
        <v>4</v>
      </c>
      <c r="F24" s="30">
        <v>4</v>
      </c>
      <c r="G24" s="6" t="s">
        <v>42</v>
      </c>
    </row>
    <row r="25" customHeight="1" spans="1:7">
      <c r="A25" s="26">
        <v>24</v>
      </c>
      <c r="B25" s="4">
        <v>46107</v>
      </c>
      <c r="C25" s="19" t="s">
        <v>45</v>
      </c>
      <c r="D25" s="38" t="s">
        <v>89</v>
      </c>
      <c r="E25" s="30">
        <v>2</v>
      </c>
      <c r="F25" s="30">
        <v>2</v>
      </c>
      <c r="G25" s="37"/>
    </row>
    <row r="26" customHeight="1" spans="1:7">
      <c r="A26" s="26">
        <v>25</v>
      </c>
      <c r="B26" s="4">
        <v>46107</v>
      </c>
      <c r="C26" s="23" t="s">
        <v>46</v>
      </c>
      <c r="D26" s="38" t="s">
        <v>89</v>
      </c>
      <c r="E26" s="28">
        <v>4</v>
      </c>
      <c r="F26" s="28">
        <v>4</v>
      </c>
      <c r="G26" s="38" t="s">
        <v>50</v>
      </c>
    </row>
    <row r="27" customHeight="1" spans="1:7">
      <c r="A27" s="3">
        <v>26</v>
      </c>
      <c r="B27" s="4">
        <v>46107</v>
      </c>
      <c r="C27" s="19" t="s">
        <v>48</v>
      </c>
      <c r="D27" s="19" t="s">
        <v>89</v>
      </c>
      <c r="E27" s="30">
        <v>2</v>
      </c>
      <c r="F27" s="30">
        <v>2</v>
      </c>
      <c r="G27" s="45"/>
    </row>
    <row r="28" customHeight="1" spans="1:7">
      <c r="A28" s="34">
        <v>27</v>
      </c>
      <c r="B28" s="4">
        <v>46107</v>
      </c>
      <c r="C28" s="19" t="s">
        <v>49</v>
      </c>
      <c r="D28" s="19" t="s">
        <v>89</v>
      </c>
      <c r="E28" s="30">
        <v>4</v>
      </c>
      <c r="F28" s="35">
        <v>4</v>
      </c>
      <c r="G28" s="53" t="s">
        <v>50</v>
      </c>
    </row>
    <row r="29" customHeight="1" spans="1:7">
      <c r="A29" s="34">
        <v>28</v>
      </c>
      <c r="B29" s="4">
        <v>46107</v>
      </c>
      <c r="C29" s="6" t="s">
        <v>51</v>
      </c>
      <c r="D29" s="19" t="s">
        <v>89</v>
      </c>
      <c r="E29" s="30">
        <v>4</v>
      </c>
      <c r="F29" s="35">
        <v>4</v>
      </c>
      <c r="G29" s="6" t="s">
        <v>52</v>
      </c>
    </row>
    <row r="30" customHeight="1" spans="1:7">
      <c r="A30" s="34">
        <v>29</v>
      </c>
      <c r="B30" s="4">
        <v>46107</v>
      </c>
      <c r="C30" s="6" t="s">
        <v>53</v>
      </c>
      <c r="D30" s="19" t="s">
        <v>89</v>
      </c>
      <c r="E30" s="30">
        <v>4</v>
      </c>
      <c r="F30" s="35">
        <v>4</v>
      </c>
      <c r="G30" s="6" t="s">
        <v>52</v>
      </c>
    </row>
    <row r="31" customHeight="1" spans="1:7">
      <c r="A31" s="34">
        <v>30</v>
      </c>
      <c r="B31" s="4">
        <v>46107</v>
      </c>
      <c r="C31" s="6" t="s">
        <v>54</v>
      </c>
      <c r="D31" s="19" t="s">
        <v>89</v>
      </c>
      <c r="E31" s="6">
        <v>4</v>
      </c>
      <c r="F31" s="37"/>
      <c r="G31" s="37"/>
    </row>
    <row r="32" customHeight="1" spans="1:7">
      <c r="A32" s="34">
        <v>31</v>
      </c>
      <c r="B32" s="4">
        <v>46107</v>
      </c>
      <c r="C32" s="6" t="s">
        <v>56</v>
      </c>
      <c r="D32" s="19" t="s">
        <v>89</v>
      </c>
      <c r="E32" s="6">
        <v>4</v>
      </c>
      <c r="F32" s="37"/>
      <c r="G32" s="6" t="s">
        <v>57</v>
      </c>
    </row>
    <row r="33" customHeight="1" spans="1:7">
      <c r="A33" s="34">
        <v>32</v>
      </c>
      <c r="B33" s="4">
        <v>46107</v>
      </c>
      <c r="C33" s="6" t="s">
        <v>58</v>
      </c>
      <c r="D33" s="19" t="s">
        <v>89</v>
      </c>
      <c r="E33" s="6">
        <v>8</v>
      </c>
      <c r="F33" s="6">
        <v>8</v>
      </c>
      <c r="G33" s="6" t="s">
        <v>59</v>
      </c>
    </row>
    <row r="34" customHeight="1" spans="1:7">
      <c r="A34" s="34">
        <v>33</v>
      </c>
      <c r="B34" s="4">
        <v>46107</v>
      </c>
      <c r="C34" s="6" t="s">
        <v>60</v>
      </c>
      <c r="D34" s="19" t="s">
        <v>89</v>
      </c>
      <c r="E34" s="6">
        <v>4</v>
      </c>
      <c r="F34" s="6">
        <v>4</v>
      </c>
      <c r="G34" s="13" t="s">
        <v>52</v>
      </c>
    </row>
    <row r="35" customHeight="1" spans="1:7">
      <c r="E35">
        <f>SUM(E3:E34)</f>
        <v>101</v>
      </c>
      <c r="F35">
        <f>SUM(F3:F34)</f>
        <v>73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opLeftCell="A15" workbookViewId="0">
      <selection activeCell="C27" sqref="C27"/>
    </sheetView>
  </sheetViews>
  <sheetFormatPr defaultColWidth="15.7142857142857" defaultRowHeight="25" customHeight="1"/>
  <cols>
    <col min="1" max="6" width="15.7142857142857" customWidth="1"/>
    <col min="7" max="7" width="25.1428571428571" customWidth="1"/>
    <col min="8" max="16384" width="15.7142857142857" customWidth="1"/>
  </cols>
  <sheetData>
    <row r="1" customHeight="1" spans="1:15">
      <c r="A1" s="1" t="s">
        <v>84</v>
      </c>
      <c r="B1" s="1"/>
      <c r="C1" s="1"/>
      <c r="D1" s="1"/>
      <c r="E1" s="1"/>
      <c r="F1" s="1"/>
      <c r="G1" s="1"/>
      <c r="I1" s="74"/>
      <c r="J1" s="74"/>
      <c r="K1" s="74"/>
      <c r="L1" s="74"/>
      <c r="M1" s="74"/>
      <c r="N1" s="74"/>
      <c r="O1" s="74"/>
    </row>
    <row r="2" customHeight="1" spans="1:15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  <c r="I2" s="75"/>
      <c r="J2" s="75"/>
      <c r="K2" s="75"/>
      <c r="L2" s="75"/>
      <c r="M2" s="75"/>
      <c r="N2" s="75"/>
      <c r="O2" s="75"/>
    </row>
    <row r="3" customHeight="1" spans="1:15">
      <c r="A3" s="76">
        <v>1</v>
      </c>
      <c r="B3" s="77">
        <v>46111</v>
      </c>
      <c r="C3" s="78" t="s">
        <v>13</v>
      </c>
      <c r="D3" s="78" t="s">
        <v>88</v>
      </c>
      <c r="E3" s="78">
        <v>2</v>
      </c>
      <c r="F3" s="78">
        <v>1</v>
      </c>
      <c r="G3" s="66"/>
      <c r="I3" s="79"/>
      <c r="J3" s="80"/>
      <c r="K3" s="81"/>
      <c r="L3" s="81"/>
      <c r="M3" s="81"/>
      <c r="N3" s="81"/>
      <c r="O3" s="82"/>
    </row>
    <row r="4" customHeight="1" spans="1:15">
      <c r="A4" s="76">
        <v>2</v>
      </c>
      <c r="B4" s="83">
        <v>46111</v>
      </c>
      <c r="C4" s="60" t="s">
        <v>16</v>
      </c>
      <c r="D4" s="9" t="s">
        <v>91</v>
      </c>
      <c r="E4" s="9">
        <v>2</v>
      </c>
      <c r="F4" s="9"/>
      <c r="G4" s="52" t="s">
        <v>17</v>
      </c>
      <c r="I4" s="79"/>
      <c r="J4" s="84"/>
      <c r="K4" s="85"/>
      <c r="L4" s="85"/>
      <c r="M4" s="85"/>
      <c r="N4" s="85"/>
      <c r="O4" s="86"/>
    </row>
    <row r="5" customHeight="1" spans="1:15">
      <c r="A5" s="76">
        <v>3</v>
      </c>
      <c r="B5" s="83">
        <v>46111</v>
      </c>
      <c r="C5" s="12" t="s">
        <v>18</v>
      </c>
      <c r="D5" s="9" t="s">
        <v>91</v>
      </c>
      <c r="E5" s="12"/>
      <c r="F5" s="12">
        <v>4</v>
      </c>
      <c r="G5" s="52" t="s">
        <v>19</v>
      </c>
      <c r="I5" s="87"/>
      <c r="J5" s="84"/>
      <c r="K5" s="88"/>
      <c r="L5" s="85"/>
      <c r="M5" s="85"/>
      <c r="N5" s="85"/>
      <c r="O5" s="86"/>
    </row>
    <row r="6" customHeight="1" spans="1:15">
      <c r="A6" s="76">
        <v>4</v>
      </c>
      <c r="B6" s="83">
        <v>46111</v>
      </c>
      <c r="C6" s="9" t="s">
        <v>20</v>
      </c>
      <c r="D6" s="9" t="s">
        <v>88</v>
      </c>
      <c r="E6" s="9">
        <v>3</v>
      </c>
      <c r="F6" s="9"/>
      <c r="G6" s="52"/>
      <c r="I6" s="87"/>
      <c r="J6" s="84"/>
      <c r="K6" s="85"/>
      <c r="L6" s="85"/>
      <c r="M6" s="85"/>
      <c r="N6" s="85"/>
      <c r="O6" s="87"/>
    </row>
    <row r="7" customHeight="1" spans="1:15">
      <c r="A7" s="76">
        <v>5</v>
      </c>
      <c r="B7" s="83">
        <v>46111</v>
      </c>
      <c r="C7" s="89" t="s">
        <v>21</v>
      </c>
      <c r="D7" s="9" t="s">
        <v>88</v>
      </c>
      <c r="E7" s="9"/>
      <c r="F7" s="90">
        <v>3</v>
      </c>
      <c r="G7" s="52"/>
      <c r="I7" s="87"/>
      <c r="J7" s="84"/>
      <c r="K7" s="85"/>
      <c r="L7" s="85"/>
      <c r="M7" s="85"/>
      <c r="N7" s="85"/>
      <c r="O7" s="87"/>
    </row>
    <row r="8" customHeight="1" spans="1:15">
      <c r="A8" s="76">
        <v>6</v>
      </c>
      <c r="B8" s="83">
        <v>46111</v>
      </c>
      <c r="C8" s="9" t="s">
        <v>22</v>
      </c>
      <c r="D8" s="9" t="s">
        <v>88</v>
      </c>
      <c r="E8" s="9">
        <v>3</v>
      </c>
      <c r="F8" s="90"/>
      <c r="G8" s="91" t="s">
        <v>92</v>
      </c>
      <c r="I8" s="87"/>
      <c r="J8" s="87"/>
      <c r="K8" s="85"/>
      <c r="L8" s="85"/>
      <c r="M8" s="85"/>
      <c r="N8" s="85"/>
      <c r="O8" s="87"/>
    </row>
    <row r="9" customHeight="1" spans="1:15">
      <c r="A9" s="76">
        <v>7</v>
      </c>
      <c r="B9" s="83">
        <v>46111</v>
      </c>
      <c r="C9" s="9" t="s">
        <v>23</v>
      </c>
      <c r="D9" s="9" t="s">
        <v>88</v>
      </c>
      <c r="E9" s="9">
        <v>3</v>
      </c>
      <c r="F9" s="90"/>
      <c r="G9" s="91"/>
      <c r="I9" s="87"/>
      <c r="J9" s="84"/>
      <c r="K9" s="85"/>
      <c r="L9" s="85"/>
      <c r="M9" s="85"/>
      <c r="N9" s="85"/>
      <c r="O9" s="87"/>
    </row>
    <row r="10" customHeight="1" spans="1:15">
      <c r="A10" s="76">
        <v>8</v>
      </c>
      <c r="B10" s="83">
        <v>46111</v>
      </c>
      <c r="C10" s="9" t="s">
        <v>24</v>
      </c>
      <c r="D10" s="9" t="s">
        <v>88</v>
      </c>
      <c r="E10" s="9"/>
      <c r="F10" s="90">
        <v>3</v>
      </c>
      <c r="G10" s="91" t="s">
        <v>25</v>
      </c>
      <c r="I10" s="87"/>
      <c r="J10" s="84"/>
      <c r="K10" s="85"/>
      <c r="L10" s="85"/>
      <c r="M10" s="85"/>
      <c r="N10" s="85"/>
      <c r="O10" s="87"/>
    </row>
    <row r="11" customHeight="1" spans="1:15">
      <c r="A11" s="76">
        <v>9</v>
      </c>
      <c r="B11" s="83">
        <v>46111</v>
      </c>
      <c r="C11" s="9" t="s">
        <v>26</v>
      </c>
      <c r="D11" s="9" t="s">
        <v>88</v>
      </c>
      <c r="E11" s="9"/>
      <c r="F11" s="90">
        <v>3</v>
      </c>
      <c r="G11" s="91" t="s">
        <v>25</v>
      </c>
      <c r="I11" s="87"/>
      <c r="J11" s="84"/>
      <c r="K11" s="85"/>
      <c r="L11" s="85"/>
      <c r="M11" s="85"/>
      <c r="N11" s="85"/>
      <c r="O11" s="87"/>
    </row>
    <row r="12" customHeight="1" spans="1:15">
      <c r="A12" s="76">
        <v>10</v>
      </c>
      <c r="B12" s="83">
        <v>46111</v>
      </c>
      <c r="C12" s="9" t="s">
        <v>27</v>
      </c>
      <c r="D12" s="9" t="s">
        <v>88</v>
      </c>
      <c r="E12" s="9">
        <v>3</v>
      </c>
      <c r="F12" s="90"/>
      <c r="G12" s="91"/>
      <c r="I12" s="87"/>
      <c r="J12" s="84"/>
      <c r="K12" s="85"/>
      <c r="L12" s="85"/>
      <c r="M12" s="85"/>
      <c r="N12" s="92"/>
      <c r="O12" s="87"/>
    </row>
    <row r="13" customHeight="1" spans="1:15">
      <c r="A13" s="76">
        <v>11</v>
      </c>
      <c r="B13" s="83">
        <v>46111</v>
      </c>
      <c r="C13" s="9" t="s">
        <v>72</v>
      </c>
      <c r="D13" s="9" t="s">
        <v>91</v>
      </c>
      <c r="E13" s="9">
        <v>4</v>
      </c>
      <c r="F13" s="90"/>
      <c r="G13" s="89" t="s">
        <v>29</v>
      </c>
      <c r="I13" s="87"/>
      <c r="J13" s="84"/>
      <c r="K13" s="93"/>
      <c r="L13" s="85"/>
      <c r="M13" s="85"/>
      <c r="N13" s="85"/>
      <c r="O13" s="87"/>
    </row>
    <row r="14" customHeight="1" spans="1:15">
      <c r="A14" s="76">
        <v>12</v>
      </c>
      <c r="B14" s="83">
        <v>46111</v>
      </c>
      <c r="C14" s="42" t="s">
        <v>30</v>
      </c>
      <c r="D14" s="9" t="s">
        <v>91</v>
      </c>
      <c r="E14" s="42">
        <v>2</v>
      </c>
      <c r="F14" s="94"/>
      <c r="G14" s="91" t="s">
        <v>31</v>
      </c>
      <c r="I14" s="87"/>
      <c r="J14" s="84"/>
      <c r="K14" s="85"/>
      <c r="L14" s="85"/>
      <c r="M14" s="85"/>
      <c r="N14" s="85"/>
      <c r="O14" s="87"/>
    </row>
    <row r="15" customHeight="1" spans="1:15">
      <c r="A15" s="76">
        <v>13</v>
      </c>
      <c r="B15" s="83">
        <v>46111</v>
      </c>
      <c r="C15" s="95" t="s">
        <v>32</v>
      </c>
      <c r="D15" s="9" t="s">
        <v>88</v>
      </c>
      <c r="E15" s="95">
        <v>3</v>
      </c>
      <c r="F15" s="96"/>
      <c r="G15" s="91"/>
      <c r="I15" s="87"/>
      <c r="J15" s="87"/>
      <c r="K15" s="85"/>
      <c r="L15" s="85"/>
      <c r="M15" s="97"/>
      <c r="N15" s="97"/>
      <c r="O15" s="92"/>
    </row>
    <row r="16" customHeight="1" spans="1:15">
      <c r="A16" s="76">
        <v>14</v>
      </c>
      <c r="B16" s="83">
        <v>46111</v>
      </c>
      <c r="C16" s="95" t="s">
        <v>33</v>
      </c>
      <c r="D16" s="9" t="s">
        <v>88</v>
      </c>
      <c r="E16" s="95">
        <v>3</v>
      </c>
      <c r="F16" s="98"/>
      <c r="G16" s="91"/>
      <c r="I16" s="87"/>
      <c r="J16" s="87"/>
      <c r="K16" s="85"/>
      <c r="L16" s="85"/>
      <c r="M16" s="97"/>
      <c r="N16" s="97"/>
      <c r="O16" s="92"/>
    </row>
    <row r="17" customHeight="1" spans="1:15">
      <c r="A17" s="76">
        <v>15</v>
      </c>
      <c r="B17" s="83">
        <v>46111</v>
      </c>
      <c r="C17" s="99" t="s">
        <v>34</v>
      </c>
      <c r="D17" s="9" t="s">
        <v>88</v>
      </c>
      <c r="E17" s="95"/>
      <c r="F17" s="96">
        <v>3</v>
      </c>
      <c r="G17" s="91" t="s">
        <v>25</v>
      </c>
      <c r="I17" s="87"/>
      <c r="J17" s="87"/>
      <c r="K17" s="85"/>
      <c r="L17" s="85"/>
      <c r="M17" s="97"/>
      <c r="N17" s="97"/>
      <c r="O17" s="92"/>
    </row>
    <row r="18" customHeight="1" spans="1:15">
      <c r="A18" s="76">
        <v>16</v>
      </c>
      <c r="B18" s="83">
        <v>46111</v>
      </c>
      <c r="C18" s="95" t="s">
        <v>36</v>
      </c>
      <c r="D18" s="9" t="s">
        <v>88</v>
      </c>
      <c r="E18" s="95">
        <v>2</v>
      </c>
      <c r="F18" s="96">
        <v>1</v>
      </c>
      <c r="G18" s="91"/>
      <c r="I18" s="87"/>
      <c r="J18" s="87"/>
      <c r="K18" s="85"/>
      <c r="L18" s="85"/>
      <c r="M18" s="97"/>
      <c r="N18" s="97"/>
      <c r="O18" s="85"/>
    </row>
    <row r="19" customHeight="1" spans="1:15">
      <c r="A19" s="76">
        <v>17</v>
      </c>
      <c r="B19" s="83">
        <v>46111</v>
      </c>
      <c r="C19" s="100" t="s">
        <v>37</v>
      </c>
      <c r="D19" s="9" t="s">
        <v>91</v>
      </c>
      <c r="E19" s="63">
        <v>2</v>
      </c>
      <c r="F19" s="101">
        <v>2</v>
      </c>
      <c r="G19" s="89" t="s">
        <v>29</v>
      </c>
      <c r="I19" s="87"/>
      <c r="J19" s="87"/>
      <c r="K19" s="85"/>
      <c r="L19" s="85"/>
      <c r="M19" s="85"/>
      <c r="N19" s="85"/>
      <c r="O19" s="85"/>
    </row>
    <row r="20" customHeight="1" spans="1:15">
      <c r="A20" s="3">
        <v>18</v>
      </c>
      <c r="B20" s="4">
        <v>46111</v>
      </c>
      <c r="C20" s="45" t="s">
        <v>38</v>
      </c>
      <c r="D20" s="6" t="s">
        <v>91</v>
      </c>
      <c r="E20" s="30">
        <v>2</v>
      </c>
      <c r="F20" s="30">
        <v>2</v>
      </c>
      <c r="G20" s="13" t="s">
        <v>29</v>
      </c>
      <c r="I20" s="87"/>
      <c r="J20" s="87"/>
      <c r="K20" s="87"/>
      <c r="L20" s="87"/>
      <c r="M20" s="87"/>
      <c r="N20" s="87"/>
      <c r="O20" s="87"/>
    </row>
    <row r="21" customHeight="1" spans="1:15">
      <c r="A21" s="26">
        <v>20</v>
      </c>
      <c r="B21" s="4">
        <v>46111</v>
      </c>
      <c r="C21" s="23" t="s">
        <v>39</v>
      </c>
      <c r="D21" s="6" t="s">
        <v>88</v>
      </c>
      <c r="E21" s="28">
        <v>2</v>
      </c>
      <c r="F21" s="28">
        <v>1</v>
      </c>
      <c r="G21" s="37" t="s">
        <v>93</v>
      </c>
    </row>
    <row r="22" customHeight="1" spans="1:15">
      <c r="A22" s="26">
        <v>21</v>
      </c>
      <c r="B22" s="4">
        <v>46111</v>
      </c>
      <c r="C22" s="19" t="s">
        <v>41</v>
      </c>
      <c r="D22" s="6" t="s">
        <v>88</v>
      </c>
      <c r="E22" s="30">
        <v>3</v>
      </c>
      <c r="F22" s="30">
        <v>3</v>
      </c>
      <c r="G22" s="6" t="s">
        <v>42</v>
      </c>
    </row>
    <row r="23" customHeight="1" spans="1:15">
      <c r="A23" s="26">
        <v>22</v>
      </c>
      <c r="B23" s="4">
        <v>46111</v>
      </c>
      <c r="C23" s="19" t="s">
        <v>43</v>
      </c>
      <c r="D23" s="6" t="s">
        <v>88</v>
      </c>
      <c r="E23" s="30">
        <v>2</v>
      </c>
      <c r="F23" s="30">
        <v>1</v>
      </c>
      <c r="G23" s="37"/>
    </row>
    <row r="24" customHeight="1" spans="1:15">
      <c r="A24" s="26">
        <v>23</v>
      </c>
      <c r="B24" s="4">
        <v>46111</v>
      </c>
      <c r="C24" s="19" t="s">
        <v>44</v>
      </c>
      <c r="D24" s="6" t="s">
        <v>88</v>
      </c>
      <c r="E24" s="30">
        <v>3</v>
      </c>
      <c r="F24" s="30">
        <v>3</v>
      </c>
      <c r="G24" s="102" t="s">
        <v>94</v>
      </c>
    </row>
    <row r="25" customHeight="1" spans="1:15">
      <c r="A25" s="26">
        <v>24</v>
      </c>
      <c r="B25" s="4">
        <v>46111</v>
      </c>
      <c r="C25" s="19" t="s">
        <v>45</v>
      </c>
      <c r="D25" s="6" t="s">
        <v>88</v>
      </c>
      <c r="E25" s="30">
        <v>2</v>
      </c>
      <c r="F25" s="30">
        <v>1</v>
      </c>
      <c r="G25" s="37"/>
    </row>
    <row r="26" customHeight="1" spans="1:15">
      <c r="A26" s="26">
        <v>25</v>
      </c>
      <c r="B26" s="4">
        <v>46111</v>
      </c>
      <c r="C26" s="23" t="s">
        <v>46</v>
      </c>
      <c r="D26" s="6" t="s">
        <v>91</v>
      </c>
      <c r="E26" s="28">
        <v>2</v>
      </c>
      <c r="F26" s="28">
        <v>2</v>
      </c>
      <c r="G26" s="38" t="s">
        <v>47</v>
      </c>
    </row>
    <row r="27" customHeight="1" spans="1:15">
      <c r="A27" s="3">
        <v>26</v>
      </c>
      <c r="B27" s="4">
        <v>46111</v>
      </c>
      <c r="C27" s="19" t="s">
        <v>48</v>
      </c>
      <c r="D27" s="6" t="s">
        <v>91</v>
      </c>
      <c r="E27" s="30">
        <v>4</v>
      </c>
      <c r="F27" s="30"/>
      <c r="G27" s="13" t="s">
        <v>92</v>
      </c>
    </row>
    <row r="28" customHeight="1" spans="1:15">
      <c r="A28" s="34">
        <v>27</v>
      </c>
      <c r="B28" s="4">
        <v>46111</v>
      </c>
      <c r="C28" s="19" t="s">
        <v>49</v>
      </c>
      <c r="D28" s="6" t="s">
        <v>88</v>
      </c>
      <c r="E28" s="30">
        <v>6</v>
      </c>
      <c r="F28" s="35"/>
      <c r="G28" s="53" t="s">
        <v>50</v>
      </c>
    </row>
    <row r="29" customHeight="1" spans="1:15">
      <c r="A29" s="34">
        <v>28</v>
      </c>
      <c r="B29" s="4">
        <v>46111</v>
      </c>
      <c r="C29" s="6" t="s">
        <v>51</v>
      </c>
      <c r="D29" s="6" t="s">
        <v>88</v>
      </c>
      <c r="E29" s="6">
        <v>3</v>
      </c>
      <c r="F29" s="6">
        <v>3</v>
      </c>
      <c r="G29" s="6" t="s">
        <v>52</v>
      </c>
    </row>
    <row r="30" customHeight="1" spans="1:15">
      <c r="A30" s="34">
        <v>29</v>
      </c>
      <c r="B30" s="4">
        <v>46111</v>
      </c>
      <c r="C30" s="6" t="s">
        <v>53</v>
      </c>
      <c r="D30" s="6" t="s">
        <v>91</v>
      </c>
      <c r="E30" s="6">
        <v>4</v>
      </c>
      <c r="F30" s="6">
        <v>4</v>
      </c>
      <c r="G30" s="13" t="s">
        <v>29</v>
      </c>
    </row>
    <row r="31" customHeight="1" spans="1:15">
      <c r="A31" s="34">
        <v>30</v>
      </c>
      <c r="B31" s="4">
        <v>46111</v>
      </c>
      <c r="C31" s="6" t="s">
        <v>54</v>
      </c>
      <c r="D31" s="6" t="s">
        <v>88</v>
      </c>
      <c r="E31" s="6">
        <v>3</v>
      </c>
      <c r="F31" s="37"/>
      <c r="G31" s="37"/>
    </row>
    <row r="32" customHeight="1" spans="1:15">
      <c r="A32" s="34">
        <v>31</v>
      </c>
      <c r="B32" s="4">
        <v>46111</v>
      </c>
      <c r="C32" s="6" t="s">
        <v>56</v>
      </c>
      <c r="D32" s="6" t="s">
        <v>88</v>
      </c>
      <c r="E32" s="6">
        <v>3</v>
      </c>
      <c r="F32" s="37"/>
      <c r="G32" s="6" t="s">
        <v>57</v>
      </c>
    </row>
    <row r="33" customHeight="1" spans="1:7">
      <c r="A33" s="34">
        <v>32</v>
      </c>
      <c r="B33" s="4">
        <v>46111</v>
      </c>
      <c r="C33" s="6" t="s">
        <v>58</v>
      </c>
      <c r="D33" s="6" t="s">
        <v>88</v>
      </c>
      <c r="E33" s="6">
        <v>3</v>
      </c>
      <c r="F33" s="6">
        <v>3</v>
      </c>
      <c r="G33" s="6" t="s">
        <v>59</v>
      </c>
    </row>
    <row r="34" customHeight="1" spans="1:7">
      <c r="A34" s="3">
        <v>33</v>
      </c>
      <c r="B34" s="103">
        <v>46111</v>
      </c>
      <c r="C34" s="38" t="s">
        <v>60</v>
      </c>
      <c r="D34" s="6" t="s">
        <v>88</v>
      </c>
      <c r="E34" s="38">
        <v>4</v>
      </c>
      <c r="F34" s="38">
        <v>4</v>
      </c>
      <c r="G34" s="54" t="s">
        <v>29</v>
      </c>
    </row>
    <row r="35" customHeight="1" spans="1:7">
      <c r="A35" s="3">
        <v>34</v>
      </c>
      <c r="B35" s="103">
        <v>46111</v>
      </c>
      <c r="C35" s="19" t="s">
        <v>24</v>
      </c>
      <c r="D35" s="40" t="s">
        <v>95</v>
      </c>
      <c r="E35" s="40">
        <v>1</v>
      </c>
      <c r="F35" s="40">
        <v>1</v>
      </c>
      <c r="G35" s="40"/>
    </row>
    <row r="36" customHeight="1" spans="1:7">
      <c r="A36" s="3">
        <v>35</v>
      </c>
      <c r="B36" s="104">
        <v>46111</v>
      </c>
      <c r="C36" s="19" t="s">
        <v>20</v>
      </c>
      <c r="D36" s="40" t="s">
        <v>88</v>
      </c>
      <c r="E36" s="40">
        <v>3</v>
      </c>
      <c r="F36" s="40"/>
      <c r="G36" s="40"/>
    </row>
    <row r="37" customHeight="1" spans="1:7">
      <c r="E37">
        <f>SUM(E3:E36)</f>
        <v>82</v>
      </c>
      <c r="F37">
        <f>SUM(F3:F36)</f>
        <v>48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opLeftCell="C21" workbookViewId="0">
      <selection activeCell="C8" sqref="$A8:$XFD8"/>
    </sheetView>
  </sheetViews>
  <sheetFormatPr defaultColWidth="15.7142857142857" defaultRowHeight="25" customHeight="1" outlineLevelCol="7"/>
  <cols>
    <col min="1" max="6" width="15.7142857142857" customWidth="1"/>
    <col min="7" max="7" width="29.4285714285714" customWidth="1"/>
    <col min="8" max="16384" width="15.7142857142857" customWidth="1"/>
  </cols>
  <sheetData>
    <row r="1" customHeight="1" spans="1:8">
      <c r="A1" s="1" t="s">
        <v>84</v>
      </c>
      <c r="B1" s="1"/>
      <c r="C1" s="1"/>
      <c r="D1" s="1"/>
      <c r="E1" s="1"/>
      <c r="F1" s="1"/>
      <c r="G1" s="1"/>
    </row>
    <row r="2" customHeight="1" spans="1:8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</row>
    <row r="3" customHeight="1" spans="1:8">
      <c r="A3" s="3">
        <v>1</v>
      </c>
      <c r="B3" s="4">
        <v>46114</v>
      </c>
      <c r="C3" s="6" t="s">
        <v>13</v>
      </c>
      <c r="D3" s="6" t="s">
        <v>89</v>
      </c>
      <c r="E3" s="6">
        <v>2</v>
      </c>
      <c r="F3" s="6">
        <v>2</v>
      </c>
      <c r="G3" s="12"/>
      <c r="H3" s="6">
        <v>13422074123</v>
      </c>
    </row>
    <row r="4" customHeight="1" spans="1:8">
      <c r="A4" s="3">
        <v>2</v>
      </c>
      <c r="B4" s="4">
        <v>46114</v>
      </c>
      <c r="C4" s="71" t="s">
        <v>16</v>
      </c>
      <c r="D4" s="6" t="s">
        <v>91</v>
      </c>
      <c r="E4" s="6">
        <v>2</v>
      </c>
      <c r="F4" s="6"/>
      <c r="G4" s="52" t="s">
        <v>19</v>
      </c>
      <c r="H4" s="6">
        <v>13553996667</v>
      </c>
    </row>
    <row r="5" customHeight="1" spans="1:8">
      <c r="A5" s="3">
        <v>3</v>
      </c>
      <c r="B5" s="4">
        <v>46114</v>
      </c>
      <c r="C5" s="72" t="s">
        <v>18</v>
      </c>
      <c r="D5" s="6" t="s">
        <v>91</v>
      </c>
      <c r="E5" s="12"/>
      <c r="F5" s="12">
        <v>2</v>
      </c>
      <c r="G5" s="52" t="s">
        <v>19</v>
      </c>
      <c r="H5" s="6">
        <v>15521014862</v>
      </c>
    </row>
    <row r="6" customHeight="1" spans="1:8">
      <c r="A6" s="3">
        <v>4</v>
      </c>
      <c r="B6" s="4">
        <v>46114</v>
      </c>
      <c r="C6" s="6" t="s">
        <v>20</v>
      </c>
      <c r="D6" s="6" t="s">
        <v>89</v>
      </c>
      <c r="E6" s="6">
        <v>4</v>
      </c>
      <c r="F6" s="6"/>
      <c r="G6" s="52"/>
      <c r="H6" s="6">
        <v>13416558182</v>
      </c>
    </row>
    <row r="7" customHeight="1" spans="1:8">
      <c r="A7" s="3">
        <v>5</v>
      </c>
      <c r="B7" s="4">
        <v>46114</v>
      </c>
      <c r="C7" s="13" t="s">
        <v>21</v>
      </c>
      <c r="D7" s="6" t="s">
        <v>89</v>
      </c>
      <c r="E7" s="6"/>
      <c r="F7" s="14">
        <v>4</v>
      </c>
      <c r="G7" s="52"/>
      <c r="H7" s="6">
        <v>19878083622</v>
      </c>
    </row>
    <row r="8" customHeight="1" spans="1:8">
      <c r="A8" s="3">
        <v>6</v>
      </c>
      <c r="B8" s="4">
        <v>46114</v>
      </c>
      <c r="C8" s="73" t="s">
        <v>22</v>
      </c>
      <c r="D8" s="6" t="s">
        <v>91</v>
      </c>
      <c r="E8" s="6">
        <v>2</v>
      </c>
      <c r="F8" s="14"/>
      <c r="G8" s="40" t="s">
        <v>92</v>
      </c>
      <c r="H8" s="6">
        <v>13232966585</v>
      </c>
    </row>
    <row r="9" customHeight="1" spans="1:8">
      <c r="A9" s="3">
        <v>7</v>
      </c>
      <c r="B9" s="4">
        <v>46114</v>
      </c>
      <c r="C9" s="6" t="s">
        <v>23</v>
      </c>
      <c r="D9" s="6" t="s">
        <v>89</v>
      </c>
      <c r="E9" s="6">
        <v>4</v>
      </c>
      <c r="F9" s="14"/>
      <c r="G9" s="40"/>
      <c r="H9" s="6">
        <v>13542465555</v>
      </c>
    </row>
    <row r="10" customHeight="1" spans="1:8">
      <c r="A10" s="3">
        <v>8</v>
      </c>
      <c r="B10" s="4">
        <v>46114</v>
      </c>
      <c r="C10" s="6" t="s">
        <v>24</v>
      </c>
      <c r="D10" s="6" t="s">
        <v>89</v>
      </c>
      <c r="E10" s="6"/>
      <c r="F10" s="14">
        <v>4</v>
      </c>
      <c r="G10" s="40" t="s">
        <v>25</v>
      </c>
      <c r="H10" s="6">
        <v>18023308177</v>
      </c>
    </row>
    <row r="11" customHeight="1" spans="1:8">
      <c r="A11" s="3">
        <v>9</v>
      </c>
      <c r="B11" s="4">
        <v>46114</v>
      </c>
      <c r="C11" s="6" t="s">
        <v>26</v>
      </c>
      <c r="D11" s="6" t="s">
        <v>89</v>
      </c>
      <c r="E11" s="6"/>
      <c r="F11" s="14">
        <v>4</v>
      </c>
      <c r="G11" s="40"/>
      <c r="H11" s="6">
        <v>18023308177</v>
      </c>
    </row>
    <row r="12" customHeight="1" spans="1:8">
      <c r="A12" s="3">
        <v>10</v>
      </c>
      <c r="B12" s="4">
        <v>46114</v>
      </c>
      <c r="C12" s="6" t="s">
        <v>27</v>
      </c>
      <c r="D12" s="6" t="s">
        <v>89</v>
      </c>
      <c r="E12" s="6">
        <v>4</v>
      </c>
      <c r="F12" s="14"/>
      <c r="G12" s="40"/>
      <c r="H12" s="6">
        <v>13828558886</v>
      </c>
    </row>
    <row r="13" customHeight="1" spans="1:8">
      <c r="A13" s="3">
        <v>11</v>
      </c>
      <c r="B13" s="4">
        <v>46114</v>
      </c>
      <c r="C13" s="73" t="s">
        <v>72</v>
      </c>
      <c r="D13" s="6" t="s">
        <v>91</v>
      </c>
      <c r="E13" s="6">
        <v>4</v>
      </c>
      <c r="F13" s="14"/>
      <c r="G13" s="13" t="s">
        <v>29</v>
      </c>
      <c r="H13" s="6">
        <v>13727128768</v>
      </c>
    </row>
    <row r="14" customHeight="1" spans="1:8">
      <c r="A14" s="3">
        <v>12</v>
      </c>
      <c r="B14" s="4">
        <v>46114</v>
      </c>
      <c r="C14" s="38" t="s">
        <v>30</v>
      </c>
      <c r="D14" s="6" t="s">
        <v>91</v>
      </c>
      <c r="E14" s="38">
        <v>2</v>
      </c>
      <c r="F14" s="18"/>
      <c r="G14" s="40" t="s">
        <v>31</v>
      </c>
      <c r="H14" s="6">
        <v>15767292501</v>
      </c>
    </row>
    <row r="15" customHeight="1" spans="1:8">
      <c r="A15" s="3">
        <v>13</v>
      </c>
      <c r="B15" s="4">
        <v>46114</v>
      </c>
      <c r="C15" s="19" t="s">
        <v>32</v>
      </c>
      <c r="D15" s="6" t="s">
        <v>89</v>
      </c>
      <c r="E15" s="19">
        <v>4</v>
      </c>
      <c r="F15" s="20"/>
      <c r="G15" s="40"/>
      <c r="H15" s="6">
        <v>13927634568</v>
      </c>
    </row>
    <row r="16" customHeight="1" spans="1:8">
      <c r="A16" s="3">
        <v>14</v>
      </c>
      <c r="B16" s="4">
        <v>46114</v>
      </c>
      <c r="C16" s="19" t="s">
        <v>33</v>
      </c>
      <c r="D16" s="6" t="s">
        <v>89</v>
      </c>
      <c r="E16" s="19">
        <v>4</v>
      </c>
      <c r="F16" s="21"/>
      <c r="G16" s="40"/>
      <c r="H16" s="6">
        <v>13610505377</v>
      </c>
    </row>
    <row r="17" customHeight="1" spans="1:8">
      <c r="A17" s="3">
        <v>15</v>
      </c>
      <c r="B17" s="4">
        <v>46114</v>
      </c>
      <c r="C17" s="19" t="s">
        <v>34</v>
      </c>
      <c r="D17" s="6" t="s">
        <v>89</v>
      </c>
      <c r="E17" s="19">
        <v>2</v>
      </c>
      <c r="F17" s="20">
        <v>2</v>
      </c>
      <c r="G17" s="40" t="s">
        <v>35</v>
      </c>
      <c r="H17" s="6">
        <v>18938623456</v>
      </c>
    </row>
    <row r="18" customHeight="1" spans="1:8">
      <c r="A18" s="3">
        <v>16</v>
      </c>
      <c r="B18" s="4">
        <v>46114</v>
      </c>
      <c r="C18" s="19" t="s">
        <v>36</v>
      </c>
      <c r="D18" s="6" t="s">
        <v>89</v>
      </c>
      <c r="E18" s="19">
        <v>2</v>
      </c>
      <c r="F18" s="20">
        <v>2</v>
      </c>
      <c r="G18" s="40"/>
      <c r="H18" s="6">
        <v>15975893658</v>
      </c>
    </row>
    <row r="19" customHeight="1" spans="1:8">
      <c r="A19" s="3">
        <v>17</v>
      </c>
      <c r="B19" s="4">
        <v>46114</v>
      </c>
      <c r="C19" s="62" t="s">
        <v>37</v>
      </c>
      <c r="D19" s="6" t="s">
        <v>91</v>
      </c>
      <c r="E19" s="23">
        <v>2</v>
      </c>
      <c r="F19" s="24">
        <v>2</v>
      </c>
      <c r="G19" s="13" t="s">
        <v>29</v>
      </c>
      <c r="H19" s="37">
        <v>13413511370</v>
      </c>
    </row>
    <row r="20" customHeight="1" spans="1:8">
      <c r="A20" s="3">
        <v>18</v>
      </c>
      <c r="B20" s="4">
        <v>46114</v>
      </c>
      <c r="C20" s="45" t="s">
        <v>38</v>
      </c>
      <c r="D20" s="6" t="s">
        <v>91</v>
      </c>
      <c r="E20" s="23">
        <v>2</v>
      </c>
      <c r="F20" s="24">
        <v>2</v>
      </c>
      <c r="G20" s="13" t="s">
        <v>29</v>
      </c>
      <c r="H20" s="6">
        <v>13553951733</v>
      </c>
    </row>
    <row r="21" customHeight="1" spans="1:8">
      <c r="A21" s="26">
        <v>20</v>
      </c>
      <c r="B21" s="4">
        <v>46114</v>
      </c>
      <c r="C21" s="23" t="s">
        <v>39</v>
      </c>
      <c r="D21" s="6" t="s">
        <v>89</v>
      </c>
      <c r="E21" s="28">
        <v>2</v>
      </c>
      <c r="F21" s="28">
        <v>2</v>
      </c>
      <c r="G21" s="37"/>
      <c r="H21" s="6">
        <v>13729810313</v>
      </c>
    </row>
    <row r="22" customHeight="1" spans="1:8">
      <c r="A22" s="26">
        <v>21</v>
      </c>
      <c r="B22" s="4">
        <v>46114</v>
      </c>
      <c r="C22" s="19" t="s">
        <v>41</v>
      </c>
      <c r="D22" s="6" t="s">
        <v>89</v>
      </c>
      <c r="E22" s="30">
        <v>4</v>
      </c>
      <c r="F22" s="30">
        <v>4</v>
      </c>
      <c r="G22" s="6" t="s">
        <v>42</v>
      </c>
      <c r="H22" s="6">
        <v>13727120956</v>
      </c>
    </row>
    <row r="23" customHeight="1" spans="1:8">
      <c r="A23" s="26">
        <v>22</v>
      </c>
      <c r="B23" s="4">
        <v>46114</v>
      </c>
      <c r="C23" s="19" t="s">
        <v>43</v>
      </c>
      <c r="D23" s="6" t="s">
        <v>89</v>
      </c>
      <c r="E23" s="30">
        <v>2</v>
      </c>
      <c r="F23" s="30">
        <v>2</v>
      </c>
      <c r="G23" s="37"/>
      <c r="H23" s="6">
        <v>13413525923</v>
      </c>
    </row>
    <row r="24" customHeight="1" spans="1:8">
      <c r="A24" s="26">
        <v>23</v>
      </c>
      <c r="B24" s="4">
        <v>46114</v>
      </c>
      <c r="C24" s="19" t="s">
        <v>44</v>
      </c>
      <c r="D24" s="6" t="s">
        <v>89</v>
      </c>
      <c r="E24" s="30">
        <v>4</v>
      </c>
      <c r="F24" s="30">
        <v>4</v>
      </c>
      <c r="G24" s="6" t="s">
        <v>96</v>
      </c>
      <c r="H24" s="6">
        <v>15767247815</v>
      </c>
    </row>
    <row r="25" customHeight="1" spans="1:8">
      <c r="A25" s="26">
        <v>24</v>
      </c>
      <c r="B25" s="4">
        <v>46114</v>
      </c>
      <c r="C25" s="19" t="s">
        <v>45</v>
      </c>
      <c r="D25" s="6" t="s">
        <v>89</v>
      </c>
      <c r="E25" s="30">
        <v>2</v>
      </c>
      <c r="F25" s="30">
        <v>2</v>
      </c>
      <c r="G25" s="37"/>
      <c r="H25" s="6">
        <v>13076697497</v>
      </c>
    </row>
    <row r="26" customHeight="1" spans="1:8">
      <c r="A26" s="26">
        <v>25</v>
      </c>
      <c r="B26" s="4">
        <v>46114</v>
      </c>
      <c r="C26" s="23" t="s">
        <v>46</v>
      </c>
      <c r="D26" s="6" t="s">
        <v>91</v>
      </c>
      <c r="E26" s="28">
        <v>2</v>
      </c>
      <c r="F26" s="28">
        <v>2</v>
      </c>
      <c r="G26" s="38" t="s">
        <v>47</v>
      </c>
      <c r="H26" s="6">
        <v>13824919887</v>
      </c>
    </row>
    <row r="27" customHeight="1" spans="1:8">
      <c r="A27" s="3">
        <v>26</v>
      </c>
      <c r="B27" s="4">
        <v>46114</v>
      </c>
      <c r="C27" s="19" t="s">
        <v>48</v>
      </c>
      <c r="D27" s="6" t="s">
        <v>91</v>
      </c>
      <c r="E27" s="30">
        <v>2</v>
      </c>
      <c r="F27" s="30">
        <v>2</v>
      </c>
      <c r="G27" s="13" t="s">
        <v>97</v>
      </c>
      <c r="H27" s="6">
        <v>15992000398</v>
      </c>
    </row>
    <row r="28" customHeight="1" spans="1:8">
      <c r="A28" s="34">
        <v>27</v>
      </c>
      <c r="B28" s="4">
        <v>46114</v>
      </c>
      <c r="C28" s="19" t="s">
        <v>49</v>
      </c>
      <c r="D28" s="6" t="s">
        <v>89</v>
      </c>
      <c r="E28" s="30">
        <v>8</v>
      </c>
      <c r="F28" s="35"/>
      <c r="G28" s="53" t="s">
        <v>50</v>
      </c>
      <c r="H28" s="6">
        <v>15915195500</v>
      </c>
    </row>
    <row r="29" customHeight="1" spans="1:8">
      <c r="A29" s="34">
        <v>28</v>
      </c>
      <c r="B29" s="4">
        <v>46114</v>
      </c>
      <c r="C29" s="6" t="s">
        <v>51</v>
      </c>
      <c r="D29" s="6" t="s">
        <v>89</v>
      </c>
      <c r="E29" s="6">
        <v>4</v>
      </c>
      <c r="F29" s="6">
        <v>4</v>
      </c>
      <c r="G29" s="6" t="s">
        <v>52</v>
      </c>
      <c r="H29" s="6">
        <v>13926633788</v>
      </c>
    </row>
    <row r="30" customHeight="1" spans="1:8">
      <c r="A30" s="34">
        <v>29</v>
      </c>
      <c r="B30" s="4">
        <v>46114</v>
      </c>
      <c r="C30" s="6" t="s">
        <v>53</v>
      </c>
      <c r="D30" s="6" t="s">
        <v>91</v>
      </c>
      <c r="E30" s="6">
        <v>2</v>
      </c>
      <c r="F30" s="6">
        <v>2</v>
      </c>
      <c r="G30" s="13" t="s">
        <v>29</v>
      </c>
      <c r="H30" s="6">
        <v>13729638133</v>
      </c>
    </row>
    <row r="31" customHeight="1" spans="1:8">
      <c r="A31" s="34">
        <v>30</v>
      </c>
      <c r="B31" s="4">
        <v>46114</v>
      </c>
      <c r="C31" s="6" t="s">
        <v>54</v>
      </c>
      <c r="D31" s="6" t="s">
        <v>89</v>
      </c>
      <c r="E31" s="6">
        <v>4</v>
      </c>
      <c r="F31" s="37"/>
      <c r="G31" s="37"/>
      <c r="H31" s="6">
        <v>13679518111</v>
      </c>
    </row>
    <row r="32" customHeight="1" spans="1:8">
      <c r="A32" s="34">
        <v>31</v>
      </c>
      <c r="B32" s="4">
        <v>46114</v>
      </c>
      <c r="C32" s="6" t="s">
        <v>56</v>
      </c>
      <c r="D32" s="6" t="s">
        <v>89</v>
      </c>
      <c r="E32" s="6">
        <v>4</v>
      </c>
      <c r="F32" s="37"/>
      <c r="G32" s="6" t="s">
        <v>57</v>
      </c>
      <c r="H32" s="6">
        <v>15362751580</v>
      </c>
    </row>
    <row r="33" customHeight="1" spans="1:8">
      <c r="A33" s="34">
        <v>32</v>
      </c>
      <c r="B33" s="4">
        <v>46114</v>
      </c>
      <c r="C33" s="6" t="s">
        <v>58</v>
      </c>
      <c r="D33" s="6" t="s">
        <v>89</v>
      </c>
      <c r="E33" s="6">
        <v>4</v>
      </c>
      <c r="F33" s="6">
        <v>4</v>
      </c>
      <c r="G33" s="6" t="s">
        <v>59</v>
      </c>
      <c r="H33" s="6">
        <v>17703071983</v>
      </c>
    </row>
    <row r="34" customHeight="1" spans="1:8">
      <c r="A34" s="3">
        <v>33</v>
      </c>
      <c r="B34" s="4">
        <v>46114</v>
      </c>
      <c r="C34" s="38" t="s">
        <v>60</v>
      </c>
      <c r="D34" s="6" t="s">
        <v>91</v>
      </c>
      <c r="E34" s="38">
        <v>2</v>
      </c>
      <c r="F34" s="38">
        <v>2</v>
      </c>
      <c r="G34" s="54" t="s">
        <v>29</v>
      </c>
      <c r="H34" s="6">
        <v>13760649026</v>
      </c>
    </row>
    <row r="35" customHeight="1" spans="1:8">
      <c r="A35" s="3">
        <v>35</v>
      </c>
      <c r="B35" s="4">
        <v>46114</v>
      </c>
      <c r="C35" s="19" t="s">
        <v>20</v>
      </c>
      <c r="D35" s="40" t="s">
        <v>89</v>
      </c>
      <c r="E35" s="40">
        <v>4</v>
      </c>
      <c r="F35" s="40"/>
      <c r="G35" s="40"/>
      <c r="H35" s="6">
        <v>13416558182</v>
      </c>
    </row>
    <row r="36" customHeight="1" spans="1:8">
      <c r="A36" s="3">
        <v>36</v>
      </c>
      <c r="B36" s="4">
        <v>46114</v>
      </c>
      <c r="C36" s="37" t="s">
        <v>61</v>
      </c>
      <c r="D36" s="40" t="s">
        <v>91</v>
      </c>
      <c r="E36" s="40"/>
      <c r="F36" s="40">
        <v>2</v>
      </c>
      <c r="G36" s="40" t="s">
        <v>92</v>
      </c>
      <c r="H36" s="37">
        <v>18820577728</v>
      </c>
    </row>
    <row r="37" customHeight="1" spans="1:8">
      <c r="A37" s="3"/>
      <c r="B37" s="4"/>
      <c r="C37" s="6"/>
      <c r="D37" s="64"/>
      <c r="E37" s="40">
        <f>SUM(E3:E36)</f>
        <v>90</v>
      </c>
      <c r="F37" s="40">
        <f>SUM(F3:F36)</f>
        <v>56</v>
      </c>
      <c r="G37" s="40"/>
      <c r="H37" s="37">
        <v>13631055632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22" workbookViewId="0">
      <selection activeCell="A8" sqref="$A8:$XFD8"/>
    </sheetView>
  </sheetViews>
  <sheetFormatPr defaultColWidth="13.5714285714286" defaultRowHeight="29" customHeight="1" outlineLevelCol="7"/>
  <cols>
    <col min="1" max="6" width="13.5714285714286" customWidth="1"/>
    <col min="7" max="7" width="34.2857142857143" customWidth="1"/>
    <col min="8" max="16384" width="13.5714285714286" customWidth="1"/>
  </cols>
  <sheetData>
    <row r="1" customHeight="1" spans="1:8">
      <c r="A1" s="1" t="s">
        <v>84</v>
      </c>
      <c r="B1" s="1"/>
      <c r="C1" s="1"/>
      <c r="D1" s="1"/>
      <c r="E1" s="1"/>
      <c r="F1" s="1"/>
      <c r="G1" s="1"/>
    </row>
    <row r="2" customHeight="1" spans="1:8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</row>
    <row r="3" customHeight="1" spans="1:8">
      <c r="A3" s="3">
        <v>1</v>
      </c>
      <c r="B3" s="4">
        <v>46119</v>
      </c>
      <c r="C3" s="6" t="s">
        <v>13</v>
      </c>
      <c r="D3" s="6" t="s">
        <v>88</v>
      </c>
      <c r="E3" s="6">
        <v>2</v>
      </c>
      <c r="F3" s="6">
        <v>1</v>
      </c>
      <c r="G3" s="12"/>
      <c r="H3" s="6"/>
    </row>
    <row r="4" customHeight="1" spans="1:8">
      <c r="A4" s="3">
        <v>2</v>
      </c>
      <c r="B4" s="4">
        <v>46119</v>
      </c>
      <c r="C4" s="65" t="s">
        <v>16</v>
      </c>
      <c r="D4" s="61" t="s">
        <v>88</v>
      </c>
      <c r="E4" s="6">
        <v>3</v>
      </c>
      <c r="F4" s="6"/>
      <c r="G4" s="52" t="s">
        <v>17</v>
      </c>
      <c r="H4" s="6"/>
    </row>
    <row r="5" customHeight="1" spans="1:8">
      <c r="A5" s="3">
        <v>3</v>
      </c>
      <c r="B5" s="4">
        <v>46119</v>
      </c>
      <c r="C5" s="66" t="s">
        <v>18</v>
      </c>
      <c r="D5" s="61" t="s">
        <v>91</v>
      </c>
      <c r="E5" s="12"/>
      <c r="F5" s="12">
        <v>2</v>
      </c>
      <c r="G5" s="52" t="s">
        <v>98</v>
      </c>
      <c r="H5" s="6"/>
    </row>
    <row r="6" customHeight="1" spans="1:8">
      <c r="A6" s="3">
        <v>4</v>
      </c>
      <c r="B6" s="4">
        <v>46119</v>
      </c>
      <c r="C6" s="67" t="s">
        <v>20</v>
      </c>
      <c r="D6" s="6" t="s">
        <v>88</v>
      </c>
      <c r="E6" s="6">
        <v>3</v>
      </c>
      <c r="F6" s="6"/>
      <c r="G6" s="52"/>
      <c r="H6" s="6"/>
    </row>
    <row r="7" customHeight="1" spans="1:8">
      <c r="A7" s="3">
        <v>5</v>
      </c>
      <c r="B7" s="4">
        <v>46119</v>
      </c>
      <c r="C7" s="68" t="s">
        <v>21</v>
      </c>
      <c r="D7" s="6" t="s">
        <v>88</v>
      </c>
      <c r="E7" s="6"/>
      <c r="F7" s="14">
        <v>3</v>
      </c>
      <c r="G7" s="52"/>
      <c r="H7" s="6"/>
    </row>
    <row r="8" customHeight="1" spans="1:8">
      <c r="A8" s="3">
        <v>6</v>
      </c>
      <c r="B8" s="4">
        <v>46119</v>
      </c>
      <c r="C8" s="67" t="s">
        <v>22</v>
      </c>
      <c r="D8" s="61" t="s">
        <v>91</v>
      </c>
      <c r="E8" s="6">
        <v>2</v>
      </c>
      <c r="F8" s="14"/>
      <c r="G8" s="40" t="s">
        <v>99</v>
      </c>
      <c r="H8" s="6"/>
    </row>
    <row r="9" customHeight="1" spans="1:8">
      <c r="A9" s="3">
        <v>7</v>
      </c>
      <c r="B9" s="4">
        <v>46119</v>
      </c>
      <c r="C9" s="67" t="s">
        <v>23</v>
      </c>
      <c r="D9" s="6" t="s">
        <v>88</v>
      </c>
      <c r="E9" s="6">
        <v>3</v>
      </c>
      <c r="F9" s="14"/>
      <c r="G9" s="40"/>
      <c r="H9" s="6"/>
    </row>
    <row r="10" customHeight="1" spans="1:8">
      <c r="A10" s="3">
        <v>8</v>
      </c>
      <c r="B10" s="4">
        <v>46119</v>
      </c>
      <c r="C10" s="67" t="s">
        <v>24</v>
      </c>
      <c r="D10" s="6" t="s">
        <v>88</v>
      </c>
      <c r="E10" s="6"/>
      <c r="F10" s="14">
        <v>3</v>
      </c>
      <c r="G10" s="40" t="s">
        <v>25</v>
      </c>
      <c r="H10" s="6"/>
    </row>
    <row r="11" customHeight="1" spans="1:8">
      <c r="A11" s="3">
        <v>9</v>
      </c>
      <c r="B11" s="4">
        <v>46119</v>
      </c>
      <c r="C11" s="67" t="s">
        <v>26</v>
      </c>
      <c r="D11" s="6" t="s">
        <v>88</v>
      </c>
      <c r="E11" s="6"/>
      <c r="F11" s="14">
        <v>3</v>
      </c>
      <c r="G11" s="40"/>
      <c r="H11" s="6"/>
    </row>
    <row r="12" customHeight="1" spans="1:8">
      <c r="A12" s="3">
        <v>10</v>
      </c>
      <c r="B12" s="4">
        <v>46119</v>
      </c>
      <c r="C12" s="67" t="s">
        <v>27</v>
      </c>
      <c r="D12" s="61" t="s">
        <v>91</v>
      </c>
      <c r="E12" s="6">
        <v>2</v>
      </c>
      <c r="F12" s="14"/>
      <c r="G12" s="40" t="s">
        <v>100</v>
      </c>
      <c r="H12" s="6"/>
    </row>
    <row r="13" customHeight="1" spans="1:8">
      <c r="A13" s="3">
        <v>11</v>
      </c>
      <c r="B13" s="4">
        <v>46119</v>
      </c>
      <c r="C13" s="67" t="s">
        <v>81</v>
      </c>
      <c r="D13" s="61" t="s">
        <v>91</v>
      </c>
      <c r="E13" s="6"/>
      <c r="F13" s="14">
        <v>2</v>
      </c>
      <c r="G13" s="13" t="s">
        <v>101</v>
      </c>
      <c r="H13" s="6"/>
    </row>
    <row r="14" customHeight="1" spans="1:8">
      <c r="A14" s="3">
        <v>11</v>
      </c>
      <c r="B14" s="4">
        <v>46119</v>
      </c>
      <c r="C14" s="67" t="s">
        <v>82</v>
      </c>
      <c r="D14" s="61" t="s">
        <v>91</v>
      </c>
      <c r="E14" s="6">
        <v>2</v>
      </c>
      <c r="F14" s="14"/>
      <c r="G14" s="13" t="s">
        <v>102</v>
      </c>
      <c r="H14" s="6"/>
    </row>
    <row r="15" customHeight="1" spans="1:8">
      <c r="A15" s="3">
        <v>12</v>
      </c>
      <c r="B15" s="4">
        <v>46119</v>
      </c>
      <c r="C15" s="69" t="s">
        <v>30</v>
      </c>
      <c r="D15" s="61" t="s">
        <v>91</v>
      </c>
      <c r="E15" s="6">
        <v>2</v>
      </c>
      <c r="F15" s="18"/>
      <c r="G15" s="40" t="s">
        <v>31</v>
      </c>
      <c r="H15" s="6"/>
    </row>
    <row r="16" customHeight="1" spans="1:8">
      <c r="A16" s="3">
        <v>13</v>
      </c>
      <c r="B16" s="4">
        <v>46119</v>
      </c>
      <c r="C16" s="19" t="s">
        <v>32</v>
      </c>
      <c r="D16" s="6" t="s">
        <v>88</v>
      </c>
      <c r="E16" s="6">
        <v>3</v>
      </c>
      <c r="F16" s="20"/>
      <c r="G16" s="40"/>
      <c r="H16" s="6"/>
    </row>
    <row r="17" customHeight="1" spans="1:8">
      <c r="A17" s="3">
        <v>14</v>
      </c>
      <c r="B17" s="4">
        <v>46119</v>
      </c>
      <c r="C17" s="19" t="s">
        <v>33</v>
      </c>
      <c r="D17" s="6" t="s">
        <v>88</v>
      </c>
      <c r="E17" s="6">
        <v>3</v>
      </c>
      <c r="F17" s="21"/>
      <c r="G17" s="40"/>
      <c r="H17" s="6"/>
    </row>
    <row r="18" customHeight="1" spans="1:8">
      <c r="A18" s="3">
        <v>15</v>
      </c>
      <c r="B18" s="4">
        <v>46119</v>
      </c>
      <c r="C18" s="19" t="s">
        <v>34</v>
      </c>
      <c r="D18" s="6" t="s">
        <v>88</v>
      </c>
      <c r="E18" s="19"/>
      <c r="F18" s="20">
        <v>3</v>
      </c>
      <c r="G18" s="40" t="s">
        <v>25</v>
      </c>
      <c r="H18" s="6"/>
    </row>
    <row r="19" customHeight="1" spans="1:8">
      <c r="A19" s="3">
        <v>16</v>
      </c>
      <c r="B19" s="4">
        <v>46119</v>
      </c>
      <c r="C19" s="19" t="s">
        <v>36</v>
      </c>
      <c r="D19" s="6" t="s">
        <v>88</v>
      </c>
      <c r="E19" s="19">
        <v>2</v>
      </c>
      <c r="F19" s="20">
        <v>1</v>
      </c>
      <c r="G19" s="40"/>
      <c r="H19" s="37"/>
    </row>
    <row r="20" customHeight="1" spans="1:8">
      <c r="A20" s="3">
        <v>17</v>
      </c>
      <c r="B20" s="4">
        <v>46119</v>
      </c>
      <c r="C20" s="62" t="s">
        <v>37</v>
      </c>
      <c r="D20" s="61" t="s">
        <v>91</v>
      </c>
      <c r="E20" s="23">
        <v>2</v>
      </c>
      <c r="F20" s="24">
        <v>2</v>
      </c>
      <c r="G20" s="13" t="s">
        <v>103</v>
      </c>
      <c r="H20" s="6"/>
    </row>
    <row r="21" customHeight="1" spans="1:8">
      <c r="A21" s="3">
        <v>18</v>
      </c>
      <c r="B21" s="4">
        <v>46119</v>
      </c>
      <c r="C21" s="45" t="s">
        <v>38</v>
      </c>
      <c r="D21" s="61" t="s">
        <v>91</v>
      </c>
      <c r="E21" s="23">
        <v>2</v>
      </c>
      <c r="F21" s="24">
        <v>2</v>
      </c>
      <c r="G21" s="13" t="s">
        <v>103</v>
      </c>
      <c r="H21" s="6"/>
    </row>
    <row r="22" customHeight="1" spans="1:8">
      <c r="A22" s="26">
        <v>20</v>
      </c>
      <c r="B22" s="4">
        <v>46119</v>
      </c>
      <c r="C22" s="23" t="s">
        <v>39</v>
      </c>
      <c r="D22" s="61" t="s">
        <v>91</v>
      </c>
      <c r="E22" s="28">
        <v>2</v>
      </c>
      <c r="F22" s="28"/>
      <c r="G22" s="37" t="s">
        <v>104</v>
      </c>
      <c r="H22" s="6"/>
    </row>
    <row r="23" customHeight="1" spans="1:8">
      <c r="A23" s="26">
        <v>21</v>
      </c>
      <c r="B23" s="4">
        <v>46119</v>
      </c>
      <c r="C23" s="19" t="s">
        <v>41</v>
      </c>
      <c r="D23" s="6" t="s">
        <v>88</v>
      </c>
      <c r="E23" s="30">
        <v>3</v>
      </c>
      <c r="F23" s="30">
        <v>3</v>
      </c>
      <c r="G23" s="6" t="s">
        <v>42</v>
      </c>
      <c r="H23" s="6"/>
    </row>
    <row r="24" customHeight="1" spans="1:8">
      <c r="A24" s="26">
        <v>22</v>
      </c>
      <c r="B24" s="4">
        <v>46119</v>
      </c>
      <c r="C24" s="19" t="s">
        <v>43</v>
      </c>
      <c r="D24" s="6" t="s">
        <v>88</v>
      </c>
      <c r="E24" s="30">
        <v>2</v>
      </c>
      <c r="F24" s="30">
        <v>1</v>
      </c>
      <c r="G24" s="37"/>
      <c r="H24" s="6"/>
    </row>
    <row r="25" customHeight="1" spans="1:8">
      <c r="A25" s="26">
        <v>23</v>
      </c>
      <c r="B25" s="4">
        <v>46119</v>
      </c>
      <c r="C25" s="19" t="s">
        <v>44</v>
      </c>
      <c r="D25" s="61" t="s">
        <v>91</v>
      </c>
      <c r="E25" s="30">
        <v>2</v>
      </c>
      <c r="F25" s="30">
        <v>2</v>
      </c>
      <c r="G25" s="6" t="s">
        <v>96</v>
      </c>
      <c r="H25" s="6"/>
    </row>
    <row r="26" customHeight="1" spans="1:8">
      <c r="A26" s="26">
        <v>24</v>
      </c>
      <c r="B26" s="4">
        <v>46119</v>
      </c>
      <c r="C26" s="19" t="s">
        <v>45</v>
      </c>
      <c r="D26" s="6" t="s">
        <v>88</v>
      </c>
      <c r="E26" s="30">
        <v>2</v>
      </c>
      <c r="F26" s="30">
        <v>1</v>
      </c>
      <c r="G26" s="37"/>
      <c r="H26" s="6"/>
    </row>
    <row r="27" customHeight="1" spans="1:8">
      <c r="A27" s="26">
        <v>25</v>
      </c>
      <c r="B27" s="4">
        <v>46119</v>
      </c>
      <c r="C27" s="23" t="s">
        <v>46</v>
      </c>
      <c r="D27" s="61" t="s">
        <v>91</v>
      </c>
      <c r="E27" s="28">
        <v>2</v>
      </c>
      <c r="F27" s="28">
        <v>2</v>
      </c>
      <c r="G27" s="38" t="s">
        <v>47</v>
      </c>
      <c r="H27" s="6"/>
    </row>
    <row r="28" customHeight="1" spans="1:8">
      <c r="A28" s="3">
        <v>26</v>
      </c>
      <c r="B28" s="4">
        <v>46119</v>
      </c>
      <c r="C28" s="19" t="s">
        <v>48</v>
      </c>
      <c r="D28" s="61" t="s">
        <v>91</v>
      </c>
      <c r="E28" s="30">
        <v>2</v>
      </c>
      <c r="F28" s="30"/>
      <c r="G28" s="13" t="s">
        <v>105</v>
      </c>
      <c r="H28" s="6"/>
    </row>
    <row r="29" customHeight="1" spans="1:8">
      <c r="A29" s="34">
        <v>27</v>
      </c>
      <c r="B29" s="4">
        <v>46119</v>
      </c>
      <c r="C29" s="19" t="s">
        <v>49</v>
      </c>
      <c r="D29" s="6" t="s">
        <v>88</v>
      </c>
      <c r="E29" s="30">
        <v>6</v>
      </c>
      <c r="F29" s="35"/>
      <c r="G29" s="53" t="s">
        <v>50</v>
      </c>
      <c r="H29" s="6"/>
    </row>
    <row r="30" customHeight="1" spans="1:8">
      <c r="A30" s="34">
        <v>28</v>
      </c>
      <c r="B30" s="4">
        <v>46119</v>
      </c>
      <c r="C30" s="6" t="s">
        <v>51</v>
      </c>
      <c r="D30" s="6" t="s">
        <v>88</v>
      </c>
      <c r="E30" s="6">
        <v>3</v>
      </c>
      <c r="F30" s="6">
        <v>3</v>
      </c>
      <c r="G30" s="6" t="s">
        <v>52</v>
      </c>
      <c r="H30" s="6"/>
    </row>
    <row r="31" customHeight="1" spans="1:8">
      <c r="A31" s="34">
        <v>29</v>
      </c>
      <c r="B31" s="4">
        <v>46119</v>
      </c>
      <c r="C31" s="6" t="s">
        <v>53</v>
      </c>
      <c r="D31" s="61" t="s">
        <v>91</v>
      </c>
      <c r="E31" s="6">
        <v>2</v>
      </c>
      <c r="F31" s="6">
        <v>2</v>
      </c>
      <c r="G31" s="13" t="s">
        <v>103</v>
      </c>
      <c r="H31" s="6"/>
    </row>
    <row r="32" customHeight="1" spans="1:8">
      <c r="A32" s="34">
        <v>30</v>
      </c>
      <c r="B32" s="4">
        <v>46119</v>
      </c>
      <c r="C32" s="6" t="s">
        <v>54</v>
      </c>
      <c r="D32" s="6" t="s">
        <v>88</v>
      </c>
      <c r="E32" s="6">
        <v>6</v>
      </c>
      <c r="F32" s="37"/>
      <c r="G32" s="37"/>
      <c r="H32" s="6"/>
    </row>
    <row r="33" customHeight="1" spans="1:8">
      <c r="A33" s="34">
        <v>31</v>
      </c>
      <c r="B33" s="4">
        <v>46119</v>
      </c>
      <c r="C33" s="6" t="s">
        <v>56</v>
      </c>
      <c r="D33" s="6" t="s">
        <v>88</v>
      </c>
      <c r="E33" s="6">
        <v>3</v>
      </c>
      <c r="F33" s="37"/>
      <c r="G33" s="6" t="s">
        <v>57</v>
      </c>
      <c r="H33" s="6"/>
    </row>
    <row r="34" customHeight="1" spans="1:8">
      <c r="A34" s="34">
        <v>32</v>
      </c>
      <c r="B34" s="4">
        <v>46119</v>
      </c>
      <c r="C34" s="6" t="s">
        <v>58</v>
      </c>
      <c r="D34" s="6" t="s">
        <v>88</v>
      </c>
      <c r="E34" s="6">
        <v>3</v>
      </c>
      <c r="F34" s="6">
        <v>3</v>
      </c>
      <c r="G34" s="6" t="s">
        <v>59</v>
      </c>
      <c r="H34" s="6"/>
    </row>
    <row r="35" customHeight="1" spans="1:8">
      <c r="A35" s="3">
        <v>33</v>
      </c>
      <c r="B35" s="4">
        <v>46119</v>
      </c>
      <c r="C35" s="38" t="s">
        <v>60</v>
      </c>
      <c r="D35" s="61" t="s">
        <v>91</v>
      </c>
      <c r="E35" s="38">
        <v>2</v>
      </c>
      <c r="F35" s="38">
        <v>2</v>
      </c>
      <c r="G35" s="54" t="s">
        <v>103</v>
      </c>
      <c r="H35" s="6"/>
    </row>
    <row r="36" customHeight="1" spans="1:8">
      <c r="A36" s="3">
        <v>35</v>
      </c>
      <c r="B36" s="4">
        <v>46119</v>
      </c>
      <c r="C36" s="19" t="s">
        <v>20</v>
      </c>
      <c r="D36" s="6" t="s">
        <v>88</v>
      </c>
      <c r="E36" s="40">
        <v>3</v>
      </c>
      <c r="F36" s="40"/>
      <c r="G36" s="40"/>
      <c r="H36" s="37"/>
    </row>
    <row r="37" customHeight="1" spans="1:8">
      <c r="A37" s="3">
        <v>36</v>
      </c>
      <c r="B37" s="4">
        <v>46119</v>
      </c>
      <c r="C37" s="37" t="s">
        <v>61</v>
      </c>
      <c r="D37" s="61" t="s">
        <v>88</v>
      </c>
      <c r="E37" s="43"/>
      <c r="F37" s="43">
        <v>6</v>
      </c>
      <c r="G37" s="43" t="s">
        <v>106</v>
      </c>
      <c r="H37" s="70"/>
    </row>
    <row r="38" customHeight="1" spans="1:8">
      <c r="A38" s="3">
        <v>37</v>
      </c>
      <c r="B38" s="4">
        <v>46119</v>
      </c>
      <c r="C38" s="37" t="s">
        <v>62</v>
      </c>
      <c r="D38" s="6" t="s">
        <v>88</v>
      </c>
      <c r="E38" s="64">
        <v>3</v>
      </c>
      <c r="F38" s="40">
        <v>3</v>
      </c>
      <c r="G38" s="19" t="s">
        <v>52</v>
      </c>
      <c r="H38" s="40"/>
    </row>
    <row r="39" customHeight="1" spans="1:8">
      <c r="A39" s="3"/>
      <c r="B39" s="4"/>
      <c r="C39" s="37"/>
      <c r="D39" s="6"/>
      <c r="E39" s="64"/>
      <c r="F39" s="40"/>
      <c r="G39" s="40"/>
      <c r="H39" s="40"/>
    </row>
    <row r="40" customHeight="1" spans="1:8">
      <c r="E40">
        <f>SUM(E3:E39)</f>
        <v>77</v>
      </c>
      <c r="F40">
        <f>SUM(F3:F39)</f>
        <v>50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17" workbookViewId="0">
      <selection activeCell="E32" sqref="E32"/>
    </sheetView>
  </sheetViews>
  <sheetFormatPr defaultColWidth="15" defaultRowHeight="24" customHeight="1" outlineLevelCol="6"/>
  <cols>
    <col min="1" max="6" width="15" customWidth="1"/>
    <col min="7" max="7" width="32.4285714285714" customWidth="1"/>
    <col min="8" max="16384" width="15" customWidth="1"/>
  </cols>
  <sheetData>
    <row r="1" customHeight="1" spans="1:7">
      <c r="A1" s="1" t="s">
        <v>84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</row>
    <row r="3" customHeight="1" spans="1:7">
      <c r="A3" s="3">
        <v>1</v>
      </c>
      <c r="B3" s="4">
        <v>46121</v>
      </c>
      <c r="C3" s="6" t="s">
        <v>13</v>
      </c>
      <c r="D3" s="6" t="s">
        <v>89</v>
      </c>
      <c r="E3" s="6">
        <v>2</v>
      </c>
      <c r="F3" s="6">
        <v>2</v>
      </c>
      <c r="G3" s="12"/>
    </row>
    <row r="4" customHeight="1" spans="1:7">
      <c r="A4" s="3">
        <v>2</v>
      </c>
      <c r="B4" s="4">
        <v>46121</v>
      </c>
      <c r="C4" s="60" t="s">
        <v>16</v>
      </c>
      <c r="D4" s="61" t="s">
        <v>91</v>
      </c>
      <c r="E4" s="6">
        <v>2</v>
      </c>
      <c r="F4" s="6"/>
      <c r="G4" s="52" t="s">
        <v>102</v>
      </c>
    </row>
    <row r="5" customHeight="1" spans="1:7">
      <c r="A5" s="3">
        <v>3</v>
      </c>
      <c r="B5" s="4">
        <v>46121</v>
      </c>
      <c r="C5" s="12" t="s">
        <v>18</v>
      </c>
      <c r="D5" s="61" t="s">
        <v>91</v>
      </c>
      <c r="E5" s="12"/>
      <c r="F5" s="12">
        <v>2</v>
      </c>
      <c r="G5" s="52" t="s">
        <v>98</v>
      </c>
    </row>
    <row r="6" customHeight="1" spans="1:7">
      <c r="A6" s="3">
        <v>4</v>
      </c>
      <c r="B6" s="4">
        <v>46121</v>
      </c>
      <c r="C6" s="6" t="s">
        <v>20</v>
      </c>
      <c r="D6" s="61" t="s">
        <v>91</v>
      </c>
      <c r="E6" s="6">
        <v>2</v>
      </c>
      <c r="F6" s="6"/>
      <c r="G6" s="52" t="s">
        <v>31</v>
      </c>
    </row>
    <row r="7" customHeight="1" spans="1:7">
      <c r="A7" s="3">
        <v>5</v>
      </c>
      <c r="B7" s="4">
        <v>46121</v>
      </c>
      <c r="C7" s="13" t="s">
        <v>21</v>
      </c>
      <c r="D7" s="6" t="s">
        <v>89</v>
      </c>
      <c r="E7" s="6"/>
      <c r="F7" s="14">
        <v>4</v>
      </c>
      <c r="G7" s="52"/>
    </row>
    <row r="8" customHeight="1" spans="1:7">
      <c r="A8" s="3">
        <v>6</v>
      </c>
      <c r="B8" s="4">
        <v>46121</v>
      </c>
      <c r="C8" s="6" t="s">
        <v>22</v>
      </c>
      <c r="D8" s="61" t="s">
        <v>91</v>
      </c>
      <c r="E8" s="6">
        <v>2</v>
      </c>
      <c r="F8" s="14"/>
      <c r="G8" s="40" t="s">
        <v>99</v>
      </c>
    </row>
    <row r="9" customHeight="1" spans="1:7">
      <c r="A9" s="3">
        <v>7</v>
      </c>
      <c r="B9" s="4">
        <v>46121</v>
      </c>
      <c r="C9" s="6" t="s">
        <v>23</v>
      </c>
      <c r="D9" s="6" t="s">
        <v>89</v>
      </c>
      <c r="E9" s="6">
        <v>4</v>
      </c>
      <c r="F9" s="14"/>
      <c r="G9" s="40"/>
    </row>
    <row r="10" customHeight="1" spans="1:7">
      <c r="A10" s="3">
        <v>8</v>
      </c>
      <c r="B10" s="4">
        <v>46121</v>
      </c>
      <c r="C10" s="6" t="s">
        <v>24</v>
      </c>
      <c r="D10" s="6" t="s">
        <v>89</v>
      </c>
      <c r="E10" s="6"/>
      <c r="F10" s="14">
        <v>4</v>
      </c>
      <c r="G10" s="40" t="s">
        <v>25</v>
      </c>
    </row>
    <row r="11" customHeight="1" spans="1:7">
      <c r="A11" s="3">
        <v>9</v>
      </c>
      <c r="B11" s="4">
        <v>46121</v>
      </c>
      <c r="C11" s="6" t="s">
        <v>26</v>
      </c>
      <c r="D11" s="6" t="s">
        <v>89</v>
      </c>
      <c r="E11" s="6"/>
      <c r="F11" s="14">
        <v>4</v>
      </c>
      <c r="G11" s="40"/>
    </row>
    <row r="12" customHeight="1" spans="1:7">
      <c r="A12" s="3">
        <v>10</v>
      </c>
      <c r="B12" s="4">
        <v>46121</v>
      </c>
      <c r="C12" s="6" t="s">
        <v>27</v>
      </c>
      <c r="D12" s="61" t="s">
        <v>91</v>
      </c>
      <c r="E12" s="6">
        <v>2</v>
      </c>
      <c r="F12" s="14"/>
      <c r="G12" s="40" t="s">
        <v>100</v>
      </c>
    </row>
    <row r="13" customHeight="1" spans="1:7">
      <c r="A13" s="3">
        <v>11</v>
      </c>
      <c r="B13" s="4">
        <v>46121</v>
      </c>
      <c r="C13" s="6" t="s">
        <v>81</v>
      </c>
      <c r="D13" s="61" t="s">
        <v>91</v>
      </c>
      <c r="E13" s="6"/>
      <c r="F13" s="14">
        <v>2</v>
      </c>
      <c r="G13" s="13" t="s">
        <v>101</v>
      </c>
    </row>
    <row r="14" customHeight="1" spans="1:7">
      <c r="A14" s="3">
        <v>12</v>
      </c>
      <c r="B14" s="4">
        <v>46121</v>
      </c>
      <c r="C14" s="6" t="s">
        <v>82</v>
      </c>
      <c r="D14" s="61" t="s">
        <v>91</v>
      </c>
      <c r="E14" s="6">
        <v>2</v>
      </c>
      <c r="F14" s="14"/>
      <c r="G14" s="13" t="s">
        <v>102</v>
      </c>
    </row>
    <row r="15" customHeight="1" spans="1:7">
      <c r="A15" s="3">
        <v>13</v>
      </c>
      <c r="B15" s="4">
        <v>46121</v>
      </c>
      <c r="C15" s="38" t="s">
        <v>30</v>
      </c>
      <c r="D15" s="61" t="s">
        <v>91</v>
      </c>
      <c r="E15" s="6">
        <v>2</v>
      </c>
      <c r="F15" s="18"/>
      <c r="G15" s="40" t="s">
        <v>31</v>
      </c>
    </row>
    <row r="16" customHeight="1" spans="1:7">
      <c r="A16" s="3">
        <v>14</v>
      </c>
      <c r="B16" s="4">
        <v>46121</v>
      </c>
      <c r="C16" s="19" t="s">
        <v>32</v>
      </c>
      <c r="D16" s="6" t="s">
        <v>89</v>
      </c>
      <c r="E16" s="6">
        <v>4</v>
      </c>
      <c r="F16" s="20"/>
      <c r="G16" s="40"/>
    </row>
    <row r="17" customHeight="1" spans="1:7">
      <c r="A17" s="3">
        <v>15</v>
      </c>
      <c r="B17" s="4">
        <v>46121</v>
      </c>
      <c r="C17" s="19" t="s">
        <v>33</v>
      </c>
      <c r="D17" s="6" t="s">
        <v>89</v>
      </c>
      <c r="E17" s="6">
        <v>4</v>
      </c>
      <c r="F17" s="21"/>
      <c r="G17" s="40"/>
    </row>
    <row r="18" customHeight="1" spans="1:7">
      <c r="A18" s="3">
        <v>16</v>
      </c>
      <c r="B18" s="4">
        <v>46121</v>
      </c>
      <c r="C18" s="19" t="s">
        <v>34</v>
      </c>
      <c r="D18" s="6" t="s">
        <v>89</v>
      </c>
      <c r="E18" s="19"/>
      <c r="F18" s="20">
        <v>4</v>
      </c>
      <c r="G18" s="40" t="s">
        <v>25</v>
      </c>
    </row>
    <row r="19" customHeight="1" spans="1:7">
      <c r="A19" s="3">
        <v>17</v>
      </c>
      <c r="B19" s="4">
        <v>46121</v>
      </c>
      <c r="C19" s="19" t="s">
        <v>36</v>
      </c>
      <c r="D19" s="6" t="s">
        <v>89</v>
      </c>
      <c r="E19" s="19">
        <v>2</v>
      </c>
      <c r="F19" s="20">
        <v>2</v>
      </c>
      <c r="G19" s="40"/>
    </row>
    <row r="20" customHeight="1" spans="1:7">
      <c r="A20" s="3">
        <v>18</v>
      </c>
      <c r="B20" s="4">
        <v>46121</v>
      </c>
      <c r="C20" s="62" t="s">
        <v>37</v>
      </c>
      <c r="D20" s="61" t="s">
        <v>91</v>
      </c>
      <c r="E20" s="23">
        <v>2</v>
      </c>
      <c r="F20" s="24">
        <v>2</v>
      </c>
      <c r="G20" s="13" t="s">
        <v>103</v>
      </c>
    </row>
    <row r="21" customHeight="1" spans="1:7">
      <c r="A21" s="3">
        <v>19</v>
      </c>
      <c r="B21" s="4">
        <v>46121</v>
      </c>
      <c r="C21" s="45" t="s">
        <v>38</v>
      </c>
      <c r="D21" s="61" t="s">
        <v>91</v>
      </c>
      <c r="E21" s="23">
        <v>2</v>
      </c>
      <c r="F21" s="24">
        <v>2</v>
      </c>
      <c r="G21" s="13" t="s">
        <v>103</v>
      </c>
    </row>
    <row r="22" customHeight="1" spans="1:7">
      <c r="A22" s="3">
        <v>20</v>
      </c>
      <c r="B22" s="4">
        <v>46121</v>
      </c>
      <c r="C22" s="63" t="s">
        <v>39</v>
      </c>
      <c r="D22" s="61" t="s">
        <v>91</v>
      </c>
      <c r="E22" s="28">
        <v>2</v>
      </c>
      <c r="F22" s="28"/>
      <c r="G22" s="37" t="s">
        <v>104</v>
      </c>
    </row>
    <row r="23" customHeight="1" spans="1:7">
      <c r="A23" s="3">
        <v>21</v>
      </c>
      <c r="B23" s="4">
        <v>46121</v>
      </c>
      <c r="C23" s="19" t="s">
        <v>41</v>
      </c>
      <c r="D23" s="6" t="s">
        <v>89</v>
      </c>
      <c r="E23" s="30">
        <v>4</v>
      </c>
      <c r="F23" s="30">
        <v>4</v>
      </c>
      <c r="G23" s="6" t="s">
        <v>42</v>
      </c>
    </row>
    <row r="24" customHeight="1" spans="1:7">
      <c r="A24" s="3">
        <v>22</v>
      </c>
      <c r="B24" s="4">
        <v>46121</v>
      </c>
      <c r="C24" s="19" t="s">
        <v>43</v>
      </c>
      <c r="D24" s="6" t="s">
        <v>89</v>
      </c>
      <c r="E24" s="30">
        <v>2</v>
      </c>
      <c r="F24" s="30">
        <v>2</v>
      </c>
      <c r="G24" s="37"/>
    </row>
    <row r="25" customHeight="1" spans="1:7">
      <c r="A25" s="3">
        <v>23</v>
      </c>
      <c r="B25" s="4">
        <v>46121</v>
      </c>
      <c r="C25" s="19" t="s">
        <v>44</v>
      </c>
      <c r="D25" s="61" t="s">
        <v>91</v>
      </c>
      <c r="E25" s="30">
        <v>2</v>
      </c>
      <c r="F25" s="30">
        <v>2</v>
      </c>
      <c r="G25" s="6" t="s">
        <v>96</v>
      </c>
    </row>
    <row r="26" customHeight="1" spans="1:7">
      <c r="A26" s="3">
        <v>24</v>
      </c>
      <c r="B26" s="4">
        <v>46121</v>
      </c>
      <c r="C26" s="19" t="s">
        <v>45</v>
      </c>
      <c r="D26" s="6" t="s">
        <v>89</v>
      </c>
      <c r="E26" s="30">
        <v>2</v>
      </c>
      <c r="F26" s="30">
        <v>2</v>
      </c>
      <c r="G26" s="37"/>
    </row>
    <row r="27" customHeight="1" spans="1:7">
      <c r="A27" s="3">
        <v>25</v>
      </c>
      <c r="B27" s="4">
        <v>46121</v>
      </c>
      <c r="C27" s="23" t="s">
        <v>46</v>
      </c>
      <c r="D27" s="61" t="s">
        <v>91</v>
      </c>
      <c r="E27" s="28">
        <v>2</v>
      </c>
      <c r="F27" s="28">
        <v>2</v>
      </c>
      <c r="G27" s="38" t="s">
        <v>47</v>
      </c>
    </row>
    <row r="28" customHeight="1" spans="1:7">
      <c r="A28" s="3">
        <v>26</v>
      </c>
      <c r="B28" s="4">
        <v>46121</v>
      </c>
      <c r="C28" s="19" t="s">
        <v>48</v>
      </c>
      <c r="D28" s="61" t="s">
        <v>91</v>
      </c>
      <c r="E28" s="30">
        <v>2</v>
      </c>
      <c r="F28" s="30"/>
      <c r="G28" s="13" t="s">
        <v>105</v>
      </c>
    </row>
    <row r="29" customHeight="1" spans="1:7">
      <c r="A29" s="3">
        <v>27</v>
      </c>
      <c r="B29" s="4">
        <v>46121</v>
      </c>
      <c r="C29" s="19" t="s">
        <v>49</v>
      </c>
      <c r="D29" s="6" t="s">
        <v>89</v>
      </c>
      <c r="E29" s="30">
        <v>8</v>
      </c>
      <c r="F29" s="35"/>
      <c r="G29" s="53" t="s">
        <v>50</v>
      </c>
    </row>
    <row r="30" customHeight="1" spans="1:7">
      <c r="A30" s="3">
        <v>28</v>
      </c>
      <c r="B30" s="4">
        <v>46121</v>
      </c>
      <c r="C30" s="6" t="s">
        <v>51</v>
      </c>
      <c r="D30" s="6" t="s">
        <v>89</v>
      </c>
      <c r="E30" s="6">
        <v>4</v>
      </c>
      <c r="F30" s="6">
        <v>4</v>
      </c>
      <c r="G30" s="6" t="s">
        <v>107</v>
      </c>
    </row>
    <row r="31" customHeight="1" spans="1:7">
      <c r="A31" s="3">
        <v>29</v>
      </c>
      <c r="B31" s="4">
        <v>46121</v>
      </c>
      <c r="C31" s="6" t="s">
        <v>53</v>
      </c>
      <c r="D31" s="61" t="s">
        <v>91</v>
      </c>
      <c r="E31" s="6">
        <v>2</v>
      </c>
      <c r="F31" s="6">
        <v>2</v>
      </c>
      <c r="G31" s="13" t="s">
        <v>103</v>
      </c>
    </row>
    <row r="32" customHeight="1" spans="1:7">
      <c r="A32" s="3">
        <v>30</v>
      </c>
      <c r="B32" s="4">
        <v>46121</v>
      </c>
      <c r="C32" s="6" t="s">
        <v>54</v>
      </c>
      <c r="D32" s="6" t="s">
        <v>89</v>
      </c>
      <c r="E32" s="6">
        <v>8</v>
      </c>
      <c r="F32" s="37"/>
      <c r="G32" s="37"/>
    </row>
    <row r="33" customHeight="1" spans="1:7">
      <c r="A33" s="3">
        <v>31</v>
      </c>
      <c r="B33" s="4">
        <v>46121</v>
      </c>
      <c r="C33" s="6" t="s">
        <v>56</v>
      </c>
      <c r="D33" s="6" t="s">
        <v>89</v>
      </c>
      <c r="E33" s="6">
        <v>4</v>
      </c>
      <c r="F33" s="37"/>
      <c r="G33" s="6" t="s">
        <v>57</v>
      </c>
    </row>
    <row r="34" customHeight="1" spans="1:7">
      <c r="A34" s="3">
        <v>32</v>
      </c>
      <c r="B34" s="4">
        <v>46121</v>
      </c>
      <c r="C34" s="6" t="s">
        <v>58</v>
      </c>
      <c r="D34" s="6" t="s">
        <v>89</v>
      </c>
      <c r="E34" s="6">
        <v>4</v>
      </c>
      <c r="F34" s="6">
        <v>4</v>
      </c>
      <c r="G34" s="6" t="s">
        <v>59</v>
      </c>
    </row>
    <row r="35" customHeight="1" spans="1:7">
      <c r="A35" s="3">
        <v>33</v>
      </c>
      <c r="B35" s="4">
        <v>46121</v>
      </c>
      <c r="C35" s="38" t="s">
        <v>60</v>
      </c>
      <c r="D35" s="61" t="s">
        <v>91</v>
      </c>
      <c r="E35" s="38">
        <v>2</v>
      </c>
      <c r="F35" s="38">
        <v>2</v>
      </c>
      <c r="G35" s="54" t="s">
        <v>103</v>
      </c>
    </row>
    <row r="36" customHeight="1" spans="1:7">
      <c r="A36" s="3">
        <v>34</v>
      </c>
      <c r="B36" s="4">
        <v>46121</v>
      </c>
      <c r="C36" s="19" t="s">
        <v>20</v>
      </c>
      <c r="D36" s="61" t="s">
        <v>91</v>
      </c>
      <c r="E36" s="40">
        <v>2</v>
      </c>
      <c r="F36" s="40"/>
      <c r="G36" s="52" t="s">
        <v>31</v>
      </c>
    </row>
    <row r="37" customHeight="1" spans="1:7">
      <c r="A37" s="3">
        <v>35</v>
      </c>
      <c r="B37" s="4">
        <v>46121</v>
      </c>
      <c r="C37" s="37" t="s">
        <v>61</v>
      </c>
      <c r="D37" s="61" t="s">
        <v>91</v>
      </c>
      <c r="E37" s="40"/>
      <c r="F37" s="40">
        <v>4</v>
      </c>
      <c r="G37" s="43" t="s">
        <v>106</v>
      </c>
    </row>
    <row r="38" customHeight="1" spans="1:7">
      <c r="A38" s="3">
        <v>36</v>
      </c>
      <c r="B38" s="4">
        <v>46121</v>
      </c>
      <c r="C38" s="37" t="s">
        <v>62</v>
      </c>
      <c r="D38" s="38" t="s">
        <v>89</v>
      </c>
      <c r="E38" s="43">
        <v>4</v>
      </c>
      <c r="F38" s="43">
        <v>4</v>
      </c>
      <c r="G38" s="19" t="s">
        <v>52</v>
      </c>
    </row>
    <row r="39" customHeight="1" spans="1:7">
      <c r="A39" s="3"/>
      <c r="B39" s="4"/>
      <c r="C39" s="37"/>
      <c r="D39" s="64"/>
      <c r="E39" s="40"/>
      <c r="F39" s="40"/>
      <c r="G39" s="40"/>
    </row>
    <row r="40" customHeight="1" spans="1:7">
      <c r="A40" s="3"/>
      <c r="E40">
        <f>SUM(E3:E39)</f>
        <v>86</v>
      </c>
      <c r="F40">
        <f>SUM(F3:F39)</f>
        <v>60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opLeftCell="A14" workbookViewId="0">
      <selection activeCell="E30" sqref="E30:G30"/>
    </sheetView>
  </sheetViews>
  <sheetFormatPr defaultColWidth="16.8571428571429" defaultRowHeight="24" customHeight="1"/>
  <cols>
    <col min="1" max="4" width="16.8571428571429" customWidth="1"/>
    <col min="5" max="6" width="16.8571428571429" style="51" customWidth="1"/>
    <col min="7" max="7" width="37.1428571428571" style="51" customWidth="1"/>
    <col min="8" max="16384" width="16.8571428571429" customWidth="1"/>
  </cols>
  <sheetData>
    <row r="1" customHeight="1" spans="1:10">
      <c r="A1" s="1" t="s">
        <v>84</v>
      </c>
      <c r="B1" s="1"/>
      <c r="C1" s="1"/>
      <c r="D1" s="1"/>
      <c r="E1" s="1"/>
      <c r="F1" s="1"/>
      <c r="G1" s="1"/>
    </row>
    <row r="2" customHeight="1" spans="1:10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</row>
    <row r="3" customHeight="1" spans="1:10">
      <c r="A3" s="3">
        <v>1</v>
      </c>
      <c r="B3" s="4">
        <v>46125</v>
      </c>
      <c r="C3" s="6" t="s">
        <v>13</v>
      </c>
      <c r="D3" s="6" t="s">
        <v>88</v>
      </c>
      <c r="E3" s="6">
        <v>2</v>
      </c>
      <c r="F3" s="6">
        <v>1</v>
      </c>
      <c r="G3" s="12" t="s">
        <v>108</v>
      </c>
      <c r="I3" s="55"/>
      <c r="J3" s="55"/>
    </row>
    <row r="4" customHeight="1" spans="1:10">
      <c r="A4" s="3">
        <v>2</v>
      </c>
      <c r="B4" s="4">
        <v>46125</v>
      </c>
      <c r="C4" s="8" t="s">
        <v>16</v>
      </c>
      <c r="D4" s="6" t="s">
        <v>88</v>
      </c>
      <c r="E4" s="6">
        <v>3</v>
      </c>
      <c r="F4" s="6"/>
      <c r="G4" s="52" t="s">
        <v>109</v>
      </c>
      <c r="I4" s="56"/>
      <c r="J4" s="55"/>
    </row>
    <row r="5" customHeight="1" spans="1:10">
      <c r="A5" s="3">
        <v>3</v>
      </c>
      <c r="B5" s="4">
        <v>46125</v>
      </c>
      <c r="C5" s="11" t="s">
        <v>18</v>
      </c>
      <c r="D5" s="6" t="s">
        <v>88</v>
      </c>
      <c r="E5" s="12"/>
      <c r="F5" s="12">
        <v>3</v>
      </c>
      <c r="G5" s="52" t="s">
        <v>98</v>
      </c>
      <c r="I5" s="57"/>
      <c r="J5" s="55"/>
    </row>
    <row r="6" customHeight="1" spans="1:10">
      <c r="A6" s="3">
        <v>4</v>
      </c>
      <c r="B6" s="4">
        <v>46125</v>
      </c>
      <c r="C6" s="5" t="s">
        <v>20</v>
      </c>
      <c r="D6" s="6" t="s">
        <v>88</v>
      </c>
      <c r="E6" s="6">
        <v>3</v>
      </c>
      <c r="F6" s="6"/>
      <c r="G6" s="52" t="s">
        <v>31</v>
      </c>
      <c r="I6" s="55"/>
      <c r="J6" s="55"/>
    </row>
    <row r="7" customHeight="1" spans="1:10">
      <c r="A7" s="3">
        <v>5</v>
      </c>
      <c r="B7" s="4">
        <v>46125</v>
      </c>
      <c r="C7" s="13" t="s">
        <v>21</v>
      </c>
      <c r="D7" s="6" t="s">
        <v>88</v>
      </c>
      <c r="E7" s="6"/>
      <c r="F7" s="14">
        <v>3</v>
      </c>
      <c r="G7" s="52"/>
      <c r="I7" s="57"/>
      <c r="J7" s="55"/>
    </row>
    <row r="8" customHeight="1" spans="1:10">
      <c r="A8" s="3">
        <v>6</v>
      </c>
      <c r="B8" s="4">
        <v>46125</v>
      </c>
      <c r="C8" s="5" t="s">
        <v>22</v>
      </c>
      <c r="D8" s="6" t="s">
        <v>88</v>
      </c>
      <c r="E8" s="6">
        <v>3</v>
      </c>
      <c r="F8" s="14"/>
      <c r="G8" s="30" t="s">
        <v>99</v>
      </c>
      <c r="I8" s="55"/>
      <c r="J8" s="55"/>
    </row>
    <row r="9" customHeight="1" spans="1:10">
      <c r="A9" s="3">
        <v>7</v>
      </c>
      <c r="B9" s="4">
        <v>46125</v>
      </c>
      <c r="C9" s="6" t="s">
        <v>23</v>
      </c>
      <c r="D9" s="6" t="s">
        <v>88</v>
      </c>
      <c r="E9" s="6">
        <v>3</v>
      </c>
      <c r="F9" s="14"/>
      <c r="G9" s="30"/>
      <c r="I9" s="55"/>
      <c r="J9" s="55"/>
    </row>
    <row r="10" customHeight="1" spans="1:10">
      <c r="A10" s="3">
        <v>8</v>
      </c>
      <c r="B10" s="4">
        <v>46125</v>
      </c>
      <c r="C10" s="6" t="s">
        <v>24</v>
      </c>
      <c r="D10" s="6" t="s">
        <v>88</v>
      </c>
      <c r="E10" s="6"/>
      <c r="F10" s="14">
        <v>3</v>
      </c>
      <c r="G10" s="30" t="s">
        <v>25</v>
      </c>
      <c r="I10" s="55"/>
      <c r="J10" s="55"/>
    </row>
    <row r="11" customHeight="1" spans="1:10">
      <c r="A11" s="3">
        <v>9</v>
      </c>
      <c r="B11" s="4">
        <v>46125</v>
      </c>
      <c r="C11" s="6" t="s">
        <v>26</v>
      </c>
      <c r="D11" s="6" t="s">
        <v>88</v>
      </c>
      <c r="E11" s="6"/>
      <c r="F11" s="14">
        <v>3</v>
      </c>
      <c r="G11" s="30"/>
      <c r="I11" s="55"/>
      <c r="J11" s="55"/>
    </row>
    <row r="12" customHeight="1" spans="1:10">
      <c r="A12" s="3">
        <v>10</v>
      </c>
      <c r="B12" s="4">
        <v>46125</v>
      </c>
      <c r="C12" s="5" t="s">
        <v>27</v>
      </c>
      <c r="D12" s="6" t="s">
        <v>88</v>
      </c>
      <c r="E12" s="6">
        <v>3</v>
      </c>
      <c r="F12" s="14"/>
      <c r="G12" s="30" t="s">
        <v>100</v>
      </c>
      <c r="I12" s="55"/>
      <c r="J12" s="55"/>
    </row>
    <row r="13" customHeight="1" spans="1:10">
      <c r="A13" s="3">
        <v>11</v>
      </c>
      <c r="B13" s="4">
        <v>46125</v>
      </c>
      <c r="C13" s="5" t="s">
        <v>81</v>
      </c>
      <c r="D13" s="6" t="s">
        <v>88</v>
      </c>
      <c r="E13" s="6"/>
      <c r="F13" s="14">
        <v>3</v>
      </c>
      <c r="G13" s="13" t="s">
        <v>101</v>
      </c>
      <c r="I13" s="55"/>
      <c r="J13" s="55"/>
    </row>
    <row r="14" customHeight="1" spans="1:10">
      <c r="A14" s="3">
        <v>11</v>
      </c>
      <c r="B14" s="4">
        <v>46125</v>
      </c>
      <c r="C14" s="5" t="s">
        <v>82</v>
      </c>
      <c r="D14" s="6" t="s">
        <v>88</v>
      </c>
      <c r="E14" s="6">
        <v>3</v>
      </c>
      <c r="F14" s="14"/>
      <c r="G14" s="13" t="s">
        <v>102</v>
      </c>
      <c r="I14" s="55"/>
      <c r="J14" s="55"/>
    </row>
    <row r="15" customHeight="1" spans="1:10">
      <c r="A15" s="3">
        <v>12</v>
      </c>
      <c r="B15" s="4">
        <v>46125</v>
      </c>
      <c r="C15" s="17" t="s">
        <v>30</v>
      </c>
      <c r="D15" s="6" t="s">
        <v>88</v>
      </c>
      <c r="E15" s="6">
        <v>3</v>
      </c>
      <c r="F15" s="18"/>
      <c r="G15" s="30" t="s">
        <v>31</v>
      </c>
      <c r="I15" s="55"/>
      <c r="J15" s="55"/>
    </row>
    <row r="16" customHeight="1" spans="1:10">
      <c r="A16" s="3">
        <v>13</v>
      </c>
      <c r="B16" s="4">
        <v>46125</v>
      </c>
      <c r="C16" s="19" t="s">
        <v>32</v>
      </c>
      <c r="D16" s="6" t="s">
        <v>88</v>
      </c>
      <c r="E16" s="6">
        <v>3</v>
      </c>
      <c r="F16" s="20"/>
      <c r="G16" s="30"/>
      <c r="I16" s="55"/>
      <c r="J16" s="55"/>
    </row>
    <row r="17" customHeight="1" spans="1:10">
      <c r="A17" s="3">
        <v>14</v>
      </c>
      <c r="B17" s="4">
        <v>46125</v>
      </c>
      <c r="C17" s="19" t="s">
        <v>33</v>
      </c>
      <c r="D17" s="6" t="s">
        <v>88</v>
      </c>
      <c r="E17" s="6">
        <v>3</v>
      </c>
      <c r="F17" s="21"/>
      <c r="G17" s="30"/>
      <c r="I17" s="55"/>
      <c r="J17" s="55"/>
    </row>
    <row r="18" customHeight="1" spans="1:10">
      <c r="A18" s="3">
        <v>15</v>
      </c>
      <c r="B18" s="4">
        <v>46125</v>
      </c>
      <c r="C18" s="19" t="s">
        <v>34</v>
      </c>
      <c r="D18" s="6" t="s">
        <v>88</v>
      </c>
      <c r="E18" s="19"/>
      <c r="F18" s="20">
        <v>3</v>
      </c>
      <c r="G18" s="30" t="s">
        <v>25</v>
      </c>
      <c r="I18" s="55"/>
      <c r="J18" s="55"/>
    </row>
    <row r="19" customHeight="1" spans="1:10">
      <c r="A19" s="3">
        <v>16</v>
      </c>
      <c r="B19" s="4">
        <v>46125</v>
      </c>
      <c r="C19" s="19" t="s">
        <v>36</v>
      </c>
      <c r="D19" s="6" t="s">
        <v>88</v>
      </c>
      <c r="E19" s="19">
        <v>2</v>
      </c>
      <c r="F19" s="20">
        <v>1</v>
      </c>
      <c r="G19" s="30"/>
      <c r="I19" s="58"/>
      <c r="J19" s="58"/>
    </row>
    <row r="20" customHeight="1" spans="1:10">
      <c r="A20" s="3">
        <v>17</v>
      </c>
      <c r="B20" s="4">
        <v>46125</v>
      </c>
      <c r="C20" s="22" t="s">
        <v>37</v>
      </c>
      <c r="D20" s="6" t="s">
        <v>88</v>
      </c>
      <c r="E20" s="23">
        <v>3</v>
      </c>
      <c r="F20" s="24">
        <v>3</v>
      </c>
      <c r="G20" s="13" t="s">
        <v>103</v>
      </c>
      <c r="I20" s="58"/>
      <c r="J20" s="55"/>
    </row>
    <row r="21" customHeight="1" spans="1:10">
      <c r="A21" s="3">
        <v>18</v>
      </c>
      <c r="B21" s="4">
        <v>46125</v>
      </c>
      <c r="C21" s="25" t="s">
        <v>38</v>
      </c>
      <c r="D21" s="6" t="s">
        <v>88</v>
      </c>
      <c r="E21" s="23">
        <v>3</v>
      </c>
      <c r="F21" s="24">
        <v>3</v>
      </c>
      <c r="G21" s="13" t="s">
        <v>103</v>
      </c>
      <c r="I21" s="55"/>
      <c r="J21" s="55"/>
    </row>
    <row r="22" customHeight="1" spans="1:10">
      <c r="A22" s="26">
        <v>20</v>
      </c>
      <c r="B22" s="4">
        <v>46125</v>
      </c>
      <c r="C22" s="27" t="s">
        <v>39</v>
      </c>
      <c r="D22" s="6" t="s">
        <v>88</v>
      </c>
      <c r="E22" s="28">
        <v>3</v>
      </c>
      <c r="F22" s="28"/>
      <c r="G22" s="37" t="s">
        <v>104</v>
      </c>
      <c r="I22" s="55"/>
      <c r="J22" s="55"/>
    </row>
    <row r="23" customHeight="1" spans="1:10">
      <c r="A23" s="26">
        <v>21</v>
      </c>
      <c r="B23" s="4">
        <v>46125</v>
      </c>
      <c r="C23" s="19" t="s">
        <v>41</v>
      </c>
      <c r="D23" s="6" t="s">
        <v>88</v>
      </c>
      <c r="E23" s="30">
        <v>3</v>
      </c>
      <c r="F23" s="30">
        <v>3</v>
      </c>
      <c r="G23" s="6" t="s">
        <v>42</v>
      </c>
      <c r="I23" s="55"/>
      <c r="J23" s="55"/>
    </row>
    <row r="24" customHeight="1" spans="1:10">
      <c r="A24" s="26">
        <v>22</v>
      </c>
      <c r="B24" s="4">
        <v>46125</v>
      </c>
      <c r="C24" s="19" t="s">
        <v>43</v>
      </c>
      <c r="D24" s="6" t="s">
        <v>88</v>
      </c>
      <c r="E24" s="30">
        <v>2</v>
      </c>
      <c r="F24" s="30">
        <v>1</v>
      </c>
      <c r="G24" s="37"/>
      <c r="I24" s="55"/>
      <c r="J24" s="55"/>
    </row>
    <row r="25" customHeight="1" spans="1:10">
      <c r="A25" s="26">
        <v>23</v>
      </c>
      <c r="B25" s="4">
        <v>46125</v>
      </c>
      <c r="C25" s="32" t="s">
        <v>44</v>
      </c>
      <c r="D25" s="6" t="s">
        <v>88</v>
      </c>
      <c r="E25" s="30">
        <v>3</v>
      </c>
      <c r="F25" s="30">
        <v>3</v>
      </c>
      <c r="G25" s="6" t="s">
        <v>96</v>
      </c>
      <c r="I25" s="55"/>
      <c r="J25" s="55"/>
    </row>
    <row r="26" customHeight="1" spans="1:10">
      <c r="A26" s="26">
        <v>24</v>
      </c>
      <c r="B26" s="4">
        <v>46125</v>
      </c>
      <c r="C26" s="19" t="s">
        <v>45</v>
      </c>
      <c r="D26" s="6" t="s">
        <v>88</v>
      </c>
      <c r="E26" s="30">
        <v>2</v>
      </c>
      <c r="F26" s="30">
        <v>1</v>
      </c>
      <c r="G26" s="37"/>
      <c r="I26" s="55"/>
      <c r="J26" s="55"/>
    </row>
    <row r="27" customHeight="1" spans="1:10">
      <c r="A27" s="26">
        <v>25</v>
      </c>
      <c r="B27" s="4">
        <v>46125</v>
      </c>
      <c r="C27" s="27" t="s">
        <v>46</v>
      </c>
      <c r="D27" s="6" t="s">
        <v>88</v>
      </c>
      <c r="E27" s="28">
        <v>3</v>
      </c>
      <c r="F27" s="28">
        <v>3</v>
      </c>
      <c r="G27" s="38" t="s">
        <v>47</v>
      </c>
      <c r="I27" s="55"/>
      <c r="J27" s="55"/>
    </row>
    <row r="28" customHeight="1" spans="1:10">
      <c r="A28" s="3">
        <v>26</v>
      </c>
      <c r="B28" s="4">
        <v>46125</v>
      </c>
      <c r="C28" s="32" t="s">
        <v>48</v>
      </c>
      <c r="D28" s="6" t="s">
        <v>88</v>
      </c>
      <c r="E28" s="30">
        <v>3</v>
      </c>
      <c r="F28" s="30"/>
      <c r="G28" s="13" t="s">
        <v>105</v>
      </c>
      <c r="I28" s="55"/>
      <c r="J28" s="55"/>
    </row>
    <row r="29" customHeight="1" spans="1:10">
      <c r="A29" s="34">
        <v>27</v>
      </c>
      <c r="B29" s="4">
        <v>46125</v>
      </c>
      <c r="C29" s="19" t="s">
        <v>49</v>
      </c>
      <c r="D29" s="6" t="s">
        <v>88</v>
      </c>
      <c r="E29" s="30">
        <v>6</v>
      </c>
      <c r="F29" s="35"/>
      <c r="G29" s="53" t="s">
        <v>50</v>
      </c>
      <c r="I29" s="55"/>
      <c r="J29" s="55"/>
    </row>
    <row r="30" customHeight="1" spans="1:10">
      <c r="A30" s="34">
        <v>28</v>
      </c>
      <c r="B30" s="4">
        <v>46125</v>
      </c>
      <c r="C30" s="6" t="s">
        <v>51</v>
      </c>
      <c r="D30" s="6" t="s">
        <v>88</v>
      </c>
      <c r="E30" s="6">
        <v>3</v>
      </c>
      <c r="F30" s="6">
        <v>3</v>
      </c>
      <c r="G30" s="6" t="s">
        <v>107</v>
      </c>
      <c r="I30" s="55"/>
      <c r="J30" s="55"/>
    </row>
    <row r="31" customHeight="1" spans="1:10">
      <c r="A31" s="34">
        <v>29</v>
      </c>
      <c r="B31" s="4">
        <v>46125</v>
      </c>
      <c r="C31" s="5" t="s">
        <v>53</v>
      </c>
      <c r="D31" s="6" t="s">
        <v>88</v>
      </c>
      <c r="E31" s="6">
        <v>3</v>
      </c>
      <c r="F31" s="6">
        <v>3</v>
      </c>
      <c r="G31" s="13" t="s">
        <v>103</v>
      </c>
      <c r="I31" s="55"/>
      <c r="J31" s="55"/>
    </row>
    <row r="32" customHeight="1" spans="1:10">
      <c r="A32" s="34">
        <v>30</v>
      </c>
      <c r="B32" s="4">
        <v>46125</v>
      </c>
      <c r="C32" s="6" t="s">
        <v>54</v>
      </c>
      <c r="D32" s="6" t="s">
        <v>88</v>
      </c>
      <c r="E32" s="6">
        <v>3</v>
      </c>
      <c r="F32" s="37"/>
      <c r="G32" s="37"/>
      <c r="I32" s="55"/>
      <c r="J32" s="55"/>
    </row>
    <row r="33" customHeight="1" spans="1:10">
      <c r="A33" s="34">
        <v>31</v>
      </c>
      <c r="B33" s="4">
        <v>46125</v>
      </c>
      <c r="C33" s="6" t="s">
        <v>56</v>
      </c>
      <c r="D33" s="6" t="s">
        <v>88</v>
      </c>
      <c r="E33" s="6">
        <v>6</v>
      </c>
      <c r="F33" s="37"/>
      <c r="G33" s="6" t="s">
        <v>57</v>
      </c>
      <c r="I33" s="55"/>
      <c r="J33" s="55"/>
    </row>
    <row r="34" customHeight="1" spans="1:10">
      <c r="A34" s="34">
        <v>32</v>
      </c>
      <c r="B34" s="4">
        <v>46125</v>
      </c>
      <c r="C34" s="6" t="s">
        <v>58</v>
      </c>
      <c r="D34" s="6" t="s">
        <v>88</v>
      </c>
      <c r="E34" s="6">
        <v>6</v>
      </c>
      <c r="F34" s="6">
        <v>6</v>
      </c>
      <c r="G34" s="6" t="s">
        <v>59</v>
      </c>
      <c r="I34" s="55"/>
      <c r="J34" s="55"/>
    </row>
    <row r="35" customHeight="1" spans="1:10">
      <c r="A35" s="3">
        <v>33</v>
      </c>
      <c r="B35" s="4">
        <v>46125</v>
      </c>
      <c r="C35" s="17" t="s">
        <v>60</v>
      </c>
      <c r="D35" s="6" t="s">
        <v>88</v>
      </c>
      <c r="E35" s="38">
        <v>3</v>
      </c>
      <c r="F35" s="38">
        <v>3</v>
      </c>
      <c r="G35" s="54" t="s">
        <v>103</v>
      </c>
      <c r="I35" s="55"/>
      <c r="J35" s="55"/>
    </row>
    <row r="36" customHeight="1" spans="1:10">
      <c r="A36" s="3">
        <v>35</v>
      </c>
      <c r="B36" s="4">
        <v>46125</v>
      </c>
      <c r="C36" s="32" t="s">
        <v>20</v>
      </c>
      <c r="D36" s="6" t="s">
        <v>88</v>
      </c>
      <c r="E36" s="30">
        <v>3</v>
      </c>
      <c r="F36" s="30"/>
      <c r="G36" s="52" t="s">
        <v>31</v>
      </c>
      <c r="I36" s="58"/>
      <c r="J36" s="58"/>
    </row>
    <row r="37" customHeight="1" spans="1:10">
      <c r="A37" s="26">
        <v>36</v>
      </c>
      <c r="B37" s="4">
        <v>46125</v>
      </c>
      <c r="C37" s="41" t="s">
        <v>61</v>
      </c>
      <c r="D37" s="6" t="s">
        <v>88</v>
      </c>
      <c r="E37" s="28"/>
      <c r="F37" s="28">
        <v>6</v>
      </c>
      <c r="G37" s="28" t="s">
        <v>106</v>
      </c>
      <c r="I37" s="58"/>
      <c r="J37" s="58"/>
    </row>
    <row r="38" customHeight="1" spans="1:10">
      <c r="A38" s="3">
        <v>37</v>
      </c>
      <c r="B38" s="4">
        <v>46125</v>
      </c>
      <c r="C38" s="45" t="s">
        <v>62</v>
      </c>
      <c r="D38" s="6" t="s">
        <v>88</v>
      </c>
      <c r="E38" s="30">
        <v>3</v>
      </c>
      <c r="F38" s="30">
        <v>3</v>
      </c>
      <c r="G38" s="19" t="s">
        <v>52</v>
      </c>
      <c r="I38" s="59"/>
      <c r="J38" s="59"/>
    </row>
    <row r="39" customHeight="1" spans="1:10">
      <c r="A39" s="40"/>
      <c r="B39" s="4">
        <v>46125</v>
      </c>
      <c r="C39" s="19" t="s">
        <v>51</v>
      </c>
      <c r="D39" s="30" t="s">
        <v>110</v>
      </c>
      <c r="E39" s="30"/>
      <c r="F39" s="30">
        <v>6</v>
      </c>
      <c r="G39" s="30"/>
    </row>
    <row r="40" customHeight="1" spans="1:10">
      <c r="E40" s="51">
        <f>SUM(E3:E39)</f>
        <v>92</v>
      </c>
      <c r="F40" s="51">
        <f>SUM(F3:F39)</f>
        <v>67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opLeftCell="A10" workbookViewId="0">
      <selection activeCell="F38" sqref="E3:F38"/>
    </sheetView>
  </sheetViews>
  <sheetFormatPr defaultColWidth="14.4285714285714" defaultRowHeight="22" customHeight="1" outlineLevelCol="7"/>
  <cols>
    <col min="1" max="4" width="14.4285714285714" customWidth="1"/>
    <col min="5" max="6" width="14.4285714285714" style="51" customWidth="1"/>
    <col min="7" max="7" width="37.8571428571429" customWidth="1"/>
    <col min="8" max="16384" width="14.4285714285714" customWidth="1"/>
  </cols>
  <sheetData>
    <row r="1" customHeight="1" spans="1:8">
      <c r="A1" s="1" t="s">
        <v>84</v>
      </c>
      <c r="B1" s="1"/>
      <c r="C1" s="1"/>
      <c r="D1" s="1"/>
      <c r="E1" s="1"/>
      <c r="F1" s="1"/>
      <c r="G1" s="1"/>
    </row>
    <row r="2" customHeight="1" spans="1:8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</row>
    <row r="3" customHeight="1" spans="1:8">
      <c r="A3" s="3">
        <v>1</v>
      </c>
      <c r="B3" s="4">
        <v>46128</v>
      </c>
      <c r="C3" s="5" t="s">
        <v>13</v>
      </c>
      <c r="D3" s="6" t="s">
        <v>91</v>
      </c>
      <c r="E3" s="6">
        <v>1</v>
      </c>
      <c r="F3" s="6">
        <v>1</v>
      </c>
      <c r="G3" s="12" t="s">
        <v>108</v>
      </c>
      <c r="H3">
        <f>E3+F3</f>
        <v>2</v>
      </c>
    </row>
    <row r="4" customHeight="1" spans="1:8">
      <c r="A4" s="3">
        <v>2</v>
      </c>
      <c r="B4" s="4">
        <v>46128</v>
      </c>
      <c r="C4" s="8" t="s">
        <v>16</v>
      </c>
      <c r="D4" s="9" t="s">
        <v>91</v>
      </c>
      <c r="E4" s="6">
        <v>2</v>
      </c>
      <c r="F4" s="6"/>
      <c r="G4" s="52" t="s">
        <v>109</v>
      </c>
      <c r="H4">
        <f t="shared" ref="H4:H39" si="0">E4+F4</f>
        <v>2</v>
      </c>
    </row>
    <row r="5" customHeight="1" spans="1:8">
      <c r="A5" s="3">
        <v>3</v>
      </c>
      <c r="B5" s="4">
        <v>46128</v>
      </c>
      <c r="C5" s="11" t="s">
        <v>18</v>
      </c>
      <c r="D5" s="9" t="s">
        <v>91</v>
      </c>
      <c r="E5" s="12"/>
      <c r="F5" s="12">
        <v>2</v>
      </c>
      <c r="G5" s="52" t="s">
        <v>98</v>
      </c>
      <c r="H5">
        <f t="shared" si="0"/>
        <v>2</v>
      </c>
    </row>
    <row r="6" customHeight="1" spans="1:8">
      <c r="A6" s="3">
        <v>4</v>
      </c>
      <c r="B6" s="4">
        <v>46128</v>
      </c>
      <c r="C6" s="5" t="s">
        <v>20</v>
      </c>
      <c r="D6" s="9" t="s">
        <v>91</v>
      </c>
      <c r="E6" s="6">
        <v>2</v>
      </c>
      <c r="F6" s="6"/>
      <c r="G6" s="52" t="s">
        <v>31</v>
      </c>
      <c r="H6">
        <f t="shared" si="0"/>
        <v>2</v>
      </c>
    </row>
    <row r="7" customHeight="1" spans="1:8">
      <c r="A7" s="3">
        <v>5</v>
      </c>
      <c r="B7" s="4">
        <v>46128</v>
      </c>
      <c r="C7" s="13" t="s">
        <v>21</v>
      </c>
      <c r="D7" s="9" t="s">
        <v>89</v>
      </c>
      <c r="E7" s="6"/>
      <c r="F7" s="14">
        <v>4</v>
      </c>
      <c r="G7" s="52"/>
      <c r="H7">
        <f t="shared" si="0"/>
        <v>4</v>
      </c>
    </row>
    <row r="8" customHeight="1" spans="1:8">
      <c r="A8" s="3">
        <v>6</v>
      </c>
      <c r="B8" s="4">
        <v>46128</v>
      </c>
      <c r="C8" s="5" t="s">
        <v>22</v>
      </c>
      <c r="D8" s="9" t="s">
        <v>91</v>
      </c>
      <c r="E8" s="6">
        <v>2</v>
      </c>
      <c r="F8" s="14"/>
      <c r="G8" s="30" t="s">
        <v>99</v>
      </c>
      <c r="H8">
        <f t="shared" si="0"/>
        <v>2</v>
      </c>
    </row>
    <row r="9" customHeight="1" spans="1:8">
      <c r="A9" s="3">
        <v>7</v>
      </c>
      <c r="B9" s="4">
        <v>46128</v>
      </c>
      <c r="C9" s="6" t="s">
        <v>23</v>
      </c>
      <c r="D9" s="9" t="s">
        <v>89</v>
      </c>
      <c r="E9" s="6">
        <v>4</v>
      </c>
      <c r="F9" s="14"/>
      <c r="G9" s="30"/>
      <c r="H9">
        <f t="shared" si="0"/>
        <v>4</v>
      </c>
    </row>
    <row r="10" customHeight="1" spans="1:8">
      <c r="A10" s="3">
        <v>8</v>
      </c>
      <c r="B10" s="4">
        <v>46128</v>
      </c>
      <c r="C10" s="6" t="s">
        <v>24</v>
      </c>
      <c r="D10" s="9" t="s">
        <v>89</v>
      </c>
      <c r="E10" s="6"/>
      <c r="F10" s="14">
        <v>4</v>
      </c>
      <c r="G10" s="30" t="s">
        <v>25</v>
      </c>
      <c r="H10">
        <f t="shared" si="0"/>
        <v>4</v>
      </c>
    </row>
    <row r="11" customHeight="1" spans="1:8">
      <c r="A11" s="3">
        <v>9</v>
      </c>
      <c r="B11" s="4">
        <v>46128</v>
      </c>
      <c r="C11" s="6" t="s">
        <v>26</v>
      </c>
      <c r="D11" s="9" t="s">
        <v>89</v>
      </c>
      <c r="E11" s="6"/>
      <c r="F11" s="14">
        <v>4</v>
      </c>
      <c r="G11" s="30"/>
      <c r="H11">
        <f t="shared" si="0"/>
        <v>4</v>
      </c>
    </row>
    <row r="12" customHeight="1" spans="1:8">
      <c r="A12" s="3">
        <v>10</v>
      </c>
      <c r="B12" s="4">
        <v>46128</v>
      </c>
      <c r="C12" s="5" t="s">
        <v>27</v>
      </c>
      <c r="D12" s="9" t="s">
        <v>91</v>
      </c>
      <c r="E12" s="6">
        <v>2</v>
      </c>
      <c r="F12" s="14"/>
      <c r="G12" s="30" t="s">
        <v>100</v>
      </c>
      <c r="H12">
        <f t="shared" si="0"/>
        <v>2</v>
      </c>
    </row>
    <row r="13" customHeight="1" spans="1:8">
      <c r="A13" s="3">
        <v>11</v>
      </c>
      <c r="B13" s="4">
        <v>46128</v>
      </c>
      <c r="C13" s="5" t="s">
        <v>81</v>
      </c>
      <c r="D13" s="9" t="s">
        <v>91</v>
      </c>
      <c r="E13" s="6"/>
      <c r="F13" s="14">
        <v>2</v>
      </c>
      <c r="G13" s="13" t="s">
        <v>101</v>
      </c>
      <c r="H13">
        <f t="shared" si="0"/>
        <v>2</v>
      </c>
    </row>
    <row r="14" customHeight="1" spans="1:8">
      <c r="A14" s="3">
        <v>11</v>
      </c>
      <c r="B14" s="4">
        <v>46128</v>
      </c>
      <c r="C14" s="5" t="s">
        <v>82</v>
      </c>
      <c r="D14" s="9" t="s">
        <v>91</v>
      </c>
      <c r="E14" s="6">
        <v>2</v>
      </c>
      <c r="F14" s="14"/>
      <c r="G14" s="13" t="s">
        <v>102</v>
      </c>
      <c r="H14">
        <f t="shared" si="0"/>
        <v>2</v>
      </c>
    </row>
    <row r="15" customHeight="1" spans="1:8">
      <c r="A15" s="3">
        <v>12</v>
      </c>
      <c r="B15" s="4">
        <v>46128</v>
      </c>
      <c r="C15" s="17" t="s">
        <v>30</v>
      </c>
      <c r="D15" s="9" t="s">
        <v>91</v>
      </c>
      <c r="E15" s="6">
        <v>2</v>
      </c>
      <c r="F15" s="18"/>
      <c r="G15" s="30" t="s">
        <v>31</v>
      </c>
      <c r="H15">
        <f t="shared" si="0"/>
        <v>2</v>
      </c>
    </row>
    <row r="16" customHeight="1" spans="1:8">
      <c r="A16" s="3">
        <v>13</v>
      </c>
      <c r="B16" s="4">
        <v>46128</v>
      </c>
      <c r="C16" s="19" t="s">
        <v>32</v>
      </c>
      <c r="D16" s="9" t="s">
        <v>89</v>
      </c>
      <c r="E16" s="6">
        <v>4</v>
      </c>
      <c r="F16" s="20"/>
      <c r="G16" s="30"/>
      <c r="H16">
        <f t="shared" si="0"/>
        <v>4</v>
      </c>
    </row>
    <row r="17" customHeight="1" spans="1:8">
      <c r="A17" s="3">
        <v>14</v>
      </c>
      <c r="B17" s="4">
        <v>46128</v>
      </c>
      <c r="C17" s="19" t="s">
        <v>33</v>
      </c>
      <c r="D17" s="9" t="s">
        <v>89</v>
      </c>
      <c r="E17" s="6">
        <v>4</v>
      </c>
      <c r="F17" s="21"/>
      <c r="G17" s="30"/>
      <c r="H17">
        <f t="shared" si="0"/>
        <v>4</v>
      </c>
    </row>
    <row r="18" customHeight="1" spans="1:8">
      <c r="A18" s="3">
        <v>15</v>
      </c>
      <c r="B18" s="4">
        <v>46128</v>
      </c>
      <c r="C18" s="19" t="s">
        <v>34</v>
      </c>
      <c r="D18" s="9" t="s">
        <v>89</v>
      </c>
      <c r="E18" s="19"/>
      <c r="F18" s="20">
        <v>4</v>
      </c>
      <c r="G18" s="30" t="s">
        <v>25</v>
      </c>
      <c r="H18">
        <f t="shared" si="0"/>
        <v>4</v>
      </c>
    </row>
    <row r="19" customHeight="1" spans="1:8">
      <c r="A19" s="3">
        <v>16</v>
      </c>
      <c r="B19" s="4">
        <v>46128</v>
      </c>
      <c r="C19" s="19" t="s">
        <v>36</v>
      </c>
      <c r="D19" s="9" t="s">
        <v>89</v>
      </c>
      <c r="E19" s="19">
        <v>2</v>
      </c>
      <c r="F19" s="20">
        <v>2</v>
      </c>
      <c r="G19" s="30"/>
      <c r="H19">
        <f t="shared" si="0"/>
        <v>4</v>
      </c>
    </row>
    <row r="20" customHeight="1" spans="1:8">
      <c r="A20" s="3">
        <v>17</v>
      </c>
      <c r="B20" s="4">
        <v>46128</v>
      </c>
      <c r="C20" s="22" t="s">
        <v>37</v>
      </c>
      <c r="D20" s="9" t="s">
        <v>91</v>
      </c>
      <c r="E20" s="23">
        <v>2</v>
      </c>
      <c r="F20" s="24">
        <v>2</v>
      </c>
      <c r="G20" s="13" t="s">
        <v>103</v>
      </c>
      <c r="H20">
        <f t="shared" si="0"/>
        <v>4</v>
      </c>
    </row>
    <row r="21" customHeight="1" spans="1:8">
      <c r="A21" s="3">
        <v>18</v>
      </c>
      <c r="B21" s="4">
        <v>46128</v>
      </c>
      <c r="C21" s="25" t="s">
        <v>38</v>
      </c>
      <c r="D21" s="9" t="s">
        <v>91</v>
      </c>
      <c r="E21" s="23">
        <v>2</v>
      </c>
      <c r="F21" s="24">
        <v>2</v>
      </c>
      <c r="G21" s="13" t="s">
        <v>103</v>
      </c>
      <c r="H21">
        <f t="shared" si="0"/>
        <v>4</v>
      </c>
    </row>
    <row r="22" customHeight="1" spans="1:8">
      <c r="A22" s="26">
        <v>20</v>
      </c>
      <c r="B22" s="4">
        <v>46128</v>
      </c>
      <c r="C22" s="27" t="s">
        <v>39</v>
      </c>
      <c r="D22" s="9" t="s">
        <v>91</v>
      </c>
      <c r="E22" s="28">
        <v>2</v>
      </c>
      <c r="F22" s="28"/>
      <c r="G22" s="37" t="s">
        <v>104</v>
      </c>
      <c r="H22">
        <f t="shared" si="0"/>
        <v>2</v>
      </c>
    </row>
    <row r="23" customHeight="1" spans="1:8">
      <c r="A23" s="26">
        <v>21</v>
      </c>
      <c r="B23" s="4">
        <v>46128</v>
      </c>
      <c r="C23" s="19" t="s">
        <v>41</v>
      </c>
      <c r="D23" s="9" t="s">
        <v>89</v>
      </c>
      <c r="E23" s="30">
        <v>4</v>
      </c>
      <c r="F23" s="30">
        <v>4</v>
      </c>
      <c r="G23" s="6" t="s">
        <v>42</v>
      </c>
      <c r="H23">
        <f t="shared" si="0"/>
        <v>8</v>
      </c>
    </row>
    <row r="24" customHeight="1" spans="1:8">
      <c r="A24" s="26">
        <v>22</v>
      </c>
      <c r="B24" s="4">
        <v>46128</v>
      </c>
      <c r="C24" s="19" t="s">
        <v>43</v>
      </c>
      <c r="D24" s="9" t="s">
        <v>89</v>
      </c>
      <c r="E24" s="30"/>
      <c r="F24" s="30">
        <v>4</v>
      </c>
      <c r="G24" s="37" t="s">
        <v>25</v>
      </c>
      <c r="H24">
        <f t="shared" si="0"/>
        <v>4</v>
      </c>
    </row>
    <row r="25" customHeight="1" spans="1:8">
      <c r="A25" s="26">
        <v>23</v>
      </c>
      <c r="B25" s="4">
        <v>46128</v>
      </c>
      <c r="C25" s="32" t="s">
        <v>44</v>
      </c>
      <c r="D25" s="9" t="s">
        <v>91</v>
      </c>
      <c r="E25" s="30">
        <v>2</v>
      </c>
      <c r="F25" s="30">
        <v>2</v>
      </c>
      <c r="G25" s="6" t="s">
        <v>96</v>
      </c>
      <c r="H25">
        <f t="shared" si="0"/>
        <v>4</v>
      </c>
    </row>
    <row r="26" customHeight="1" spans="1:8">
      <c r="A26" s="26">
        <v>24</v>
      </c>
      <c r="B26" s="4">
        <v>46128</v>
      </c>
      <c r="C26" s="19" t="s">
        <v>45</v>
      </c>
      <c r="D26" s="9" t="s">
        <v>89</v>
      </c>
      <c r="E26" s="30">
        <v>2</v>
      </c>
      <c r="F26" s="30">
        <v>2</v>
      </c>
      <c r="G26" s="37"/>
      <c r="H26">
        <f t="shared" si="0"/>
        <v>4</v>
      </c>
    </row>
    <row r="27" customHeight="1" spans="1:8">
      <c r="A27" s="26">
        <v>25</v>
      </c>
      <c r="B27" s="4">
        <v>46128</v>
      </c>
      <c r="C27" s="27" t="s">
        <v>46</v>
      </c>
      <c r="D27" s="9" t="s">
        <v>91</v>
      </c>
      <c r="E27" s="28">
        <v>2</v>
      </c>
      <c r="F27" s="28">
        <v>2</v>
      </c>
      <c r="G27" s="38" t="s">
        <v>47</v>
      </c>
      <c r="H27">
        <f t="shared" si="0"/>
        <v>4</v>
      </c>
    </row>
    <row r="28" customHeight="1" spans="1:8">
      <c r="A28" s="3">
        <v>26</v>
      </c>
      <c r="B28" s="4">
        <v>46128</v>
      </c>
      <c r="C28" s="32" t="s">
        <v>48</v>
      </c>
      <c r="D28" s="9" t="s">
        <v>91</v>
      </c>
      <c r="E28" s="30">
        <v>2</v>
      </c>
      <c r="F28" s="30"/>
      <c r="G28" s="13" t="s">
        <v>105</v>
      </c>
      <c r="H28">
        <f t="shared" si="0"/>
        <v>2</v>
      </c>
    </row>
    <row r="29" customHeight="1" spans="1:8">
      <c r="A29" s="34">
        <v>27</v>
      </c>
      <c r="B29" s="4">
        <v>46128</v>
      </c>
      <c r="C29" s="19" t="s">
        <v>49</v>
      </c>
      <c r="D29" s="9" t="s">
        <v>89</v>
      </c>
      <c r="E29" s="30">
        <v>8</v>
      </c>
      <c r="F29" s="35"/>
      <c r="G29" s="53" t="s">
        <v>50</v>
      </c>
      <c r="H29">
        <f t="shared" si="0"/>
        <v>8</v>
      </c>
    </row>
    <row r="30" customHeight="1" spans="1:8">
      <c r="A30" s="34">
        <v>28</v>
      </c>
      <c r="B30" s="4">
        <v>46128</v>
      </c>
      <c r="C30" s="6" t="s">
        <v>51</v>
      </c>
      <c r="D30" s="9" t="s">
        <v>89</v>
      </c>
      <c r="E30" s="6"/>
      <c r="F30" s="6">
        <v>4</v>
      </c>
      <c r="G30" s="6" t="s">
        <v>107</v>
      </c>
      <c r="H30">
        <f t="shared" si="0"/>
        <v>4</v>
      </c>
    </row>
    <row r="31" customHeight="1" spans="1:8">
      <c r="A31" s="34">
        <v>29</v>
      </c>
      <c r="B31" s="4">
        <v>46128</v>
      </c>
      <c r="C31" s="5" t="s">
        <v>53</v>
      </c>
      <c r="D31" s="9" t="s">
        <v>91</v>
      </c>
      <c r="E31" s="6">
        <v>2</v>
      </c>
      <c r="F31" s="6">
        <v>2</v>
      </c>
      <c r="G31" s="13" t="s">
        <v>103</v>
      </c>
      <c r="H31">
        <f t="shared" si="0"/>
        <v>4</v>
      </c>
    </row>
    <row r="32" customHeight="1" spans="1:8">
      <c r="A32" s="34">
        <v>30</v>
      </c>
      <c r="B32" s="4">
        <v>46128</v>
      </c>
      <c r="C32" s="6" t="s">
        <v>54</v>
      </c>
      <c r="D32" s="9" t="s">
        <v>89</v>
      </c>
      <c r="E32" s="6">
        <v>8</v>
      </c>
      <c r="F32" s="37"/>
      <c r="G32" s="37"/>
      <c r="H32">
        <f t="shared" si="0"/>
        <v>8</v>
      </c>
    </row>
    <row r="33" customHeight="1" spans="1:8">
      <c r="A33" s="34">
        <v>31</v>
      </c>
      <c r="B33" s="4">
        <v>46128</v>
      </c>
      <c r="C33" s="6" t="s">
        <v>56</v>
      </c>
      <c r="D33" s="9" t="s">
        <v>89</v>
      </c>
      <c r="E33" s="6">
        <v>4</v>
      </c>
      <c r="F33" s="37"/>
      <c r="G33" s="6" t="s">
        <v>57</v>
      </c>
      <c r="H33">
        <f t="shared" si="0"/>
        <v>4</v>
      </c>
    </row>
    <row r="34" customHeight="1" spans="1:8">
      <c r="A34" s="34">
        <v>32</v>
      </c>
      <c r="B34" s="4">
        <v>46128</v>
      </c>
      <c r="C34" s="6" t="s">
        <v>58</v>
      </c>
      <c r="D34" s="9" t="s">
        <v>89</v>
      </c>
      <c r="E34" s="6">
        <v>8</v>
      </c>
      <c r="F34" s="6">
        <v>8</v>
      </c>
      <c r="G34" s="6" t="s">
        <v>59</v>
      </c>
      <c r="H34">
        <f t="shared" si="0"/>
        <v>16</v>
      </c>
    </row>
    <row r="35" customHeight="1" spans="1:8">
      <c r="A35" s="3">
        <v>33</v>
      </c>
      <c r="B35" s="4">
        <v>46128</v>
      </c>
      <c r="C35" s="17" t="s">
        <v>60</v>
      </c>
      <c r="D35" s="9" t="s">
        <v>91</v>
      </c>
      <c r="E35" s="38">
        <v>2</v>
      </c>
      <c r="F35" s="38">
        <v>2</v>
      </c>
      <c r="G35" s="54" t="s">
        <v>103</v>
      </c>
      <c r="H35">
        <f t="shared" si="0"/>
        <v>4</v>
      </c>
    </row>
    <row r="36" customHeight="1" spans="1:8">
      <c r="A36" s="3">
        <v>35</v>
      </c>
      <c r="B36" s="4">
        <v>46128</v>
      </c>
      <c r="C36" s="32" t="s">
        <v>20</v>
      </c>
      <c r="D36" s="9" t="s">
        <v>91</v>
      </c>
      <c r="E36" s="30">
        <v>2</v>
      </c>
      <c r="F36" s="30"/>
      <c r="G36" s="54" t="s">
        <v>31</v>
      </c>
      <c r="H36">
        <f t="shared" si="0"/>
        <v>2</v>
      </c>
    </row>
    <row r="37" customHeight="1" spans="1:8">
      <c r="A37" s="26">
        <v>36</v>
      </c>
      <c r="B37" s="4">
        <v>46128</v>
      </c>
      <c r="C37" s="41" t="s">
        <v>61</v>
      </c>
      <c r="D37" s="42" t="s">
        <v>91</v>
      </c>
      <c r="E37" s="28"/>
      <c r="F37" s="28">
        <v>4</v>
      </c>
      <c r="G37" s="28" t="s">
        <v>106</v>
      </c>
      <c r="H37">
        <f t="shared" si="0"/>
        <v>4</v>
      </c>
    </row>
    <row r="38" customHeight="1" spans="1:8">
      <c r="A38" s="3">
        <v>37</v>
      </c>
      <c r="B38" s="4">
        <v>46128</v>
      </c>
      <c r="C38" s="45" t="s">
        <v>62</v>
      </c>
      <c r="D38" s="19" t="s">
        <v>89</v>
      </c>
      <c r="E38" s="30">
        <v>4</v>
      </c>
      <c r="F38" s="30">
        <v>4</v>
      </c>
      <c r="G38" s="19" t="s">
        <v>52</v>
      </c>
      <c r="H38">
        <f t="shared" si="0"/>
        <v>8</v>
      </c>
    </row>
    <row r="39" customHeight="1" spans="1:8">
      <c r="E39" s="51">
        <f>SUM(E3:E38)</f>
        <v>83</v>
      </c>
      <c r="F39" s="51">
        <f>SUM(F3:F38)</f>
        <v>65</v>
      </c>
      <c r="H39">
        <f t="shared" si="0"/>
        <v>148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opLeftCell="A5" workbookViewId="0">
      <selection activeCell="H3" sqref="H3"/>
    </sheetView>
  </sheetViews>
  <sheetFormatPr defaultColWidth="17.2857142857143" defaultRowHeight="31" customHeight="1" outlineLevelCol="6"/>
  <cols>
    <col min="1" max="4" width="17.2857142857143" customWidth="1"/>
    <col min="5" max="6" width="17.2857142857143" style="51" customWidth="1"/>
    <col min="7" max="7" width="30" customWidth="1"/>
    <col min="8" max="16383" width="17.2857142857143" customWidth="1"/>
  </cols>
  <sheetData>
    <row r="1" customHeight="1" spans="1:7">
      <c r="A1" s="1" t="s">
        <v>84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</row>
    <row r="3" customHeight="1" spans="1:7">
      <c r="A3" s="3">
        <v>1</v>
      </c>
      <c r="B3" s="4">
        <v>46125</v>
      </c>
      <c r="C3" s="6" t="s">
        <v>13</v>
      </c>
      <c r="D3" s="6" t="s">
        <v>88</v>
      </c>
      <c r="E3" s="6">
        <v>2</v>
      </c>
      <c r="F3" s="6">
        <v>1</v>
      </c>
      <c r="G3" s="12" t="s">
        <v>108</v>
      </c>
    </row>
    <row r="4" customHeight="1" spans="1:7">
      <c r="A4" s="3">
        <v>2</v>
      </c>
      <c r="B4" s="4">
        <v>46125</v>
      </c>
      <c r="C4" s="8" t="s">
        <v>16</v>
      </c>
      <c r="D4" s="6" t="s">
        <v>88</v>
      </c>
      <c r="E4" s="6"/>
      <c r="F4" s="6">
        <v>3</v>
      </c>
      <c r="G4" s="52" t="s">
        <v>109</v>
      </c>
    </row>
    <row r="5" customHeight="1" spans="1:7">
      <c r="A5" s="3">
        <v>3</v>
      </c>
      <c r="B5" s="4">
        <v>46125</v>
      </c>
      <c r="C5" s="11" t="s">
        <v>18</v>
      </c>
      <c r="D5" s="6" t="s">
        <v>88</v>
      </c>
      <c r="E5" s="12"/>
      <c r="F5" s="12">
        <v>3</v>
      </c>
      <c r="G5" s="52" t="s">
        <v>98</v>
      </c>
    </row>
    <row r="6" customHeight="1" spans="1:7">
      <c r="A6" s="3">
        <v>4</v>
      </c>
      <c r="B6" s="4">
        <v>46125</v>
      </c>
      <c r="C6" s="5" t="s">
        <v>20</v>
      </c>
      <c r="D6" s="6" t="s">
        <v>88</v>
      </c>
      <c r="E6" s="6">
        <v>3</v>
      </c>
      <c r="F6" s="6"/>
      <c r="G6" s="52" t="s">
        <v>31</v>
      </c>
    </row>
    <row r="7" customHeight="1" spans="1:7">
      <c r="A7" s="3">
        <v>5</v>
      </c>
      <c r="B7" s="4">
        <v>46125</v>
      </c>
      <c r="C7" s="13" t="s">
        <v>21</v>
      </c>
      <c r="D7" s="6" t="s">
        <v>88</v>
      </c>
      <c r="E7" s="6"/>
      <c r="F7" s="14">
        <v>3</v>
      </c>
      <c r="G7" s="52"/>
    </row>
    <row r="8" customHeight="1" spans="1:7">
      <c r="A8" s="3">
        <v>6</v>
      </c>
      <c r="B8" s="4">
        <v>46125</v>
      </c>
      <c r="C8" s="5" t="s">
        <v>22</v>
      </c>
      <c r="D8" s="6" t="s">
        <v>88</v>
      </c>
      <c r="E8" s="6">
        <v>3</v>
      </c>
      <c r="F8" s="14"/>
      <c r="G8" s="30" t="s">
        <v>99</v>
      </c>
    </row>
    <row r="9" customHeight="1" spans="1:7">
      <c r="A9" s="3">
        <v>7</v>
      </c>
      <c r="B9" s="4">
        <v>46125</v>
      </c>
      <c r="C9" s="6" t="s">
        <v>23</v>
      </c>
      <c r="D9" s="6" t="s">
        <v>88</v>
      </c>
      <c r="E9" s="6">
        <v>3</v>
      </c>
      <c r="F9" s="14"/>
      <c r="G9" s="30"/>
    </row>
    <row r="10" customHeight="1" spans="1:7">
      <c r="A10" s="3">
        <v>8</v>
      </c>
      <c r="B10" s="4">
        <v>46125</v>
      </c>
      <c r="C10" s="6" t="s">
        <v>24</v>
      </c>
      <c r="D10" s="6" t="s">
        <v>88</v>
      </c>
      <c r="E10" s="6"/>
      <c r="F10" s="14">
        <v>3</v>
      </c>
      <c r="G10" s="30" t="s">
        <v>25</v>
      </c>
    </row>
    <row r="11" customHeight="1" spans="1:7">
      <c r="A11" s="3">
        <v>9</v>
      </c>
      <c r="B11" s="4">
        <v>46125</v>
      </c>
      <c r="C11" s="6" t="s">
        <v>26</v>
      </c>
      <c r="D11" s="6" t="s">
        <v>88</v>
      </c>
      <c r="E11" s="6"/>
      <c r="F11" s="14">
        <v>3</v>
      </c>
      <c r="G11" s="30"/>
    </row>
    <row r="12" customHeight="1" spans="1:7">
      <c r="A12" s="3">
        <v>10</v>
      </c>
      <c r="B12" s="4">
        <v>46125</v>
      </c>
      <c r="C12" s="5" t="s">
        <v>27</v>
      </c>
      <c r="D12" s="6" t="s">
        <v>88</v>
      </c>
      <c r="E12" s="6">
        <v>3</v>
      </c>
      <c r="F12" s="14"/>
      <c r="G12" s="30" t="s">
        <v>100</v>
      </c>
    </row>
    <row r="13" customHeight="1" spans="1:7">
      <c r="A13" s="3">
        <v>11</v>
      </c>
      <c r="B13" s="4">
        <v>46125</v>
      </c>
      <c r="C13" s="5" t="s">
        <v>81</v>
      </c>
      <c r="D13" s="6" t="s">
        <v>88</v>
      </c>
      <c r="E13" s="6"/>
      <c r="F13" s="14">
        <v>3</v>
      </c>
      <c r="G13" s="13" t="s">
        <v>101</v>
      </c>
    </row>
    <row r="14" customHeight="1" spans="1:7">
      <c r="A14" s="3">
        <v>11</v>
      </c>
      <c r="B14" s="4">
        <v>46125</v>
      </c>
      <c r="C14" s="5" t="s">
        <v>82</v>
      </c>
      <c r="D14" s="6" t="s">
        <v>88</v>
      </c>
      <c r="E14" s="6">
        <v>3</v>
      </c>
      <c r="F14" s="14"/>
      <c r="G14" s="13" t="s">
        <v>102</v>
      </c>
    </row>
    <row r="15" customHeight="1" spans="1:7">
      <c r="A15" s="3">
        <v>12</v>
      </c>
      <c r="B15" s="4">
        <v>46125</v>
      </c>
      <c r="C15" s="17" t="s">
        <v>30</v>
      </c>
      <c r="D15" s="6" t="s">
        <v>88</v>
      </c>
      <c r="E15" s="6">
        <v>3</v>
      </c>
      <c r="F15" s="18"/>
      <c r="G15" s="30" t="s">
        <v>111</v>
      </c>
    </row>
    <row r="16" customHeight="1" spans="1:7">
      <c r="A16" s="3">
        <v>13</v>
      </c>
      <c r="B16" s="4">
        <v>46125</v>
      </c>
      <c r="C16" s="19" t="s">
        <v>32</v>
      </c>
      <c r="D16" s="6" t="s">
        <v>88</v>
      </c>
      <c r="E16" s="6">
        <v>3</v>
      </c>
      <c r="F16" s="20"/>
      <c r="G16" s="30"/>
    </row>
    <row r="17" customHeight="1" spans="1:7">
      <c r="A17" s="3">
        <v>14</v>
      </c>
      <c r="B17" s="4">
        <v>46125</v>
      </c>
      <c r="C17" s="19" t="s">
        <v>33</v>
      </c>
      <c r="D17" s="6" t="s">
        <v>88</v>
      </c>
      <c r="E17" s="6">
        <v>3</v>
      </c>
      <c r="F17" s="21"/>
      <c r="G17" s="30"/>
    </row>
    <row r="18" customHeight="1" spans="1:7">
      <c r="A18" s="3">
        <v>15</v>
      </c>
      <c r="B18" s="4">
        <v>46125</v>
      </c>
      <c r="C18" s="19" t="s">
        <v>34</v>
      </c>
      <c r="D18" s="6" t="s">
        <v>88</v>
      </c>
      <c r="E18" s="19"/>
      <c r="F18" s="20">
        <v>3</v>
      </c>
      <c r="G18" s="30" t="s">
        <v>25</v>
      </c>
    </row>
    <row r="19" customHeight="1" spans="1:7">
      <c r="A19" s="3">
        <v>16</v>
      </c>
      <c r="B19" s="4">
        <v>46125</v>
      </c>
      <c r="C19" s="19" t="s">
        <v>36</v>
      </c>
      <c r="D19" s="6" t="s">
        <v>88</v>
      </c>
      <c r="E19" s="19">
        <v>2</v>
      </c>
      <c r="F19" s="20">
        <v>1</v>
      </c>
      <c r="G19" s="30"/>
    </row>
    <row r="20" customHeight="1" spans="1:7">
      <c r="A20" s="3">
        <v>17</v>
      </c>
      <c r="B20" s="4">
        <v>46125</v>
      </c>
      <c r="C20" s="22" t="s">
        <v>37</v>
      </c>
      <c r="D20" s="6" t="s">
        <v>88</v>
      </c>
      <c r="E20" s="23">
        <v>3</v>
      </c>
      <c r="F20" s="24">
        <v>3</v>
      </c>
      <c r="G20" s="13" t="s">
        <v>103</v>
      </c>
    </row>
    <row r="21" customHeight="1" spans="1:7">
      <c r="A21" s="3">
        <v>18</v>
      </c>
      <c r="B21" s="4">
        <v>46125</v>
      </c>
      <c r="C21" s="25" t="s">
        <v>38</v>
      </c>
      <c r="D21" s="6" t="s">
        <v>88</v>
      </c>
      <c r="E21" s="23">
        <v>3</v>
      </c>
      <c r="F21" s="24">
        <v>3</v>
      </c>
      <c r="G21" s="13" t="s">
        <v>103</v>
      </c>
    </row>
    <row r="22" customHeight="1" spans="1:7">
      <c r="A22" s="26">
        <v>20</v>
      </c>
      <c r="B22" s="4">
        <v>46125</v>
      </c>
      <c r="C22" s="27" t="s">
        <v>39</v>
      </c>
      <c r="D22" s="6" t="s">
        <v>88</v>
      </c>
      <c r="E22" s="28">
        <v>3</v>
      </c>
      <c r="F22" s="28"/>
      <c r="G22" s="37" t="s">
        <v>104</v>
      </c>
    </row>
    <row r="23" customHeight="1" spans="1:7">
      <c r="A23" s="26">
        <v>21</v>
      </c>
      <c r="B23" s="4">
        <v>46125</v>
      </c>
      <c r="C23" s="19" t="s">
        <v>41</v>
      </c>
      <c r="D23" s="6" t="s">
        <v>88</v>
      </c>
      <c r="E23" s="30">
        <v>3</v>
      </c>
      <c r="F23" s="30">
        <v>3</v>
      </c>
      <c r="G23" s="6" t="s">
        <v>42</v>
      </c>
    </row>
    <row r="24" customHeight="1" spans="1:7">
      <c r="A24" s="26">
        <v>22</v>
      </c>
      <c r="B24" s="4">
        <v>46125</v>
      </c>
      <c r="C24" s="19" t="s">
        <v>43</v>
      </c>
      <c r="D24" s="6" t="s">
        <v>88</v>
      </c>
      <c r="E24" s="30"/>
      <c r="F24" s="30">
        <v>3</v>
      </c>
      <c r="G24" s="37" t="s">
        <v>25</v>
      </c>
    </row>
    <row r="25" customHeight="1" spans="1:7">
      <c r="A25" s="26">
        <v>23</v>
      </c>
      <c r="B25" s="4">
        <v>46125</v>
      </c>
      <c r="C25" s="32" t="s">
        <v>44</v>
      </c>
      <c r="D25" s="6" t="s">
        <v>88</v>
      </c>
      <c r="E25" s="30">
        <v>3</v>
      </c>
      <c r="F25" s="30">
        <v>3</v>
      </c>
      <c r="G25" s="6" t="s">
        <v>96</v>
      </c>
    </row>
    <row r="26" customHeight="1" spans="1:7">
      <c r="A26" s="26">
        <v>24</v>
      </c>
      <c r="B26" s="4">
        <v>46125</v>
      </c>
      <c r="C26" s="19" t="s">
        <v>45</v>
      </c>
      <c r="D26" s="6" t="s">
        <v>88</v>
      </c>
      <c r="E26" s="30">
        <v>2</v>
      </c>
      <c r="F26" s="30">
        <v>1</v>
      </c>
      <c r="G26" s="37"/>
    </row>
    <row r="27" customHeight="1" spans="1:7">
      <c r="A27" s="26">
        <v>25</v>
      </c>
      <c r="B27" s="4">
        <v>46125</v>
      </c>
      <c r="C27" s="27" t="s">
        <v>46</v>
      </c>
      <c r="D27" s="6" t="s">
        <v>88</v>
      </c>
      <c r="E27" s="28">
        <v>3</v>
      </c>
      <c r="F27" s="28">
        <v>3</v>
      </c>
      <c r="G27" s="38" t="s">
        <v>47</v>
      </c>
    </row>
    <row r="28" customHeight="1" spans="1:7">
      <c r="A28" s="3">
        <v>26</v>
      </c>
      <c r="B28" s="4">
        <v>46125</v>
      </c>
      <c r="C28" s="32" t="s">
        <v>48</v>
      </c>
      <c r="D28" s="6" t="s">
        <v>88</v>
      </c>
      <c r="E28" s="30">
        <v>3</v>
      </c>
      <c r="F28" s="30"/>
      <c r="G28" s="13" t="s">
        <v>105</v>
      </c>
    </row>
    <row r="29" customHeight="1" spans="1:7">
      <c r="A29" s="34">
        <v>27</v>
      </c>
      <c r="B29" s="4">
        <v>46125</v>
      </c>
      <c r="C29" s="19" t="s">
        <v>49</v>
      </c>
      <c r="D29" s="6" t="s">
        <v>88</v>
      </c>
      <c r="E29" s="30">
        <v>6</v>
      </c>
      <c r="F29" s="35"/>
      <c r="G29" s="53" t="s">
        <v>50</v>
      </c>
    </row>
    <row r="30" customHeight="1" spans="1:7">
      <c r="A30" s="34">
        <v>28</v>
      </c>
      <c r="B30" s="4">
        <v>46125</v>
      </c>
      <c r="C30" s="6" t="s">
        <v>51</v>
      </c>
      <c r="D30" s="6" t="s">
        <v>88</v>
      </c>
      <c r="E30" s="9"/>
      <c r="F30" s="9">
        <v>3</v>
      </c>
      <c r="G30" s="6" t="s">
        <v>107</v>
      </c>
    </row>
    <row r="31" customHeight="1" spans="1:7">
      <c r="A31" s="34">
        <v>29</v>
      </c>
      <c r="B31" s="4">
        <v>46125</v>
      </c>
      <c r="C31" s="5" t="s">
        <v>53</v>
      </c>
      <c r="D31" s="6" t="s">
        <v>88</v>
      </c>
      <c r="E31" s="6">
        <v>3</v>
      </c>
      <c r="F31" s="6">
        <v>3</v>
      </c>
      <c r="G31" s="13" t="s">
        <v>103</v>
      </c>
    </row>
    <row r="32" customHeight="1" spans="1:7">
      <c r="A32" s="34">
        <v>30</v>
      </c>
      <c r="B32" s="4">
        <v>46125</v>
      </c>
      <c r="C32" s="6" t="s">
        <v>54</v>
      </c>
      <c r="D32" s="6" t="s">
        <v>88</v>
      </c>
      <c r="E32" s="6"/>
      <c r="F32" s="37">
        <v>3</v>
      </c>
      <c r="G32" s="37" t="s">
        <v>112</v>
      </c>
    </row>
    <row r="33" customHeight="1" spans="1:7">
      <c r="A33" s="34">
        <v>31</v>
      </c>
      <c r="B33" s="4">
        <v>46125</v>
      </c>
      <c r="C33" s="6" t="s">
        <v>56</v>
      </c>
      <c r="D33" s="6" t="s">
        <v>88</v>
      </c>
      <c r="E33" s="6">
        <v>6</v>
      </c>
      <c r="F33" s="37"/>
      <c r="G33" s="6" t="s">
        <v>57</v>
      </c>
    </row>
    <row r="34" customHeight="1" spans="1:7">
      <c r="A34" s="34">
        <v>32</v>
      </c>
      <c r="B34" s="4">
        <v>46125</v>
      </c>
      <c r="C34" s="6" t="s">
        <v>58</v>
      </c>
      <c r="D34" s="6" t="s">
        <v>88</v>
      </c>
      <c r="E34" s="6">
        <v>6</v>
      </c>
      <c r="F34" s="6">
        <v>6</v>
      </c>
      <c r="G34" s="6" t="s">
        <v>59</v>
      </c>
    </row>
    <row r="35" customHeight="1" spans="1:7">
      <c r="A35" s="3">
        <v>33</v>
      </c>
      <c r="B35" s="4">
        <v>46125</v>
      </c>
      <c r="C35" s="17" t="s">
        <v>60</v>
      </c>
      <c r="D35" s="6" t="s">
        <v>88</v>
      </c>
      <c r="E35" s="38">
        <v>3</v>
      </c>
      <c r="F35" s="38">
        <v>3</v>
      </c>
      <c r="G35" s="54" t="s">
        <v>103</v>
      </c>
    </row>
    <row r="36" customHeight="1" spans="1:7">
      <c r="A36" s="3">
        <v>35</v>
      </c>
      <c r="B36" s="4">
        <v>46125</v>
      </c>
      <c r="C36" s="32" t="s">
        <v>20</v>
      </c>
      <c r="D36" s="6" t="s">
        <v>88</v>
      </c>
      <c r="E36" s="30">
        <v>3</v>
      </c>
      <c r="F36" s="30"/>
      <c r="G36" s="52" t="s">
        <v>31</v>
      </c>
    </row>
    <row r="37" customHeight="1" spans="1:7">
      <c r="A37" s="26">
        <v>36</v>
      </c>
      <c r="B37" s="4">
        <v>46125</v>
      </c>
      <c r="C37" s="41" t="s">
        <v>61</v>
      </c>
      <c r="D37" s="6" t="s">
        <v>88</v>
      </c>
      <c r="E37" s="28"/>
      <c r="F37" s="28">
        <v>6</v>
      </c>
      <c r="G37" s="28" t="s">
        <v>106</v>
      </c>
    </row>
    <row r="38" customHeight="1" spans="1:7">
      <c r="A38" s="3">
        <v>37</v>
      </c>
      <c r="B38" s="4">
        <v>46125</v>
      </c>
      <c r="C38" s="45" t="s">
        <v>113</v>
      </c>
      <c r="D38" s="6" t="s">
        <v>88</v>
      </c>
      <c r="E38" s="30">
        <v>3</v>
      </c>
      <c r="F38" s="30">
        <v>3</v>
      </c>
      <c r="G38" s="19" t="s">
        <v>52</v>
      </c>
    </row>
    <row r="39" customHeight="1" spans="1:7">
      <c r="E39" s="51">
        <f>SUM(E3:E38)</f>
        <v>81</v>
      </c>
      <c r="F39" s="51">
        <f>SUM(F3:F38)</f>
        <v>69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opLeftCell="A21" workbookViewId="0">
      <selection activeCell="H21" sqref="H$1:H$1048576"/>
    </sheetView>
  </sheetViews>
  <sheetFormatPr defaultColWidth="14.2857142857143" defaultRowHeight="21" customHeight="1" outlineLevelCol="6"/>
  <cols>
    <col min="1" max="6" width="14.2857142857143" customWidth="1"/>
    <col min="7" max="7" width="42.7142857142857" customWidth="1"/>
    <col min="8" max="16381" width="14.2857142857143" customWidth="1"/>
  </cols>
  <sheetData>
    <row r="1" customHeight="1" spans="1:7">
      <c r="A1" s="1" t="s">
        <v>84</v>
      </c>
      <c r="B1" s="1"/>
      <c r="C1" s="1"/>
      <c r="D1" s="1"/>
      <c r="E1" s="1"/>
      <c r="F1" s="1"/>
      <c r="G1" s="1"/>
    </row>
    <row r="2" customHeight="1" spans="1:7">
      <c r="A2" s="2" t="s">
        <v>2</v>
      </c>
      <c r="B2" s="2" t="s">
        <v>67</v>
      </c>
      <c r="C2" s="2" t="s">
        <v>3</v>
      </c>
      <c r="D2" s="2" t="s">
        <v>85</v>
      </c>
      <c r="E2" s="2" t="s">
        <v>86</v>
      </c>
      <c r="F2" s="2" t="s">
        <v>87</v>
      </c>
      <c r="G2" s="2" t="s">
        <v>7</v>
      </c>
    </row>
    <row r="3" customHeight="1" spans="1:7">
      <c r="A3" s="3">
        <v>1</v>
      </c>
      <c r="B3" s="4">
        <v>46128</v>
      </c>
      <c r="C3" s="5" t="s">
        <v>13</v>
      </c>
      <c r="D3" s="6" t="s">
        <v>91</v>
      </c>
      <c r="E3" s="6">
        <v>1</v>
      </c>
      <c r="F3" s="6">
        <v>1</v>
      </c>
      <c r="G3" s="7" t="s">
        <v>108</v>
      </c>
    </row>
    <row r="4" customHeight="1" spans="1:7">
      <c r="A4" s="3">
        <v>2</v>
      </c>
      <c r="B4" s="4">
        <v>46128</v>
      </c>
      <c r="C4" s="8" t="s">
        <v>16</v>
      </c>
      <c r="D4" s="9" t="s">
        <v>91</v>
      </c>
      <c r="E4" s="6"/>
      <c r="F4" s="6">
        <v>2</v>
      </c>
      <c r="G4" s="10" t="s">
        <v>109</v>
      </c>
    </row>
    <row r="5" customHeight="1" spans="1:7">
      <c r="A5" s="3">
        <v>3</v>
      </c>
      <c r="B5" s="4">
        <v>46128</v>
      </c>
      <c r="C5" s="11" t="s">
        <v>18</v>
      </c>
      <c r="D5" s="9" t="s">
        <v>91</v>
      </c>
      <c r="E5" s="12"/>
      <c r="F5" s="12">
        <v>2</v>
      </c>
      <c r="G5" s="10" t="s">
        <v>98</v>
      </c>
    </row>
    <row r="6" customHeight="1" spans="1:7">
      <c r="A6" s="3">
        <v>4</v>
      </c>
      <c r="B6" s="4">
        <v>46128</v>
      </c>
      <c r="C6" s="5" t="s">
        <v>20</v>
      </c>
      <c r="D6" s="9" t="s">
        <v>91</v>
      </c>
      <c r="E6" s="6">
        <v>2</v>
      </c>
      <c r="F6" s="6"/>
      <c r="G6" s="10" t="s">
        <v>31</v>
      </c>
    </row>
    <row r="7" customHeight="1" spans="1:7">
      <c r="A7" s="3">
        <v>5</v>
      </c>
      <c r="B7" s="4">
        <v>46128</v>
      </c>
      <c r="C7" s="13" t="s">
        <v>21</v>
      </c>
      <c r="D7" s="9" t="s">
        <v>89</v>
      </c>
      <c r="E7" s="6"/>
      <c r="F7" s="14">
        <v>4</v>
      </c>
      <c r="G7" s="10"/>
    </row>
    <row r="8" customHeight="1" spans="1:7">
      <c r="A8" s="3">
        <v>6</v>
      </c>
      <c r="B8" s="4">
        <v>46128</v>
      </c>
      <c r="C8" s="5" t="s">
        <v>22</v>
      </c>
      <c r="D8" s="9" t="s">
        <v>91</v>
      </c>
      <c r="E8" s="6">
        <v>2</v>
      </c>
      <c r="F8" s="14"/>
      <c r="G8" s="15" t="s">
        <v>99</v>
      </c>
    </row>
    <row r="9" customHeight="1" spans="1:7">
      <c r="A9" s="3">
        <v>7</v>
      </c>
      <c r="B9" s="4">
        <v>46128</v>
      </c>
      <c r="C9" s="6" t="s">
        <v>23</v>
      </c>
      <c r="D9" s="9" t="s">
        <v>89</v>
      </c>
      <c r="E9" s="6">
        <v>4</v>
      </c>
      <c r="F9" s="14"/>
      <c r="G9" s="15"/>
    </row>
    <row r="10" customHeight="1" spans="1:7">
      <c r="A10" s="3">
        <v>8</v>
      </c>
      <c r="B10" s="4">
        <v>46128</v>
      </c>
      <c r="C10" s="6" t="s">
        <v>24</v>
      </c>
      <c r="D10" s="9" t="s">
        <v>89</v>
      </c>
      <c r="E10" s="6"/>
      <c r="F10" s="14">
        <v>4</v>
      </c>
      <c r="G10" s="15" t="s">
        <v>25</v>
      </c>
    </row>
    <row r="11" customHeight="1" spans="1:7">
      <c r="A11" s="3">
        <v>9</v>
      </c>
      <c r="B11" s="4">
        <v>46128</v>
      </c>
      <c r="C11" s="6" t="s">
        <v>26</v>
      </c>
      <c r="D11" s="9" t="s">
        <v>89</v>
      </c>
      <c r="E11" s="6"/>
      <c r="F11" s="14">
        <v>4</v>
      </c>
      <c r="G11" s="15"/>
    </row>
    <row r="12" customHeight="1" spans="1:7">
      <c r="A12" s="3">
        <v>10</v>
      </c>
      <c r="B12" s="4">
        <v>46128</v>
      </c>
      <c r="C12" s="5" t="s">
        <v>27</v>
      </c>
      <c r="D12" s="9" t="s">
        <v>91</v>
      </c>
      <c r="E12" s="6">
        <v>2</v>
      </c>
      <c r="F12" s="14"/>
      <c r="G12" s="15" t="s">
        <v>100</v>
      </c>
    </row>
    <row r="13" customHeight="1" spans="1:7">
      <c r="A13" s="3">
        <v>11</v>
      </c>
      <c r="B13" s="4">
        <v>46128</v>
      </c>
      <c r="C13" s="5" t="s">
        <v>81</v>
      </c>
      <c r="D13" s="9" t="s">
        <v>91</v>
      </c>
      <c r="E13" s="6"/>
      <c r="F13" s="14">
        <v>2</v>
      </c>
      <c r="G13" s="16" t="s">
        <v>101</v>
      </c>
    </row>
    <row r="14" customHeight="1" spans="1:7">
      <c r="A14" s="3">
        <v>11</v>
      </c>
      <c r="B14" s="4">
        <v>46128</v>
      </c>
      <c r="C14" s="5" t="s">
        <v>82</v>
      </c>
      <c r="D14" s="9" t="s">
        <v>91</v>
      </c>
      <c r="E14" s="6">
        <v>2</v>
      </c>
      <c r="F14" s="14"/>
      <c r="G14" s="16" t="s">
        <v>102</v>
      </c>
    </row>
    <row r="15" customHeight="1" spans="1:7">
      <c r="A15" s="3">
        <v>12</v>
      </c>
      <c r="B15" s="4">
        <v>46128</v>
      </c>
      <c r="C15" s="17" t="s">
        <v>30</v>
      </c>
      <c r="D15" s="9" t="s">
        <v>91</v>
      </c>
      <c r="E15" s="6"/>
      <c r="F15" s="18">
        <v>2</v>
      </c>
      <c r="G15" s="15" t="s">
        <v>111</v>
      </c>
    </row>
    <row r="16" customHeight="1" spans="1:7">
      <c r="A16" s="3">
        <v>13</v>
      </c>
      <c r="B16" s="4">
        <v>46128</v>
      </c>
      <c r="C16" s="19" t="s">
        <v>32</v>
      </c>
      <c r="D16" s="9" t="s">
        <v>89</v>
      </c>
      <c r="E16" s="6">
        <v>4</v>
      </c>
      <c r="F16" s="20"/>
      <c r="G16" s="15"/>
    </row>
    <row r="17" customHeight="1" spans="1:7">
      <c r="A17" s="3">
        <v>14</v>
      </c>
      <c r="B17" s="4">
        <v>46128</v>
      </c>
      <c r="C17" s="19" t="s">
        <v>33</v>
      </c>
      <c r="D17" s="9" t="s">
        <v>89</v>
      </c>
      <c r="E17" s="6">
        <v>4</v>
      </c>
      <c r="F17" s="21"/>
      <c r="G17" s="15"/>
    </row>
    <row r="18" customHeight="1" spans="1:7">
      <c r="A18" s="3">
        <v>15</v>
      </c>
      <c r="B18" s="4">
        <v>46128</v>
      </c>
      <c r="C18" s="19" t="s">
        <v>34</v>
      </c>
      <c r="D18" s="9" t="s">
        <v>89</v>
      </c>
      <c r="E18" s="19"/>
      <c r="F18" s="20">
        <v>4</v>
      </c>
      <c r="G18" s="15" t="s">
        <v>25</v>
      </c>
    </row>
    <row r="19" customHeight="1" spans="1:7">
      <c r="A19" s="3">
        <v>16</v>
      </c>
      <c r="B19" s="4">
        <v>46128</v>
      </c>
      <c r="C19" s="19" t="s">
        <v>36</v>
      </c>
      <c r="D19" s="9" t="s">
        <v>89</v>
      </c>
      <c r="E19" s="19">
        <v>2</v>
      </c>
      <c r="F19" s="20">
        <v>2</v>
      </c>
      <c r="G19" s="15"/>
    </row>
    <row r="20" customHeight="1" spans="1:7">
      <c r="A20" s="3">
        <v>17</v>
      </c>
      <c r="B20" s="4">
        <v>46128</v>
      </c>
      <c r="C20" s="22" t="s">
        <v>37</v>
      </c>
      <c r="D20" s="9" t="s">
        <v>91</v>
      </c>
      <c r="E20" s="23">
        <v>2</v>
      </c>
      <c r="F20" s="24">
        <v>2</v>
      </c>
      <c r="G20" s="16" t="s">
        <v>103</v>
      </c>
    </row>
    <row r="21" customHeight="1" spans="1:7">
      <c r="A21" s="3">
        <v>18</v>
      </c>
      <c r="B21" s="4">
        <v>46128</v>
      </c>
      <c r="C21" s="25" t="s">
        <v>38</v>
      </c>
      <c r="D21" s="9" t="s">
        <v>91</v>
      </c>
      <c r="E21" s="23">
        <v>2</v>
      </c>
      <c r="F21" s="24">
        <v>2</v>
      </c>
      <c r="G21" s="16" t="s">
        <v>103</v>
      </c>
    </row>
    <row r="22" customHeight="1" spans="1:7">
      <c r="A22" s="26">
        <v>20</v>
      </c>
      <c r="B22" s="4">
        <v>46128</v>
      </c>
      <c r="C22" s="27" t="s">
        <v>39</v>
      </c>
      <c r="D22" s="9" t="s">
        <v>91</v>
      </c>
      <c r="E22" s="28">
        <v>2</v>
      </c>
      <c r="F22" s="28"/>
      <c r="G22" s="29" t="s">
        <v>104</v>
      </c>
    </row>
    <row r="23" customHeight="1" spans="1:7">
      <c r="A23" s="26">
        <v>21</v>
      </c>
      <c r="B23" s="4">
        <v>46128</v>
      </c>
      <c r="C23" s="19" t="s">
        <v>41</v>
      </c>
      <c r="D23" s="9" t="s">
        <v>89</v>
      </c>
      <c r="E23" s="30">
        <v>4</v>
      </c>
      <c r="F23" s="30">
        <v>4</v>
      </c>
      <c r="G23" s="31" t="s">
        <v>42</v>
      </c>
    </row>
    <row r="24" customHeight="1" spans="1:7">
      <c r="A24" s="26">
        <v>22</v>
      </c>
      <c r="B24" s="4">
        <v>46128</v>
      </c>
      <c r="C24" s="19" t="s">
        <v>43</v>
      </c>
      <c r="D24" s="9" t="s">
        <v>89</v>
      </c>
      <c r="E24" s="30"/>
      <c r="F24" s="30">
        <v>4</v>
      </c>
      <c r="G24" s="29" t="s">
        <v>25</v>
      </c>
    </row>
    <row r="25" customHeight="1" spans="1:7">
      <c r="A25" s="26">
        <v>23</v>
      </c>
      <c r="B25" s="4">
        <v>46128</v>
      </c>
      <c r="C25" s="32" t="s">
        <v>44</v>
      </c>
      <c r="D25" s="9" t="s">
        <v>91</v>
      </c>
      <c r="E25" s="30">
        <v>2</v>
      </c>
      <c r="F25" s="30">
        <v>2</v>
      </c>
      <c r="G25" s="31" t="s">
        <v>96</v>
      </c>
    </row>
    <row r="26" customHeight="1" spans="1:7">
      <c r="A26" s="26">
        <v>24</v>
      </c>
      <c r="B26" s="4">
        <v>46128</v>
      </c>
      <c r="C26" s="19" t="s">
        <v>45</v>
      </c>
      <c r="D26" s="9" t="s">
        <v>89</v>
      </c>
      <c r="E26" s="30">
        <v>2</v>
      </c>
      <c r="F26" s="30">
        <v>2</v>
      </c>
      <c r="G26" s="29"/>
    </row>
    <row r="27" customHeight="1" spans="1:7">
      <c r="A27" s="26">
        <v>25</v>
      </c>
      <c r="B27" s="4">
        <v>46128</v>
      </c>
      <c r="C27" s="27" t="s">
        <v>46</v>
      </c>
      <c r="D27" s="9" t="s">
        <v>91</v>
      </c>
      <c r="E27" s="28">
        <v>2</v>
      </c>
      <c r="F27" s="28">
        <v>2</v>
      </c>
      <c r="G27" s="33" t="s">
        <v>47</v>
      </c>
    </row>
    <row r="28" customHeight="1" spans="1:7">
      <c r="A28" s="3">
        <v>26</v>
      </c>
      <c r="B28" s="4">
        <v>46128</v>
      </c>
      <c r="C28" s="32" t="s">
        <v>48</v>
      </c>
      <c r="D28" s="9" t="s">
        <v>91</v>
      </c>
      <c r="E28" s="30">
        <v>2</v>
      </c>
      <c r="F28" s="30"/>
      <c r="G28" s="16" t="s">
        <v>105</v>
      </c>
    </row>
    <row r="29" customHeight="1" spans="1:7">
      <c r="A29" s="34">
        <v>27</v>
      </c>
      <c r="B29" s="4">
        <v>46128</v>
      </c>
      <c r="C29" s="19" t="s">
        <v>49</v>
      </c>
      <c r="D29" s="9" t="s">
        <v>89</v>
      </c>
      <c r="E29" s="30">
        <v>8</v>
      </c>
      <c r="F29" s="35"/>
      <c r="G29" s="36" t="s">
        <v>50</v>
      </c>
    </row>
    <row r="30" customHeight="1" spans="1:7">
      <c r="A30" s="34">
        <v>28</v>
      </c>
      <c r="B30" s="4">
        <v>46128</v>
      </c>
      <c r="C30" s="6" t="s">
        <v>51</v>
      </c>
      <c r="D30" s="9" t="s">
        <v>89</v>
      </c>
      <c r="E30" s="6"/>
      <c r="F30" s="6">
        <v>4</v>
      </c>
      <c r="G30" s="31" t="s">
        <v>107</v>
      </c>
    </row>
    <row r="31" customHeight="1" spans="1:7">
      <c r="A31" s="34">
        <v>29</v>
      </c>
      <c r="B31" s="4">
        <v>46128</v>
      </c>
      <c r="C31" s="5" t="s">
        <v>53</v>
      </c>
      <c r="D31" s="9" t="s">
        <v>91</v>
      </c>
      <c r="E31" s="6">
        <v>2</v>
      </c>
      <c r="F31" s="6">
        <v>2</v>
      </c>
      <c r="G31" s="16" t="s">
        <v>103</v>
      </c>
    </row>
    <row r="32" customHeight="1" spans="1:7">
      <c r="A32" s="34">
        <v>30</v>
      </c>
      <c r="B32" s="4">
        <v>46128</v>
      </c>
      <c r="C32" s="6" t="s">
        <v>54</v>
      </c>
      <c r="D32" s="9" t="s">
        <v>89</v>
      </c>
      <c r="E32" s="6"/>
      <c r="F32" s="37">
        <v>4</v>
      </c>
      <c r="G32" s="29" t="s">
        <v>112</v>
      </c>
    </row>
    <row r="33" customHeight="1" spans="1:7">
      <c r="A33" s="34">
        <v>31</v>
      </c>
      <c r="B33" s="4">
        <v>46128</v>
      </c>
      <c r="C33" s="6" t="s">
        <v>56</v>
      </c>
      <c r="D33" s="9" t="s">
        <v>89</v>
      </c>
      <c r="E33" s="6">
        <v>4</v>
      </c>
      <c r="F33" s="37"/>
      <c r="G33" s="31" t="s">
        <v>57</v>
      </c>
    </row>
    <row r="34" customHeight="1" spans="1:7">
      <c r="A34" s="34">
        <v>32</v>
      </c>
      <c r="B34" s="4">
        <v>46128</v>
      </c>
      <c r="C34" s="6" t="s">
        <v>58</v>
      </c>
      <c r="D34" s="9" t="s">
        <v>89</v>
      </c>
      <c r="E34" s="6">
        <v>8</v>
      </c>
      <c r="F34" s="6">
        <v>8</v>
      </c>
      <c r="G34" s="31" t="s">
        <v>59</v>
      </c>
    </row>
    <row r="35" customHeight="1" spans="1:7">
      <c r="A35" s="3">
        <v>33</v>
      </c>
      <c r="B35" s="4">
        <v>46128</v>
      </c>
      <c r="C35" s="17" t="s">
        <v>60</v>
      </c>
      <c r="D35" s="9" t="s">
        <v>91</v>
      </c>
      <c r="E35" s="38">
        <v>2</v>
      </c>
      <c r="F35" s="38">
        <v>2</v>
      </c>
      <c r="G35" s="39" t="s">
        <v>103</v>
      </c>
    </row>
    <row r="36" customHeight="1" spans="1:7">
      <c r="A36" s="3">
        <v>35</v>
      </c>
      <c r="B36" s="4">
        <v>46128</v>
      </c>
      <c r="C36" s="32" t="s">
        <v>20</v>
      </c>
      <c r="D36" s="9" t="s">
        <v>91</v>
      </c>
      <c r="E36" s="40">
        <v>2</v>
      </c>
      <c r="F36" s="40"/>
      <c r="G36" s="10" t="s">
        <v>31</v>
      </c>
    </row>
    <row r="37" customHeight="1" spans="1:7">
      <c r="A37" s="26">
        <v>36</v>
      </c>
      <c r="B37" s="4">
        <v>46128</v>
      </c>
      <c r="C37" s="41" t="s">
        <v>61</v>
      </c>
      <c r="D37" s="42" t="s">
        <v>91</v>
      </c>
      <c r="E37" s="43"/>
      <c r="F37" s="43">
        <v>4</v>
      </c>
      <c r="G37" s="44" t="s">
        <v>114</v>
      </c>
    </row>
    <row r="38" customHeight="1" spans="1:7">
      <c r="A38" s="3">
        <v>37</v>
      </c>
      <c r="B38" s="4">
        <v>46128</v>
      </c>
      <c r="C38" s="45" t="s">
        <v>62</v>
      </c>
      <c r="D38" s="19" t="s">
        <v>89</v>
      </c>
      <c r="E38" s="40">
        <v>4</v>
      </c>
      <c r="F38" s="40">
        <v>4</v>
      </c>
      <c r="G38" s="46" t="s">
        <v>52</v>
      </c>
    </row>
    <row r="39" customHeight="1" spans="1:7">
      <c r="A39" s="34"/>
      <c r="B39" s="47"/>
      <c r="C39" s="48"/>
      <c r="D39" s="49"/>
      <c r="E39" s="50">
        <v>30</v>
      </c>
      <c r="F39" s="50">
        <v>50</v>
      </c>
      <c r="G39" s="49" t="s">
        <v>115</v>
      </c>
    </row>
    <row r="40" customHeight="1" spans="1:7">
      <c r="E40">
        <f>SUM(E3:E39)</f>
        <v>101</v>
      </c>
      <c r="F40">
        <f>SUM(F3:F39)</f>
        <v>123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礼品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2026-04-20T09:07:35Z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