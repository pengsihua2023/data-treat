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 activeTab="17"/>
  </bookViews>
  <sheets>
    <sheet name="老师" sheetId="1" r:id="rId1"/>
    <sheet name="学生" sheetId="8" r:id="rId2"/>
    <sheet name="领奶表" sheetId="5" r:id="rId3"/>
    <sheet name="配送汇总" sheetId="6" r:id="rId4"/>
    <sheet name="礼品" sheetId="10" r:id="rId5"/>
    <sheet name="3.9" sheetId="2" r:id="rId6"/>
    <sheet name="3.12" sheetId="7" r:id="rId7"/>
    <sheet name="3.16" sheetId="9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3" hidden="1">配送汇总!$A$1:$AS$31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<sst xmlns="http://schemas.openxmlformats.org/spreadsheetml/2006/main" count="1346" uniqueCount="104">
  <si>
    <t>2026春季黎溪幸福幼儿园教职工巴氏鲜奶补贴订购申请表（20份起送，特殊申请除外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</si>
  <si>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</si>
  <si>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</si>
  <si>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</si>
  <si>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</si>
  <si>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</si>
  <si>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</si>
  <si>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</si>
  <si>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</si>
  <si>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</si>
  <si>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</si>
  <si>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</si>
  <si>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</si>
  <si>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苏志坚</t>
  </si>
  <si>
    <t>√</t>
  </si>
  <si>
    <t>邝燕</t>
  </si>
  <si>
    <t>黄国安</t>
  </si>
  <si>
    <t>陆卫红</t>
  </si>
  <si>
    <t>李春晓</t>
  </si>
  <si>
    <t>冯顺花</t>
  </si>
  <si>
    <t>苏家英</t>
  </si>
  <si>
    <t>邓莹莹</t>
  </si>
  <si>
    <t>陆静</t>
  </si>
  <si>
    <t>何海燕</t>
  </si>
  <si>
    <t>线上订单汇总表</t>
  </si>
  <si>
    <t>导出时间2026-03-12</t>
  </si>
  <si>
    <t>订单号</t>
  </si>
  <si>
    <t>学生姓名</t>
  </si>
  <si>
    <t>区 | 校 | 年 | 班</t>
  </si>
  <si>
    <t>家长手机号</t>
  </si>
  <si>
    <t>套餐名称</t>
  </si>
  <si>
    <t>订单金额</t>
  </si>
  <si>
    <t>家长备注</t>
  </si>
  <si>
    <t>商户备注</t>
  </si>
  <si>
    <t>15302026031117072099755</t>
  </si>
  <si>
    <t>钟旻君</t>
  </si>
  <si>
    <t>英德市 | 黎溪镇幸福幼儿园 | 小班 | 小一班</t>
  </si>
  <si>
    <t>2026年春季幼儿园巴氏低温鲜奶套餐（100盒）</t>
  </si>
  <si>
    <t>只要鲜奶</t>
  </si>
  <si>
    <t>15302026031117054547968</t>
  </si>
  <si>
    <t>钟东燃</t>
  </si>
  <si>
    <t>英德市 | 黎溪镇幸福幼儿园 | 大班 | 大二班</t>
  </si>
  <si>
    <t>15302026030609480658386</t>
  </si>
  <si>
    <t>钟子丹</t>
  </si>
  <si>
    <t>15302026030519064831436</t>
  </si>
  <si>
    <t>杨玺喻</t>
  </si>
  <si>
    <t>全部要酸奶</t>
  </si>
  <si>
    <t>15302026030421452134603</t>
  </si>
  <si>
    <t>李佳瑶</t>
  </si>
  <si>
    <t>15302026030417553698933</t>
  </si>
  <si>
    <t>刘烨烨</t>
  </si>
  <si>
    <t>15302026030413064874017</t>
  </si>
  <si>
    <t>谢骏峰</t>
  </si>
  <si>
    <t>15302026030217055758584</t>
  </si>
  <si>
    <t>吴梦瑶</t>
  </si>
  <si>
    <t>15302026030213073399912</t>
  </si>
  <si>
    <t>黄志炫</t>
  </si>
  <si>
    <t>英德市 | 黎溪镇幸福幼儿园 | 中班 | 中一班</t>
  </si>
  <si>
    <t>15302026030212013458331</t>
  </si>
  <si>
    <t>苏逸轩</t>
  </si>
  <si>
    <t>15302026030209062599489</t>
  </si>
  <si>
    <t>陆雨萱</t>
  </si>
  <si>
    <t>15302026030208075129696</t>
  </si>
  <si>
    <t>陆梓涵</t>
  </si>
  <si>
    <t>英德市 | 黎溪镇幸福幼儿园 | 大班 | 大一班</t>
  </si>
  <si>
    <t>15302026030113313789824</t>
  </si>
  <si>
    <t>苏星宇</t>
  </si>
  <si>
    <t>15302026030112292193103</t>
  </si>
  <si>
    <t>李嘉健</t>
  </si>
  <si>
    <t>15302026022820022746729</t>
  </si>
  <si>
    <t>冯贝贝</t>
  </si>
  <si>
    <t>15302026022820011248820</t>
  </si>
  <si>
    <t>冯心心</t>
  </si>
  <si>
    <t>15302026022815115564682</t>
  </si>
  <si>
    <t>苏奕然</t>
  </si>
  <si>
    <t>15302026022722540931482</t>
  </si>
  <si>
    <t>赵艺天</t>
  </si>
  <si>
    <t>15302026022720235786035</t>
  </si>
  <si>
    <t>谢光政</t>
  </si>
  <si>
    <t>尺子套装</t>
  </si>
  <si>
    <t>黎溪幸福幼儿园教师鲜奶领奶表</t>
  </si>
  <si>
    <t>（ 3）月份（填写领取数量/盒）</t>
  </si>
  <si>
    <t>姓名</t>
  </si>
  <si>
    <t xml:space="preserve">                                                  黎溪幸福幼儿园教师鲜奶领奶表</t>
  </si>
  <si>
    <t>订购份数</t>
  </si>
  <si>
    <t>总计</t>
  </si>
  <si>
    <t>剩余</t>
  </si>
  <si>
    <t>100支</t>
  </si>
  <si>
    <t>续订已收款</t>
  </si>
  <si>
    <t>钟子丹（学生）</t>
  </si>
  <si>
    <t>大站中心小学教师赠品配送表</t>
  </si>
  <si>
    <t>配送日期</t>
  </si>
  <si>
    <t>礼品份（笔记本+笔）</t>
  </si>
  <si>
    <t>签名</t>
  </si>
  <si>
    <t>1份</t>
  </si>
  <si>
    <t>黎溪幸福幼儿园学生鲜奶领奶表</t>
  </si>
  <si>
    <t>配送天数</t>
  </si>
  <si>
    <t>鲜</t>
  </si>
  <si>
    <t>酸</t>
  </si>
  <si>
    <t>3天</t>
  </si>
  <si>
    <t>只要酸奶</t>
  </si>
  <si>
    <t>要套尺</t>
  </si>
  <si>
    <t>2天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</si>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</sst>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2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7" applyNumberFormat="0" applyAlignment="0" applyProtection="0">
      <alignment vertical="center"/>
    </xf>
    <xf numFmtId="0" fontId="33" fillId="4" borderId="18" applyNumberFormat="0" applyAlignment="0" applyProtection="0">
      <alignment vertical="center"/>
    </xf>
    <xf numFmtId="0" fontId="34" fillId="4" borderId="17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7" fillId="0" borderId="1" xfId="0" applyNumberFormat="1" applyFont="1" applyFill="1" applyBorder="1" applyAlignment="1">
      <alignment vertical="center"/>
    </xf>
    <xf numFmtId="0" fontId="19" fillId="0" borderId="10" xfId="0" applyNumberFormat="1" applyFont="1" applyFill="1" applyBorder="1" applyAlignment="1">
      <alignment horizontal="left" vertical="center"/>
    </xf>
    <xf numFmtId="0" fontId="10" fillId="0" borderId="11" xfId="0" applyNumberFormat="1" applyFont="1" applyFill="1" applyBorder="1" applyAlignment="1">
      <alignment horizontal="center" vertical="center"/>
    </xf>
    <xf numFmtId="0" fontId="19" fillId="0" borderId="12" xfId="0" applyNumberFormat="1" applyFont="1" applyFill="1" applyBorder="1" applyAlignment="1">
      <alignment horizontal="left" vertical="center"/>
    </xf>
    <xf numFmtId="0" fontId="17" fillId="0" borderId="5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/>
    <xf numFmtId="0" fontId="20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1" sqref="A1:H1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79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ht="20.25" customHeight="1" spans="1:25">
      <c r="A2" s="81" t="s">
        <v>1</v>
      </c>
      <c r="B2" s="81"/>
      <c r="C2" s="81"/>
      <c r="D2" s="81"/>
      <c r="E2" s="81"/>
      <c r="F2" s="81"/>
      <c r="G2" s="81"/>
      <c r="H2" s="81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customHeight="1" spans="1:25">
      <c r="A3" s="82" t="s">
        <v>2</v>
      </c>
      <c r="B3" s="82" t="s">
        <v>3</v>
      </c>
      <c r="C3" s="82" t="s">
        <v>4</v>
      </c>
      <c r="D3" s="83" t="s">
        <v>5</v>
      </c>
      <c r="E3" s="83"/>
      <c r="F3" s="83" t="s">
        <v>6</v>
      </c>
      <c r="G3" s="83"/>
      <c r="H3" s="82" t="s">
        <v>7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 ht="54" spans="1:25">
      <c r="A4" s="82"/>
      <c r="B4" s="82"/>
      <c r="C4" s="82"/>
      <c r="D4" s="84" t="s">
        <v>8</v>
      </c>
      <c r="E4" s="84" t="s">
        <v>9</v>
      </c>
      <c r="F4" s="84" t="s">
        <v>10</v>
      </c>
      <c r="G4" s="84" t="s">
        <v>11</v>
      </c>
      <c r="H4" s="85" t="s">
        <v>12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 customHeight="1" spans="1:25">
      <c r="A5" s="86">
        <v>1</v>
      </c>
      <c r="B5" s="5" t="s">
        <v>13</v>
      </c>
      <c r="C5" s="5">
        <v>13539519816</v>
      </c>
      <c r="D5" s="5" t="s">
        <v>14</v>
      </c>
      <c r="E5" s="5"/>
      <c r="F5" s="86">
        <v>350</v>
      </c>
      <c r="G5" s="86">
        <v>210</v>
      </c>
      <c r="H5" s="87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</row>
    <row r="6" customHeight="1" spans="1:25">
      <c r="A6" s="86">
        <v>2</v>
      </c>
      <c r="B6" s="5" t="s">
        <v>15</v>
      </c>
      <c r="C6" s="5">
        <v>15816200780</v>
      </c>
      <c r="D6" s="5" t="s">
        <v>14</v>
      </c>
      <c r="E6" s="5"/>
      <c r="F6" s="86">
        <v>350</v>
      </c>
      <c r="G6" s="86">
        <v>210</v>
      </c>
      <c r="H6" s="87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 customHeight="1" spans="1:25">
      <c r="A7" s="86">
        <v>3</v>
      </c>
      <c r="B7" s="5" t="s">
        <v>16</v>
      </c>
      <c r="C7" s="5">
        <v>13610508546</v>
      </c>
      <c r="D7" s="5"/>
      <c r="E7" s="5" t="s">
        <v>14</v>
      </c>
      <c r="F7" s="86">
        <v>350</v>
      </c>
      <c r="G7" s="86">
        <v>210</v>
      </c>
      <c r="H7" s="87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</row>
    <row r="8" customHeight="1" spans="1:25">
      <c r="A8" s="86">
        <v>4</v>
      </c>
      <c r="B8" s="5" t="s">
        <v>17</v>
      </c>
      <c r="C8" s="50">
        <v>15107644108</v>
      </c>
      <c r="D8" s="5"/>
      <c r="E8" s="5" t="s">
        <v>14</v>
      </c>
      <c r="F8" s="86">
        <v>350</v>
      </c>
      <c r="G8" s="86">
        <v>210</v>
      </c>
      <c r="H8" s="8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</row>
    <row r="9" customHeight="1" spans="1:25">
      <c r="A9" s="86">
        <v>5</v>
      </c>
      <c r="B9" s="5" t="s">
        <v>18</v>
      </c>
      <c r="C9" s="5">
        <v>15917502649</v>
      </c>
      <c r="D9" s="5"/>
      <c r="E9" s="5" t="s">
        <v>14</v>
      </c>
      <c r="F9" s="86">
        <v>350</v>
      </c>
      <c r="G9" s="86">
        <v>210</v>
      </c>
      <c r="H9" s="86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customHeight="1" spans="1:25">
      <c r="A10" s="86">
        <v>6</v>
      </c>
      <c r="B10" s="5" t="s">
        <v>19</v>
      </c>
      <c r="C10" s="5">
        <v>15119971589</v>
      </c>
      <c r="D10" s="5"/>
      <c r="E10" s="5" t="s">
        <v>14</v>
      </c>
      <c r="F10" s="86">
        <v>350</v>
      </c>
      <c r="G10" s="86">
        <v>210</v>
      </c>
      <c r="H10" s="87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 customHeight="1" spans="1:25">
      <c r="A11" s="86">
        <v>7</v>
      </c>
      <c r="B11" s="5" t="s">
        <v>20</v>
      </c>
      <c r="C11" s="5">
        <v>15811720742</v>
      </c>
      <c r="D11" s="5"/>
      <c r="E11" s="5" t="s">
        <v>14</v>
      </c>
      <c r="F11" s="86">
        <v>350</v>
      </c>
      <c r="G11" s="86">
        <v>210</v>
      </c>
      <c r="H11" s="87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</row>
    <row r="12" customHeight="1" spans="1:25">
      <c r="A12" s="86">
        <v>8</v>
      </c>
      <c r="B12" s="5" t="s">
        <v>21</v>
      </c>
      <c r="C12" s="5">
        <v>13413517469</v>
      </c>
      <c r="D12" s="5"/>
      <c r="E12" s="5" t="s">
        <v>14</v>
      </c>
      <c r="F12" s="86">
        <v>350</v>
      </c>
      <c r="G12" s="86">
        <v>210</v>
      </c>
      <c r="H12" s="87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customHeight="1" spans="1:25">
      <c r="A13" s="86">
        <v>9</v>
      </c>
      <c r="B13" s="5" t="s">
        <v>22</v>
      </c>
      <c r="C13" s="5">
        <v>19878122681</v>
      </c>
      <c r="D13" s="5"/>
      <c r="E13" s="5" t="s">
        <v>14</v>
      </c>
      <c r="F13" s="86">
        <v>350</v>
      </c>
      <c r="G13" s="86">
        <v>210</v>
      </c>
      <c r="H13" s="87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</row>
    <row r="14" customHeight="1" spans="1:25">
      <c r="A14" s="86">
        <v>10</v>
      </c>
      <c r="B14" s="5" t="s">
        <v>23</v>
      </c>
      <c r="C14" s="5">
        <v>13679548054</v>
      </c>
      <c r="D14" s="5"/>
      <c r="E14" s="5" t="s">
        <v>14</v>
      </c>
      <c r="F14" s="86">
        <v>350</v>
      </c>
      <c r="G14" s="86">
        <v>210</v>
      </c>
      <c r="H14" s="87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 customHeight="1" spans="1:25">
      <c r="A15" s="86">
        <v>11</v>
      </c>
      <c r="B15" s="86"/>
      <c r="C15" s="86"/>
      <c r="D15" s="86"/>
      <c r="E15" s="87"/>
      <c r="F15" s="86">
        <v>350</v>
      </c>
      <c r="G15" s="86">
        <v>210</v>
      </c>
      <c r="H15" s="87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 customHeight="1" spans="1:25">
      <c r="A16" s="86">
        <v>12</v>
      </c>
      <c r="B16" s="86"/>
      <c r="C16" s="86"/>
      <c r="D16" s="87"/>
      <c r="E16" s="86"/>
      <c r="F16" s="86">
        <v>350</v>
      </c>
      <c r="G16" s="86">
        <v>210</v>
      </c>
      <c r="H16" s="87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</row>
    <row r="17" customHeight="1" spans="1:25">
      <c r="A17" s="86">
        <v>13</v>
      </c>
      <c r="B17" s="86"/>
      <c r="C17" s="86"/>
      <c r="D17" s="86"/>
      <c r="E17" s="87"/>
      <c r="F17" s="86">
        <v>350</v>
      </c>
      <c r="G17" s="86">
        <v>210</v>
      </c>
      <c r="H17" s="87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</row>
    <row r="18" customHeight="1" spans="1:25">
      <c r="A18" s="86">
        <v>14</v>
      </c>
      <c r="B18" s="86"/>
      <c r="C18" s="86"/>
      <c r="D18" s="87"/>
      <c r="E18" s="86"/>
      <c r="F18" s="86">
        <v>350</v>
      </c>
      <c r="G18" s="86">
        <v>210</v>
      </c>
      <c r="H18" s="86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 customHeight="1" spans="1:25">
      <c r="A19" s="86">
        <v>15</v>
      </c>
      <c r="B19" s="86"/>
      <c r="C19" s="86"/>
      <c r="D19" s="87"/>
      <c r="E19" s="86"/>
      <c r="F19" s="86">
        <v>350</v>
      </c>
      <c r="G19" s="86">
        <v>210</v>
      </c>
      <c r="H19" s="87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 customHeight="1" spans="1:25">
      <c r="A20" s="86">
        <v>16</v>
      </c>
      <c r="B20" s="87"/>
      <c r="C20" s="87"/>
      <c r="D20" s="87"/>
      <c r="E20" s="87"/>
      <c r="F20" s="86">
        <v>350</v>
      </c>
      <c r="G20" s="86">
        <v>210</v>
      </c>
      <c r="H20" s="87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 customHeight="1" spans="1:25">
      <c r="A21" s="86">
        <v>17</v>
      </c>
      <c r="B21" s="87"/>
      <c r="C21" s="87"/>
      <c r="D21" s="87"/>
      <c r="E21" s="88"/>
      <c r="F21" s="86">
        <v>350</v>
      </c>
      <c r="G21" s="86">
        <v>210</v>
      </c>
      <c r="H21" s="87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</row>
    <row r="22" customHeight="1" spans="1:25">
      <c r="A22" s="86">
        <v>18</v>
      </c>
      <c r="B22" s="87"/>
      <c r="C22" s="87"/>
      <c r="D22" s="87"/>
      <c r="E22" s="87"/>
      <c r="F22" s="86">
        <v>350</v>
      </c>
      <c r="G22" s="86">
        <v>210</v>
      </c>
      <c r="H22" s="87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 customHeight="1" spans="1:25">
      <c r="A23" s="86">
        <v>19</v>
      </c>
      <c r="B23" s="87"/>
      <c r="C23" s="87"/>
      <c r="D23" s="87"/>
      <c r="E23" s="87"/>
      <c r="F23" s="86">
        <v>350</v>
      </c>
      <c r="G23" s="86">
        <v>210</v>
      </c>
      <c r="H23" s="87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 customHeight="1" spans="1:25">
      <c r="A24" s="86">
        <v>20</v>
      </c>
      <c r="B24" s="87"/>
      <c r="C24" s="87"/>
      <c r="D24" s="87"/>
      <c r="E24" s="87"/>
      <c r="F24" s="86">
        <v>350</v>
      </c>
      <c r="G24" s="86">
        <v>210</v>
      </c>
      <c r="H24" s="87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 customHeight="1" spans="1:25">
      <c r="A25" s="86">
        <v>21</v>
      </c>
      <c r="B25" s="87"/>
      <c r="C25" s="87"/>
      <c r="D25" s="87"/>
      <c r="E25" s="87"/>
      <c r="F25" s="86">
        <v>350</v>
      </c>
      <c r="G25" s="86">
        <v>210</v>
      </c>
      <c r="H25" s="87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</row>
    <row r="26" customHeight="1" spans="1:25">
      <c r="A26" s="86">
        <v>22</v>
      </c>
      <c r="B26" s="87"/>
      <c r="C26" s="87"/>
      <c r="D26" s="87"/>
      <c r="E26" s="87"/>
      <c r="F26" s="86">
        <v>350</v>
      </c>
      <c r="G26" s="86">
        <v>210</v>
      </c>
      <c r="H26" s="87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</row>
    <row r="27" customHeight="1" spans="1:25">
      <c r="A27" s="86">
        <v>23</v>
      </c>
      <c r="B27" s="87"/>
      <c r="C27" s="87"/>
      <c r="D27" s="87"/>
      <c r="E27" s="87"/>
      <c r="F27" s="86">
        <v>350</v>
      </c>
      <c r="G27" s="86">
        <v>210</v>
      </c>
      <c r="H27" s="87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</row>
    <row r="28" customHeight="1" spans="1:25">
      <c r="A28" s="86">
        <v>24</v>
      </c>
      <c r="B28" s="87"/>
      <c r="C28" s="87"/>
      <c r="D28" s="87"/>
      <c r="E28" s="87"/>
      <c r="F28" s="86">
        <v>350</v>
      </c>
      <c r="G28" s="86">
        <v>210</v>
      </c>
      <c r="H28" s="87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</row>
    <row r="29" customHeight="1" spans="1:25">
      <c r="A29" s="86">
        <v>31</v>
      </c>
      <c r="B29" s="87"/>
      <c r="C29" s="87"/>
      <c r="D29" s="87"/>
      <c r="E29" s="87"/>
      <c r="F29" s="86">
        <v>350</v>
      </c>
      <c r="G29" s="86">
        <v>210</v>
      </c>
      <c r="H29" s="87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</row>
    <row r="30" customHeight="1" spans="1:25">
      <c r="A30" s="86">
        <v>32</v>
      </c>
      <c r="B30" s="87"/>
      <c r="C30" s="87"/>
      <c r="D30" s="87"/>
      <c r="E30" s="87"/>
      <c r="F30" s="86">
        <v>350</v>
      </c>
      <c r="G30" s="86">
        <v>210</v>
      </c>
      <c r="H30" s="87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</row>
    <row r="31" customHeight="1" spans="1:25">
      <c r="A31" s="86">
        <v>33</v>
      </c>
      <c r="B31" s="87"/>
      <c r="C31" s="87"/>
      <c r="D31" s="87"/>
      <c r="E31" s="87"/>
      <c r="F31" s="86">
        <v>350</v>
      </c>
      <c r="G31" s="86">
        <v>210</v>
      </c>
      <c r="H31" s="87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</row>
    <row r="32" customHeight="1" spans="1:25">
      <c r="A32" s="86">
        <v>34</v>
      </c>
      <c r="B32" s="87"/>
      <c r="C32" s="87"/>
      <c r="D32" s="87"/>
      <c r="E32" s="87"/>
      <c r="F32" s="86">
        <v>350</v>
      </c>
      <c r="G32" s="86">
        <v>210</v>
      </c>
      <c r="H32" s="87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</row>
    <row r="33" customHeight="1" spans="1:25">
      <c r="A33" s="86">
        <v>35</v>
      </c>
      <c r="B33" s="87"/>
      <c r="C33" s="87"/>
      <c r="D33" s="87"/>
      <c r="E33" s="87"/>
      <c r="F33" s="86">
        <v>350</v>
      </c>
      <c r="G33" s="86">
        <v>210</v>
      </c>
      <c r="H33" s="87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customHeight="1" spans="1:25">
      <c r="A34" s="86">
        <v>36</v>
      </c>
      <c r="B34" s="87"/>
      <c r="C34" s="87"/>
      <c r="D34" s="87"/>
      <c r="E34" s="87"/>
      <c r="F34" s="86">
        <v>350</v>
      </c>
      <c r="G34" s="86">
        <v>210</v>
      </c>
      <c r="H34" s="87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customHeight="1" spans="1:25">
      <c r="A35" s="86">
        <v>37</v>
      </c>
      <c r="B35" s="87"/>
      <c r="C35" s="87"/>
      <c r="D35" s="87"/>
      <c r="E35" s="87"/>
      <c r="F35" s="86">
        <v>350</v>
      </c>
      <c r="G35" s="86">
        <v>210</v>
      </c>
      <c r="H35" s="87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customHeight="1" spans="1:25">
      <c r="A36" s="86">
        <v>38</v>
      </c>
      <c r="B36" s="87"/>
      <c r="C36" s="87"/>
      <c r="D36" s="87"/>
      <c r="E36" s="87"/>
      <c r="F36" s="86">
        <v>350</v>
      </c>
      <c r="G36" s="86">
        <v>210</v>
      </c>
      <c r="H36" s="87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customHeight="1" spans="1:25">
      <c r="A37" s="86">
        <v>39</v>
      </c>
      <c r="B37" s="87"/>
      <c r="C37" s="87"/>
      <c r="D37" s="87"/>
      <c r="E37" s="87"/>
      <c r="F37" s="86">
        <v>350</v>
      </c>
      <c r="G37" s="86">
        <v>210</v>
      </c>
      <c r="H37" s="87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customHeight="1" spans="1:25">
      <c r="A38" s="86">
        <v>40</v>
      </c>
      <c r="B38" s="87"/>
      <c r="C38" s="87"/>
      <c r="D38" s="87"/>
      <c r="E38" s="87"/>
      <c r="F38" s="86">
        <v>350</v>
      </c>
      <c r="G38" s="86">
        <v>210</v>
      </c>
      <c r="H38" s="87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customHeight="1" spans="1:25">
      <c r="A39" s="86">
        <v>41</v>
      </c>
      <c r="B39" s="87"/>
      <c r="C39" s="87"/>
      <c r="D39" s="87"/>
      <c r="E39" s="87"/>
      <c r="F39" s="86">
        <v>350</v>
      </c>
      <c r="G39" s="86">
        <v>210</v>
      </c>
      <c r="H39" s="87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customHeight="1" spans="1:25">
      <c r="A40" s="86">
        <v>42</v>
      </c>
      <c r="B40" s="87"/>
      <c r="C40" s="87"/>
      <c r="D40" s="87"/>
      <c r="E40" s="87"/>
      <c r="F40" s="86">
        <v>350</v>
      </c>
      <c r="G40" s="86">
        <v>210</v>
      </c>
      <c r="H40" s="87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customHeight="1" spans="1:25">
      <c r="A41" s="86">
        <v>43</v>
      </c>
      <c r="B41" s="87"/>
      <c r="C41" s="87"/>
      <c r="D41" s="87"/>
      <c r="E41" s="87"/>
      <c r="F41" s="86">
        <v>350</v>
      </c>
      <c r="G41" s="86">
        <v>210</v>
      </c>
      <c r="H41" s="87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</row>
    <row r="42" customHeight="1" spans="1:25">
      <c r="A42" s="86">
        <v>44</v>
      </c>
      <c r="B42" s="87"/>
      <c r="C42" s="87"/>
      <c r="D42" s="87"/>
      <c r="E42" s="87"/>
      <c r="F42" s="86">
        <v>350</v>
      </c>
      <c r="G42" s="86">
        <v>210</v>
      </c>
      <c r="H42" s="87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</row>
    <row r="43" customHeight="1" spans="1:25">
      <c r="A43" s="86">
        <v>45</v>
      </c>
      <c r="B43" s="87"/>
      <c r="C43" s="87"/>
      <c r="D43" s="87"/>
      <c r="E43" s="87"/>
      <c r="F43" s="86">
        <v>350</v>
      </c>
      <c r="G43" s="86">
        <v>210</v>
      </c>
      <c r="H43" s="87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</row>
    <row r="44" customHeight="1" spans="1: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customHeight="1" spans="1: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customHeight="1" spans="1: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customHeight="1" spans="1: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customHeight="1" spans="1: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customHeight="1" spans="1: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customHeight="1" spans="1: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customHeight="1" spans="1: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customHeight="1" spans="1: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customHeight="1" spans="1: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 customHeight="1" spans="1: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 customHeight="1" spans="1: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</row>
    <row r="56" customHeight="1" spans="1: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 customHeight="1" spans="1: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customHeight="1" spans="1: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customHeight="1" spans="1: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customHeight="1" spans="1: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 customHeight="1" spans="1: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 customHeight="1" spans="1: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</row>
    <row r="63" customHeight="1" spans="1: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</row>
    <row r="64" customHeight="1" spans="1: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</row>
    <row r="65" customHeight="1" spans="1: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 customHeight="1" spans="1: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</row>
    <row r="67" customHeight="1" spans="1: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 customHeight="1" spans="1: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</row>
    <row r="69" customHeight="1" spans="1: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</row>
    <row r="70" customHeight="1" spans="1: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</row>
    <row r="71" customHeight="1" spans="1: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 customHeight="1" spans="1: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 customHeight="1" spans="1: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 customHeight="1" spans="1: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customHeight="1" spans="1: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customHeight="1" spans="1: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customHeight="1" spans="1: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customHeight="1" spans="1: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 customHeight="1" spans="1: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 customHeight="1" spans="1: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 customHeight="1" spans="1: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</row>
    <row r="82" customHeight="1" spans="1: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</row>
    <row r="83" customHeight="1" spans="1: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</row>
    <row r="84" customHeight="1" spans="1: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 customHeight="1" spans="1: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</row>
    <row r="86" customHeight="1" spans="1: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</row>
    <row r="87" customHeight="1" spans="1: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</row>
    <row r="88" customHeight="1" spans="1: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</row>
    <row r="89" customHeight="1" spans="1: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</row>
    <row r="90" customHeight="1" spans="1: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</row>
    <row r="91" customHeight="1" spans="1: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</row>
    <row r="92" customHeight="1" spans="1: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</row>
    <row r="93" customHeight="1" spans="1: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</row>
    <row r="94" customHeight="1" spans="1: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</row>
    <row r="95" customHeight="1" spans="1: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</row>
    <row r="96" customHeight="1" spans="1: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</row>
    <row r="97" customHeight="1" spans="1: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</row>
    <row r="98" customHeight="1" spans="1: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</row>
    <row r="99" customHeight="1" spans="1: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</row>
    <row r="100" customHeight="1" spans="1: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</row>
    <row r="101" customHeight="1" spans="1: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</row>
    <row r="102" customHeight="1" spans="1: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</row>
    <row r="103" customHeight="1" spans="1: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</row>
    <row r="104" customHeight="1" spans="1: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</row>
    <row r="105" customHeight="1" spans="1: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</row>
    <row r="106" customHeight="1" spans="1: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</row>
    <row r="107" customHeight="1" spans="1: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</row>
    <row r="108" customHeight="1" spans="1: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</row>
    <row r="109" customHeight="1" spans="1: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</row>
    <row r="110" customHeight="1" spans="1: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</row>
    <row r="111" customHeight="1" spans="1: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</row>
    <row r="112" customHeight="1" spans="1: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</row>
    <row r="113" customHeight="1" spans="1: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</row>
    <row r="114" customHeight="1" spans="1: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</row>
    <row r="115" customHeight="1" spans="1: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</row>
    <row r="116" customHeight="1" spans="1: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</row>
    <row r="117" customHeight="1" spans="1: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</row>
    <row r="118" customHeight="1" spans="1: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</row>
    <row r="119" customHeight="1" spans="1: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</row>
    <row r="120" customHeight="1" spans="1: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</row>
    <row r="121" customHeight="1" spans="1: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</row>
    <row r="122" customHeight="1" spans="1: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</row>
    <row r="123" customHeight="1" spans="1: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</row>
    <row r="124" customHeight="1" spans="1: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</row>
    <row r="125" customHeight="1" spans="1: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</row>
    <row r="126" customHeight="1" spans="1: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</row>
    <row r="127" customHeight="1" spans="1: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</row>
    <row r="128" customHeight="1" spans="1: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</row>
    <row r="129" customHeight="1" spans="1: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</row>
    <row r="130" customHeight="1" spans="1: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</row>
    <row r="131" customHeight="1" spans="1: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</row>
    <row r="132" customHeight="1" spans="1: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</row>
    <row r="133" customHeight="1" spans="1: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</row>
    <row r="134" customHeight="1" spans="1: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</row>
    <row r="135" customHeight="1" spans="1: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</row>
    <row r="136" customHeight="1" spans="1: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</row>
    <row r="137" customHeight="1" spans="1: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</row>
    <row r="138" customHeight="1" spans="1: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</row>
    <row r="139" customHeight="1" spans="1: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</row>
    <row r="140" customHeight="1" spans="1: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</row>
    <row r="141" customHeight="1" spans="1: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</row>
    <row r="142" customHeight="1" spans="1: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</row>
    <row r="143" customHeight="1" spans="1: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</row>
    <row r="144" customHeight="1" spans="1: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</row>
    <row r="145" customHeight="1" spans="1: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</row>
    <row r="146" customHeight="1" spans="1: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</row>
    <row r="147" customHeight="1" spans="1: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</row>
    <row r="148" customHeight="1" spans="1: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</row>
    <row r="149" customHeight="1" spans="1: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</row>
    <row r="150" customHeight="1" spans="1: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</row>
    <row r="151" customHeight="1" spans="1: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</row>
    <row r="152" customHeight="1" spans="1: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</row>
    <row r="153" customHeight="1" spans="1: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</row>
    <row r="154" customHeight="1" spans="1: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</row>
    <row r="155" customHeight="1" spans="1: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</row>
    <row r="156" customHeight="1" spans="1: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</row>
    <row r="157" customHeight="1" spans="1: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</row>
    <row r="158" customHeight="1" spans="1: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</row>
    <row r="159" customHeight="1" spans="1: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</row>
    <row r="160" customHeight="1" spans="1: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</row>
    <row r="161" customHeight="1" spans="1: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</row>
    <row r="162" customHeight="1" spans="1: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</row>
    <row r="163" customHeight="1" spans="1: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</row>
    <row r="164" customHeight="1" spans="1: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</row>
    <row r="165" customHeight="1" spans="1: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</row>
    <row r="166" customHeight="1" spans="1: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</row>
    <row r="167" customHeight="1" spans="1: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</row>
    <row r="168" customHeight="1" spans="1: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</row>
    <row r="169" customHeight="1" spans="1: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</row>
    <row r="170" customHeight="1" spans="1: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</row>
    <row r="171" customHeight="1" spans="1: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</row>
    <row r="172" customHeight="1" spans="1: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</row>
    <row r="173" customHeight="1" spans="1: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</row>
    <row r="174" customHeight="1" spans="1: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</row>
    <row r="175" customHeight="1" spans="1: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</row>
    <row r="176" customHeight="1" spans="1: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</row>
    <row r="177" customHeight="1" spans="1: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</row>
    <row r="178" customHeight="1" spans="1: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</row>
    <row r="179" customHeight="1" spans="1: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</row>
    <row r="180" customHeight="1" spans="1: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</row>
    <row r="181" customHeight="1" spans="1: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</row>
    <row r="182" customHeight="1" spans="1: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</row>
    <row r="183" customHeight="1" spans="1: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</row>
    <row r="184" customHeight="1" spans="1: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</row>
    <row r="185" customHeight="1" spans="1: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</row>
    <row r="186" customHeight="1" spans="1: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</row>
    <row r="187" customHeight="1" spans="1: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</row>
    <row r="188" customHeight="1" spans="1: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</row>
    <row r="189" customHeight="1" spans="1: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130" zoomScaleNormal="130" workbookViewId="0">
      <selection activeCell="H7" sqref="H7"/>
    </sheetView>
  </sheetViews>
  <sheetFormatPr defaultColWidth="9.14285714285714" defaultRowHeight="12"/>
  <cols>
    <col min="2" max="2" width="28.247619047619" customWidth="1"/>
    <col min="3" max="3" width="11.3238095238095" customWidth="1"/>
    <col min="4" max="4" width="40.3333333333333" customWidth="1"/>
    <col min="5" max="5" width="15.2666666666667" customWidth="1"/>
    <col min="6" max="6" width="41.8666666666667" customWidth="1"/>
    <col min="7" max="7" width="12.2" customWidth="1"/>
    <col min="8" max="8" width="21.8666666666667" customWidth="1"/>
  </cols>
  <sheetData>
    <row r="1" ht="15" spans="1:9">
      <c r="A1" s="7" t="s">
        <v>24</v>
      </c>
      <c r="B1" s="7"/>
      <c r="C1" s="7"/>
      <c r="D1" s="7"/>
      <c r="E1" s="7"/>
      <c r="F1" s="7"/>
      <c r="G1" s="7"/>
      <c r="H1" s="7"/>
      <c r="I1" s="7"/>
    </row>
    <row r="2" ht="15" spans="1:9">
      <c r="A2" s="7" t="s">
        <v>25</v>
      </c>
      <c r="B2" s="7"/>
      <c r="C2" s="7"/>
      <c r="D2" s="7"/>
      <c r="E2" s="7"/>
      <c r="F2" s="7"/>
      <c r="G2" s="7"/>
      <c r="H2" s="7"/>
      <c r="I2" s="7"/>
    </row>
    <row r="3" ht="15" spans="1:9">
      <c r="A3" s="7" t="s">
        <v>2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</row>
    <row r="4" ht="15" spans="1:9">
      <c r="A4" s="7">
        <v>1</v>
      </c>
      <c r="B4" s="7" t="s">
        <v>34</v>
      </c>
      <c r="C4" s="7" t="s">
        <v>35</v>
      </c>
      <c r="D4" s="7" t="s">
        <v>36</v>
      </c>
      <c r="E4" s="7">
        <v>18942421695</v>
      </c>
      <c r="F4" s="7" t="s">
        <v>37</v>
      </c>
      <c r="G4" s="7">
        <v>350</v>
      </c>
      <c r="H4" s="7"/>
      <c r="I4" s="8" t="s">
        <v>38</v>
      </c>
    </row>
    <row r="5" ht="15" spans="1:9">
      <c r="A5" s="7">
        <v>2</v>
      </c>
      <c r="B5" s="7" t="s">
        <v>39</v>
      </c>
      <c r="C5" s="7" t="s">
        <v>40</v>
      </c>
      <c r="D5" s="7" t="s">
        <v>41</v>
      </c>
      <c r="E5" s="7">
        <v>18942421695</v>
      </c>
      <c r="F5" s="7" t="s">
        <v>37</v>
      </c>
      <c r="G5" s="7">
        <v>350</v>
      </c>
      <c r="H5" s="7"/>
      <c r="I5" s="8" t="s">
        <v>38</v>
      </c>
    </row>
    <row r="6" ht="15" spans="1:9">
      <c r="A6" s="7">
        <v>3</v>
      </c>
      <c r="B6" s="7" t="s">
        <v>42</v>
      </c>
      <c r="C6" s="7" t="s">
        <v>43</v>
      </c>
      <c r="D6" s="7" t="s">
        <v>41</v>
      </c>
      <c r="E6" s="7">
        <v>15811745353</v>
      </c>
      <c r="F6" s="7" t="s">
        <v>37</v>
      </c>
      <c r="G6" s="7">
        <v>350</v>
      </c>
      <c r="H6" s="7"/>
      <c r="I6" s="7"/>
    </row>
    <row r="7" ht="15" spans="1:9">
      <c r="A7" s="7">
        <v>4</v>
      </c>
      <c r="B7" s="7" t="s">
        <v>44</v>
      </c>
      <c r="C7" s="7" t="s">
        <v>45</v>
      </c>
      <c r="D7" s="7" t="s">
        <v>41</v>
      </c>
      <c r="E7" s="7">
        <v>13686042671</v>
      </c>
      <c r="F7" s="7" t="s">
        <v>37</v>
      </c>
      <c r="G7" s="7">
        <v>350</v>
      </c>
      <c r="H7" s="7" t="s">
        <v>46</v>
      </c>
      <c r="I7" s="7"/>
    </row>
    <row r="8" ht="15" spans="1:9">
      <c r="A8" s="7">
        <v>5</v>
      </c>
      <c r="B8" s="7" t="s">
        <v>47</v>
      </c>
      <c r="C8" s="7" t="s">
        <v>48</v>
      </c>
      <c r="D8" s="7" t="s">
        <v>41</v>
      </c>
      <c r="E8" s="7">
        <v>18022446729</v>
      </c>
      <c r="F8" s="7" t="s">
        <v>37</v>
      </c>
      <c r="G8" s="7">
        <v>350</v>
      </c>
      <c r="H8" s="7"/>
      <c r="I8" s="7"/>
    </row>
    <row r="9" ht="15" spans="1:9">
      <c r="A9" s="7">
        <v>6</v>
      </c>
      <c r="B9" s="7" t="s">
        <v>49</v>
      </c>
      <c r="C9" s="7" t="s">
        <v>50</v>
      </c>
      <c r="D9" s="7" t="s">
        <v>41</v>
      </c>
      <c r="E9" s="7">
        <v>13425266892</v>
      </c>
      <c r="F9" s="7" t="s">
        <v>37</v>
      </c>
      <c r="G9" s="7">
        <v>350</v>
      </c>
      <c r="H9" s="7"/>
      <c r="I9" s="7"/>
    </row>
    <row r="10" ht="15" spans="1:9">
      <c r="A10" s="7">
        <v>7</v>
      </c>
      <c r="B10" s="7" t="s">
        <v>51</v>
      </c>
      <c r="C10" s="7" t="s">
        <v>52</v>
      </c>
      <c r="D10" s="7" t="s">
        <v>41</v>
      </c>
      <c r="E10" s="7">
        <v>18933645749</v>
      </c>
      <c r="F10" s="7" t="s">
        <v>37</v>
      </c>
      <c r="G10" s="7">
        <v>350</v>
      </c>
      <c r="H10" s="7"/>
      <c r="I10" s="7"/>
    </row>
    <row r="11" ht="15" spans="1:9">
      <c r="A11" s="7">
        <v>8</v>
      </c>
      <c r="B11" s="7" t="s">
        <v>53</v>
      </c>
      <c r="C11" s="7" t="s">
        <v>54</v>
      </c>
      <c r="D11" s="7" t="s">
        <v>36</v>
      </c>
      <c r="E11" s="7">
        <v>18318382722</v>
      </c>
      <c r="F11" s="7" t="s">
        <v>37</v>
      </c>
      <c r="G11" s="7">
        <v>350</v>
      </c>
      <c r="H11" s="7"/>
      <c r="I11" s="7"/>
    </row>
    <row r="12" ht="15" spans="1:9">
      <c r="A12" s="7">
        <v>9</v>
      </c>
      <c r="B12" s="7" t="s">
        <v>55</v>
      </c>
      <c r="C12" s="7" t="s">
        <v>56</v>
      </c>
      <c r="D12" s="7" t="s">
        <v>57</v>
      </c>
      <c r="E12" s="7">
        <v>13660839052</v>
      </c>
      <c r="F12" s="7" t="s">
        <v>37</v>
      </c>
      <c r="G12" s="7">
        <v>350</v>
      </c>
      <c r="H12" s="7"/>
      <c r="I12" s="7"/>
    </row>
    <row r="13" ht="15" spans="1:9">
      <c r="A13" s="7">
        <v>10</v>
      </c>
      <c r="B13" s="7" t="s">
        <v>58</v>
      </c>
      <c r="C13" s="7" t="s">
        <v>59</v>
      </c>
      <c r="D13" s="7" t="s">
        <v>36</v>
      </c>
      <c r="E13" s="7">
        <v>18820561246</v>
      </c>
      <c r="F13" s="7" t="s">
        <v>37</v>
      </c>
      <c r="G13" s="7">
        <v>350</v>
      </c>
      <c r="H13" s="7"/>
      <c r="I13" s="7"/>
    </row>
    <row r="14" ht="15" spans="1:9">
      <c r="A14" s="7">
        <v>11</v>
      </c>
      <c r="B14" s="7" t="s">
        <v>60</v>
      </c>
      <c r="C14" s="7" t="s">
        <v>61</v>
      </c>
      <c r="D14" s="7" t="s">
        <v>41</v>
      </c>
      <c r="E14" s="7">
        <v>13553968374</v>
      </c>
      <c r="F14" s="7" t="s">
        <v>37</v>
      </c>
      <c r="G14" s="7">
        <v>350</v>
      </c>
      <c r="H14" s="7"/>
      <c r="I14" s="7" t="s">
        <v>38</v>
      </c>
    </row>
    <row r="15" ht="15" spans="1:9">
      <c r="A15" s="7">
        <v>12</v>
      </c>
      <c r="B15" s="7" t="s">
        <v>62</v>
      </c>
      <c r="C15" s="7" t="s">
        <v>63</v>
      </c>
      <c r="D15" s="7" t="s">
        <v>64</v>
      </c>
      <c r="E15" s="7">
        <v>18718060281</v>
      </c>
      <c r="F15" s="7" t="s">
        <v>37</v>
      </c>
      <c r="G15" s="7">
        <v>350</v>
      </c>
      <c r="H15" s="7"/>
      <c r="I15" s="7"/>
    </row>
    <row r="16" ht="15" spans="1:9">
      <c r="A16" s="7">
        <v>13</v>
      </c>
      <c r="B16" s="7" t="s">
        <v>65</v>
      </c>
      <c r="C16" s="7" t="s">
        <v>66</v>
      </c>
      <c r="D16" s="7" t="s">
        <v>57</v>
      </c>
      <c r="E16" s="7">
        <v>13413563557</v>
      </c>
      <c r="F16" s="7" t="s">
        <v>37</v>
      </c>
      <c r="G16" s="7">
        <v>350</v>
      </c>
      <c r="H16" s="7"/>
      <c r="I16" s="7"/>
    </row>
    <row r="17" ht="15" spans="1:9">
      <c r="A17" s="7">
        <v>14</v>
      </c>
      <c r="B17" s="7" t="s">
        <v>67</v>
      </c>
      <c r="C17" s="7" t="s">
        <v>68</v>
      </c>
      <c r="D17" s="7" t="s">
        <v>41</v>
      </c>
      <c r="E17" s="7">
        <v>13824421712</v>
      </c>
      <c r="F17" s="7" t="s">
        <v>37</v>
      </c>
      <c r="G17" s="7">
        <v>350</v>
      </c>
      <c r="H17" s="7"/>
      <c r="I17" s="7"/>
    </row>
    <row r="18" ht="15" spans="1:9">
      <c r="A18" s="7">
        <v>15</v>
      </c>
      <c r="B18" s="7" t="s">
        <v>69</v>
      </c>
      <c r="C18" s="7" t="s">
        <v>70</v>
      </c>
      <c r="D18" s="7" t="s">
        <v>41</v>
      </c>
      <c r="E18" s="7">
        <v>13631095143</v>
      </c>
      <c r="F18" s="7" t="s">
        <v>37</v>
      </c>
      <c r="G18" s="7">
        <v>350</v>
      </c>
      <c r="H18" s="7"/>
      <c r="I18" s="7"/>
    </row>
    <row r="19" ht="15" spans="1:9">
      <c r="A19" s="7">
        <v>16</v>
      </c>
      <c r="B19" s="7" t="s">
        <v>71</v>
      </c>
      <c r="C19" s="7" t="s">
        <v>72</v>
      </c>
      <c r="D19" s="7" t="s">
        <v>36</v>
      </c>
      <c r="E19" s="7">
        <v>13631095143</v>
      </c>
      <c r="F19" s="7" t="s">
        <v>37</v>
      </c>
      <c r="G19" s="7">
        <v>350</v>
      </c>
      <c r="H19" s="7"/>
      <c r="I19" s="7"/>
    </row>
    <row r="20" ht="15" spans="1:9">
      <c r="A20" s="7">
        <v>17</v>
      </c>
      <c r="B20" s="7" t="s">
        <v>73</v>
      </c>
      <c r="C20" s="7" t="s">
        <v>74</v>
      </c>
      <c r="D20" s="7" t="s">
        <v>36</v>
      </c>
      <c r="E20" s="7">
        <v>13380004665</v>
      </c>
      <c r="F20" s="7" t="s">
        <v>37</v>
      </c>
      <c r="G20" s="7">
        <v>350</v>
      </c>
      <c r="H20" s="7"/>
      <c r="I20" s="7"/>
    </row>
    <row r="21" ht="15" spans="1:9">
      <c r="A21" s="7">
        <v>18</v>
      </c>
      <c r="B21" s="7" t="s">
        <v>75</v>
      </c>
      <c r="C21" s="7" t="s">
        <v>76</v>
      </c>
      <c r="D21" s="7" t="s">
        <v>64</v>
      </c>
      <c r="E21" s="7">
        <v>13411433272</v>
      </c>
      <c r="F21" s="7" t="s">
        <v>37</v>
      </c>
      <c r="G21" s="7">
        <v>350</v>
      </c>
      <c r="H21" s="7"/>
      <c r="I21" s="7"/>
    </row>
    <row r="22" ht="15" spans="1:9">
      <c r="A22" s="7">
        <v>19</v>
      </c>
      <c r="B22" s="7" t="s">
        <v>77</v>
      </c>
      <c r="C22" s="7" t="s">
        <v>78</v>
      </c>
      <c r="D22" s="7" t="s">
        <v>64</v>
      </c>
      <c r="E22" s="7">
        <v>13927605258</v>
      </c>
      <c r="F22" s="7" t="s">
        <v>37</v>
      </c>
      <c r="G22" s="7">
        <v>350</v>
      </c>
      <c r="H22" s="7" t="s">
        <v>79</v>
      </c>
      <c r="I22" s="7"/>
    </row>
    <row r="23" ht="15" spans="1:9">
      <c r="A23" s="78"/>
      <c r="B23" s="78"/>
      <c r="C23" s="78"/>
      <c r="D23" s="78"/>
      <c r="E23" s="78"/>
      <c r="F23" s="78"/>
      <c r="G23" s="78"/>
      <c r="H23" s="78"/>
      <c r="I23" s="78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I35" sqref="I35"/>
    </sheetView>
  </sheetViews>
  <sheetFormatPr defaultColWidth="10.2857142857143" defaultRowHeight="13.5"/>
  <cols>
    <col min="1" max="1" width="3.88571428571429" style="65" customWidth="1"/>
    <col min="2" max="2" width="13.7142857142857" style="65" customWidth="1"/>
    <col min="3" max="3" width="4.42857142857143" style="63" customWidth="1"/>
    <col min="4" max="6" width="4" style="63" customWidth="1"/>
    <col min="7" max="7" width="3.87619047619048" style="63" customWidth="1"/>
    <col min="8" max="12" width="4.28571428571429" style="63" customWidth="1"/>
    <col min="13" max="13" width="4.00952380952381" style="63" customWidth="1"/>
    <col min="14" max="14" width="4.28571428571429" style="63" customWidth="1"/>
    <col min="15" max="15" width="4.00952380952381" style="63" customWidth="1"/>
    <col min="16" max="16" width="3.87619047619048" style="63" customWidth="1"/>
    <col min="17" max="17" width="4.28571428571429" style="63" customWidth="1"/>
    <col min="18" max="19" width="4.14285714285714" style="63" customWidth="1"/>
    <col min="20" max="20" width="4.57142857142857" style="63" customWidth="1"/>
    <col min="21" max="25" width="4.14285714285714" style="63" customWidth="1"/>
    <col min="26" max="27" width="4.57142857142857" style="63" customWidth="1"/>
    <col min="28" max="28" width="4.16190476190476" style="63" customWidth="1"/>
    <col min="29" max="30" width="4.28571428571429" style="63" customWidth="1"/>
    <col min="31" max="31" width="4.00952380952381" style="63" customWidth="1"/>
    <col min="32" max="32" width="3.85714285714286" style="63" customWidth="1"/>
    <col min="33" max="34" width="4.28571428571429" style="63" customWidth="1"/>
    <col min="35" max="36" width="4.57142857142857" style="63" customWidth="1"/>
    <col min="37" max="37" width="4.28571428571429" style="63" customWidth="1"/>
    <col min="38" max="38" width="3.85714285714286" style="63" customWidth="1"/>
    <col min="39" max="16384" width="10.2857142857143" style="63"/>
  </cols>
  <sheetData>
    <row r="1" s="63" customFormat="1" ht="26" customHeight="1" spans="1:38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63" customFormat="1" ht="26" customHeight="1" spans="1:38">
      <c r="A2" s="66" t="s">
        <v>81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</row>
    <row r="3" s="64" customFormat="1" ht="40" customHeight="1" spans="1:38">
      <c r="A3" s="67" t="s">
        <v>2</v>
      </c>
      <c r="B3" s="67" t="s">
        <v>82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/>
      <c r="AH3" s="68"/>
      <c r="AI3" s="68"/>
      <c r="AJ3" s="68"/>
      <c r="AK3" s="68"/>
      <c r="AL3" s="68"/>
    </row>
    <row r="4" s="63" customFormat="1" ht="25" customHeight="1" spans="1:38">
      <c r="A4" s="69">
        <v>1</v>
      </c>
      <c r="B4" s="70"/>
      <c r="C4" s="69"/>
      <c r="D4" s="69"/>
      <c r="E4" s="69"/>
      <c r="F4" s="69"/>
      <c r="G4" s="69"/>
      <c r="H4" s="69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</row>
    <row r="5" s="63" customFormat="1" ht="25" customHeight="1" spans="1:38">
      <c r="A5" s="69">
        <v>2</v>
      </c>
      <c r="B5" s="70"/>
      <c r="C5" s="69"/>
      <c r="D5" s="69"/>
      <c r="E5" s="69"/>
      <c r="F5" s="69"/>
      <c r="G5" s="69"/>
      <c r="H5" s="69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</row>
    <row r="6" s="63" customFormat="1" ht="25" customHeight="1" spans="1:38">
      <c r="A6" s="69">
        <v>3</v>
      </c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</row>
    <row r="7" s="63" customFormat="1" ht="25" customHeight="1" spans="1:38">
      <c r="A7" s="69">
        <v>13</v>
      </c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</row>
    <row r="8" s="63" customFormat="1" ht="25" customHeight="1" spans="1:38">
      <c r="A8" s="69">
        <v>14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</row>
    <row r="9" s="63" customFormat="1" ht="25" customHeight="1" spans="1:38">
      <c r="A9" s="69">
        <v>15</v>
      </c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</row>
    <row r="10" s="63" customFormat="1" ht="25" customHeight="1" spans="1:38">
      <c r="A10" s="69">
        <v>16</v>
      </c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</row>
    <row r="11" s="63" customFormat="1" ht="25" customHeight="1" spans="1:38">
      <c r="A11" s="69">
        <v>17</v>
      </c>
      <c r="B11" s="72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</row>
    <row r="12" s="63" customFormat="1" ht="25" customHeight="1" spans="1:38">
      <c r="A12" s="73">
        <v>18</v>
      </c>
      <c r="B12" s="74"/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</row>
    <row r="13" s="63" customFormat="1" ht="15" customHeight="1" spans="1:38">
      <c r="A13" s="76"/>
      <c r="B13" s="77"/>
    </row>
    <row r="14" s="63" customFormat="1" ht="15" customHeight="1" spans="1:38">
      <c r="A14" s="76"/>
      <c r="B14" s="77"/>
    </row>
    <row r="15" s="63" customFormat="1" ht="15" customHeight="1" spans="1:38">
      <c r="A15" s="76"/>
      <c r="B15" s="77"/>
    </row>
    <row r="16" s="63" customFormat="1" ht="15" customHeight="1" spans="1:38">
      <c r="A16" s="76"/>
      <c r="B16" s="77"/>
    </row>
    <row r="17" s="63" customFormat="1" ht="15" customHeight="1" spans="1:2">
      <c r="A17" s="76"/>
      <c r="B17" s="77"/>
    </row>
    <row r="18" s="63" customFormat="1" ht="15" customHeight="1" spans="1:2">
      <c r="A18" s="76"/>
      <c r="B18" s="77"/>
    </row>
    <row r="19" s="63" customFormat="1" ht="15" customHeight="1" spans="1:2">
      <c r="A19" s="76"/>
      <c r="B19" s="77"/>
    </row>
    <row r="20" s="63" customFormat="1" ht="15" customHeight="1" spans="1:2">
      <c r="A20" s="76"/>
      <c r="B20" s="77"/>
    </row>
    <row r="21" s="63" customFormat="1" ht="15" customHeight="1" spans="1:2">
      <c r="A21" s="76"/>
      <c r="B21" s="77"/>
    </row>
    <row r="22" s="63" customFormat="1" ht="15" customHeight="1" spans="1:2">
      <c r="A22" s="76"/>
      <c r="B22" s="77"/>
    </row>
    <row r="23" s="63" customFormat="1" ht="15" customHeight="1" spans="1:2">
      <c r="A23" s="76"/>
      <c r="B23" s="77"/>
    </row>
    <row r="24" s="63" customFormat="1" ht="15" customHeight="1" spans="1:2">
      <c r="A24" s="76"/>
      <c r="B24" s="77"/>
    </row>
    <row r="25" s="63" customFormat="1" ht="15" customHeight="1" spans="1:2">
      <c r="A25" s="76"/>
      <c r="B25" s="77"/>
    </row>
    <row r="26" s="63" customFormat="1" ht="15" customHeight="1" spans="1:2">
      <c r="A26" s="76"/>
      <c r="B26" s="77"/>
    </row>
    <row r="27" s="63" customFormat="1" ht="15" customHeight="1" spans="1:2">
      <c r="A27" s="76"/>
      <c r="B27" s="77"/>
    </row>
    <row r="28" s="63" customFormat="1" ht="15" customHeight="1" spans="1:2">
      <c r="A28" s="76"/>
      <c r="B28" s="77"/>
    </row>
    <row r="29" s="63" customFormat="1" ht="15" customHeight="1" spans="1:2">
      <c r="A29" s="76"/>
      <c r="B29" s="77"/>
    </row>
    <row r="30" s="63" customFormat="1" ht="15" customHeight="1" spans="1:2">
      <c r="A30" s="76"/>
      <c r="B30" s="77"/>
    </row>
    <row r="31" s="63" customFormat="1" ht="15" customHeight="1" spans="1:2">
      <c r="A31" s="76"/>
      <c r="B31" s="76"/>
    </row>
    <row r="32" s="63" customFormat="1" ht="15" customHeight="1" spans="1:2">
      <c r="A32" s="76"/>
      <c r="B32" s="76"/>
    </row>
    <row r="33" s="63" customFormat="1" ht="15" customHeight="1" spans="1:2">
      <c r="A33" s="76"/>
      <c r="B33" s="76"/>
    </row>
    <row r="34" s="63" customFormat="1" ht="15" customHeight="1" spans="1:2">
      <c r="A34" s="76"/>
      <c r="B34" s="76"/>
    </row>
    <row r="35" s="63" customFormat="1" ht="15" customHeight="1" spans="1:2">
      <c r="A35" s="76"/>
      <c r="B35" s="76"/>
    </row>
    <row r="36" s="63" customFormat="1" ht="15" customHeight="1" spans="1:2">
      <c r="A36" s="76"/>
      <c r="B36" s="76"/>
    </row>
    <row r="37" s="63" customFormat="1" ht="15" customHeight="1" spans="1:2">
      <c r="A37" s="76"/>
      <c r="B37" s="76"/>
    </row>
    <row r="38" s="63" customFormat="1" ht="15" customHeight="1" spans="1:2">
      <c r="A38" s="76"/>
      <c r="B38" s="76"/>
    </row>
    <row r="39" s="63" customFormat="1" ht="15" customHeight="1" spans="1:2">
      <c r="A39" s="76"/>
      <c r="B39" s="76"/>
    </row>
    <row r="40" s="63" customFormat="1" ht="15" customHeight="1" spans="1:2">
      <c r="A40" s="76"/>
      <c r="B40" s="76"/>
    </row>
    <row r="41" s="63" customFormat="1" ht="15" customHeight="1" spans="1:2">
      <c r="A41" s="76"/>
      <c r="B41" s="76"/>
    </row>
    <row r="42" s="63" customFormat="1" ht="15" customHeight="1" spans="1:2">
      <c r="A42" s="76"/>
      <c r="B42" s="76"/>
    </row>
    <row r="43" s="63" customFormat="1" ht="15" customHeight="1" spans="1:2">
      <c r="A43" s="76"/>
      <c r="B43" s="76"/>
    </row>
    <row r="44" s="63" customFormat="1" ht="15" customHeight="1" spans="1:2">
      <c r="A44" s="76"/>
      <c r="B44" s="76"/>
    </row>
    <row r="45" s="63" customFormat="1" ht="15" customHeight="1" spans="1:2">
      <c r="A45" s="76"/>
      <c r="B45" s="76"/>
    </row>
    <row r="46" s="63" customFormat="1" ht="15" customHeight="1" spans="1:2">
      <c r="A46" s="76"/>
      <c r="B46" s="76"/>
    </row>
    <row r="47" s="63" customFormat="1" ht="15" customHeight="1" spans="1:2">
      <c r="A47" s="76"/>
      <c r="B47" s="76"/>
    </row>
    <row r="48" s="63" customFormat="1" ht="15" customHeight="1" spans="1:2">
      <c r="A48" s="76"/>
      <c r="B48" s="76"/>
    </row>
    <row r="49" s="63" customFormat="1" ht="15" customHeight="1" spans="1:2">
      <c r="A49" s="76"/>
      <c r="B49" s="76"/>
    </row>
    <row r="50" s="63" customFormat="1" ht="15" customHeight="1" spans="1:2">
      <c r="A50" s="76"/>
      <c r="B50" s="76"/>
    </row>
    <row r="51" s="63" customFormat="1" ht="15" customHeight="1" spans="1:2">
      <c r="A51" s="76"/>
      <c r="B51" s="76"/>
    </row>
    <row r="52" s="63" customFormat="1" ht="15" customHeight="1" spans="1:2">
      <c r="A52" s="76"/>
      <c r="B52" s="76"/>
    </row>
    <row r="53" s="63" customFormat="1" ht="15" customHeight="1" spans="1:2">
      <c r="A53" s="76"/>
      <c r="B53" s="76"/>
    </row>
    <row r="54" s="63" customFormat="1" ht="15" customHeight="1" spans="1:2">
      <c r="A54" s="76"/>
      <c r="B54" s="76"/>
    </row>
    <row r="55" s="63" customFormat="1" ht="15" customHeight="1" spans="1:2">
      <c r="A55" s="76"/>
      <c r="B55" s="76"/>
    </row>
    <row r="56" s="63" customFormat="1" ht="15" customHeight="1" spans="1:2">
      <c r="A56" s="76"/>
      <c r="B56" s="76"/>
    </row>
    <row r="57" s="63" customFormat="1" ht="15" customHeight="1" spans="1:2">
      <c r="A57" s="76"/>
      <c r="B57" s="76"/>
    </row>
    <row r="58" s="63" customFormat="1" ht="15" customHeight="1" spans="1:2">
      <c r="A58" s="76"/>
      <c r="B58" s="76"/>
    </row>
    <row r="59" s="63" customFormat="1" ht="15" customHeight="1" spans="1:2">
      <c r="A59" s="76"/>
      <c r="B59" s="76"/>
    </row>
    <row r="60" s="63" customFormat="1" ht="15" customHeight="1" spans="1:2">
      <c r="A60" s="76"/>
      <c r="B60" s="76"/>
    </row>
    <row r="61" s="63" customFormat="1" ht="15" customHeight="1" spans="1:2">
      <c r="A61" s="76"/>
      <c r="B61" s="76"/>
    </row>
    <row r="62" s="63" customFormat="1" ht="15" customHeight="1" spans="1:2">
      <c r="A62" s="76"/>
      <c r="B62" s="76"/>
    </row>
    <row r="63" s="63" customFormat="1" ht="15" customHeight="1" spans="1:2">
      <c r="A63" s="76"/>
      <c r="B63" s="76"/>
    </row>
    <row r="64" s="63" customFormat="1" ht="15" customHeight="1" spans="1:2">
      <c r="A64" s="76"/>
      <c r="B64" s="76"/>
    </row>
    <row r="65" s="63" customFormat="1" ht="15" customHeight="1" spans="1:2">
      <c r="A65" s="76"/>
      <c r="B65" s="76"/>
    </row>
    <row r="66" s="63" customFormat="1" ht="15" customHeight="1" spans="1:2">
      <c r="A66" s="76"/>
      <c r="B66" s="76"/>
    </row>
    <row r="67" s="63" customFormat="1" ht="15" customHeight="1" spans="1:2">
      <c r="A67" s="76"/>
      <c r="B67" s="76"/>
    </row>
    <row r="68" s="63" customFormat="1" ht="15" customHeight="1" spans="1:2">
      <c r="A68" s="76"/>
      <c r="B68" s="76"/>
    </row>
    <row r="69" s="63" customFormat="1" ht="15" customHeight="1" spans="1:2">
      <c r="A69" s="76"/>
      <c r="B69" s="76"/>
    </row>
    <row r="70" s="63" customFormat="1" ht="15" customHeight="1" spans="1:2">
      <c r="A70" s="76"/>
      <c r="B70" s="76"/>
    </row>
    <row r="71" s="63" customFormat="1" spans="1:2">
      <c r="A71" s="65"/>
      <c r="B71" s="65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4"/>
  <sheetViews>
    <sheetView zoomScale="130" zoomScaleNormal="130" topLeftCell="A22" workbookViewId="0">
      <selection activeCell="N3" sqref="N3:O31"/>
    </sheetView>
  </sheetViews>
  <sheetFormatPr defaultColWidth="9.14285714285714" defaultRowHeight="23" customHeight="1"/>
  <cols>
    <col min="1" max="1" width="9.14285714285714" style="50"/>
    <col min="2" max="2" width="13.4" style="50" customWidth="1"/>
    <col min="3" max="3" width="10" style="50" customWidth="1"/>
    <col min="4" max="18" width="7.42857142857143" style="50" customWidth="1"/>
    <col min="19" max="42" width="7" style="50" customWidth="1"/>
    <col min="43" max="16384" width="9.14285714285714" style="50"/>
  </cols>
  <sheetData>
    <row r="1" s="47" customFormat="1" customHeight="1" spans="1:45">
      <c r="A1" s="51" t="s">
        <v>83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</row>
    <row r="2" s="48" customFormat="1" ht="20" customHeight="1" spans="1:45">
      <c r="A2" s="53" t="s">
        <v>2</v>
      </c>
      <c r="B2" s="53" t="s">
        <v>82</v>
      </c>
      <c r="C2" s="54" t="s">
        <v>84</v>
      </c>
      <c r="D2" s="55">
        <v>46090</v>
      </c>
      <c r="E2" s="55">
        <v>46093</v>
      </c>
      <c r="F2" s="55">
        <v>46097</v>
      </c>
      <c r="G2" s="56">
        <v>46100</v>
      </c>
      <c r="H2" s="56">
        <v>46104</v>
      </c>
      <c r="I2" s="56">
        <v>46107</v>
      </c>
      <c r="J2" s="56">
        <v>46111</v>
      </c>
      <c r="K2" s="56">
        <v>46114</v>
      </c>
      <c r="L2" s="56">
        <v>46119</v>
      </c>
      <c r="M2" s="56">
        <v>46121</v>
      </c>
      <c r="N2" s="56">
        <v>46125</v>
      </c>
      <c r="O2" s="56">
        <v>46128</v>
      </c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7" t="s">
        <v>85</v>
      </c>
      <c r="AR2" s="48" t="s">
        <v>86</v>
      </c>
    </row>
    <row r="3" s="49" customFormat="1" customHeight="1" spans="1:45">
      <c r="A3" s="3">
        <v>1</v>
      </c>
      <c r="B3" s="5" t="s">
        <v>13</v>
      </c>
      <c r="C3" s="24" t="s">
        <v>87</v>
      </c>
      <c r="D3" s="24">
        <v>3</v>
      </c>
      <c r="E3" s="24">
        <v>2</v>
      </c>
      <c r="F3" s="24">
        <v>3</v>
      </c>
      <c r="G3" s="24">
        <v>2</v>
      </c>
      <c r="H3" s="24">
        <v>3</v>
      </c>
      <c r="I3" s="24">
        <v>2</v>
      </c>
      <c r="J3" s="24">
        <v>3</v>
      </c>
      <c r="K3" s="24">
        <v>4</v>
      </c>
      <c r="L3" s="24">
        <v>2</v>
      </c>
      <c r="M3" s="24">
        <v>2</v>
      </c>
      <c r="N3" s="24">
        <v>3</v>
      </c>
      <c r="O3" s="24">
        <v>2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58"/>
      <c r="AI3" s="24"/>
      <c r="AJ3" s="24"/>
      <c r="AK3" s="24"/>
      <c r="AL3" s="24"/>
      <c r="AM3" s="24"/>
      <c r="AN3" s="24"/>
      <c r="AO3" s="24"/>
      <c r="AP3" s="3"/>
      <c r="AQ3" s="3">
        <f t="shared" ref="AQ3:AQ16" si="0">SUM(D3:AP3)</f>
        <v>31</v>
      </c>
      <c r="AR3" s="49">
        <f>100-AQ3</f>
        <v>69</v>
      </c>
    </row>
    <row r="4" s="49" customFormat="1" customHeight="1" spans="1:45">
      <c r="A4" s="3">
        <v>2</v>
      </c>
      <c r="B4" s="5" t="s">
        <v>15</v>
      </c>
      <c r="C4" s="24" t="s">
        <v>87</v>
      </c>
      <c r="D4" s="24">
        <v>3</v>
      </c>
      <c r="E4" s="24">
        <v>2</v>
      </c>
      <c r="F4" s="24">
        <v>3</v>
      </c>
      <c r="G4" s="24">
        <v>2</v>
      </c>
      <c r="H4" s="24">
        <v>3</v>
      </c>
      <c r="I4" s="24">
        <v>2</v>
      </c>
      <c r="J4" s="24">
        <v>3</v>
      </c>
      <c r="K4" s="24">
        <v>4</v>
      </c>
      <c r="L4" s="24">
        <v>2</v>
      </c>
      <c r="M4" s="24">
        <v>2</v>
      </c>
      <c r="N4" s="24">
        <v>3</v>
      </c>
      <c r="O4" s="24">
        <v>2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3"/>
      <c r="AQ4" s="3">
        <f t="shared" si="0"/>
        <v>31</v>
      </c>
      <c r="AR4" s="49">
        <f t="shared" ref="AR4:AR9" si="1">130-AQ4</f>
        <v>99</v>
      </c>
      <c r="AS4" s="50" t="s">
        <v>88</v>
      </c>
    </row>
    <row r="5" s="49" customFormat="1" customHeight="1" spans="1:45">
      <c r="A5" s="3">
        <v>3</v>
      </c>
      <c r="B5" s="5" t="s">
        <v>16</v>
      </c>
      <c r="C5" s="24" t="s">
        <v>87</v>
      </c>
      <c r="D5" s="24">
        <v>3</v>
      </c>
      <c r="E5" s="24">
        <v>2</v>
      </c>
      <c r="F5" s="24">
        <v>3</v>
      </c>
      <c r="G5" s="24">
        <v>2</v>
      </c>
      <c r="H5" s="24">
        <v>3</v>
      </c>
      <c r="I5" s="24">
        <v>2</v>
      </c>
      <c r="J5" s="24">
        <v>3</v>
      </c>
      <c r="K5" s="24">
        <v>4</v>
      </c>
      <c r="L5" s="24">
        <v>2</v>
      </c>
      <c r="M5" s="24">
        <v>2</v>
      </c>
      <c r="N5" s="24">
        <v>3</v>
      </c>
      <c r="O5" s="24">
        <v>2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3"/>
      <c r="AQ5" s="3">
        <f t="shared" si="0"/>
        <v>31</v>
      </c>
      <c r="AR5" s="49">
        <f t="shared" si="1"/>
        <v>99</v>
      </c>
      <c r="AS5" s="50" t="s">
        <v>88</v>
      </c>
    </row>
    <row r="6" s="49" customFormat="1" customHeight="1" spans="1:45">
      <c r="A6" s="3">
        <v>4</v>
      </c>
      <c r="B6" s="5" t="s">
        <v>17</v>
      </c>
      <c r="C6" s="24" t="s">
        <v>87</v>
      </c>
      <c r="D6" s="24">
        <v>3</v>
      </c>
      <c r="E6" s="24">
        <v>2</v>
      </c>
      <c r="F6" s="24">
        <v>3</v>
      </c>
      <c r="G6" s="24">
        <v>2</v>
      </c>
      <c r="H6" s="24">
        <v>3</v>
      </c>
      <c r="I6" s="24">
        <v>2</v>
      </c>
      <c r="J6" s="24">
        <v>3</v>
      </c>
      <c r="K6" s="24">
        <v>4</v>
      </c>
      <c r="L6" s="24">
        <v>2</v>
      </c>
      <c r="M6" s="24">
        <v>2</v>
      </c>
      <c r="N6" s="24">
        <v>3</v>
      </c>
      <c r="O6" s="24">
        <v>2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3"/>
      <c r="AQ6" s="3">
        <f t="shared" si="0"/>
        <v>31</v>
      </c>
      <c r="AR6" s="49">
        <f>100-AQ6</f>
        <v>69</v>
      </c>
    </row>
    <row r="7" s="49" customFormat="1" customHeight="1" spans="1:45">
      <c r="A7" s="3">
        <v>5</v>
      </c>
      <c r="B7" s="5" t="s">
        <v>18</v>
      </c>
      <c r="C7" s="24" t="s">
        <v>87</v>
      </c>
      <c r="D7" s="24">
        <v>3</v>
      </c>
      <c r="E7" s="24">
        <v>2</v>
      </c>
      <c r="F7" s="24">
        <v>3</v>
      </c>
      <c r="G7" s="24">
        <v>2</v>
      </c>
      <c r="H7" s="24">
        <v>3</v>
      </c>
      <c r="I7" s="24">
        <v>2</v>
      </c>
      <c r="J7" s="24">
        <v>3</v>
      </c>
      <c r="K7" s="24">
        <v>4</v>
      </c>
      <c r="L7" s="24">
        <v>2</v>
      </c>
      <c r="M7" s="24">
        <v>2</v>
      </c>
      <c r="N7" s="24">
        <v>3</v>
      </c>
      <c r="O7" s="24">
        <v>2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3"/>
      <c r="AQ7" s="3">
        <f t="shared" si="0"/>
        <v>31</v>
      </c>
      <c r="AR7" s="49">
        <f>100-AQ7</f>
        <v>69</v>
      </c>
    </row>
    <row r="8" s="49" customFormat="1" customHeight="1" spans="1:45">
      <c r="A8" s="3">
        <v>6</v>
      </c>
      <c r="B8" s="5" t="s">
        <v>19</v>
      </c>
      <c r="C8" s="24" t="s">
        <v>87</v>
      </c>
      <c r="D8" s="24">
        <v>3</v>
      </c>
      <c r="E8" s="24">
        <v>2</v>
      </c>
      <c r="F8" s="24">
        <v>3</v>
      </c>
      <c r="G8" s="24">
        <v>2</v>
      </c>
      <c r="H8" s="24">
        <v>3</v>
      </c>
      <c r="I8" s="24">
        <v>2</v>
      </c>
      <c r="J8" s="24">
        <v>3</v>
      </c>
      <c r="K8" s="24">
        <v>4</v>
      </c>
      <c r="L8" s="24">
        <v>2</v>
      </c>
      <c r="M8" s="24">
        <v>2</v>
      </c>
      <c r="N8" s="24">
        <v>3</v>
      </c>
      <c r="O8" s="24">
        <v>2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3"/>
      <c r="AQ8" s="3">
        <f t="shared" si="0"/>
        <v>31</v>
      </c>
      <c r="AR8" s="49">
        <f>100-AQ8</f>
        <v>69</v>
      </c>
    </row>
    <row r="9" s="49" customFormat="1" customHeight="1" spans="1:45">
      <c r="A9" s="3">
        <v>7</v>
      </c>
      <c r="B9" s="5" t="s">
        <v>20</v>
      </c>
      <c r="C9" s="24" t="s">
        <v>87</v>
      </c>
      <c r="D9" s="24">
        <v>3</v>
      </c>
      <c r="E9" s="24">
        <v>2</v>
      </c>
      <c r="F9" s="24">
        <v>3</v>
      </c>
      <c r="G9" s="24">
        <v>2</v>
      </c>
      <c r="H9" s="24">
        <v>3</v>
      </c>
      <c r="I9" s="24">
        <v>2</v>
      </c>
      <c r="J9" s="24">
        <v>3</v>
      </c>
      <c r="K9" s="24">
        <v>4</v>
      </c>
      <c r="L9" s="24">
        <v>2</v>
      </c>
      <c r="M9" s="24">
        <v>2</v>
      </c>
      <c r="N9" s="24">
        <v>3</v>
      </c>
      <c r="O9" s="24">
        <v>2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3"/>
      <c r="AQ9" s="3">
        <f t="shared" si="0"/>
        <v>31</v>
      </c>
      <c r="AR9" s="49">
        <f t="shared" si="1"/>
        <v>99</v>
      </c>
    </row>
    <row r="10" customHeight="1" spans="1:45">
      <c r="A10" s="3">
        <v>8</v>
      </c>
      <c r="B10" s="5" t="s">
        <v>21</v>
      </c>
      <c r="C10" s="24" t="s">
        <v>87</v>
      </c>
      <c r="D10" s="24">
        <v>3</v>
      </c>
      <c r="E10" s="24">
        <v>2</v>
      </c>
      <c r="F10" s="24">
        <v>3</v>
      </c>
      <c r="G10" s="24">
        <v>2</v>
      </c>
      <c r="H10" s="24">
        <v>3</v>
      </c>
      <c r="I10" s="24">
        <v>2</v>
      </c>
      <c r="J10" s="24">
        <v>3</v>
      </c>
      <c r="K10" s="24">
        <v>4</v>
      </c>
      <c r="L10" s="24">
        <v>2</v>
      </c>
      <c r="M10" s="24">
        <v>2</v>
      </c>
      <c r="N10" s="24">
        <v>3</v>
      </c>
      <c r="O10" s="24">
        <v>2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8"/>
      <c r="AQ10" s="3">
        <f t="shared" si="0"/>
        <v>31</v>
      </c>
      <c r="AR10" s="49">
        <f>100-AQ10</f>
        <v>69</v>
      </c>
    </row>
    <row r="11" customHeight="1" spans="1:45">
      <c r="A11" s="3">
        <v>9</v>
      </c>
      <c r="B11" s="5" t="s">
        <v>22</v>
      </c>
      <c r="C11" s="24" t="s">
        <v>87</v>
      </c>
      <c r="D11" s="24">
        <v>3</v>
      </c>
      <c r="E11" s="24">
        <v>2</v>
      </c>
      <c r="F11" s="24">
        <v>3</v>
      </c>
      <c r="G11" s="24">
        <v>2</v>
      </c>
      <c r="H11" s="24">
        <v>3</v>
      </c>
      <c r="I11" s="24">
        <v>2</v>
      </c>
      <c r="J11" s="24">
        <v>3</v>
      </c>
      <c r="K11" s="24">
        <v>4</v>
      </c>
      <c r="L11" s="24">
        <v>2</v>
      </c>
      <c r="M11" s="24">
        <v>2</v>
      </c>
      <c r="N11" s="24">
        <v>3</v>
      </c>
      <c r="O11" s="24">
        <v>2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8"/>
      <c r="AQ11" s="3">
        <f t="shared" si="0"/>
        <v>31</v>
      </c>
      <c r="AR11" s="49">
        <f>100-AQ11</f>
        <v>69</v>
      </c>
    </row>
    <row r="12" customHeight="1" spans="1:45">
      <c r="A12" s="3">
        <v>10</v>
      </c>
      <c r="B12" s="5" t="s">
        <v>23</v>
      </c>
      <c r="C12" s="24" t="s">
        <v>87</v>
      </c>
      <c r="D12" s="24">
        <v>3</v>
      </c>
      <c r="E12" s="24">
        <v>2</v>
      </c>
      <c r="F12" s="24">
        <v>3</v>
      </c>
      <c r="G12" s="24">
        <v>2</v>
      </c>
      <c r="H12" s="24">
        <v>3</v>
      </c>
      <c r="I12" s="24">
        <v>2</v>
      </c>
      <c r="J12" s="24">
        <v>3</v>
      </c>
      <c r="K12" s="24">
        <v>4</v>
      </c>
      <c r="L12" s="24">
        <v>2</v>
      </c>
      <c r="M12" s="24">
        <v>2</v>
      </c>
      <c r="N12" s="24">
        <v>3</v>
      </c>
      <c r="O12" s="24">
        <v>2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8"/>
      <c r="AQ12" s="3">
        <f t="shared" si="0"/>
        <v>31</v>
      </c>
      <c r="AR12" s="49">
        <f>130-AQ12</f>
        <v>99</v>
      </c>
      <c r="AS12" s="50" t="s">
        <v>88</v>
      </c>
    </row>
    <row r="13" customHeight="1" spans="1:45">
      <c r="A13" s="3">
        <v>11</v>
      </c>
      <c r="B13" s="59" t="s">
        <v>89</v>
      </c>
      <c r="C13" s="24" t="s">
        <v>87</v>
      </c>
      <c r="D13" s="24">
        <v>3</v>
      </c>
      <c r="E13" s="24">
        <v>2</v>
      </c>
      <c r="F13" s="24">
        <v>3</v>
      </c>
      <c r="G13" s="24">
        <v>2</v>
      </c>
      <c r="H13" s="24">
        <v>3</v>
      </c>
      <c r="I13" s="24">
        <v>2</v>
      </c>
      <c r="J13" s="24">
        <v>3</v>
      </c>
      <c r="K13" s="24">
        <v>4</v>
      </c>
      <c r="L13" s="24">
        <v>2</v>
      </c>
      <c r="M13" s="24">
        <v>2</v>
      </c>
      <c r="N13" s="24">
        <v>3</v>
      </c>
      <c r="O13" s="24">
        <v>2</v>
      </c>
      <c r="P13" s="24"/>
      <c r="Q13" s="58"/>
      <c r="R13" s="58"/>
      <c r="S13" s="24"/>
      <c r="T13" s="24"/>
      <c r="U13" s="24"/>
      <c r="V13" s="24"/>
      <c r="W13" s="24"/>
      <c r="X13" s="58"/>
      <c r="Y13" s="58"/>
      <c r="Z13" s="58"/>
      <c r="AA13" s="58"/>
      <c r="AB13" s="58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8"/>
      <c r="AQ13" s="3">
        <f t="shared" si="0"/>
        <v>31</v>
      </c>
      <c r="AR13" s="49">
        <f>100-AQ13</f>
        <v>69</v>
      </c>
    </row>
    <row r="14" customHeight="1" spans="1:45">
      <c r="A14" s="3">
        <v>12</v>
      </c>
      <c r="B14" s="7" t="s">
        <v>45</v>
      </c>
      <c r="C14" s="24" t="s">
        <v>87</v>
      </c>
      <c r="D14" s="24">
        <v>3</v>
      </c>
      <c r="E14" s="24">
        <v>2</v>
      </c>
      <c r="F14" s="24">
        <v>3</v>
      </c>
      <c r="G14" s="24">
        <v>2</v>
      </c>
      <c r="H14" s="24">
        <v>3</v>
      </c>
      <c r="I14" s="24">
        <v>2</v>
      </c>
      <c r="J14" s="24">
        <v>3</v>
      </c>
      <c r="K14" s="24">
        <v>4</v>
      </c>
      <c r="L14" s="24">
        <v>2</v>
      </c>
      <c r="M14" s="24">
        <v>2</v>
      </c>
      <c r="N14" s="24">
        <v>3</v>
      </c>
      <c r="O14" s="24">
        <v>2</v>
      </c>
      <c r="P14" s="24"/>
      <c r="Q14" s="58"/>
      <c r="R14" s="58"/>
      <c r="S14" s="24"/>
      <c r="T14" s="24"/>
      <c r="U14" s="24"/>
      <c r="V14" s="24"/>
      <c r="W14" s="24"/>
      <c r="X14" s="58"/>
      <c r="Y14" s="58"/>
      <c r="Z14" s="58"/>
      <c r="AA14" s="58"/>
      <c r="AB14" s="58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8"/>
      <c r="AQ14" s="3">
        <f t="shared" si="0"/>
        <v>31</v>
      </c>
      <c r="AR14" s="49">
        <f>100-AQ14</f>
        <v>69</v>
      </c>
    </row>
    <row r="15" customHeight="1" spans="1:45">
      <c r="A15" s="3">
        <v>13</v>
      </c>
      <c r="B15" s="7" t="s">
        <v>48</v>
      </c>
      <c r="C15" s="24" t="s">
        <v>87</v>
      </c>
      <c r="D15" s="24">
        <v>3</v>
      </c>
      <c r="E15" s="24">
        <v>2</v>
      </c>
      <c r="F15" s="24">
        <v>3</v>
      </c>
      <c r="G15" s="24">
        <v>2</v>
      </c>
      <c r="H15" s="24">
        <v>3</v>
      </c>
      <c r="I15" s="24">
        <v>2</v>
      </c>
      <c r="J15" s="24">
        <v>3</v>
      </c>
      <c r="K15" s="24">
        <v>4</v>
      </c>
      <c r="L15" s="24">
        <v>2</v>
      </c>
      <c r="M15" s="24">
        <v>2</v>
      </c>
      <c r="N15" s="24">
        <v>3</v>
      </c>
      <c r="O15" s="24">
        <v>2</v>
      </c>
      <c r="P15" s="24"/>
      <c r="Q15" s="58"/>
      <c r="R15" s="58"/>
      <c r="S15" s="24"/>
      <c r="T15" s="24"/>
      <c r="U15" s="24"/>
      <c r="V15" s="24"/>
      <c r="W15" s="24"/>
      <c r="X15" s="58"/>
      <c r="Y15" s="58"/>
      <c r="Z15" s="58"/>
      <c r="AA15" s="58"/>
      <c r="AB15" s="58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8"/>
      <c r="AQ15" s="3">
        <f t="shared" si="0"/>
        <v>31</v>
      </c>
      <c r="AR15" s="49">
        <f>100-AQ15</f>
        <v>69</v>
      </c>
    </row>
    <row r="16" customHeight="1" spans="1:45">
      <c r="A16" s="3">
        <v>14</v>
      </c>
      <c r="B16" s="7" t="s">
        <v>50</v>
      </c>
      <c r="C16" s="24" t="s">
        <v>87</v>
      </c>
      <c r="D16" s="24">
        <v>3</v>
      </c>
      <c r="E16" s="24">
        <v>2</v>
      </c>
      <c r="F16" s="24">
        <v>3</v>
      </c>
      <c r="G16" s="24">
        <v>2</v>
      </c>
      <c r="H16" s="24">
        <v>3</v>
      </c>
      <c r="I16" s="24">
        <v>2</v>
      </c>
      <c r="J16" s="24">
        <v>3</v>
      </c>
      <c r="K16" s="24">
        <v>4</v>
      </c>
      <c r="L16" s="24">
        <v>2</v>
      </c>
      <c r="M16" s="24">
        <v>2</v>
      </c>
      <c r="N16" s="24">
        <v>3</v>
      </c>
      <c r="O16" s="24">
        <v>2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8"/>
      <c r="AQ16" s="3">
        <f t="shared" si="0"/>
        <v>31</v>
      </c>
      <c r="AR16" s="49">
        <f>100-AQ16</f>
        <v>69</v>
      </c>
    </row>
    <row r="17" customHeight="1" spans="1:45">
      <c r="A17" s="3">
        <v>15</v>
      </c>
      <c r="B17" s="7" t="s">
        <v>52</v>
      </c>
      <c r="C17" s="24" t="s">
        <v>87</v>
      </c>
      <c r="D17" s="24">
        <v>3</v>
      </c>
      <c r="E17" s="24">
        <v>2</v>
      </c>
      <c r="F17" s="24">
        <v>3</v>
      </c>
      <c r="G17" s="24">
        <v>2</v>
      </c>
      <c r="H17" s="24">
        <v>3</v>
      </c>
      <c r="I17" s="24">
        <v>2</v>
      </c>
      <c r="J17" s="24">
        <v>3</v>
      </c>
      <c r="K17" s="24">
        <v>4</v>
      </c>
      <c r="L17" s="24">
        <v>2</v>
      </c>
      <c r="M17" s="24">
        <v>2</v>
      </c>
      <c r="N17" s="24">
        <v>3</v>
      </c>
      <c r="O17" s="24">
        <v>2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8"/>
      <c r="AQ17" s="3">
        <f t="shared" ref="AQ17:AQ31" si="2">SUM(D17:AP17)</f>
        <v>31</v>
      </c>
      <c r="AR17" s="49">
        <f t="shared" ref="AR17:AR31" si="3">100-AQ17</f>
        <v>69</v>
      </c>
    </row>
    <row r="18" customHeight="1" spans="1:45">
      <c r="A18" s="3">
        <v>16</v>
      </c>
      <c r="B18" s="7" t="s">
        <v>54</v>
      </c>
      <c r="C18" s="24" t="s">
        <v>87</v>
      </c>
      <c r="D18" s="24">
        <v>3</v>
      </c>
      <c r="E18" s="24">
        <v>2</v>
      </c>
      <c r="F18" s="24">
        <v>3</v>
      </c>
      <c r="G18" s="24">
        <v>2</v>
      </c>
      <c r="H18" s="24">
        <v>3</v>
      </c>
      <c r="I18" s="24">
        <v>2</v>
      </c>
      <c r="J18" s="24">
        <v>3</v>
      </c>
      <c r="K18" s="24">
        <v>4</v>
      </c>
      <c r="L18" s="24">
        <v>2</v>
      </c>
      <c r="M18" s="24">
        <v>2</v>
      </c>
      <c r="N18" s="24">
        <v>3</v>
      </c>
      <c r="O18" s="24">
        <v>2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8"/>
      <c r="AQ18" s="3">
        <f t="shared" si="2"/>
        <v>31</v>
      </c>
      <c r="AR18" s="49">
        <f t="shared" si="3"/>
        <v>69</v>
      </c>
    </row>
    <row r="19" customHeight="1" spans="1:45">
      <c r="A19" s="3">
        <v>17</v>
      </c>
      <c r="B19" s="7" t="s">
        <v>56</v>
      </c>
      <c r="C19" s="24" t="s">
        <v>87</v>
      </c>
      <c r="D19" s="24">
        <v>3</v>
      </c>
      <c r="E19" s="24">
        <v>2</v>
      </c>
      <c r="F19" s="24">
        <v>3</v>
      </c>
      <c r="G19" s="24">
        <v>2</v>
      </c>
      <c r="H19" s="24">
        <v>3</v>
      </c>
      <c r="I19" s="24">
        <v>2</v>
      </c>
      <c r="J19" s="24">
        <v>3</v>
      </c>
      <c r="K19" s="24">
        <v>4</v>
      </c>
      <c r="L19" s="24">
        <v>2</v>
      </c>
      <c r="M19" s="24">
        <v>2</v>
      </c>
      <c r="N19" s="24">
        <v>3</v>
      </c>
      <c r="O19" s="24">
        <v>2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8"/>
      <c r="AQ19" s="3">
        <f t="shared" si="2"/>
        <v>31</v>
      </c>
      <c r="AR19" s="49">
        <f>130-AQ19</f>
        <v>99</v>
      </c>
      <c r="AS19" s="50" t="s">
        <v>88</v>
      </c>
    </row>
    <row r="20" customHeight="1" spans="1:45">
      <c r="A20" s="3">
        <v>18</v>
      </c>
      <c r="B20" s="7" t="s">
        <v>59</v>
      </c>
      <c r="C20" s="24" t="s">
        <v>87</v>
      </c>
      <c r="D20" s="24">
        <v>3</v>
      </c>
      <c r="E20" s="24">
        <v>2</v>
      </c>
      <c r="F20" s="24">
        <v>3</v>
      </c>
      <c r="G20" s="24">
        <v>2</v>
      </c>
      <c r="H20" s="24">
        <v>3</v>
      </c>
      <c r="I20" s="24">
        <v>2</v>
      </c>
      <c r="J20" s="24">
        <v>3</v>
      </c>
      <c r="K20" s="24">
        <v>4</v>
      </c>
      <c r="L20" s="24">
        <v>2</v>
      </c>
      <c r="M20" s="24">
        <v>2</v>
      </c>
      <c r="N20" s="24">
        <v>3</v>
      </c>
      <c r="O20" s="24">
        <v>2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8"/>
      <c r="AQ20" s="3">
        <f t="shared" si="2"/>
        <v>31</v>
      </c>
      <c r="AR20" s="49">
        <f>130-AQ20</f>
        <v>99</v>
      </c>
      <c r="AS20" s="50" t="s">
        <v>88</v>
      </c>
    </row>
    <row r="21" customHeight="1" spans="1:45">
      <c r="A21" s="3">
        <v>19</v>
      </c>
      <c r="B21" s="7" t="s">
        <v>61</v>
      </c>
      <c r="C21" s="24" t="s">
        <v>87</v>
      </c>
      <c r="D21" s="24">
        <v>3</v>
      </c>
      <c r="E21" s="24">
        <v>2</v>
      </c>
      <c r="F21" s="24">
        <v>3</v>
      </c>
      <c r="G21" s="24">
        <v>2</v>
      </c>
      <c r="H21" s="24">
        <v>3</v>
      </c>
      <c r="I21" s="24">
        <v>2</v>
      </c>
      <c r="J21" s="24">
        <v>3</v>
      </c>
      <c r="K21" s="24">
        <v>4</v>
      </c>
      <c r="L21" s="24">
        <v>2</v>
      </c>
      <c r="M21" s="24">
        <v>2</v>
      </c>
      <c r="N21" s="24">
        <v>3</v>
      </c>
      <c r="O21" s="24">
        <v>2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8"/>
      <c r="AQ21" s="3">
        <f t="shared" si="2"/>
        <v>31</v>
      </c>
      <c r="AR21" s="49">
        <f t="shared" si="3"/>
        <v>69</v>
      </c>
    </row>
    <row r="22" customHeight="1" spans="1:45">
      <c r="A22" s="3">
        <v>20</v>
      </c>
      <c r="B22" s="7" t="s">
        <v>63</v>
      </c>
      <c r="C22" s="24" t="s">
        <v>87</v>
      </c>
      <c r="D22" s="24">
        <v>3</v>
      </c>
      <c r="E22" s="24">
        <v>2</v>
      </c>
      <c r="F22" s="24">
        <v>3</v>
      </c>
      <c r="G22" s="24">
        <v>2</v>
      </c>
      <c r="H22" s="24">
        <v>3</v>
      </c>
      <c r="I22" s="24">
        <v>2</v>
      </c>
      <c r="J22" s="24">
        <v>3</v>
      </c>
      <c r="K22" s="24">
        <v>4</v>
      </c>
      <c r="L22" s="24">
        <v>2</v>
      </c>
      <c r="M22" s="24">
        <v>2</v>
      </c>
      <c r="N22" s="24">
        <v>3</v>
      </c>
      <c r="O22" s="24">
        <v>2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8"/>
      <c r="AQ22" s="3">
        <f t="shared" si="2"/>
        <v>31</v>
      </c>
      <c r="AR22" s="49">
        <f t="shared" si="3"/>
        <v>69</v>
      </c>
    </row>
    <row r="23" customHeight="1" spans="1:45">
      <c r="A23" s="3">
        <v>21</v>
      </c>
      <c r="B23" s="7" t="s">
        <v>66</v>
      </c>
      <c r="C23" s="24" t="s">
        <v>87</v>
      </c>
      <c r="D23" s="24">
        <v>3</v>
      </c>
      <c r="E23" s="24">
        <v>2</v>
      </c>
      <c r="F23" s="24">
        <v>3</v>
      </c>
      <c r="G23" s="24">
        <v>2</v>
      </c>
      <c r="H23" s="24">
        <v>3</v>
      </c>
      <c r="I23" s="24">
        <v>2</v>
      </c>
      <c r="J23" s="24">
        <v>3</v>
      </c>
      <c r="K23" s="24">
        <v>4</v>
      </c>
      <c r="L23" s="24">
        <v>2</v>
      </c>
      <c r="M23" s="24">
        <v>2</v>
      </c>
      <c r="N23" s="24">
        <v>3</v>
      </c>
      <c r="O23" s="24">
        <v>2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8"/>
      <c r="AQ23" s="3">
        <f t="shared" si="2"/>
        <v>31</v>
      </c>
      <c r="AR23" s="49">
        <f t="shared" si="3"/>
        <v>69</v>
      </c>
    </row>
    <row r="24" customHeight="1" spans="1:45">
      <c r="A24" s="3">
        <v>22</v>
      </c>
      <c r="B24" s="7" t="s">
        <v>68</v>
      </c>
      <c r="C24" s="24" t="s">
        <v>87</v>
      </c>
      <c r="D24" s="24">
        <v>3</v>
      </c>
      <c r="E24" s="24">
        <v>2</v>
      </c>
      <c r="F24" s="24">
        <v>3</v>
      </c>
      <c r="G24" s="24">
        <v>2</v>
      </c>
      <c r="H24" s="24">
        <v>3</v>
      </c>
      <c r="I24" s="24">
        <v>2</v>
      </c>
      <c r="J24" s="24">
        <v>3</v>
      </c>
      <c r="K24" s="24">
        <v>4</v>
      </c>
      <c r="L24" s="24">
        <v>2</v>
      </c>
      <c r="M24" s="24">
        <v>2</v>
      </c>
      <c r="N24" s="24">
        <v>3</v>
      </c>
      <c r="O24" s="24">
        <v>2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8"/>
      <c r="AQ24" s="3">
        <f t="shared" si="2"/>
        <v>31</v>
      </c>
      <c r="AR24" s="49">
        <f t="shared" si="3"/>
        <v>69</v>
      </c>
      <c r="AS24" s="50" t="s">
        <v>88</v>
      </c>
    </row>
    <row r="25" customHeight="1" spans="1:45">
      <c r="A25" s="3">
        <v>23</v>
      </c>
      <c r="B25" s="7" t="s">
        <v>70</v>
      </c>
      <c r="C25" s="24" t="s">
        <v>87</v>
      </c>
      <c r="D25" s="24">
        <v>3</v>
      </c>
      <c r="E25" s="24">
        <v>2</v>
      </c>
      <c r="F25" s="24">
        <v>3</v>
      </c>
      <c r="G25" s="24">
        <v>2</v>
      </c>
      <c r="H25" s="24">
        <v>3</v>
      </c>
      <c r="I25" s="24">
        <v>2</v>
      </c>
      <c r="J25" s="24">
        <v>3</v>
      </c>
      <c r="K25" s="24">
        <v>4</v>
      </c>
      <c r="L25" s="24">
        <v>2</v>
      </c>
      <c r="M25" s="24">
        <v>2</v>
      </c>
      <c r="N25" s="24">
        <v>3</v>
      </c>
      <c r="O25" s="24">
        <v>2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8"/>
      <c r="AQ25" s="3">
        <f t="shared" si="2"/>
        <v>31</v>
      </c>
      <c r="AR25" s="49">
        <f t="shared" ref="AR25:AR31" si="4">130-AQ25</f>
        <v>99</v>
      </c>
      <c r="AS25" s="50" t="s">
        <v>88</v>
      </c>
    </row>
    <row r="26" customHeight="1" spans="1:45">
      <c r="A26" s="3">
        <v>24</v>
      </c>
      <c r="B26" s="7" t="s">
        <v>72</v>
      </c>
      <c r="C26" s="24" t="s">
        <v>87</v>
      </c>
      <c r="D26" s="24">
        <v>3</v>
      </c>
      <c r="E26" s="24">
        <v>2</v>
      </c>
      <c r="F26" s="24">
        <v>3</v>
      </c>
      <c r="G26" s="24">
        <v>2</v>
      </c>
      <c r="H26" s="24">
        <v>3</v>
      </c>
      <c r="I26" s="24">
        <v>2</v>
      </c>
      <c r="J26" s="24">
        <v>3</v>
      </c>
      <c r="K26" s="24">
        <v>4</v>
      </c>
      <c r="L26" s="24">
        <v>2</v>
      </c>
      <c r="M26" s="24">
        <v>2</v>
      </c>
      <c r="N26" s="24">
        <v>3</v>
      </c>
      <c r="O26" s="24">
        <v>2</v>
      </c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41">
        <f t="shared" si="2"/>
        <v>31</v>
      </c>
      <c r="AR26" s="49">
        <f t="shared" si="3"/>
        <v>69</v>
      </c>
    </row>
    <row r="27" customHeight="1" spans="1:45">
      <c r="A27" s="3">
        <v>25</v>
      </c>
      <c r="B27" s="7" t="s">
        <v>74</v>
      </c>
      <c r="C27" s="24" t="s">
        <v>87</v>
      </c>
      <c r="D27" s="24">
        <v>3</v>
      </c>
      <c r="E27" s="24">
        <v>2</v>
      </c>
      <c r="F27" s="24">
        <v>3</v>
      </c>
      <c r="G27" s="24">
        <v>2</v>
      </c>
      <c r="H27" s="24">
        <v>3</v>
      </c>
      <c r="I27" s="24">
        <v>2</v>
      </c>
      <c r="J27" s="24">
        <v>3</v>
      </c>
      <c r="K27" s="24">
        <v>4</v>
      </c>
      <c r="L27" s="24">
        <v>2</v>
      </c>
      <c r="M27" s="24">
        <v>2</v>
      </c>
      <c r="N27" s="24">
        <v>3</v>
      </c>
      <c r="O27" s="24">
        <v>2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60"/>
      <c r="AH27" s="60"/>
      <c r="AI27" s="60"/>
      <c r="AJ27" s="60"/>
      <c r="AK27" s="60"/>
      <c r="AL27" s="60"/>
      <c r="AM27" s="60"/>
      <c r="AN27" s="60"/>
      <c r="AO27" s="60"/>
      <c r="AP27" s="8"/>
      <c r="AQ27" s="3">
        <f t="shared" si="2"/>
        <v>31</v>
      </c>
      <c r="AR27" s="49">
        <f t="shared" si="3"/>
        <v>69</v>
      </c>
    </row>
    <row r="28" customHeight="1" spans="1:45">
      <c r="A28" s="3">
        <v>26</v>
      </c>
      <c r="B28" s="7" t="s">
        <v>76</v>
      </c>
      <c r="C28" s="24" t="s">
        <v>87</v>
      </c>
      <c r="D28" s="24">
        <v>3</v>
      </c>
      <c r="E28" s="24">
        <v>2</v>
      </c>
      <c r="F28" s="24">
        <v>3</v>
      </c>
      <c r="G28" s="24">
        <v>2</v>
      </c>
      <c r="H28" s="24">
        <v>3</v>
      </c>
      <c r="I28" s="24">
        <v>2</v>
      </c>
      <c r="J28" s="24">
        <v>3</v>
      </c>
      <c r="K28" s="24">
        <v>4</v>
      </c>
      <c r="L28" s="24">
        <v>2</v>
      </c>
      <c r="M28" s="24">
        <v>2</v>
      </c>
      <c r="N28" s="24">
        <v>3</v>
      </c>
      <c r="O28" s="24">
        <v>2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60"/>
      <c r="AH28" s="60"/>
      <c r="AI28" s="60"/>
      <c r="AJ28" s="60"/>
      <c r="AK28" s="60"/>
      <c r="AL28" s="60"/>
      <c r="AM28" s="60"/>
      <c r="AN28" s="60"/>
      <c r="AO28" s="60"/>
      <c r="AP28" s="8"/>
      <c r="AQ28" s="3">
        <f t="shared" si="2"/>
        <v>31</v>
      </c>
      <c r="AR28" s="49">
        <f t="shared" si="3"/>
        <v>69</v>
      </c>
    </row>
    <row r="29" customHeight="1" spans="1:45">
      <c r="A29" s="3">
        <v>27</v>
      </c>
      <c r="B29" s="7" t="s">
        <v>78</v>
      </c>
      <c r="C29" s="24" t="s">
        <v>87</v>
      </c>
      <c r="D29" s="24">
        <v>3</v>
      </c>
      <c r="E29" s="24">
        <v>2</v>
      </c>
      <c r="F29" s="24">
        <v>3</v>
      </c>
      <c r="G29" s="24">
        <v>2</v>
      </c>
      <c r="H29" s="24">
        <v>3</v>
      </c>
      <c r="I29" s="24">
        <v>2</v>
      </c>
      <c r="J29" s="24">
        <v>3</v>
      </c>
      <c r="K29" s="24">
        <v>4</v>
      </c>
      <c r="L29" s="24">
        <v>2</v>
      </c>
      <c r="M29" s="24">
        <v>2</v>
      </c>
      <c r="N29" s="24">
        <v>3</v>
      </c>
      <c r="O29" s="24">
        <v>2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8"/>
      <c r="AQ29" s="3">
        <f t="shared" si="2"/>
        <v>31</v>
      </c>
      <c r="AR29" s="49">
        <f t="shared" si="4"/>
        <v>99</v>
      </c>
      <c r="AS29" s="50" t="s">
        <v>88</v>
      </c>
    </row>
    <row r="30" customHeight="1" spans="1:45">
      <c r="A30" s="3">
        <v>28</v>
      </c>
      <c r="B30" s="7" t="s">
        <v>35</v>
      </c>
      <c r="C30" s="24" t="s">
        <v>87</v>
      </c>
      <c r="D30" s="8"/>
      <c r="E30" s="8"/>
      <c r="F30" s="8">
        <v>3</v>
      </c>
      <c r="G30" s="24">
        <v>2</v>
      </c>
      <c r="H30" s="24">
        <v>3</v>
      </c>
      <c r="I30" s="24">
        <v>2</v>
      </c>
      <c r="J30" s="24">
        <v>3</v>
      </c>
      <c r="K30" s="24">
        <v>4</v>
      </c>
      <c r="L30" s="24">
        <v>2</v>
      </c>
      <c r="M30" s="24">
        <v>2</v>
      </c>
      <c r="N30" s="24">
        <v>3</v>
      </c>
      <c r="O30" s="24">
        <v>2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8"/>
      <c r="AQ30" s="3">
        <f t="shared" si="2"/>
        <v>26</v>
      </c>
      <c r="AR30" s="49">
        <f t="shared" si="4"/>
        <v>104</v>
      </c>
      <c r="AS30" s="50" t="s">
        <v>88</v>
      </c>
    </row>
    <row r="31" customHeight="1" spans="1:45">
      <c r="A31" s="3">
        <v>29</v>
      </c>
      <c r="B31" s="7" t="s">
        <v>40</v>
      </c>
      <c r="C31" s="24" t="s">
        <v>87</v>
      </c>
      <c r="D31" s="8"/>
      <c r="E31" s="8"/>
      <c r="F31" s="8">
        <v>3</v>
      </c>
      <c r="G31" s="24">
        <v>2</v>
      </c>
      <c r="H31" s="24">
        <v>3</v>
      </c>
      <c r="I31" s="24">
        <v>2</v>
      </c>
      <c r="J31" s="24">
        <v>3</v>
      </c>
      <c r="K31" s="24">
        <v>4</v>
      </c>
      <c r="L31" s="24">
        <v>2</v>
      </c>
      <c r="M31" s="24">
        <v>2</v>
      </c>
      <c r="N31" s="24">
        <v>3</v>
      </c>
      <c r="O31" s="24">
        <v>2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>
        <f t="shared" si="2"/>
        <v>26</v>
      </c>
      <c r="AR31" s="49">
        <f t="shared" si="4"/>
        <v>104</v>
      </c>
      <c r="AS31" s="50" t="s">
        <v>88</v>
      </c>
    </row>
    <row r="32" customHeight="1" spans="1:45">
      <c r="A32" s="8"/>
      <c r="B32" s="62"/>
      <c r="C32" s="6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customHeight="1" spans="1:43">
      <c r="A33" s="8"/>
      <c r="B33" s="62"/>
      <c r="C33" s="6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customHeight="1" spans="1:43">
      <c r="A34" s="8"/>
      <c r="B34" s="62"/>
      <c r="C34" s="6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</sheetData>
  <mergeCells count="1">
    <mergeCell ref="A1:AQ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E16" sqref="E16"/>
    </sheetView>
  </sheetViews>
  <sheetFormatPr defaultColWidth="9.14285714285714" defaultRowHeight="12" outlineLevelCol="5"/>
  <cols>
    <col min="1" max="1" width="10.8571428571429" customWidth="1"/>
    <col min="2" max="2" width="20.2857142857143" customWidth="1"/>
    <col min="3" max="3" width="20.8571428571429" customWidth="1"/>
    <col min="4" max="6" width="25.7142857142857" customWidth="1"/>
  </cols>
  <sheetData>
    <row r="1" ht="25" customHeight="1" spans="1:6">
      <c r="A1" s="1" t="s">
        <v>90</v>
      </c>
      <c r="B1" s="1"/>
      <c r="C1" s="1"/>
      <c r="D1" s="1"/>
      <c r="E1" s="1"/>
      <c r="F1" s="1"/>
    </row>
    <row r="2" ht="25" customHeight="1" spans="1:6">
      <c r="A2" s="2" t="s">
        <v>2</v>
      </c>
      <c r="B2" s="2" t="s">
        <v>91</v>
      </c>
      <c r="C2" s="2" t="s">
        <v>3</v>
      </c>
      <c r="D2" s="2" t="s">
        <v>92</v>
      </c>
      <c r="E2" s="2" t="s">
        <v>93</v>
      </c>
      <c r="F2" s="2" t="s">
        <v>7</v>
      </c>
    </row>
    <row r="3" ht="25" customHeight="1" spans="1:6">
      <c r="A3" s="3">
        <v>1</v>
      </c>
      <c r="B3" s="32">
        <v>46093</v>
      </c>
      <c r="C3" s="5" t="s">
        <v>13</v>
      </c>
      <c r="D3" s="40" t="s">
        <v>94</v>
      </c>
      <c r="E3" s="40"/>
      <c r="F3" s="6"/>
    </row>
    <row r="4" ht="25" customHeight="1" spans="1:6">
      <c r="A4" s="3">
        <v>2</v>
      </c>
      <c r="B4" s="32">
        <v>46093</v>
      </c>
      <c r="C4" s="5" t="s">
        <v>15</v>
      </c>
      <c r="D4" s="40" t="s">
        <v>94</v>
      </c>
      <c r="E4" s="40"/>
      <c r="F4" s="9"/>
    </row>
    <row r="5" ht="25" customHeight="1" spans="1:6">
      <c r="A5" s="3">
        <v>3</v>
      </c>
      <c r="B5" s="32">
        <v>46093</v>
      </c>
      <c r="C5" s="5" t="s">
        <v>16</v>
      </c>
      <c r="D5" s="40" t="s">
        <v>94</v>
      </c>
      <c r="E5" s="6"/>
      <c r="F5" s="9"/>
    </row>
    <row r="6" ht="25" customHeight="1" spans="1:6">
      <c r="A6" s="3">
        <v>4</v>
      </c>
      <c r="B6" s="32">
        <v>46093</v>
      </c>
      <c r="C6" s="5" t="s">
        <v>17</v>
      </c>
      <c r="D6" s="40" t="s">
        <v>94</v>
      </c>
      <c r="E6" s="6"/>
      <c r="F6" s="9"/>
    </row>
    <row r="7" ht="25" customHeight="1" spans="1:6">
      <c r="A7" s="3">
        <v>5</v>
      </c>
      <c r="B7" s="32">
        <v>46093</v>
      </c>
      <c r="C7" s="5" t="s">
        <v>18</v>
      </c>
      <c r="D7" s="40" t="s">
        <v>94</v>
      </c>
      <c r="E7" s="6"/>
      <c r="F7" s="9"/>
    </row>
    <row r="8" ht="25" customHeight="1" spans="1:6">
      <c r="A8" s="3">
        <v>6</v>
      </c>
      <c r="B8" s="32">
        <v>46093</v>
      </c>
      <c r="C8" s="5" t="s">
        <v>19</v>
      </c>
      <c r="D8" s="40" t="s">
        <v>94</v>
      </c>
      <c r="E8" s="6"/>
      <c r="F8" s="10"/>
    </row>
    <row r="9" ht="25" customHeight="1" spans="1:6">
      <c r="A9" s="3">
        <v>7</v>
      </c>
      <c r="B9" s="32">
        <v>46093</v>
      </c>
      <c r="C9" s="5" t="s">
        <v>20</v>
      </c>
      <c r="D9" s="40" t="s">
        <v>94</v>
      </c>
      <c r="E9" s="6"/>
      <c r="F9" s="10"/>
    </row>
    <row r="10" ht="25" customHeight="1" spans="1:6">
      <c r="A10" s="3">
        <v>8</v>
      </c>
      <c r="B10" s="32">
        <v>46093</v>
      </c>
      <c r="C10" s="5" t="s">
        <v>21</v>
      </c>
      <c r="D10" s="40" t="s">
        <v>94</v>
      </c>
      <c r="E10" s="6"/>
      <c r="F10" s="10"/>
    </row>
    <row r="11" ht="25" customHeight="1" spans="1:6">
      <c r="A11" s="41">
        <v>9</v>
      </c>
      <c r="B11" s="42">
        <v>46093</v>
      </c>
      <c r="C11" s="43" t="s">
        <v>22</v>
      </c>
      <c r="D11" s="44" t="s">
        <v>94</v>
      </c>
      <c r="E11" s="45"/>
      <c r="F11" s="45"/>
    </row>
    <row r="12" ht="25" customHeight="1" spans="1:6">
      <c r="A12" s="3">
        <v>10</v>
      </c>
      <c r="B12" s="32">
        <v>46093</v>
      </c>
      <c r="C12" s="8" t="s">
        <v>23</v>
      </c>
      <c r="D12" s="40" t="s">
        <v>94</v>
      </c>
      <c r="E12" s="26"/>
      <c r="F12" s="26"/>
    </row>
    <row r="13" ht="22" customHeight="1" spans="1:6">
      <c r="A13" s="46"/>
      <c r="B13" s="46"/>
      <c r="C13" s="46"/>
      <c r="D13" s="46"/>
      <c r="E13" s="46"/>
      <c r="F13" s="46"/>
    </row>
    <row r="14" ht="22" customHeight="1" spans="1:6">
      <c r="A14" s="46"/>
      <c r="B14" s="46"/>
      <c r="C14" s="46"/>
      <c r="D14" s="46"/>
      <c r="E14" s="46"/>
      <c r="F14" s="46"/>
    </row>
    <row r="15" ht="22" customHeight="1" spans="1:6">
      <c r="A15" s="46"/>
      <c r="B15" s="46"/>
      <c r="C15" s="46"/>
      <c r="D15" s="46"/>
      <c r="E15" s="46"/>
      <c r="F15" s="46"/>
    </row>
    <row r="16" ht="22" customHeight="1" spans="1:6">
      <c r="A16" s="46"/>
      <c r="B16" s="46"/>
      <c r="C16" s="46"/>
      <c r="D16" s="46"/>
      <c r="E16" s="46"/>
      <c r="F16" s="46"/>
    </row>
    <row r="17" ht="22" customHeight="1" spans="1:6">
      <c r="A17" s="46"/>
      <c r="B17" s="46"/>
      <c r="C17" s="46"/>
      <c r="D17" s="46"/>
      <c r="E17" s="46"/>
      <c r="F17" s="46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L23" sqref="L2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10" max="10" width="11.1428571428571" customWidth="1"/>
    <col min="11" max="11" width="12.5714285714286" customWidth="1"/>
    <col min="12" max="12" width="10.8571428571429" customWidth="1"/>
    <col min="13" max="13" width="10" customWidth="1"/>
    <col min="15" max="15" width="20.7142857142857" customWidth="1"/>
  </cols>
  <sheetData>
    <row r="1" ht="38" customHeight="1" spans="1:15">
      <c r="A1" s="35" t="s">
        <v>80</v>
      </c>
      <c r="B1" s="35"/>
      <c r="C1" s="35"/>
      <c r="D1" s="35"/>
      <c r="E1" s="35"/>
      <c r="F1" s="36"/>
      <c r="G1" s="37"/>
      <c r="I1" s="1" t="s">
        <v>95</v>
      </c>
      <c r="J1" s="1"/>
      <c r="K1" s="1"/>
      <c r="L1" s="1"/>
      <c r="M1" s="1"/>
      <c r="N1" s="1"/>
      <c r="O1" s="1"/>
    </row>
    <row r="2" s="34" customFormat="1" ht="32" customHeight="1" spans="1:15">
      <c r="A2" s="38" t="s">
        <v>2</v>
      </c>
      <c r="B2" s="38" t="s">
        <v>91</v>
      </c>
      <c r="C2" s="38" t="s">
        <v>3</v>
      </c>
      <c r="D2" s="39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ht="22" customHeight="1" spans="1:15">
      <c r="A3" s="13">
        <v>1</v>
      </c>
      <c r="B3" s="4">
        <v>46090</v>
      </c>
      <c r="C3" s="5" t="s">
        <v>13</v>
      </c>
      <c r="D3" s="5" t="s">
        <v>99</v>
      </c>
      <c r="E3" s="5">
        <v>3</v>
      </c>
      <c r="F3" s="5"/>
      <c r="G3" s="5"/>
      <c r="I3" s="3">
        <v>1</v>
      </c>
      <c r="J3" s="32">
        <v>46090</v>
      </c>
      <c r="K3" s="7" t="s">
        <v>43</v>
      </c>
      <c r="L3" s="8" t="s">
        <v>99</v>
      </c>
      <c r="M3" s="8">
        <v>3</v>
      </c>
      <c r="N3" s="8"/>
      <c r="O3" s="8"/>
    </row>
    <row r="4" ht="22" customHeight="1" spans="1:15">
      <c r="A4" s="13">
        <v>2</v>
      </c>
      <c r="B4" s="4">
        <v>46090</v>
      </c>
      <c r="C4" s="5" t="s">
        <v>15</v>
      </c>
      <c r="D4" s="5" t="s">
        <v>99</v>
      </c>
      <c r="E4" s="5">
        <v>3</v>
      </c>
      <c r="F4" s="5"/>
      <c r="G4" s="5"/>
      <c r="I4" s="3">
        <v>2</v>
      </c>
      <c r="J4" s="32">
        <v>46090</v>
      </c>
      <c r="K4" s="7" t="s">
        <v>45</v>
      </c>
      <c r="L4" s="8" t="s">
        <v>99</v>
      </c>
      <c r="M4" s="8"/>
      <c r="N4" s="8">
        <v>3</v>
      </c>
      <c r="O4" s="8" t="s">
        <v>100</v>
      </c>
    </row>
    <row r="5" ht="22" customHeight="1" spans="1:15">
      <c r="A5" s="13">
        <v>3</v>
      </c>
      <c r="B5" s="4">
        <v>46090</v>
      </c>
      <c r="C5" s="5" t="s">
        <v>16</v>
      </c>
      <c r="D5" s="5" t="s">
        <v>99</v>
      </c>
      <c r="E5" s="5"/>
      <c r="F5" s="5">
        <v>3</v>
      </c>
      <c r="G5" s="5"/>
      <c r="I5" s="3">
        <v>3</v>
      </c>
      <c r="J5" s="32">
        <v>46090</v>
      </c>
      <c r="K5" s="7" t="s">
        <v>48</v>
      </c>
      <c r="L5" s="8" t="s">
        <v>99</v>
      </c>
      <c r="M5" s="8">
        <v>2</v>
      </c>
      <c r="N5" s="8">
        <v>1</v>
      </c>
      <c r="O5" s="8"/>
    </row>
    <row r="6" ht="22" customHeight="1" spans="1:15">
      <c r="A6" s="13">
        <v>4</v>
      </c>
      <c r="B6" s="4">
        <v>46090</v>
      </c>
      <c r="C6" s="5" t="s">
        <v>17</v>
      </c>
      <c r="D6" s="5" t="s">
        <v>99</v>
      </c>
      <c r="E6" s="5"/>
      <c r="F6" s="5">
        <v>3</v>
      </c>
      <c r="G6" s="5"/>
      <c r="I6" s="3">
        <v>4</v>
      </c>
      <c r="J6" s="32">
        <v>46090</v>
      </c>
      <c r="K6" s="7" t="s">
        <v>50</v>
      </c>
      <c r="L6" s="8" t="s">
        <v>99</v>
      </c>
      <c r="M6" s="8">
        <v>2</v>
      </c>
      <c r="N6" s="8">
        <v>1</v>
      </c>
      <c r="O6" s="8"/>
    </row>
    <row r="7" ht="22" customHeight="1" spans="1:15">
      <c r="A7" s="13">
        <v>5</v>
      </c>
      <c r="B7" s="4">
        <v>46090</v>
      </c>
      <c r="C7" s="5" t="s">
        <v>18</v>
      </c>
      <c r="D7" s="5" t="s">
        <v>99</v>
      </c>
      <c r="E7" s="5"/>
      <c r="F7" s="5">
        <v>3</v>
      </c>
      <c r="G7" s="5"/>
      <c r="I7" s="3"/>
      <c r="J7" s="32"/>
      <c r="K7" s="7"/>
      <c r="L7" s="8"/>
      <c r="M7" s="8"/>
      <c r="N7" s="8"/>
      <c r="O7" s="8"/>
    </row>
    <row r="8" ht="22" customHeight="1" spans="1:15">
      <c r="A8" s="13">
        <v>6</v>
      </c>
      <c r="B8" s="4">
        <v>46090</v>
      </c>
      <c r="C8" s="5" t="s">
        <v>19</v>
      </c>
      <c r="D8" s="5" t="s">
        <v>99</v>
      </c>
      <c r="E8" s="5"/>
      <c r="F8" s="5">
        <v>3</v>
      </c>
      <c r="G8" s="5"/>
      <c r="I8" s="3">
        <v>6</v>
      </c>
      <c r="J8" s="32">
        <v>46090</v>
      </c>
      <c r="K8" s="7" t="s">
        <v>52</v>
      </c>
      <c r="L8" s="8" t="s">
        <v>99</v>
      </c>
      <c r="M8" s="8">
        <v>2</v>
      </c>
      <c r="N8" s="8">
        <v>1</v>
      </c>
      <c r="O8" s="8"/>
    </row>
    <row r="9" ht="22" customHeight="1" spans="1:15">
      <c r="A9" s="13">
        <v>7</v>
      </c>
      <c r="B9" s="4">
        <v>46090</v>
      </c>
      <c r="C9" s="5" t="s">
        <v>20</v>
      </c>
      <c r="D9" s="5" t="s">
        <v>99</v>
      </c>
      <c r="E9" s="5"/>
      <c r="F9" s="5">
        <v>3</v>
      </c>
      <c r="G9" s="5"/>
      <c r="I9" s="3">
        <v>7</v>
      </c>
      <c r="J9" s="32">
        <v>46090</v>
      </c>
      <c r="K9" s="7" t="s">
        <v>54</v>
      </c>
      <c r="L9" s="8" t="s">
        <v>99</v>
      </c>
      <c r="M9" s="8">
        <v>2</v>
      </c>
      <c r="N9" s="8">
        <v>1</v>
      </c>
      <c r="O9" s="8"/>
    </row>
    <row r="10" ht="22" customHeight="1" spans="1:15">
      <c r="A10" s="13">
        <v>8</v>
      </c>
      <c r="B10" s="4">
        <v>46090</v>
      </c>
      <c r="C10" s="5" t="s">
        <v>21</v>
      </c>
      <c r="D10" s="5" t="s">
        <v>99</v>
      </c>
      <c r="E10" s="5"/>
      <c r="F10" s="5">
        <v>3</v>
      </c>
      <c r="G10" s="5"/>
      <c r="I10" s="3">
        <v>8</v>
      </c>
      <c r="J10" s="32">
        <v>46090</v>
      </c>
      <c r="K10" s="7" t="s">
        <v>56</v>
      </c>
      <c r="L10" s="8" t="s">
        <v>99</v>
      </c>
      <c r="M10" s="8">
        <v>2</v>
      </c>
      <c r="N10" s="8">
        <v>1</v>
      </c>
      <c r="O10" s="8"/>
    </row>
    <row r="11" customFormat="1" ht="22" customHeight="1" spans="1:15">
      <c r="A11" s="13">
        <v>9</v>
      </c>
      <c r="B11" s="4">
        <v>46090</v>
      </c>
      <c r="C11" s="5" t="s">
        <v>22</v>
      </c>
      <c r="D11" s="5" t="s">
        <v>99</v>
      </c>
      <c r="E11" s="5"/>
      <c r="F11" s="5">
        <v>3</v>
      </c>
      <c r="G11" s="5"/>
      <c r="I11" s="3">
        <v>9</v>
      </c>
      <c r="J11" s="32">
        <v>46090</v>
      </c>
      <c r="K11" s="7" t="s">
        <v>59</v>
      </c>
      <c r="L11" s="8" t="s">
        <v>99</v>
      </c>
      <c r="M11" s="8">
        <v>2</v>
      </c>
      <c r="N11" s="8">
        <v>1</v>
      </c>
      <c r="O11" s="8"/>
    </row>
    <row r="12" customFormat="1" ht="22" customHeight="1" spans="1:15">
      <c r="A12" s="13">
        <v>10</v>
      </c>
      <c r="B12" s="4">
        <v>46090</v>
      </c>
      <c r="C12" s="5" t="s">
        <v>23</v>
      </c>
      <c r="D12" s="5" t="s">
        <v>99</v>
      </c>
      <c r="E12" s="5"/>
      <c r="F12" s="5">
        <v>3</v>
      </c>
      <c r="G12" s="5"/>
      <c r="I12" s="3">
        <v>10</v>
      </c>
      <c r="J12" s="32">
        <v>46090</v>
      </c>
      <c r="K12" s="7" t="s">
        <v>61</v>
      </c>
      <c r="L12" s="8" t="s">
        <v>99</v>
      </c>
      <c r="M12" s="8">
        <v>3</v>
      </c>
      <c r="N12" s="8"/>
      <c r="O12" s="8" t="s">
        <v>38</v>
      </c>
    </row>
    <row r="13" customFormat="1" ht="22" customHeight="1" spans="1:15">
      <c r="A13" s="13">
        <v>11</v>
      </c>
      <c r="B13" s="19"/>
      <c r="C13" s="22"/>
      <c r="D13" s="21"/>
      <c r="E13" s="6"/>
      <c r="F13" s="10"/>
      <c r="G13" s="10"/>
      <c r="I13" s="3">
        <v>11</v>
      </c>
      <c r="J13" s="32">
        <v>46090</v>
      </c>
      <c r="K13" s="7" t="s">
        <v>63</v>
      </c>
      <c r="L13" s="8" t="s">
        <v>99</v>
      </c>
      <c r="M13" s="8">
        <v>2</v>
      </c>
      <c r="N13" s="8">
        <v>1</v>
      </c>
      <c r="O13" s="10"/>
    </row>
    <row r="14" customFormat="1" ht="22" customHeight="1" spans="1:15">
      <c r="A14" s="13">
        <v>12</v>
      </c>
      <c r="B14" s="19"/>
      <c r="C14" s="22"/>
      <c r="D14" s="21"/>
      <c r="E14" s="6"/>
      <c r="F14" s="10"/>
      <c r="G14" s="10"/>
      <c r="I14" s="3">
        <v>12</v>
      </c>
      <c r="J14" s="32">
        <v>46090</v>
      </c>
      <c r="K14" s="7" t="s">
        <v>66</v>
      </c>
      <c r="L14" s="8" t="s">
        <v>99</v>
      </c>
      <c r="M14" s="8">
        <v>2</v>
      </c>
      <c r="N14" s="8">
        <v>1</v>
      </c>
      <c r="O14" s="10"/>
    </row>
    <row r="15" customFormat="1" ht="22" customHeight="1" spans="1:15">
      <c r="A15" s="13">
        <v>13</v>
      </c>
      <c r="B15" s="19"/>
      <c r="C15" s="22"/>
      <c r="D15" s="21"/>
      <c r="E15" s="6"/>
      <c r="F15" s="10"/>
      <c r="G15" s="10"/>
      <c r="I15" s="3">
        <v>13</v>
      </c>
      <c r="J15" s="32">
        <v>46090</v>
      </c>
      <c r="K15" s="7" t="s">
        <v>68</v>
      </c>
      <c r="L15" s="8" t="s">
        <v>99</v>
      </c>
      <c r="M15" s="8">
        <v>2</v>
      </c>
      <c r="N15" s="8">
        <v>1</v>
      </c>
      <c r="O15" s="10"/>
    </row>
    <row r="16" customFormat="1" ht="22" customHeight="1" spans="1:15">
      <c r="A16" s="13">
        <v>14</v>
      </c>
      <c r="B16" s="19"/>
      <c r="C16" s="22"/>
      <c r="D16" s="21"/>
      <c r="E16" s="6"/>
      <c r="F16" s="10"/>
      <c r="G16" s="10"/>
      <c r="I16" s="3">
        <v>14</v>
      </c>
      <c r="J16" s="32">
        <v>46090</v>
      </c>
      <c r="K16" s="7" t="s">
        <v>70</v>
      </c>
      <c r="L16" s="8" t="s">
        <v>99</v>
      </c>
      <c r="M16" s="8">
        <v>2</v>
      </c>
      <c r="N16" s="8">
        <v>1</v>
      </c>
      <c r="O16" s="10"/>
    </row>
    <row r="17" customFormat="1" ht="22" customHeight="1" spans="1:15">
      <c r="A17" s="13">
        <v>15</v>
      </c>
      <c r="B17" s="19"/>
      <c r="C17" s="22"/>
      <c r="D17" s="21"/>
      <c r="E17" s="6"/>
      <c r="F17" s="10"/>
      <c r="G17" s="10"/>
      <c r="I17" s="3">
        <v>15</v>
      </c>
      <c r="J17" s="32">
        <v>46090</v>
      </c>
      <c r="K17" s="7" t="s">
        <v>72</v>
      </c>
      <c r="L17" s="8" t="s">
        <v>99</v>
      </c>
      <c r="M17" s="8">
        <v>2</v>
      </c>
      <c r="N17" s="8">
        <v>1</v>
      </c>
      <c r="O17" s="10"/>
    </row>
    <row r="18" customFormat="1" ht="22" customHeight="1" spans="1:15">
      <c r="A18" s="13">
        <v>16</v>
      </c>
      <c r="B18" s="19"/>
      <c r="C18" s="22"/>
      <c r="D18" s="21"/>
      <c r="E18" s="6"/>
      <c r="F18" s="10"/>
      <c r="G18" s="10"/>
      <c r="I18" s="3">
        <v>16</v>
      </c>
      <c r="J18" s="32">
        <v>46090</v>
      </c>
      <c r="K18" s="7" t="s">
        <v>74</v>
      </c>
      <c r="L18" s="8" t="s">
        <v>99</v>
      </c>
      <c r="M18" s="8">
        <v>2</v>
      </c>
      <c r="N18" s="8">
        <v>1</v>
      </c>
      <c r="O18" s="10"/>
    </row>
    <row r="19" customFormat="1" ht="22" customHeight="1" spans="1:15">
      <c r="A19" s="13">
        <v>17</v>
      </c>
      <c r="B19" s="19"/>
      <c r="C19" s="22"/>
      <c r="D19" s="21"/>
      <c r="E19" s="6"/>
      <c r="F19" s="10"/>
      <c r="G19" s="10"/>
      <c r="I19" s="3">
        <v>17</v>
      </c>
      <c r="J19" s="32">
        <v>46090</v>
      </c>
      <c r="K19" s="7" t="s">
        <v>76</v>
      </c>
      <c r="L19" s="8" t="s">
        <v>99</v>
      </c>
      <c r="M19" s="8">
        <v>2</v>
      </c>
      <c r="N19" s="8">
        <v>1</v>
      </c>
      <c r="O19" s="10"/>
    </row>
    <row r="20" customFormat="1" ht="22" customHeight="1" spans="1:15">
      <c r="A20" s="13">
        <v>18</v>
      </c>
      <c r="B20" s="19"/>
      <c r="C20" s="22"/>
      <c r="D20" s="21"/>
      <c r="E20" s="6"/>
      <c r="F20" s="10"/>
      <c r="G20" s="10"/>
      <c r="I20" s="3">
        <v>18</v>
      </c>
      <c r="J20" s="32">
        <v>46090</v>
      </c>
      <c r="K20" s="7" t="s">
        <v>78</v>
      </c>
      <c r="L20" s="8" t="s">
        <v>99</v>
      </c>
      <c r="M20" s="8">
        <v>2</v>
      </c>
      <c r="N20" s="8">
        <v>1</v>
      </c>
      <c r="O20" s="10" t="s">
        <v>101</v>
      </c>
    </row>
    <row r="21" customFormat="1" ht="22" customHeight="1" spans="1:15">
      <c r="A21" s="13">
        <v>19</v>
      </c>
      <c r="B21" s="19"/>
      <c r="C21" s="22"/>
      <c r="D21" s="21"/>
      <c r="E21" s="6"/>
      <c r="F21" s="10"/>
      <c r="G21" s="10"/>
      <c r="I21" s="3">
        <v>19</v>
      </c>
      <c r="J21" s="19"/>
      <c r="K21" s="25"/>
      <c r="L21" s="24"/>
      <c r="M21" s="6"/>
      <c r="N21" s="10"/>
      <c r="O21" s="10"/>
    </row>
    <row r="22" customFormat="1" ht="22" customHeight="1" spans="1:15">
      <c r="A22" s="13">
        <v>20</v>
      </c>
      <c r="B22" s="19"/>
      <c r="C22" s="22"/>
      <c r="D22" s="21"/>
      <c r="E22" s="6"/>
      <c r="F22" s="10"/>
      <c r="G22" s="10"/>
      <c r="I22" s="3">
        <v>20</v>
      </c>
      <c r="J22" s="19"/>
      <c r="K22" s="25"/>
      <c r="L22" s="24"/>
      <c r="M22" s="6"/>
      <c r="N22" s="10"/>
      <c r="O22" s="10"/>
    </row>
    <row r="23" customFormat="1" ht="22" customHeight="1" spans="1:15">
      <c r="A23" s="13">
        <v>21</v>
      </c>
      <c r="B23" s="19"/>
      <c r="C23" s="22"/>
      <c r="D23" s="21"/>
      <c r="E23" s="6"/>
      <c r="F23" s="10"/>
      <c r="G23" s="10"/>
      <c r="I23" s="3">
        <v>21</v>
      </c>
      <c r="J23" s="19"/>
      <c r="K23" s="25"/>
      <c r="L23" s="24"/>
      <c r="M23" s="6"/>
      <c r="N23" s="10"/>
      <c r="O23" s="10"/>
    </row>
    <row r="24" customFormat="1" ht="22" customHeight="1" spans="1:15">
      <c r="A24" s="13"/>
      <c r="B24" s="19"/>
      <c r="C24" s="22"/>
      <c r="D24" s="21"/>
      <c r="E24" s="6"/>
      <c r="F24" s="10"/>
      <c r="G24" s="10"/>
      <c r="I24" s="26"/>
      <c r="J24" s="26"/>
      <c r="K24" s="26"/>
      <c r="L24" s="26"/>
      <c r="M24" s="26"/>
      <c r="N24" s="26"/>
      <c r="O24" s="26"/>
    </row>
    <row r="25" customFormat="1" ht="22" customHeight="1" spans="1:15">
      <c r="A25" s="13"/>
      <c r="B25" s="27"/>
      <c r="C25" s="22"/>
      <c r="D25" s="28"/>
      <c r="E25" s="29"/>
      <c r="F25" s="30"/>
      <c r="G25" s="30"/>
      <c r="I25" s="26"/>
      <c r="J25" s="26"/>
      <c r="K25" s="26"/>
      <c r="L25" s="26"/>
      <c r="M25" s="26"/>
      <c r="N25" s="26"/>
      <c r="O25" s="26"/>
    </row>
    <row r="26" ht="13.5" spans="1:15">
      <c r="E26" s="31">
        <f>SUM(E3:E25)</f>
        <v>6</v>
      </c>
      <c r="F26" s="31">
        <f>SUM(F3:F25)</f>
        <v>24</v>
      </c>
      <c r="M26">
        <f>SUM(M3:M25)</f>
        <v>34</v>
      </c>
      <c r="N26">
        <f>SUM(N3:N25)</f>
        <v>17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J23" sqref="J23"/>
    </sheetView>
  </sheetViews>
  <sheetFormatPr defaultColWidth="9.14285714285714" defaultRowHeight="12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  <col min="10" max="10" width="12.4285714285714" customWidth="1"/>
    <col min="11" max="11" width="11.1428571428571" customWidth="1"/>
    <col min="12" max="12" width="11" customWidth="1"/>
    <col min="13" max="13" width="10.5714285714286" customWidth="1"/>
  </cols>
  <sheetData>
    <row r="1" ht="22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ht="2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ht="22" customHeight="1" spans="1:15">
      <c r="A3" s="3">
        <v>1</v>
      </c>
      <c r="B3" s="4">
        <v>46093</v>
      </c>
      <c r="C3" s="5" t="s">
        <v>13</v>
      </c>
      <c r="D3" s="5" t="s">
        <v>102</v>
      </c>
      <c r="E3" s="5">
        <v>2</v>
      </c>
      <c r="F3" s="5"/>
      <c r="G3" s="6"/>
      <c r="I3" s="3">
        <v>1</v>
      </c>
      <c r="J3" s="32">
        <v>46093</v>
      </c>
      <c r="K3" s="7" t="s">
        <v>43</v>
      </c>
      <c r="L3" s="8" t="s">
        <v>102</v>
      </c>
      <c r="M3" s="8">
        <v>2</v>
      </c>
      <c r="N3" s="8"/>
      <c r="O3" s="8"/>
    </row>
    <row r="4" ht="22" customHeight="1" spans="1:15">
      <c r="A4" s="3">
        <v>2</v>
      </c>
      <c r="B4" s="4">
        <v>46093</v>
      </c>
      <c r="C4" s="5" t="s">
        <v>15</v>
      </c>
      <c r="D4" s="5" t="s">
        <v>102</v>
      </c>
      <c r="E4" s="5">
        <v>2</v>
      </c>
      <c r="F4" s="5"/>
      <c r="G4" s="9"/>
      <c r="I4" s="3">
        <v>2</v>
      </c>
      <c r="J4" s="32">
        <v>46093</v>
      </c>
      <c r="K4" s="7" t="s">
        <v>45</v>
      </c>
      <c r="L4" s="8" t="s">
        <v>102</v>
      </c>
      <c r="M4" s="8"/>
      <c r="N4" s="8">
        <v>2</v>
      </c>
      <c r="O4" s="8" t="s">
        <v>100</v>
      </c>
    </row>
    <row r="5" ht="22" customHeight="1" spans="1:15">
      <c r="A5" s="3">
        <v>3</v>
      </c>
      <c r="B5" s="4">
        <v>46093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32">
        <v>46093</v>
      </c>
      <c r="K5" s="7" t="s">
        <v>48</v>
      </c>
      <c r="L5" s="8" t="s">
        <v>102</v>
      </c>
      <c r="M5" s="8">
        <v>1</v>
      </c>
      <c r="N5" s="8">
        <v>1</v>
      </c>
      <c r="O5" s="8"/>
    </row>
    <row r="6" ht="22" customHeight="1" spans="1:15">
      <c r="A6" s="3">
        <v>4</v>
      </c>
      <c r="B6" s="4">
        <v>46093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32">
        <v>46093</v>
      </c>
      <c r="K6" s="7" t="s">
        <v>50</v>
      </c>
      <c r="L6" s="8" t="s">
        <v>102</v>
      </c>
      <c r="M6" s="8">
        <v>1</v>
      </c>
      <c r="N6" s="8">
        <v>1</v>
      </c>
      <c r="O6" s="8"/>
    </row>
    <row r="7" ht="22" customHeight="1" spans="1:15">
      <c r="A7" s="3">
        <v>5</v>
      </c>
      <c r="B7" s="4">
        <v>46093</v>
      </c>
      <c r="C7" s="5" t="s">
        <v>18</v>
      </c>
      <c r="D7" s="5" t="s">
        <v>102</v>
      </c>
      <c r="E7" s="5"/>
      <c r="F7" s="5">
        <v>2</v>
      </c>
      <c r="G7" s="9"/>
      <c r="I7" s="3"/>
      <c r="J7" s="32"/>
      <c r="K7" s="7"/>
      <c r="L7" s="8"/>
      <c r="M7" s="8"/>
      <c r="N7" s="8"/>
      <c r="O7" s="8"/>
    </row>
    <row r="8" ht="22" customHeight="1" spans="1:15">
      <c r="A8" s="3">
        <v>6</v>
      </c>
      <c r="B8" s="4">
        <v>46093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32">
        <v>46093</v>
      </c>
      <c r="K8" s="7" t="s">
        <v>52</v>
      </c>
      <c r="L8" s="8" t="s">
        <v>102</v>
      </c>
      <c r="M8" s="8">
        <v>1</v>
      </c>
      <c r="N8" s="8">
        <v>1</v>
      </c>
      <c r="O8" s="8"/>
    </row>
    <row r="9" ht="22" customHeight="1" spans="1:15">
      <c r="A9" s="3">
        <v>7</v>
      </c>
      <c r="B9" s="4">
        <v>46093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32">
        <v>46093</v>
      </c>
      <c r="K9" s="7" t="s">
        <v>54</v>
      </c>
      <c r="L9" s="8" t="s">
        <v>102</v>
      </c>
      <c r="M9" s="8">
        <v>1</v>
      </c>
      <c r="N9" s="8">
        <v>1</v>
      </c>
      <c r="O9" s="8"/>
    </row>
    <row r="10" ht="22" customHeight="1" spans="1:15">
      <c r="A10" s="12">
        <v>8</v>
      </c>
      <c r="B10" s="4">
        <v>46093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32">
        <v>46093</v>
      </c>
      <c r="K10" s="7" t="s">
        <v>56</v>
      </c>
      <c r="L10" s="8" t="s">
        <v>102</v>
      </c>
      <c r="M10" s="8">
        <v>1</v>
      </c>
      <c r="N10" s="8">
        <v>1</v>
      </c>
      <c r="O10" s="8"/>
    </row>
    <row r="11" ht="22" customHeight="1" spans="1:15">
      <c r="A11" s="13">
        <v>9</v>
      </c>
      <c r="B11" s="4">
        <v>46093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32">
        <v>46093</v>
      </c>
      <c r="K11" s="7" t="s">
        <v>59</v>
      </c>
      <c r="L11" s="8" t="s">
        <v>102</v>
      </c>
      <c r="M11" s="8">
        <v>1</v>
      </c>
      <c r="N11" s="8">
        <v>1</v>
      </c>
      <c r="O11" s="8"/>
    </row>
    <row r="12" ht="22" customHeight="1" spans="1:15">
      <c r="A12" s="13">
        <v>10</v>
      </c>
      <c r="B12" s="4">
        <v>46093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32">
        <v>46093</v>
      </c>
      <c r="K12" s="7" t="s">
        <v>61</v>
      </c>
      <c r="L12" s="8" t="s">
        <v>102</v>
      </c>
      <c r="M12" s="8">
        <v>2</v>
      </c>
      <c r="N12" s="8"/>
      <c r="O12" s="8" t="s">
        <v>38</v>
      </c>
    </row>
    <row r="13" ht="22" customHeight="1" spans="1:15">
      <c r="A13" s="13">
        <v>11</v>
      </c>
      <c r="B13" s="19"/>
      <c r="C13" s="33"/>
      <c r="D13" s="21"/>
      <c r="E13" s="6"/>
      <c r="F13" s="10"/>
      <c r="G13" s="10"/>
      <c r="I13" s="3">
        <v>11</v>
      </c>
      <c r="J13" s="32">
        <v>46093</v>
      </c>
      <c r="K13" s="7" t="s">
        <v>63</v>
      </c>
      <c r="L13" s="8" t="s">
        <v>102</v>
      </c>
      <c r="M13" s="8">
        <v>1</v>
      </c>
      <c r="N13" s="8">
        <v>1</v>
      </c>
      <c r="O13" s="10"/>
    </row>
    <row r="14" ht="22" customHeight="1" spans="1:15">
      <c r="A14" s="13">
        <v>12</v>
      </c>
      <c r="B14" s="19"/>
      <c r="C14" s="33"/>
      <c r="D14" s="21"/>
      <c r="E14" s="6"/>
      <c r="F14" s="10"/>
      <c r="G14" s="10"/>
      <c r="I14" s="3">
        <v>12</v>
      </c>
      <c r="J14" s="32">
        <v>46093</v>
      </c>
      <c r="K14" s="7" t="s">
        <v>66</v>
      </c>
      <c r="L14" s="8" t="s">
        <v>102</v>
      </c>
      <c r="M14" s="8">
        <v>1</v>
      </c>
      <c r="N14" s="8">
        <v>1</v>
      </c>
      <c r="O14" s="10"/>
    </row>
    <row r="15" ht="22" customHeight="1" spans="1:15">
      <c r="A15" s="13">
        <v>13</v>
      </c>
      <c r="B15" s="19"/>
      <c r="C15" s="33"/>
      <c r="D15" s="21"/>
      <c r="E15" s="6"/>
      <c r="F15" s="10"/>
      <c r="G15" s="10"/>
      <c r="I15" s="3">
        <v>13</v>
      </c>
      <c r="J15" s="32">
        <v>46093</v>
      </c>
      <c r="K15" s="7" t="s">
        <v>68</v>
      </c>
      <c r="L15" s="8" t="s">
        <v>102</v>
      </c>
      <c r="M15" s="8">
        <v>1</v>
      </c>
      <c r="N15" s="8">
        <v>1</v>
      </c>
      <c r="O15" s="10"/>
    </row>
    <row r="16" ht="22" customHeight="1" spans="1:15">
      <c r="A16" s="13">
        <v>14</v>
      </c>
      <c r="B16" s="19"/>
      <c r="C16" s="33"/>
      <c r="D16" s="21"/>
      <c r="E16" s="6"/>
      <c r="F16" s="10"/>
      <c r="G16" s="10"/>
      <c r="I16" s="3">
        <v>14</v>
      </c>
      <c r="J16" s="32">
        <v>46093</v>
      </c>
      <c r="K16" s="7" t="s">
        <v>70</v>
      </c>
      <c r="L16" s="8" t="s">
        <v>102</v>
      </c>
      <c r="M16" s="8">
        <v>1</v>
      </c>
      <c r="N16" s="8">
        <v>1</v>
      </c>
      <c r="O16" s="10"/>
    </row>
    <row r="17" ht="22" customHeight="1" spans="1:15">
      <c r="A17" s="13">
        <v>15</v>
      </c>
      <c r="B17" s="19"/>
      <c r="C17" s="22"/>
      <c r="D17" s="21"/>
      <c r="E17" s="6"/>
      <c r="F17" s="10"/>
      <c r="G17" s="10"/>
      <c r="I17" s="3">
        <v>15</v>
      </c>
      <c r="J17" s="32">
        <v>46093</v>
      </c>
      <c r="K17" s="7" t="s">
        <v>72</v>
      </c>
      <c r="L17" s="8" t="s">
        <v>102</v>
      </c>
      <c r="M17" s="8">
        <v>1</v>
      </c>
      <c r="N17" s="8">
        <v>1</v>
      </c>
      <c r="O17" s="10"/>
    </row>
    <row r="18" ht="22" customHeight="1" spans="1:15">
      <c r="A18" s="13">
        <v>16</v>
      </c>
      <c r="B18" s="19"/>
      <c r="C18" s="22"/>
      <c r="D18" s="21"/>
      <c r="E18" s="6"/>
      <c r="F18" s="10"/>
      <c r="G18" s="10"/>
      <c r="I18" s="3">
        <v>16</v>
      </c>
      <c r="J18" s="32">
        <v>46093</v>
      </c>
      <c r="K18" s="7" t="s">
        <v>74</v>
      </c>
      <c r="L18" s="8" t="s">
        <v>102</v>
      </c>
      <c r="M18" s="8">
        <v>1</v>
      </c>
      <c r="N18" s="8">
        <v>1</v>
      </c>
      <c r="O18" s="10"/>
    </row>
    <row r="19" ht="22" customHeight="1" spans="1:15">
      <c r="A19" s="13">
        <v>17</v>
      </c>
      <c r="B19" s="19"/>
      <c r="C19" s="22"/>
      <c r="D19" s="21"/>
      <c r="E19" s="6"/>
      <c r="F19" s="10"/>
      <c r="G19" s="10"/>
      <c r="I19" s="3">
        <v>17</v>
      </c>
      <c r="J19" s="32">
        <v>46093</v>
      </c>
      <c r="K19" s="7" t="s">
        <v>76</v>
      </c>
      <c r="L19" s="8" t="s">
        <v>102</v>
      </c>
      <c r="M19" s="8">
        <v>1</v>
      </c>
      <c r="N19" s="8">
        <v>1</v>
      </c>
      <c r="O19" s="10"/>
    </row>
    <row r="20" ht="22" customHeight="1" spans="1:15">
      <c r="A20" s="13">
        <v>18</v>
      </c>
      <c r="B20" s="19"/>
      <c r="C20" s="22"/>
      <c r="D20" s="21"/>
      <c r="E20" s="6"/>
      <c r="F20" s="10"/>
      <c r="G20" s="10"/>
      <c r="I20" s="3">
        <v>18</v>
      </c>
      <c r="J20" s="32">
        <v>46093</v>
      </c>
      <c r="K20" s="7" t="s">
        <v>78</v>
      </c>
      <c r="L20" s="8" t="s">
        <v>102</v>
      </c>
      <c r="M20" s="8">
        <v>1</v>
      </c>
      <c r="N20" s="8">
        <v>1</v>
      </c>
      <c r="O20" s="10" t="s">
        <v>101</v>
      </c>
    </row>
    <row r="21" ht="22" customHeight="1" spans="1:15">
      <c r="A21" s="13">
        <v>19</v>
      </c>
      <c r="B21" s="19"/>
      <c r="C21" s="22"/>
      <c r="D21" s="21"/>
      <c r="E21" s="6"/>
      <c r="F21" s="10"/>
      <c r="G21" s="10"/>
      <c r="I21" s="3">
        <v>19</v>
      </c>
      <c r="J21" s="19"/>
      <c r="K21" s="25"/>
      <c r="L21" s="24"/>
      <c r="M21" s="6"/>
      <c r="N21" s="10"/>
      <c r="O21" s="10"/>
    </row>
    <row r="22" ht="22" customHeight="1" spans="1:15">
      <c r="A22" s="13">
        <v>20</v>
      </c>
      <c r="B22" s="19"/>
      <c r="C22" s="22"/>
      <c r="D22" s="21"/>
      <c r="E22" s="6"/>
      <c r="F22" s="10"/>
      <c r="G22" s="10"/>
      <c r="I22" s="3">
        <v>20</v>
      </c>
      <c r="J22" s="19"/>
      <c r="K22" s="25"/>
      <c r="L22" s="24"/>
      <c r="M22" s="6"/>
      <c r="N22" s="10"/>
      <c r="O22" s="10"/>
    </row>
    <row r="23" ht="22" customHeight="1" spans="1:15">
      <c r="A23" s="13">
        <v>21</v>
      </c>
      <c r="B23" s="19"/>
      <c r="C23" s="22"/>
      <c r="D23" s="21"/>
      <c r="E23" s="6"/>
      <c r="F23" s="10"/>
      <c r="G23" s="10"/>
      <c r="I23" s="3">
        <v>21</v>
      </c>
      <c r="J23" s="19"/>
      <c r="K23" s="25"/>
      <c r="L23" s="24"/>
      <c r="M23" s="6"/>
      <c r="N23" s="10"/>
      <c r="O23" s="10"/>
    </row>
    <row r="24" ht="22" customHeight="1" spans="1:15">
      <c r="A24" s="13"/>
      <c r="B24" s="19"/>
      <c r="C24" s="22"/>
      <c r="D24" s="21"/>
      <c r="E24" s="6"/>
      <c r="F24" s="10"/>
      <c r="G24" s="10"/>
      <c r="I24" s="26"/>
      <c r="J24" s="26"/>
      <c r="K24" s="26"/>
      <c r="L24" s="26"/>
      <c r="M24" s="26"/>
      <c r="N24" s="26"/>
      <c r="O24" s="26"/>
    </row>
    <row r="25" ht="22" customHeight="1" spans="1:15">
      <c r="A25" s="13"/>
      <c r="B25" s="27"/>
      <c r="C25" s="22"/>
      <c r="D25" s="28"/>
      <c r="E25" s="29"/>
      <c r="F25" s="30"/>
      <c r="G25" s="30"/>
      <c r="I25" s="26"/>
      <c r="J25" s="26"/>
      <c r="K25" s="26"/>
      <c r="L25" s="26"/>
      <c r="M25" s="26"/>
      <c r="N25" s="26"/>
      <c r="O25" s="26"/>
    </row>
    <row r="26" ht="25" customHeight="1" spans="1:15">
      <c r="E26" s="31">
        <f>SUM(E3:E25)</f>
        <v>4</v>
      </c>
      <c r="F26" s="31">
        <f>SUM(F3:F25)</f>
        <v>16</v>
      </c>
      <c r="M26">
        <f>SUM(M3:M25)</f>
        <v>18</v>
      </c>
      <c r="N26">
        <f>SUM(N3:N25)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R12" sqref="R12"/>
    </sheetView>
  </sheetViews>
  <sheetFormatPr defaultColWidth="9.14285714285714" defaultRowHeight="28" customHeight="1"/>
  <cols>
    <col min="2" max="2" width="15.4285714285714" customWidth="1"/>
    <col min="3" max="3" width="12.1428571428571" customWidth="1"/>
    <col min="4" max="4" width="13.2857142857143" customWidth="1"/>
    <col min="7" max="7" width="11.4285714285714" customWidth="1"/>
    <col min="10" max="10" width="14.8571428571429" customWidth="1"/>
    <col min="11" max="11" width="12.4285714285714" customWidth="1"/>
    <col min="12" max="12" width="12" customWidth="1"/>
    <col min="15" max="15" width="12.4285714285714" customWidth="1"/>
  </cols>
  <sheetData>
    <row r="1" ht="32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s="14" customFormat="1" customHeight="1" spans="1:15">
      <c r="A3" s="3">
        <v>1</v>
      </c>
      <c r="B3" s="15">
        <v>46097</v>
      </c>
      <c r="C3" s="16" t="s">
        <v>13</v>
      </c>
      <c r="D3" s="16" t="s">
        <v>99</v>
      </c>
      <c r="E3" s="16">
        <v>3</v>
      </c>
      <c r="F3" s="16"/>
      <c r="G3" s="6"/>
      <c r="I3" s="3">
        <v>1</v>
      </c>
      <c r="J3" s="17">
        <v>46097</v>
      </c>
      <c r="K3" s="18" t="s">
        <v>43</v>
      </c>
      <c r="L3" s="3" t="s">
        <v>99</v>
      </c>
      <c r="M3" s="3">
        <v>3</v>
      </c>
      <c r="N3" s="3"/>
      <c r="O3" s="3"/>
    </row>
    <row r="4" s="14" customFormat="1" customHeight="1" spans="1:15">
      <c r="A4" s="3">
        <v>2</v>
      </c>
      <c r="B4" s="15">
        <v>46097</v>
      </c>
      <c r="C4" s="16" t="s">
        <v>15</v>
      </c>
      <c r="D4" s="16" t="s">
        <v>99</v>
      </c>
      <c r="E4" s="16">
        <v>3</v>
      </c>
      <c r="F4" s="16"/>
      <c r="G4" s="9"/>
      <c r="I4" s="3">
        <v>2</v>
      </c>
      <c r="J4" s="17">
        <v>46097</v>
      </c>
      <c r="K4" s="18" t="s">
        <v>45</v>
      </c>
      <c r="L4" s="3" t="s">
        <v>99</v>
      </c>
      <c r="M4" s="3"/>
      <c r="N4" s="3">
        <v>3</v>
      </c>
      <c r="O4" s="3" t="s">
        <v>100</v>
      </c>
    </row>
    <row r="5" s="14" customFormat="1" customHeight="1" spans="1:15">
      <c r="A5" s="3">
        <v>3</v>
      </c>
      <c r="B5" s="15">
        <v>46097</v>
      </c>
      <c r="C5" s="16" t="s">
        <v>16</v>
      </c>
      <c r="D5" s="16" t="s">
        <v>99</v>
      </c>
      <c r="E5" s="16"/>
      <c r="F5" s="16">
        <v>3</v>
      </c>
      <c r="G5" s="9"/>
      <c r="I5" s="3">
        <v>3</v>
      </c>
      <c r="J5" s="17">
        <v>46097</v>
      </c>
      <c r="K5" s="18" t="s">
        <v>48</v>
      </c>
      <c r="L5" s="3" t="s">
        <v>99</v>
      </c>
      <c r="M5" s="3">
        <v>2</v>
      </c>
      <c r="N5" s="3">
        <v>1</v>
      </c>
      <c r="O5" s="3"/>
    </row>
    <row r="6" s="14" customFormat="1" customHeight="1" spans="1:15">
      <c r="A6" s="3">
        <v>4</v>
      </c>
      <c r="B6" s="15">
        <v>46097</v>
      </c>
      <c r="C6" s="16" t="s">
        <v>17</v>
      </c>
      <c r="D6" s="16" t="s">
        <v>99</v>
      </c>
      <c r="E6" s="16"/>
      <c r="F6" s="16">
        <v>3</v>
      </c>
      <c r="G6" s="9"/>
      <c r="I6" s="3">
        <v>4</v>
      </c>
      <c r="J6" s="17">
        <v>46097</v>
      </c>
      <c r="K6" s="18" t="s">
        <v>50</v>
      </c>
      <c r="L6" s="3" t="s">
        <v>99</v>
      </c>
      <c r="M6" s="3">
        <v>2</v>
      </c>
      <c r="N6" s="3">
        <v>1</v>
      </c>
      <c r="O6" s="3"/>
    </row>
    <row r="7" s="14" customFormat="1" customHeight="1" spans="1:15">
      <c r="A7" s="3">
        <v>5</v>
      </c>
      <c r="B7" s="15">
        <v>46097</v>
      </c>
      <c r="C7" s="16" t="s">
        <v>18</v>
      </c>
      <c r="D7" s="16" t="s">
        <v>99</v>
      </c>
      <c r="E7" s="16"/>
      <c r="F7" s="16">
        <v>3</v>
      </c>
      <c r="G7" s="9"/>
      <c r="I7" s="3">
        <v>5</v>
      </c>
      <c r="J7" s="17">
        <v>46097</v>
      </c>
      <c r="K7" s="18" t="s">
        <v>52</v>
      </c>
      <c r="L7" s="3" t="s">
        <v>99</v>
      </c>
      <c r="M7" s="3">
        <v>2</v>
      </c>
      <c r="N7" s="3">
        <v>1</v>
      </c>
      <c r="O7" s="3"/>
    </row>
    <row r="8" s="14" customFormat="1" customHeight="1" spans="1:15">
      <c r="A8" s="3">
        <v>6</v>
      </c>
      <c r="B8" s="15">
        <v>46097</v>
      </c>
      <c r="C8" s="16" t="s">
        <v>19</v>
      </c>
      <c r="D8" s="16" t="s">
        <v>99</v>
      </c>
      <c r="E8" s="16"/>
      <c r="F8" s="16">
        <v>3</v>
      </c>
      <c r="G8" s="9"/>
      <c r="I8" s="3">
        <v>6</v>
      </c>
      <c r="J8" s="17">
        <v>46097</v>
      </c>
      <c r="K8" s="18" t="s">
        <v>54</v>
      </c>
      <c r="L8" s="3" t="s">
        <v>99</v>
      </c>
      <c r="M8" s="3">
        <v>2</v>
      </c>
      <c r="N8" s="3">
        <v>1</v>
      </c>
      <c r="O8" s="3"/>
    </row>
    <row r="9" s="14" customFormat="1" customHeight="1" spans="1:15">
      <c r="A9" s="3">
        <v>7</v>
      </c>
      <c r="B9" s="15">
        <v>46097</v>
      </c>
      <c r="C9" s="16" t="s">
        <v>20</v>
      </c>
      <c r="D9" s="16" t="s">
        <v>99</v>
      </c>
      <c r="E9" s="16"/>
      <c r="F9" s="16">
        <v>3</v>
      </c>
      <c r="G9" s="10"/>
      <c r="I9" s="3">
        <v>7</v>
      </c>
      <c r="J9" s="17">
        <v>46097</v>
      </c>
      <c r="K9" s="18" t="s">
        <v>56</v>
      </c>
      <c r="L9" s="3" t="s">
        <v>99</v>
      </c>
      <c r="M9" s="3">
        <v>2</v>
      </c>
      <c r="N9" s="3">
        <v>1</v>
      </c>
      <c r="O9" s="3"/>
    </row>
    <row r="10" s="14" customFormat="1" customHeight="1" spans="1:15">
      <c r="A10" s="12">
        <v>8</v>
      </c>
      <c r="B10" s="15">
        <v>46097</v>
      </c>
      <c r="C10" s="16" t="s">
        <v>21</v>
      </c>
      <c r="D10" s="16" t="s">
        <v>99</v>
      </c>
      <c r="E10" s="16"/>
      <c r="F10" s="16">
        <v>3</v>
      </c>
      <c r="G10" s="11"/>
      <c r="I10" s="3">
        <v>8</v>
      </c>
      <c r="J10" s="17">
        <v>46097</v>
      </c>
      <c r="K10" s="18" t="s">
        <v>59</v>
      </c>
      <c r="L10" s="3" t="s">
        <v>99</v>
      </c>
      <c r="M10" s="3">
        <v>2</v>
      </c>
      <c r="N10" s="3">
        <v>1</v>
      </c>
      <c r="O10" s="3"/>
    </row>
    <row r="11" s="14" customFormat="1" customHeight="1" spans="1:15">
      <c r="A11" s="13">
        <v>9</v>
      </c>
      <c r="B11" s="15">
        <v>46097</v>
      </c>
      <c r="C11" s="16" t="s">
        <v>22</v>
      </c>
      <c r="D11" s="16" t="s">
        <v>99</v>
      </c>
      <c r="E11" s="16"/>
      <c r="F11" s="16">
        <v>3</v>
      </c>
      <c r="G11" s="10"/>
      <c r="I11" s="3">
        <v>9</v>
      </c>
      <c r="J11" s="17">
        <v>46097</v>
      </c>
      <c r="K11" s="18" t="s">
        <v>61</v>
      </c>
      <c r="L11" s="3" t="s">
        <v>99</v>
      </c>
      <c r="M11" s="3">
        <v>3</v>
      </c>
      <c r="N11" s="3"/>
      <c r="O11" s="3" t="s">
        <v>38</v>
      </c>
    </row>
    <row r="12" s="14" customFormat="1" customHeight="1" spans="1:15">
      <c r="A12" s="13">
        <v>10</v>
      </c>
      <c r="B12" s="15">
        <v>46097</v>
      </c>
      <c r="C12" s="16" t="s">
        <v>23</v>
      </c>
      <c r="D12" s="16" t="s">
        <v>99</v>
      </c>
      <c r="E12" s="16"/>
      <c r="F12" s="16">
        <v>3</v>
      </c>
      <c r="G12" s="10"/>
      <c r="I12" s="3">
        <v>10</v>
      </c>
      <c r="J12" s="17">
        <v>46097</v>
      </c>
      <c r="K12" s="18" t="s">
        <v>63</v>
      </c>
      <c r="L12" s="3" t="s">
        <v>99</v>
      </c>
      <c r="M12" s="3">
        <v>2</v>
      </c>
      <c r="N12" s="3">
        <v>1</v>
      </c>
      <c r="O12" s="10"/>
    </row>
    <row r="13" s="14" customFormat="1" customHeight="1" spans="1:15">
      <c r="A13" s="13">
        <v>11</v>
      </c>
      <c r="B13" s="19"/>
      <c r="C13" s="20"/>
      <c r="D13" s="21"/>
      <c r="E13" s="6"/>
      <c r="F13" s="10"/>
      <c r="G13" s="10"/>
      <c r="I13" s="3">
        <v>11</v>
      </c>
      <c r="J13" s="17">
        <v>46097</v>
      </c>
      <c r="K13" s="18" t="s">
        <v>66</v>
      </c>
      <c r="L13" s="3" t="s">
        <v>99</v>
      </c>
      <c r="M13" s="3">
        <v>2</v>
      </c>
      <c r="N13" s="3">
        <v>1</v>
      </c>
      <c r="O13" s="10"/>
    </row>
    <row r="14" s="14" customFormat="1" customHeight="1" spans="1:15">
      <c r="A14" s="13">
        <v>12</v>
      </c>
      <c r="B14" s="19"/>
      <c r="C14" s="20"/>
      <c r="D14" s="21"/>
      <c r="E14" s="6"/>
      <c r="F14" s="10"/>
      <c r="G14" s="10"/>
      <c r="I14" s="3">
        <v>12</v>
      </c>
      <c r="J14" s="17">
        <v>46097</v>
      </c>
      <c r="K14" s="18" t="s">
        <v>68</v>
      </c>
      <c r="L14" s="3" t="s">
        <v>99</v>
      </c>
      <c r="M14" s="3">
        <v>2</v>
      </c>
      <c r="N14" s="3">
        <v>1</v>
      </c>
      <c r="O14" s="10"/>
    </row>
    <row r="15" s="14" customFormat="1" customHeight="1" spans="1:15">
      <c r="A15" s="13">
        <v>13</v>
      </c>
      <c r="B15" s="19"/>
      <c r="C15" s="20"/>
      <c r="D15" s="21"/>
      <c r="E15" s="6"/>
      <c r="F15" s="10"/>
      <c r="G15" s="10"/>
      <c r="I15" s="3">
        <v>13</v>
      </c>
      <c r="J15" s="17">
        <v>46097</v>
      </c>
      <c r="K15" s="18" t="s">
        <v>70</v>
      </c>
      <c r="L15" s="3" t="s">
        <v>99</v>
      </c>
      <c r="M15" s="3">
        <v>2</v>
      </c>
      <c r="N15" s="3">
        <v>1</v>
      </c>
      <c r="O15" s="10"/>
    </row>
    <row r="16" s="14" customFormat="1" customHeight="1" spans="1:15">
      <c r="A16" s="13">
        <v>14</v>
      </c>
      <c r="B16" s="19"/>
      <c r="C16" s="20"/>
      <c r="D16" s="21"/>
      <c r="E16" s="6"/>
      <c r="F16" s="10"/>
      <c r="G16" s="10"/>
      <c r="I16" s="3">
        <v>14</v>
      </c>
      <c r="J16" s="17">
        <v>46097</v>
      </c>
      <c r="K16" s="18" t="s">
        <v>72</v>
      </c>
      <c r="L16" s="3" t="s">
        <v>99</v>
      </c>
      <c r="M16" s="3">
        <v>2</v>
      </c>
      <c r="N16" s="3">
        <v>1</v>
      </c>
      <c r="O16" s="10"/>
    </row>
    <row r="17" s="14" customFormat="1" customHeight="1" spans="1:15">
      <c r="A17" s="13">
        <v>15</v>
      </c>
      <c r="B17" s="19"/>
      <c r="C17" s="22"/>
      <c r="D17" s="21"/>
      <c r="E17" s="6"/>
      <c r="F17" s="10"/>
      <c r="G17" s="10"/>
      <c r="I17" s="3">
        <v>15</v>
      </c>
      <c r="J17" s="17">
        <v>46097</v>
      </c>
      <c r="K17" s="18" t="s">
        <v>74</v>
      </c>
      <c r="L17" s="3" t="s">
        <v>99</v>
      </c>
      <c r="M17" s="3">
        <v>2</v>
      </c>
      <c r="N17" s="3">
        <v>1</v>
      </c>
      <c r="O17" s="10"/>
    </row>
    <row r="18" s="14" customFormat="1" customHeight="1" spans="1:15">
      <c r="A18" s="13">
        <v>16</v>
      </c>
      <c r="B18" s="19"/>
      <c r="C18" s="22"/>
      <c r="D18" s="21"/>
      <c r="E18" s="6"/>
      <c r="F18" s="10"/>
      <c r="G18" s="10"/>
      <c r="I18" s="3">
        <v>16</v>
      </c>
      <c r="J18" s="17">
        <v>46097</v>
      </c>
      <c r="K18" s="18" t="s">
        <v>76</v>
      </c>
      <c r="L18" s="3" t="s">
        <v>99</v>
      </c>
      <c r="M18" s="3">
        <v>2</v>
      </c>
      <c r="N18" s="3">
        <v>1</v>
      </c>
      <c r="O18" s="10"/>
    </row>
    <row r="19" s="14" customFormat="1" customHeight="1" spans="1:15">
      <c r="A19" s="13">
        <v>17</v>
      </c>
      <c r="B19" s="19"/>
      <c r="C19" s="22"/>
      <c r="D19" s="21"/>
      <c r="E19" s="6"/>
      <c r="F19" s="10"/>
      <c r="G19" s="10"/>
      <c r="I19" s="3">
        <v>17</v>
      </c>
      <c r="J19" s="17">
        <v>46097</v>
      </c>
      <c r="K19" s="18" t="s">
        <v>78</v>
      </c>
      <c r="L19" s="3" t="s">
        <v>99</v>
      </c>
      <c r="M19" s="3">
        <v>2</v>
      </c>
      <c r="N19" s="3">
        <v>1</v>
      </c>
      <c r="O19" s="10" t="s">
        <v>101</v>
      </c>
    </row>
    <row r="20" s="14" customFormat="1" customHeight="1" spans="1:15">
      <c r="A20" s="13">
        <v>18</v>
      </c>
      <c r="B20" s="19"/>
      <c r="C20" s="22"/>
      <c r="D20" s="21"/>
      <c r="E20" s="6"/>
      <c r="F20" s="10"/>
      <c r="G20" s="10"/>
      <c r="I20" s="3">
        <v>18</v>
      </c>
      <c r="J20" s="17">
        <v>46097</v>
      </c>
      <c r="K20" s="18" t="s">
        <v>35</v>
      </c>
      <c r="L20" s="3" t="s">
        <v>99</v>
      </c>
      <c r="M20" s="6">
        <v>3</v>
      </c>
      <c r="N20" s="10"/>
      <c r="O20" s="3" t="s">
        <v>38</v>
      </c>
    </row>
    <row r="21" s="14" customFormat="1" customHeight="1" spans="1:15">
      <c r="A21" s="13">
        <v>19</v>
      </c>
      <c r="B21" s="19"/>
      <c r="C21" s="22"/>
      <c r="D21" s="21"/>
      <c r="E21" s="6"/>
      <c r="F21" s="10"/>
      <c r="G21" s="10"/>
      <c r="I21" s="3">
        <v>19</v>
      </c>
      <c r="J21" s="17">
        <v>46097</v>
      </c>
      <c r="K21" s="18" t="s">
        <v>40</v>
      </c>
      <c r="L21" s="3" t="s">
        <v>99</v>
      </c>
      <c r="M21" s="3">
        <v>3</v>
      </c>
      <c r="N21" s="3"/>
      <c r="O21" s="3" t="s">
        <v>38</v>
      </c>
    </row>
    <row r="22" s="14" customFormat="1" customHeight="1" spans="1:15">
      <c r="A22" s="13">
        <v>20</v>
      </c>
      <c r="B22" s="19"/>
      <c r="C22" s="22"/>
      <c r="D22" s="21"/>
      <c r="E22" s="6"/>
      <c r="F22" s="10"/>
      <c r="G22" s="10"/>
      <c r="I22" s="3"/>
      <c r="J22" s="19"/>
      <c r="K22" s="23"/>
      <c r="L22" s="24"/>
      <c r="M22" s="6"/>
      <c r="N22" s="10"/>
      <c r="O22" s="10"/>
    </row>
    <row r="23" s="14" customFormat="1" customHeight="1" spans="1:15">
      <c r="A23" s="13">
        <v>21</v>
      </c>
      <c r="B23" s="19"/>
      <c r="C23" s="22"/>
      <c r="D23" s="21"/>
      <c r="E23" s="6"/>
      <c r="F23" s="10"/>
      <c r="G23" s="10"/>
      <c r="I23" s="3"/>
      <c r="J23" s="19"/>
      <c r="K23" s="25"/>
      <c r="L23" s="24"/>
      <c r="M23" s="6"/>
      <c r="N23" s="10"/>
      <c r="O23" s="10"/>
    </row>
    <row r="24" customHeight="1" spans="1:15">
      <c r="A24" s="13"/>
      <c r="B24" s="19"/>
      <c r="C24" s="22"/>
      <c r="D24" s="21"/>
      <c r="E24" s="6"/>
      <c r="F24" s="10"/>
      <c r="G24" s="10"/>
      <c r="I24" s="26"/>
      <c r="J24" s="26"/>
      <c r="K24" s="26"/>
      <c r="L24" s="26"/>
      <c r="M24" s="26"/>
      <c r="N24" s="26"/>
      <c r="O24" s="26"/>
    </row>
    <row r="25" customHeight="1" spans="1:15">
      <c r="A25" s="13"/>
      <c r="B25" s="27"/>
      <c r="C25" s="22"/>
      <c r="D25" s="28"/>
      <c r="E25" s="29"/>
      <c r="F25" s="30"/>
      <c r="G25" s="30"/>
      <c r="I25" s="26"/>
      <c r="J25" s="26"/>
      <c r="K25" s="26"/>
      <c r="L25" s="26"/>
      <c r="M25" s="26"/>
      <c r="N25" s="26"/>
      <c r="O25" s="26"/>
    </row>
    <row r="26" customHeight="1" spans="1:15">
      <c r="E26" s="31">
        <f>SUM(E3:E25)</f>
        <v>6</v>
      </c>
      <c r="F26" s="31">
        <f>SUM(F3:F25)</f>
        <v>24</v>
      </c>
      <c r="M26">
        <f>SUM(M3:M25)</f>
        <v>40</v>
      </c>
      <c r="N26">
        <f>SUM(N3:N25)</f>
        <v>17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workbookViewId="0">
      <selection activeCell="K1" sqref="K1:Q21"/>
    </sheetView>
  </sheetViews>
  <sheetFormatPr defaultColWidth="9.14285714285714" defaultRowHeight="12"/>
  <cols>
    <col min="1" max="4" width="15.7142857142857" customWidth="1"/>
    <col min="5" max="6" width="11.5714285714286" customWidth="1"/>
    <col min="7" max="7" width="15.7142857142857" customWidth="1"/>
    <col min="11" max="14" width="15.7142857142857" customWidth="1"/>
    <col min="15" max="16" width="11.5714285714286" customWidth="1"/>
    <col min="17" max="17" width="15.7142857142857" customWidth="1"/>
  </cols>
  <sheetData>
    <row r="1" ht="20" customHeight="1" spans="1:17">
      <c r="A1" s="1" t="s">
        <v>80</v>
      </c>
      <c r="B1" s="1"/>
      <c r="C1" s="1"/>
      <c r="D1" s="1"/>
      <c r="E1" s="1"/>
      <c r="F1" s="1"/>
      <c r="G1" s="1"/>
      <c r="K1" s="1" t="s">
        <v>95</v>
      </c>
      <c r="L1" s="1"/>
      <c r="M1" s="1"/>
      <c r="N1" s="1"/>
      <c r="O1" s="1"/>
      <c r="P1" s="1"/>
      <c r="Q1" s="1"/>
    </row>
    <row r="2" ht="20" customHeight="1" spans="1:17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K2" s="2" t="s">
        <v>2</v>
      </c>
      <c r="L2" s="2" t="s">
        <v>91</v>
      </c>
      <c r="M2" s="2" t="s">
        <v>27</v>
      </c>
      <c r="N2" s="2" t="s">
        <v>96</v>
      </c>
      <c r="O2" s="2" t="s">
        <v>97</v>
      </c>
      <c r="P2" s="2" t="s">
        <v>98</v>
      </c>
      <c r="Q2" s="2" t="s">
        <v>7</v>
      </c>
    </row>
    <row r="3" ht="23" customHeight="1" spans="1:17">
      <c r="A3" s="3">
        <v>1</v>
      </c>
      <c r="B3" s="4">
        <v>46100</v>
      </c>
      <c r="C3" s="5" t="s">
        <v>13</v>
      </c>
      <c r="D3" s="5" t="s">
        <v>102</v>
      </c>
      <c r="E3" s="5">
        <v>2</v>
      </c>
      <c r="F3" s="5"/>
      <c r="G3" s="6" t="s">
        <v>38</v>
      </c>
      <c r="K3" s="3">
        <v>1</v>
      </c>
      <c r="L3" s="4">
        <v>46100</v>
      </c>
      <c r="M3" s="7" t="s">
        <v>43</v>
      </c>
      <c r="N3" s="5" t="s">
        <v>102</v>
      </c>
      <c r="O3" s="8">
        <v>2</v>
      </c>
      <c r="P3" s="8"/>
      <c r="Q3" s="8"/>
    </row>
    <row r="4" ht="23" customHeight="1" spans="1:17">
      <c r="A4" s="3">
        <v>2</v>
      </c>
      <c r="B4" s="4">
        <v>46100</v>
      </c>
      <c r="C4" s="5" t="s">
        <v>15</v>
      </c>
      <c r="D4" s="5" t="s">
        <v>102</v>
      </c>
      <c r="E4" s="5">
        <v>2</v>
      </c>
      <c r="F4" s="5"/>
      <c r="G4" s="6" t="s">
        <v>38</v>
      </c>
      <c r="K4" s="3">
        <v>2</v>
      </c>
      <c r="L4" s="4">
        <v>46100</v>
      </c>
      <c r="M4" s="7" t="s">
        <v>45</v>
      </c>
      <c r="N4" s="5" t="s">
        <v>102</v>
      </c>
      <c r="O4" s="8"/>
      <c r="P4" s="8">
        <v>2</v>
      </c>
      <c r="Q4" s="8" t="s">
        <v>100</v>
      </c>
    </row>
    <row r="5" ht="23" customHeight="1" spans="1:17">
      <c r="A5" s="3">
        <v>3</v>
      </c>
      <c r="B5" s="4">
        <v>46100</v>
      </c>
      <c r="C5" s="5" t="s">
        <v>16</v>
      </c>
      <c r="D5" s="5" t="s">
        <v>102</v>
      </c>
      <c r="E5" s="5"/>
      <c r="F5" s="5">
        <v>2</v>
      </c>
      <c r="G5" s="9"/>
      <c r="K5" s="3">
        <v>3</v>
      </c>
      <c r="L5" s="4">
        <v>46100</v>
      </c>
      <c r="M5" s="7" t="s">
        <v>48</v>
      </c>
      <c r="N5" s="5" t="s">
        <v>102</v>
      </c>
      <c r="O5" s="8">
        <v>1</v>
      </c>
      <c r="P5" s="8">
        <v>1</v>
      </c>
      <c r="Q5" s="8"/>
    </row>
    <row r="6" ht="23" customHeight="1" spans="1:17">
      <c r="A6" s="3">
        <v>4</v>
      </c>
      <c r="B6" s="4">
        <v>46100</v>
      </c>
      <c r="C6" s="5" t="s">
        <v>17</v>
      </c>
      <c r="D6" s="5" t="s">
        <v>102</v>
      </c>
      <c r="E6" s="5"/>
      <c r="F6" s="5">
        <v>2</v>
      </c>
      <c r="G6" s="9"/>
      <c r="K6" s="3">
        <v>4</v>
      </c>
      <c r="L6" s="4">
        <v>46100</v>
      </c>
      <c r="M6" s="7" t="s">
        <v>50</v>
      </c>
      <c r="N6" s="5" t="s">
        <v>102</v>
      </c>
      <c r="O6" s="8">
        <v>1</v>
      </c>
      <c r="P6" s="8">
        <v>1</v>
      </c>
      <c r="Q6" s="8"/>
    </row>
    <row r="7" ht="23" customHeight="1" spans="1:17">
      <c r="A7" s="3">
        <v>5</v>
      </c>
      <c r="B7" s="4">
        <v>46100</v>
      </c>
      <c r="C7" s="5" t="s">
        <v>18</v>
      </c>
      <c r="D7" s="5" t="s">
        <v>102</v>
      </c>
      <c r="E7" s="5"/>
      <c r="F7" s="5">
        <v>2</v>
      </c>
      <c r="G7" s="9"/>
      <c r="K7" s="3">
        <v>5</v>
      </c>
      <c r="L7" s="4">
        <v>46100</v>
      </c>
      <c r="M7" s="7" t="s">
        <v>52</v>
      </c>
      <c r="N7" s="5" t="s">
        <v>102</v>
      </c>
      <c r="O7" s="8">
        <v>1</v>
      </c>
      <c r="P7" s="8">
        <v>1</v>
      </c>
      <c r="Q7" s="8"/>
    </row>
    <row r="8" ht="23" customHeight="1" spans="1:17">
      <c r="A8" s="3">
        <v>6</v>
      </c>
      <c r="B8" s="4">
        <v>46100</v>
      </c>
      <c r="C8" s="5" t="s">
        <v>19</v>
      </c>
      <c r="D8" s="5" t="s">
        <v>102</v>
      </c>
      <c r="E8" s="5"/>
      <c r="F8" s="5">
        <v>2</v>
      </c>
      <c r="G8" s="9"/>
      <c r="K8" s="3">
        <v>6</v>
      </c>
      <c r="L8" s="4">
        <v>46100</v>
      </c>
      <c r="M8" s="7" t="s">
        <v>54</v>
      </c>
      <c r="N8" s="5" t="s">
        <v>102</v>
      </c>
      <c r="O8" s="8">
        <v>1</v>
      </c>
      <c r="P8" s="8">
        <v>1</v>
      </c>
      <c r="Q8" s="8"/>
    </row>
    <row r="9" ht="23" customHeight="1" spans="1:17">
      <c r="A9" s="3">
        <v>7</v>
      </c>
      <c r="B9" s="4">
        <v>46100</v>
      </c>
      <c r="C9" s="5" t="s">
        <v>20</v>
      </c>
      <c r="D9" s="5" t="s">
        <v>102</v>
      </c>
      <c r="E9" s="5"/>
      <c r="F9" s="5">
        <v>2</v>
      </c>
      <c r="G9" s="10"/>
      <c r="K9" s="3">
        <v>7</v>
      </c>
      <c r="L9" s="4">
        <v>46100</v>
      </c>
      <c r="M9" s="7" t="s">
        <v>56</v>
      </c>
      <c r="N9" s="5" t="s">
        <v>102</v>
      </c>
      <c r="O9" s="8">
        <v>1</v>
      </c>
      <c r="P9" s="8">
        <v>1</v>
      </c>
      <c r="Q9" s="8"/>
    </row>
    <row r="10" ht="23" customHeight="1" spans="1:17">
      <c r="A10" s="12">
        <v>8</v>
      </c>
      <c r="B10" s="4">
        <v>46100</v>
      </c>
      <c r="C10" s="5" t="s">
        <v>21</v>
      </c>
      <c r="D10" s="5" t="s">
        <v>102</v>
      </c>
      <c r="E10" s="5"/>
      <c r="F10" s="5">
        <v>2</v>
      </c>
      <c r="G10" s="11"/>
      <c r="K10" s="3">
        <v>8</v>
      </c>
      <c r="L10" s="4">
        <v>46100</v>
      </c>
      <c r="M10" s="7" t="s">
        <v>59</v>
      </c>
      <c r="N10" s="5" t="s">
        <v>102</v>
      </c>
      <c r="O10" s="8">
        <v>1</v>
      </c>
      <c r="P10" s="8">
        <v>1</v>
      </c>
      <c r="Q10" s="8"/>
    </row>
    <row r="11" ht="23" customHeight="1" spans="1:17">
      <c r="A11" s="13">
        <v>9</v>
      </c>
      <c r="B11" s="4">
        <v>46100</v>
      </c>
      <c r="C11" s="5" t="s">
        <v>22</v>
      </c>
      <c r="D11" s="5" t="s">
        <v>102</v>
      </c>
      <c r="E11" s="5"/>
      <c r="F11" s="5">
        <v>2</v>
      </c>
      <c r="G11" s="10"/>
      <c r="K11" s="3">
        <v>9</v>
      </c>
      <c r="L11" s="4">
        <v>46100</v>
      </c>
      <c r="M11" s="7" t="s">
        <v>61</v>
      </c>
      <c r="N11" s="5" t="s">
        <v>102</v>
      </c>
      <c r="O11" s="8">
        <v>2</v>
      </c>
      <c r="P11" s="8"/>
      <c r="Q11" s="8" t="s">
        <v>38</v>
      </c>
    </row>
    <row r="12" ht="23" customHeight="1" spans="1:17">
      <c r="A12" s="13">
        <v>10</v>
      </c>
      <c r="B12" s="4">
        <v>46100</v>
      </c>
      <c r="C12" s="5" t="s">
        <v>23</v>
      </c>
      <c r="D12" s="5" t="s">
        <v>102</v>
      </c>
      <c r="E12" s="5"/>
      <c r="F12" s="5">
        <v>2</v>
      </c>
      <c r="G12" s="10"/>
      <c r="K12" s="3">
        <v>10</v>
      </c>
      <c r="L12" s="4">
        <v>46100</v>
      </c>
      <c r="M12" s="7" t="s">
        <v>63</v>
      </c>
      <c r="N12" s="5" t="s">
        <v>102</v>
      </c>
      <c r="O12" s="8">
        <v>1</v>
      </c>
      <c r="P12" s="8">
        <v>1</v>
      </c>
      <c r="Q12" s="10"/>
    </row>
    <row r="13" ht="23" customHeight="1" spans="1:17">
      <c r="K13" s="3">
        <v>11</v>
      </c>
      <c r="L13" s="4">
        <v>46100</v>
      </c>
      <c r="M13" s="7" t="s">
        <v>66</v>
      </c>
      <c r="N13" s="5" t="s">
        <v>102</v>
      </c>
      <c r="O13" s="8">
        <v>1</v>
      </c>
      <c r="P13" s="8">
        <v>1</v>
      </c>
      <c r="Q13" s="10"/>
    </row>
    <row r="14" ht="23" customHeight="1" spans="1:17">
      <c r="E14">
        <f>SUM(E3:E4)</f>
        <v>4</v>
      </c>
      <c r="F14">
        <f>SUM(F5:F12)</f>
        <v>16</v>
      </c>
      <c r="K14" s="3">
        <v>12</v>
      </c>
      <c r="L14" s="4">
        <v>46100</v>
      </c>
      <c r="M14" s="7" t="s">
        <v>68</v>
      </c>
      <c r="N14" s="5" t="s">
        <v>102</v>
      </c>
      <c r="O14" s="8">
        <v>1</v>
      </c>
      <c r="P14" s="8">
        <v>1</v>
      </c>
      <c r="Q14" s="10"/>
    </row>
    <row r="15" ht="23" customHeight="1" spans="1:17">
      <c r="K15" s="3">
        <v>13</v>
      </c>
      <c r="L15" s="4">
        <v>46100</v>
      </c>
      <c r="M15" s="7" t="s">
        <v>70</v>
      </c>
      <c r="N15" s="5" t="s">
        <v>102</v>
      </c>
      <c r="O15" s="8">
        <v>1</v>
      </c>
      <c r="P15" s="8">
        <v>1</v>
      </c>
      <c r="Q15" s="10"/>
    </row>
    <row r="16" ht="23" customHeight="1" spans="1:17">
      <c r="K16" s="3">
        <v>14</v>
      </c>
      <c r="L16" s="4">
        <v>46100</v>
      </c>
      <c r="M16" s="7" t="s">
        <v>72</v>
      </c>
      <c r="N16" s="5" t="s">
        <v>102</v>
      </c>
      <c r="O16" s="8">
        <v>1</v>
      </c>
      <c r="P16" s="8">
        <v>1</v>
      </c>
      <c r="Q16" s="10"/>
    </row>
    <row r="17" ht="23" customHeight="1" spans="11:17">
      <c r="K17" s="3">
        <v>15</v>
      </c>
      <c r="L17" s="4">
        <v>46100</v>
      </c>
      <c r="M17" s="7" t="s">
        <v>74</v>
      </c>
      <c r="N17" s="5" t="s">
        <v>102</v>
      </c>
      <c r="O17" s="8">
        <v>1</v>
      </c>
      <c r="P17" s="8">
        <v>1</v>
      </c>
      <c r="Q17" s="10"/>
    </row>
    <row r="18" ht="23" customHeight="1" spans="11:17">
      <c r="K18" s="3">
        <v>16</v>
      </c>
      <c r="L18" s="4">
        <v>46100</v>
      </c>
      <c r="M18" s="7" t="s">
        <v>76</v>
      </c>
      <c r="N18" s="5" t="s">
        <v>102</v>
      </c>
      <c r="O18" s="8">
        <v>1</v>
      </c>
      <c r="P18" s="8">
        <v>1</v>
      </c>
      <c r="Q18" s="10"/>
    </row>
    <row r="19" ht="23" customHeight="1" spans="11:17">
      <c r="K19" s="3">
        <v>17</v>
      </c>
      <c r="L19" s="4">
        <v>46100</v>
      </c>
      <c r="M19" s="7" t="s">
        <v>78</v>
      </c>
      <c r="N19" s="5" t="s">
        <v>102</v>
      </c>
      <c r="O19" s="8">
        <v>1</v>
      </c>
      <c r="P19" s="8">
        <v>1</v>
      </c>
      <c r="Q19" s="10" t="s">
        <v>101</v>
      </c>
    </row>
    <row r="20" ht="23" customHeight="1" spans="11:17">
      <c r="K20" s="3">
        <v>18</v>
      </c>
      <c r="L20" s="4">
        <v>46100</v>
      </c>
      <c r="M20" s="7" t="s">
        <v>35</v>
      </c>
      <c r="N20" s="5" t="s">
        <v>102</v>
      </c>
      <c r="O20" s="6">
        <v>2</v>
      </c>
      <c r="P20" s="10"/>
      <c r="Q20" s="8" t="s">
        <v>38</v>
      </c>
    </row>
    <row r="21" ht="23" customHeight="1" spans="11:17">
      <c r="K21" s="3">
        <v>19</v>
      </c>
      <c r="L21" s="4">
        <v>46100</v>
      </c>
      <c r="M21" s="7" t="s">
        <v>40</v>
      </c>
      <c r="N21" s="5" t="s">
        <v>102</v>
      </c>
      <c r="O21" s="8">
        <v>2</v>
      </c>
      <c r="P21" s="8"/>
      <c r="Q21" s="8" t="s">
        <v>38</v>
      </c>
    </row>
    <row r="22" ht="23" customHeight="1" spans="11:17">
      <c r="L22" s="4"/>
    </row>
    <row r="23" ht="23" customHeight="1" spans="11:17">
      <c r="O23">
        <f>SUM(O3:O22)</f>
        <v>22</v>
      </c>
      <c r="P23">
        <f>SUM(P3:P22)</f>
        <v>16</v>
      </c>
    </row>
    <row r="24" ht="23" customHeight="1"/>
    <row r="25" ht="23" customHeight="1"/>
    <row r="26" ht="23" customHeight="1"/>
    <row r="27" ht="23" customHeight="1"/>
  </sheetData>
  <mergeCells count="2">
    <mergeCell ref="A1:G1"/>
    <mergeCell ref="K1:Q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G22" sqref="G22"/>
    </sheetView>
  </sheetViews>
  <sheetFormatPr defaultColWidth="9.14285714285714" defaultRowHeight="12"/>
  <cols>
    <col min="1" max="7" width="12.7142857142857" customWidth="1"/>
    <col min="9" max="15" width="13.7142857142857" customWidth="1"/>
  </cols>
  <sheetData>
    <row r="1" ht="25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ht="25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ht="25" customHeight="1" spans="1:15">
      <c r="A3" s="3">
        <v>1</v>
      </c>
      <c r="B3" s="4">
        <v>46104</v>
      </c>
      <c r="C3" s="5" t="s">
        <v>13</v>
      </c>
      <c r="D3" s="5" t="s">
        <v>99</v>
      </c>
      <c r="E3" s="5">
        <v>3</v>
      </c>
      <c r="F3" s="5"/>
      <c r="G3" s="6" t="s">
        <v>38</v>
      </c>
      <c r="I3" s="3">
        <v>1</v>
      </c>
      <c r="J3" s="4">
        <v>46104</v>
      </c>
      <c r="K3" s="7" t="s">
        <v>43</v>
      </c>
      <c r="L3" s="5" t="s">
        <v>99</v>
      </c>
      <c r="M3" s="8">
        <v>3</v>
      </c>
      <c r="N3" s="8"/>
      <c r="O3" s="8"/>
    </row>
    <row r="4" ht="25" customHeight="1" spans="1:15">
      <c r="A4" s="3">
        <v>2</v>
      </c>
      <c r="B4" s="4">
        <v>46104</v>
      </c>
      <c r="C4" s="5" t="s">
        <v>15</v>
      </c>
      <c r="D4" s="5" t="s">
        <v>99</v>
      </c>
      <c r="E4" s="5">
        <v>3</v>
      </c>
      <c r="F4" s="5"/>
      <c r="G4" s="6" t="s">
        <v>38</v>
      </c>
      <c r="I4" s="3">
        <v>2</v>
      </c>
      <c r="J4" s="4">
        <v>46104</v>
      </c>
      <c r="K4" s="7" t="s">
        <v>45</v>
      </c>
      <c r="L4" s="5" t="s">
        <v>99</v>
      </c>
      <c r="M4" s="8"/>
      <c r="N4" s="8">
        <v>3</v>
      </c>
      <c r="O4" s="8" t="s">
        <v>100</v>
      </c>
    </row>
    <row r="5" ht="25" customHeight="1" spans="1:15">
      <c r="A5" s="3">
        <v>3</v>
      </c>
      <c r="B5" s="4">
        <v>46104</v>
      </c>
      <c r="C5" s="5" t="s">
        <v>16</v>
      </c>
      <c r="D5" s="5" t="s">
        <v>99</v>
      </c>
      <c r="E5" s="5"/>
      <c r="F5" s="5">
        <v>3</v>
      </c>
      <c r="G5" s="9"/>
      <c r="I5" s="3">
        <v>3</v>
      </c>
      <c r="J5" s="4">
        <v>46104</v>
      </c>
      <c r="K5" s="7" t="s">
        <v>48</v>
      </c>
      <c r="L5" s="5" t="s">
        <v>99</v>
      </c>
      <c r="M5" s="8">
        <v>2</v>
      </c>
      <c r="N5" s="8">
        <v>1</v>
      </c>
      <c r="O5" s="8"/>
    </row>
    <row r="6" ht="25" customHeight="1" spans="1:15">
      <c r="A6" s="3">
        <v>4</v>
      </c>
      <c r="B6" s="4">
        <v>46104</v>
      </c>
      <c r="C6" s="5" t="s">
        <v>17</v>
      </c>
      <c r="D6" s="5" t="s">
        <v>99</v>
      </c>
      <c r="E6" s="5"/>
      <c r="F6" s="5">
        <v>3</v>
      </c>
      <c r="G6" s="9"/>
      <c r="I6" s="3">
        <v>4</v>
      </c>
      <c r="J6" s="4">
        <v>46104</v>
      </c>
      <c r="K6" s="7" t="s">
        <v>50</v>
      </c>
      <c r="L6" s="5" t="s">
        <v>99</v>
      </c>
      <c r="M6" s="8">
        <v>2</v>
      </c>
      <c r="N6" s="8">
        <v>1</v>
      </c>
      <c r="O6" s="8"/>
    </row>
    <row r="7" ht="25" customHeight="1" spans="1:15">
      <c r="A7" s="3">
        <v>5</v>
      </c>
      <c r="B7" s="4">
        <v>46104</v>
      </c>
      <c r="C7" s="5" t="s">
        <v>18</v>
      </c>
      <c r="D7" s="5" t="s">
        <v>99</v>
      </c>
      <c r="E7" s="5"/>
      <c r="F7" s="5">
        <v>3</v>
      </c>
      <c r="G7" s="9"/>
      <c r="I7" s="3">
        <v>5</v>
      </c>
      <c r="J7" s="4">
        <v>46104</v>
      </c>
      <c r="K7" s="7" t="s">
        <v>52</v>
      </c>
      <c r="L7" s="5" t="s">
        <v>99</v>
      </c>
      <c r="M7" s="8">
        <v>2</v>
      </c>
      <c r="N7" s="8">
        <v>1</v>
      </c>
      <c r="O7" s="8"/>
    </row>
    <row r="8" ht="25" customHeight="1" spans="1:15">
      <c r="A8" s="3">
        <v>6</v>
      </c>
      <c r="B8" s="4">
        <v>46104</v>
      </c>
      <c r="C8" s="5" t="s">
        <v>19</v>
      </c>
      <c r="D8" s="5" t="s">
        <v>99</v>
      </c>
      <c r="E8" s="5"/>
      <c r="F8" s="5">
        <v>3</v>
      </c>
      <c r="G8" s="9"/>
      <c r="I8" s="3">
        <v>6</v>
      </c>
      <c r="J8" s="4">
        <v>46104</v>
      </c>
      <c r="K8" s="7" t="s">
        <v>54</v>
      </c>
      <c r="L8" s="5" t="s">
        <v>99</v>
      </c>
      <c r="M8" s="8">
        <v>2</v>
      </c>
      <c r="N8" s="8">
        <v>1</v>
      </c>
      <c r="O8" s="8"/>
    </row>
    <row r="9" ht="25" customHeight="1" spans="1:15">
      <c r="A9" s="3">
        <v>7</v>
      </c>
      <c r="B9" s="4">
        <v>46104</v>
      </c>
      <c r="C9" s="5" t="s">
        <v>20</v>
      </c>
      <c r="D9" s="5" t="s">
        <v>99</v>
      </c>
      <c r="E9" s="5"/>
      <c r="F9" s="5">
        <v>3</v>
      </c>
      <c r="G9" s="10"/>
      <c r="I9" s="3">
        <v>7</v>
      </c>
      <c r="J9" s="4">
        <v>46104</v>
      </c>
      <c r="K9" s="7" t="s">
        <v>56</v>
      </c>
      <c r="L9" s="5" t="s">
        <v>99</v>
      </c>
      <c r="M9" s="8">
        <v>2</v>
      </c>
      <c r="N9" s="8">
        <v>1</v>
      </c>
      <c r="O9" s="8"/>
    </row>
    <row r="10" ht="25" customHeight="1" spans="1:15">
      <c r="A10" s="12">
        <v>8</v>
      </c>
      <c r="B10" s="4">
        <v>46104</v>
      </c>
      <c r="C10" s="5" t="s">
        <v>21</v>
      </c>
      <c r="D10" s="5" t="s">
        <v>99</v>
      </c>
      <c r="E10" s="5"/>
      <c r="F10" s="5">
        <v>3</v>
      </c>
      <c r="G10" s="11"/>
      <c r="I10" s="3">
        <v>8</v>
      </c>
      <c r="J10" s="4">
        <v>46104</v>
      </c>
      <c r="K10" s="7" t="s">
        <v>59</v>
      </c>
      <c r="L10" s="5" t="s">
        <v>99</v>
      </c>
      <c r="M10" s="8">
        <v>2</v>
      </c>
      <c r="N10" s="8">
        <v>1</v>
      </c>
      <c r="O10" s="8"/>
    </row>
    <row r="11" ht="25" customHeight="1" spans="1:15">
      <c r="A11" s="13">
        <v>9</v>
      </c>
      <c r="B11" s="4">
        <v>46104</v>
      </c>
      <c r="C11" s="5" t="s">
        <v>22</v>
      </c>
      <c r="D11" s="5" t="s">
        <v>99</v>
      </c>
      <c r="E11" s="5"/>
      <c r="F11" s="5">
        <v>3</v>
      </c>
      <c r="G11" s="10"/>
      <c r="I11" s="3">
        <v>9</v>
      </c>
      <c r="J11" s="4">
        <v>46104</v>
      </c>
      <c r="K11" s="7" t="s">
        <v>61</v>
      </c>
      <c r="L11" s="5" t="s">
        <v>99</v>
      </c>
      <c r="M11" s="8">
        <v>3</v>
      </c>
      <c r="N11" s="8"/>
      <c r="O11" s="8" t="s">
        <v>38</v>
      </c>
    </row>
    <row r="12" ht="25" customHeight="1" spans="1:15">
      <c r="A12" s="13">
        <v>10</v>
      </c>
      <c r="B12" s="4">
        <v>46104</v>
      </c>
      <c r="C12" s="5" t="s">
        <v>23</v>
      </c>
      <c r="D12" s="5" t="s">
        <v>99</v>
      </c>
      <c r="E12" s="5"/>
      <c r="F12" s="5">
        <v>3</v>
      </c>
      <c r="G12" s="10"/>
      <c r="I12" s="3">
        <v>10</v>
      </c>
      <c r="J12" s="4">
        <v>46104</v>
      </c>
      <c r="K12" s="7" t="s">
        <v>63</v>
      </c>
      <c r="L12" s="5" t="s">
        <v>99</v>
      </c>
      <c r="M12" s="8">
        <v>2</v>
      </c>
      <c r="N12" s="8">
        <v>1</v>
      </c>
      <c r="O12" s="10"/>
    </row>
    <row r="13" ht="25" customHeight="1" spans="1:15">
      <c r="E13">
        <f>SUM(E3:E12)</f>
        <v>6</v>
      </c>
      <c r="F13">
        <f>SUM(F3:F12)</f>
        <v>24</v>
      </c>
      <c r="I13" s="3">
        <v>11</v>
      </c>
      <c r="J13" s="4">
        <v>46104</v>
      </c>
      <c r="K13" s="7" t="s">
        <v>66</v>
      </c>
      <c r="L13" s="5" t="s">
        <v>99</v>
      </c>
      <c r="M13" s="8">
        <v>2</v>
      </c>
      <c r="N13" s="8">
        <v>1</v>
      </c>
      <c r="O13" s="10"/>
    </row>
    <row r="14" ht="25" customHeight="1" spans="1:15">
      <c r="I14" s="3">
        <v>12</v>
      </c>
      <c r="J14" s="4">
        <v>46104</v>
      </c>
      <c r="K14" s="7" t="s">
        <v>68</v>
      </c>
      <c r="L14" s="5" t="s">
        <v>99</v>
      </c>
      <c r="M14" s="8">
        <v>2</v>
      </c>
      <c r="N14" s="8">
        <v>1</v>
      </c>
      <c r="O14" s="10"/>
    </row>
    <row r="15" ht="25" customHeight="1" spans="1:15">
      <c r="I15" s="3">
        <v>13</v>
      </c>
      <c r="J15" s="4">
        <v>46104</v>
      </c>
      <c r="K15" s="7" t="s">
        <v>70</v>
      </c>
      <c r="L15" s="5" t="s">
        <v>99</v>
      </c>
      <c r="M15" s="8">
        <v>2</v>
      </c>
      <c r="N15" s="8">
        <v>1</v>
      </c>
      <c r="O15" s="10"/>
    </row>
    <row r="16" ht="25" customHeight="1" spans="1:15">
      <c r="I16" s="3">
        <v>14</v>
      </c>
      <c r="J16" s="4">
        <v>46104</v>
      </c>
      <c r="K16" s="7" t="s">
        <v>72</v>
      </c>
      <c r="L16" s="5" t="s">
        <v>99</v>
      </c>
      <c r="M16" s="8">
        <v>2</v>
      </c>
      <c r="N16" s="8">
        <v>1</v>
      </c>
      <c r="O16" s="10"/>
    </row>
    <row r="17" ht="25" customHeight="1" spans="9:15">
      <c r="I17" s="3">
        <v>15</v>
      </c>
      <c r="J17" s="4">
        <v>46104</v>
      </c>
      <c r="K17" s="7" t="s">
        <v>74</v>
      </c>
      <c r="L17" s="5" t="s">
        <v>99</v>
      </c>
      <c r="M17" s="8">
        <v>2</v>
      </c>
      <c r="N17" s="8">
        <v>1</v>
      </c>
      <c r="O17" s="10"/>
    </row>
    <row r="18" ht="25" customHeight="1" spans="9:15">
      <c r="I18" s="3">
        <v>16</v>
      </c>
      <c r="J18" s="4">
        <v>46104</v>
      </c>
      <c r="K18" s="7" t="s">
        <v>76</v>
      </c>
      <c r="L18" s="5" t="s">
        <v>99</v>
      </c>
      <c r="M18" s="8">
        <v>2</v>
      </c>
      <c r="N18" s="8">
        <v>1</v>
      </c>
      <c r="O18" s="10"/>
    </row>
    <row r="19" ht="25" customHeight="1" spans="9:15">
      <c r="I19" s="3">
        <v>17</v>
      </c>
      <c r="J19" s="4">
        <v>46104</v>
      </c>
      <c r="K19" s="7" t="s">
        <v>78</v>
      </c>
      <c r="L19" s="5" t="s">
        <v>99</v>
      </c>
      <c r="M19" s="8">
        <v>2</v>
      </c>
      <c r="N19" s="8">
        <v>1</v>
      </c>
      <c r="O19" s="10" t="s">
        <v>101</v>
      </c>
    </row>
    <row r="20" ht="25" customHeight="1" spans="9:15">
      <c r="I20" s="3">
        <v>18</v>
      </c>
      <c r="J20" s="4">
        <v>46104</v>
      </c>
      <c r="K20" s="7" t="s">
        <v>35</v>
      </c>
      <c r="L20" s="5" t="s">
        <v>99</v>
      </c>
      <c r="M20" s="6">
        <v>3</v>
      </c>
      <c r="N20" s="10"/>
      <c r="O20" s="8" t="s">
        <v>38</v>
      </c>
    </row>
    <row r="21" ht="25" customHeight="1" spans="9:15">
      <c r="I21" s="3">
        <v>19</v>
      </c>
      <c r="J21" s="4">
        <v>46104</v>
      </c>
      <c r="K21" s="7" t="s">
        <v>40</v>
      </c>
      <c r="L21" s="5" t="s">
        <v>99</v>
      </c>
      <c r="M21" s="8">
        <v>3</v>
      </c>
      <c r="N21" s="8"/>
      <c r="O21" s="8" t="s">
        <v>38</v>
      </c>
    </row>
    <row r="22" ht="25" customHeight="1" spans="9:15">
      <c r="M22">
        <f>SUM(M3:M21)</f>
        <v>40</v>
      </c>
      <c r="N22">
        <f>SUM(N3:N21)</f>
        <v>17</v>
      </c>
    </row>
    <row r="23" ht="25" customHeight="1"/>
    <row r="24" ht="25" customHeight="1"/>
    <row r="25" ht="25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N3" sqref="N3:N22"/>
    </sheetView>
  </sheetViews>
  <sheetFormatPr defaultColWidth="15.7142857142857" defaultRowHeight="25" customHeight="1"/>
  <cols>
    <col min="1" max="16384" width="15.7142857142857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46107</v>
      </c>
      <c r="C3" s="5" t="s">
        <v>13</v>
      </c>
      <c r="D3" s="5" t="s">
        <v>102</v>
      </c>
      <c r="E3" s="5">
        <v>2</v>
      </c>
      <c r="F3" s="5"/>
      <c r="G3" s="6" t="s">
        <v>38</v>
      </c>
      <c r="I3" s="3">
        <v>1</v>
      </c>
      <c r="J3" s="4">
        <v>46107</v>
      </c>
      <c r="K3" s="7" t="s">
        <v>43</v>
      </c>
      <c r="L3" s="5" t="s">
        <v>102</v>
      </c>
      <c r="M3" s="8">
        <v>2</v>
      </c>
      <c r="N3" s="8"/>
      <c r="O3" s="8"/>
    </row>
    <row r="4" customHeight="1" spans="1:15">
      <c r="A4" s="3">
        <v>2</v>
      </c>
      <c r="B4" s="4">
        <v>46107</v>
      </c>
      <c r="C4" s="5" t="s">
        <v>15</v>
      </c>
      <c r="D4" s="5" t="s">
        <v>102</v>
      </c>
      <c r="E4" s="5">
        <v>2</v>
      </c>
      <c r="F4" s="5"/>
      <c r="G4" s="6" t="s">
        <v>38</v>
      </c>
      <c r="I4" s="3">
        <v>2</v>
      </c>
      <c r="J4" s="4">
        <v>46107</v>
      </c>
      <c r="K4" s="7" t="s">
        <v>45</v>
      </c>
      <c r="L4" s="5" t="s">
        <v>102</v>
      </c>
      <c r="M4" s="8"/>
      <c r="N4" s="8">
        <v>2</v>
      </c>
      <c r="O4" s="8" t="s">
        <v>100</v>
      </c>
    </row>
    <row r="5" customHeight="1" spans="1:15">
      <c r="A5" s="3">
        <v>3</v>
      </c>
      <c r="B5" s="4">
        <v>46107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4">
        <v>46107</v>
      </c>
      <c r="K5" s="7" t="s">
        <v>48</v>
      </c>
      <c r="L5" s="5" t="s">
        <v>102</v>
      </c>
      <c r="M5" s="8">
        <v>1</v>
      </c>
      <c r="N5" s="8">
        <v>1</v>
      </c>
      <c r="O5" s="8"/>
    </row>
    <row r="6" customHeight="1" spans="1:15">
      <c r="A6" s="3">
        <v>4</v>
      </c>
      <c r="B6" s="4">
        <v>46107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4">
        <v>46107</v>
      </c>
      <c r="K6" s="7" t="s">
        <v>50</v>
      </c>
      <c r="L6" s="5" t="s">
        <v>102</v>
      </c>
      <c r="M6" s="8">
        <v>1</v>
      </c>
      <c r="N6" s="8">
        <v>1</v>
      </c>
      <c r="O6" s="8"/>
    </row>
    <row r="7" customHeight="1" spans="1:15">
      <c r="A7" s="3">
        <v>5</v>
      </c>
      <c r="B7" s="4">
        <v>46107</v>
      </c>
      <c r="C7" s="5" t="s">
        <v>18</v>
      </c>
      <c r="D7" s="5" t="s">
        <v>102</v>
      </c>
      <c r="E7" s="5"/>
      <c r="F7" s="5">
        <v>2</v>
      </c>
      <c r="G7" s="9"/>
      <c r="I7" s="3">
        <v>5</v>
      </c>
      <c r="J7" s="4">
        <v>46107</v>
      </c>
      <c r="K7" s="7" t="s">
        <v>52</v>
      </c>
      <c r="L7" s="5" t="s">
        <v>102</v>
      </c>
      <c r="M7" s="8">
        <v>1</v>
      </c>
      <c r="N7" s="8">
        <v>1</v>
      </c>
      <c r="O7" s="8"/>
    </row>
    <row r="8" customHeight="1" spans="1:15">
      <c r="A8" s="3">
        <v>6</v>
      </c>
      <c r="B8" s="4">
        <v>46107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4">
        <v>46107</v>
      </c>
      <c r="K8" s="7" t="s">
        <v>54</v>
      </c>
      <c r="L8" s="5" t="s">
        <v>102</v>
      </c>
      <c r="M8" s="8">
        <v>1</v>
      </c>
      <c r="N8" s="8">
        <v>1</v>
      </c>
      <c r="O8" s="8"/>
    </row>
    <row r="9" customHeight="1" spans="1:15">
      <c r="A9" s="3">
        <v>7</v>
      </c>
      <c r="B9" s="4">
        <v>46107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4">
        <v>46107</v>
      </c>
      <c r="K9" s="7" t="s">
        <v>56</v>
      </c>
      <c r="L9" s="5" t="s">
        <v>102</v>
      </c>
      <c r="M9" s="8">
        <v>1</v>
      </c>
      <c r="N9" s="8">
        <v>1</v>
      </c>
      <c r="O9" s="8"/>
    </row>
    <row r="10" customHeight="1" spans="1:15">
      <c r="A10" s="12">
        <v>8</v>
      </c>
      <c r="B10" s="4">
        <v>46107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4">
        <v>46107</v>
      </c>
      <c r="K10" s="7" t="s">
        <v>59</v>
      </c>
      <c r="L10" s="5" t="s">
        <v>102</v>
      </c>
      <c r="M10" s="8">
        <v>1</v>
      </c>
      <c r="N10" s="8">
        <v>1</v>
      </c>
      <c r="O10" s="8"/>
    </row>
    <row r="11" customHeight="1" spans="1:15">
      <c r="A11" s="13">
        <v>9</v>
      </c>
      <c r="B11" s="4">
        <v>46107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4">
        <v>46107</v>
      </c>
      <c r="K11" s="7" t="s">
        <v>61</v>
      </c>
      <c r="L11" s="5" t="s">
        <v>102</v>
      </c>
      <c r="M11" s="8">
        <v>2</v>
      </c>
      <c r="N11" s="8"/>
      <c r="O11" s="8" t="s">
        <v>38</v>
      </c>
    </row>
    <row r="12" customHeight="1" spans="1:15">
      <c r="A12" s="13">
        <v>10</v>
      </c>
      <c r="B12" s="4">
        <v>46107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4">
        <v>46107</v>
      </c>
      <c r="K12" s="7" t="s">
        <v>63</v>
      </c>
      <c r="L12" s="5" t="s">
        <v>102</v>
      </c>
      <c r="M12" s="8">
        <v>1</v>
      </c>
      <c r="N12" s="8">
        <v>1</v>
      </c>
      <c r="O12" s="10"/>
    </row>
    <row r="13" customHeight="1" spans="1:15">
      <c r="E13">
        <f>SUM(E3:E12)</f>
        <v>4</v>
      </c>
      <c r="F13">
        <f>SUM(F3:F12)</f>
        <v>16</v>
      </c>
      <c r="I13" s="3">
        <v>11</v>
      </c>
      <c r="J13" s="4">
        <v>46107</v>
      </c>
      <c r="K13" s="7" t="s">
        <v>66</v>
      </c>
      <c r="L13" s="5" t="s">
        <v>102</v>
      </c>
      <c r="M13" s="8">
        <v>1</v>
      </c>
      <c r="N13" s="8">
        <v>1</v>
      </c>
      <c r="O13" s="10"/>
    </row>
    <row r="14" customHeight="1" spans="1:15">
      <c r="I14" s="3">
        <v>12</v>
      </c>
      <c r="J14" s="4">
        <v>46107</v>
      </c>
      <c r="K14" s="7" t="s">
        <v>68</v>
      </c>
      <c r="L14" s="5" t="s">
        <v>102</v>
      </c>
      <c r="M14" s="8">
        <v>1</v>
      </c>
      <c r="N14" s="8">
        <v>1</v>
      </c>
      <c r="O14" s="10"/>
    </row>
    <row r="15" customHeight="1" spans="1:15">
      <c r="I15" s="3">
        <v>13</v>
      </c>
      <c r="J15" s="4">
        <v>46107</v>
      </c>
      <c r="K15" s="7" t="s">
        <v>70</v>
      </c>
      <c r="L15" s="5" t="s">
        <v>102</v>
      </c>
      <c r="M15" s="8">
        <v>1</v>
      </c>
      <c r="N15" s="8">
        <v>1</v>
      </c>
      <c r="O15" s="10"/>
    </row>
    <row r="16" customHeight="1" spans="1:15">
      <c r="I16" s="3">
        <v>14</v>
      </c>
      <c r="J16" s="4">
        <v>46107</v>
      </c>
      <c r="K16" s="7" t="s">
        <v>72</v>
      </c>
      <c r="L16" s="5" t="s">
        <v>102</v>
      </c>
      <c r="M16" s="8">
        <v>1</v>
      </c>
      <c r="N16" s="8">
        <v>1</v>
      </c>
      <c r="O16" s="10"/>
    </row>
    <row r="17" customHeight="1" spans="9:15">
      <c r="I17" s="3">
        <v>15</v>
      </c>
      <c r="J17" s="4">
        <v>46107</v>
      </c>
      <c r="K17" s="7" t="s">
        <v>74</v>
      </c>
      <c r="L17" s="5" t="s">
        <v>102</v>
      </c>
      <c r="M17" s="8">
        <v>1</v>
      </c>
      <c r="N17" s="8">
        <v>1</v>
      </c>
      <c r="O17" s="10"/>
    </row>
    <row r="18" customHeight="1" spans="9:15">
      <c r="I18" s="3">
        <v>16</v>
      </c>
      <c r="J18" s="4">
        <v>46107</v>
      </c>
      <c r="K18" s="7" t="s">
        <v>76</v>
      </c>
      <c r="L18" s="5" t="s">
        <v>102</v>
      </c>
      <c r="M18" s="8">
        <v>1</v>
      </c>
      <c r="N18" s="8">
        <v>1</v>
      </c>
      <c r="O18" s="10"/>
    </row>
    <row r="19" customHeight="1" spans="9:15">
      <c r="I19" s="3">
        <v>17</v>
      </c>
      <c r="J19" s="4">
        <v>46107</v>
      </c>
      <c r="K19" s="7" t="s">
        <v>78</v>
      </c>
      <c r="L19" s="5" t="s">
        <v>102</v>
      </c>
      <c r="M19" s="8">
        <v>1</v>
      </c>
      <c r="N19" s="8">
        <v>1</v>
      </c>
      <c r="O19" s="10" t="s">
        <v>101</v>
      </c>
    </row>
    <row r="20" customHeight="1" spans="9:15">
      <c r="I20" s="3">
        <v>18</v>
      </c>
      <c r="J20" s="4">
        <v>46107</v>
      </c>
      <c r="K20" s="7" t="s">
        <v>35</v>
      </c>
      <c r="L20" s="5" t="s">
        <v>102</v>
      </c>
      <c r="M20" s="6">
        <v>2</v>
      </c>
      <c r="N20" s="10"/>
      <c r="O20" s="8" t="s">
        <v>38</v>
      </c>
    </row>
    <row r="21" customHeight="1" spans="9:15">
      <c r="I21" s="3">
        <v>19</v>
      </c>
      <c r="J21" s="4">
        <v>46107</v>
      </c>
      <c r="K21" s="7" t="s">
        <v>40</v>
      </c>
      <c r="L21" s="5" t="s">
        <v>102</v>
      </c>
      <c r="M21" s="8">
        <v>2</v>
      </c>
      <c r="N21" s="8"/>
      <c r="O21" s="8" t="s">
        <v>38</v>
      </c>
    </row>
    <row r="22" customHeight="1" spans="9:15">
      <c r="M22">
        <f>SUM(M3:M21)</f>
        <v>22</v>
      </c>
      <c r="N22">
        <f>SUM(N3:N21)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F27" sqref="F27"/>
    </sheetView>
  </sheetViews>
  <sheetFormatPr defaultColWidth="15.7142857142857" defaultRowHeight="25" customHeight="1"/>
  <cols>
    <col min="1" max="16384" width="15.7142857142857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46111</v>
      </c>
      <c r="C3" s="5" t="s">
        <v>13</v>
      </c>
      <c r="D3" s="5" t="s">
        <v>99</v>
      </c>
      <c r="E3" s="5">
        <v>3</v>
      </c>
      <c r="F3" s="5"/>
      <c r="G3" s="6" t="s">
        <v>38</v>
      </c>
      <c r="I3" s="3">
        <v>1</v>
      </c>
      <c r="J3" s="4">
        <v>46111</v>
      </c>
      <c r="K3" s="7" t="s">
        <v>43</v>
      </c>
      <c r="L3" s="5" t="s">
        <v>99</v>
      </c>
      <c r="M3" s="8">
        <v>3</v>
      </c>
      <c r="N3" s="8"/>
      <c r="O3" s="8"/>
    </row>
    <row r="4" customHeight="1" spans="1:15">
      <c r="A4" s="3">
        <v>2</v>
      </c>
      <c r="B4" s="4">
        <v>46111</v>
      </c>
      <c r="C4" s="5" t="s">
        <v>15</v>
      </c>
      <c r="D4" s="5" t="s">
        <v>99</v>
      </c>
      <c r="E4" s="5">
        <v>3</v>
      </c>
      <c r="F4" s="5"/>
      <c r="G4" s="6" t="s">
        <v>38</v>
      </c>
      <c r="I4" s="3">
        <v>2</v>
      </c>
      <c r="J4" s="4">
        <v>46111</v>
      </c>
      <c r="K4" s="7" t="s">
        <v>45</v>
      </c>
      <c r="L4" s="5" t="s">
        <v>99</v>
      </c>
      <c r="M4" s="8"/>
      <c r="N4" s="8">
        <v>3</v>
      </c>
      <c r="O4" s="8" t="s">
        <v>100</v>
      </c>
    </row>
    <row r="5" customHeight="1" spans="1:15">
      <c r="A5" s="3">
        <v>3</v>
      </c>
      <c r="B5" s="4">
        <v>46111</v>
      </c>
      <c r="C5" s="5" t="s">
        <v>16</v>
      </c>
      <c r="D5" s="5" t="s">
        <v>99</v>
      </c>
      <c r="E5" s="5"/>
      <c r="F5" s="5">
        <v>3</v>
      </c>
      <c r="G5" s="9"/>
      <c r="I5" s="3">
        <v>3</v>
      </c>
      <c r="J5" s="4">
        <v>46111</v>
      </c>
      <c r="K5" s="7" t="s">
        <v>48</v>
      </c>
      <c r="L5" s="5" t="s">
        <v>99</v>
      </c>
      <c r="M5" s="8">
        <v>2</v>
      </c>
      <c r="N5" s="8">
        <v>1</v>
      </c>
      <c r="O5" s="8"/>
    </row>
    <row r="6" customHeight="1" spans="1:15">
      <c r="A6" s="3">
        <v>4</v>
      </c>
      <c r="B6" s="4">
        <v>46111</v>
      </c>
      <c r="C6" s="5" t="s">
        <v>17</v>
      </c>
      <c r="D6" s="5" t="s">
        <v>99</v>
      </c>
      <c r="E6" s="5"/>
      <c r="F6" s="5">
        <v>3</v>
      </c>
      <c r="G6" s="9"/>
      <c r="I6" s="3">
        <v>4</v>
      </c>
      <c r="J6" s="4">
        <v>46111</v>
      </c>
      <c r="K6" s="7" t="s">
        <v>50</v>
      </c>
      <c r="L6" s="5" t="s">
        <v>99</v>
      </c>
      <c r="M6" s="8">
        <v>2</v>
      </c>
      <c r="N6" s="8">
        <v>1</v>
      </c>
      <c r="O6" s="8"/>
    </row>
    <row r="7" customHeight="1" spans="1:15">
      <c r="A7" s="3">
        <v>5</v>
      </c>
      <c r="B7" s="4">
        <v>46111</v>
      </c>
      <c r="C7" s="5" t="s">
        <v>18</v>
      </c>
      <c r="D7" s="5" t="s">
        <v>99</v>
      </c>
      <c r="E7" s="5"/>
      <c r="F7" s="5">
        <v>3</v>
      </c>
      <c r="G7" s="9"/>
      <c r="I7" s="3">
        <v>5</v>
      </c>
      <c r="J7" s="4">
        <v>46111</v>
      </c>
      <c r="K7" s="7" t="s">
        <v>52</v>
      </c>
      <c r="L7" s="5" t="s">
        <v>99</v>
      </c>
      <c r="M7" s="8">
        <v>2</v>
      </c>
      <c r="N7" s="8">
        <v>1</v>
      </c>
      <c r="O7" s="8"/>
    </row>
    <row r="8" customHeight="1" spans="1:15">
      <c r="A8" s="3">
        <v>6</v>
      </c>
      <c r="B8" s="4">
        <v>46111</v>
      </c>
      <c r="C8" s="5" t="s">
        <v>19</v>
      </c>
      <c r="D8" s="5" t="s">
        <v>99</v>
      </c>
      <c r="E8" s="5"/>
      <c r="F8" s="5">
        <v>3</v>
      </c>
      <c r="G8" s="9"/>
      <c r="I8" s="3">
        <v>6</v>
      </c>
      <c r="J8" s="4">
        <v>46111</v>
      </c>
      <c r="K8" s="7" t="s">
        <v>54</v>
      </c>
      <c r="L8" s="5" t="s">
        <v>99</v>
      </c>
      <c r="M8" s="8">
        <v>2</v>
      </c>
      <c r="N8" s="8">
        <v>1</v>
      </c>
      <c r="O8" s="8"/>
    </row>
    <row r="9" customHeight="1" spans="1:15">
      <c r="A9" s="3">
        <v>7</v>
      </c>
      <c r="B9" s="4">
        <v>46111</v>
      </c>
      <c r="C9" s="5" t="s">
        <v>20</v>
      </c>
      <c r="D9" s="5" t="s">
        <v>99</v>
      </c>
      <c r="E9" s="5"/>
      <c r="F9" s="5">
        <v>3</v>
      </c>
      <c r="G9" s="10"/>
      <c r="I9" s="3">
        <v>7</v>
      </c>
      <c r="J9" s="4">
        <v>46111</v>
      </c>
      <c r="K9" s="7" t="s">
        <v>56</v>
      </c>
      <c r="L9" s="5" t="s">
        <v>99</v>
      </c>
      <c r="M9" s="8">
        <v>2</v>
      </c>
      <c r="N9" s="8">
        <v>1</v>
      </c>
      <c r="O9" s="8"/>
    </row>
    <row r="10" customHeight="1" spans="1:15">
      <c r="A10" s="12">
        <v>8</v>
      </c>
      <c r="B10" s="4">
        <v>46111</v>
      </c>
      <c r="C10" s="5" t="s">
        <v>21</v>
      </c>
      <c r="D10" s="5" t="s">
        <v>99</v>
      </c>
      <c r="E10" s="5"/>
      <c r="F10" s="5">
        <v>3</v>
      </c>
      <c r="G10" s="11"/>
      <c r="I10" s="3">
        <v>8</v>
      </c>
      <c r="J10" s="4">
        <v>46111</v>
      </c>
      <c r="K10" s="7" t="s">
        <v>59</v>
      </c>
      <c r="L10" s="5" t="s">
        <v>99</v>
      </c>
      <c r="M10" s="8">
        <v>2</v>
      </c>
      <c r="N10" s="8">
        <v>1</v>
      </c>
      <c r="O10" s="8"/>
    </row>
    <row r="11" customHeight="1" spans="1:15">
      <c r="A11" s="13">
        <v>9</v>
      </c>
      <c r="B11" s="4">
        <v>46111</v>
      </c>
      <c r="C11" s="5" t="s">
        <v>22</v>
      </c>
      <c r="D11" s="5" t="s">
        <v>99</v>
      </c>
      <c r="E11" s="5"/>
      <c r="F11" s="5">
        <v>3</v>
      </c>
      <c r="G11" s="10"/>
      <c r="I11" s="3">
        <v>9</v>
      </c>
      <c r="J11" s="4">
        <v>46111</v>
      </c>
      <c r="K11" s="7" t="s">
        <v>61</v>
      </c>
      <c r="L11" s="5" t="s">
        <v>99</v>
      </c>
      <c r="M11" s="8">
        <v>3</v>
      </c>
      <c r="N11" s="8"/>
      <c r="O11" s="8" t="s">
        <v>38</v>
      </c>
    </row>
    <row r="12" customHeight="1" spans="1:15">
      <c r="A12" s="13">
        <v>10</v>
      </c>
      <c r="B12" s="4">
        <v>46111</v>
      </c>
      <c r="C12" s="5" t="s">
        <v>23</v>
      </c>
      <c r="D12" s="5" t="s">
        <v>99</v>
      </c>
      <c r="E12" s="5"/>
      <c r="F12" s="5">
        <v>3</v>
      </c>
      <c r="G12" s="10"/>
      <c r="I12" s="3">
        <v>10</v>
      </c>
      <c r="J12" s="4">
        <v>46111</v>
      </c>
      <c r="K12" s="7" t="s">
        <v>63</v>
      </c>
      <c r="L12" s="5" t="s">
        <v>99</v>
      </c>
      <c r="M12" s="8">
        <v>2</v>
      </c>
      <c r="N12" s="8">
        <v>1</v>
      </c>
      <c r="O12" s="10"/>
    </row>
    <row r="13" customHeight="1" spans="1:15">
      <c r="E13">
        <f>SUM(E3:E12)</f>
        <v>6</v>
      </c>
      <c r="F13">
        <f>SUM(F3:F12)</f>
        <v>24</v>
      </c>
      <c r="I13" s="3">
        <v>11</v>
      </c>
      <c r="J13" s="4">
        <v>46111</v>
      </c>
      <c r="K13" s="7" t="s">
        <v>66</v>
      </c>
      <c r="L13" s="5" t="s">
        <v>99</v>
      </c>
      <c r="M13" s="8">
        <v>2</v>
      </c>
      <c r="N13" s="8">
        <v>1</v>
      </c>
      <c r="O13" s="10"/>
    </row>
    <row r="14" customHeight="1" spans="1:15">
      <c r="I14" s="3">
        <v>12</v>
      </c>
      <c r="J14" s="4">
        <v>46111</v>
      </c>
      <c r="K14" s="7" t="s">
        <v>68</v>
      </c>
      <c r="L14" s="5" t="s">
        <v>99</v>
      </c>
      <c r="M14" s="8">
        <v>2</v>
      </c>
      <c r="N14" s="8">
        <v>1</v>
      </c>
      <c r="O14" s="10"/>
    </row>
    <row r="15" customHeight="1" spans="1:15">
      <c r="I15" s="3">
        <v>13</v>
      </c>
      <c r="J15" s="4">
        <v>46111</v>
      </c>
      <c r="K15" s="7" t="s">
        <v>70</v>
      </c>
      <c r="L15" s="5" t="s">
        <v>99</v>
      </c>
      <c r="M15" s="8">
        <v>2</v>
      </c>
      <c r="N15" s="8">
        <v>1</v>
      </c>
      <c r="O15" s="10"/>
    </row>
    <row r="16" customHeight="1" spans="1:15">
      <c r="I16" s="3">
        <v>14</v>
      </c>
      <c r="J16" s="4">
        <v>46111</v>
      </c>
      <c r="K16" s="7" t="s">
        <v>72</v>
      </c>
      <c r="L16" s="5" t="s">
        <v>99</v>
      </c>
      <c r="M16" s="8">
        <v>2</v>
      </c>
      <c r="N16" s="8">
        <v>1</v>
      </c>
      <c r="O16" s="10"/>
    </row>
    <row r="17" customHeight="1" spans="9:15">
      <c r="I17" s="3">
        <v>15</v>
      </c>
      <c r="J17" s="4">
        <v>46111</v>
      </c>
      <c r="K17" s="7" t="s">
        <v>74</v>
      </c>
      <c r="L17" s="5" t="s">
        <v>99</v>
      </c>
      <c r="M17" s="8">
        <v>2</v>
      </c>
      <c r="N17" s="8">
        <v>1</v>
      </c>
      <c r="O17" s="10"/>
    </row>
    <row r="18" customHeight="1" spans="9:15">
      <c r="I18" s="3">
        <v>16</v>
      </c>
      <c r="J18" s="4">
        <v>46111</v>
      </c>
      <c r="K18" s="7" t="s">
        <v>76</v>
      </c>
      <c r="L18" s="5" t="s">
        <v>99</v>
      </c>
      <c r="M18" s="8">
        <v>2</v>
      </c>
      <c r="N18" s="8">
        <v>1</v>
      </c>
      <c r="O18" s="10"/>
    </row>
    <row r="19" customHeight="1" spans="9:15">
      <c r="I19" s="3">
        <v>17</v>
      </c>
      <c r="J19" s="4">
        <v>46111</v>
      </c>
      <c r="K19" s="7" t="s">
        <v>78</v>
      </c>
      <c r="L19" s="5" t="s">
        <v>99</v>
      </c>
      <c r="M19" s="8">
        <v>2</v>
      </c>
      <c r="N19" s="8">
        <v>1</v>
      </c>
      <c r="O19" s="10" t="s">
        <v>101</v>
      </c>
    </row>
    <row r="20" customHeight="1" spans="9:15">
      <c r="I20" s="3">
        <v>18</v>
      </c>
      <c r="J20" s="4">
        <v>46111</v>
      </c>
      <c r="K20" s="7" t="s">
        <v>35</v>
      </c>
      <c r="L20" s="5" t="s">
        <v>99</v>
      </c>
      <c r="M20" s="6">
        <v>3</v>
      </c>
      <c r="N20" s="10"/>
      <c r="O20" s="8" t="s">
        <v>38</v>
      </c>
    </row>
    <row r="21" customHeight="1" spans="9:15">
      <c r="I21" s="3">
        <v>19</v>
      </c>
      <c r="J21" s="4">
        <v>46111</v>
      </c>
      <c r="K21" s="7" t="s">
        <v>40</v>
      </c>
      <c r="L21" s="5" t="s">
        <v>99</v>
      </c>
      <c r="M21" s="8">
        <v>3</v>
      </c>
      <c r="N21" s="8"/>
      <c r="O21" s="8" t="s">
        <v>38</v>
      </c>
    </row>
    <row r="22" customHeight="1" spans="9:15">
      <c r="M22">
        <f>SUM(M3:M21)</f>
        <v>40</v>
      </c>
      <c r="N22">
        <f>SUM(N3:N21)</f>
        <v>17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A1" sqref="A1:O22"/>
    </sheetView>
  </sheetViews>
  <sheetFormatPr defaultColWidth="12.4285714285714" defaultRowHeight="22" customHeight="1"/>
  <cols>
    <col min="1" max="16384" width="12.4285714285714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46114</v>
      </c>
      <c r="C3" s="5" t="s">
        <v>13</v>
      </c>
      <c r="D3" s="5" t="s">
        <v>103</v>
      </c>
      <c r="E3" s="5">
        <v>4</v>
      </c>
      <c r="F3" s="5"/>
      <c r="G3" s="6" t="s">
        <v>38</v>
      </c>
      <c r="I3" s="3">
        <v>1</v>
      </c>
      <c r="J3" s="4">
        <v>46114</v>
      </c>
      <c r="K3" s="7" t="s">
        <v>43</v>
      </c>
      <c r="L3" s="5" t="s">
        <v>103</v>
      </c>
      <c r="M3" s="8">
        <v>4</v>
      </c>
      <c r="N3" s="8"/>
      <c r="O3" s="8"/>
    </row>
    <row r="4" customHeight="1" spans="1:15">
      <c r="A4" s="3">
        <v>2</v>
      </c>
      <c r="B4" s="4">
        <v>46114</v>
      </c>
      <c r="C4" s="5" t="s">
        <v>15</v>
      </c>
      <c r="D4" s="5" t="s">
        <v>103</v>
      </c>
      <c r="E4" s="5">
        <v>4</v>
      </c>
      <c r="F4" s="5"/>
      <c r="G4" s="6" t="s">
        <v>38</v>
      </c>
      <c r="I4" s="3">
        <v>2</v>
      </c>
      <c r="J4" s="4">
        <v>46114</v>
      </c>
      <c r="K4" s="7" t="s">
        <v>45</v>
      </c>
      <c r="L4" s="5" t="s">
        <v>103</v>
      </c>
      <c r="M4" s="8"/>
      <c r="N4" s="8">
        <v>4</v>
      </c>
      <c r="O4" s="8" t="s">
        <v>100</v>
      </c>
    </row>
    <row r="5" customHeight="1" spans="1:15">
      <c r="A5" s="3">
        <v>3</v>
      </c>
      <c r="B5" s="4">
        <v>46114</v>
      </c>
      <c r="C5" s="5" t="s">
        <v>16</v>
      </c>
      <c r="D5" s="5" t="s">
        <v>103</v>
      </c>
      <c r="E5" s="5"/>
      <c r="F5" s="5">
        <v>4</v>
      </c>
      <c r="G5" s="9"/>
      <c r="I5" s="3">
        <v>3</v>
      </c>
      <c r="J5" s="4">
        <v>46114</v>
      </c>
      <c r="K5" s="7" t="s">
        <v>48</v>
      </c>
      <c r="L5" s="5" t="s">
        <v>103</v>
      </c>
      <c r="M5" s="8">
        <v>2</v>
      </c>
      <c r="N5" s="8">
        <v>2</v>
      </c>
      <c r="O5" s="8"/>
    </row>
    <row r="6" customHeight="1" spans="1:15">
      <c r="A6" s="3">
        <v>4</v>
      </c>
      <c r="B6" s="4">
        <v>46114</v>
      </c>
      <c r="C6" s="5" t="s">
        <v>17</v>
      </c>
      <c r="D6" s="5" t="s">
        <v>103</v>
      </c>
      <c r="E6" s="5"/>
      <c r="F6" s="5">
        <v>4</v>
      </c>
      <c r="G6" s="9"/>
      <c r="I6" s="3">
        <v>4</v>
      </c>
      <c r="J6" s="4">
        <v>46114</v>
      </c>
      <c r="K6" s="7" t="s">
        <v>50</v>
      </c>
      <c r="L6" s="5" t="s">
        <v>103</v>
      </c>
      <c r="M6" s="8">
        <v>2</v>
      </c>
      <c r="N6" s="8">
        <v>2</v>
      </c>
      <c r="O6" s="8"/>
    </row>
    <row r="7" customHeight="1" spans="1:15">
      <c r="A7" s="3">
        <v>5</v>
      </c>
      <c r="B7" s="4">
        <v>46114</v>
      </c>
      <c r="C7" s="5" t="s">
        <v>18</v>
      </c>
      <c r="D7" s="5" t="s">
        <v>103</v>
      </c>
      <c r="E7" s="5"/>
      <c r="F7" s="5">
        <v>4</v>
      </c>
      <c r="G7" s="9"/>
      <c r="I7" s="3">
        <v>5</v>
      </c>
      <c r="J7" s="4">
        <v>46114</v>
      </c>
      <c r="K7" s="7" t="s">
        <v>52</v>
      </c>
      <c r="L7" s="5" t="s">
        <v>103</v>
      </c>
      <c r="M7" s="8">
        <v>2</v>
      </c>
      <c r="N7" s="8">
        <v>2</v>
      </c>
      <c r="O7" s="8"/>
    </row>
    <row r="8" customHeight="1" spans="1:15">
      <c r="A8" s="3">
        <v>6</v>
      </c>
      <c r="B8" s="4">
        <v>46114</v>
      </c>
      <c r="C8" s="5" t="s">
        <v>19</v>
      </c>
      <c r="D8" s="5" t="s">
        <v>103</v>
      </c>
      <c r="E8" s="5"/>
      <c r="F8" s="5">
        <v>4</v>
      </c>
      <c r="G8" s="9"/>
      <c r="I8" s="3">
        <v>6</v>
      </c>
      <c r="J8" s="4">
        <v>46114</v>
      </c>
      <c r="K8" s="7" t="s">
        <v>54</v>
      </c>
      <c r="L8" s="5" t="s">
        <v>103</v>
      </c>
      <c r="M8" s="8">
        <v>2</v>
      </c>
      <c r="N8" s="8">
        <v>2</v>
      </c>
      <c r="O8" s="8"/>
    </row>
    <row r="9" customHeight="1" spans="1:15">
      <c r="A9" s="3">
        <v>7</v>
      </c>
      <c r="B9" s="4">
        <v>46114</v>
      </c>
      <c r="C9" s="5" t="s">
        <v>20</v>
      </c>
      <c r="D9" s="5" t="s">
        <v>103</v>
      </c>
      <c r="E9" s="5"/>
      <c r="F9" s="5">
        <v>4</v>
      </c>
      <c r="G9" s="10"/>
      <c r="I9" s="3">
        <v>7</v>
      </c>
      <c r="J9" s="4">
        <v>46114</v>
      </c>
      <c r="K9" s="7" t="s">
        <v>56</v>
      </c>
      <c r="L9" s="5" t="s">
        <v>103</v>
      </c>
      <c r="M9" s="8">
        <v>2</v>
      </c>
      <c r="N9" s="8">
        <v>2</v>
      </c>
      <c r="O9" s="8"/>
    </row>
    <row r="10" customHeight="1" spans="1:15">
      <c r="A10" s="12">
        <v>8</v>
      </c>
      <c r="B10" s="4">
        <v>46114</v>
      </c>
      <c r="C10" s="5" t="s">
        <v>21</v>
      </c>
      <c r="D10" s="5" t="s">
        <v>103</v>
      </c>
      <c r="E10" s="5"/>
      <c r="F10" s="5">
        <v>4</v>
      </c>
      <c r="G10" s="11"/>
      <c r="I10" s="3">
        <v>8</v>
      </c>
      <c r="J10" s="4">
        <v>46114</v>
      </c>
      <c r="K10" s="7" t="s">
        <v>59</v>
      </c>
      <c r="L10" s="5" t="s">
        <v>103</v>
      </c>
      <c r="M10" s="8">
        <v>2</v>
      </c>
      <c r="N10" s="8">
        <v>2</v>
      </c>
      <c r="O10" s="8"/>
    </row>
    <row r="11" customHeight="1" spans="1:15">
      <c r="A11" s="13">
        <v>9</v>
      </c>
      <c r="B11" s="4">
        <v>46114</v>
      </c>
      <c r="C11" s="5" t="s">
        <v>22</v>
      </c>
      <c r="D11" s="5" t="s">
        <v>103</v>
      </c>
      <c r="E11" s="5"/>
      <c r="F11" s="5">
        <v>4</v>
      </c>
      <c r="G11" s="10"/>
      <c r="I11" s="3">
        <v>9</v>
      </c>
      <c r="J11" s="4">
        <v>46114</v>
      </c>
      <c r="K11" s="7" t="s">
        <v>61</v>
      </c>
      <c r="L11" s="5" t="s">
        <v>103</v>
      </c>
      <c r="M11" s="8">
        <v>4</v>
      </c>
      <c r="N11" s="8"/>
      <c r="O11" s="8" t="s">
        <v>38</v>
      </c>
    </row>
    <row r="12" customHeight="1" spans="1:15">
      <c r="A12" s="13">
        <v>10</v>
      </c>
      <c r="B12" s="4">
        <v>46114</v>
      </c>
      <c r="C12" s="5" t="s">
        <v>23</v>
      </c>
      <c r="D12" s="5" t="s">
        <v>103</v>
      </c>
      <c r="E12" s="5"/>
      <c r="F12" s="5">
        <v>4</v>
      </c>
      <c r="G12" s="10"/>
      <c r="I12" s="3">
        <v>10</v>
      </c>
      <c r="J12" s="4">
        <v>46114</v>
      </c>
      <c r="K12" s="7" t="s">
        <v>63</v>
      </c>
      <c r="L12" s="5" t="s">
        <v>103</v>
      </c>
      <c r="M12" s="8">
        <v>2</v>
      </c>
      <c r="N12" s="8">
        <v>2</v>
      </c>
      <c r="O12" s="10"/>
    </row>
    <row r="13" customHeight="1" spans="1:15">
      <c r="E13">
        <f>SUM(E3:E12)</f>
        <v>8</v>
      </c>
      <c r="F13">
        <f>SUM(F3:F12)</f>
        <v>32</v>
      </c>
      <c r="I13" s="3">
        <v>11</v>
      </c>
      <c r="J13" s="4">
        <v>46114</v>
      </c>
      <c r="K13" s="7" t="s">
        <v>66</v>
      </c>
      <c r="L13" s="5" t="s">
        <v>103</v>
      </c>
      <c r="M13" s="8">
        <v>2</v>
      </c>
      <c r="N13" s="8">
        <v>2</v>
      </c>
      <c r="O13" s="10"/>
    </row>
    <row r="14" customHeight="1" spans="1:15">
      <c r="I14" s="3">
        <v>12</v>
      </c>
      <c r="J14" s="4">
        <v>46114</v>
      </c>
      <c r="K14" s="7" t="s">
        <v>68</v>
      </c>
      <c r="L14" s="5" t="s">
        <v>103</v>
      </c>
      <c r="M14" s="8">
        <v>2</v>
      </c>
      <c r="N14" s="8">
        <v>2</v>
      </c>
      <c r="O14" s="10"/>
    </row>
    <row r="15" customHeight="1" spans="1:15">
      <c r="I15" s="3">
        <v>13</v>
      </c>
      <c r="J15" s="4">
        <v>46114</v>
      </c>
      <c r="K15" s="7" t="s">
        <v>70</v>
      </c>
      <c r="L15" s="5" t="s">
        <v>103</v>
      </c>
      <c r="M15" s="8">
        <v>2</v>
      </c>
      <c r="N15" s="8">
        <v>2</v>
      </c>
      <c r="O15" s="10"/>
    </row>
    <row r="16" customHeight="1" spans="1:15">
      <c r="I16" s="3">
        <v>14</v>
      </c>
      <c r="J16" s="4">
        <v>46114</v>
      </c>
      <c r="K16" s="7" t="s">
        <v>72</v>
      </c>
      <c r="L16" s="5" t="s">
        <v>103</v>
      </c>
      <c r="M16" s="8">
        <v>2</v>
      </c>
      <c r="N16" s="8">
        <v>2</v>
      </c>
      <c r="O16" s="10"/>
    </row>
    <row r="17" customHeight="1" spans="9:15">
      <c r="I17" s="3">
        <v>15</v>
      </c>
      <c r="J17" s="4">
        <v>46114</v>
      </c>
      <c r="K17" s="7" t="s">
        <v>74</v>
      </c>
      <c r="L17" s="5" t="s">
        <v>103</v>
      </c>
      <c r="M17" s="8">
        <v>2</v>
      </c>
      <c r="N17" s="8">
        <v>2</v>
      </c>
      <c r="O17" s="10"/>
    </row>
    <row r="18" customHeight="1" spans="9:15">
      <c r="I18" s="3">
        <v>16</v>
      </c>
      <c r="J18" s="4">
        <v>46114</v>
      </c>
      <c r="K18" s="7" t="s">
        <v>76</v>
      </c>
      <c r="L18" s="5" t="s">
        <v>103</v>
      </c>
      <c r="M18" s="8">
        <v>2</v>
      </c>
      <c r="N18" s="8">
        <v>2</v>
      </c>
      <c r="O18" s="10"/>
    </row>
    <row r="19" customHeight="1" spans="9:15">
      <c r="I19" s="3">
        <v>17</v>
      </c>
      <c r="J19" s="4">
        <v>46114</v>
      </c>
      <c r="K19" s="7" t="s">
        <v>78</v>
      </c>
      <c r="L19" s="5" t="s">
        <v>103</v>
      </c>
      <c r="M19" s="8">
        <v>2</v>
      </c>
      <c r="N19" s="8">
        <v>2</v>
      </c>
      <c r="O19" s="10" t="s">
        <v>101</v>
      </c>
    </row>
    <row r="20" customHeight="1" spans="9:15">
      <c r="I20" s="3">
        <v>18</v>
      </c>
      <c r="J20" s="4">
        <v>46114</v>
      </c>
      <c r="K20" s="7" t="s">
        <v>35</v>
      </c>
      <c r="L20" s="5" t="s">
        <v>103</v>
      </c>
      <c r="M20" s="6">
        <v>4</v>
      </c>
      <c r="N20" s="10"/>
      <c r="O20" s="8" t="s">
        <v>38</v>
      </c>
    </row>
    <row r="21" customHeight="1" spans="9:15">
      <c r="I21" s="3">
        <v>19</v>
      </c>
      <c r="J21" s="4">
        <v>46114</v>
      </c>
      <c r="K21" s="7" t="s">
        <v>40</v>
      </c>
      <c r="L21" s="5" t="s">
        <v>103</v>
      </c>
      <c r="M21" s="8">
        <v>4</v>
      </c>
      <c r="N21" s="8"/>
      <c r="O21" s="8" t="s">
        <v>38</v>
      </c>
    </row>
    <row r="22" customHeight="1" spans="9:15">
      <c r="M22">
        <f>SUM(M3:M21)</f>
        <v>44</v>
      </c>
      <c r="N22">
        <f>SUM(N3:N21)</f>
        <v>32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D3" sqref="D3:D12"/>
    </sheetView>
  </sheetViews>
  <sheetFormatPr defaultColWidth="13.4285714285714" defaultRowHeight="25" customHeight="1"/>
  <cols>
    <col min="1" max="16384" width="13.4285714285714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46119</v>
      </c>
      <c r="C3" s="5" t="s">
        <v>13</v>
      </c>
      <c r="D3" s="5" t="s">
        <v>102</v>
      </c>
      <c r="E3" s="5">
        <v>2</v>
      </c>
      <c r="F3" s="5"/>
      <c r="G3" s="6" t="s">
        <v>38</v>
      </c>
      <c r="I3" s="3">
        <v>1</v>
      </c>
      <c r="J3" s="4">
        <v>46119</v>
      </c>
      <c r="K3" s="7" t="s">
        <v>43</v>
      </c>
      <c r="L3" s="5" t="s">
        <v>102</v>
      </c>
      <c r="M3" s="8">
        <v>2</v>
      </c>
      <c r="N3" s="8"/>
      <c r="O3" s="8"/>
    </row>
    <row r="4" customHeight="1" spans="1:15">
      <c r="A4" s="3">
        <v>2</v>
      </c>
      <c r="B4" s="4">
        <v>46119</v>
      </c>
      <c r="C4" s="5" t="s">
        <v>15</v>
      </c>
      <c r="D4" s="5" t="s">
        <v>102</v>
      </c>
      <c r="E4" s="5">
        <v>2</v>
      </c>
      <c r="F4" s="5"/>
      <c r="G4" s="6" t="s">
        <v>38</v>
      </c>
      <c r="I4" s="3">
        <v>2</v>
      </c>
      <c r="J4" s="4">
        <v>46119</v>
      </c>
      <c r="K4" s="7" t="s">
        <v>45</v>
      </c>
      <c r="L4" s="5" t="s">
        <v>102</v>
      </c>
      <c r="M4" s="8"/>
      <c r="N4" s="8">
        <v>2</v>
      </c>
      <c r="O4" s="8" t="s">
        <v>100</v>
      </c>
    </row>
    <row r="5" customHeight="1" spans="1:15">
      <c r="A5" s="3">
        <v>3</v>
      </c>
      <c r="B5" s="4">
        <v>46119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4">
        <v>46119</v>
      </c>
      <c r="K5" s="7" t="s">
        <v>48</v>
      </c>
      <c r="L5" s="5" t="s">
        <v>102</v>
      </c>
      <c r="M5" s="8">
        <v>1</v>
      </c>
      <c r="N5" s="8">
        <v>1</v>
      </c>
      <c r="O5" s="8"/>
    </row>
    <row r="6" customHeight="1" spans="1:15">
      <c r="A6" s="3">
        <v>4</v>
      </c>
      <c r="B6" s="4">
        <v>46119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4">
        <v>46119</v>
      </c>
      <c r="K6" s="7" t="s">
        <v>50</v>
      </c>
      <c r="L6" s="5" t="s">
        <v>102</v>
      </c>
      <c r="M6" s="8">
        <v>1</v>
      </c>
      <c r="N6" s="8">
        <v>1</v>
      </c>
      <c r="O6" s="8"/>
    </row>
    <row r="7" customHeight="1" spans="1:15">
      <c r="A7" s="3">
        <v>5</v>
      </c>
      <c r="B7" s="4">
        <v>46119</v>
      </c>
      <c r="C7" s="5" t="s">
        <v>18</v>
      </c>
      <c r="D7" s="5" t="s">
        <v>102</v>
      </c>
      <c r="E7" s="5"/>
      <c r="F7" s="5">
        <v>2</v>
      </c>
      <c r="G7" s="9"/>
      <c r="I7" s="3">
        <v>5</v>
      </c>
      <c r="J7" s="4">
        <v>46119</v>
      </c>
      <c r="K7" s="7" t="s">
        <v>52</v>
      </c>
      <c r="L7" s="5" t="s">
        <v>102</v>
      </c>
      <c r="M7" s="8">
        <v>1</v>
      </c>
      <c r="N7" s="8">
        <v>1</v>
      </c>
      <c r="O7" s="8"/>
    </row>
    <row r="8" customHeight="1" spans="1:15">
      <c r="A8" s="3">
        <v>6</v>
      </c>
      <c r="B8" s="4">
        <v>46119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4">
        <v>46119</v>
      </c>
      <c r="K8" s="7" t="s">
        <v>54</v>
      </c>
      <c r="L8" s="5" t="s">
        <v>102</v>
      </c>
      <c r="M8" s="8">
        <v>1</v>
      </c>
      <c r="N8" s="8">
        <v>1</v>
      </c>
      <c r="O8" s="8"/>
    </row>
    <row r="9" customHeight="1" spans="1:15">
      <c r="A9" s="3">
        <v>7</v>
      </c>
      <c r="B9" s="4">
        <v>46119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4">
        <v>46119</v>
      </c>
      <c r="K9" s="7" t="s">
        <v>56</v>
      </c>
      <c r="L9" s="5" t="s">
        <v>102</v>
      </c>
      <c r="M9" s="8">
        <v>1</v>
      </c>
      <c r="N9" s="8">
        <v>1</v>
      </c>
      <c r="O9" s="8"/>
    </row>
    <row r="10" customHeight="1" spans="1:15">
      <c r="A10" s="12">
        <v>8</v>
      </c>
      <c r="B10" s="4">
        <v>46119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4">
        <v>46119</v>
      </c>
      <c r="K10" s="7" t="s">
        <v>59</v>
      </c>
      <c r="L10" s="5" t="s">
        <v>102</v>
      </c>
      <c r="M10" s="8">
        <v>1</v>
      </c>
      <c r="N10" s="8">
        <v>1</v>
      </c>
      <c r="O10" s="8"/>
    </row>
    <row r="11" customHeight="1" spans="1:15">
      <c r="A11" s="13">
        <v>9</v>
      </c>
      <c r="B11" s="4">
        <v>46119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4">
        <v>46119</v>
      </c>
      <c r="K11" s="7" t="s">
        <v>61</v>
      </c>
      <c r="L11" s="5" t="s">
        <v>102</v>
      </c>
      <c r="M11" s="8">
        <v>2</v>
      </c>
      <c r="N11" s="8"/>
      <c r="O11" s="8" t="s">
        <v>38</v>
      </c>
    </row>
    <row r="12" customHeight="1" spans="1:15">
      <c r="A12" s="13">
        <v>10</v>
      </c>
      <c r="B12" s="4">
        <v>46119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4">
        <v>46119</v>
      </c>
      <c r="K12" s="7" t="s">
        <v>63</v>
      </c>
      <c r="L12" s="5" t="s">
        <v>102</v>
      </c>
      <c r="M12" s="8">
        <v>1</v>
      </c>
      <c r="N12" s="8">
        <v>1</v>
      </c>
      <c r="O12" s="10"/>
    </row>
    <row r="13" customHeight="1" spans="1:15">
      <c r="E13">
        <f>SUM(E3:E12)</f>
        <v>4</v>
      </c>
      <c r="F13">
        <f>SUM(F3:F12)</f>
        <v>16</v>
      </c>
      <c r="I13" s="3">
        <v>11</v>
      </c>
      <c r="J13" s="4">
        <v>46119</v>
      </c>
      <c r="K13" s="7" t="s">
        <v>66</v>
      </c>
      <c r="L13" s="5" t="s">
        <v>102</v>
      </c>
      <c r="M13" s="8">
        <v>1</v>
      </c>
      <c r="N13" s="8">
        <v>1</v>
      </c>
      <c r="O13" s="10"/>
    </row>
    <row r="14" customHeight="1" spans="1:15">
      <c r="I14" s="3">
        <v>12</v>
      </c>
      <c r="J14" s="4">
        <v>46119</v>
      </c>
      <c r="K14" s="7" t="s">
        <v>68</v>
      </c>
      <c r="L14" s="5" t="s">
        <v>102</v>
      </c>
      <c r="M14" s="8">
        <v>1</v>
      </c>
      <c r="N14" s="8">
        <v>1</v>
      </c>
      <c r="O14" s="10"/>
    </row>
    <row r="15" customHeight="1" spans="1:15">
      <c r="I15" s="3">
        <v>13</v>
      </c>
      <c r="J15" s="4">
        <v>46119</v>
      </c>
      <c r="K15" s="7" t="s">
        <v>70</v>
      </c>
      <c r="L15" s="5" t="s">
        <v>102</v>
      </c>
      <c r="M15" s="8">
        <v>1</v>
      </c>
      <c r="N15" s="8">
        <v>1</v>
      </c>
      <c r="O15" s="10"/>
    </row>
    <row r="16" customHeight="1" spans="1:15">
      <c r="I16" s="3">
        <v>14</v>
      </c>
      <c r="J16" s="4">
        <v>46119</v>
      </c>
      <c r="K16" s="7" t="s">
        <v>72</v>
      </c>
      <c r="L16" s="5" t="s">
        <v>102</v>
      </c>
      <c r="M16" s="8">
        <v>1</v>
      </c>
      <c r="N16" s="8">
        <v>1</v>
      </c>
      <c r="O16" s="10"/>
    </row>
    <row r="17" customHeight="1" spans="9:15">
      <c r="I17" s="3">
        <v>15</v>
      </c>
      <c r="J17" s="4">
        <v>46119</v>
      </c>
      <c r="K17" s="7" t="s">
        <v>74</v>
      </c>
      <c r="L17" s="5" t="s">
        <v>102</v>
      </c>
      <c r="M17" s="8">
        <v>1</v>
      </c>
      <c r="N17" s="8">
        <v>1</v>
      </c>
      <c r="O17" s="10"/>
    </row>
    <row r="18" customHeight="1" spans="9:15">
      <c r="I18" s="3">
        <v>16</v>
      </c>
      <c r="J18" s="4">
        <v>46119</v>
      </c>
      <c r="K18" s="7" t="s">
        <v>76</v>
      </c>
      <c r="L18" s="5" t="s">
        <v>102</v>
      </c>
      <c r="M18" s="8">
        <v>1</v>
      </c>
      <c r="N18" s="8">
        <v>1</v>
      </c>
      <c r="O18" s="10"/>
    </row>
    <row r="19" customHeight="1" spans="9:15">
      <c r="I19" s="3">
        <v>17</v>
      </c>
      <c r="J19" s="4">
        <v>46119</v>
      </c>
      <c r="K19" s="7" t="s">
        <v>78</v>
      </c>
      <c r="L19" s="5" t="s">
        <v>102</v>
      </c>
      <c r="M19" s="8">
        <v>1</v>
      </c>
      <c r="N19" s="8">
        <v>1</v>
      </c>
      <c r="O19" s="10" t="s">
        <v>101</v>
      </c>
    </row>
    <row r="20" customHeight="1" spans="9:15">
      <c r="I20" s="3">
        <v>18</v>
      </c>
      <c r="J20" s="4">
        <v>46119</v>
      </c>
      <c r="K20" s="7" t="s">
        <v>35</v>
      </c>
      <c r="L20" s="5" t="s">
        <v>102</v>
      </c>
      <c r="M20" s="6">
        <v>2</v>
      </c>
      <c r="N20" s="10"/>
      <c r="O20" s="8" t="s">
        <v>38</v>
      </c>
    </row>
    <row r="21" customHeight="1" spans="9:15">
      <c r="I21" s="3">
        <v>19</v>
      </c>
      <c r="J21" s="4">
        <v>46119</v>
      </c>
      <c r="K21" s="7" t="s">
        <v>40</v>
      </c>
      <c r="L21" s="5" t="s">
        <v>102</v>
      </c>
      <c r="M21" s="8">
        <v>2</v>
      </c>
      <c r="N21" s="8"/>
      <c r="O21" s="8" t="s">
        <v>38</v>
      </c>
    </row>
    <row r="22" customHeight="1" spans="9:15">
      <c r="M22">
        <f>SUM(M3:M21)</f>
        <v>22</v>
      </c>
      <c r="N22">
        <f>SUM(N3:N21)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A1" sqref="A1:O22"/>
    </sheetView>
  </sheetViews>
  <sheetFormatPr defaultColWidth="16" defaultRowHeight="25" customHeight="1"/>
  <cols>
    <col min="1" max="16384" width="16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46121</v>
      </c>
      <c r="C3" s="5" t="s">
        <v>13</v>
      </c>
      <c r="D3" s="5" t="s">
        <v>102</v>
      </c>
      <c r="E3" s="5">
        <v>2</v>
      </c>
      <c r="F3" s="5"/>
      <c r="G3" s="6" t="s">
        <v>38</v>
      </c>
      <c r="I3" s="3">
        <v>1</v>
      </c>
      <c r="J3" s="4">
        <v>46121</v>
      </c>
      <c r="K3" s="7" t="s">
        <v>43</v>
      </c>
      <c r="L3" s="5" t="s">
        <v>102</v>
      </c>
      <c r="M3" s="8">
        <v>2</v>
      </c>
      <c r="N3" s="8"/>
      <c r="O3" s="8"/>
    </row>
    <row r="4" customHeight="1" spans="1:15">
      <c r="A4" s="3">
        <v>2</v>
      </c>
      <c r="B4" s="4">
        <v>46121</v>
      </c>
      <c r="C4" s="5" t="s">
        <v>15</v>
      </c>
      <c r="D4" s="5" t="s">
        <v>102</v>
      </c>
      <c r="E4" s="5">
        <v>2</v>
      </c>
      <c r="F4" s="5"/>
      <c r="G4" s="6" t="s">
        <v>38</v>
      </c>
      <c r="I4" s="3">
        <v>2</v>
      </c>
      <c r="J4" s="4">
        <v>46121</v>
      </c>
      <c r="K4" s="7" t="s">
        <v>45</v>
      </c>
      <c r="L4" s="5" t="s">
        <v>102</v>
      </c>
      <c r="M4" s="8"/>
      <c r="N4" s="8">
        <v>2</v>
      </c>
      <c r="O4" s="8" t="s">
        <v>100</v>
      </c>
    </row>
    <row r="5" customHeight="1" spans="1:15">
      <c r="A5" s="3">
        <v>3</v>
      </c>
      <c r="B5" s="4">
        <v>46121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4">
        <v>46121</v>
      </c>
      <c r="K5" s="7" t="s">
        <v>48</v>
      </c>
      <c r="L5" s="5" t="s">
        <v>102</v>
      </c>
      <c r="M5" s="8">
        <v>1</v>
      </c>
      <c r="N5" s="8">
        <v>1</v>
      </c>
      <c r="O5" s="8"/>
    </row>
    <row r="6" customHeight="1" spans="1:15">
      <c r="A6" s="3">
        <v>4</v>
      </c>
      <c r="B6" s="4">
        <v>46121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4">
        <v>46121</v>
      </c>
      <c r="K6" s="7" t="s">
        <v>50</v>
      </c>
      <c r="L6" s="5" t="s">
        <v>102</v>
      </c>
      <c r="M6" s="8">
        <v>1</v>
      </c>
      <c r="N6" s="8">
        <v>1</v>
      </c>
      <c r="O6" s="8"/>
    </row>
    <row r="7" customHeight="1" spans="1:15">
      <c r="A7" s="3">
        <v>5</v>
      </c>
      <c r="B7" s="4">
        <v>46121</v>
      </c>
      <c r="C7" s="5" t="s">
        <v>18</v>
      </c>
      <c r="D7" s="5" t="s">
        <v>102</v>
      </c>
      <c r="E7" s="5"/>
      <c r="F7" s="5">
        <v>2</v>
      </c>
      <c r="G7" s="9"/>
      <c r="I7" s="3">
        <v>5</v>
      </c>
      <c r="J7" s="4">
        <v>46121</v>
      </c>
      <c r="K7" s="7" t="s">
        <v>52</v>
      </c>
      <c r="L7" s="5" t="s">
        <v>102</v>
      </c>
      <c r="M7" s="8">
        <v>1</v>
      </c>
      <c r="N7" s="8">
        <v>1</v>
      </c>
      <c r="O7" s="8"/>
    </row>
    <row r="8" customHeight="1" spans="1:15">
      <c r="A8" s="3">
        <v>6</v>
      </c>
      <c r="B8" s="4">
        <v>46121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4">
        <v>46121</v>
      </c>
      <c r="K8" s="7" t="s">
        <v>54</v>
      </c>
      <c r="L8" s="5" t="s">
        <v>102</v>
      </c>
      <c r="M8" s="8">
        <v>1</v>
      </c>
      <c r="N8" s="8">
        <v>1</v>
      </c>
      <c r="O8" s="8"/>
    </row>
    <row r="9" customHeight="1" spans="1:15">
      <c r="A9" s="3">
        <v>7</v>
      </c>
      <c r="B9" s="4">
        <v>46121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4">
        <v>46121</v>
      </c>
      <c r="K9" s="7" t="s">
        <v>56</v>
      </c>
      <c r="L9" s="5" t="s">
        <v>102</v>
      </c>
      <c r="M9" s="8">
        <v>1</v>
      </c>
      <c r="N9" s="8">
        <v>1</v>
      </c>
      <c r="O9" s="8"/>
    </row>
    <row r="10" customHeight="1" spans="1:15">
      <c r="A10" s="3">
        <v>8</v>
      </c>
      <c r="B10" s="4">
        <v>46121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4">
        <v>46121</v>
      </c>
      <c r="K10" s="7" t="s">
        <v>59</v>
      </c>
      <c r="L10" s="5" t="s">
        <v>102</v>
      </c>
      <c r="M10" s="8">
        <v>1</v>
      </c>
      <c r="N10" s="8">
        <v>1</v>
      </c>
      <c r="O10" s="8"/>
    </row>
    <row r="11" customHeight="1" spans="1:15">
      <c r="A11" s="3">
        <v>9</v>
      </c>
      <c r="B11" s="4">
        <v>46121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4">
        <v>46121</v>
      </c>
      <c r="K11" s="7" t="s">
        <v>61</v>
      </c>
      <c r="L11" s="5" t="s">
        <v>102</v>
      </c>
      <c r="M11" s="8">
        <v>2</v>
      </c>
      <c r="N11" s="8"/>
      <c r="O11" s="8" t="s">
        <v>38</v>
      </c>
    </row>
    <row r="12" customHeight="1" spans="1:15">
      <c r="A12" s="3">
        <v>10</v>
      </c>
      <c r="B12" s="4">
        <v>46121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4">
        <v>46121</v>
      </c>
      <c r="K12" s="7" t="s">
        <v>63</v>
      </c>
      <c r="L12" s="5" t="s">
        <v>102</v>
      </c>
      <c r="M12" s="8">
        <v>1</v>
      </c>
      <c r="N12" s="8">
        <v>1</v>
      </c>
      <c r="O12" s="10"/>
    </row>
    <row r="13" customHeight="1" spans="1:15">
      <c r="E13">
        <f>SUM(E3:E12)</f>
        <v>4</v>
      </c>
      <c r="F13">
        <f>SUM(F3:F12)</f>
        <v>16</v>
      </c>
      <c r="I13" s="3">
        <v>11</v>
      </c>
      <c r="J13" s="4">
        <v>46121</v>
      </c>
      <c r="K13" s="7" t="s">
        <v>66</v>
      </c>
      <c r="L13" s="5" t="s">
        <v>102</v>
      </c>
      <c r="M13" s="8">
        <v>1</v>
      </c>
      <c r="N13" s="8">
        <v>1</v>
      </c>
      <c r="O13" s="10"/>
    </row>
    <row r="14" customHeight="1" spans="1:15">
      <c r="I14" s="3">
        <v>12</v>
      </c>
      <c r="J14" s="4">
        <v>46121</v>
      </c>
      <c r="K14" s="7" t="s">
        <v>68</v>
      </c>
      <c r="L14" s="5" t="s">
        <v>102</v>
      </c>
      <c r="M14" s="8">
        <v>1</v>
      </c>
      <c r="N14" s="8">
        <v>1</v>
      </c>
      <c r="O14" s="10"/>
    </row>
    <row r="15" customHeight="1" spans="1:15">
      <c r="I15" s="3">
        <v>13</v>
      </c>
      <c r="J15" s="4">
        <v>46121</v>
      </c>
      <c r="K15" s="7" t="s">
        <v>70</v>
      </c>
      <c r="L15" s="5" t="s">
        <v>102</v>
      </c>
      <c r="M15" s="8">
        <v>1</v>
      </c>
      <c r="N15" s="8">
        <v>1</v>
      </c>
      <c r="O15" s="10"/>
    </row>
    <row r="16" customHeight="1" spans="1:15">
      <c r="I16" s="3">
        <v>14</v>
      </c>
      <c r="J16" s="4">
        <v>46121</v>
      </c>
      <c r="K16" s="7" t="s">
        <v>72</v>
      </c>
      <c r="L16" s="5" t="s">
        <v>102</v>
      </c>
      <c r="M16" s="8">
        <v>1</v>
      </c>
      <c r="N16" s="8">
        <v>1</v>
      </c>
      <c r="O16" s="10"/>
    </row>
    <row r="17" customHeight="1" spans="9:15">
      <c r="I17" s="3">
        <v>15</v>
      </c>
      <c r="J17" s="4">
        <v>46121</v>
      </c>
      <c r="K17" s="7" t="s">
        <v>74</v>
      </c>
      <c r="L17" s="5" t="s">
        <v>102</v>
      </c>
      <c r="M17" s="8">
        <v>1</v>
      </c>
      <c r="N17" s="8">
        <v>1</v>
      </c>
      <c r="O17" s="10"/>
    </row>
    <row r="18" customHeight="1" spans="9:15">
      <c r="I18" s="3">
        <v>16</v>
      </c>
      <c r="J18" s="4">
        <v>46121</v>
      </c>
      <c r="K18" s="7" t="s">
        <v>76</v>
      </c>
      <c r="L18" s="5" t="s">
        <v>102</v>
      </c>
      <c r="M18" s="8">
        <v>1</v>
      </c>
      <c r="N18" s="8">
        <v>1</v>
      </c>
      <c r="O18" s="10"/>
    </row>
    <row r="19" customHeight="1" spans="9:15">
      <c r="I19" s="3">
        <v>17</v>
      </c>
      <c r="J19" s="4">
        <v>46121</v>
      </c>
      <c r="K19" s="7" t="s">
        <v>78</v>
      </c>
      <c r="L19" s="5" t="s">
        <v>102</v>
      </c>
      <c r="M19" s="8">
        <v>1</v>
      </c>
      <c r="N19" s="8">
        <v>1</v>
      </c>
      <c r="O19" s="10" t="s">
        <v>101</v>
      </c>
    </row>
    <row r="20" customHeight="1" spans="9:15">
      <c r="I20" s="3">
        <v>18</v>
      </c>
      <c r="J20" s="4">
        <v>46121</v>
      </c>
      <c r="K20" s="7" t="s">
        <v>35</v>
      </c>
      <c r="L20" s="5" t="s">
        <v>102</v>
      </c>
      <c r="M20" s="6">
        <v>2</v>
      </c>
      <c r="N20" s="10"/>
      <c r="O20" s="8" t="s">
        <v>38</v>
      </c>
    </row>
    <row r="21" customHeight="1" spans="9:15">
      <c r="I21" s="3">
        <v>19</v>
      </c>
      <c r="J21" s="4">
        <v>46121</v>
      </c>
      <c r="K21" s="7" t="s">
        <v>40</v>
      </c>
      <c r="L21" s="5" t="s">
        <v>102</v>
      </c>
      <c r="M21" s="8">
        <v>2</v>
      </c>
      <c r="N21" s="8"/>
      <c r="O21" s="8" t="s">
        <v>38</v>
      </c>
    </row>
    <row r="22" customHeight="1" spans="9:15">
      <c r="M22">
        <f>SUM(M3:M21)</f>
        <v>22</v>
      </c>
      <c r="N22">
        <f>SUM(N3:N21)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H14" sqref="H14"/>
    </sheetView>
  </sheetViews>
  <sheetFormatPr defaultColWidth="11.2857142857143" defaultRowHeight="21" customHeight="1"/>
  <cols>
    <col min="1" max="16384" width="11.2857142857143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46125</v>
      </c>
      <c r="C3" s="5" t="s">
        <v>13</v>
      </c>
      <c r="D3" s="5" t="s">
        <v>99</v>
      </c>
      <c r="E3" s="5">
        <v>3</v>
      </c>
      <c r="F3" s="5"/>
      <c r="G3" s="6" t="s">
        <v>38</v>
      </c>
      <c r="I3" s="3">
        <v>1</v>
      </c>
      <c r="J3" s="4">
        <v>46125</v>
      </c>
      <c r="K3" s="7" t="s">
        <v>43</v>
      </c>
      <c r="L3" s="5" t="s">
        <v>99</v>
      </c>
      <c r="M3" s="8">
        <v>3</v>
      </c>
      <c r="N3" s="8"/>
      <c r="O3" s="8"/>
    </row>
    <row r="4" customHeight="1" spans="1:15">
      <c r="A4" s="3">
        <v>2</v>
      </c>
      <c r="B4" s="4">
        <v>46125</v>
      </c>
      <c r="C4" s="5" t="s">
        <v>15</v>
      </c>
      <c r="D4" s="5" t="s">
        <v>99</v>
      </c>
      <c r="E4" s="5">
        <v>3</v>
      </c>
      <c r="F4" s="5"/>
      <c r="G4" s="6" t="s">
        <v>38</v>
      </c>
      <c r="I4" s="3">
        <v>2</v>
      </c>
      <c r="J4" s="4">
        <v>46125</v>
      </c>
      <c r="K4" s="7" t="s">
        <v>45</v>
      </c>
      <c r="L4" s="5" t="s">
        <v>99</v>
      </c>
      <c r="M4" s="8"/>
      <c r="N4" s="8">
        <v>3</v>
      </c>
      <c r="O4" s="8" t="s">
        <v>100</v>
      </c>
    </row>
    <row r="5" customHeight="1" spans="1:15">
      <c r="A5" s="3">
        <v>3</v>
      </c>
      <c r="B5" s="4">
        <v>46125</v>
      </c>
      <c r="C5" s="5" t="s">
        <v>16</v>
      </c>
      <c r="D5" s="5" t="s">
        <v>99</v>
      </c>
      <c r="E5" s="5"/>
      <c r="F5" s="5">
        <v>3</v>
      </c>
      <c r="G5" s="9"/>
      <c r="I5" s="3">
        <v>3</v>
      </c>
      <c r="J5" s="4">
        <v>46125</v>
      </c>
      <c r="K5" s="7" t="s">
        <v>48</v>
      </c>
      <c r="L5" s="5" t="s">
        <v>99</v>
      </c>
      <c r="M5" s="8">
        <v>2</v>
      </c>
      <c r="N5" s="8">
        <v>1</v>
      </c>
      <c r="O5" s="8"/>
    </row>
    <row r="6" customHeight="1" spans="1:15">
      <c r="A6" s="3">
        <v>4</v>
      </c>
      <c r="B6" s="4">
        <v>46125</v>
      </c>
      <c r="C6" s="5" t="s">
        <v>17</v>
      </c>
      <c r="D6" s="5" t="s">
        <v>99</v>
      </c>
      <c r="E6" s="5"/>
      <c r="F6" s="5">
        <v>3</v>
      </c>
      <c r="G6" s="9"/>
      <c r="I6" s="3">
        <v>4</v>
      </c>
      <c r="J6" s="4">
        <v>46125</v>
      </c>
      <c r="K6" s="7" t="s">
        <v>50</v>
      </c>
      <c r="L6" s="5" t="s">
        <v>99</v>
      </c>
      <c r="M6" s="8">
        <v>2</v>
      </c>
      <c r="N6" s="8">
        <v>1</v>
      </c>
      <c r="O6" s="8"/>
    </row>
    <row r="7" customHeight="1" spans="1:15">
      <c r="A7" s="3">
        <v>5</v>
      </c>
      <c r="B7" s="4">
        <v>46125</v>
      </c>
      <c r="C7" s="5" t="s">
        <v>18</v>
      </c>
      <c r="D7" s="5" t="s">
        <v>99</v>
      </c>
      <c r="E7" s="5"/>
      <c r="F7" s="5">
        <v>3</v>
      </c>
      <c r="G7" s="9"/>
      <c r="I7" s="3">
        <v>5</v>
      </c>
      <c r="J7" s="4">
        <v>46125</v>
      </c>
      <c r="K7" s="7" t="s">
        <v>52</v>
      </c>
      <c r="L7" s="5" t="s">
        <v>99</v>
      </c>
      <c r="M7" s="8">
        <v>2</v>
      </c>
      <c r="N7" s="8">
        <v>1</v>
      </c>
      <c r="O7" s="8"/>
    </row>
    <row r="8" customHeight="1" spans="1:15">
      <c r="A8" s="3">
        <v>6</v>
      </c>
      <c r="B8" s="4">
        <v>46125</v>
      </c>
      <c r="C8" s="5" t="s">
        <v>19</v>
      </c>
      <c r="D8" s="5" t="s">
        <v>99</v>
      </c>
      <c r="E8" s="5"/>
      <c r="F8" s="5">
        <v>3</v>
      </c>
      <c r="G8" s="9"/>
      <c r="I8" s="3">
        <v>6</v>
      </c>
      <c r="J8" s="4">
        <v>46125</v>
      </c>
      <c r="K8" s="7" t="s">
        <v>54</v>
      </c>
      <c r="L8" s="5" t="s">
        <v>99</v>
      </c>
      <c r="M8" s="8">
        <v>2</v>
      </c>
      <c r="N8" s="8">
        <v>1</v>
      </c>
      <c r="O8" s="8"/>
    </row>
    <row r="9" customHeight="1" spans="1:15">
      <c r="A9" s="3">
        <v>7</v>
      </c>
      <c r="B9" s="4">
        <v>46125</v>
      </c>
      <c r="C9" s="5" t="s">
        <v>20</v>
      </c>
      <c r="D9" s="5" t="s">
        <v>99</v>
      </c>
      <c r="E9" s="5"/>
      <c r="F9" s="5">
        <v>3</v>
      </c>
      <c r="G9" s="10"/>
      <c r="I9" s="3">
        <v>7</v>
      </c>
      <c r="J9" s="4">
        <v>46125</v>
      </c>
      <c r="K9" s="7" t="s">
        <v>56</v>
      </c>
      <c r="L9" s="5" t="s">
        <v>99</v>
      </c>
      <c r="M9" s="8">
        <v>2</v>
      </c>
      <c r="N9" s="8">
        <v>1</v>
      </c>
      <c r="O9" s="8"/>
    </row>
    <row r="10" customHeight="1" spans="1:15">
      <c r="A10" s="3">
        <v>8</v>
      </c>
      <c r="B10" s="4">
        <v>46125</v>
      </c>
      <c r="C10" s="5" t="s">
        <v>21</v>
      </c>
      <c r="D10" s="5" t="s">
        <v>99</v>
      </c>
      <c r="E10" s="5"/>
      <c r="F10" s="5">
        <v>3</v>
      </c>
      <c r="G10" s="11"/>
      <c r="I10" s="3">
        <v>8</v>
      </c>
      <c r="J10" s="4">
        <v>46125</v>
      </c>
      <c r="K10" s="7" t="s">
        <v>59</v>
      </c>
      <c r="L10" s="5" t="s">
        <v>99</v>
      </c>
      <c r="M10" s="8">
        <v>2</v>
      </c>
      <c r="N10" s="8">
        <v>1</v>
      </c>
      <c r="O10" s="8"/>
    </row>
    <row r="11" customHeight="1" spans="1:15">
      <c r="A11" s="3">
        <v>9</v>
      </c>
      <c r="B11" s="4">
        <v>46125</v>
      </c>
      <c r="C11" s="5" t="s">
        <v>22</v>
      </c>
      <c r="D11" s="5" t="s">
        <v>99</v>
      </c>
      <c r="E11" s="5"/>
      <c r="F11" s="5">
        <v>3</v>
      </c>
      <c r="G11" s="10"/>
      <c r="I11" s="3">
        <v>9</v>
      </c>
      <c r="J11" s="4">
        <v>46125</v>
      </c>
      <c r="K11" s="7" t="s">
        <v>61</v>
      </c>
      <c r="L11" s="5" t="s">
        <v>99</v>
      </c>
      <c r="M11" s="8">
        <v>3</v>
      </c>
      <c r="N11" s="8"/>
      <c r="O11" s="8" t="s">
        <v>38</v>
      </c>
    </row>
    <row r="12" customHeight="1" spans="1:15">
      <c r="A12" s="3">
        <v>10</v>
      </c>
      <c r="B12" s="4">
        <v>46125</v>
      </c>
      <c r="C12" s="5" t="s">
        <v>23</v>
      </c>
      <c r="D12" s="5" t="s">
        <v>99</v>
      </c>
      <c r="E12" s="5"/>
      <c r="F12" s="5">
        <v>3</v>
      </c>
      <c r="G12" s="10"/>
      <c r="I12" s="3">
        <v>10</v>
      </c>
      <c r="J12" s="4">
        <v>46125</v>
      </c>
      <c r="K12" s="7" t="s">
        <v>63</v>
      </c>
      <c r="L12" s="5" t="s">
        <v>99</v>
      </c>
      <c r="M12" s="8">
        <v>2</v>
      </c>
      <c r="N12" s="8">
        <v>1</v>
      </c>
      <c r="O12" s="10"/>
    </row>
    <row r="13" customHeight="1" spans="1:15">
      <c r="E13">
        <f>SUM(E3:E12)</f>
        <v>6</v>
      </c>
      <c r="F13">
        <f>SUM(F3:F12)</f>
        <v>24</v>
      </c>
      <c r="I13" s="3">
        <v>11</v>
      </c>
      <c r="J13" s="4">
        <v>46125</v>
      </c>
      <c r="K13" s="7" t="s">
        <v>66</v>
      </c>
      <c r="L13" s="5" t="s">
        <v>99</v>
      </c>
      <c r="M13" s="8">
        <v>2</v>
      </c>
      <c r="N13" s="8">
        <v>1</v>
      </c>
      <c r="O13" s="10"/>
    </row>
    <row r="14" customHeight="1" spans="1:15">
      <c r="I14" s="3">
        <v>12</v>
      </c>
      <c r="J14" s="4">
        <v>46125</v>
      </c>
      <c r="K14" s="7" t="s">
        <v>68</v>
      </c>
      <c r="L14" s="5" t="s">
        <v>99</v>
      </c>
      <c r="M14" s="8">
        <v>2</v>
      </c>
      <c r="N14" s="8">
        <v>1</v>
      </c>
      <c r="O14" s="10"/>
    </row>
    <row r="15" customHeight="1" spans="1:15">
      <c r="I15" s="3">
        <v>13</v>
      </c>
      <c r="J15" s="4">
        <v>46125</v>
      </c>
      <c r="K15" s="7" t="s">
        <v>70</v>
      </c>
      <c r="L15" s="5" t="s">
        <v>99</v>
      </c>
      <c r="M15" s="8">
        <v>2</v>
      </c>
      <c r="N15" s="8">
        <v>1</v>
      </c>
      <c r="O15" s="10"/>
    </row>
    <row r="16" customHeight="1" spans="1:15">
      <c r="I16" s="3">
        <v>14</v>
      </c>
      <c r="J16" s="4">
        <v>46125</v>
      </c>
      <c r="K16" s="7" t="s">
        <v>72</v>
      </c>
      <c r="L16" s="5" t="s">
        <v>99</v>
      </c>
      <c r="M16" s="8">
        <v>2</v>
      </c>
      <c r="N16" s="8">
        <v>1</v>
      </c>
      <c r="O16" s="10"/>
    </row>
    <row r="17" customHeight="1" spans="9:15">
      <c r="I17" s="3">
        <v>15</v>
      </c>
      <c r="J17" s="4">
        <v>46125</v>
      </c>
      <c r="K17" s="7" t="s">
        <v>74</v>
      </c>
      <c r="L17" s="5" t="s">
        <v>99</v>
      </c>
      <c r="M17" s="8">
        <v>2</v>
      </c>
      <c r="N17" s="8">
        <v>1</v>
      </c>
      <c r="O17" s="10"/>
    </row>
    <row r="18" customHeight="1" spans="9:15">
      <c r="I18" s="3">
        <v>16</v>
      </c>
      <c r="J18" s="4">
        <v>46125</v>
      </c>
      <c r="K18" s="7" t="s">
        <v>76</v>
      </c>
      <c r="L18" s="5" t="s">
        <v>99</v>
      </c>
      <c r="M18" s="8">
        <v>2</v>
      </c>
      <c r="N18" s="8">
        <v>1</v>
      </c>
      <c r="O18" s="10"/>
    </row>
    <row r="19" customHeight="1" spans="9:15">
      <c r="I19" s="3">
        <v>17</v>
      </c>
      <c r="J19" s="4">
        <v>46125</v>
      </c>
      <c r="K19" s="7" t="s">
        <v>78</v>
      </c>
      <c r="L19" s="5" t="s">
        <v>99</v>
      </c>
      <c r="M19" s="8">
        <v>2</v>
      </c>
      <c r="N19" s="8">
        <v>1</v>
      </c>
      <c r="O19" s="10" t="s">
        <v>101</v>
      </c>
    </row>
    <row r="20" customHeight="1" spans="9:15">
      <c r="I20" s="3">
        <v>18</v>
      </c>
      <c r="J20" s="4">
        <v>46125</v>
      </c>
      <c r="K20" s="7" t="s">
        <v>35</v>
      </c>
      <c r="L20" s="5" t="s">
        <v>99</v>
      </c>
      <c r="M20" s="6">
        <v>3</v>
      </c>
      <c r="N20" s="10"/>
      <c r="O20" s="8" t="s">
        <v>38</v>
      </c>
    </row>
    <row r="21" customHeight="1" spans="9:15">
      <c r="I21" s="3">
        <v>19</v>
      </c>
      <c r="J21" s="4">
        <v>46125</v>
      </c>
      <c r="K21" s="7" t="s">
        <v>40</v>
      </c>
      <c r="L21" s="5" t="s">
        <v>99</v>
      </c>
      <c r="M21" s="8">
        <v>3</v>
      </c>
      <c r="N21" s="8"/>
      <c r="O21" s="8" t="s">
        <v>38</v>
      </c>
    </row>
    <row r="22" customHeight="1" spans="9:15">
      <c r="M22">
        <f>SUM(M3:M21)</f>
        <v>40</v>
      </c>
      <c r="N22">
        <f>SUM(N3:N21)</f>
        <v>17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A1" sqref="A1:O22"/>
    </sheetView>
  </sheetViews>
  <sheetFormatPr defaultColWidth="10.2857142857143" defaultRowHeight="19" customHeight="1"/>
  <cols>
    <col min="1" max="16384" width="10.2857142857143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46128</v>
      </c>
      <c r="C3" s="5" t="s">
        <v>13</v>
      </c>
      <c r="D3" s="5" t="s">
        <v>102</v>
      </c>
      <c r="E3" s="5">
        <v>2</v>
      </c>
      <c r="F3" s="5"/>
      <c r="G3" s="6" t="s">
        <v>38</v>
      </c>
      <c r="I3" s="3">
        <v>1</v>
      </c>
      <c r="J3" s="4">
        <v>46128</v>
      </c>
      <c r="K3" s="7" t="s">
        <v>43</v>
      </c>
      <c r="L3" s="5" t="s">
        <v>102</v>
      </c>
      <c r="M3" s="8">
        <v>2</v>
      </c>
      <c r="N3" s="8"/>
      <c r="O3" s="8"/>
    </row>
    <row r="4" customHeight="1" spans="1:15">
      <c r="A4" s="3">
        <v>2</v>
      </c>
      <c r="B4" s="4">
        <v>46128</v>
      </c>
      <c r="C4" s="5" t="s">
        <v>15</v>
      </c>
      <c r="D4" s="5" t="s">
        <v>102</v>
      </c>
      <c r="E4" s="5">
        <v>2</v>
      </c>
      <c r="F4" s="5"/>
      <c r="G4" s="6" t="s">
        <v>38</v>
      </c>
      <c r="I4" s="3">
        <v>2</v>
      </c>
      <c r="J4" s="4">
        <v>46128</v>
      </c>
      <c r="K4" s="7" t="s">
        <v>45</v>
      </c>
      <c r="L4" s="5" t="s">
        <v>102</v>
      </c>
      <c r="M4" s="8"/>
      <c r="N4" s="8">
        <v>2</v>
      </c>
      <c r="O4" s="8" t="s">
        <v>100</v>
      </c>
    </row>
    <row r="5" customHeight="1" spans="1:15">
      <c r="A5" s="3">
        <v>3</v>
      </c>
      <c r="B5" s="4">
        <v>46128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4">
        <v>46128</v>
      </c>
      <c r="K5" s="7" t="s">
        <v>48</v>
      </c>
      <c r="L5" s="5" t="s">
        <v>102</v>
      </c>
      <c r="M5" s="8">
        <v>1</v>
      </c>
      <c r="N5" s="8">
        <v>1</v>
      </c>
      <c r="O5" s="8"/>
    </row>
    <row r="6" customHeight="1" spans="1:15">
      <c r="A6" s="3">
        <v>4</v>
      </c>
      <c r="B6" s="4">
        <v>46128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4">
        <v>46128</v>
      </c>
      <c r="K6" s="7" t="s">
        <v>50</v>
      </c>
      <c r="L6" s="5" t="s">
        <v>102</v>
      </c>
      <c r="M6" s="8">
        <v>1</v>
      </c>
      <c r="N6" s="8">
        <v>1</v>
      </c>
      <c r="O6" s="8"/>
    </row>
    <row r="7" customHeight="1" spans="1:15">
      <c r="A7" s="3">
        <v>5</v>
      </c>
      <c r="B7" s="4">
        <v>46128</v>
      </c>
      <c r="C7" s="5" t="s">
        <v>18</v>
      </c>
      <c r="D7" s="5" t="s">
        <v>102</v>
      </c>
      <c r="E7" s="5"/>
      <c r="F7" s="5">
        <v>2</v>
      </c>
      <c r="G7" s="9"/>
      <c r="I7" s="3">
        <v>5</v>
      </c>
      <c r="J7" s="4">
        <v>46128</v>
      </c>
      <c r="K7" s="7" t="s">
        <v>52</v>
      </c>
      <c r="L7" s="5" t="s">
        <v>102</v>
      </c>
      <c r="M7" s="8">
        <v>1</v>
      </c>
      <c r="N7" s="8">
        <v>1</v>
      </c>
      <c r="O7" s="8"/>
    </row>
    <row r="8" customHeight="1" spans="1:15">
      <c r="A8" s="3">
        <v>6</v>
      </c>
      <c r="B8" s="4">
        <v>46128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4">
        <v>46128</v>
      </c>
      <c r="K8" s="7" t="s">
        <v>54</v>
      </c>
      <c r="L8" s="5" t="s">
        <v>102</v>
      </c>
      <c r="M8" s="8">
        <v>1</v>
      </c>
      <c r="N8" s="8">
        <v>1</v>
      </c>
      <c r="O8" s="8"/>
    </row>
    <row r="9" customHeight="1" spans="1:15">
      <c r="A9" s="3">
        <v>7</v>
      </c>
      <c r="B9" s="4">
        <v>46128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4">
        <v>46128</v>
      </c>
      <c r="K9" s="7" t="s">
        <v>56</v>
      </c>
      <c r="L9" s="5" t="s">
        <v>102</v>
      </c>
      <c r="M9" s="8">
        <v>1</v>
      </c>
      <c r="N9" s="8">
        <v>1</v>
      </c>
      <c r="O9" s="8"/>
    </row>
    <row r="10" customHeight="1" spans="1:15">
      <c r="A10" s="3">
        <v>8</v>
      </c>
      <c r="B10" s="4">
        <v>46128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4">
        <v>46128</v>
      </c>
      <c r="K10" s="7" t="s">
        <v>59</v>
      </c>
      <c r="L10" s="5" t="s">
        <v>102</v>
      </c>
      <c r="M10" s="8">
        <v>1</v>
      </c>
      <c r="N10" s="8">
        <v>1</v>
      </c>
      <c r="O10" s="8"/>
    </row>
    <row r="11" customHeight="1" spans="1:15">
      <c r="A11" s="3">
        <v>9</v>
      </c>
      <c r="B11" s="4">
        <v>46128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4">
        <v>46128</v>
      </c>
      <c r="K11" s="7" t="s">
        <v>61</v>
      </c>
      <c r="L11" s="5" t="s">
        <v>102</v>
      </c>
      <c r="M11" s="8">
        <v>2</v>
      </c>
      <c r="N11" s="8"/>
      <c r="O11" s="8" t="s">
        <v>38</v>
      </c>
    </row>
    <row r="12" customHeight="1" spans="1:15">
      <c r="A12" s="3">
        <v>10</v>
      </c>
      <c r="B12" s="4">
        <v>46128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4">
        <v>46128</v>
      </c>
      <c r="K12" s="7" t="s">
        <v>63</v>
      </c>
      <c r="L12" s="5" t="s">
        <v>102</v>
      </c>
      <c r="M12" s="8">
        <v>1</v>
      </c>
      <c r="N12" s="8">
        <v>1</v>
      </c>
      <c r="O12" s="10"/>
    </row>
    <row r="13" customHeight="1" spans="1:15">
      <c r="B13" s="4"/>
      <c r="E13">
        <f>SUM(E3:E12)</f>
        <v>4</v>
      </c>
      <c r="F13">
        <f>SUM(F3:F12)</f>
        <v>16</v>
      </c>
      <c r="I13" s="3">
        <v>11</v>
      </c>
      <c r="J13" s="4">
        <v>46128</v>
      </c>
      <c r="K13" s="7" t="s">
        <v>66</v>
      </c>
      <c r="L13" s="5" t="s">
        <v>102</v>
      </c>
      <c r="M13" s="8">
        <v>1</v>
      </c>
      <c r="N13" s="8">
        <v>1</v>
      </c>
      <c r="O13" s="10"/>
    </row>
    <row r="14" customHeight="1" spans="1:15">
      <c r="I14" s="3">
        <v>12</v>
      </c>
      <c r="J14" s="4">
        <v>46128</v>
      </c>
      <c r="K14" s="7" t="s">
        <v>68</v>
      </c>
      <c r="L14" s="5" t="s">
        <v>102</v>
      </c>
      <c r="M14" s="8">
        <v>1</v>
      </c>
      <c r="N14" s="8">
        <v>1</v>
      </c>
      <c r="O14" s="10"/>
    </row>
    <row r="15" customHeight="1" spans="1:15">
      <c r="I15" s="3">
        <v>13</v>
      </c>
      <c r="J15" s="4">
        <v>46128</v>
      </c>
      <c r="K15" s="7" t="s">
        <v>70</v>
      </c>
      <c r="L15" s="5" t="s">
        <v>102</v>
      </c>
      <c r="M15" s="8">
        <v>1</v>
      </c>
      <c r="N15" s="8">
        <v>1</v>
      </c>
      <c r="O15" s="10"/>
    </row>
    <row r="16" customHeight="1" spans="1:15">
      <c r="I16" s="3">
        <v>14</v>
      </c>
      <c r="J16" s="4">
        <v>46128</v>
      </c>
      <c r="K16" s="7" t="s">
        <v>72</v>
      </c>
      <c r="L16" s="5" t="s">
        <v>102</v>
      </c>
      <c r="M16" s="8">
        <v>1</v>
      </c>
      <c r="N16" s="8">
        <v>1</v>
      </c>
      <c r="O16" s="10"/>
    </row>
    <row r="17" customHeight="1" spans="9:15">
      <c r="I17" s="3">
        <v>15</v>
      </c>
      <c r="J17" s="4">
        <v>46128</v>
      </c>
      <c r="K17" s="7" t="s">
        <v>74</v>
      </c>
      <c r="L17" s="5" t="s">
        <v>102</v>
      </c>
      <c r="M17" s="8">
        <v>1</v>
      </c>
      <c r="N17" s="8">
        <v>1</v>
      </c>
      <c r="O17" s="10"/>
    </row>
    <row r="18" customHeight="1" spans="9:15">
      <c r="I18" s="3">
        <v>16</v>
      </c>
      <c r="J18" s="4">
        <v>46128</v>
      </c>
      <c r="K18" s="7" t="s">
        <v>76</v>
      </c>
      <c r="L18" s="5" t="s">
        <v>102</v>
      </c>
      <c r="M18" s="8">
        <v>1</v>
      </c>
      <c r="N18" s="8">
        <v>1</v>
      </c>
      <c r="O18" s="10"/>
    </row>
    <row r="19" customHeight="1" spans="9:15">
      <c r="I19" s="3">
        <v>17</v>
      </c>
      <c r="J19" s="4">
        <v>46128</v>
      </c>
      <c r="K19" s="7" t="s">
        <v>78</v>
      </c>
      <c r="L19" s="5" t="s">
        <v>102</v>
      </c>
      <c r="M19" s="8">
        <v>1</v>
      </c>
      <c r="N19" s="8">
        <v>1</v>
      </c>
      <c r="O19" s="10" t="s">
        <v>101</v>
      </c>
    </row>
    <row r="20" customHeight="1" spans="9:15">
      <c r="I20" s="3">
        <v>18</v>
      </c>
      <c r="J20" s="4">
        <v>46128</v>
      </c>
      <c r="K20" s="7" t="s">
        <v>35</v>
      </c>
      <c r="L20" s="5" t="s">
        <v>102</v>
      </c>
      <c r="M20" s="6">
        <v>2</v>
      </c>
      <c r="N20" s="10"/>
      <c r="O20" s="8" t="s">
        <v>38</v>
      </c>
    </row>
    <row r="21" customHeight="1" spans="9:15">
      <c r="I21" s="3">
        <v>19</v>
      </c>
      <c r="J21" s="4">
        <v>46128</v>
      </c>
      <c r="K21" s="7" t="s">
        <v>40</v>
      </c>
      <c r="L21" s="5" t="s">
        <v>102</v>
      </c>
      <c r="M21" s="8">
        <v>2</v>
      </c>
      <c r="N21" s="8"/>
      <c r="O21" s="8" t="s">
        <v>38</v>
      </c>
    </row>
    <row r="22" customHeight="1" spans="9:15">
      <c r="M22">
        <f>SUM(M3:M21)</f>
        <v>22</v>
      </c>
      <c r="N22">
        <f>SUM(N3:N21)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G17" sqref="G17"/>
    </sheetView>
  </sheetViews>
  <sheetFormatPr defaultColWidth="11.5714285714286" defaultRowHeight="19" customHeight="1"/>
  <cols>
    <col min="1" max="16384" width="11.5714285714286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46132</v>
      </c>
      <c r="C3" s="5" t="s">
        <v>13</v>
      </c>
      <c r="D3" s="5" t="s">
        <v>99</v>
      </c>
      <c r="E3" s="5">
        <v>3</v>
      </c>
      <c r="F3" s="5"/>
      <c r="G3" s="6" t="s">
        <v>38</v>
      </c>
      <c r="I3" s="3">
        <v>1</v>
      </c>
      <c r="J3" s="4">
        <v>46132</v>
      </c>
      <c r="K3" s="7" t="s">
        <v>43</v>
      </c>
      <c r="L3" s="5" t="s">
        <v>99</v>
      </c>
      <c r="M3" s="8">
        <v>3</v>
      </c>
      <c r="N3" s="8"/>
      <c r="O3" s="8"/>
    </row>
    <row r="4" customHeight="1" spans="1:15">
      <c r="A4" s="3">
        <v>2</v>
      </c>
      <c r="B4" s="4">
        <v>46132</v>
      </c>
      <c r="C4" s="5" t="s">
        <v>15</v>
      </c>
      <c r="D4" s="5" t="s">
        <v>99</v>
      </c>
      <c r="E4" s="5">
        <v>3</v>
      </c>
      <c r="F4" s="5"/>
      <c r="G4" s="6" t="s">
        <v>38</v>
      </c>
      <c r="I4" s="3">
        <v>2</v>
      </c>
      <c r="J4" s="4">
        <v>46132</v>
      </c>
      <c r="K4" s="7" t="s">
        <v>45</v>
      </c>
      <c r="L4" s="5" t="s">
        <v>99</v>
      </c>
      <c r="M4" s="8"/>
      <c r="N4" s="8">
        <v>3</v>
      </c>
      <c r="O4" s="8" t="s">
        <v>100</v>
      </c>
    </row>
    <row r="5" customHeight="1" spans="1:15">
      <c r="A5" s="3">
        <v>3</v>
      </c>
      <c r="B5" s="4">
        <v>46132</v>
      </c>
      <c r="C5" s="5" t="s">
        <v>16</v>
      </c>
      <c r="D5" s="5" t="s">
        <v>99</v>
      </c>
      <c r="E5" s="5"/>
      <c r="F5" s="5">
        <v>3</v>
      </c>
      <c r="G5" s="9"/>
      <c r="I5" s="3">
        <v>3</v>
      </c>
      <c r="J5" s="4">
        <v>46132</v>
      </c>
      <c r="K5" s="7" t="s">
        <v>48</v>
      </c>
      <c r="L5" s="5" t="s">
        <v>99</v>
      </c>
      <c r="M5" s="8">
        <v>2</v>
      </c>
      <c r="N5" s="8">
        <v>1</v>
      </c>
      <c r="O5" s="8"/>
    </row>
    <row r="6" customHeight="1" spans="1:15">
      <c r="A6" s="3">
        <v>4</v>
      </c>
      <c r="B6" s="4">
        <v>46132</v>
      </c>
      <c r="C6" s="5" t="s">
        <v>17</v>
      </c>
      <c r="D6" s="5" t="s">
        <v>99</v>
      </c>
      <c r="E6" s="5"/>
      <c r="F6" s="5">
        <v>3</v>
      </c>
      <c r="G6" s="9"/>
      <c r="I6" s="3">
        <v>4</v>
      </c>
      <c r="J6" s="4">
        <v>46132</v>
      </c>
      <c r="K6" s="7" t="s">
        <v>50</v>
      </c>
      <c r="L6" s="5" t="s">
        <v>99</v>
      </c>
      <c r="M6" s="8">
        <v>2</v>
      </c>
      <c r="N6" s="8">
        <v>1</v>
      </c>
      <c r="O6" s="8"/>
    </row>
    <row r="7" customHeight="1" spans="1:15">
      <c r="A7" s="3">
        <v>5</v>
      </c>
      <c r="B7" s="4">
        <v>46132</v>
      </c>
      <c r="C7" s="5" t="s">
        <v>18</v>
      </c>
      <c r="D7" s="5" t="s">
        <v>99</v>
      </c>
      <c r="E7" s="5"/>
      <c r="F7" s="5">
        <v>3</v>
      </c>
      <c r="G7" s="9"/>
      <c r="I7" s="3">
        <v>5</v>
      </c>
      <c r="J7" s="4">
        <v>46132</v>
      </c>
      <c r="K7" s="7" t="s">
        <v>52</v>
      </c>
      <c r="L7" s="5" t="s">
        <v>99</v>
      </c>
      <c r="M7" s="8">
        <v>2</v>
      </c>
      <c r="N7" s="8">
        <v>1</v>
      </c>
      <c r="O7" s="8"/>
    </row>
    <row r="8" customHeight="1" spans="1:15">
      <c r="A8" s="3">
        <v>6</v>
      </c>
      <c r="B8" s="4">
        <v>46132</v>
      </c>
      <c r="C8" s="5" t="s">
        <v>19</v>
      </c>
      <c r="D8" s="5" t="s">
        <v>99</v>
      </c>
      <c r="E8" s="5"/>
      <c r="F8" s="5">
        <v>3</v>
      </c>
      <c r="G8" s="9"/>
      <c r="I8" s="3">
        <v>6</v>
      </c>
      <c r="J8" s="4">
        <v>46132</v>
      </c>
      <c r="K8" s="7" t="s">
        <v>54</v>
      </c>
      <c r="L8" s="5" t="s">
        <v>99</v>
      </c>
      <c r="M8" s="8">
        <v>2</v>
      </c>
      <c r="N8" s="8">
        <v>1</v>
      </c>
      <c r="O8" s="8"/>
    </row>
    <row r="9" customHeight="1" spans="1:15">
      <c r="A9" s="3">
        <v>7</v>
      </c>
      <c r="B9" s="4">
        <v>46132</v>
      </c>
      <c r="C9" s="5" t="s">
        <v>20</v>
      </c>
      <c r="D9" s="5" t="s">
        <v>99</v>
      </c>
      <c r="E9" s="5"/>
      <c r="F9" s="5">
        <v>3</v>
      </c>
      <c r="G9" s="10"/>
      <c r="I9" s="3">
        <v>7</v>
      </c>
      <c r="J9" s="4">
        <v>46132</v>
      </c>
      <c r="K9" s="7" t="s">
        <v>56</v>
      </c>
      <c r="L9" s="5" t="s">
        <v>99</v>
      </c>
      <c r="M9" s="8">
        <v>2</v>
      </c>
      <c r="N9" s="8">
        <v>1</v>
      </c>
      <c r="O9" s="8"/>
    </row>
    <row r="10" customHeight="1" spans="1:15">
      <c r="A10" s="3">
        <v>8</v>
      </c>
      <c r="B10" s="4">
        <v>46132</v>
      </c>
      <c r="C10" s="5" t="s">
        <v>21</v>
      </c>
      <c r="D10" s="5" t="s">
        <v>99</v>
      </c>
      <c r="E10" s="5"/>
      <c r="F10" s="5">
        <v>3</v>
      </c>
      <c r="G10" s="11"/>
      <c r="I10" s="3">
        <v>8</v>
      </c>
      <c r="J10" s="4">
        <v>46132</v>
      </c>
      <c r="K10" s="7" t="s">
        <v>59</v>
      </c>
      <c r="L10" s="5" t="s">
        <v>99</v>
      </c>
      <c r="M10" s="8">
        <v>2</v>
      </c>
      <c r="N10" s="8">
        <v>1</v>
      </c>
      <c r="O10" s="8"/>
    </row>
    <row r="11" customHeight="1" spans="1:15">
      <c r="A11" s="3">
        <v>9</v>
      </c>
      <c r="B11" s="4">
        <v>46132</v>
      </c>
      <c r="C11" s="5" t="s">
        <v>22</v>
      </c>
      <c r="D11" s="5" t="s">
        <v>99</v>
      </c>
      <c r="E11" s="5"/>
      <c r="F11" s="5">
        <v>3</v>
      </c>
      <c r="G11" s="10"/>
      <c r="I11" s="3">
        <v>9</v>
      </c>
      <c r="J11" s="4">
        <v>46132</v>
      </c>
      <c r="K11" s="7" t="s">
        <v>61</v>
      </c>
      <c r="L11" s="5" t="s">
        <v>99</v>
      </c>
      <c r="M11" s="8">
        <v>3</v>
      </c>
      <c r="N11" s="8"/>
      <c r="O11" s="8" t="s">
        <v>38</v>
      </c>
    </row>
    <row r="12" customHeight="1" spans="1:15">
      <c r="A12" s="3">
        <v>10</v>
      </c>
      <c r="B12" s="4">
        <v>46132</v>
      </c>
      <c r="C12" s="5" t="s">
        <v>23</v>
      </c>
      <c r="D12" s="5" t="s">
        <v>99</v>
      </c>
      <c r="E12" s="5"/>
      <c r="F12" s="5">
        <v>3</v>
      </c>
      <c r="G12" s="10"/>
      <c r="I12" s="3">
        <v>10</v>
      </c>
      <c r="J12" s="4">
        <v>46132</v>
      </c>
      <c r="K12" s="7" t="s">
        <v>63</v>
      </c>
      <c r="L12" s="5" t="s">
        <v>99</v>
      </c>
      <c r="M12" s="8">
        <v>2</v>
      </c>
      <c r="N12" s="8">
        <v>1</v>
      </c>
      <c r="O12" s="10"/>
    </row>
    <row r="13" customHeight="1" spans="1:15">
      <c r="E13">
        <f>SUM(E3:E12)</f>
        <v>6</v>
      </c>
      <c r="F13">
        <f>SUM(F3:F12)</f>
        <v>24</v>
      </c>
      <c r="I13" s="3">
        <v>11</v>
      </c>
      <c r="J13" s="4">
        <v>46132</v>
      </c>
      <c r="K13" s="7" t="s">
        <v>66</v>
      </c>
      <c r="L13" s="5" t="s">
        <v>99</v>
      </c>
      <c r="M13" s="8">
        <v>2</v>
      </c>
      <c r="N13" s="8">
        <v>1</v>
      </c>
      <c r="O13" s="10"/>
    </row>
    <row r="14" customHeight="1" spans="1:15">
      <c r="I14" s="3">
        <v>12</v>
      </c>
      <c r="J14" s="4">
        <v>46132</v>
      </c>
      <c r="K14" s="7" t="s">
        <v>68</v>
      </c>
      <c r="L14" s="5" t="s">
        <v>99</v>
      </c>
      <c r="M14" s="8">
        <v>2</v>
      </c>
      <c r="N14" s="8">
        <v>1</v>
      </c>
      <c r="O14" s="10"/>
    </row>
    <row r="15" customHeight="1" spans="1:15">
      <c r="I15" s="3">
        <v>13</v>
      </c>
      <c r="J15" s="4">
        <v>46132</v>
      </c>
      <c r="K15" s="7" t="s">
        <v>70</v>
      </c>
      <c r="L15" s="5" t="s">
        <v>99</v>
      </c>
      <c r="M15" s="8">
        <v>2</v>
      </c>
      <c r="N15" s="8">
        <v>1</v>
      </c>
      <c r="O15" s="10"/>
    </row>
    <row r="16" customHeight="1" spans="1:15">
      <c r="I16" s="3">
        <v>14</v>
      </c>
      <c r="J16" s="4">
        <v>46132</v>
      </c>
      <c r="K16" s="7" t="s">
        <v>72</v>
      </c>
      <c r="L16" s="5" t="s">
        <v>99</v>
      </c>
      <c r="M16" s="8">
        <v>2</v>
      </c>
      <c r="N16" s="8">
        <v>1</v>
      </c>
      <c r="O16" s="10"/>
    </row>
    <row r="17" customHeight="1" spans="9:15">
      <c r="I17" s="3">
        <v>15</v>
      </c>
      <c r="J17" s="4">
        <v>46132</v>
      </c>
      <c r="K17" s="7" t="s">
        <v>74</v>
      </c>
      <c r="L17" s="5" t="s">
        <v>99</v>
      </c>
      <c r="M17" s="8">
        <v>2</v>
      </c>
      <c r="N17" s="8">
        <v>1</v>
      </c>
      <c r="O17" s="10"/>
    </row>
    <row r="18" customHeight="1" spans="9:15">
      <c r="I18" s="3">
        <v>16</v>
      </c>
      <c r="J18" s="4">
        <v>46132</v>
      </c>
      <c r="K18" s="7" t="s">
        <v>76</v>
      </c>
      <c r="L18" s="5" t="s">
        <v>99</v>
      </c>
      <c r="M18" s="8">
        <v>2</v>
      </c>
      <c r="N18" s="8">
        <v>1</v>
      </c>
      <c r="O18" s="10"/>
    </row>
    <row r="19" customHeight="1" spans="9:15">
      <c r="I19" s="3">
        <v>17</v>
      </c>
      <c r="J19" s="4">
        <v>46132</v>
      </c>
      <c r="K19" s="7" t="s">
        <v>78</v>
      </c>
      <c r="L19" s="5" t="s">
        <v>99</v>
      </c>
      <c r="M19" s="8">
        <v>2</v>
      </c>
      <c r="N19" s="8">
        <v>1</v>
      </c>
      <c r="O19" s="10" t="s">
        <v>101</v>
      </c>
    </row>
    <row r="20" customHeight="1" spans="9:15">
      <c r="I20" s="3">
        <v>18</v>
      </c>
      <c r="J20" s="4">
        <v>46132</v>
      </c>
      <c r="K20" s="7" t="s">
        <v>35</v>
      </c>
      <c r="L20" s="5" t="s">
        <v>99</v>
      </c>
      <c r="M20" s="6">
        <v>3</v>
      </c>
      <c r="N20" s="10"/>
      <c r="O20" s="8" t="s">
        <v>38</v>
      </c>
    </row>
    <row r="21" customHeight="1" spans="9:15">
      <c r="I21" s="3">
        <v>19</v>
      </c>
      <c r="J21" s="4">
        <v>46132</v>
      </c>
      <c r="K21" s="7" t="s">
        <v>40</v>
      </c>
      <c r="L21" s="5" t="s">
        <v>99</v>
      </c>
      <c r="M21" s="8">
        <v>3</v>
      </c>
      <c r="N21" s="8"/>
      <c r="O21" s="8" t="s">
        <v>38</v>
      </c>
    </row>
    <row r="22" customHeight="1" spans="9:15">
      <c r="M22">
        <f>SUM(M3:M21)</f>
        <v>40</v>
      </c>
      <c r="N22">
        <f>SUM(N3:N21)</f>
        <v>17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J3" sqref="J3:J21"/>
    </sheetView>
  </sheetViews>
  <sheetFormatPr defaultColWidth="12.5714285714286" defaultRowHeight="21" customHeight="1"/>
  <cols>
    <col min="1" max="16384" width="12.5714285714286" customWidth="1"/>
  </cols>
  <sheetData>
    <row r="1" customHeight="1" spans="1:15">
      <c r="A1" s="1" t="s">
        <v>80</v>
      </c>
      <c r="B1" s="1"/>
      <c r="C1" s="1"/>
      <c r="D1" s="1"/>
      <c r="E1" s="1"/>
      <c r="F1" s="1"/>
      <c r="G1" s="1"/>
      <c r="I1" s="1" t="s">
        <v>95</v>
      </c>
      <c r="J1" s="1"/>
      <c r="K1" s="1"/>
      <c r="L1" s="1"/>
      <c r="M1" s="1"/>
      <c r="N1" s="1"/>
      <c r="O1" s="1"/>
    </row>
    <row r="2" customHeight="1" spans="1:15">
      <c r="A2" s="2" t="s">
        <v>2</v>
      </c>
      <c r="B2" s="2" t="s">
        <v>91</v>
      </c>
      <c r="C2" s="2" t="s">
        <v>3</v>
      </c>
      <c r="D2" s="2" t="s">
        <v>96</v>
      </c>
      <c r="E2" s="2" t="s">
        <v>97</v>
      </c>
      <c r="F2" s="2" t="s">
        <v>98</v>
      </c>
      <c r="G2" s="2" t="s">
        <v>7</v>
      </c>
      <c r="I2" s="2" t="s">
        <v>2</v>
      </c>
      <c r="J2" s="2" t="s">
        <v>91</v>
      </c>
      <c r="K2" s="2" t="s">
        <v>27</v>
      </c>
      <c r="L2" s="2" t="s">
        <v>96</v>
      </c>
      <c r="M2" s="2" t="s">
        <v>97</v>
      </c>
      <c r="N2" s="2" t="s">
        <v>98</v>
      </c>
      <c r="O2" s="2" t="s">
        <v>7</v>
      </c>
    </row>
    <row r="3" customHeight="1" spans="1:15">
      <c r="A3" s="3">
        <v>1</v>
      </c>
      <c r="B3" s="4">
        <v>46135</v>
      </c>
      <c r="C3" s="5" t="s">
        <v>13</v>
      </c>
      <c r="D3" s="5" t="s">
        <v>102</v>
      </c>
      <c r="E3" s="5">
        <v>2</v>
      </c>
      <c r="F3" s="5"/>
      <c r="G3" s="6" t="s">
        <v>38</v>
      </c>
      <c r="I3" s="3">
        <v>1</v>
      </c>
      <c r="J3" s="4">
        <v>46135</v>
      </c>
      <c r="K3" s="7" t="s">
        <v>43</v>
      </c>
      <c r="L3" s="5" t="s">
        <v>102</v>
      </c>
      <c r="M3" s="8">
        <v>2</v>
      </c>
      <c r="N3" s="8"/>
      <c r="O3" s="8"/>
    </row>
    <row r="4" customHeight="1" spans="1:15">
      <c r="A4" s="3">
        <v>2</v>
      </c>
      <c r="B4" s="4">
        <v>46135</v>
      </c>
      <c r="C4" s="5" t="s">
        <v>15</v>
      </c>
      <c r="D4" s="5" t="s">
        <v>102</v>
      </c>
      <c r="E4" s="5">
        <v>2</v>
      </c>
      <c r="F4" s="5"/>
      <c r="G4" s="6" t="s">
        <v>38</v>
      </c>
      <c r="I4" s="3">
        <v>2</v>
      </c>
      <c r="J4" s="4">
        <v>46135</v>
      </c>
      <c r="K4" s="7" t="s">
        <v>45</v>
      </c>
      <c r="L4" s="5" t="s">
        <v>102</v>
      </c>
      <c r="M4" s="8"/>
      <c r="N4" s="8">
        <v>2</v>
      </c>
      <c r="O4" s="8" t="s">
        <v>100</v>
      </c>
    </row>
    <row r="5" customHeight="1" spans="1:15">
      <c r="A5" s="3">
        <v>3</v>
      </c>
      <c r="B5" s="4">
        <v>46135</v>
      </c>
      <c r="C5" s="5" t="s">
        <v>16</v>
      </c>
      <c r="D5" s="5" t="s">
        <v>102</v>
      </c>
      <c r="E5" s="5"/>
      <c r="F5" s="5">
        <v>2</v>
      </c>
      <c r="G5" s="9"/>
      <c r="I5" s="3">
        <v>3</v>
      </c>
      <c r="J5" s="4">
        <v>46135</v>
      </c>
      <c r="K5" s="7" t="s">
        <v>48</v>
      </c>
      <c r="L5" s="5" t="s">
        <v>102</v>
      </c>
      <c r="M5" s="8">
        <v>1</v>
      </c>
      <c r="N5" s="8">
        <v>1</v>
      </c>
      <c r="O5" s="8"/>
    </row>
    <row r="6" customHeight="1" spans="1:15">
      <c r="A6" s="3">
        <v>4</v>
      </c>
      <c r="B6" s="4">
        <v>46135</v>
      </c>
      <c r="C6" s="5" t="s">
        <v>17</v>
      </c>
      <c r="D6" s="5" t="s">
        <v>102</v>
      </c>
      <c r="E6" s="5"/>
      <c r="F6" s="5">
        <v>2</v>
      </c>
      <c r="G6" s="9"/>
      <c r="I6" s="3">
        <v>4</v>
      </c>
      <c r="J6" s="4">
        <v>46135</v>
      </c>
      <c r="K6" s="7" t="s">
        <v>50</v>
      </c>
      <c r="L6" s="5" t="s">
        <v>102</v>
      </c>
      <c r="M6" s="8">
        <v>1</v>
      </c>
      <c r="N6" s="8">
        <v>1</v>
      </c>
      <c r="O6" s="8"/>
    </row>
    <row r="7" customHeight="1" spans="1:15">
      <c r="A7" s="3">
        <v>5</v>
      </c>
      <c r="B7" s="4">
        <v>46135</v>
      </c>
      <c r="C7" s="5" t="s">
        <v>18</v>
      </c>
      <c r="D7" s="5" t="s">
        <v>102</v>
      </c>
      <c r="E7" s="5"/>
      <c r="F7" s="5">
        <v>2</v>
      </c>
      <c r="G7" s="9"/>
      <c r="I7" s="3">
        <v>5</v>
      </c>
      <c r="J7" s="4">
        <v>46135</v>
      </c>
      <c r="K7" s="7" t="s">
        <v>52</v>
      </c>
      <c r="L7" s="5" t="s">
        <v>102</v>
      </c>
      <c r="M7" s="8">
        <v>1</v>
      </c>
      <c r="N7" s="8">
        <v>1</v>
      </c>
      <c r="O7" s="8"/>
    </row>
    <row r="8" customHeight="1" spans="1:15">
      <c r="A8" s="3">
        <v>6</v>
      </c>
      <c r="B8" s="4">
        <v>46135</v>
      </c>
      <c r="C8" s="5" t="s">
        <v>19</v>
      </c>
      <c r="D8" s="5" t="s">
        <v>102</v>
      </c>
      <c r="E8" s="5"/>
      <c r="F8" s="5">
        <v>2</v>
      </c>
      <c r="G8" s="9"/>
      <c r="I8" s="3">
        <v>6</v>
      </c>
      <c r="J8" s="4">
        <v>46135</v>
      </c>
      <c r="K8" s="7" t="s">
        <v>54</v>
      </c>
      <c r="L8" s="5" t="s">
        <v>102</v>
      </c>
      <c r="M8" s="8">
        <v>1</v>
      </c>
      <c r="N8" s="8">
        <v>1</v>
      </c>
      <c r="O8" s="8"/>
    </row>
    <row r="9" customHeight="1" spans="1:15">
      <c r="A9" s="3">
        <v>7</v>
      </c>
      <c r="B9" s="4">
        <v>46135</v>
      </c>
      <c r="C9" s="5" t="s">
        <v>20</v>
      </c>
      <c r="D9" s="5" t="s">
        <v>102</v>
      </c>
      <c r="E9" s="5"/>
      <c r="F9" s="5">
        <v>2</v>
      </c>
      <c r="G9" s="10"/>
      <c r="I9" s="3">
        <v>7</v>
      </c>
      <c r="J9" s="4">
        <v>46135</v>
      </c>
      <c r="K9" s="7" t="s">
        <v>56</v>
      </c>
      <c r="L9" s="5" t="s">
        <v>102</v>
      </c>
      <c r="M9" s="8">
        <v>1</v>
      </c>
      <c r="N9" s="8">
        <v>1</v>
      </c>
      <c r="O9" s="8"/>
    </row>
    <row r="10" customHeight="1" spans="1:15">
      <c r="A10" s="3">
        <v>8</v>
      </c>
      <c r="B10" s="4">
        <v>46135</v>
      </c>
      <c r="C10" s="5" t="s">
        <v>21</v>
      </c>
      <c r="D10" s="5" t="s">
        <v>102</v>
      </c>
      <c r="E10" s="5"/>
      <c r="F10" s="5">
        <v>2</v>
      </c>
      <c r="G10" s="11"/>
      <c r="I10" s="3">
        <v>8</v>
      </c>
      <c r="J10" s="4">
        <v>46135</v>
      </c>
      <c r="K10" s="7" t="s">
        <v>59</v>
      </c>
      <c r="L10" s="5" t="s">
        <v>102</v>
      </c>
      <c r="M10" s="8">
        <v>1</v>
      </c>
      <c r="N10" s="8">
        <v>1</v>
      </c>
      <c r="O10" s="8"/>
    </row>
    <row r="11" customHeight="1" spans="1:15">
      <c r="A11" s="3">
        <v>9</v>
      </c>
      <c r="B11" s="4">
        <v>46135</v>
      </c>
      <c r="C11" s="5" t="s">
        <v>22</v>
      </c>
      <c r="D11" s="5" t="s">
        <v>102</v>
      </c>
      <c r="E11" s="5"/>
      <c r="F11" s="5">
        <v>2</v>
      </c>
      <c r="G11" s="10"/>
      <c r="I11" s="3">
        <v>9</v>
      </c>
      <c r="J11" s="4">
        <v>46135</v>
      </c>
      <c r="K11" s="7" t="s">
        <v>61</v>
      </c>
      <c r="L11" s="5" t="s">
        <v>102</v>
      </c>
      <c r="M11" s="8">
        <v>2</v>
      </c>
      <c r="N11" s="8"/>
      <c r="O11" s="8" t="s">
        <v>38</v>
      </c>
    </row>
    <row r="12" customHeight="1" spans="1:15">
      <c r="A12" s="3">
        <v>10</v>
      </c>
      <c r="B12" s="4">
        <v>46135</v>
      </c>
      <c r="C12" s="5" t="s">
        <v>23</v>
      </c>
      <c r="D12" s="5" t="s">
        <v>102</v>
      </c>
      <c r="E12" s="5"/>
      <c r="F12" s="5">
        <v>2</v>
      </c>
      <c r="G12" s="10"/>
      <c r="I12" s="3">
        <v>10</v>
      </c>
      <c r="J12" s="4">
        <v>46135</v>
      </c>
      <c r="K12" s="7" t="s">
        <v>63</v>
      </c>
      <c r="L12" s="5" t="s">
        <v>102</v>
      </c>
      <c r="M12" s="8">
        <v>1</v>
      </c>
      <c r="N12" s="8">
        <v>1</v>
      </c>
      <c r="O12" s="10"/>
    </row>
    <row r="13" customHeight="1" spans="1:15">
      <c r="B13" s="4"/>
      <c r="E13">
        <f>SUM(E3:E12)</f>
        <v>4</v>
      </c>
      <c r="F13">
        <f>SUM(F3:F12)</f>
        <v>16</v>
      </c>
      <c r="I13" s="3">
        <v>11</v>
      </c>
      <c r="J13" s="4">
        <v>46135</v>
      </c>
      <c r="K13" s="7" t="s">
        <v>66</v>
      </c>
      <c r="L13" s="5" t="s">
        <v>102</v>
      </c>
      <c r="M13" s="8">
        <v>1</v>
      </c>
      <c r="N13" s="8">
        <v>1</v>
      </c>
      <c r="O13" s="10"/>
    </row>
    <row r="14" customHeight="1" spans="1:15">
      <c r="I14" s="3">
        <v>12</v>
      </c>
      <c r="J14" s="4">
        <v>46135</v>
      </c>
      <c r="K14" s="7" t="s">
        <v>68</v>
      </c>
      <c r="L14" s="5" t="s">
        <v>102</v>
      </c>
      <c r="M14" s="8">
        <v>1</v>
      </c>
      <c r="N14" s="8">
        <v>1</v>
      </c>
      <c r="O14" s="10"/>
    </row>
    <row r="15" customHeight="1" spans="1:15">
      <c r="I15" s="3">
        <v>13</v>
      </c>
      <c r="J15" s="4">
        <v>46135</v>
      </c>
      <c r="K15" s="7" t="s">
        <v>70</v>
      </c>
      <c r="L15" s="5" t="s">
        <v>102</v>
      </c>
      <c r="M15" s="8">
        <v>1</v>
      </c>
      <c r="N15" s="8">
        <v>1</v>
      </c>
      <c r="O15" s="10"/>
    </row>
    <row r="16" customHeight="1" spans="1:15">
      <c r="I16" s="3">
        <v>14</v>
      </c>
      <c r="J16" s="4">
        <v>46135</v>
      </c>
      <c r="K16" s="7" t="s">
        <v>72</v>
      </c>
      <c r="L16" s="5" t="s">
        <v>102</v>
      </c>
      <c r="M16" s="8">
        <v>1</v>
      </c>
      <c r="N16" s="8">
        <v>1</v>
      </c>
      <c r="O16" s="10"/>
    </row>
    <row r="17" customHeight="1" spans="9:15">
      <c r="I17" s="3">
        <v>15</v>
      </c>
      <c r="J17" s="4">
        <v>46135</v>
      </c>
      <c r="K17" s="7" t="s">
        <v>74</v>
      </c>
      <c r="L17" s="5" t="s">
        <v>102</v>
      </c>
      <c r="M17" s="8">
        <v>1</v>
      </c>
      <c r="N17" s="8">
        <v>1</v>
      </c>
      <c r="O17" s="10"/>
    </row>
    <row r="18" customHeight="1" spans="9:15">
      <c r="I18" s="3">
        <v>16</v>
      </c>
      <c r="J18" s="4">
        <v>46135</v>
      </c>
      <c r="K18" s="7" t="s">
        <v>76</v>
      </c>
      <c r="L18" s="5" t="s">
        <v>102</v>
      </c>
      <c r="M18" s="8">
        <v>1</v>
      </c>
      <c r="N18" s="8">
        <v>1</v>
      </c>
      <c r="O18" s="10"/>
    </row>
    <row r="19" customHeight="1" spans="9:15">
      <c r="I19" s="3">
        <v>17</v>
      </c>
      <c r="J19" s="4">
        <v>46135</v>
      </c>
      <c r="K19" s="7" t="s">
        <v>78</v>
      </c>
      <c r="L19" s="5" t="s">
        <v>102</v>
      </c>
      <c r="M19" s="8">
        <v>1</v>
      </c>
      <c r="N19" s="8">
        <v>1</v>
      </c>
      <c r="O19" s="10" t="s">
        <v>101</v>
      </c>
    </row>
    <row r="20" customHeight="1" spans="9:15">
      <c r="I20" s="3">
        <v>18</v>
      </c>
      <c r="J20" s="4">
        <v>46135</v>
      </c>
      <c r="K20" s="7" t="s">
        <v>35</v>
      </c>
      <c r="L20" s="5" t="s">
        <v>102</v>
      </c>
      <c r="M20" s="6">
        <v>2</v>
      </c>
      <c r="N20" s="10"/>
      <c r="O20" s="8" t="s">
        <v>38</v>
      </c>
    </row>
    <row r="21" customHeight="1" spans="9:15">
      <c r="I21" s="3">
        <v>19</v>
      </c>
      <c r="J21" s="4">
        <v>46135</v>
      </c>
      <c r="K21" s="7" t="s">
        <v>40</v>
      </c>
      <c r="L21" s="5" t="s">
        <v>102</v>
      </c>
      <c r="M21" s="8">
        <v>2</v>
      </c>
      <c r="N21" s="8"/>
      <c r="O21" s="8" t="s">
        <v>38</v>
      </c>
    </row>
    <row r="22" customHeight="1" spans="9:15">
      <c r="M22">
        <f>SUM(M3:M21)</f>
        <v>22</v>
      </c>
      <c r="N22">
        <f>SUM(N3:N21)</f>
        <v>16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